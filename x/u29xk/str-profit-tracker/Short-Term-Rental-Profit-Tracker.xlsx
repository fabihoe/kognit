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abianhones/Desktop/Geld_verdienen/experiment/products/str-profit-tracker/"/>
    </mc:Choice>
  </mc:AlternateContent>
  <xr:revisionPtr revIDLastSave="0" documentId="13_ncr:1_{2505851C-7DA7-864B-8B4E-E02EF77BBD24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Setup" sheetId="1" r:id="rId1"/>
    <sheet name="Dashboard" sheetId="2" r:id="rId2"/>
    <sheet name="Bookings" sheetId="3" r:id="rId3"/>
    <sheet name="Cleaning" sheetId="4" r:id="rId4"/>
    <sheet name="Costs" sheetId="5" r:id="rId5"/>
    <sheet name="Lists" sheetId="6" state="hidden" r:id="rId6"/>
  </sheets>
  <definedNames>
    <definedName name="_xlnm._FilterDatabase" localSheetId="2" hidden="1">Bookings!$A$4:$W$304</definedName>
    <definedName name="_xlnm._FilterDatabase" localSheetId="3" hidden="1">Cleaning!$A$4:$L$304</definedName>
    <definedName name="_xlnm._FilterDatabase" localSheetId="4" hidden="1">Costs!$A$4:$I$254</definedName>
  </definedName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4" i="5" l="1"/>
  <c r="A254" i="5"/>
  <c r="I253" i="5"/>
  <c r="A253" i="5"/>
  <c r="I252" i="5"/>
  <c r="A252" i="5"/>
  <c r="I251" i="5"/>
  <c r="A251" i="5"/>
  <c r="I250" i="5"/>
  <c r="A250" i="5"/>
  <c r="I249" i="5"/>
  <c r="A249" i="5"/>
  <c r="I248" i="5"/>
  <c r="A248" i="5"/>
  <c r="I247" i="5"/>
  <c r="A247" i="5"/>
  <c r="I246" i="5"/>
  <c r="A246" i="5"/>
  <c r="I245" i="5"/>
  <c r="A245" i="5"/>
  <c r="I244" i="5"/>
  <c r="A244" i="5"/>
  <c r="I243" i="5"/>
  <c r="A243" i="5"/>
  <c r="I242" i="5"/>
  <c r="A242" i="5"/>
  <c r="I241" i="5"/>
  <c r="A241" i="5"/>
  <c r="I240" i="5"/>
  <c r="A240" i="5"/>
  <c r="I239" i="5"/>
  <c r="A239" i="5"/>
  <c r="I238" i="5"/>
  <c r="A238" i="5"/>
  <c r="I237" i="5"/>
  <c r="A237" i="5"/>
  <c r="I236" i="5"/>
  <c r="A236" i="5"/>
  <c r="I235" i="5"/>
  <c r="A235" i="5"/>
  <c r="I234" i="5"/>
  <c r="A234" i="5"/>
  <c r="I233" i="5"/>
  <c r="A233" i="5"/>
  <c r="I232" i="5"/>
  <c r="A232" i="5"/>
  <c r="I231" i="5"/>
  <c r="A231" i="5"/>
  <c r="I230" i="5"/>
  <c r="A230" i="5"/>
  <c r="I229" i="5"/>
  <c r="A229" i="5"/>
  <c r="I228" i="5"/>
  <c r="A228" i="5"/>
  <c r="I227" i="5"/>
  <c r="A227" i="5"/>
  <c r="I226" i="5"/>
  <c r="A226" i="5"/>
  <c r="I225" i="5"/>
  <c r="A225" i="5"/>
  <c r="I224" i="5"/>
  <c r="A224" i="5"/>
  <c r="I223" i="5"/>
  <c r="A223" i="5"/>
  <c r="I222" i="5"/>
  <c r="A222" i="5"/>
  <c r="I221" i="5"/>
  <c r="A221" i="5"/>
  <c r="I220" i="5"/>
  <c r="A220" i="5"/>
  <c r="I219" i="5"/>
  <c r="A219" i="5"/>
  <c r="I218" i="5"/>
  <c r="A218" i="5"/>
  <c r="I217" i="5"/>
  <c r="A217" i="5"/>
  <c r="I216" i="5"/>
  <c r="A216" i="5"/>
  <c r="I215" i="5"/>
  <c r="A215" i="5"/>
  <c r="I214" i="5"/>
  <c r="A214" i="5"/>
  <c r="I213" i="5"/>
  <c r="A213" i="5"/>
  <c r="I212" i="5"/>
  <c r="A212" i="5"/>
  <c r="I211" i="5"/>
  <c r="A211" i="5"/>
  <c r="I210" i="5"/>
  <c r="A210" i="5"/>
  <c r="I209" i="5"/>
  <c r="A209" i="5"/>
  <c r="I208" i="5"/>
  <c r="A208" i="5"/>
  <c r="I207" i="5"/>
  <c r="A207" i="5"/>
  <c r="I206" i="5"/>
  <c r="A206" i="5"/>
  <c r="I205" i="5"/>
  <c r="A205" i="5"/>
  <c r="I204" i="5"/>
  <c r="A204" i="5"/>
  <c r="I203" i="5"/>
  <c r="A203" i="5"/>
  <c r="I202" i="5"/>
  <c r="A202" i="5"/>
  <c r="I201" i="5"/>
  <c r="A201" i="5"/>
  <c r="I200" i="5"/>
  <c r="A200" i="5"/>
  <c r="I199" i="5"/>
  <c r="A199" i="5"/>
  <c r="I198" i="5"/>
  <c r="A198" i="5"/>
  <c r="I197" i="5"/>
  <c r="A197" i="5"/>
  <c r="I196" i="5"/>
  <c r="A196" i="5"/>
  <c r="I195" i="5"/>
  <c r="A195" i="5"/>
  <c r="I194" i="5"/>
  <c r="A194" i="5"/>
  <c r="I193" i="5"/>
  <c r="A193" i="5"/>
  <c r="I192" i="5"/>
  <c r="A192" i="5"/>
  <c r="I191" i="5"/>
  <c r="A191" i="5"/>
  <c r="I190" i="5"/>
  <c r="A190" i="5"/>
  <c r="I189" i="5"/>
  <c r="A189" i="5"/>
  <c r="I188" i="5"/>
  <c r="A188" i="5"/>
  <c r="I187" i="5"/>
  <c r="A187" i="5"/>
  <c r="I186" i="5"/>
  <c r="A186" i="5"/>
  <c r="I185" i="5"/>
  <c r="A185" i="5"/>
  <c r="I184" i="5"/>
  <c r="A184" i="5"/>
  <c r="I183" i="5"/>
  <c r="A183" i="5"/>
  <c r="I182" i="5"/>
  <c r="A182" i="5"/>
  <c r="I181" i="5"/>
  <c r="A181" i="5"/>
  <c r="I180" i="5"/>
  <c r="A180" i="5"/>
  <c r="I179" i="5"/>
  <c r="A179" i="5"/>
  <c r="I178" i="5"/>
  <c r="A178" i="5"/>
  <c r="I177" i="5"/>
  <c r="A177" i="5"/>
  <c r="I176" i="5"/>
  <c r="A176" i="5"/>
  <c r="I175" i="5"/>
  <c r="A175" i="5"/>
  <c r="I174" i="5"/>
  <c r="A174" i="5"/>
  <c r="I173" i="5"/>
  <c r="A173" i="5"/>
  <c r="I172" i="5"/>
  <c r="A172" i="5"/>
  <c r="I171" i="5"/>
  <c r="A171" i="5"/>
  <c r="I170" i="5"/>
  <c r="A170" i="5"/>
  <c r="I169" i="5"/>
  <c r="A169" i="5"/>
  <c r="I168" i="5"/>
  <c r="A168" i="5"/>
  <c r="I167" i="5"/>
  <c r="A167" i="5"/>
  <c r="I166" i="5"/>
  <c r="A166" i="5"/>
  <c r="I165" i="5"/>
  <c r="A165" i="5"/>
  <c r="I164" i="5"/>
  <c r="A164" i="5"/>
  <c r="I163" i="5"/>
  <c r="A163" i="5"/>
  <c r="I162" i="5"/>
  <c r="A162" i="5"/>
  <c r="I161" i="5"/>
  <c r="A161" i="5"/>
  <c r="I160" i="5"/>
  <c r="A160" i="5"/>
  <c r="I159" i="5"/>
  <c r="A159" i="5"/>
  <c r="I158" i="5"/>
  <c r="A158" i="5"/>
  <c r="I157" i="5"/>
  <c r="A157" i="5"/>
  <c r="I156" i="5"/>
  <c r="A156" i="5"/>
  <c r="I155" i="5"/>
  <c r="A155" i="5"/>
  <c r="I154" i="5"/>
  <c r="A154" i="5"/>
  <c r="I153" i="5"/>
  <c r="A153" i="5"/>
  <c r="I152" i="5"/>
  <c r="A152" i="5"/>
  <c r="I151" i="5"/>
  <c r="A151" i="5"/>
  <c r="I150" i="5"/>
  <c r="A150" i="5"/>
  <c r="I149" i="5"/>
  <c r="A149" i="5"/>
  <c r="I148" i="5"/>
  <c r="A148" i="5"/>
  <c r="I147" i="5"/>
  <c r="A147" i="5"/>
  <c r="I146" i="5"/>
  <c r="A146" i="5"/>
  <c r="I145" i="5"/>
  <c r="A145" i="5"/>
  <c r="I144" i="5"/>
  <c r="A144" i="5"/>
  <c r="I143" i="5"/>
  <c r="A143" i="5"/>
  <c r="I142" i="5"/>
  <c r="A142" i="5"/>
  <c r="I141" i="5"/>
  <c r="A141" i="5"/>
  <c r="I140" i="5"/>
  <c r="A140" i="5"/>
  <c r="I139" i="5"/>
  <c r="A139" i="5"/>
  <c r="I138" i="5"/>
  <c r="A138" i="5"/>
  <c r="I137" i="5"/>
  <c r="A137" i="5"/>
  <c r="I136" i="5"/>
  <c r="A136" i="5"/>
  <c r="I135" i="5"/>
  <c r="A135" i="5"/>
  <c r="I134" i="5"/>
  <c r="A134" i="5"/>
  <c r="I133" i="5"/>
  <c r="A133" i="5"/>
  <c r="I132" i="5"/>
  <c r="A132" i="5"/>
  <c r="I131" i="5"/>
  <c r="A131" i="5"/>
  <c r="I130" i="5"/>
  <c r="A130" i="5"/>
  <c r="I129" i="5"/>
  <c r="A129" i="5"/>
  <c r="I128" i="5"/>
  <c r="A128" i="5"/>
  <c r="I127" i="5"/>
  <c r="A127" i="5"/>
  <c r="I126" i="5"/>
  <c r="A126" i="5"/>
  <c r="I125" i="5"/>
  <c r="A125" i="5"/>
  <c r="I124" i="5"/>
  <c r="A124" i="5"/>
  <c r="I123" i="5"/>
  <c r="A123" i="5"/>
  <c r="I122" i="5"/>
  <c r="A122" i="5"/>
  <c r="I121" i="5"/>
  <c r="A121" i="5"/>
  <c r="I120" i="5"/>
  <c r="A120" i="5"/>
  <c r="I119" i="5"/>
  <c r="A119" i="5"/>
  <c r="I118" i="5"/>
  <c r="A118" i="5"/>
  <c r="I117" i="5"/>
  <c r="A117" i="5"/>
  <c r="I116" i="5"/>
  <c r="A116" i="5"/>
  <c r="I115" i="5"/>
  <c r="A115" i="5"/>
  <c r="I114" i="5"/>
  <c r="A114" i="5"/>
  <c r="I113" i="5"/>
  <c r="A113" i="5"/>
  <c r="I112" i="5"/>
  <c r="A112" i="5"/>
  <c r="I111" i="5"/>
  <c r="A111" i="5"/>
  <c r="I110" i="5"/>
  <c r="A110" i="5"/>
  <c r="I109" i="5"/>
  <c r="A109" i="5"/>
  <c r="I108" i="5"/>
  <c r="A108" i="5"/>
  <c r="I107" i="5"/>
  <c r="A107" i="5"/>
  <c r="I106" i="5"/>
  <c r="A106" i="5"/>
  <c r="I105" i="5"/>
  <c r="A105" i="5"/>
  <c r="I104" i="5"/>
  <c r="A104" i="5"/>
  <c r="I103" i="5"/>
  <c r="A103" i="5"/>
  <c r="I102" i="5"/>
  <c r="A102" i="5"/>
  <c r="I101" i="5"/>
  <c r="A101" i="5"/>
  <c r="I100" i="5"/>
  <c r="A100" i="5"/>
  <c r="I99" i="5"/>
  <c r="A99" i="5"/>
  <c r="I98" i="5"/>
  <c r="A98" i="5"/>
  <c r="I97" i="5"/>
  <c r="A97" i="5"/>
  <c r="I96" i="5"/>
  <c r="A96" i="5"/>
  <c r="I95" i="5"/>
  <c r="A95" i="5"/>
  <c r="I94" i="5"/>
  <c r="A94" i="5"/>
  <c r="I93" i="5"/>
  <c r="A93" i="5"/>
  <c r="I92" i="5"/>
  <c r="A92" i="5"/>
  <c r="I91" i="5"/>
  <c r="A91" i="5"/>
  <c r="I90" i="5"/>
  <c r="A90" i="5"/>
  <c r="I89" i="5"/>
  <c r="A89" i="5"/>
  <c r="I88" i="5"/>
  <c r="A88" i="5"/>
  <c r="I87" i="5"/>
  <c r="A87" i="5"/>
  <c r="I86" i="5"/>
  <c r="A86" i="5"/>
  <c r="I85" i="5"/>
  <c r="A85" i="5"/>
  <c r="I84" i="5"/>
  <c r="A84" i="5"/>
  <c r="I83" i="5"/>
  <c r="A83" i="5"/>
  <c r="I82" i="5"/>
  <c r="A82" i="5"/>
  <c r="I81" i="5"/>
  <c r="A81" i="5"/>
  <c r="I80" i="5"/>
  <c r="A80" i="5"/>
  <c r="I79" i="5"/>
  <c r="A79" i="5"/>
  <c r="I78" i="5"/>
  <c r="A78" i="5"/>
  <c r="I77" i="5"/>
  <c r="A77" i="5"/>
  <c r="I76" i="5"/>
  <c r="A76" i="5"/>
  <c r="I75" i="5"/>
  <c r="A75" i="5"/>
  <c r="I74" i="5"/>
  <c r="A74" i="5"/>
  <c r="I73" i="5"/>
  <c r="A73" i="5"/>
  <c r="I72" i="5"/>
  <c r="A72" i="5"/>
  <c r="I71" i="5"/>
  <c r="A71" i="5"/>
  <c r="I70" i="5"/>
  <c r="A70" i="5"/>
  <c r="I69" i="5"/>
  <c r="A69" i="5"/>
  <c r="I68" i="5"/>
  <c r="A68" i="5"/>
  <c r="I67" i="5"/>
  <c r="A67" i="5"/>
  <c r="I66" i="5"/>
  <c r="A66" i="5"/>
  <c r="I65" i="5"/>
  <c r="A65" i="5"/>
  <c r="I64" i="5"/>
  <c r="A64" i="5"/>
  <c r="I63" i="5"/>
  <c r="A63" i="5"/>
  <c r="I62" i="5"/>
  <c r="A62" i="5"/>
  <c r="I61" i="5"/>
  <c r="A61" i="5"/>
  <c r="I60" i="5"/>
  <c r="A60" i="5"/>
  <c r="I59" i="5"/>
  <c r="A59" i="5"/>
  <c r="I58" i="5"/>
  <c r="A58" i="5"/>
  <c r="I57" i="5"/>
  <c r="A57" i="5"/>
  <c r="I56" i="5"/>
  <c r="A56" i="5"/>
  <c r="I55" i="5"/>
  <c r="A55" i="5"/>
  <c r="I54" i="5"/>
  <c r="A54" i="5"/>
  <c r="I53" i="5"/>
  <c r="A53" i="5"/>
  <c r="I52" i="5"/>
  <c r="A52" i="5"/>
  <c r="I51" i="5"/>
  <c r="A51" i="5"/>
  <c r="I50" i="5"/>
  <c r="A50" i="5"/>
  <c r="I49" i="5"/>
  <c r="A49" i="5"/>
  <c r="I48" i="5"/>
  <c r="A48" i="5"/>
  <c r="I47" i="5"/>
  <c r="A47" i="5"/>
  <c r="I46" i="5"/>
  <c r="A46" i="5"/>
  <c r="I45" i="5"/>
  <c r="A45" i="5"/>
  <c r="I44" i="5"/>
  <c r="A44" i="5"/>
  <c r="I43" i="5"/>
  <c r="A43" i="5"/>
  <c r="I42" i="5"/>
  <c r="A42" i="5"/>
  <c r="I41" i="5"/>
  <c r="A41" i="5"/>
  <c r="I40" i="5"/>
  <c r="A40" i="5"/>
  <c r="I39" i="5"/>
  <c r="A39" i="5"/>
  <c r="I38" i="5"/>
  <c r="A38" i="5"/>
  <c r="I37" i="5"/>
  <c r="A37" i="5"/>
  <c r="I36" i="5"/>
  <c r="A36" i="5"/>
  <c r="I35" i="5"/>
  <c r="A35" i="5"/>
  <c r="I34" i="5"/>
  <c r="A34" i="5"/>
  <c r="I33" i="5"/>
  <c r="A33" i="5"/>
  <c r="I32" i="5"/>
  <c r="A32" i="5"/>
  <c r="I31" i="5"/>
  <c r="A31" i="5"/>
  <c r="I30" i="5"/>
  <c r="A30" i="5"/>
  <c r="I29" i="5"/>
  <c r="A29" i="5"/>
  <c r="I28" i="5"/>
  <c r="A28" i="5"/>
  <c r="I27" i="5"/>
  <c r="A27" i="5"/>
  <c r="I26" i="5"/>
  <c r="A26" i="5"/>
  <c r="I25" i="5"/>
  <c r="A25" i="5"/>
  <c r="I24" i="5"/>
  <c r="A24" i="5"/>
  <c r="I23" i="5"/>
  <c r="A23" i="5"/>
  <c r="I22" i="5"/>
  <c r="A22" i="5"/>
  <c r="I21" i="5"/>
  <c r="A21" i="5"/>
  <c r="I20" i="5"/>
  <c r="A20" i="5"/>
  <c r="I19" i="5"/>
  <c r="A19" i="5"/>
  <c r="I18" i="5"/>
  <c r="A18" i="5"/>
  <c r="I17" i="5"/>
  <c r="A17" i="5"/>
  <c r="I16" i="5"/>
  <c r="A16" i="5"/>
  <c r="I15" i="5"/>
  <c r="A15" i="5"/>
  <c r="I14" i="5"/>
  <c r="A14" i="5"/>
  <c r="I13" i="5"/>
  <c r="A13" i="5"/>
  <c r="I12" i="5"/>
  <c r="A12" i="5"/>
  <c r="I11" i="5"/>
  <c r="A11" i="5"/>
  <c r="I10" i="5"/>
  <c r="A10" i="5"/>
  <c r="I9" i="5"/>
  <c r="B9" i="5"/>
  <c r="A9" i="5"/>
  <c r="I8" i="5"/>
  <c r="B8" i="5"/>
  <c r="A8" i="5"/>
  <c r="I7" i="5"/>
  <c r="B7" i="5"/>
  <c r="A7" i="5"/>
  <c r="I6" i="5"/>
  <c r="B6" i="5"/>
  <c r="A6" i="5"/>
  <c r="I5" i="5"/>
  <c r="B5" i="5"/>
  <c r="A5" i="5"/>
  <c r="G304" i="4"/>
  <c r="D304" i="4"/>
  <c r="C304" i="4"/>
  <c r="B304" i="4"/>
  <c r="I303" i="4"/>
  <c r="G303" i="4"/>
  <c r="D303" i="4"/>
  <c r="F303" i="4" s="1"/>
  <c r="C303" i="4"/>
  <c r="B303" i="4"/>
  <c r="H303" i="4" s="1"/>
  <c r="I302" i="4"/>
  <c r="H302" i="4"/>
  <c r="G302" i="4"/>
  <c r="F302" i="4"/>
  <c r="E302" i="4"/>
  <c r="D302" i="4"/>
  <c r="C302" i="4"/>
  <c r="B302" i="4"/>
  <c r="G301" i="4"/>
  <c r="E301" i="4"/>
  <c r="D301" i="4"/>
  <c r="C301" i="4"/>
  <c r="B301" i="4"/>
  <c r="I300" i="4"/>
  <c r="G300" i="4"/>
  <c r="D300" i="4"/>
  <c r="F300" i="4" s="1"/>
  <c r="C300" i="4"/>
  <c r="B300" i="4"/>
  <c r="H300" i="4" s="1"/>
  <c r="I299" i="4"/>
  <c r="H299" i="4"/>
  <c r="G299" i="4"/>
  <c r="F299" i="4"/>
  <c r="E299" i="4"/>
  <c r="D299" i="4"/>
  <c r="C299" i="4"/>
  <c r="B299" i="4"/>
  <c r="G298" i="4"/>
  <c r="D298" i="4"/>
  <c r="F298" i="4" s="1"/>
  <c r="C298" i="4"/>
  <c r="B298" i="4"/>
  <c r="I297" i="4"/>
  <c r="H297" i="4"/>
  <c r="G297" i="4"/>
  <c r="D297" i="4"/>
  <c r="F297" i="4" s="1"/>
  <c r="C297" i="4"/>
  <c r="B297" i="4"/>
  <c r="I296" i="4"/>
  <c r="H296" i="4"/>
  <c r="G296" i="4"/>
  <c r="E296" i="4"/>
  <c r="D296" i="4"/>
  <c r="F296" i="4" s="1"/>
  <c r="C296" i="4"/>
  <c r="B296" i="4"/>
  <c r="H295" i="4"/>
  <c r="G295" i="4"/>
  <c r="F295" i="4"/>
  <c r="D295" i="4"/>
  <c r="E295" i="4" s="1"/>
  <c r="C295" i="4"/>
  <c r="B295" i="4"/>
  <c r="I295" i="4" s="1"/>
  <c r="H294" i="4"/>
  <c r="G294" i="4"/>
  <c r="D294" i="4"/>
  <c r="E294" i="4" s="1"/>
  <c r="C294" i="4"/>
  <c r="B294" i="4"/>
  <c r="I294" i="4" s="1"/>
  <c r="I293" i="4"/>
  <c r="G293" i="4"/>
  <c r="E293" i="4"/>
  <c r="D293" i="4"/>
  <c r="F293" i="4" s="1"/>
  <c r="C293" i="4"/>
  <c r="B293" i="4"/>
  <c r="H293" i="4" s="1"/>
  <c r="H292" i="4"/>
  <c r="G292" i="4"/>
  <c r="D292" i="4"/>
  <c r="C292" i="4"/>
  <c r="B292" i="4"/>
  <c r="I292" i="4" s="1"/>
  <c r="G291" i="4"/>
  <c r="F291" i="4"/>
  <c r="D291" i="4"/>
  <c r="E291" i="4" s="1"/>
  <c r="C291" i="4"/>
  <c r="B291" i="4"/>
  <c r="I291" i="4" s="1"/>
  <c r="I290" i="4"/>
  <c r="G290" i="4"/>
  <c r="E290" i="4"/>
  <c r="D290" i="4"/>
  <c r="F290" i="4" s="1"/>
  <c r="C290" i="4"/>
  <c r="B290" i="4"/>
  <c r="H290" i="4" s="1"/>
  <c r="G289" i="4"/>
  <c r="E289" i="4"/>
  <c r="D289" i="4"/>
  <c r="C289" i="4"/>
  <c r="B289" i="4"/>
  <c r="G288" i="4"/>
  <c r="D288" i="4"/>
  <c r="E288" i="4" s="1"/>
  <c r="C288" i="4"/>
  <c r="B288" i="4"/>
  <c r="I288" i="4" s="1"/>
  <c r="I287" i="4"/>
  <c r="H287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I286" i="4" s="1"/>
  <c r="H285" i="4"/>
  <c r="G285" i="4"/>
  <c r="D285" i="4"/>
  <c r="E285" i="4" s="1"/>
  <c r="C285" i="4"/>
  <c r="B285" i="4"/>
  <c r="F285" i="4" s="1"/>
  <c r="I284" i="4"/>
  <c r="H284" i="4"/>
  <c r="G284" i="4"/>
  <c r="F284" i="4"/>
  <c r="E284" i="4"/>
  <c r="D284" i="4"/>
  <c r="C284" i="4"/>
  <c r="B284" i="4"/>
  <c r="G283" i="4"/>
  <c r="D283" i="4"/>
  <c r="C283" i="4"/>
  <c r="B283" i="4"/>
  <c r="I283" i="4" s="1"/>
  <c r="I282" i="4"/>
  <c r="H282" i="4"/>
  <c r="G282" i="4"/>
  <c r="F282" i="4"/>
  <c r="D282" i="4"/>
  <c r="E282" i="4" s="1"/>
  <c r="C282" i="4"/>
  <c r="B282" i="4"/>
  <c r="G281" i="4"/>
  <c r="D281" i="4"/>
  <c r="F281" i="4" s="1"/>
  <c r="C281" i="4"/>
  <c r="B281" i="4"/>
  <c r="I281" i="4" s="1"/>
  <c r="H280" i="4"/>
  <c r="G280" i="4"/>
  <c r="E280" i="4"/>
  <c r="D280" i="4"/>
  <c r="C280" i="4"/>
  <c r="B280" i="4"/>
  <c r="I279" i="4"/>
  <c r="H279" i="4"/>
  <c r="G279" i="4"/>
  <c r="F279" i="4"/>
  <c r="D279" i="4"/>
  <c r="E279" i="4" s="1"/>
  <c r="C279" i="4"/>
  <c r="B279" i="4"/>
  <c r="G278" i="4"/>
  <c r="D278" i="4"/>
  <c r="C278" i="4"/>
  <c r="B278" i="4"/>
  <c r="H277" i="4"/>
  <c r="G277" i="4"/>
  <c r="F277" i="4"/>
  <c r="D277" i="4"/>
  <c r="E277" i="4" s="1"/>
  <c r="C277" i="4"/>
  <c r="B277" i="4"/>
  <c r="I277" i="4" s="1"/>
  <c r="H276" i="4"/>
  <c r="G276" i="4"/>
  <c r="D276" i="4"/>
  <c r="C276" i="4"/>
  <c r="B276" i="4"/>
  <c r="I276" i="4" s="1"/>
  <c r="G275" i="4"/>
  <c r="D275" i="4"/>
  <c r="C275" i="4"/>
  <c r="B275" i="4"/>
  <c r="H275" i="4" s="1"/>
  <c r="H274" i="4"/>
  <c r="G274" i="4"/>
  <c r="F274" i="4"/>
  <c r="D274" i="4"/>
  <c r="E274" i="4" s="1"/>
  <c r="C274" i="4"/>
  <c r="B274" i="4"/>
  <c r="I274" i="4" s="1"/>
  <c r="G273" i="4"/>
  <c r="D273" i="4"/>
  <c r="E273" i="4" s="1"/>
  <c r="C273" i="4"/>
  <c r="B273" i="4"/>
  <c r="I272" i="4"/>
  <c r="G272" i="4"/>
  <c r="E272" i="4"/>
  <c r="D272" i="4"/>
  <c r="F272" i="4" s="1"/>
  <c r="C272" i="4"/>
  <c r="B272" i="4"/>
  <c r="H272" i="4" s="1"/>
  <c r="G271" i="4"/>
  <c r="D271" i="4"/>
  <c r="F271" i="4" s="1"/>
  <c r="C271" i="4"/>
  <c r="B271" i="4"/>
  <c r="I271" i="4" s="1"/>
  <c r="G270" i="4"/>
  <c r="D270" i="4"/>
  <c r="E270" i="4" s="1"/>
  <c r="C270" i="4"/>
  <c r="B270" i="4"/>
  <c r="I269" i="4"/>
  <c r="H269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H267" i="4"/>
  <c r="G267" i="4"/>
  <c r="D267" i="4"/>
  <c r="E267" i="4" s="1"/>
  <c r="C267" i="4"/>
  <c r="B267" i="4"/>
  <c r="F267" i="4" s="1"/>
  <c r="I266" i="4"/>
  <c r="H266" i="4"/>
  <c r="G266" i="4"/>
  <c r="F266" i="4"/>
  <c r="E266" i="4"/>
  <c r="D266" i="4"/>
  <c r="C266" i="4"/>
  <c r="B266" i="4"/>
  <c r="G265" i="4"/>
  <c r="D265" i="4"/>
  <c r="C265" i="4"/>
  <c r="B265" i="4"/>
  <c r="I264" i="4"/>
  <c r="H264" i="4"/>
  <c r="G264" i="4"/>
  <c r="F264" i="4"/>
  <c r="D264" i="4"/>
  <c r="E264" i="4" s="1"/>
  <c r="C264" i="4"/>
  <c r="B264" i="4"/>
  <c r="G263" i="4"/>
  <c r="D263" i="4"/>
  <c r="F263" i="4" s="1"/>
  <c r="C263" i="4"/>
  <c r="B263" i="4"/>
  <c r="I263" i="4" s="1"/>
  <c r="H262" i="4"/>
  <c r="G262" i="4"/>
  <c r="E262" i="4"/>
  <c r="D262" i="4"/>
  <c r="C262" i="4"/>
  <c r="B262" i="4"/>
  <c r="I261" i="4"/>
  <c r="H261" i="4"/>
  <c r="G261" i="4"/>
  <c r="F261" i="4"/>
  <c r="D261" i="4"/>
  <c r="E261" i="4" s="1"/>
  <c r="C261" i="4"/>
  <c r="B261" i="4"/>
  <c r="G260" i="4"/>
  <c r="E260" i="4"/>
  <c r="D260" i="4"/>
  <c r="C260" i="4"/>
  <c r="B260" i="4"/>
  <c r="H259" i="4"/>
  <c r="G259" i="4"/>
  <c r="F259" i="4"/>
  <c r="D259" i="4"/>
  <c r="E259" i="4" s="1"/>
  <c r="C259" i="4"/>
  <c r="B259" i="4"/>
  <c r="I259" i="4" s="1"/>
  <c r="H258" i="4"/>
  <c r="G258" i="4"/>
  <c r="F258" i="4"/>
  <c r="D258" i="4"/>
  <c r="E258" i="4" s="1"/>
  <c r="C258" i="4"/>
  <c r="B258" i="4"/>
  <c r="I258" i="4" s="1"/>
  <c r="G257" i="4"/>
  <c r="D257" i="4"/>
  <c r="C257" i="4"/>
  <c r="B257" i="4"/>
  <c r="H257" i="4" s="1"/>
  <c r="H256" i="4"/>
  <c r="G256" i="4"/>
  <c r="F256" i="4"/>
  <c r="D256" i="4"/>
  <c r="E256" i="4" s="1"/>
  <c r="C256" i="4"/>
  <c r="B256" i="4"/>
  <c r="I256" i="4" s="1"/>
  <c r="G255" i="4"/>
  <c r="D255" i="4"/>
  <c r="E255" i="4" s="1"/>
  <c r="C255" i="4"/>
  <c r="B255" i="4"/>
  <c r="I254" i="4"/>
  <c r="G254" i="4"/>
  <c r="E254" i="4"/>
  <c r="D254" i="4"/>
  <c r="F254" i="4" s="1"/>
  <c r="C254" i="4"/>
  <c r="B254" i="4"/>
  <c r="H254" i="4" s="1"/>
  <c r="H253" i="4"/>
  <c r="G253" i="4"/>
  <c r="D253" i="4"/>
  <c r="E253" i="4" s="1"/>
  <c r="C253" i="4"/>
  <c r="B253" i="4"/>
  <c r="I253" i="4" s="1"/>
  <c r="G252" i="4"/>
  <c r="D252" i="4"/>
  <c r="E252" i="4" s="1"/>
  <c r="C252" i="4"/>
  <c r="B252" i="4"/>
  <c r="I251" i="4"/>
  <c r="H251" i="4"/>
  <c r="G251" i="4"/>
  <c r="F251" i="4"/>
  <c r="E251" i="4"/>
  <c r="D251" i="4"/>
  <c r="C251" i="4"/>
  <c r="B251" i="4"/>
  <c r="G250" i="4"/>
  <c r="D250" i="4"/>
  <c r="C250" i="4"/>
  <c r="B250" i="4"/>
  <c r="H249" i="4"/>
  <c r="G249" i="4"/>
  <c r="D249" i="4"/>
  <c r="E249" i="4" s="1"/>
  <c r="C249" i="4"/>
  <c r="B249" i="4"/>
  <c r="I249" i="4" s="1"/>
  <c r="I248" i="4"/>
  <c r="H248" i="4"/>
  <c r="G248" i="4"/>
  <c r="F248" i="4"/>
  <c r="E248" i="4"/>
  <c r="D248" i="4"/>
  <c r="C248" i="4"/>
  <c r="B248" i="4"/>
  <c r="G247" i="4"/>
  <c r="D247" i="4"/>
  <c r="C247" i="4"/>
  <c r="B247" i="4"/>
  <c r="I246" i="4"/>
  <c r="H246" i="4"/>
  <c r="G246" i="4"/>
  <c r="F246" i="4"/>
  <c r="D246" i="4"/>
  <c r="E246" i="4" s="1"/>
  <c r="C246" i="4"/>
  <c r="B246" i="4"/>
  <c r="G245" i="4"/>
  <c r="D245" i="4"/>
  <c r="F245" i="4" s="1"/>
  <c r="C245" i="4"/>
  <c r="B245" i="4"/>
  <c r="I245" i="4" s="1"/>
  <c r="G244" i="4"/>
  <c r="E244" i="4"/>
  <c r="D244" i="4"/>
  <c r="C244" i="4"/>
  <c r="B244" i="4"/>
  <c r="I243" i="4"/>
  <c r="H243" i="4"/>
  <c r="G243" i="4"/>
  <c r="F243" i="4"/>
  <c r="D243" i="4"/>
  <c r="E243" i="4" s="1"/>
  <c r="C243" i="4"/>
  <c r="B243" i="4"/>
  <c r="G242" i="4"/>
  <c r="D242" i="4"/>
  <c r="C242" i="4"/>
  <c r="B242" i="4"/>
  <c r="H241" i="4"/>
  <c r="G241" i="4"/>
  <c r="F241" i="4"/>
  <c r="E241" i="4"/>
  <c r="D241" i="4"/>
  <c r="C241" i="4"/>
  <c r="B241" i="4"/>
  <c r="I241" i="4" s="1"/>
  <c r="H240" i="4"/>
  <c r="G240" i="4"/>
  <c r="F240" i="4"/>
  <c r="D240" i="4"/>
  <c r="E240" i="4" s="1"/>
  <c r="C240" i="4"/>
  <c r="B240" i="4"/>
  <c r="I240" i="4" s="1"/>
  <c r="G239" i="4"/>
  <c r="D239" i="4"/>
  <c r="C239" i="4"/>
  <c r="B239" i="4"/>
  <c r="H239" i="4" s="1"/>
  <c r="H238" i="4"/>
  <c r="G238" i="4"/>
  <c r="D238" i="4"/>
  <c r="E238" i="4" s="1"/>
  <c r="C238" i="4"/>
  <c r="B238" i="4"/>
  <c r="I238" i="4" s="1"/>
  <c r="G237" i="4"/>
  <c r="D237" i="4"/>
  <c r="E237" i="4" s="1"/>
  <c r="C237" i="4"/>
  <c r="B237" i="4"/>
  <c r="I236" i="4"/>
  <c r="G236" i="4"/>
  <c r="D236" i="4"/>
  <c r="F236" i="4" s="1"/>
  <c r="C236" i="4"/>
  <c r="B236" i="4"/>
  <c r="H236" i="4" s="1"/>
  <c r="G235" i="4"/>
  <c r="D235" i="4"/>
  <c r="E235" i="4" s="1"/>
  <c r="C235" i="4"/>
  <c r="B235" i="4"/>
  <c r="I235" i="4" s="1"/>
  <c r="G234" i="4"/>
  <c r="D234" i="4"/>
  <c r="E234" i="4" s="1"/>
  <c r="C234" i="4"/>
  <c r="B234" i="4"/>
  <c r="I233" i="4"/>
  <c r="H233" i="4"/>
  <c r="G233" i="4"/>
  <c r="F233" i="4"/>
  <c r="E233" i="4"/>
  <c r="D233" i="4"/>
  <c r="C233" i="4"/>
  <c r="B233" i="4"/>
  <c r="G232" i="4"/>
  <c r="E232" i="4"/>
  <c r="D232" i="4"/>
  <c r="F232" i="4" s="1"/>
  <c r="C232" i="4"/>
  <c r="B232" i="4"/>
  <c r="H231" i="4"/>
  <c r="G231" i="4"/>
  <c r="D231" i="4"/>
  <c r="E231" i="4" s="1"/>
  <c r="C231" i="4"/>
  <c r="B231" i="4"/>
  <c r="I231" i="4" s="1"/>
  <c r="I230" i="4"/>
  <c r="H230" i="4"/>
  <c r="G230" i="4"/>
  <c r="F230" i="4"/>
  <c r="E230" i="4"/>
  <c r="D230" i="4"/>
  <c r="C230" i="4"/>
  <c r="B230" i="4"/>
  <c r="G229" i="4"/>
  <c r="D229" i="4"/>
  <c r="C229" i="4"/>
  <c r="B229" i="4"/>
  <c r="I228" i="4"/>
  <c r="H228" i="4"/>
  <c r="G228" i="4"/>
  <c r="F228" i="4"/>
  <c r="D228" i="4"/>
  <c r="E228" i="4" s="1"/>
  <c r="C228" i="4"/>
  <c r="B228" i="4"/>
  <c r="G227" i="4"/>
  <c r="F227" i="4"/>
  <c r="D227" i="4"/>
  <c r="E227" i="4" s="1"/>
  <c r="C227" i="4"/>
  <c r="B227" i="4"/>
  <c r="I227" i="4" s="1"/>
  <c r="H226" i="4"/>
  <c r="G226" i="4"/>
  <c r="E226" i="4"/>
  <c r="D226" i="4"/>
  <c r="C226" i="4"/>
  <c r="B226" i="4"/>
  <c r="I225" i="4"/>
  <c r="H225" i="4"/>
  <c r="G225" i="4"/>
  <c r="F225" i="4"/>
  <c r="D225" i="4"/>
  <c r="E225" i="4" s="1"/>
  <c r="C225" i="4"/>
  <c r="B225" i="4"/>
  <c r="G224" i="4"/>
  <c r="D224" i="4"/>
  <c r="F224" i="4" s="1"/>
  <c r="C224" i="4"/>
  <c r="B224" i="4"/>
  <c r="H223" i="4"/>
  <c r="G223" i="4"/>
  <c r="F223" i="4"/>
  <c r="E223" i="4"/>
  <c r="D223" i="4"/>
  <c r="C223" i="4"/>
  <c r="B223" i="4"/>
  <c r="I223" i="4" s="1"/>
  <c r="H222" i="4"/>
  <c r="G222" i="4"/>
  <c r="D222" i="4"/>
  <c r="E222" i="4" s="1"/>
  <c r="C222" i="4"/>
  <c r="B222" i="4"/>
  <c r="I222" i="4" s="1"/>
  <c r="G221" i="4"/>
  <c r="D221" i="4"/>
  <c r="C221" i="4"/>
  <c r="B221" i="4"/>
  <c r="H221" i="4" s="1"/>
  <c r="H220" i="4"/>
  <c r="G220" i="4"/>
  <c r="D220" i="4"/>
  <c r="E220" i="4" s="1"/>
  <c r="C220" i="4"/>
  <c r="B220" i="4"/>
  <c r="I220" i="4" s="1"/>
  <c r="G219" i="4"/>
  <c r="D219" i="4"/>
  <c r="E219" i="4" s="1"/>
  <c r="C219" i="4"/>
  <c r="B219" i="4"/>
  <c r="I218" i="4"/>
  <c r="H218" i="4"/>
  <c r="G218" i="4"/>
  <c r="D218" i="4"/>
  <c r="E218" i="4" s="1"/>
  <c r="C218" i="4"/>
  <c r="B218" i="4"/>
  <c r="F218" i="4" s="1"/>
  <c r="G217" i="4"/>
  <c r="D217" i="4"/>
  <c r="E217" i="4" s="1"/>
  <c r="C217" i="4"/>
  <c r="B217" i="4"/>
  <c r="I217" i="4" s="1"/>
  <c r="G216" i="4"/>
  <c r="D216" i="4"/>
  <c r="E216" i="4" s="1"/>
  <c r="C216" i="4"/>
  <c r="B216" i="4"/>
  <c r="I215" i="4"/>
  <c r="H215" i="4"/>
  <c r="G215" i="4"/>
  <c r="F215" i="4"/>
  <c r="E215" i="4"/>
  <c r="D215" i="4"/>
  <c r="C215" i="4"/>
  <c r="B215" i="4"/>
  <c r="G214" i="4"/>
  <c r="D214" i="4"/>
  <c r="F214" i="4" s="1"/>
  <c r="C214" i="4"/>
  <c r="B214" i="4"/>
  <c r="H213" i="4"/>
  <c r="G213" i="4"/>
  <c r="D213" i="4"/>
  <c r="E213" i="4" s="1"/>
  <c r="C213" i="4"/>
  <c r="B213" i="4"/>
  <c r="I213" i="4" s="1"/>
  <c r="I212" i="4"/>
  <c r="H212" i="4"/>
  <c r="G212" i="4"/>
  <c r="F212" i="4"/>
  <c r="E212" i="4"/>
  <c r="D212" i="4"/>
  <c r="C212" i="4"/>
  <c r="B212" i="4"/>
  <c r="G211" i="4"/>
  <c r="D211" i="4"/>
  <c r="C211" i="4"/>
  <c r="B211" i="4"/>
  <c r="I210" i="4"/>
  <c r="H210" i="4"/>
  <c r="G210" i="4"/>
  <c r="F210" i="4"/>
  <c r="D210" i="4"/>
  <c r="E210" i="4" s="1"/>
  <c r="C210" i="4"/>
  <c r="B210" i="4"/>
  <c r="G209" i="4"/>
  <c r="D209" i="4"/>
  <c r="F209" i="4" s="1"/>
  <c r="C209" i="4"/>
  <c r="B209" i="4"/>
  <c r="I209" i="4" s="1"/>
  <c r="H208" i="4"/>
  <c r="G208" i="4"/>
  <c r="E208" i="4"/>
  <c r="D208" i="4"/>
  <c r="C208" i="4"/>
  <c r="B208" i="4"/>
  <c r="I207" i="4"/>
  <c r="H207" i="4"/>
  <c r="G207" i="4"/>
  <c r="F207" i="4"/>
  <c r="D207" i="4"/>
  <c r="E207" i="4" s="1"/>
  <c r="C207" i="4"/>
  <c r="B207" i="4"/>
  <c r="G206" i="4"/>
  <c r="D206" i="4"/>
  <c r="F206" i="4" s="1"/>
  <c r="C206" i="4"/>
  <c r="B206" i="4"/>
  <c r="H205" i="4"/>
  <c r="G205" i="4"/>
  <c r="F205" i="4"/>
  <c r="E205" i="4"/>
  <c r="D205" i="4"/>
  <c r="C205" i="4"/>
  <c r="B205" i="4"/>
  <c r="I205" i="4" s="1"/>
  <c r="H204" i="4"/>
  <c r="G204" i="4"/>
  <c r="F204" i="4"/>
  <c r="D204" i="4"/>
  <c r="E204" i="4" s="1"/>
  <c r="C204" i="4"/>
  <c r="B204" i="4"/>
  <c r="I204" i="4" s="1"/>
  <c r="G203" i="4"/>
  <c r="D203" i="4"/>
  <c r="C203" i="4"/>
  <c r="B203" i="4"/>
  <c r="H203" i="4" s="1"/>
  <c r="H202" i="4"/>
  <c r="G202" i="4"/>
  <c r="D202" i="4"/>
  <c r="C202" i="4"/>
  <c r="B202" i="4"/>
  <c r="I202" i="4" s="1"/>
  <c r="G201" i="4"/>
  <c r="D201" i="4"/>
  <c r="E201" i="4" s="1"/>
  <c r="C201" i="4"/>
  <c r="B201" i="4"/>
  <c r="I200" i="4"/>
  <c r="H200" i="4"/>
  <c r="G200" i="4"/>
  <c r="D200" i="4"/>
  <c r="F200" i="4" s="1"/>
  <c r="C200" i="4"/>
  <c r="B200" i="4"/>
  <c r="G199" i="4"/>
  <c r="D199" i="4"/>
  <c r="F199" i="4" s="1"/>
  <c r="C199" i="4"/>
  <c r="B199" i="4"/>
  <c r="I199" i="4" s="1"/>
  <c r="G198" i="4"/>
  <c r="D198" i="4"/>
  <c r="E198" i="4" s="1"/>
  <c r="C198" i="4"/>
  <c r="B198" i="4"/>
  <c r="I197" i="4"/>
  <c r="H197" i="4"/>
  <c r="G197" i="4"/>
  <c r="F197" i="4"/>
  <c r="E197" i="4"/>
  <c r="D197" i="4"/>
  <c r="C197" i="4"/>
  <c r="B197" i="4"/>
  <c r="G196" i="4"/>
  <c r="D196" i="4"/>
  <c r="F196" i="4" s="1"/>
  <c r="C196" i="4"/>
  <c r="B196" i="4"/>
  <c r="I195" i="4"/>
  <c r="H195" i="4"/>
  <c r="G195" i="4"/>
  <c r="D195" i="4"/>
  <c r="E195" i="4" s="1"/>
  <c r="C195" i="4"/>
  <c r="B195" i="4"/>
  <c r="I194" i="4"/>
  <c r="H194" i="4"/>
  <c r="G194" i="4"/>
  <c r="F194" i="4"/>
  <c r="E194" i="4"/>
  <c r="D194" i="4"/>
  <c r="C194" i="4"/>
  <c r="B194" i="4"/>
  <c r="G193" i="4"/>
  <c r="D193" i="4"/>
  <c r="C193" i="4"/>
  <c r="B193" i="4"/>
  <c r="I192" i="4"/>
  <c r="H192" i="4"/>
  <c r="G192" i="4"/>
  <c r="F192" i="4"/>
  <c r="D192" i="4"/>
  <c r="E192" i="4" s="1"/>
  <c r="C192" i="4"/>
  <c r="B192" i="4"/>
  <c r="G191" i="4"/>
  <c r="D191" i="4"/>
  <c r="F191" i="4" s="1"/>
  <c r="C191" i="4"/>
  <c r="B191" i="4"/>
  <c r="I191" i="4" s="1"/>
  <c r="G190" i="4"/>
  <c r="E190" i="4"/>
  <c r="D190" i="4"/>
  <c r="C190" i="4"/>
  <c r="B190" i="4"/>
  <c r="I189" i="4"/>
  <c r="H189" i="4"/>
  <c r="G189" i="4"/>
  <c r="F189" i="4"/>
  <c r="D189" i="4"/>
  <c r="E189" i="4" s="1"/>
  <c r="C189" i="4"/>
  <c r="B189" i="4"/>
  <c r="G188" i="4"/>
  <c r="D188" i="4"/>
  <c r="F188" i="4" s="1"/>
  <c r="C188" i="4"/>
  <c r="B188" i="4"/>
  <c r="H187" i="4"/>
  <c r="G187" i="4"/>
  <c r="F187" i="4"/>
  <c r="E187" i="4"/>
  <c r="D187" i="4"/>
  <c r="C187" i="4"/>
  <c r="B187" i="4"/>
  <c r="I187" i="4" s="1"/>
  <c r="H186" i="4"/>
  <c r="G186" i="4"/>
  <c r="F186" i="4"/>
  <c r="D186" i="4"/>
  <c r="E186" i="4" s="1"/>
  <c r="C186" i="4"/>
  <c r="B186" i="4"/>
  <c r="I186" i="4" s="1"/>
  <c r="G185" i="4"/>
  <c r="D185" i="4"/>
  <c r="E185" i="4" s="1"/>
  <c r="C185" i="4"/>
  <c r="B185" i="4"/>
  <c r="H184" i="4"/>
  <c r="G184" i="4"/>
  <c r="D184" i="4"/>
  <c r="E184" i="4" s="1"/>
  <c r="C184" i="4"/>
  <c r="B184" i="4"/>
  <c r="I184" i="4" s="1"/>
  <c r="G183" i="4"/>
  <c r="D183" i="4"/>
  <c r="E183" i="4" s="1"/>
  <c r="C183" i="4"/>
  <c r="B183" i="4"/>
  <c r="I182" i="4"/>
  <c r="H182" i="4"/>
  <c r="G182" i="4"/>
  <c r="D182" i="4"/>
  <c r="F182" i="4" s="1"/>
  <c r="C182" i="4"/>
  <c r="B182" i="4"/>
  <c r="H181" i="4"/>
  <c r="G181" i="4"/>
  <c r="D181" i="4"/>
  <c r="F181" i="4" s="1"/>
  <c r="C181" i="4"/>
  <c r="B181" i="4"/>
  <c r="I181" i="4" s="1"/>
  <c r="G180" i="4"/>
  <c r="D180" i="4"/>
  <c r="E180" i="4" s="1"/>
  <c r="C180" i="4"/>
  <c r="B180" i="4"/>
  <c r="I179" i="4"/>
  <c r="H179" i="4"/>
  <c r="G179" i="4"/>
  <c r="F179" i="4"/>
  <c r="E179" i="4"/>
  <c r="D179" i="4"/>
  <c r="C179" i="4"/>
  <c r="B179" i="4"/>
  <c r="G178" i="4"/>
  <c r="D178" i="4"/>
  <c r="F178" i="4" s="1"/>
  <c r="C178" i="4"/>
  <c r="B178" i="4"/>
  <c r="G177" i="4"/>
  <c r="E177" i="4"/>
  <c r="D177" i="4"/>
  <c r="C177" i="4"/>
  <c r="B177" i="4"/>
  <c r="I176" i="4"/>
  <c r="H176" i="4"/>
  <c r="G176" i="4"/>
  <c r="F176" i="4"/>
  <c r="D176" i="4"/>
  <c r="E176" i="4" s="1"/>
  <c r="C176" i="4"/>
  <c r="B176" i="4"/>
  <c r="G175" i="4"/>
  <c r="D175" i="4"/>
  <c r="F175" i="4" s="1"/>
  <c r="C175" i="4"/>
  <c r="B175" i="4"/>
  <c r="H174" i="4"/>
  <c r="G174" i="4"/>
  <c r="E174" i="4"/>
  <c r="D174" i="4"/>
  <c r="C174" i="4"/>
  <c r="B174" i="4"/>
  <c r="I173" i="4"/>
  <c r="H173" i="4"/>
  <c r="G173" i="4"/>
  <c r="D173" i="4"/>
  <c r="C173" i="4"/>
  <c r="B173" i="4"/>
  <c r="G172" i="4"/>
  <c r="D172" i="4"/>
  <c r="C172" i="4"/>
  <c r="B172" i="4"/>
  <c r="G171" i="4"/>
  <c r="E171" i="4"/>
  <c r="D171" i="4"/>
  <c r="C171" i="4"/>
  <c r="B171" i="4"/>
  <c r="I170" i="4"/>
  <c r="H170" i="4"/>
  <c r="G170" i="4"/>
  <c r="F170" i="4"/>
  <c r="D170" i="4"/>
  <c r="E170" i="4" s="1"/>
  <c r="C170" i="4"/>
  <c r="B170" i="4"/>
  <c r="G169" i="4"/>
  <c r="D169" i="4"/>
  <c r="C169" i="4"/>
  <c r="B169" i="4"/>
  <c r="H168" i="4"/>
  <c r="G168" i="4"/>
  <c r="E168" i="4"/>
  <c r="D168" i="4"/>
  <c r="C168" i="4"/>
  <c r="B168" i="4"/>
  <c r="I167" i="4"/>
  <c r="H167" i="4"/>
  <c r="G167" i="4"/>
  <c r="D167" i="4"/>
  <c r="C167" i="4"/>
  <c r="B167" i="4"/>
  <c r="G166" i="4"/>
  <c r="F166" i="4"/>
  <c r="E166" i="4"/>
  <c r="D166" i="4"/>
  <c r="C166" i="4"/>
  <c r="B166" i="4"/>
  <c r="G165" i="4"/>
  <c r="E165" i="4"/>
  <c r="D165" i="4"/>
  <c r="C165" i="4"/>
  <c r="B165" i="4"/>
  <c r="I164" i="4"/>
  <c r="H164" i="4"/>
  <c r="G164" i="4"/>
  <c r="D164" i="4"/>
  <c r="E164" i="4" s="1"/>
  <c r="C164" i="4"/>
  <c r="B164" i="4"/>
  <c r="G163" i="4"/>
  <c r="F163" i="4"/>
  <c r="D163" i="4"/>
  <c r="E163" i="4" s="1"/>
  <c r="C163" i="4"/>
  <c r="B163" i="4"/>
  <c r="H162" i="4"/>
  <c r="G162" i="4"/>
  <c r="E162" i="4"/>
  <c r="D162" i="4"/>
  <c r="C162" i="4"/>
  <c r="B162" i="4"/>
  <c r="I161" i="4"/>
  <c r="H161" i="4"/>
  <c r="G161" i="4"/>
  <c r="D161" i="4"/>
  <c r="C161" i="4"/>
  <c r="B161" i="4"/>
  <c r="G160" i="4"/>
  <c r="D160" i="4"/>
  <c r="C160" i="4"/>
  <c r="B160" i="4"/>
  <c r="G159" i="4"/>
  <c r="E159" i="4"/>
  <c r="D159" i="4"/>
  <c r="C159" i="4"/>
  <c r="B159" i="4"/>
  <c r="I158" i="4"/>
  <c r="H158" i="4"/>
  <c r="G158" i="4"/>
  <c r="D158" i="4"/>
  <c r="E158" i="4" s="1"/>
  <c r="C158" i="4"/>
  <c r="B158" i="4"/>
  <c r="G157" i="4"/>
  <c r="F157" i="4"/>
  <c r="E157" i="4"/>
  <c r="D157" i="4"/>
  <c r="C157" i="4"/>
  <c r="B157" i="4"/>
  <c r="G156" i="4"/>
  <c r="E156" i="4"/>
  <c r="D156" i="4"/>
  <c r="C156" i="4"/>
  <c r="B156" i="4"/>
  <c r="I155" i="4"/>
  <c r="H155" i="4"/>
  <c r="G155" i="4"/>
  <c r="D155" i="4"/>
  <c r="C155" i="4"/>
  <c r="B155" i="4"/>
  <c r="G154" i="4"/>
  <c r="D154" i="4"/>
  <c r="C154" i="4"/>
  <c r="B154" i="4"/>
  <c r="H153" i="4"/>
  <c r="G153" i="4"/>
  <c r="E153" i="4"/>
  <c r="D153" i="4"/>
  <c r="C153" i="4"/>
  <c r="B153" i="4"/>
  <c r="I152" i="4"/>
  <c r="H152" i="4"/>
  <c r="G152" i="4"/>
  <c r="F152" i="4"/>
  <c r="D152" i="4"/>
  <c r="E152" i="4" s="1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H149" i="4"/>
  <c r="G149" i="4"/>
  <c r="D149" i="4"/>
  <c r="E149" i="4" s="1"/>
  <c r="C149" i="4"/>
  <c r="B149" i="4"/>
  <c r="I149" i="4" s="1"/>
  <c r="G148" i="4"/>
  <c r="D148" i="4"/>
  <c r="F148" i="4" s="1"/>
  <c r="C148" i="4"/>
  <c r="B148" i="4"/>
  <c r="H147" i="4"/>
  <c r="G147" i="4"/>
  <c r="E147" i="4"/>
  <c r="D147" i="4"/>
  <c r="C147" i="4"/>
  <c r="B147" i="4"/>
  <c r="I146" i="4"/>
  <c r="H146" i="4"/>
  <c r="G146" i="4"/>
  <c r="F146" i="4"/>
  <c r="D146" i="4"/>
  <c r="E146" i="4" s="1"/>
  <c r="C146" i="4"/>
  <c r="B146" i="4"/>
  <c r="G145" i="4"/>
  <c r="D145" i="4"/>
  <c r="F145" i="4" s="1"/>
  <c r="C145" i="4"/>
  <c r="B145" i="4"/>
  <c r="H144" i="4"/>
  <c r="G144" i="4"/>
  <c r="F144" i="4"/>
  <c r="E144" i="4"/>
  <c r="D144" i="4"/>
  <c r="C144" i="4"/>
  <c r="B144" i="4"/>
  <c r="I144" i="4" s="1"/>
  <c r="G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H140" i="4"/>
  <c r="G140" i="4"/>
  <c r="D140" i="4"/>
  <c r="E140" i="4" s="1"/>
  <c r="C140" i="4"/>
  <c r="B140" i="4"/>
  <c r="I140" i="4" s="1"/>
  <c r="G139" i="4"/>
  <c r="F139" i="4"/>
  <c r="E139" i="4"/>
  <c r="D139" i="4"/>
  <c r="C139" i="4"/>
  <c r="B139" i="4"/>
  <c r="G138" i="4"/>
  <c r="E138" i="4"/>
  <c r="D138" i="4"/>
  <c r="C138" i="4"/>
  <c r="B138" i="4"/>
  <c r="I137" i="4"/>
  <c r="H137" i="4"/>
  <c r="G137" i="4"/>
  <c r="F137" i="4"/>
  <c r="D137" i="4"/>
  <c r="E137" i="4" s="1"/>
  <c r="C137" i="4"/>
  <c r="B137" i="4"/>
  <c r="G136" i="4"/>
  <c r="D136" i="4"/>
  <c r="C136" i="4"/>
  <c r="B136" i="4"/>
  <c r="H135" i="4"/>
  <c r="G135" i="4"/>
  <c r="F135" i="4"/>
  <c r="D135" i="4"/>
  <c r="E135" i="4" s="1"/>
  <c r="C135" i="4"/>
  <c r="B135" i="4"/>
  <c r="I135" i="4" s="1"/>
  <c r="G134" i="4"/>
  <c r="D134" i="4"/>
  <c r="C134" i="4"/>
  <c r="B134" i="4"/>
  <c r="G133" i="4"/>
  <c r="D133" i="4"/>
  <c r="E133" i="4" s="1"/>
  <c r="C133" i="4"/>
  <c r="B133" i="4"/>
  <c r="G132" i="4"/>
  <c r="D132" i="4"/>
  <c r="E132" i="4" s="1"/>
  <c r="C132" i="4"/>
  <c r="B132" i="4"/>
  <c r="F132" i="4" s="1"/>
  <c r="I131" i="4"/>
  <c r="G131" i="4"/>
  <c r="D131" i="4"/>
  <c r="E131" i="4" s="1"/>
  <c r="C131" i="4"/>
  <c r="B131" i="4"/>
  <c r="F131" i="4" s="1"/>
  <c r="G130" i="4"/>
  <c r="F130" i="4"/>
  <c r="E130" i="4"/>
  <c r="D130" i="4"/>
  <c r="C130" i="4"/>
  <c r="B130" i="4"/>
  <c r="G129" i="4"/>
  <c r="D129" i="4"/>
  <c r="E129" i="4" s="1"/>
  <c r="C129" i="4"/>
  <c r="B129" i="4"/>
  <c r="I128" i="4"/>
  <c r="H128" i="4"/>
  <c r="G128" i="4"/>
  <c r="F128" i="4"/>
  <c r="D128" i="4"/>
  <c r="E128" i="4" s="1"/>
  <c r="C128" i="4"/>
  <c r="B128" i="4"/>
  <c r="G127" i="4"/>
  <c r="D127" i="4"/>
  <c r="C127" i="4"/>
  <c r="B127" i="4"/>
  <c r="I126" i="4"/>
  <c r="H126" i="4"/>
  <c r="G126" i="4"/>
  <c r="F126" i="4"/>
  <c r="D126" i="4"/>
  <c r="E126" i="4" s="1"/>
  <c r="C126" i="4"/>
  <c r="B126" i="4"/>
  <c r="H125" i="4"/>
  <c r="G125" i="4"/>
  <c r="F125" i="4"/>
  <c r="D125" i="4"/>
  <c r="E125" i="4" s="1"/>
  <c r="C125" i="4"/>
  <c r="B125" i="4"/>
  <c r="I125" i="4" s="1"/>
  <c r="G124" i="4"/>
  <c r="D124" i="4"/>
  <c r="C124" i="4"/>
  <c r="B124" i="4"/>
  <c r="I124" i="4" s="1"/>
  <c r="I123" i="4"/>
  <c r="H123" i="4"/>
  <c r="G123" i="4"/>
  <c r="F123" i="4"/>
  <c r="D123" i="4"/>
  <c r="E123" i="4" s="1"/>
  <c r="C123" i="4"/>
  <c r="B123" i="4"/>
  <c r="G122" i="4"/>
  <c r="D122" i="4"/>
  <c r="C122" i="4"/>
  <c r="B122" i="4"/>
  <c r="H121" i="4"/>
  <c r="G121" i="4"/>
  <c r="F121" i="4"/>
  <c r="E121" i="4"/>
  <c r="D121" i="4"/>
  <c r="C121" i="4"/>
  <c r="B121" i="4"/>
  <c r="I121" i="4" s="1"/>
  <c r="I120" i="4"/>
  <c r="H120" i="4"/>
  <c r="G120" i="4"/>
  <c r="D120" i="4"/>
  <c r="C120" i="4"/>
  <c r="B120" i="4"/>
  <c r="G119" i="4"/>
  <c r="D119" i="4"/>
  <c r="C119" i="4"/>
  <c r="B119" i="4"/>
  <c r="H118" i="4"/>
  <c r="G118" i="4"/>
  <c r="F118" i="4"/>
  <c r="D118" i="4"/>
  <c r="E118" i="4" s="1"/>
  <c r="C118" i="4"/>
  <c r="B118" i="4"/>
  <c r="I118" i="4" s="1"/>
  <c r="G117" i="4"/>
  <c r="D117" i="4"/>
  <c r="E117" i="4" s="1"/>
  <c r="C117" i="4"/>
  <c r="B117" i="4"/>
  <c r="I116" i="4"/>
  <c r="G116" i="4"/>
  <c r="D116" i="4"/>
  <c r="E116" i="4" s="1"/>
  <c r="C116" i="4"/>
  <c r="B116" i="4"/>
  <c r="F116" i="4" s="1"/>
  <c r="G115" i="4"/>
  <c r="E115" i="4"/>
  <c r="D115" i="4"/>
  <c r="C115" i="4"/>
  <c r="B115" i="4"/>
  <c r="G114" i="4"/>
  <c r="D114" i="4"/>
  <c r="E114" i="4" s="1"/>
  <c r="C114" i="4"/>
  <c r="B114" i="4"/>
  <c r="I113" i="4"/>
  <c r="H113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H111" i="4"/>
  <c r="G111" i="4"/>
  <c r="D111" i="4"/>
  <c r="E111" i="4" s="1"/>
  <c r="C111" i="4"/>
  <c r="B111" i="4"/>
  <c r="I111" i="4" s="1"/>
  <c r="I110" i="4"/>
  <c r="H110" i="4"/>
  <c r="G110" i="4"/>
  <c r="F110" i="4"/>
  <c r="E110" i="4"/>
  <c r="D110" i="4"/>
  <c r="C110" i="4"/>
  <c r="B110" i="4"/>
  <c r="G109" i="4"/>
  <c r="D109" i="4"/>
  <c r="C109" i="4"/>
  <c r="B109" i="4"/>
  <c r="I108" i="4"/>
  <c r="H108" i="4"/>
  <c r="G108" i="4"/>
  <c r="F108" i="4"/>
  <c r="D108" i="4"/>
  <c r="E108" i="4" s="1"/>
  <c r="C108" i="4"/>
  <c r="B108" i="4"/>
  <c r="H107" i="4"/>
  <c r="G107" i="4"/>
  <c r="F107" i="4"/>
  <c r="D107" i="4"/>
  <c r="E107" i="4" s="1"/>
  <c r="C107" i="4"/>
  <c r="B107" i="4"/>
  <c r="I107" i="4" s="1"/>
  <c r="G106" i="4"/>
  <c r="D106" i="4"/>
  <c r="C106" i="4"/>
  <c r="B106" i="4"/>
  <c r="I106" i="4" s="1"/>
  <c r="I105" i="4"/>
  <c r="H105" i="4"/>
  <c r="G105" i="4"/>
  <c r="F105" i="4"/>
  <c r="D105" i="4"/>
  <c r="E105" i="4" s="1"/>
  <c r="C105" i="4"/>
  <c r="B105" i="4"/>
  <c r="G104" i="4"/>
  <c r="D104" i="4"/>
  <c r="C104" i="4"/>
  <c r="B104" i="4"/>
  <c r="H103" i="4"/>
  <c r="G103" i="4"/>
  <c r="F103" i="4"/>
  <c r="E103" i="4"/>
  <c r="D103" i="4"/>
  <c r="C103" i="4"/>
  <c r="B103" i="4"/>
  <c r="I103" i="4" s="1"/>
  <c r="I102" i="4"/>
  <c r="H102" i="4"/>
  <c r="G102" i="4"/>
  <c r="D102" i="4"/>
  <c r="C102" i="4"/>
  <c r="B102" i="4"/>
  <c r="G101" i="4"/>
  <c r="D101" i="4"/>
  <c r="C101" i="4"/>
  <c r="B101" i="4"/>
  <c r="H100" i="4"/>
  <c r="G100" i="4"/>
  <c r="F100" i="4"/>
  <c r="D100" i="4"/>
  <c r="E100" i="4" s="1"/>
  <c r="C100" i="4"/>
  <c r="B100" i="4"/>
  <c r="I100" i="4" s="1"/>
  <c r="G99" i="4"/>
  <c r="D99" i="4"/>
  <c r="E99" i="4" s="1"/>
  <c r="C99" i="4"/>
  <c r="B99" i="4"/>
  <c r="I98" i="4"/>
  <c r="G98" i="4"/>
  <c r="D98" i="4"/>
  <c r="E98" i="4" s="1"/>
  <c r="C98" i="4"/>
  <c r="B98" i="4"/>
  <c r="F98" i="4" s="1"/>
  <c r="H97" i="4"/>
  <c r="G97" i="4"/>
  <c r="E97" i="4"/>
  <c r="D97" i="4"/>
  <c r="C97" i="4"/>
  <c r="B97" i="4"/>
  <c r="G96" i="4"/>
  <c r="D96" i="4"/>
  <c r="E96" i="4" s="1"/>
  <c r="C96" i="4"/>
  <c r="B96" i="4"/>
  <c r="I95" i="4"/>
  <c r="H95" i="4"/>
  <c r="G95" i="4"/>
  <c r="F95" i="4"/>
  <c r="E95" i="4"/>
  <c r="D95" i="4"/>
  <c r="C95" i="4"/>
  <c r="B95" i="4"/>
  <c r="G94" i="4"/>
  <c r="D94" i="4"/>
  <c r="C94" i="4"/>
  <c r="B94" i="4"/>
  <c r="G93" i="4"/>
  <c r="D93" i="4"/>
  <c r="E93" i="4" s="1"/>
  <c r="C93" i="4"/>
  <c r="B93" i="4"/>
  <c r="I93" i="4" s="1"/>
  <c r="I92" i="4"/>
  <c r="H92" i="4"/>
  <c r="G92" i="4"/>
  <c r="F92" i="4"/>
  <c r="E92" i="4"/>
  <c r="D92" i="4"/>
  <c r="C92" i="4"/>
  <c r="B92" i="4"/>
  <c r="G91" i="4"/>
  <c r="E91" i="4"/>
  <c r="D91" i="4"/>
  <c r="C91" i="4"/>
  <c r="B91" i="4"/>
  <c r="I90" i="4"/>
  <c r="H90" i="4"/>
  <c r="G90" i="4"/>
  <c r="F90" i="4"/>
  <c r="D90" i="4"/>
  <c r="E90" i="4" s="1"/>
  <c r="C90" i="4"/>
  <c r="B90" i="4"/>
  <c r="H89" i="4"/>
  <c r="G89" i="4"/>
  <c r="D89" i="4"/>
  <c r="C89" i="4"/>
  <c r="B89" i="4"/>
  <c r="I89" i="4" s="1"/>
  <c r="H88" i="4"/>
  <c r="G88" i="4"/>
  <c r="D88" i="4"/>
  <c r="F88" i="4" s="1"/>
  <c r="C88" i="4"/>
  <c r="B88" i="4"/>
  <c r="I88" i="4" s="1"/>
  <c r="I87" i="4"/>
  <c r="H87" i="4"/>
  <c r="G87" i="4"/>
  <c r="F87" i="4"/>
  <c r="D87" i="4"/>
  <c r="E87" i="4" s="1"/>
  <c r="C87" i="4"/>
  <c r="B87" i="4"/>
  <c r="G86" i="4"/>
  <c r="D86" i="4"/>
  <c r="E86" i="4" s="1"/>
  <c r="C86" i="4"/>
  <c r="B86" i="4"/>
  <c r="H85" i="4"/>
  <c r="G85" i="4"/>
  <c r="F85" i="4"/>
  <c r="E85" i="4"/>
  <c r="D85" i="4"/>
  <c r="C85" i="4"/>
  <c r="B85" i="4"/>
  <c r="I85" i="4" s="1"/>
  <c r="I84" i="4"/>
  <c r="H84" i="4"/>
  <c r="G84" i="4"/>
  <c r="D84" i="4"/>
  <c r="E84" i="4" s="1"/>
  <c r="C84" i="4"/>
  <c r="B84" i="4"/>
  <c r="G83" i="4"/>
  <c r="D83" i="4"/>
  <c r="C83" i="4"/>
  <c r="B83" i="4"/>
  <c r="H82" i="4"/>
  <c r="G82" i="4"/>
  <c r="F82" i="4"/>
  <c r="D82" i="4"/>
  <c r="E82" i="4" s="1"/>
  <c r="C82" i="4"/>
  <c r="B82" i="4"/>
  <c r="I82" i="4" s="1"/>
  <c r="G81" i="4"/>
  <c r="D81" i="4"/>
  <c r="C81" i="4"/>
  <c r="B81" i="4"/>
  <c r="I80" i="4"/>
  <c r="G80" i="4"/>
  <c r="D80" i="4"/>
  <c r="E80" i="4" s="1"/>
  <c r="C80" i="4"/>
  <c r="B80" i="4"/>
  <c r="G79" i="4"/>
  <c r="D79" i="4"/>
  <c r="C79" i="4"/>
  <c r="B79" i="4"/>
  <c r="G78" i="4"/>
  <c r="D78" i="4"/>
  <c r="C78" i="4"/>
  <c r="B78" i="4"/>
  <c r="I77" i="4"/>
  <c r="H77" i="4"/>
  <c r="G77" i="4"/>
  <c r="F77" i="4"/>
  <c r="E77" i="4"/>
  <c r="D77" i="4"/>
  <c r="C77" i="4"/>
  <c r="B77" i="4"/>
  <c r="G76" i="4"/>
  <c r="F76" i="4"/>
  <c r="D76" i="4"/>
  <c r="E76" i="4" s="1"/>
  <c r="C76" i="4"/>
  <c r="B76" i="4"/>
  <c r="G75" i="4"/>
  <c r="D75" i="4"/>
  <c r="E75" i="4" s="1"/>
  <c r="C75" i="4"/>
  <c r="B75" i="4"/>
  <c r="I74" i="4"/>
  <c r="H74" i="4"/>
  <c r="G74" i="4"/>
  <c r="F74" i="4"/>
  <c r="E74" i="4"/>
  <c r="D74" i="4"/>
  <c r="C74" i="4"/>
  <c r="B74" i="4"/>
  <c r="G73" i="4"/>
  <c r="D73" i="4"/>
  <c r="C73" i="4"/>
  <c r="B73" i="4"/>
  <c r="I72" i="4"/>
  <c r="H72" i="4"/>
  <c r="G72" i="4"/>
  <c r="F72" i="4"/>
  <c r="D72" i="4"/>
  <c r="E72" i="4" s="1"/>
  <c r="C72" i="4"/>
  <c r="B72" i="4"/>
  <c r="H71" i="4"/>
  <c r="G71" i="4"/>
  <c r="D71" i="4"/>
  <c r="F71" i="4" s="1"/>
  <c r="C71" i="4"/>
  <c r="B71" i="4"/>
  <c r="I71" i="4" s="1"/>
  <c r="G70" i="4"/>
  <c r="D70" i="4"/>
  <c r="C70" i="4"/>
  <c r="B70" i="4"/>
  <c r="I70" i="4" s="1"/>
  <c r="I69" i="4"/>
  <c r="H69" i="4"/>
  <c r="G69" i="4"/>
  <c r="F69" i="4"/>
  <c r="D69" i="4"/>
  <c r="E69" i="4" s="1"/>
  <c r="C69" i="4"/>
  <c r="B69" i="4"/>
  <c r="G68" i="4"/>
  <c r="F68" i="4"/>
  <c r="D68" i="4"/>
  <c r="E68" i="4" s="1"/>
  <c r="C68" i="4"/>
  <c r="B68" i="4"/>
  <c r="H67" i="4"/>
  <c r="G67" i="4"/>
  <c r="F67" i="4"/>
  <c r="E67" i="4"/>
  <c r="D67" i="4"/>
  <c r="C67" i="4"/>
  <c r="B67" i="4"/>
  <c r="I67" i="4" s="1"/>
  <c r="I66" i="4"/>
  <c r="H66" i="4"/>
  <c r="G66" i="4"/>
  <c r="F66" i="4"/>
  <c r="D66" i="4"/>
  <c r="E66" i="4" s="1"/>
  <c r="C66" i="4"/>
  <c r="B66" i="4"/>
  <c r="I65" i="4"/>
  <c r="G65" i="4"/>
  <c r="D65" i="4"/>
  <c r="C65" i="4"/>
  <c r="B65" i="4"/>
  <c r="H65" i="4" s="1"/>
  <c r="H64" i="4"/>
  <c r="G64" i="4"/>
  <c r="D64" i="4"/>
  <c r="E64" i="4" s="1"/>
  <c r="C64" i="4"/>
  <c r="B64" i="4"/>
  <c r="I64" i="4" s="1"/>
  <c r="G63" i="4"/>
  <c r="D63" i="4"/>
  <c r="C63" i="4"/>
  <c r="B63" i="4"/>
  <c r="G62" i="4"/>
  <c r="D62" i="4"/>
  <c r="E62" i="4" s="1"/>
  <c r="C62" i="4"/>
  <c r="B62" i="4"/>
  <c r="I62" i="4" s="1"/>
  <c r="I61" i="4"/>
  <c r="H61" i="4"/>
  <c r="G61" i="4"/>
  <c r="F61" i="4"/>
  <c r="E61" i="4"/>
  <c r="D61" i="4"/>
  <c r="C61" i="4"/>
  <c r="B61" i="4"/>
  <c r="G60" i="4"/>
  <c r="D60" i="4"/>
  <c r="F60" i="4" s="1"/>
  <c r="C60" i="4"/>
  <c r="B60" i="4"/>
  <c r="I59" i="4"/>
  <c r="G59" i="4"/>
  <c r="D59" i="4"/>
  <c r="E59" i="4" s="1"/>
  <c r="C59" i="4"/>
  <c r="B59" i="4"/>
  <c r="I58" i="4"/>
  <c r="H58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D56" i="4"/>
  <c r="E56" i="4" s="1"/>
  <c r="C56" i="4"/>
  <c r="B56" i="4"/>
  <c r="I55" i="4"/>
  <c r="H55" i="4"/>
  <c r="G55" i="4"/>
  <c r="F55" i="4"/>
  <c r="E55" i="4"/>
  <c r="D55" i="4"/>
  <c r="C55" i="4"/>
  <c r="B55" i="4"/>
  <c r="G54" i="4"/>
  <c r="D54" i="4"/>
  <c r="E54" i="4" s="1"/>
  <c r="C54" i="4"/>
  <c r="B54" i="4"/>
  <c r="I53" i="4"/>
  <c r="G53" i="4"/>
  <c r="D53" i="4"/>
  <c r="E53" i="4" s="1"/>
  <c r="C53" i="4"/>
  <c r="B53" i="4"/>
  <c r="I52" i="4"/>
  <c r="H52" i="4"/>
  <c r="G52" i="4"/>
  <c r="F52" i="4"/>
  <c r="E52" i="4"/>
  <c r="D52" i="4"/>
  <c r="C52" i="4"/>
  <c r="B52" i="4"/>
  <c r="G51" i="4"/>
  <c r="D51" i="4"/>
  <c r="E51" i="4" s="1"/>
  <c r="C51" i="4"/>
  <c r="B51" i="4"/>
  <c r="G50" i="4"/>
  <c r="D50" i="4"/>
  <c r="E50" i="4" s="1"/>
  <c r="C50" i="4"/>
  <c r="B50" i="4"/>
  <c r="I49" i="4"/>
  <c r="H49" i="4"/>
  <c r="G49" i="4"/>
  <c r="F49" i="4"/>
  <c r="D49" i="4"/>
  <c r="E49" i="4" s="1"/>
  <c r="C49" i="4"/>
  <c r="B49" i="4"/>
  <c r="G48" i="4"/>
  <c r="F48" i="4"/>
  <c r="E48" i="4"/>
  <c r="D48" i="4"/>
  <c r="C48" i="4"/>
  <c r="B48" i="4"/>
  <c r="I47" i="4"/>
  <c r="H47" i="4"/>
  <c r="G47" i="4"/>
  <c r="D47" i="4"/>
  <c r="E47" i="4" s="1"/>
  <c r="C47" i="4"/>
  <c r="B47" i="4"/>
  <c r="F47" i="4" s="1"/>
  <c r="I46" i="4"/>
  <c r="H46" i="4"/>
  <c r="G46" i="4"/>
  <c r="D46" i="4"/>
  <c r="F46" i="4" s="1"/>
  <c r="C46" i="4"/>
  <c r="B46" i="4"/>
  <c r="G45" i="4"/>
  <c r="E45" i="4"/>
  <c r="D45" i="4"/>
  <c r="C45" i="4"/>
  <c r="B45" i="4"/>
  <c r="I44" i="4"/>
  <c r="G44" i="4"/>
  <c r="D44" i="4"/>
  <c r="E44" i="4" s="1"/>
  <c r="C44" i="4"/>
  <c r="B44" i="4"/>
  <c r="F44" i="4" s="1"/>
  <c r="I43" i="4"/>
  <c r="H43" i="4"/>
  <c r="G43" i="4"/>
  <c r="D43" i="4"/>
  <c r="C43" i="4"/>
  <c r="B43" i="4"/>
  <c r="G42" i="4"/>
  <c r="F42" i="4"/>
  <c r="D42" i="4"/>
  <c r="E42" i="4" s="1"/>
  <c r="C42" i="4"/>
  <c r="B42" i="4"/>
  <c r="G41" i="4"/>
  <c r="D41" i="4"/>
  <c r="E41" i="4" s="1"/>
  <c r="C41" i="4"/>
  <c r="B41" i="4"/>
  <c r="I40" i="4"/>
  <c r="H40" i="4"/>
  <c r="G40" i="4"/>
  <c r="F40" i="4"/>
  <c r="D40" i="4"/>
  <c r="E40" i="4" s="1"/>
  <c r="C40" i="4"/>
  <c r="B40" i="4"/>
  <c r="G39" i="4"/>
  <c r="D39" i="4"/>
  <c r="C39" i="4"/>
  <c r="B39" i="4"/>
  <c r="I38" i="4"/>
  <c r="H38" i="4"/>
  <c r="G38" i="4"/>
  <c r="D38" i="4"/>
  <c r="E38" i="4" s="1"/>
  <c r="C38" i="4"/>
  <c r="B38" i="4"/>
  <c r="F38" i="4" s="1"/>
  <c r="I37" i="4"/>
  <c r="H37" i="4"/>
  <c r="G37" i="4"/>
  <c r="D37" i="4"/>
  <c r="F37" i="4" s="1"/>
  <c r="C37" i="4"/>
  <c r="B37" i="4"/>
  <c r="G36" i="4"/>
  <c r="E36" i="4"/>
  <c r="D36" i="4"/>
  <c r="C36" i="4"/>
  <c r="B36" i="4"/>
  <c r="G35" i="4"/>
  <c r="D35" i="4"/>
  <c r="E35" i="4" s="1"/>
  <c r="C35" i="4"/>
  <c r="B35" i="4"/>
  <c r="I34" i="4"/>
  <c r="H34" i="4"/>
  <c r="G34" i="4"/>
  <c r="D34" i="4"/>
  <c r="C34" i="4"/>
  <c r="B34" i="4"/>
  <c r="G33" i="4"/>
  <c r="F33" i="4"/>
  <c r="D33" i="4"/>
  <c r="E33" i="4" s="1"/>
  <c r="C33" i="4"/>
  <c r="B33" i="4"/>
  <c r="G32" i="4"/>
  <c r="D32" i="4"/>
  <c r="E32" i="4" s="1"/>
  <c r="C32" i="4"/>
  <c r="B32" i="4"/>
  <c r="I31" i="4"/>
  <c r="H31" i="4"/>
  <c r="G31" i="4"/>
  <c r="F31" i="4"/>
  <c r="D31" i="4"/>
  <c r="E31" i="4" s="1"/>
  <c r="C31" i="4"/>
  <c r="B31" i="4"/>
  <c r="G30" i="4"/>
  <c r="F30" i="4"/>
  <c r="D30" i="4"/>
  <c r="E30" i="4" s="1"/>
  <c r="C30" i="4"/>
  <c r="B30" i="4"/>
  <c r="I29" i="4"/>
  <c r="H29" i="4"/>
  <c r="G29" i="4"/>
  <c r="D29" i="4"/>
  <c r="E29" i="4" s="1"/>
  <c r="C29" i="4"/>
  <c r="B29" i="4"/>
  <c r="F29" i="4" s="1"/>
  <c r="I28" i="4"/>
  <c r="H28" i="4"/>
  <c r="G28" i="4"/>
  <c r="F28" i="4"/>
  <c r="D28" i="4"/>
  <c r="E28" i="4" s="1"/>
  <c r="C28" i="4"/>
  <c r="B28" i="4"/>
  <c r="G27" i="4"/>
  <c r="E27" i="4"/>
  <c r="D27" i="4"/>
  <c r="C27" i="4"/>
  <c r="B27" i="4"/>
  <c r="I26" i="4"/>
  <c r="G26" i="4"/>
  <c r="D26" i="4"/>
  <c r="E26" i="4" s="1"/>
  <c r="C26" i="4"/>
  <c r="B26" i="4"/>
  <c r="F26" i="4" s="1"/>
  <c r="I25" i="4"/>
  <c r="H25" i="4"/>
  <c r="G25" i="4"/>
  <c r="D25" i="4"/>
  <c r="C25" i="4"/>
  <c r="B25" i="4"/>
  <c r="G24" i="4"/>
  <c r="D24" i="4"/>
  <c r="C24" i="4"/>
  <c r="B24" i="4"/>
  <c r="G23" i="4"/>
  <c r="D23" i="4"/>
  <c r="E23" i="4" s="1"/>
  <c r="C23" i="4"/>
  <c r="B23" i="4"/>
  <c r="I22" i="4"/>
  <c r="H22" i="4"/>
  <c r="G22" i="4"/>
  <c r="F22" i="4"/>
  <c r="D22" i="4"/>
  <c r="E22" i="4" s="1"/>
  <c r="C22" i="4"/>
  <c r="B22" i="4"/>
  <c r="G21" i="4"/>
  <c r="D21" i="4"/>
  <c r="F21" i="4" s="1"/>
  <c r="C21" i="4"/>
  <c r="B21" i="4"/>
  <c r="I20" i="4"/>
  <c r="H20" i="4"/>
  <c r="G20" i="4"/>
  <c r="D20" i="4"/>
  <c r="E20" i="4" s="1"/>
  <c r="C20" i="4"/>
  <c r="B20" i="4"/>
  <c r="F20" i="4" s="1"/>
  <c r="I19" i="4"/>
  <c r="H19" i="4"/>
  <c r="G19" i="4"/>
  <c r="D19" i="4"/>
  <c r="F19" i="4" s="1"/>
  <c r="C19" i="4"/>
  <c r="B19" i="4"/>
  <c r="G18" i="4"/>
  <c r="E18" i="4"/>
  <c r="D18" i="4"/>
  <c r="C18" i="4"/>
  <c r="B18" i="4"/>
  <c r="I17" i="4"/>
  <c r="H17" i="4"/>
  <c r="G17" i="4"/>
  <c r="F17" i="4"/>
  <c r="D17" i="4"/>
  <c r="E17" i="4" s="1"/>
  <c r="C17" i="4"/>
  <c r="B17" i="4"/>
  <c r="G16" i="4"/>
  <c r="C16" i="4"/>
  <c r="B16" i="4"/>
  <c r="G15" i="4"/>
  <c r="C15" i="4"/>
  <c r="B15" i="4"/>
  <c r="G14" i="4"/>
  <c r="C14" i="4"/>
  <c r="B14" i="4"/>
  <c r="I13" i="4"/>
  <c r="G13" i="4"/>
  <c r="C13" i="4"/>
  <c r="B13" i="4"/>
  <c r="H13" i="4" s="1"/>
  <c r="G12" i="4"/>
  <c r="D12" i="4"/>
  <c r="C12" i="4"/>
  <c r="B12" i="4"/>
  <c r="I11" i="4"/>
  <c r="G11" i="4"/>
  <c r="C11" i="4"/>
  <c r="B11" i="4"/>
  <c r="H11" i="4" s="1"/>
  <c r="I10" i="4"/>
  <c r="H10" i="4"/>
  <c r="G10" i="4"/>
  <c r="C10" i="4"/>
  <c r="B10" i="4"/>
  <c r="G9" i="4"/>
  <c r="C9" i="4"/>
  <c r="B9" i="4"/>
  <c r="I8" i="4"/>
  <c r="H8" i="4"/>
  <c r="G8" i="4"/>
  <c r="C8" i="4"/>
  <c r="B8" i="4"/>
  <c r="G7" i="4"/>
  <c r="C7" i="4"/>
  <c r="B7" i="4"/>
  <c r="G6" i="4"/>
  <c r="C6" i="4"/>
  <c r="B6" i="4"/>
  <c r="G5" i="4"/>
  <c r="C5" i="4"/>
  <c r="B5" i="4"/>
  <c r="W304" i="3"/>
  <c r="V304" i="3"/>
  <c r="Q304" i="3"/>
  <c r="R304" i="3" s="1"/>
  <c r="P304" i="3"/>
  <c r="O304" i="3"/>
  <c r="N304" i="3"/>
  <c r="L304" i="3"/>
  <c r="M304" i="3" s="1"/>
  <c r="H304" i="3"/>
  <c r="W303" i="3"/>
  <c r="V303" i="3"/>
  <c r="Q303" i="3"/>
  <c r="P303" i="3"/>
  <c r="O303" i="3"/>
  <c r="N303" i="3"/>
  <c r="L303" i="3"/>
  <c r="M303" i="3" s="1"/>
  <c r="H303" i="3"/>
  <c r="W302" i="3"/>
  <c r="V302" i="3"/>
  <c r="Q302" i="3"/>
  <c r="P302" i="3"/>
  <c r="O302" i="3"/>
  <c r="N302" i="3"/>
  <c r="L302" i="3"/>
  <c r="M302" i="3" s="1"/>
  <c r="H302" i="3"/>
  <c r="R302" i="3" s="1"/>
  <c r="W301" i="3"/>
  <c r="V301" i="3"/>
  <c r="Q301" i="3"/>
  <c r="R301" i="3" s="1"/>
  <c r="P301" i="3"/>
  <c r="O301" i="3"/>
  <c r="N301" i="3"/>
  <c r="L301" i="3"/>
  <c r="M301" i="3" s="1"/>
  <c r="H301" i="3"/>
  <c r="W300" i="3"/>
  <c r="V300" i="3"/>
  <c r="R300" i="3"/>
  <c r="Q300" i="3"/>
  <c r="P300" i="3"/>
  <c r="O300" i="3"/>
  <c r="N300" i="3"/>
  <c r="L300" i="3"/>
  <c r="M300" i="3" s="1"/>
  <c r="H300" i="3"/>
  <c r="W299" i="3"/>
  <c r="V299" i="3"/>
  <c r="R299" i="3"/>
  <c r="Q299" i="3"/>
  <c r="P299" i="3"/>
  <c r="O299" i="3"/>
  <c r="N299" i="3"/>
  <c r="L299" i="3"/>
  <c r="M299" i="3" s="1"/>
  <c r="H299" i="3"/>
  <c r="W298" i="3"/>
  <c r="V298" i="3"/>
  <c r="R298" i="3"/>
  <c r="Q298" i="3"/>
  <c r="P298" i="3"/>
  <c r="O298" i="3"/>
  <c r="N298" i="3"/>
  <c r="L298" i="3"/>
  <c r="M298" i="3" s="1"/>
  <c r="H298" i="3"/>
  <c r="W297" i="3"/>
  <c r="V297" i="3"/>
  <c r="Q297" i="3"/>
  <c r="R297" i="3" s="1"/>
  <c r="P297" i="3"/>
  <c r="O297" i="3"/>
  <c r="N297" i="3"/>
  <c r="L297" i="3"/>
  <c r="M297" i="3" s="1"/>
  <c r="H297" i="3"/>
  <c r="W296" i="3"/>
  <c r="V296" i="3"/>
  <c r="Q296" i="3"/>
  <c r="P296" i="3"/>
  <c r="O296" i="3"/>
  <c r="N296" i="3"/>
  <c r="L296" i="3"/>
  <c r="M296" i="3" s="1"/>
  <c r="H296" i="3"/>
  <c r="W295" i="3"/>
  <c r="V295" i="3"/>
  <c r="Q295" i="3"/>
  <c r="R295" i="3" s="1"/>
  <c r="P295" i="3"/>
  <c r="O295" i="3"/>
  <c r="N295" i="3"/>
  <c r="L295" i="3"/>
  <c r="M295" i="3" s="1"/>
  <c r="H295" i="3"/>
  <c r="W294" i="3"/>
  <c r="V294" i="3"/>
  <c r="Q294" i="3"/>
  <c r="R294" i="3" s="1"/>
  <c r="P294" i="3"/>
  <c r="O294" i="3"/>
  <c r="N294" i="3"/>
  <c r="L294" i="3"/>
  <c r="M294" i="3" s="1"/>
  <c r="H294" i="3"/>
  <c r="W293" i="3"/>
  <c r="V293" i="3"/>
  <c r="Q293" i="3"/>
  <c r="P293" i="3"/>
  <c r="O293" i="3"/>
  <c r="N293" i="3"/>
  <c r="L293" i="3"/>
  <c r="M293" i="3" s="1"/>
  <c r="H293" i="3"/>
  <c r="R293" i="3" s="1"/>
  <c r="W292" i="3"/>
  <c r="V292" i="3"/>
  <c r="Q292" i="3"/>
  <c r="P292" i="3"/>
  <c r="O292" i="3"/>
  <c r="N292" i="3"/>
  <c r="L292" i="3"/>
  <c r="M292" i="3" s="1"/>
  <c r="H292" i="3"/>
  <c r="W291" i="3"/>
  <c r="V291" i="3"/>
  <c r="Q291" i="3"/>
  <c r="P291" i="3"/>
  <c r="O291" i="3"/>
  <c r="N291" i="3"/>
  <c r="L291" i="3"/>
  <c r="M291" i="3" s="1"/>
  <c r="H291" i="3"/>
  <c r="W290" i="3"/>
  <c r="V290" i="3"/>
  <c r="R290" i="3"/>
  <c r="Q290" i="3"/>
  <c r="P290" i="3"/>
  <c r="O290" i="3"/>
  <c r="N290" i="3"/>
  <c r="L290" i="3"/>
  <c r="M290" i="3" s="1"/>
  <c r="H290" i="3"/>
  <c r="W289" i="3"/>
  <c r="V289" i="3"/>
  <c r="Q289" i="3"/>
  <c r="R289" i="3" s="1"/>
  <c r="P289" i="3"/>
  <c r="O289" i="3"/>
  <c r="N289" i="3"/>
  <c r="L289" i="3"/>
  <c r="M289" i="3" s="1"/>
  <c r="H289" i="3"/>
  <c r="W288" i="3"/>
  <c r="V288" i="3"/>
  <c r="R288" i="3"/>
  <c r="Q288" i="3"/>
  <c r="P288" i="3"/>
  <c r="O288" i="3"/>
  <c r="N288" i="3"/>
  <c r="L288" i="3"/>
  <c r="M288" i="3" s="1"/>
  <c r="H288" i="3"/>
  <c r="W287" i="3"/>
  <c r="V287" i="3"/>
  <c r="Q287" i="3"/>
  <c r="R287" i="3" s="1"/>
  <c r="P287" i="3"/>
  <c r="O287" i="3"/>
  <c r="N287" i="3"/>
  <c r="L287" i="3"/>
  <c r="M287" i="3" s="1"/>
  <c r="H287" i="3"/>
  <c r="W286" i="3"/>
  <c r="V286" i="3"/>
  <c r="R286" i="3"/>
  <c r="Q286" i="3"/>
  <c r="P286" i="3"/>
  <c r="O286" i="3"/>
  <c r="N286" i="3"/>
  <c r="L286" i="3"/>
  <c r="M286" i="3" s="1"/>
  <c r="H286" i="3"/>
  <c r="W285" i="3"/>
  <c r="V285" i="3"/>
  <c r="Q285" i="3"/>
  <c r="R285" i="3" s="1"/>
  <c r="P285" i="3"/>
  <c r="O285" i="3"/>
  <c r="N285" i="3"/>
  <c r="L285" i="3"/>
  <c r="M285" i="3" s="1"/>
  <c r="H285" i="3"/>
  <c r="W284" i="3"/>
  <c r="V284" i="3"/>
  <c r="R284" i="3"/>
  <c r="Q284" i="3"/>
  <c r="P284" i="3"/>
  <c r="O284" i="3"/>
  <c r="N284" i="3"/>
  <c r="L284" i="3"/>
  <c r="M284" i="3" s="1"/>
  <c r="H284" i="3"/>
  <c r="W283" i="3"/>
  <c r="V283" i="3"/>
  <c r="Q283" i="3"/>
  <c r="R283" i="3" s="1"/>
  <c r="P283" i="3"/>
  <c r="O283" i="3"/>
  <c r="N283" i="3"/>
  <c r="L283" i="3"/>
  <c r="M283" i="3" s="1"/>
  <c r="H283" i="3"/>
  <c r="W282" i="3"/>
  <c r="V282" i="3"/>
  <c r="Q282" i="3"/>
  <c r="P282" i="3"/>
  <c r="O282" i="3"/>
  <c r="N282" i="3"/>
  <c r="L282" i="3"/>
  <c r="M282" i="3" s="1"/>
  <c r="H282" i="3"/>
  <c r="W281" i="3"/>
  <c r="V281" i="3"/>
  <c r="Q281" i="3"/>
  <c r="P281" i="3"/>
  <c r="O281" i="3"/>
  <c r="N281" i="3"/>
  <c r="L281" i="3"/>
  <c r="M281" i="3" s="1"/>
  <c r="H281" i="3"/>
  <c r="R281" i="3" s="1"/>
  <c r="W280" i="3"/>
  <c r="V280" i="3"/>
  <c r="Q280" i="3"/>
  <c r="R280" i="3" s="1"/>
  <c r="P280" i="3"/>
  <c r="O280" i="3"/>
  <c r="N280" i="3"/>
  <c r="L280" i="3"/>
  <c r="M280" i="3" s="1"/>
  <c r="H280" i="3"/>
  <c r="W279" i="3"/>
  <c r="V279" i="3"/>
  <c r="Q279" i="3"/>
  <c r="P279" i="3"/>
  <c r="O279" i="3"/>
  <c r="N279" i="3"/>
  <c r="L279" i="3"/>
  <c r="M279" i="3" s="1"/>
  <c r="H279" i="3"/>
  <c r="W278" i="3"/>
  <c r="V278" i="3"/>
  <c r="Q278" i="3"/>
  <c r="P278" i="3"/>
  <c r="O278" i="3"/>
  <c r="N278" i="3"/>
  <c r="L278" i="3"/>
  <c r="M278" i="3" s="1"/>
  <c r="H278" i="3"/>
  <c r="R278" i="3" s="1"/>
  <c r="W277" i="3"/>
  <c r="V277" i="3"/>
  <c r="Q277" i="3"/>
  <c r="R277" i="3" s="1"/>
  <c r="P277" i="3"/>
  <c r="O277" i="3"/>
  <c r="N277" i="3"/>
  <c r="L277" i="3"/>
  <c r="M277" i="3" s="1"/>
  <c r="H277" i="3"/>
  <c r="W276" i="3"/>
  <c r="V276" i="3"/>
  <c r="R276" i="3"/>
  <c r="Q276" i="3"/>
  <c r="P276" i="3"/>
  <c r="O276" i="3"/>
  <c r="N276" i="3"/>
  <c r="L276" i="3"/>
  <c r="M276" i="3" s="1"/>
  <c r="H276" i="3"/>
  <c r="W275" i="3"/>
  <c r="V275" i="3"/>
  <c r="R275" i="3"/>
  <c r="Q275" i="3"/>
  <c r="P275" i="3"/>
  <c r="O275" i="3"/>
  <c r="N275" i="3"/>
  <c r="L275" i="3"/>
  <c r="M275" i="3" s="1"/>
  <c r="H275" i="3"/>
  <c r="W274" i="3"/>
  <c r="V274" i="3"/>
  <c r="Q274" i="3"/>
  <c r="R274" i="3" s="1"/>
  <c r="P274" i="3"/>
  <c r="O274" i="3"/>
  <c r="N274" i="3"/>
  <c r="L274" i="3"/>
  <c r="M274" i="3" s="1"/>
  <c r="H274" i="3"/>
  <c r="W273" i="3"/>
  <c r="V273" i="3"/>
  <c r="Q273" i="3"/>
  <c r="R273" i="3" s="1"/>
  <c r="P273" i="3"/>
  <c r="O273" i="3"/>
  <c r="N273" i="3"/>
  <c r="L273" i="3"/>
  <c r="M273" i="3" s="1"/>
  <c r="H273" i="3"/>
  <c r="W272" i="3"/>
  <c r="V272" i="3"/>
  <c r="Q272" i="3"/>
  <c r="P272" i="3"/>
  <c r="O272" i="3"/>
  <c r="N272" i="3"/>
  <c r="L272" i="3"/>
  <c r="M272" i="3" s="1"/>
  <c r="H272" i="3"/>
  <c r="W271" i="3"/>
  <c r="V271" i="3"/>
  <c r="Q271" i="3"/>
  <c r="R271" i="3" s="1"/>
  <c r="P271" i="3"/>
  <c r="O271" i="3"/>
  <c r="N271" i="3"/>
  <c r="L271" i="3"/>
  <c r="M271" i="3" s="1"/>
  <c r="H271" i="3"/>
  <c r="W270" i="3"/>
  <c r="V270" i="3"/>
  <c r="Q270" i="3"/>
  <c r="R270" i="3" s="1"/>
  <c r="P270" i="3"/>
  <c r="O270" i="3"/>
  <c r="N270" i="3"/>
  <c r="L270" i="3"/>
  <c r="M270" i="3" s="1"/>
  <c r="H270" i="3"/>
  <c r="W269" i="3"/>
  <c r="V269" i="3"/>
  <c r="Q269" i="3"/>
  <c r="P269" i="3"/>
  <c r="O269" i="3"/>
  <c r="N269" i="3"/>
  <c r="L269" i="3"/>
  <c r="M269" i="3" s="1"/>
  <c r="H269" i="3"/>
  <c r="R269" i="3" s="1"/>
  <c r="W268" i="3"/>
  <c r="V268" i="3"/>
  <c r="Q268" i="3"/>
  <c r="P268" i="3"/>
  <c r="O268" i="3"/>
  <c r="N268" i="3"/>
  <c r="L268" i="3"/>
  <c r="M268" i="3" s="1"/>
  <c r="H268" i="3"/>
  <c r="W267" i="3"/>
  <c r="V267" i="3"/>
  <c r="Q267" i="3"/>
  <c r="P267" i="3"/>
  <c r="O267" i="3"/>
  <c r="N267" i="3"/>
  <c r="L267" i="3"/>
  <c r="M267" i="3" s="1"/>
  <c r="H267" i="3"/>
  <c r="W266" i="3"/>
  <c r="V266" i="3"/>
  <c r="R266" i="3"/>
  <c r="Q266" i="3"/>
  <c r="P266" i="3"/>
  <c r="O266" i="3"/>
  <c r="N266" i="3"/>
  <c r="L266" i="3"/>
  <c r="M266" i="3" s="1"/>
  <c r="H266" i="3"/>
  <c r="W265" i="3"/>
  <c r="V265" i="3"/>
  <c r="Q265" i="3"/>
  <c r="R265" i="3" s="1"/>
  <c r="P265" i="3"/>
  <c r="O265" i="3"/>
  <c r="N265" i="3"/>
  <c r="L265" i="3"/>
  <c r="M265" i="3" s="1"/>
  <c r="H265" i="3"/>
  <c r="W264" i="3"/>
  <c r="V264" i="3"/>
  <c r="R264" i="3"/>
  <c r="Q264" i="3"/>
  <c r="P264" i="3"/>
  <c r="O264" i="3"/>
  <c r="N264" i="3"/>
  <c r="L264" i="3"/>
  <c r="M264" i="3" s="1"/>
  <c r="H264" i="3"/>
  <c r="W263" i="3"/>
  <c r="V263" i="3"/>
  <c r="Q263" i="3"/>
  <c r="R263" i="3" s="1"/>
  <c r="P263" i="3"/>
  <c r="O263" i="3"/>
  <c r="N263" i="3"/>
  <c r="L263" i="3"/>
  <c r="M263" i="3" s="1"/>
  <c r="H263" i="3"/>
  <c r="W262" i="3"/>
  <c r="V262" i="3"/>
  <c r="R262" i="3"/>
  <c r="Q262" i="3"/>
  <c r="P262" i="3"/>
  <c r="O262" i="3"/>
  <c r="N262" i="3"/>
  <c r="L262" i="3"/>
  <c r="M262" i="3" s="1"/>
  <c r="H262" i="3"/>
  <c r="W261" i="3"/>
  <c r="V261" i="3"/>
  <c r="R261" i="3"/>
  <c r="Q261" i="3"/>
  <c r="P261" i="3"/>
  <c r="O261" i="3"/>
  <c r="N261" i="3"/>
  <c r="L261" i="3"/>
  <c r="M261" i="3" s="1"/>
  <c r="H261" i="3"/>
  <c r="W260" i="3"/>
  <c r="V260" i="3"/>
  <c r="R260" i="3"/>
  <c r="Q260" i="3"/>
  <c r="P260" i="3"/>
  <c r="O260" i="3"/>
  <c r="N260" i="3"/>
  <c r="L260" i="3"/>
  <c r="M260" i="3" s="1"/>
  <c r="H260" i="3"/>
  <c r="W259" i="3"/>
  <c r="V259" i="3"/>
  <c r="Q259" i="3"/>
  <c r="R259" i="3" s="1"/>
  <c r="P259" i="3"/>
  <c r="O259" i="3"/>
  <c r="N259" i="3"/>
  <c r="L259" i="3"/>
  <c r="M259" i="3" s="1"/>
  <c r="H259" i="3"/>
  <c r="W258" i="3"/>
  <c r="V258" i="3"/>
  <c r="Q258" i="3"/>
  <c r="P258" i="3"/>
  <c r="O258" i="3"/>
  <c r="N258" i="3"/>
  <c r="L258" i="3"/>
  <c r="M258" i="3" s="1"/>
  <c r="H258" i="3"/>
  <c r="W257" i="3"/>
  <c r="V257" i="3"/>
  <c r="Q257" i="3"/>
  <c r="P257" i="3"/>
  <c r="O257" i="3"/>
  <c r="N257" i="3"/>
  <c r="L257" i="3"/>
  <c r="M257" i="3" s="1"/>
  <c r="H257" i="3"/>
  <c r="R257" i="3" s="1"/>
  <c r="W256" i="3"/>
  <c r="V256" i="3"/>
  <c r="Q256" i="3"/>
  <c r="R256" i="3" s="1"/>
  <c r="P256" i="3"/>
  <c r="O256" i="3"/>
  <c r="N256" i="3"/>
  <c r="L256" i="3"/>
  <c r="M256" i="3" s="1"/>
  <c r="H256" i="3"/>
  <c r="W255" i="3"/>
  <c r="V255" i="3"/>
  <c r="Q255" i="3"/>
  <c r="P255" i="3"/>
  <c r="O255" i="3"/>
  <c r="N255" i="3"/>
  <c r="L255" i="3"/>
  <c r="M255" i="3" s="1"/>
  <c r="H255" i="3"/>
  <c r="W254" i="3"/>
  <c r="V254" i="3"/>
  <c r="Q254" i="3"/>
  <c r="P254" i="3"/>
  <c r="O254" i="3"/>
  <c r="N254" i="3"/>
  <c r="L254" i="3"/>
  <c r="M254" i="3" s="1"/>
  <c r="H254" i="3"/>
  <c r="R254" i="3" s="1"/>
  <c r="W253" i="3"/>
  <c r="V253" i="3"/>
  <c r="Q253" i="3"/>
  <c r="R253" i="3" s="1"/>
  <c r="P253" i="3"/>
  <c r="O253" i="3"/>
  <c r="N253" i="3"/>
  <c r="L253" i="3"/>
  <c r="M253" i="3" s="1"/>
  <c r="H253" i="3"/>
  <c r="W252" i="3"/>
  <c r="V252" i="3"/>
  <c r="R252" i="3"/>
  <c r="Q252" i="3"/>
  <c r="P252" i="3"/>
  <c r="O252" i="3"/>
  <c r="N252" i="3"/>
  <c r="L252" i="3"/>
  <c r="M252" i="3" s="1"/>
  <c r="H252" i="3"/>
  <c r="W251" i="3"/>
  <c r="V251" i="3"/>
  <c r="R251" i="3"/>
  <c r="Q251" i="3"/>
  <c r="P251" i="3"/>
  <c r="O251" i="3"/>
  <c r="N251" i="3"/>
  <c r="L251" i="3"/>
  <c r="M251" i="3" s="1"/>
  <c r="H251" i="3"/>
  <c r="W250" i="3"/>
  <c r="V250" i="3"/>
  <c r="Q250" i="3"/>
  <c r="R250" i="3" s="1"/>
  <c r="P250" i="3"/>
  <c r="O250" i="3"/>
  <c r="N250" i="3"/>
  <c r="L250" i="3"/>
  <c r="M250" i="3" s="1"/>
  <c r="H250" i="3"/>
  <c r="W249" i="3"/>
  <c r="V249" i="3"/>
  <c r="Q249" i="3"/>
  <c r="R249" i="3" s="1"/>
  <c r="P249" i="3"/>
  <c r="O249" i="3"/>
  <c r="N249" i="3"/>
  <c r="L249" i="3"/>
  <c r="M249" i="3" s="1"/>
  <c r="H249" i="3"/>
  <c r="W248" i="3"/>
  <c r="V248" i="3"/>
  <c r="Q248" i="3"/>
  <c r="R248" i="3" s="1"/>
  <c r="P248" i="3"/>
  <c r="O248" i="3"/>
  <c r="N248" i="3"/>
  <c r="L248" i="3"/>
  <c r="M248" i="3" s="1"/>
  <c r="H248" i="3"/>
  <c r="W247" i="3"/>
  <c r="V247" i="3"/>
  <c r="Q247" i="3"/>
  <c r="R247" i="3" s="1"/>
  <c r="P247" i="3"/>
  <c r="O247" i="3"/>
  <c r="N247" i="3"/>
  <c r="L247" i="3"/>
  <c r="M247" i="3" s="1"/>
  <c r="H247" i="3"/>
  <c r="W246" i="3"/>
  <c r="V246" i="3"/>
  <c r="Q246" i="3"/>
  <c r="R246" i="3" s="1"/>
  <c r="P246" i="3"/>
  <c r="O246" i="3"/>
  <c r="N246" i="3"/>
  <c r="L246" i="3"/>
  <c r="M246" i="3" s="1"/>
  <c r="H246" i="3"/>
  <c r="W245" i="3"/>
  <c r="V245" i="3"/>
  <c r="Q245" i="3"/>
  <c r="P245" i="3"/>
  <c r="O245" i="3"/>
  <c r="N245" i="3"/>
  <c r="L245" i="3"/>
  <c r="M245" i="3" s="1"/>
  <c r="H245" i="3"/>
  <c r="R245" i="3" s="1"/>
  <c r="W244" i="3"/>
  <c r="V244" i="3"/>
  <c r="Q244" i="3"/>
  <c r="P244" i="3"/>
  <c r="O244" i="3"/>
  <c r="N244" i="3"/>
  <c r="L244" i="3"/>
  <c r="M244" i="3" s="1"/>
  <c r="H244" i="3"/>
  <c r="W243" i="3"/>
  <c r="V243" i="3"/>
  <c r="Q243" i="3"/>
  <c r="P243" i="3"/>
  <c r="O243" i="3"/>
  <c r="N243" i="3"/>
  <c r="L243" i="3"/>
  <c r="M243" i="3" s="1"/>
  <c r="H243" i="3"/>
  <c r="W242" i="3"/>
  <c r="V242" i="3"/>
  <c r="R242" i="3"/>
  <c r="Q242" i="3"/>
  <c r="P242" i="3"/>
  <c r="O242" i="3"/>
  <c r="N242" i="3"/>
  <c r="L242" i="3"/>
  <c r="M242" i="3" s="1"/>
  <c r="H242" i="3"/>
  <c r="W241" i="3"/>
  <c r="V241" i="3"/>
  <c r="Q241" i="3"/>
  <c r="R241" i="3" s="1"/>
  <c r="P241" i="3"/>
  <c r="O241" i="3"/>
  <c r="N241" i="3"/>
  <c r="L241" i="3"/>
  <c r="M241" i="3" s="1"/>
  <c r="H241" i="3"/>
  <c r="W240" i="3"/>
  <c r="V240" i="3"/>
  <c r="R240" i="3"/>
  <c r="Q240" i="3"/>
  <c r="P240" i="3"/>
  <c r="O240" i="3"/>
  <c r="N240" i="3"/>
  <c r="L240" i="3"/>
  <c r="M240" i="3" s="1"/>
  <c r="H240" i="3"/>
  <c r="W239" i="3"/>
  <c r="V239" i="3"/>
  <c r="Q239" i="3"/>
  <c r="R239" i="3" s="1"/>
  <c r="P239" i="3"/>
  <c r="O239" i="3"/>
  <c r="N239" i="3"/>
  <c r="L239" i="3"/>
  <c r="M239" i="3" s="1"/>
  <c r="H239" i="3"/>
  <c r="W238" i="3"/>
  <c r="V238" i="3"/>
  <c r="R238" i="3"/>
  <c r="Q238" i="3"/>
  <c r="P238" i="3"/>
  <c r="O238" i="3"/>
  <c r="N238" i="3"/>
  <c r="L238" i="3"/>
  <c r="M238" i="3" s="1"/>
  <c r="H238" i="3"/>
  <c r="W237" i="3"/>
  <c r="V237" i="3"/>
  <c r="R237" i="3"/>
  <c r="Q237" i="3"/>
  <c r="P237" i="3"/>
  <c r="O237" i="3"/>
  <c r="N237" i="3"/>
  <c r="L237" i="3"/>
  <c r="M237" i="3" s="1"/>
  <c r="H237" i="3"/>
  <c r="W236" i="3"/>
  <c r="V236" i="3"/>
  <c r="R236" i="3"/>
  <c r="Q236" i="3"/>
  <c r="P236" i="3"/>
  <c r="O236" i="3"/>
  <c r="N236" i="3"/>
  <c r="L236" i="3"/>
  <c r="M236" i="3" s="1"/>
  <c r="H236" i="3"/>
  <c r="W235" i="3"/>
  <c r="V235" i="3"/>
  <c r="Q235" i="3"/>
  <c r="R235" i="3" s="1"/>
  <c r="P235" i="3"/>
  <c r="O235" i="3"/>
  <c r="N235" i="3"/>
  <c r="L235" i="3"/>
  <c r="M235" i="3" s="1"/>
  <c r="H235" i="3"/>
  <c r="W234" i="3"/>
  <c r="V234" i="3"/>
  <c r="Q234" i="3"/>
  <c r="P234" i="3"/>
  <c r="O234" i="3"/>
  <c r="N234" i="3"/>
  <c r="L234" i="3"/>
  <c r="M234" i="3" s="1"/>
  <c r="H234" i="3"/>
  <c r="W233" i="3"/>
  <c r="V233" i="3"/>
  <c r="Q233" i="3"/>
  <c r="P233" i="3"/>
  <c r="O233" i="3"/>
  <c r="N233" i="3"/>
  <c r="L233" i="3"/>
  <c r="M233" i="3" s="1"/>
  <c r="H233" i="3"/>
  <c r="R233" i="3" s="1"/>
  <c r="W232" i="3"/>
  <c r="V232" i="3"/>
  <c r="Q232" i="3"/>
  <c r="R232" i="3" s="1"/>
  <c r="P232" i="3"/>
  <c r="O232" i="3"/>
  <c r="N232" i="3"/>
  <c r="L232" i="3"/>
  <c r="M232" i="3" s="1"/>
  <c r="H232" i="3"/>
  <c r="W231" i="3"/>
  <c r="V231" i="3"/>
  <c r="Q231" i="3"/>
  <c r="P231" i="3"/>
  <c r="O231" i="3"/>
  <c r="N231" i="3"/>
  <c r="L231" i="3"/>
  <c r="M231" i="3" s="1"/>
  <c r="H231" i="3"/>
  <c r="W230" i="3"/>
  <c r="V230" i="3"/>
  <c r="Q230" i="3"/>
  <c r="P230" i="3"/>
  <c r="O230" i="3"/>
  <c r="N230" i="3"/>
  <c r="L230" i="3"/>
  <c r="M230" i="3" s="1"/>
  <c r="H230" i="3"/>
  <c r="R230" i="3" s="1"/>
  <c r="W229" i="3"/>
  <c r="V229" i="3"/>
  <c r="Q229" i="3"/>
  <c r="R229" i="3" s="1"/>
  <c r="P229" i="3"/>
  <c r="O229" i="3"/>
  <c r="N229" i="3"/>
  <c r="L229" i="3"/>
  <c r="M229" i="3" s="1"/>
  <c r="H229" i="3"/>
  <c r="W228" i="3"/>
  <c r="V228" i="3"/>
  <c r="R228" i="3"/>
  <c r="Q228" i="3"/>
  <c r="P228" i="3"/>
  <c r="O228" i="3"/>
  <c r="N228" i="3"/>
  <c r="L228" i="3"/>
  <c r="M228" i="3" s="1"/>
  <c r="H228" i="3"/>
  <c r="W227" i="3"/>
  <c r="V227" i="3"/>
  <c r="R227" i="3"/>
  <c r="Q227" i="3"/>
  <c r="P227" i="3"/>
  <c r="O227" i="3"/>
  <c r="N227" i="3"/>
  <c r="L227" i="3"/>
  <c r="M227" i="3" s="1"/>
  <c r="H227" i="3"/>
  <c r="W226" i="3"/>
  <c r="V226" i="3"/>
  <c r="Q226" i="3"/>
  <c r="R226" i="3" s="1"/>
  <c r="P226" i="3"/>
  <c r="O226" i="3"/>
  <c r="N226" i="3"/>
  <c r="L226" i="3"/>
  <c r="M226" i="3" s="1"/>
  <c r="H226" i="3"/>
  <c r="W225" i="3"/>
  <c r="V225" i="3"/>
  <c r="R225" i="3"/>
  <c r="Q225" i="3"/>
  <c r="P225" i="3"/>
  <c r="O225" i="3"/>
  <c r="N225" i="3"/>
  <c r="L225" i="3"/>
  <c r="M225" i="3" s="1"/>
  <c r="H225" i="3"/>
  <c r="W224" i="3"/>
  <c r="V224" i="3"/>
  <c r="Q224" i="3"/>
  <c r="R224" i="3" s="1"/>
  <c r="P224" i="3"/>
  <c r="O224" i="3"/>
  <c r="N224" i="3"/>
  <c r="L224" i="3"/>
  <c r="M224" i="3" s="1"/>
  <c r="H224" i="3"/>
  <c r="W223" i="3"/>
  <c r="V223" i="3"/>
  <c r="Q223" i="3"/>
  <c r="R223" i="3" s="1"/>
  <c r="P223" i="3"/>
  <c r="O223" i="3"/>
  <c r="N223" i="3"/>
  <c r="L223" i="3"/>
  <c r="M223" i="3" s="1"/>
  <c r="H223" i="3"/>
  <c r="W222" i="3"/>
  <c r="V222" i="3"/>
  <c r="Q222" i="3"/>
  <c r="R222" i="3" s="1"/>
  <c r="P222" i="3"/>
  <c r="O222" i="3"/>
  <c r="N222" i="3"/>
  <c r="L222" i="3"/>
  <c r="M222" i="3" s="1"/>
  <c r="H222" i="3"/>
  <c r="W221" i="3"/>
  <c r="V221" i="3"/>
  <c r="Q221" i="3"/>
  <c r="P221" i="3"/>
  <c r="O221" i="3"/>
  <c r="N221" i="3"/>
  <c r="L221" i="3"/>
  <c r="M221" i="3" s="1"/>
  <c r="H221" i="3"/>
  <c r="R221" i="3" s="1"/>
  <c r="W220" i="3"/>
  <c r="V220" i="3"/>
  <c r="Q220" i="3"/>
  <c r="P220" i="3"/>
  <c r="O220" i="3"/>
  <c r="N220" i="3"/>
  <c r="L220" i="3"/>
  <c r="M220" i="3" s="1"/>
  <c r="H220" i="3"/>
  <c r="W219" i="3"/>
  <c r="V219" i="3"/>
  <c r="Q219" i="3"/>
  <c r="P219" i="3"/>
  <c r="O219" i="3"/>
  <c r="N219" i="3"/>
  <c r="L219" i="3"/>
  <c r="M219" i="3" s="1"/>
  <c r="H219" i="3"/>
  <c r="W218" i="3"/>
  <c r="V218" i="3"/>
  <c r="R218" i="3"/>
  <c r="Q218" i="3"/>
  <c r="P218" i="3"/>
  <c r="O218" i="3"/>
  <c r="N218" i="3"/>
  <c r="L218" i="3"/>
  <c r="M218" i="3" s="1"/>
  <c r="H218" i="3"/>
  <c r="W217" i="3"/>
  <c r="V217" i="3"/>
  <c r="Q217" i="3"/>
  <c r="R217" i="3" s="1"/>
  <c r="P217" i="3"/>
  <c r="O217" i="3"/>
  <c r="N217" i="3"/>
  <c r="L217" i="3"/>
  <c r="M217" i="3" s="1"/>
  <c r="H217" i="3"/>
  <c r="W216" i="3"/>
  <c r="V216" i="3"/>
  <c r="R216" i="3"/>
  <c r="Q216" i="3"/>
  <c r="P216" i="3"/>
  <c r="O216" i="3"/>
  <c r="N216" i="3"/>
  <c r="L216" i="3"/>
  <c r="M216" i="3" s="1"/>
  <c r="H216" i="3"/>
  <c r="W215" i="3"/>
  <c r="V215" i="3"/>
  <c r="Q215" i="3"/>
  <c r="R215" i="3" s="1"/>
  <c r="P215" i="3"/>
  <c r="O215" i="3"/>
  <c r="N215" i="3"/>
  <c r="L215" i="3"/>
  <c r="M215" i="3" s="1"/>
  <c r="H215" i="3"/>
  <c r="W214" i="3"/>
  <c r="V214" i="3"/>
  <c r="R214" i="3"/>
  <c r="Q214" i="3"/>
  <c r="P214" i="3"/>
  <c r="O214" i="3"/>
  <c r="N214" i="3"/>
  <c r="L214" i="3"/>
  <c r="M214" i="3" s="1"/>
  <c r="H214" i="3"/>
  <c r="W213" i="3"/>
  <c r="V213" i="3"/>
  <c r="R213" i="3"/>
  <c r="Q213" i="3"/>
  <c r="P213" i="3"/>
  <c r="O213" i="3"/>
  <c r="N213" i="3"/>
  <c r="L213" i="3"/>
  <c r="M213" i="3" s="1"/>
  <c r="H213" i="3"/>
  <c r="W212" i="3"/>
  <c r="V212" i="3"/>
  <c r="R212" i="3"/>
  <c r="Q212" i="3"/>
  <c r="P212" i="3"/>
  <c r="O212" i="3"/>
  <c r="N212" i="3"/>
  <c r="L212" i="3"/>
  <c r="M212" i="3" s="1"/>
  <c r="H212" i="3"/>
  <c r="W211" i="3"/>
  <c r="V211" i="3"/>
  <c r="Q211" i="3"/>
  <c r="R211" i="3" s="1"/>
  <c r="P211" i="3"/>
  <c r="O211" i="3"/>
  <c r="N211" i="3"/>
  <c r="L211" i="3"/>
  <c r="M211" i="3" s="1"/>
  <c r="H211" i="3"/>
  <c r="W210" i="3"/>
  <c r="V210" i="3"/>
  <c r="Q210" i="3"/>
  <c r="P210" i="3"/>
  <c r="O210" i="3"/>
  <c r="N210" i="3"/>
  <c r="L210" i="3"/>
  <c r="M210" i="3" s="1"/>
  <c r="H210" i="3"/>
  <c r="W209" i="3"/>
  <c r="V209" i="3"/>
  <c r="Q209" i="3"/>
  <c r="P209" i="3"/>
  <c r="O209" i="3"/>
  <c r="N209" i="3"/>
  <c r="L209" i="3"/>
  <c r="M209" i="3" s="1"/>
  <c r="H209" i="3"/>
  <c r="R209" i="3" s="1"/>
  <c r="W208" i="3"/>
  <c r="V208" i="3"/>
  <c r="Q208" i="3"/>
  <c r="R208" i="3" s="1"/>
  <c r="P208" i="3"/>
  <c r="O208" i="3"/>
  <c r="N208" i="3"/>
  <c r="L208" i="3"/>
  <c r="M208" i="3" s="1"/>
  <c r="H208" i="3"/>
  <c r="W207" i="3"/>
  <c r="V207" i="3"/>
  <c r="Q207" i="3"/>
  <c r="P207" i="3"/>
  <c r="O207" i="3"/>
  <c r="N207" i="3"/>
  <c r="L207" i="3"/>
  <c r="M207" i="3" s="1"/>
  <c r="H207" i="3"/>
  <c r="W206" i="3"/>
  <c r="V206" i="3"/>
  <c r="Q206" i="3"/>
  <c r="P206" i="3"/>
  <c r="O206" i="3"/>
  <c r="N206" i="3"/>
  <c r="L206" i="3"/>
  <c r="M206" i="3" s="1"/>
  <c r="H206" i="3"/>
  <c r="R206" i="3" s="1"/>
  <c r="W205" i="3"/>
  <c r="V205" i="3"/>
  <c r="Q205" i="3"/>
  <c r="R205" i="3" s="1"/>
  <c r="P205" i="3"/>
  <c r="O205" i="3"/>
  <c r="N205" i="3"/>
  <c r="L205" i="3"/>
  <c r="M205" i="3" s="1"/>
  <c r="H205" i="3"/>
  <c r="W204" i="3"/>
  <c r="V204" i="3"/>
  <c r="R204" i="3"/>
  <c r="Q204" i="3"/>
  <c r="P204" i="3"/>
  <c r="O204" i="3"/>
  <c r="N204" i="3"/>
  <c r="L204" i="3"/>
  <c r="M204" i="3" s="1"/>
  <c r="H204" i="3"/>
  <c r="W203" i="3"/>
  <c r="V203" i="3"/>
  <c r="R203" i="3"/>
  <c r="Q203" i="3"/>
  <c r="P203" i="3"/>
  <c r="O203" i="3"/>
  <c r="N203" i="3"/>
  <c r="L203" i="3"/>
  <c r="M203" i="3" s="1"/>
  <c r="H203" i="3"/>
  <c r="W202" i="3"/>
  <c r="V202" i="3"/>
  <c r="R202" i="3"/>
  <c r="Q202" i="3"/>
  <c r="P202" i="3"/>
  <c r="O202" i="3"/>
  <c r="N202" i="3"/>
  <c r="L202" i="3"/>
  <c r="M202" i="3" s="1"/>
  <c r="H202" i="3"/>
  <c r="W201" i="3"/>
  <c r="V201" i="3"/>
  <c r="Q201" i="3"/>
  <c r="R201" i="3" s="1"/>
  <c r="P201" i="3"/>
  <c r="O201" i="3"/>
  <c r="N201" i="3"/>
  <c r="L201" i="3"/>
  <c r="M201" i="3" s="1"/>
  <c r="H201" i="3"/>
  <c r="W200" i="3"/>
  <c r="V200" i="3"/>
  <c r="Q200" i="3"/>
  <c r="R200" i="3" s="1"/>
  <c r="P200" i="3"/>
  <c r="O200" i="3"/>
  <c r="N200" i="3"/>
  <c r="L200" i="3"/>
  <c r="M200" i="3" s="1"/>
  <c r="H200" i="3"/>
  <c r="W199" i="3"/>
  <c r="V199" i="3"/>
  <c r="Q199" i="3"/>
  <c r="R199" i="3" s="1"/>
  <c r="P199" i="3"/>
  <c r="O199" i="3"/>
  <c r="N199" i="3"/>
  <c r="L199" i="3"/>
  <c r="M199" i="3" s="1"/>
  <c r="H199" i="3"/>
  <c r="W198" i="3"/>
  <c r="V198" i="3"/>
  <c r="Q198" i="3"/>
  <c r="P198" i="3"/>
  <c r="O198" i="3"/>
  <c r="N198" i="3"/>
  <c r="L198" i="3"/>
  <c r="M198" i="3" s="1"/>
  <c r="H198" i="3"/>
  <c r="W197" i="3"/>
  <c r="V197" i="3"/>
  <c r="R197" i="3"/>
  <c r="Q197" i="3"/>
  <c r="P197" i="3"/>
  <c r="O197" i="3"/>
  <c r="N197" i="3"/>
  <c r="L197" i="3"/>
  <c r="M197" i="3" s="1"/>
  <c r="H197" i="3"/>
  <c r="W196" i="3"/>
  <c r="V196" i="3"/>
  <c r="Q196" i="3"/>
  <c r="P196" i="3"/>
  <c r="O196" i="3"/>
  <c r="N196" i="3"/>
  <c r="L196" i="3"/>
  <c r="M196" i="3" s="1"/>
  <c r="H196" i="3"/>
  <c r="W195" i="3"/>
  <c r="V195" i="3"/>
  <c r="Q195" i="3"/>
  <c r="P195" i="3"/>
  <c r="O195" i="3"/>
  <c r="N195" i="3"/>
  <c r="L195" i="3"/>
  <c r="M195" i="3" s="1"/>
  <c r="H195" i="3"/>
  <c r="W194" i="3"/>
  <c r="V194" i="3"/>
  <c r="Q194" i="3"/>
  <c r="P194" i="3"/>
  <c r="O194" i="3"/>
  <c r="N194" i="3"/>
  <c r="L194" i="3"/>
  <c r="M194" i="3" s="1"/>
  <c r="H194" i="3"/>
  <c r="R194" i="3" s="1"/>
  <c r="W193" i="3"/>
  <c r="V193" i="3"/>
  <c r="R193" i="3"/>
  <c r="Q193" i="3"/>
  <c r="P193" i="3"/>
  <c r="O193" i="3"/>
  <c r="N193" i="3"/>
  <c r="L193" i="3"/>
  <c r="M193" i="3" s="1"/>
  <c r="H193" i="3"/>
  <c r="W192" i="3"/>
  <c r="V192" i="3"/>
  <c r="R192" i="3"/>
  <c r="Q192" i="3"/>
  <c r="P192" i="3"/>
  <c r="O192" i="3"/>
  <c r="N192" i="3"/>
  <c r="L192" i="3"/>
  <c r="M192" i="3" s="1"/>
  <c r="H192" i="3"/>
  <c r="W191" i="3"/>
  <c r="V191" i="3"/>
  <c r="R191" i="3"/>
  <c r="Q191" i="3"/>
  <c r="P191" i="3"/>
  <c r="O191" i="3"/>
  <c r="N191" i="3"/>
  <c r="L191" i="3"/>
  <c r="M191" i="3" s="1"/>
  <c r="H191" i="3"/>
  <c r="W190" i="3"/>
  <c r="V190" i="3"/>
  <c r="Q190" i="3"/>
  <c r="P190" i="3"/>
  <c r="O190" i="3"/>
  <c r="N190" i="3"/>
  <c r="L190" i="3"/>
  <c r="M190" i="3" s="1"/>
  <c r="H190" i="3"/>
  <c r="R190" i="3" s="1"/>
  <c r="W189" i="3"/>
  <c r="V189" i="3"/>
  <c r="Q189" i="3"/>
  <c r="P189" i="3"/>
  <c r="O189" i="3"/>
  <c r="N189" i="3"/>
  <c r="L189" i="3"/>
  <c r="M189" i="3" s="1"/>
  <c r="H189" i="3"/>
  <c r="R189" i="3" s="1"/>
  <c r="W188" i="3"/>
  <c r="V188" i="3"/>
  <c r="Q188" i="3"/>
  <c r="P188" i="3"/>
  <c r="O188" i="3"/>
  <c r="N188" i="3"/>
  <c r="L188" i="3"/>
  <c r="M188" i="3" s="1"/>
  <c r="H188" i="3"/>
  <c r="R188" i="3" s="1"/>
  <c r="W187" i="3"/>
  <c r="V187" i="3"/>
  <c r="R187" i="3"/>
  <c r="Q187" i="3"/>
  <c r="P187" i="3"/>
  <c r="O187" i="3"/>
  <c r="N187" i="3"/>
  <c r="L187" i="3"/>
  <c r="M187" i="3" s="1"/>
  <c r="H187" i="3"/>
  <c r="W186" i="3"/>
  <c r="V186" i="3"/>
  <c r="R186" i="3"/>
  <c r="Q186" i="3"/>
  <c r="P186" i="3"/>
  <c r="O186" i="3"/>
  <c r="N186" i="3"/>
  <c r="L186" i="3"/>
  <c r="M186" i="3" s="1"/>
  <c r="H186" i="3"/>
  <c r="W185" i="3"/>
  <c r="V185" i="3"/>
  <c r="R185" i="3"/>
  <c r="Q185" i="3"/>
  <c r="P185" i="3"/>
  <c r="O185" i="3"/>
  <c r="N185" i="3"/>
  <c r="L185" i="3"/>
  <c r="M185" i="3" s="1"/>
  <c r="H185" i="3"/>
  <c r="W184" i="3"/>
  <c r="V184" i="3"/>
  <c r="Q184" i="3"/>
  <c r="P184" i="3"/>
  <c r="O184" i="3"/>
  <c r="N184" i="3"/>
  <c r="L184" i="3"/>
  <c r="M184" i="3" s="1"/>
  <c r="H184" i="3"/>
  <c r="R184" i="3" s="1"/>
  <c r="W183" i="3"/>
  <c r="V183" i="3"/>
  <c r="Q183" i="3"/>
  <c r="P183" i="3"/>
  <c r="O183" i="3"/>
  <c r="N183" i="3"/>
  <c r="L183" i="3"/>
  <c r="M183" i="3" s="1"/>
  <c r="H183" i="3"/>
  <c r="R183" i="3" s="1"/>
  <c r="W182" i="3"/>
  <c r="V182" i="3"/>
  <c r="Q182" i="3"/>
  <c r="P182" i="3"/>
  <c r="O182" i="3"/>
  <c r="N182" i="3"/>
  <c r="L182" i="3"/>
  <c r="M182" i="3" s="1"/>
  <c r="H182" i="3"/>
  <c r="R182" i="3" s="1"/>
  <c r="W181" i="3"/>
  <c r="V181" i="3"/>
  <c r="R181" i="3"/>
  <c r="Q181" i="3"/>
  <c r="P181" i="3"/>
  <c r="O181" i="3"/>
  <c r="N181" i="3"/>
  <c r="L181" i="3"/>
  <c r="M181" i="3" s="1"/>
  <c r="H181" i="3"/>
  <c r="W180" i="3"/>
  <c r="V180" i="3"/>
  <c r="Q180" i="3"/>
  <c r="P180" i="3"/>
  <c r="O180" i="3"/>
  <c r="N180" i="3"/>
  <c r="L180" i="3"/>
  <c r="M180" i="3" s="1"/>
  <c r="H180" i="3"/>
  <c r="R180" i="3" s="1"/>
  <c r="W179" i="3"/>
  <c r="V179" i="3"/>
  <c r="R179" i="3"/>
  <c r="Q179" i="3"/>
  <c r="P179" i="3"/>
  <c r="O179" i="3"/>
  <c r="N179" i="3"/>
  <c r="L179" i="3"/>
  <c r="M179" i="3" s="1"/>
  <c r="H179" i="3"/>
  <c r="W178" i="3"/>
  <c r="V178" i="3"/>
  <c r="R178" i="3"/>
  <c r="Q178" i="3"/>
  <c r="P178" i="3"/>
  <c r="O178" i="3"/>
  <c r="N178" i="3"/>
  <c r="L178" i="3"/>
  <c r="M178" i="3" s="1"/>
  <c r="H178" i="3"/>
  <c r="W177" i="3"/>
  <c r="V177" i="3"/>
  <c r="R177" i="3"/>
  <c r="Q177" i="3"/>
  <c r="P177" i="3"/>
  <c r="O177" i="3"/>
  <c r="N177" i="3"/>
  <c r="L177" i="3"/>
  <c r="M177" i="3" s="1"/>
  <c r="H177" i="3"/>
  <c r="W176" i="3"/>
  <c r="V176" i="3"/>
  <c r="R176" i="3"/>
  <c r="Q176" i="3"/>
  <c r="P176" i="3"/>
  <c r="O176" i="3"/>
  <c r="N176" i="3"/>
  <c r="L176" i="3"/>
  <c r="M176" i="3" s="1"/>
  <c r="H176" i="3"/>
  <c r="W175" i="3"/>
  <c r="V175" i="3"/>
  <c r="Q175" i="3"/>
  <c r="P175" i="3"/>
  <c r="O175" i="3"/>
  <c r="N175" i="3"/>
  <c r="L175" i="3"/>
  <c r="M175" i="3" s="1"/>
  <c r="H175" i="3"/>
  <c r="R175" i="3" s="1"/>
  <c r="W174" i="3"/>
  <c r="V174" i="3"/>
  <c r="R174" i="3"/>
  <c r="Q174" i="3"/>
  <c r="P174" i="3"/>
  <c r="O174" i="3"/>
  <c r="N174" i="3"/>
  <c r="L174" i="3"/>
  <c r="M174" i="3" s="1"/>
  <c r="H174" i="3"/>
  <c r="W173" i="3"/>
  <c r="V173" i="3"/>
  <c r="Q173" i="3"/>
  <c r="P173" i="3"/>
  <c r="O173" i="3"/>
  <c r="N173" i="3"/>
  <c r="L173" i="3"/>
  <c r="M173" i="3" s="1"/>
  <c r="H173" i="3"/>
  <c r="R173" i="3" s="1"/>
  <c r="W172" i="3"/>
  <c r="V172" i="3"/>
  <c r="Q172" i="3"/>
  <c r="P172" i="3"/>
  <c r="O172" i="3"/>
  <c r="N172" i="3"/>
  <c r="L172" i="3"/>
  <c r="M172" i="3" s="1"/>
  <c r="H172" i="3"/>
  <c r="R172" i="3" s="1"/>
  <c r="W171" i="3"/>
  <c r="V171" i="3"/>
  <c r="Q171" i="3"/>
  <c r="P171" i="3"/>
  <c r="O171" i="3"/>
  <c r="N171" i="3"/>
  <c r="L171" i="3"/>
  <c r="M171" i="3" s="1"/>
  <c r="H171" i="3"/>
  <c r="R171" i="3" s="1"/>
  <c r="W170" i="3"/>
  <c r="V170" i="3"/>
  <c r="Q170" i="3"/>
  <c r="P170" i="3"/>
  <c r="O170" i="3"/>
  <c r="N170" i="3"/>
  <c r="L170" i="3"/>
  <c r="M170" i="3" s="1"/>
  <c r="H170" i="3"/>
  <c r="R170" i="3" s="1"/>
  <c r="W169" i="3"/>
  <c r="V169" i="3"/>
  <c r="R169" i="3"/>
  <c r="Q169" i="3"/>
  <c r="P169" i="3"/>
  <c r="O169" i="3"/>
  <c r="N169" i="3"/>
  <c r="L169" i="3"/>
  <c r="M169" i="3" s="1"/>
  <c r="H169" i="3"/>
  <c r="W168" i="3"/>
  <c r="V168" i="3"/>
  <c r="Q168" i="3"/>
  <c r="P168" i="3"/>
  <c r="O168" i="3"/>
  <c r="N168" i="3"/>
  <c r="L168" i="3"/>
  <c r="M168" i="3" s="1"/>
  <c r="H168" i="3"/>
  <c r="R168" i="3" s="1"/>
  <c r="W167" i="3"/>
  <c r="V167" i="3"/>
  <c r="R167" i="3"/>
  <c r="Q167" i="3"/>
  <c r="P167" i="3"/>
  <c r="O167" i="3"/>
  <c r="N167" i="3"/>
  <c r="L167" i="3"/>
  <c r="M167" i="3" s="1"/>
  <c r="H167" i="3"/>
  <c r="W166" i="3"/>
  <c r="V166" i="3"/>
  <c r="R166" i="3"/>
  <c r="Q166" i="3"/>
  <c r="P166" i="3"/>
  <c r="O166" i="3"/>
  <c r="N166" i="3"/>
  <c r="L166" i="3"/>
  <c r="M166" i="3" s="1"/>
  <c r="H166" i="3"/>
  <c r="W165" i="3"/>
  <c r="V165" i="3"/>
  <c r="R165" i="3"/>
  <c r="Q165" i="3"/>
  <c r="P165" i="3"/>
  <c r="O165" i="3"/>
  <c r="N165" i="3"/>
  <c r="L165" i="3"/>
  <c r="M165" i="3" s="1"/>
  <c r="H165" i="3"/>
  <c r="W164" i="3"/>
  <c r="V164" i="3"/>
  <c r="R164" i="3"/>
  <c r="Q164" i="3"/>
  <c r="P164" i="3"/>
  <c r="O164" i="3"/>
  <c r="N164" i="3"/>
  <c r="L164" i="3"/>
  <c r="M164" i="3" s="1"/>
  <c r="H164" i="3"/>
  <c r="W163" i="3"/>
  <c r="V163" i="3"/>
  <c r="R163" i="3"/>
  <c r="Q163" i="3"/>
  <c r="P163" i="3"/>
  <c r="O163" i="3"/>
  <c r="N163" i="3"/>
  <c r="L163" i="3"/>
  <c r="M163" i="3" s="1"/>
  <c r="H163" i="3"/>
  <c r="W162" i="3"/>
  <c r="V162" i="3"/>
  <c r="R162" i="3"/>
  <c r="Q162" i="3"/>
  <c r="P162" i="3"/>
  <c r="O162" i="3"/>
  <c r="N162" i="3"/>
  <c r="L162" i="3"/>
  <c r="M162" i="3" s="1"/>
  <c r="H162" i="3"/>
  <c r="W161" i="3"/>
  <c r="V161" i="3"/>
  <c r="Q161" i="3"/>
  <c r="P161" i="3"/>
  <c r="O161" i="3"/>
  <c r="N161" i="3"/>
  <c r="L161" i="3"/>
  <c r="M161" i="3" s="1"/>
  <c r="H161" i="3"/>
  <c r="R161" i="3" s="1"/>
  <c r="W160" i="3"/>
  <c r="V160" i="3"/>
  <c r="Q160" i="3"/>
  <c r="P160" i="3"/>
  <c r="O160" i="3"/>
  <c r="N160" i="3"/>
  <c r="L160" i="3"/>
  <c r="M160" i="3" s="1"/>
  <c r="H160" i="3"/>
  <c r="R160" i="3" s="1"/>
  <c r="W159" i="3"/>
  <c r="V159" i="3"/>
  <c r="Q159" i="3"/>
  <c r="P159" i="3"/>
  <c r="O159" i="3"/>
  <c r="N159" i="3"/>
  <c r="L159" i="3"/>
  <c r="M159" i="3" s="1"/>
  <c r="H159" i="3"/>
  <c r="R159" i="3" s="1"/>
  <c r="W158" i="3"/>
  <c r="V158" i="3"/>
  <c r="Q158" i="3"/>
  <c r="P158" i="3"/>
  <c r="O158" i="3"/>
  <c r="N158" i="3"/>
  <c r="L158" i="3"/>
  <c r="M158" i="3" s="1"/>
  <c r="H158" i="3"/>
  <c r="R158" i="3" s="1"/>
  <c r="W157" i="3"/>
  <c r="V157" i="3"/>
  <c r="Q157" i="3"/>
  <c r="P157" i="3"/>
  <c r="O157" i="3"/>
  <c r="N157" i="3"/>
  <c r="L157" i="3"/>
  <c r="M157" i="3" s="1"/>
  <c r="H157" i="3"/>
  <c r="R157" i="3" s="1"/>
  <c r="W156" i="3"/>
  <c r="V156" i="3"/>
  <c r="Q156" i="3"/>
  <c r="P156" i="3"/>
  <c r="O156" i="3"/>
  <c r="N156" i="3"/>
  <c r="L156" i="3"/>
  <c r="M156" i="3" s="1"/>
  <c r="H156" i="3"/>
  <c r="R156" i="3" s="1"/>
  <c r="W155" i="3"/>
  <c r="V155" i="3"/>
  <c r="Q155" i="3"/>
  <c r="P155" i="3"/>
  <c r="O155" i="3"/>
  <c r="N155" i="3"/>
  <c r="L155" i="3"/>
  <c r="M155" i="3" s="1"/>
  <c r="H155" i="3"/>
  <c r="R155" i="3" s="1"/>
  <c r="W154" i="3"/>
  <c r="V154" i="3"/>
  <c r="Q154" i="3"/>
  <c r="P154" i="3"/>
  <c r="O154" i="3"/>
  <c r="N154" i="3"/>
  <c r="L154" i="3"/>
  <c r="M154" i="3" s="1"/>
  <c r="H154" i="3"/>
  <c r="R154" i="3" s="1"/>
  <c r="W153" i="3"/>
  <c r="V153" i="3"/>
  <c r="Q153" i="3"/>
  <c r="P153" i="3"/>
  <c r="O153" i="3"/>
  <c r="N153" i="3"/>
  <c r="L153" i="3"/>
  <c r="M153" i="3" s="1"/>
  <c r="H153" i="3"/>
  <c r="R153" i="3" s="1"/>
  <c r="W152" i="3"/>
  <c r="V152" i="3"/>
  <c r="Q152" i="3"/>
  <c r="P152" i="3"/>
  <c r="O152" i="3"/>
  <c r="N152" i="3"/>
  <c r="L152" i="3"/>
  <c r="M152" i="3" s="1"/>
  <c r="H152" i="3"/>
  <c r="R152" i="3" s="1"/>
  <c r="W151" i="3"/>
  <c r="V151" i="3"/>
  <c r="Q151" i="3"/>
  <c r="P151" i="3"/>
  <c r="O151" i="3"/>
  <c r="N151" i="3"/>
  <c r="L151" i="3"/>
  <c r="M151" i="3" s="1"/>
  <c r="H151" i="3"/>
  <c r="R151" i="3" s="1"/>
  <c r="W150" i="3"/>
  <c r="V150" i="3"/>
  <c r="Q150" i="3"/>
  <c r="P150" i="3"/>
  <c r="O150" i="3"/>
  <c r="N150" i="3"/>
  <c r="L150" i="3"/>
  <c r="M150" i="3" s="1"/>
  <c r="H150" i="3"/>
  <c r="R150" i="3" s="1"/>
  <c r="W149" i="3"/>
  <c r="V149" i="3"/>
  <c r="Q149" i="3"/>
  <c r="P149" i="3"/>
  <c r="O149" i="3"/>
  <c r="N149" i="3"/>
  <c r="L149" i="3"/>
  <c r="M149" i="3" s="1"/>
  <c r="H149" i="3"/>
  <c r="R149" i="3" s="1"/>
  <c r="W148" i="3"/>
  <c r="V148" i="3"/>
  <c r="Q148" i="3"/>
  <c r="P148" i="3"/>
  <c r="O148" i="3"/>
  <c r="N148" i="3"/>
  <c r="L148" i="3"/>
  <c r="M148" i="3" s="1"/>
  <c r="H148" i="3"/>
  <c r="R148" i="3" s="1"/>
  <c r="W147" i="3"/>
  <c r="V147" i="3"/>
  <c r="Q147" i="3"/>
  <c r="P147" i="3"/>
  <c r="O147" i="3"/>
  <c r="N147" i="3"/>
  <c r="L147" i="3"/>
  <c r="M147" i="3" s="1"/>
  <c r="H147" i="3"/>
  <c r="R147" i="3" s="1"/>
  <c r="W146" i="3"/>
  <c r="V146" i="3"/>
  <c r="Q146" i="3"/>
  <c r="P146" i="3"/>
  <c r="O146" i="3"/>
  <c r="N146" i="3"/>
  <c r="L146" i="3"/>
  <c r="M146" i="3" s="1"/>
  <c r="H146" i="3"/>
  <c r="R146" i="3" s="1"/>
  <c r="W145" i="3"/>
  <c r="V145" i="3"/>
  <c r="Q145" i="3"/>
  <c r="P145" i="3"/>
  <c r="O145" i="3"/>
  <c r="N145" i="3"/>
  <c r="L145" i="3"/>
  <c r="M145" i="3" s="1"/>
  <c r="H145" i="3"/>
  <c r="R145" i="3" s="1"/>
  <c r="W144" i="3"/>
  <c r="V144" i="3"/>
  <c r="Q144" i="3"/>
  <c r="P144" i="3"/>
  <c r="O144" i="3"/>
  <c r="N144" i="3"/>
  <c r="L144" i="3"/>
  <c r="M144" i="3" s="1"/>
  <c r="H144" i="3"/>
  <c r="R144" i="3" s="1"/>
  <c r="W143" i="3"/>
  <c r="V143" i="3"/>
  <c r="Q143" i="3"/>
  <c r="P143" i="3"/>
  <c r="O143" i="3"/>
  <c r="N143" i="3"/>
  <c r="L143" i="3"/>
  <c r="M143" i="3" s="1"/>
  <c r="H143" i="3"/>
  <c r="R143" i="3" s="1"/>
  <c r="W142" i="3"/>
  <c r="V142" i="3"/>
  <c r="Q142" i="3"/>
  <c r="P142" i="3"/>
  <c r="O142" i="3"/>
  <c r="N142" i="3"/>
  <c r="L142" i="3"/>
  <c r="M142" i="3" s="1"/>
  <c r="H142" i="3"/>
  <c r="R142" i="3" s="1"/>
  <c r="W141" i="3"/>
  <c r="V141" i="3"/>
  <c r="Q141" i="3"/>
  <c r="P141" i="3"/>
  <c r="O141" i="3"/>
  <c r="N141" i="3"/>
  <c r="L141" i="3"/>
  <c r="M141" i="3" s="1"/>
  <c r="H141" i="3"/>
  <c r="R141" i="3" s="1"/>
  <c r="W140" i="3"/>
  <c r="V140" i="3"/>
  <c r="Q140" i="3"/>
  <c r="P140" i="3"/>
  <c r="O140" i="3"/>
  <c r="N140" i="3"/>
  <c r="L140" i="3"/>
  <c r="M140" i="3" s="1"/>
  <c r="H140" i="3"/>
  <c r="R140" i="3" s="1"/>
  <c r="W139" i="3"/>
  <c r="V139" i="3"/>
  <c r="Q139" i="3"/>
  <c r="P139" i="3"/>
  <c r="O139" i="3"/>
  <c r="N139" i="3"/>
  <c r="L139" i="3"/>
  <c r="M139" i="3" s="1"/>
  <c r="H139" i="3"/>
  <c r="R139" i="3" s="1"/>
  <c r="W138" i="3"/>
  <c r="V138" i="3"/>
  <c r="Q138" i="3"/>
  <c r="P138" i="3"/>
  <c r="O138" i="3"/>
  <c r="N138" i="3"/>
  <c r="L138" i="3"/>
  <c r="M138" i="3" s="1"/>
  <c r="H138" i="3"/>
  <c r="R138" i="3" s="1"/>
  <c r="W137" i="3"/>
  <c r="V137" i="3"/>
  <c r="Q137" i="3"/>
  <c r="P137" i="3"/>
  <c r="O137" i="3"/>
  <c r="N137" i="3"/>
  <c r="L137" i="3"/>
  <c r="M137" i="3" s="1"/>
  <c r="H137" i="3"/>
  <c r="R137" i="3" s="1"/>
  <c r="W136" i="3"/>
  <c r="V136" i="3"/>
  <c r="Q136" i="3"/>
  <c r="P136" i="3"/>
  <c r="O136" i="3"/>
  <c r="N136" i="3"/>
  <c r="L136" i="3"/>
  <c r="M136" i="3" s="1"/>
  <c r="H136" i="3"/>
  <c r="R136" i="3" s="1"/>
  <c r="W135" i="3"/>
  <c r="V135" i="3"/>
  <c r="Q135" i="3"/>
  <c r="P135" i="3"/>
  <c r="O135" i="3"/>
  <c r="N135" i="3"/>
  <c r="L135" i="3"/>
  <c r="M135" i="3" s="1"/>
  <c r="H135" i="3"/>
  <c r="R135" i="3" s="1"/>
  <c r="W134" i="3"/>
  <c r="V134" i="3"/>
  <c r="Q134" i="3"/>
  <c r="P134" i="3"/>
  <c r="O134" i="3"/>
  <c r="N134" i="3"/>
  <c r="L134" i="3"/>
  <c r="M134" i="3" s="1"/>
  <c r="H134" i="3"/>
  <c r="R134" i="3" s="1"/>
  <c r="W133" i="3"/>
  <c r="V133" i="3"/>
  <c r="Q133" i="3"/>
  <c r="P133" i="3"/>
  <c r="O133" i="3"/>
  <c r="N133" i="3"/>
  <c r="M133" i="3"/>
  <c r="L133" i="3"/>
  <c r="H133" i="3"/>
  <c r="R133" i="3" s="1"/>
  <c r="W132" i="3"/>
  <c r="V132" i="3"/>
  <c r="Q132" i="3"/>
  <c r="P132" i="3"/>
  <c r="O132" i="3"/>
  <c r="N132" i="3"/>
  <c r="L132" i="3"/>
  <c r="M132" i="3" s="1"/>
  <c r="H132" i="3"/>
  <c r="R132" i="3" s="1"/>
  <c r="W131" i="3"/>
  <c r="V131" i="3"/>
  <c r="Q131" i="3"/>
  <c r="P131" i="3"/>
  <c r="O131" i="3"/>
  <c r="N131" i="3"/>
  <c r="L131" i="3"/>
  <c r="M131" i="3" s="1"/>
  <c r="H131" i="3"/>
  <c r="R131" i="3" s="1"/>
  <c r="W130" i="3"/>
  <c r="V130" i="3"/>
  <c r="Q130" i="3"/>
  <c r="P130" i="3"/>
  <c r="O130" i="3"/>
  <c r="N130" i="3"/>
  <c r="L130" i="3"/>
  <c r="M130" i="3" s="1"/>
  <c r="H130" i="3"/>
  <c r="R130" i="3" s="1"/>
  <c r="W129" i="3"/>
  <c r="V129" i="3"/>
  <c r="Q129" i="3"/>
  <c r="P129" i="3"/>
  <c r="O129" i="3"/>
  <c r="N129" i="3"/>
  <c r="M129" i="3"/>
  <c r="L129" i="3"/>
  <c r="H129" i="3"/>
  <c r="R129" i="3" s="1"/>
  <c r="W128" i="3"/>
  <c r="V128" i="3"/>
  <c r="Q128" i="3"/>
  <c r="P128" i="3"/>
  <c r="O128" i="3"/>
  <c r="N128" i="3"/>
  <c r="L128" i="3"/>
  <c r="M128" i="3" s="1"/>
  <c r="H128" i="3"/>
  <c r="R128" i="3" s="1"/>
  <c r="W127" i="3"/>
  <c r="V127" i="3"/>
  <c r="Q127" i="3"/>
  <c r="P127" i="3"/>
  <c r="O127" i="3"/>
  <c r="N127" i="3"/>
  <c r="M127" i="3"/>
  <c r="L127" i="3"/>
  <c r="H127" i="3"/>
  <c r="R127" i="3" s="1"/>
  <c r="W126" i="3"/>
  <c r="V126" i="3"/>
  <c r="Q126" i="3"/>
  <c r="P126" i="3"/>
  <c r="O126" i="3"/>
  <c r="N126" i="3"/>
  <c r="L126" i="3"/>
  <c r="M126" i="3" s="1"/>
  <c r="H126" i="3"/>
  <c r="R126" i="3" s="1"/>
  <c r="W125" i="3"/>
  <c r="V125" i="3"/>
  <c r="Q125" i="3"/>
  <c r="P125" i="3"/>
  <c r="O125" i="3"/>
  <c r="N125" i="3"/>
  <c r="M125" i="3"/>
  <c r="L125" i="3"/>
  <c r="H125" i="3"/>
  <c r="R125" i="3" s="1"/>
  <c r="W124" i="3"/>
  <c r="V124" i="3"/>
  <c r="Q124" i="3"/>
  <c r="P124" i="3"/>
  <c r="O124" i="3"/>
  <c r="N124" i="3"/>
  <c r="L124" i="3"/>
  <c r="M124" i="3" s="1"/>
  <c r="H124" i="3"/>
  <c r="R124" i="3" s="1"/>
  <c r="W123" i="3"/>
  <c r="V123" i="3"/>
  <c r="Q123" i="3"/>
  <c r="P123" i="3"/>
  <c r="O123" i="3"/>
  <c r="N123" i="3"/>
  <c r="L123" i="3"/>
  <c r="M123" i="3" s="1"/>
  <c r="H123" i="3"/>
  <c r="R123" i="3" s="1"/>
  <c r="W122" i="3"/>
  <c r="V122" i="3"/>
  <c r="Q122" i="3"/>
  <c r="P122" i="3"/>
  <c r="O122" i="3"/>
  <c r="N122" i="3"/>
  <c r="L122" i="3"/>
  <c r="M122" i="3" s="1"/>
  <c r="H122" i="3"/>
  <c r="R122" i="3" s="1"/>
  <c r="W121" i="3"/>
  <c r="V121" i="3"/>
  <c r="Q121" i="3"/>
  <c r="P121" i="3"/>
  <c r="O121" i="3"/>
  <c r="N121" i="3"/>
  <c r="M121" i="3"/>
  <c r="L121" i="3"/>
  <c r="H121" i="3"/>
  <c r="R121" i="3" s="1"/>
  <c r="W120" i="3"/>
  <c r="V120" i="3"/>
  <c r="Q120" i="3"/>
  <c r="P120" i="3"/>
  <c r="O120" i="3"/>
  <c r="N120" i="3"/>
  <c r="L120" i="3"/>
  <c r="M120" i="3" s="1"/>
  <c r="H120" i="3"/>
  <c r="R120" i="3" s="1"/>
  <c r="W119" i="3"/>
  <c r="V119" i="3"/>
  <c r="Q119" i="3"/>
  <c r="P119" i="3"/>
  <c r="O119" i="3"/>
  <c r="N119" i="3"/>
  <c r="L119" i="3"/>
  <c r="M119" i="3" s="1"/>
  <c r="H119" i="3"/>
  <c r="R119" i="3" s="1"/>
  <c r="W118" i="3"/>
  <c r="V118" i="3"/>
  <c r="Q118" i="3"/>
  <c r="P118" i="3"/>
  <c r="O118" i="3"/>
  <c r="N118" i="3"/>
  <c r="L118" i="3"/>
  <c r="M118" i="3" s="1"/>
  <c r="H118" i="3"/>
  <c r="R118" i="3" s="1"/>
  <c r="W117" i="3"/>
  <c r="V117" i="3"/>
  <c r="Q117" i="3"/>
  <c r="P117" i="3"/>
  <c r="O117" i="3"/>
  <c r="N117" i="3"/>
  <c r="M117" i="3"/>
  <c r="L117" i="3"/>
  <c r="H117" i="3"/>
  <c r="R117" i="3" s="1"/>
  <c r="W116" i="3"/>
  <c r="V116" i="3"/>
  <c r="Q116" i="3"/>
  <c r="P116" i="3"/>
  <c r="O116" i="3"/>
  <c r="N116" i="3"/>
  <c r="L116" i="3"/>
  <c r="M116" i="3" s="1"/>
  <c r="H116" i="3"/>
  <c r="R116" i="3" s="1"/>
  <c r="W115" i="3"/>
  <c r="V115" i="3"/>
  <c r="Q115" i="3"/>
  <c r="P115" i="3"/>
  <c r="O115" i="3"/>
  <c r="N115" i="3"/>
  <c r="M115" i="3"/>
  <c r="L115" i="3"/>
  <c r="H115" i="3"/>
  <c r="R115" i="3" s="1"/>
  <c r="W114" i="3"/>
  <c r="V114" i="3"/>
  <c r="Q114" i="3"/>
  <c r="P114" i="3"/>
  <c r="O114" i="3"/>
  <c r="N114" i="3"/>
  <c r="L114" i="3"/>
  <c r="M114" i="3" s="1"/>
  <c r="H114" i="3"/>
  <c r="R114" i="3" s="1"/>
  <c r="W113" i="3"/>
  <c r="V113" i="3"/>
  <c r="Q113" i="3"/>
  <c r="P113" i="3"/>
  <c r="O113" i="3"/>
  <c r="N113" i="3"/>
  <c r="M113" i="3"/>
  <c r="L113" i="3"/>
  <c r="H113" i="3"/>
  <c r="R113" i="3" s="1"/>
  <c r="W112" i="3"/>
  <c r="V112" i="3"/>
  <c r="Q112" i="3"/>
  <c r="P112" i="3"/>
  <c r="O112" i="3"/>
  <c r="N112" i="3"/>
  <c r="L112" i="3"/>
  <c r="M112" i="3" s="1"/>
  <c r="H112" i="3"/>
  <c r="R112" i="3" s="1"/>
  <c r="W111" i="3"/>
  <c r="V111" i="3"/>
  <c r="Q111" i="3"/>
  <c r="P111" i="3"/>
  <c r="O111" i="3"/>
  <c r="N111" i="3"/>
  <c r="L111" i="3"/>
  <c r="M111" i="3" s="1"/>
  <c r="H111" i="3"/>
  <c r="R111" i="3" s="1"/>
  <c r="W110" i="3"/>
  <c r="V110" i="3"/>
  <c r="Q110" i="3"/>
  <c r="P110" i="3"/>
  <c r="O110" i="3"/>
  <c r="N110" i="3"/>
  <c r="L110" i="3"/>
  <c r="M110" i="3" s="1"/>
  <c r="H110" i="3"/>
  <c r="R110" i="3" s="1"/>
  <c r="W109" i="3"/>
  <c r="V109" i="3"/>
  <c r="Q109" i="3"/>
  <c r="P109" i="3"/>
  <c r="O109" i="3"/>
  <c r="N109" i="3"/>
  <c r="M109" i="3"/>
  <c r="L109" i="3"/>
  <c r="H109" i="3"/>
  <c r="R109" i="3" s="1"/>
  <c r="W108" i="3"/>
  <c r="V108" i="3"/>
  <c r="Q108" i="3"/>
  <c r="P108" i="3"/>
  <c r="O108" i="3"/>
  <c r="N108" i="3"/>
  <c r="L108" i="3"/>
  <c r="M108" i="3" s="1"/>
  <c r="H108" i="3"/>
  <c r="R108" i="3" s="1"/>
  <c r="W107" i="3"/>
  <c r="V107" i="3"/>
  <c r="Q107" i="3"/>
  <c r="P107" i="3"/>
  <c r="O107" i="3"/>
  <c r="N107" i="3"/>
  <c r="L107" i="3"/>
  <c r="M107" i="3" s="1"/>
  <c r="H107" i="3"/>
  <c r="R107" i="3" s="1"/>
  <c r="W106" i="3"/>
  <c r="V106" i="3"/>
  <c r="Q106" i="3"/>
  <c r="P106" i="3"/>
  <c r="O106" i="3"/>
  <c r="N106" i="3"/>
  <c r="L106" i="3"/>
  <c r="M106" i="3" s="1"/>
  <c r="H106" i="3"/>
  <c r="R106" i="3" s="1"/>
  <c r="W105" i="3"/>
  <c r="V105" i="3"/>
  <c r="Q105" i="3"/>
  <c r="P105" i="3"/>
  <c r="O105" i="3"/>
  <c r="N105" i="3"/>
  <c r="M105" i="3"/>
  <c r="L105" i="3"/>
  <c r="H105" i="3"/>
  <c r="R105" i="3" s="1"/>
  <c r="W104" i="3"/>
  <c r="V104" i="3"/>
  <c r="Q104" i="3"/>
  <c r="P104" i="3"/>
  <c r="O104" i="3"/>
  <c r="N104" i="3"/>
  <c r="L104" i="3"/>
  <c r="M104" i="3" s="1"/>
  <c r="H104" i="3"/>
  <c r="R104" i="3" s="1"/>
  <c r="W103" i="3"/>
  <c r="V103" i="3"/>
  <c r="R103" i="3"/>
  <c r="Q103" i="3"/>
  <c r="P103" i="3"/>
  <c r="O103" i="3"/>
  <c r="N103" i="3"/>
  <c r="L103" i="3"/>
  <c r="M103" i="3" s="1"/>
  <c r="H103" i="3"/>
  <c r="W102" i="3"/>
  <c r="V102" i="3"/>
  <c r="R102" i="3"/>
  <c r="Q102" i="3"/>
  <c r="P102" i="3"/>
  <c r="O102" i="3"/>
  <c r="N102" i="3"/>
  <c r="L102" i="3"/>
  <c r="M102" i="3" s="1"/>
  <c r="H102" i="3"/>
  <c r="W101" i="3"/>
  <c r="V101" i="3"/>
  <c r="R101" i="3"/>
  <c r="Q101" i="3"/>
  <c r="P101" i="3"/>
  <c r="O101" i="3"/>
  <c r="N101" i="3"/>
  <c r="L101" i="3"/>
  <c r="M101" i="3" s="1"/>
  <c r="H101" i="3"/>
  <c r="W100" i="3"/>
  <c r="V100" i="3"/>
  <c r="R100" i="3"/>
  <c r="Q100" i="3"/>
  <c r="P100" i="3"/>
  <c r="O100" i="3"/>
  <c r="N100" i="3"/>
  <c r="L100" i="3"/>
  <c r="M100" i="3" s="1"/>
  <c r="H100" i="3"/>
  <c r="W99" i="3"/>
  <c r="V99" i="3"/>
  <c r="R99" i="3"/>
  <c r="Q99" i="3"/>
  <c r="P99" i="3"/>
  <c r="O99" i="3"/>
  <c r="N99" i="3"/>
  <c r="L99" i="3"/>
  <c r="M99" i="3" s="1"/>
  <c r="H99" i="3"/>
  <c r="W98" i="3"/>
  <c r="V98" i="3"/>
  <c r="R98" i="3"/>
  <c r="Q98" i="3"/>
  <c r="P98" i="3"/>
  <c r="O98" i="3"/>
  <c r="N98" i="3"/>
  <c r="L98" i="3"/>
  <c r="M98" i="3" s="1"/>
  <c r="H98" i="3"/>
  <c r="W97" i="3"/>
  <c r="V97" i="3"/>
  <c r="R97" i="3"/>
  <c r="Q97" i="3"/>
  <c r="P97" i="3"/>
  <c r="O97" i="3"/>
  <c r="N97" i="3"/>
  <c r="L97" i="3"/>
  <c r="M97" i="3" s="1"/>
  <c r="H97" i="3"/>
  <c r="W96" i="3"/>
  <c r="V96" i="3"/>
  <c r="R96" i="3"/>
  <c r="Q96" i="3"/>
  <c r="P96" i="3"/>
  <c r="O96" i="3"/>
  <c r="N96" i="3"/>
  <c r="L96" i="3"/>
  <c r="M96" i="3" s="1"/>
  <c r="H96" i="3"/>
  <c r="W95" i="3"/>
  <c r="V95" i="3"/>
  <c r="R95" i="3"/>
  <c r="Q95" i="3"/>
  <c r="P95" i="3"/>
  <c r="O95" i="3"/>
  <c r="N95" i="3"/>
  <c r="L95" i="3"/>
  <c r="M95" i="3" s="1"/>
  <c r="H95" i="3"/>
  <c r="W94" i="3"/>
  <c r="V94" i="3"/>
  <c r="R94" i="3"/>
  <c r="Q94" i="3"/>
  <c r="P94" i="3"/>
  <c r="O94" i="3"/>
  <c r="N94" i="3"/>
  <c r="L94" i="3"/>
  <c r="M94" i="3" s="1"/>
  <c r="H94" i="3"/>
  <c r="W93" i="3"/>
  <c r="V93" i="3"/>
  <c r="Q93" i="3"/>
  <c r="R93" i="3" s="1"/>
  <c r="P93" i="3"/>
  <c r="O93" i="3"/>
  <c r="N93" i="3"/>
  <c r="L93" i="3"/>
  <c r="M93" i="3" s="1"/>
  <c r="H93" i="3"/>
  <c r="W92" i="3"/>
  <c r="V92" i="3"/>
  <c r="Q92" i="3"/>
  <c r="R92" i="3" s="1"/>
  <c r="P92" i="3"/>
  <c r="O92" i="3"/>
  <c r="N92" i="3"/>
  <c r="L92" i="3"/>
  <c r="M92" i="3" s="1"/>
  <c r="H92" i="3"/>
  <c r="W91" i="3"/>
  <c r="V91" i="3"/>
  <c r="Q91" i="3"/>
  <c r="R91" i="3" s="1"/>
  <c r="P91" i="3"/>
  <c r="O91" i="3"/>
  <c r="N91" i="3"/>
  <c r="L91" i="3"/>
  <c r="M91" i="3" s="1"/>
  <c r="H91" i="3"/>
  <c r="W90" i="3"/>
  <c r="V90" i="3"/>
  <c r="Q90" i="3"/>
  <c r="R90" i="3" s="1"/>
  <c r="P90" i="3"/>
  <c r="O90" i="3"/>
  <c r="N90" i="3"/>
  <c r="L90" i="3"/>
  <c r="M90" i="3" s="1"/>
  <c r="H90" i="3"/>
  <c r="W89" i="3"/>
  <c r="V89" i="3"/>
  <c r="Q89" i="3"/>
  <c r="R89" i="3" s="1"/>
  <c r="P89" i="3"/>
  <c r="O89" i="3"/>
  <c r="N89" i="3"/>
  <c r="L89" i="3"/>
  <c r="M89" i="3" s="1"/>
  <c r="H89" i="3"/>
  <c r="W88" i="3"/>
  <c r="V88" i="3"/>
  <c r="Q88" i="3"/>
  <c r="R88" i="3" s="1"/>
  <c r="P88" i="3"/>
  <c r="O88" i="3"/>
  <c r="N88" i="3"/>
  <c r="L88" i="3"/>
  <c r="M88" i="3" s="1"/>
  <c r="H88" i="3"/>
  <c r="W87" i="3"/>
  <c r="V87" i="3"/>
  <c r="Q87" i="3"/>
  <c r="R87" i="3" s="1"/>
  <c r="P87" i="3"/>
  <c r="O87" i="3"/>
  <c r="N87" i="3"/>
  <c r="L87" i="3"/>
  <c r="M87" i="3" s="1"/>
  <c r="H87" i="3"/>
  <c r="W86" i="3"/>
  <c r="V86" i="3"/>
  <c r="Q86" i="3"/>
  <c r="R86" i="3" s="1"/>
  <c r="P86" i="3"/>
  <c r="O86" i="3"/>
  <c r="N86" i="3"/>
  <c r="L86" i="3"/>
  <c r="M86" i="3" s="1"/>
  <c r="H86" i="3"/>
  <c r="W85" i="3"/>
  <c r="V85" i="3"/>
  <c r="Q85" i="3"/>
  <c r="R85" i="3" s="1"/>
  <c r="P85" i="3"/>
  <c r="O85" i="3"/>
  <c r="N85" i="3"/>
  <c r="L85" i="3"/>
  <c r="M85" i="3" s="1"/>
  <c r="H85" i="3"/>
  <c r="W84" i="3"/>
  <c r="V84" i="3"/>
  <c r="Q84" i="3"/>
  <c r="R84" i="3" s="1"/>
  <c r="P84" i="3"/>
  <c r="O84" i="3"/>
  <c r="N84" i="3"/>
  <c r="L84" i="3"/>
  <c r="M84" i="3" s="1"/>
  <c r="H84" i="3"/>
  <c r="W83" i="3"/>
  <c r="V83" i="3"/>
  <c r="Q83" i="3"/>
  <c r="R83" i="3" s="1"/>
  <c r="P83" i="3"/>
  <c r="O83" i="3"/>
  <c r="N83" i="3"/>
  <c r="L83" i="3"/>
  <c r="M83" i="3" s="1"/>
  <c r="H83" i="3"/>
  <c r="W82" i="3"/>
  <c r="V82" i="3"/>
  <c r="Q82" i="3"/>
  <c r="R82" i="3" s="1"/>
  <c r="P82" i="3"/>
  <c r="O82" i="3"/>
  <c r="N82" i="3"/>
  <c r="L82" i="3"/>
  <c r="M82" i="3" s="1"/>
  <c r="H82" i="3"/>
  <c r="W81" i="3"/>
  <c r="V81" i="3"/>
  <c r="Q81" i="3"/>
  <c r="R81" i="3" s="1"/>
  <c r="P81" i="3"/>
  <c r="O81" i="3"/>
  <c r="N81" i="3"/>
  <c r="L81" i="3"/>
  <c r="M81" i="3" s="1"/>
  <c r="H81" i="3"/>
  <c r="W80" i="3"/>
  <c r="V80" i="3"/>
  <c r="Q80" i="3"/>
  <c r="R80" i="3" s="1"/>
  <c r="P80" i="3"/>
  <c r="O80" i="3"/>
  <c r="N80" i="3"/>
  <c r="L80" i="3"/>
  <c r="M80" i="3" s="1"/>
  <c r="H80" i="3"/>
  <c r="W79" i="3"/>
  <c r="V79" i="3"/>
  <c r="Q79" i="3"/>
  <c r="R79" i="3" s="1"/>
  <c r="P79" i="3"/>
  <c r="O79" i="3"/>
  <c r="N79" i="3"/>
  <c r="L79" i="3"/>
  <c r="M79" i="3" s="1"/>
  <c r="H79" i="3"/>
  <c r="W78" i="3"/>
  <c r="V78" i="3"/>
  <c r="Q78" i="3"/>
  <c r="R78" i="3" s="1"/>
  <c r="P78" i="3"/>
  <c r="O78" i="3"/>
  <c r="N78" i="3"/>
  <c r="L78" i="3"/>
  <c r="M78" i="3" s="1"/>
  <c r="H78" i="3"/>
  <c r="W77" i="3"/>
  <c r="V77" i="3"/>
  <c r="Q77" i="3"/>
  <c r="R77" i="3" s="1"/>
  <c r="P77" i="3"/>
  <c r="O77" i="3"/>
  <c r="N77" i="3"/>
  <c r="L77" i="3"/>
  <c r="M77" i="3" s="1"/>
  <c r="H77" i="3"/>
  <c r="W76" i="3"/>
  <c r="V76" i="3"/>
  <c r="Q76" i="3"/>
  <c r="R76" i="3" s="1"/>
  <c r="P76" i="3"/>
  <c r="O76" i="3"/>
  <c r="N76" i="3"/>
  <c r="L76" i="3"/>
  <c r="M76" i="3" s="1"/>
  <c r="H76" i="3"/>
  <c r="W75" i="3"/>
  <c r="V75" i="3"/>
  <c r="Q75" i="3"/>
  <c r="R75" i="3" s="1"/>
  <c r="P75" i="3"/>
  <c r="O75" i="3"/>
  <c r="N75" i="3"/>
  <c r="L75" i="3"/>
  <c r="M75" i="3" s="1"/>
  <c r="H75" i="3"/>
  <c r="W74" i="3"/>
  <c r="V74" i="3"/>
  <c r="Q74" i="3"/>
  <c r="R74" i="3" s="1"/>
  <c r="P74" i="3"/>
  <c r="O74" i="3"/>
  <c r="N74" i="3"/>
  <c r="L74" i="3"/>
  <c r="M74" i="3" s="1"/>
  <c r="H74" i="3"/>
  <c r="W73" i="3"/>
  <c r="V73" i="3"/>
  <c r="Q73" i="3"/>
  <c r="R73" i="3" s="1"/>
  <c r="P73" i="3"/>
  <c r="O73" i="3"/>
  <c r="N73" i="3"/>
  <c r="L73" i="3"/>
  <c r="M73" i="3" s="1"/>
  <c r="H73" i="3"/>
  <c r="W72" i="3"/>
  <c r="V72" i="3"/>
  <c r="Q72" i="3"/>
  <c r="R72" i="3" s="1"/>
  <c r="P72" i="3"/>
  <c r="O72" i="3"/>
  <c r="N72" i="3"/>
  <c r="L72" i="3"/>
  <c r="M72" i="3" s="1"/>
  <c r="H72" i="3"/>
  <c r="W71" i="3"/>
  <c r="V71" i="3"/>
  <c r="Q71" i="3"/>
  <c r="R71" i="3" s="1"/>
  <c r="P71" i="3"/>
  <c r="O71" i="3"/>
  <c r="N71" i="3"/>
  <c r="L71" i="3"/>
  <c r="M71" i="3" s="1"/>
  <c r="H71" i="3"/>
  <c r="W70" i="3"/>
  <c r="V70" i="3"/>
  <c r="Q70" i="3"/>
  <c r="R70" i="3" s="1"/>
  <c r="P70" i="3"/>
  <c r="O70" i="3"/>
  <c r="N70" i="3"/>
  <c r="L70" i="3"/>
  <c r="M70" i="3" s="1"/>
  <c r="H70" i="3"/>
  <c r="W69" i="3"/>
  <c r="V69" i="3"/>
  <c r="Q69" i="3"/>
  <c r="R69" i="3" s="1"/>
  <c r="P69" i="3"/>
  <c r="O69" i="3"/>
  <c r="N69" i="3"/>
  <c r="L69" i="3"/>
  <c r="M69" i="3" s="1"/>
  <c r="H69" i="3"/>
  <c r="W68" i="3"/>
  <c r="V68" i="3"/>
  <c r="Q68" i="3"/>
  <c r="R68" i="3" s="1"/>
  <c r="P68" i="3"/>
  <c r="O68" i="3"/>
  <c r="N68" i="3"/>
  <c r="L68" i="3"/>
  <c r="M68" i="3" s="1"/>
  <c r="H68" i="3"/>
  <c r="W67" i="3"/>
  <c r="V67" i="3"/>
  <c r="Q67" i="3"/>
  <c r="R67" i="3" s="1"/>
  <c r="P67" i="3"/>
  <c r="O67" i="3"/>
  <c r="N67" i="3"/>
  <c r="L67" i="3"/>
  <c r="M67" i="3" s="1"/>
  <c r="H67" i="3"/>
  <c r="W66" i="3"/>
  <c r="V66" i="3"/>
  <c r="Q66" i="3"/>
  <c r="R66" i="3" s="1"/>
  <c r="P66" i="3"/>
  <c r="O66" i="3"/>
  <c r="N66" i="3"/>
  <c r="L66" i="3"/>
  <c r="M66" i="3" s="1"/>
  <c r="H66" i="3"/>
  <c r="W65" i="3"/>
  <c r="V65" i="3"/>
  <c r="Q65" i="3"/>
  <c r="R65" i="3" s="1"/>
  <c r="P65" i="3"/>
  <c r="O65" i="3"/>
  <c r="N65" i="3"/>
  <c r="L65" i="3"/>
  <c r="M65" i="3" s="1"/>
  <c r="H65" i="3"/>
  <c r="W64" i="3"/>
  <c r="V64" i="3"/>
  <c r="Q64" i="3"/>
  <c r="R64" i="3" s="1"/>
  <c r="P64" i="3"/>
  <c r="O64" i="3"/>
  <c r="N64" i="3"/>
  <c r="L64" i="3"/>
  <c r="M64" i="3" s="1"/>
  <c r="H64" i="3"/>
  <c r="W63" i="3"/>
  <c r="V63" i="3"/>
  <c r="Q63" i="3"/>
  <c r="R63" i="3" s="1"/>
  <c r="P63" i="3"/>
  <c r="O63" i="3"/>
  <c r="N63" i="3"/>
  <c r="L63" i="3"/>
  <c r="M63" i="3" s="1"/>
  <c r="H63" i="3"/>
  <c r="W62" i="3"/>
  <c r="V62" i="3"/>
  <c r="Q62" i="3"/>
  <c r="R62" i="3" s="1"/>
  <c r="P62" i="3"/>
  <c r="O62" i="3"/>
  <c r="N62" i="3"/>
  <c r="L62" i="3"/>
  <c r="M62" i="3" s="1"/>
  <c r="H62" i="3"/>
  <c r="W61" i="3"/>
  <c r="V61" i="3"/>
  <c r="Q61" i="3"/>
  <c r="R61" i="3" s="1"/>
  <c r="P61" i="3"/>
  <c r="O61" i="3"/>
  <c r="N61" i="3"/>
  <c r="L61" i="3"/>
  <c r="M61" i="3" s="1"/>
  <c r="H61" i="3"/>
  <c r="W60" i="3"/>
  <c r="V60" i="3"/>
  <c r="Q60" i="3"/>
  <c r="R60" i="3" s="1"/>
  <c r="P60" i="3"/>
  <c r="O60" i="3"/>
  <c r="N60" i="3"/>
  <c r="L60" i="3"/>
  <c r="M60" i="3" s="1"/>
  <c r="H60" i="3"/>
  <c r="W59" i="3"/>
  <c r="V59" i="3"/>
  <c r="Q59" i="3"/>
  <c r="R59" i="3" s="1"/>
  <c r="P59" i="3"/>
  <c r="O59" i="3"/>
  <c r="N59" i="3"/>
  <c r="L59" i="3"/>
  <c r="M59" i="3" s="1"/>
  <c r="H59" i="3"/>
  <c r="W58" i="3"/>
  <c r="V58" i="3"/>
  <c r="Q58" i="3"/>
  <c r="R58" i="3" s="1"/>
  <c r="P58" i="3"/>
  <c r="O58" i="3"/>
  <c r="N58" i="3"/>
  <c r="L58" i="3"/>
  <c r="M58" i="3" s="1"/>
  <c r="H58" i="3"/>
  <c r="W57" i="3"/>
  <c r="V57" i="3"/>
  <c r="Q57" i="3"/>
  <c r="R57" i="3" s="1"/>
  <c r="P57" i="3"/>
  <c r="O57" i="3"/>
  <c r="N57" i="3"/>
  <c r="L57" i="3"/>
  <c r="M57" i="3" s="1"/>
  <c r="H57" i="3"/>
  <c r="W56" i="3"/>
  <c r="V56" i="3"/>
  <c r="Q56" i="3"/>
  <c r="R56" i="3" s="1"/>
  <c r="P56" i="3"/>
  <c r="O56" i="3"/>
  <c r="N56" i="3"/>
  <c r="L56" i="3"/>
  <c r="M56" i="3" s="1"/>
  <c r="H56" i="3"/>
  <c r="W55" i="3"/>
  <c r="V55" i="3"/>
  <c r="Q55" i="3"/>
  <c r="R55" i="3" s="1"/>
  <c r="P55" i="3"/>
  <c r="O55" i="3"/>
  <c r="N55" i="3"/>
  <c r="L55" i="3"/>
  <c r="M55" i="3" s="1"/>
  <c r="H55" i="3"/>
  <c r="W54" i="3"/>
  <c r="V54" i="3"/>
  <c r="Q54" i="3"/>
  <c r="R54" i="3" s="1"/>
  <c r="P54" i="3"/>
  <c r="O54" i="3"/>
  <c r="N54" i="3"/>
  <c r="L54" i="3"/>
  <c r="M54" i="3" s="1"/>
  <c r="H54" i="3"/>
  <c r="W53" i="3"/>
  <c r="V53" i="3"/>
  <c r="Q53" i="3"/>
  <c r="R53" i="3" s="1"/>
  <c r="P53" i="3"/>
  <c r="O53" i="3"/>
  <c r="N53" i="3"/>
  <c r="L53" i="3"/>
  <c r="M53" i="3" s="1"/>
  <c r="H53" i="3"/>
  <c r="W52" i="3"/>
  <c r="V52" i="3"/>
  <c r="Q52" i="3"/>
  <c r="R52" i="3" s="1"/>
  <c r="P52" i="3"/>
  <c r="O52" i="3"/>
  <c r="N52" i="3"/>
  <c r="L52" i="3"/>
  <c r="M52" i="3" s="1"/>
  <c r="H52" i="3"/>
  <c r="W51" i="3"/>
  <c r="V51" i="3"/>
  <c r="R51" i="3"/>
  <c r="Q51" i="3"/>
  <c r="P51" i="3"/>
  <c r="O51" i="3"/>
  <c r="N51" i="3"/>
  <c r="L51" i="3"/>
  <c r="M51" i="3" s="1"/>
  <c r="H51" i="3"/>
  <c r="W50" i="3"/>
  <c r="V50" i="3"/>
  <c r="Q50" i="3"/>
  <c r="R50" i="3" s="1"/>
  <c r="P50" i="3"/>
  <c r="O50" i="3"/>
  <c r="N50" i="3"/>
  <c r="L50" i="3"/>
  <c r="M50" i="3" s="1"/>
  <c r="H50" i="3"/>
  <c r="W49" i="3"/>
  <c r="V49" i="3"/>
  <c r="Q49" i="3"/>
  <c r="R49" i="3" s="1"/>
  <c r="P49" i="3"/>
  <c r="O49" i="3"/>
  <c r="N49" i="3"/>
  <c r="L49" i="3"/>
  <c r="M49" i="3" s="1"/>
  <c r="H49" i="3"/>
  <c r="W48" i="3"/>
  <c r="V48" i="3"/>
  <c r="Q48" i="3"/>
  <c r="R48" i="3" s="1"/>
  <c r="P48" i="3"/>
  <c r="O48" i="3"/>
  <c r="N48" i="3"/>
  <c r="L48" i="3"/>
  <c r="M48" i="3" s="1"/>
  <c r="H48" i="3"/>
  <c r="W47" i="3"/>
  <c r="V47" i="3"/>
  <c r="Q47" i="3"/>
  <c r="R47" i="3" s="1"/>
  <c r="P47" i="3"/>
  <c r="O47" i="3"/>
  <c r="N47" i="3"/>
  <c r="L47" i="3"/>
  <c r="M47" i="3" s="1"/>
  <c r="H47" i="3"/>
  <c r="W46" i="3"/>
  <c r="V46" i="3"/>
  <c r="Q46" i="3"/>
  <c r="R46" i="3" s="1"/>
  <c r="P46" i="3"/>
  <c r="O46" i="3"/>
  <c r="N46" i="3"/>
  <c r="L46" i="3"/>
  <c r="M46" i="3" s="1"/>
  <c r="H46" i="3"/>
  <c r="W45" i="3"/>
  <c r="V45" i="3"/>
  <c r="R45" i="3"/>
  <c r="Q45" i="3"/>
  <c r="P45" i="3"/>
  <c r="O45" i="3"/>
  <c r="N45" i="3"/>
  <c r="L45" i="3"/>
  <c r="M45" i="3" s="1"/>
  <c r="H45" i="3"/>
  <c r="W44" i="3"/>
  <c r="V44" i="3"/>
  <c r="Q44" i="3"/>
  <c r="R44" i="3" s="1"/>
  <c r="P44" i="3"/>
  <c r="O44" i="3"/>
  <c r="N44" i="3"/>
  <c r="L44" i="3"/>
  <c r="M44" i="3" s="1"/>
  <c r="H44" i="3"/>
  <c r="W43" i="3"/>
  <c r="V43" i="3"/>
  <c r="Q43" i="3"/>
  <c r="R43" i="3" s="1"/>
  <c r="P43" i="3"/>
  <c r="O43" i="3"/>
  <c r="N43" i="3"/>
  <c r="L43" i="3"/>
  <c r="M43" i="3" s="1"/>
  <c r="H43" i="3"/>
  <c r="W42" i="3"/>
  <c r="V42" i="3"/>
  <c r="Q42" i="3"/>
  <c r="R42" i="3" s="1"/>
  <c r="P42" i="3"/>
  <c r="O42" i="3"/>
  <c r="N42" i="3"/>
  <c r="L42" i="3"/>
  <c r="M42" i="3" s="1"/>
  <c r="H42" i="3"/>
  <c r="W41" i="3"/>
  <c r="V41" i="3"/>
  <c r="R41" i="3"/>
  <c r="Q41" i="3"/>
  <c r="P41" i="3"/>
  <c r="O41" i="3"/>
  <c r="N41" i="3"/>
  <c r="L41" i="3"/>
  <c r="M41" i="3" s="1"/>
  <c r="H41" i="3"/>
  <c r="W40" i="3"/>
  <c r="V40" i="3"/>
  <c r="Q40" i="3"/>
  <c r="R40" i="3" s="1"/>
  <c r="P40" i="3"/>
  <c r="O40" i="3"/>
  <c r="N40" i="3"/>
  <c r="L40" i="3"/>
  <c r="M40" i="3" s="1"/>
  <c r="H40" i="3"/>
  <c r="W39" i="3"/>
  <c r="V39" i="3"/>
  <c r="Q39" i="3"/>
  <c r="R39" i="3" s="1"/>
  <c r="P39" i="3"/>
  <c r="O39" i="3"/>
  <c r="N39" i="3"/>
  <c r="L39" i="3"/>
  <c r="M39" i="3" s="1"/>
  <c r="H39" i="3"/>
  <c r="W38" i="3"/>
  <c r="V38" i="3"/>
  <c r="Q38" i="3"/>
  <c r="R38" i="3" s="1"/>
  <c r="P38" i="3"/>
  <c r="O38" i="3"/>
  <c r="N38" i="3"/>
  <c r="L38" i="3"/>
  <c r="M38" i="3" s="1"/>
  <c r="H38" i="3"/>
  <c r="W37" i="3"/>
  <c r="V37" i="3"/>
  <c r="Q37" i="3"/>
  <c r="R37" i="3" s="1"/>
  <c r="P37" i="3"/>
  <c r="O37" i="3"/>
  <c r="N37" i="3"/>
  <c r="L37" i="3"/>
  <c r="M37" i="3" s="1"/>
  <c r="H37" i="3"/>
  <c r="W36" i="3"/>
  <c r="V36" i="3"/>
  <c r="R36" i="3"/>
  <c r="Q36" i="3"/>
  <c r="P36" i="3"/>
  <c r="O36" i="3"/>
  <c r="N36" i="3"/>
  <c r="L36" i="3"/>
  <c r="M36" i="3" s="1"/>
  <c r="H36" i="3"/>
  <c r="W35" i="3"/>
  <c r="V35" i="3"/>
  <c r="Q35" i="3"/>
  <c r="R35" i="3" s="1"/>
  <c r="P35" i="3"/>
  <c r="O35" i="3"/>
  <c r="N35" i="3"/>
  <c r="L35" i="3"/>
  <c r="M35" i="3" s="1"/>
  <c r="H35" i="3"/>
  <c r="W34" i="3"/>
  <c r="V34" i="3"/>
  <c r="Q34" i="3"/>
  <c r="R34" i="3" s="1"/>
  <c r="P34" i="3"/>
  <c r="O34" i="3"/>
  <c r="N34" i="3"/>
  <c r="L34" i="3"/>
  <c r="M34" i="3" s="1"/>
  <c r="H34" i="3"/>
  <c r="W33" i="3"/>
  <c r="V33" i="3"/>
  <c r="R33" i="3"/>
  <c r="Q33" i="3"/>
  <c r="P33" i="3"/>
  <c r="O33" i="3"/>
  <c r="N33" i="3"/>
  <c r="L33" i="3"/>
  <c r="M33" i="3" s="1"/>
  <c r="H33" i="3"/>
  <c r="W32" i="3"/>
  <c r="V32" i="3"/>
  <c r="Q32" i="3"/>
  <c r="R32" i="3" s="1"/>
  <c r="P32" i="3"/>
  <c r="O32" i="3"/>
  <c r="N32" i="3"/>
  <c r="L32" i="3"/>
  <c r="M32" i="3" s="1"/>
  <c r="H32" i="3"/>
  <c r="W31" i="3"/>
  <c r="V31" i="3"/>
  <c r="R31" i="3"/>
  <c r="Q31" i="3"/>
  <c r="P31" i="3"/>
  <c r="O31" i="3"/>
  <c r="N31" i="3"/>
  <c r="L31" i="3"/>
  <c r="M31" i="3" s="1"/>
  <c r="H31" i="3"/>
  <c r="W30" i="3"/>
  <c r="V30" i="3"/>
  <c r="Q30" i="3"/>
  <c r="R30" i="3" s="1"/>
  <c r="P30" i="3"/>
  <c r="O30" i="3"/>
  <c r="N30" i="3"/>
  <c r="L30" i="3"/>
  <c r="M30" i="3" s="1"/>
  <c r="H30" i="3"/>
  <c r="W29" i="3"/>
  <c r="V29" i="3"/>
  <c r="R29" i="3"/>
  <c r="Q29" i="3"/>
  <c r="P29" i="3"/>
  <c r="O29" i="3"/>
  <c r="N29" i="3"/>
  <c r="L29" i="3"/>
  <c r="M29" i="3" s="1"/>
  <c r="H29" i="3"/>
  <c r="W28" i="3"/>
  <c r="V28" i="3"/>
  <c r="Q28" i="3"/>
  <c r="R28" i="3" s="1"/>
  <c r="P28" i="3"/>
  <c r="O28" i="3"/>
  <c r="N28" i="3"/>
  <c r="L28" i="3"/>
  <c r="M28" i="3" s="1"/>
  <c r="H28" i="3"/>
  <c r="W27" i="3"/>
  <c r="V27" i="3"/>
  <c r="Q27" i="3"/>
  <c r="R27" i="3" s="1"/>
  <c r="P27" i="3"/>
  <c r="O27" i="3"/>
  <c r="N27" i="3"/>
  <c r="L27" i="3"/>
  <c r="M27" i="3" s="1"/>
  <c r="H27" i="3"/>
  <c r="W26" i="3"/>
  <c r="V26" i="3"/>
  <c r="Q26" i="3"/>
  <c r="R26" i="3" s="1"/>
  <c r="P26" i="3"/>
  <c r="O26" i="3"/>
  <c r="N26" i="3"/>
  <c r="L26" i="3"/>
  <c r="M26" i="3" s="1"/>
  <c r="H26" i="3"/>
  <c r="W25" i="3"/>
  <c r="V25" i="3"/>
  <c r="Q25" i="3"/>
  <c r="R25" i="3" s="1"/>
  <c r="P25" i="3"/>
  <c r="O25" i="3"/>
  <c r="N25" i="3"/>
  <c r="L25" i="3"/>
  <c r="M25" i="3" s="1"/>
  <c r="H25" i="3"/>
  <c r="W24" i="3"/>
  <c r="V24" i="3"/>
  <c r="R24" i="3"/>
  <c r="Q24" i="3"/>
  <c r="P24" i="3"/>
  <c r="O24" i="3"/>
  <c r="N24" i="3"/>
  <c r="L24" i="3"/>
  <c r="M24" i="3" s="1"/>
  <c r="H24" i="3"/>
  <c r="W23" i="3"/>
  <c r="V23" i="3"/>
  <c r="Q23" i="3"/>
  <c r="R23" i="3" s="1"/>
  <c r="P23" i="3"/>
  <c r="O23" i="3"/>
  <c r="N23" i="3"/>
  <c r="L23" i="3"/>
  <c r="M23" i="3" s="1"/>
  <c r="H23" i="3"/>
  <c r="W22" i="3"/>
  <c r="V22" i="3"/>
  <c r="Q22" i="3"/>
  <c r="R22" i="3" s="1"/>
  <c r="P22" i="3"/>
  <c r="O22" i="3"/>
  <c r="N22" i="3"/>
  <c r="L22" i="3"/>
  <c r="M22" i="3" s="1"/>
  <c r="H22" i="3"/>
  <c r="W21" i="3"/>
  <c r="V21" i="3"/>
  <c r="R21" i="3"/>
  <c r="Q21" i="3"/>
  <c r="P21" i="3"/>
  <c r="O21" i="3"/>
  <c r="N21" i="3"/>
  <c r="L21" i="3"/>
  <c r="M21" i="3" s="1"/>
  <c r="H21" i="3"/>
  <c r="W20" i="3"/>
  <c r="V20" i="3"/>
  <c r="Q20" i="3"/>
  <c r="R20" i="3" s="1"/>
  <c r="P20" i="3"/>
  <c r="O20" i="3"/>
  <c r="N20" i="3"/>
  <c r="L20" i="3"/>
  <c r="M20" i="3" s="1"/>
  <c r="H20" i="3"/>
  <c r="W19" i="3"/>
  <c r="V19" i="3"/>
  <c r="R19" i="3"/>
  <c r="Q19" i="3"/>
  <c r="P19" i="3"/>
  <c r="O19" i="3"/>
  <c r="N19" i="3"/>
  <c r="L19" i="3"/>
  <c r="M19" i="3" s="1"/>
  <c r="H19" i="3"/>
  <c r="W18" i="3"/>
  <c r="V18" i="3"/>
  <c r="Q18" i="3"/>
  <c r="R18" i="3" s="1"/>
  <c r="P18" i="3"/>
  <c r="O18" i="3"/>
  <c r="N18" i="3"/>
  <c r="L18" i="3"/>
  <c r="M18" i="3" s="1"/>
  <c r="H18" i="3"/>
  <c r="W17" i="3"/>
  <c r="V17" i="3"/>
  <c r="Q17" i="3"/>
  <c r="R17" i="3" s="1"/>
  <c r="P17" i="3"/>
  <c r="O17" i="3"/>
  <c r="N17" i="3"/>
  <c r="L17" i="3"/>
  <c r="M17" i="3" s="1"/>
  <c r="H17" i="3"/>
  <c r="W16" i="3"/>
  <c r="L16" i="3"/>
  <c r="M16" i="3" s="1"/>
  <c r="G16" i="3"/>
  <c r="O16" i="3" s="1"/>
  <c r="F16" i="3"/>
  <c r="H16" i="3" s="1"/>
  <c r="P16" i="3" s="1"/>
  <c r="W15" i="3"/>
  <c r="L15" i="3"/>
  <c r="M15" i="3" s="1"/>
  <c r="G15" i="3"/>
  <c r="F15" i="3"/>
  <c r="W14" i="3"/>
  <c r="L14" i="3"/>
  <c r="M14" i="3" s="1"/>
  <c r="G14" i="3"/>
  <c r="N14" i="3" s="1"/>
  <c r="F14" i="3"/>
  <c r="V14" i="3" s="1"/>
  <c r="W13" i="3"/>
  <c r="M13" i="3"/>
  <c r="L13" i="3"/>
  <c r="G13" i="3"/>
  <c r="O13" i="3" s="1"/>
  <c r="F13" i="3"/>
  <c r="H13" i="3" s="1"/>
  <c r="W12" i="3"/>
  <c r="Q12" i="3"/>
  <c r="P12" i="3"/>
  <c r="N12" i="3"/>
  <c r="L12" i="3"/>
  <c r="M12" i="3" s="1"/>
  <c r="G12" i="3"/>
  <c r="O12" i="3" s="1"/>
  <c r="F12" i="3"/>
  <c r="V12" i="3" s="1"/>
  <c r="W11" i="3"/>
  <c r="N11" i="3"/>
  <c r="L11" i="3"/>
  <c r="M11" i="3" s="1"/>
  <c r="G11" i="3"/>
  <c r="D11" i="4" s="1"/>
  <c r="F11" i="3"/>
  <c r="H11" i="3" s="1"/>
  <c r="W10" i="3"/>
  <c r="L10" i="3"/>
  <c r="M10" i="3" s="1"/>
  <c r="G10" i="3"/>
  <c r="F10" i="3"/>
  <c r="W9" i="3"/>
  <c r="L9" i="3"/>
  <c r="M9" i="3" s="1"/>
  <c r="G9" i="3"/>
  <c r="F9" i="3"/>
  <c r="W8" i="3"/>
  <c r="L8" i="3"/>
  <c r="M8" i="3" s="1"/>
  <c r="G8" i="3"/>
  <c r="V8" i="3" s="1"/>
  <c r="F8" i="3"/>
  <c r="W7" i="3"/>
  <c r="O7" i="3"/>
  <c r="M7" i="3"/>
  <c r="L7" i="3"/>
  <c r="G7" i="3"/>
  <c r="D7" i="4" s="1"/>
  <c r="F7" i="3"/>
  <c r="W6" i="3"/>
  <c r="L6" i="3"/>
  <c r="M6" i="3" s="1"/>
  <c r="G6" i="3"/>
  <c r="O6" i="3" s="1"/>
  <c r="F6" i="3"/>
  <c r="W5" i="3"/>
  <c r="N5" i="3"/>
  <c r="L5" i="3"/>
  <c r="M5" i="3" s="1"/>
  <c r="G5" i="3"/>
  <c r="D5" i="4" s="1"/>
  <c r="F5" i="3"/>
  <c r="H5" i="3" s="1"/>
  <c r="P5" i="3" s="1"/>
  <c r="B22" i="2"/>
  <c r="A22" i="2"/>
  <c r="A21" i="2"/>
  <c r="H20" i="2"/>
  <c r="E20" i="2"/>
  <c r="A20" i="2"/>
  <c r="J20" i="2" s="1"/>
  <c r="I19" i="2"/>
  <c r="F19" i="2"/>
  <c r="A19" i="2"/>
  <c r="E19" i="2" s="1"/>
  <c r="J18" i="2"/>
  <c r="G18" i="2"/>
  <c r="F18" i="2"/>
  <c r="E18" i="2"/>
  <c r="B18" i="2"/>
  <c r="A18" i="2"/>
  <c r="G17" i="2"/>
  <c r="F17" i="2"/>
  <c r="E17" i="2"/>
  <c r="B17" i="2"/>
  <c r="A17" i="2"/>
  <c r="I16" i="2"/>
  <c r="H16" i="2"/>
  <c r="G16" i="2"/>
  <c r="F16" i="2"/>
  <c r="E16" i="2"/>
  <c r="B16" i="2"/>
  <c r="A16" i="2"/>
  <c r="A15" i="2"/>
  <c r="E15" i="2" s="1"/>
  <c r="J14" i="2"/>
  <c r="I14" i="2"/>
  <c r="K14" i="2" s="1"/>
  <c r="H14" i="2"/>
  <c r="G14" i="2"/>
  <c r="F14" i="2"/>
  <c r="E14" i="2"/>
  <c r="B14" i="2"/>
  <c r="A14" i="2"/>
  <c r="I13" i="2"/>
  <c r="A13" i="2"/>
  <c r="I12" i="2"/>
  <c r="A12" i="2"/>
  <c r="I11" i="2"/>
  <c r="A11" i="2"/>
  <c r="D4" i="2"/>
  <c r="B4" i="2"/>
  <c r="P2" i="2" s="1"/>
  <c r="L36" i="1"/>
  <c r="L35" i="1"/>
  <c r="L34" i="1"/>
  <c r="L33" i="1"/>
  <c r="L32" i="1"/>
  <c r="L31" i="1"/>
  <c r="L30" i="1"/>
  <c r="L29" i="1"/>
  <c r="L28" i="1"/>
  <c r="L27" i="1"/>
  <c r="L26" i="1"/>
  <c r="L25" i="1"/>
  <c r="P13" i="3" l="1"/>
  <c r="N6" i="3"/>
  <c r="P11" i="3"/>
  <c r="O11" i="3"/>
  <c r="Q11" i="3" s="1"/>
  <c r="R11" i="3" s="1"/>
  <c r="V15" i="3"/>
  <c r="O5" i="3"/>
  <c r="Q5" i="3" s="1"/>
  <c r="R5" i="3" s="1"/>
  <c r="H10" i="3"/>
  <c r="N13" i="3"/>
  <c r="Q13" i="3" s="1"/>
  <c r="R13" i="3" s="1"/>
  <c r="P10" i="3"/>
  <c r="E5" i="4"/>
  <c r="F5" i="4"/>
  <c r="V9" i="3"/>
  <c r="U221" i="3"/>
  <c r="U258" i="3"/>
  <c r="T257" i="3"/>
  <c r="U295" i="3"/>
  <c r="U248" i="3"/>
  <c r="T247" i="3"/>
  <c r="U213" i="3"/>
  <c r="U255" i="3"/>
  <c r="T254" i="3"/>
  <c r="T193" i="3"/>
  <c r="U278" i="3"/>
  <c r="T195" i="3"/>
  <c r="T214" i="3"/>
  <c r="T239" i="3"/>
  <c r="T255" i="3"/>
  <c r="T240" i="3"/>
  <c r="U182" i="3"/>
  <c r="U151" i="3"/>
  <c r="U150" i="3"/>
  <c r="U139" i="3"/>
  <c r="U138" i="3"/>
  <c r="T133" i="3"/>
  <c r="T176" i="3"/>
  <c r="U168" i="3"/>
  <c r="T273" i="3"/>
  <c r="T141" i="3"/>
  <c r="T135" i="3"/>
  <c r="U179" i="3"/>
  <c r="T178" i="3"/>
  <c r="T179" i="3"/>
  <c r="U102" i="3"/>
  <c r="U101" i="3"/>
  <c r="U88" i="3"/>
  <c r="U78" i="3"/>
  <c r="U77" i="3"/>
  <c r="U76" i="3"/>
  <c r="T127" i="3"/>
  <c r="T115" i="3"/>
  <c r="T95" i="3"/>
  <c r="T94" i="3"/>
  <c r="T81" i="3"/>
  <c r="T71" i="3"/>
  <c r="T70" i="3"/>
  <c r="T69" i="3"/>
  <c r="T59" i="3"/>
  <c r="T57" i="3"/>
  <c r="T47" i="3"/>
  <c r="T46" i="3"/>
  <c r="T143" i="3"/>
  <c r="T291" i="3"/>
  <c r="U280" i="3"/>
  <c r="T217" i="3"/>
  <c r="T299" i="3"/>
  <c r="T237" i="3"/>
  <c r="T119" i="3"/>
  <c r="U108" i="3"/>
  <c r="T151" i="3"/>
  <c r="F21" i="2"/>
  <c r="K21" i="2" s="1"/>
  <c r="E21" i="2"/>
  <c r="L21" i="2" s="1"/>
  <c r="M21" i="2" s="1"/>
  <c r="H21" i="2"/>
  <c r="N10" i="3"/>
  <c r="H9" i="3"/>
  <c r="P9" i="3" s="1"/>
  <c r="H12" i="2" s="1"/>
  <c r="I15" i="2"/>
  <c r="I23" i="2" s="1"/>
  <c r="U68" i="3"/>
  <c r="J15" i="2"/>
  <c r="J17" i="2"/>
  <c r="I17" i="2"/>
  <c r="N7" i="3"/>
  <c r="U8" i="3"/>
  <c r="U12" i="3"/>
  <c r="U49" i="3"/>
  <c r="U55" i="3"/>
  <c r="E11" i="2"/>
  <c r="P3" i="2"/>
  <c r="P4" i="2" s="1"/>
  <c r="C20" i="2" s="1"/>
  <c r="D20" i="2" s="1"/>
  <c r="K16" i="2"/>
  <c r="L16" i="2" s="1"/>
  <c r="E22" i="2"/>
  <c r="L22" i="2" s="1"/>
  <c r="G22" i="2"/>
  <c r="D10" i="4"/>
  <c r="O10" i="3"/>
  <c r="U7" i="3"/>
  <c r="J13" i="2"/>
  <c r="U31" i="3"/>
  <c r="D15" i="4"/>
  <c r="O15" i="3"/>
  <c r="N15" i="3"/>
  <c r="D8" i="4"/>
  <c r="O8" i="3"/>
  <c r="T16" i="3"/>
  <c r="F22" i="2"/>
  <c r="U29" i="3"/>
  <c r="T40" i="3"/>
  <c r="G20" i="2"/>
  <c r="F20" i="2"/>
  <c r="I20" i="2"/>
  <c r="C21" i="2"/>
  <c r="D21" i="2" s="1"/>
  <c r="H22" i="2"/>
  <c r="K22" i="2" s="1"/>
  <c r="H17" i="2"/>
  <c r="K17" i="2" s="1"/>
  <c r="L17" i="2" s="1"/>
  <c r="B20" i="2"/>
  <c r="I22" i="2"/>
  <c r="H8" i="3"/>
  <c r="P8" i="3" s="1"/>
  <c r="D14" i="4"/>
  <c r="P14" i="3"/>
  <c r="H13" i="2" s="1"/>
  <c r="O14" i="3"/>
  <c r="Q14" i="3" s="1"/>
  <c r="R14" i="3" s="1"/>
  <c r="T26" i="3"/>
  <c r="T201" i="3"/>
  <c r="F7" i="4"/>
  <c r="E7" i="4"/>
  <c r="T11" i="3"/>
  <c r="H14" i="3"/>
  <c r="U57" i="3"/>
  <c r="B15" i="2"/>
  <c r="C22" i="2"/>
  <c r="D22" i="2" s="1"/>
  <c r="U18" i="3"/>
  <c r="B21" i="2"/>
  <c r="H15" i="3"/>
  <c r="P15" i="3" s="1"/>
  <c r="F15" i="2"/>
  <c r="K15" i="2" s="1"/>
  <c r="L15" i="2" s="1"/>
  <c r="H19" i="2"/>
  <c r="G19" i="2"/>
  <c r="K19" i="2" s="1"/>
  <c r="L19" i="2" s="1"/>
  <c r="J19" i="2"/>
  <c r="G21" i="2"/>
  <c r="J22" i="2"/>
  <c r="L14" i="2"/>
  <c r="G15" i="2"/>
  <c r="B19" i="2"/>
  <c r="I21" i="2"/>
  <c r="V6" i="3"/>
  <c r="H7" i="3"/>
  <c r="P7" i="3" s="1"/>
  <c r="T9" i="3"/>
  <c r="U11" i="3"/>
  <c r="U45" i="3"/>
  <c r="T130" i="3"/>
  <c r="D9" i="4"/>
  <c r="O9" i="3"/>
  <c r="N9" i="3"/>
  <c r="G12" i="2" s="1"/>
  <c r="E12" i="2"/>
  <c r="E13" i="2"/>
  <c r="H15" i="2"/>
  <c r="I18" i="2"/>
  <c r="H18" i="2"/>
  <c r="K18" i="2" s="1"/>
  <c r="L18" i="2" s="1"/>
  <c r="J21" i="2"/>
  <c r="D6" i="4"/>
  <c r="H6" i="3"/>
  <c r="P6" i="3" s="1"/>
  <c r="Q6" i="3" s="1"/>
  <c r="R6" i="3" s="1"/>
  <c r="N8" i="3"/>
  <c r="V10" i="3"/>
  <c r="D13" i="4"/>
  <c r="U13" i="3"/>
  <c r="D16" i="4"/>
  <c r="F25" i="4"/>
  <c r="E25" i="4"/>
  <c r="E78" i="4"/>
  <c r="F78" i="4"/>
  <c r="I160" i="4"/>
  <c r="H160" i="4"/>
  <c r="E202" i="4"/>
  <c r="F202" i="4"/>
  <c r="N16" i="3"/>
  <c r="Q16" i="3" s="1"/>
  <c r="R16" i="3" s="1"/>
  <c r="V7" i="3"/>
  <c r="H12" i="3"/>
  <c r="R12" i="3" s="1"/>
  <c r="V13" i="3"/>
  <c r="F53" i="4"/>
  <c r="H53" i="4"/>
  <c r="E81" i="4"/>
  <c r="F81" i="4"/>
  <c r="F94" i="4"/>
  <c r="E94" i="4"/>
  <c r="F23" i="4"/>
  <c r="I23" i="4"/>
  <c r="H23" i="4"/>
  <c r="I79" i="4"/>
  <c r="H79" i="4"/>
  <c r="H129" i="4"/>
  <c r="F129" i="4"/>
  <c r="I129" i="4"/>
  <c r="I14" i="4"/>
  <c r="H14" i="4"/>
  <c r="I21" i="4"/>
  <c r="H21" i="4"/>
  <c r="F51" i="4"/>
  <c r="F165" i="4"/>
  <c r="I165" i="4"/>
  <c r="H165" i="4"/>
  <c r="E143" i="4"/>
  <c r="F143" i="4"/>
  <c r="E167" i="4"/>
  <c r="F167" i="4"/>
  <c r="E19" i="4"/>
  <c r="F43" i="4"/>
  <c r="E43" i="4"/>
  <c r="I104" i="4"/>
  <c r="H104" i="4"/>
  <c r="F35" i="4"/>
  <c r="I35" i="4"/>
  <c r="I39" i="4"/>
  <c r="H39" i="4"/>
  <c r="F41" i="4"/>
  <c r="I41" i="4"/>
  <c r="H41" i="4"/>
  <c r="H119" i="4"/>
  <c r="I119" i="4"/>
  <c r="F154" i="4"/>
  <c r="E154" i="4"/>
  <c r="E161" i="4"/>
  <c r="F161" i="4"/>
  <c r="V16" i="3"/>
  <c r="R296" i="3"/>
  <c r="I9" i="4"/>
  <c r="H9" i="4"/>
  <c r="E37" i="4"/>
  <c r="F104" i="4"/>
  <c r="F106" i="4"/>
  <c r="E24" i="4"/>
  <c r="F24" i="4"/>
  <c r="F39" i="4"/>
  <c r="E104" i="4"/>
  <c r="I117" i="4"/>
  <c r="H117" i="4"/>
  <c r="F117" i="4"/>
  <c r="V11" i="3"/>
  <c r="F12" i="4"/>
  <c r="E12" i="4"/>
  <c r="I27" i="4"/>
  <c r="H27" i="4"/>
  <c r="F27" i="4"/>
  <c r="E39" i="4"/>
  <c r="H106" i="4"/>
  <c r="R272" i="3"/>
  <c r="I7" i="4"/>
  <c r="H7" i="4"/>
  <c r="H35" i="4"/>
  <c r="I78" i="4"/>
  <c r="H78" i="4"/>
  <c r="I115" i="4"/>
  <c r="F115" i="4"/>
  <c r="H115" i="4"/>
  <c r="V5" i="3"/>
  <c r="J16" i="2"/>
  <c r="E11" i="4"/>
  <c r="F11" i="4"/>
  <c r="E63" i="4"/>
  <c r="F63" i="4"/>
  <c r="I81" i="4"/>
  <c r="H81" i="4"/>
  <c r="F83" i="4"/>
  <c r="E83" i="4"/>
  <c r="I94" i="4"/>
  <c r="H94" i="4"/>
  <c r="I96" i="4"/>
  <c r="H96" i="4"/>
  <c r="R198" i="3"/>
  <c r="R219" i="3"/>
  <c r="R243" i="3"/>
  <c r="R267" i="3"/>
  <c r="R291" i="3"/>
  <c r="H26" i="4"/>
  <c r="I45" i="4"/>
  <c r="H45" i="4"/>
  <c r="F45" i="4"/>
  <c r="F59" i="4"/>
  <c r="H59" i="4"/>
  <c r="H83" i="4"/>
  <c r="I83" i="4"/>
  <c r="F89" i="4"/>
  <c r="E89" i="4"/>
  <c r="E102" i="4"/>
  <c r="F102" i="4"/>
  <c r="I114" i="4"/>
  <c r="H114" i="4"/>
  <c r="I169" i="4"/>
  <c r="H169" i="4"/>
  <c r="R196" i="3"/>
  <c r="R207" i="3"/>
  <c r="R231" i="3"/>
  <c r="R255" i="3"/>
  <c r="R279" i="3"/>
  <c r="R303" i="3"/>
  <c r="I54" i="4"/>
  <c r="H54" i="4"/>
  <c r="F54" i="4"/>
  <c r="H101" i="4"/>
  <c r="I101" i="4"/>
  <c r="I122" i="4"/>
  <c r="H122" i="4"/>
  <c r="F159" i="4"/>
  <c r="I159" i="4"/>
  <c r="H159" i="4"/>
  <c r="I5" i="4"/>
  <c r="H5" i="4"/>
  <c r="E21" i="4"/>
  <c r="I36" i="4"/>
  <c r="H36" i="4"/>
  <c r="F36" i="4"/>
  <c r="I48" i="4"/>
  <c r="H48" i="4"/>
  <c r="F79" i="4"/>
  <c r="E79" i="4"/>
  <c r="E120" i="4"/>
  <c r="F120" i="4"/>
  <c r="E148" i="4"/>
  <c r="E172" i="4"/>
  <c r="F172" i="4"/>
  <c r="R210" i="3"/>
  <c r="R234" i="3"/>
  <c r="R258" i="3"/>
  <c r="R282" i="3"/>
  <c r="E46" i="4"/>
  <c r="F50" i="4"/>
  <c r="I50" i="4"/>
  <c r="H50" i="4"/>
  <c r="I73" i="4"/>
  <c r="H73" i="4"/>
  <c r="I75" i="4"/>
  <c r="H75" i="4"/>
  <c r="F86" i="4"/>
  <c r="I99" i="4"/>
  <c r="H99" i="4"/>
  <c r="F99" i="4"/>
  <c r="F122" i="4"/>
  <c r="F124" i="4"/>
  <c r="I138" i="4"/>
  <c r="F138" i="4"/>
  <c r="H138" i="4"/>
  <c r="R195" i="3"/>
  <c r="R220" i="3"/>
  <c r="R244" i="3"/>
  <c r="R268" i="3"/>
  <c r="R292" i="3"/>
  <c r="I16" i="4"/>
  <c r="H16" i="4"/>
  <c r="I18" i="4"/>
  <c r="H18" i="4"/>
  <c r="F18" i="4"/>
  <c r="I30" i="4"/>
  <c r="H30" i="4"/>
  <c r="F34" i="4"/>
  <c r="E34" i="4"/>
  <c r="I63" i="4"/>
  <c r="H63" i="4"/>
  <c r="F65" i="4"/>
  <c r="E65" i="4"/>
  <c r="E71" i="4"/>
  <c r="I97" i="4"/>
  <c r="F97" i="4"/>
  <c r="E122" i="4"/>
  <c r="F133" i="4"/>
  <c r="I136" i="4"/>
  <c r="H136" i="4"/>
  <c r="F32" i="4"/>
  <c r="I32" i="4"/>
  <c r="H32" i="4"/>
  <c r="H44" i="4"/>
  <c r="I57" i="4"/>
  <c r="H57" i="4"/>
  <c r="F73" i="4"/>
  <c r="E73" i="4"/>
  <c r="I91" i="4"/>
  <c r="H91" i="4"/>
  <c r="I112" i="4"/>
  <c r="H112" i="4"/>
  <c r="H124" i="4"/>
  <c r="I12" i="4"/>
  <c r="H12" i="4"/>
  <c r="H70" i="4"/>
  <c r="F156" i="4"/>
  <c r="I156" i="4"/>
  <c r="H156" i="4"/>
  <c r="I150" i="4"/>
  <c r="H150" i="4"/>
  <c r="F160" i="4"/>
  <c r="F177" i="4"/>
  <c r="I177" i="4"/>
  <c r="H177" i="4"/>
  <c r="I154" i="4"/>
  <c r="H154" i="4"/>
  <c r="I175" i="4"/>
  <c r="H175" i="4"/>
  <c r="I188" i="4"/>
  <c r="H188" i="4"/>
  <c r="I190" i="4"/>
  <c r="F190" i="4"/>
  <c r="I198" i="4"/>
  <c r="H198" i="4"/>
  <c r="F278" i="4"/>
  <c r="E278" i="4"/>
  <c r="F171" i="4"/>
  <c r="I171" i="4"/>
  <c r="H171" i="4"/>
  <c r="E173" i="4"/>
  <c r="F173" i="4"/>
  <c r="E196" i="4"/>
  <c r="E276" i="4"/>
  <c r="F276" i="4"/>
  <c r="E188" i="4"/>
  <c r="I250" i="4"/>
  <c r="H250" i="4"/>
  <c r="F56" i="4"/>
  <c r="H56" i="4"/>
  <c r="I60" i="4"/>
  <c r="H60" i="4"/>
  <c r="F101" i="4"/>
  <c r="I109" i="4"/>
  <c r="H109" i="4"/>
  <c r="F119" i="4"/>
  <c r="I127" i="4"/>
  <c r="H127" i="4"/>
  <c r="F169" i="4"/>
  <c r="I178" i="4"/>
  <c r="H178" i="4"/>
  <c r="F184" i="4"/>
  <c r="I68" i="4"/>
  <c r="H68" i="4"/>
  <c r="F91" i="4"/>
  <c r="I134" i="4"/>
  <c r="H134" i="4"/>
  <c r="F136" i="4"/>
  <c r="E169" i="4"/>
  <c r="H190" i="4"/>
  <c r="F250" i="4"/>
  <c r="I6" i="4"/>
  <c r="H6" i="4"/>
  <c r="I15" i="4"/>
  <c r="H15" i="4"/>
  <c r="F62" i="4"/>
  <c r="H62" i="4"/>
  <c r="F109" i="4"/>
  <c r="E109" i="4"/>
  <c r="F127" i="4"/>
  <c r="E127" i="4"/>
  <c r="I147" i="4"/>
  <c r="F147" i="4"/>
  <c r="E155" i="4"/>
  <c r="F155" i="4"/>
  <c r="I180" i="4"/>
  <c r="H180" i="4"/>
  <c r="I244" i="4"/>
  <c r="F244" i="4"/>
  <c r="H244" i="4"/>
  <c r="I24" i="4"/>
  <c r="H24" i="4"/>
  <c r="I33" i="4"/>
  <c r="H33" i="4"/>
  <c r="I42" i="4"/>
  <c r="H42" i="4"/>
  <c r="I51" i="4"/>
  <c r="H51" i="4"/>
  <c r="E60" i="4"/>
  <c r="F64" i="4"/>
  <c r="I76" i="4"/>
  <c r="H76" i="4"/>
  <c r="I86" i="4"/>
  <c r="H86" i="4"/>
  <c r="I132" i="4"/>
  <c r="H132" i="4"/>
  <c r="E134" i="4"/>
  <c r="F134" i="4"/>
  <c r="I141" i="4"/>
  <c r="H141" i="4"/>
  <c r="I143" i="4"/>
  <c r="H143" i="4"/>
  <c r="I145" i="4"/>
  <c r="H145" i="4"/>
  <c r="E178" i="4"/>
  <c r="H185" i="4"/>
  <c r="F185" i="4"/>
  <c r="I185" i="4"/>
  <c r="I242" i="4"/>
  <c r="H242" i="4"/>
  <c r="I56" i="4"/>
  <c r="F70" i="4"/>
  <c r="F80" i="4"/>
  <c r="H80" i="4"/>
  <c r="F84" i="4"/>
  <c r="H93" i="4"/>
  <c r="H98" i="4"/>
  <c r="H116" i="4"/>
  <c r="I130" i="4"/>
  <c r="H130" i="4"/>
  <c r="H131" i="4"/>
  <c r="I139" i="4"/>
  <c r="H139" i="4"/>
  <c r="I148" i="4"/>
  <c r="H148" i="4"/>
  <c r="I163" i="4"/>
  <c r="H163" i="4"/>
  <c r="I196" i="4"/>
  <c r="H196" i="4"/>
  <c r="H199" i="4"/>
  <c r="I206" i="4"/>
  <c r="H206" i="4"/>
  <c r="I208" i="4"/>
  <c r="F208" i="4"/>
  <c r="I214" i="4"/>
  <c r="H214" i="4"/>
  <c r="H217" i="4"/>
  <c r="I224" i="4"/>
  <c r="H224" i="4"/>
  <c r="I226" i="4"/>
  <c r="F226" i="4"/>
  <c r="I232" i="4"/>
  <c r="H232" i="4"/>
  <c r="H235" i="4"/>
  <c r="F260" i="4"/>
  <c r="I270" i="4"/>
  <c r="H270" i="4"/>
  <c r="F242" i="4"/>
  <c r="I252" i="4"/>
  <c r="H252" i="4"/>
  <c r="I216" i="4"/>
  <c r="H216" i="4"/>
  <c r="F222" i="4"/>
  <c r="I234" i="4"/>
  <c r="H234" i="4"/>
  <c r="F238" i="4"/>
  <c r="E242" i="4"/>
  <c r="E250" i="4"/>
  <c r="E206" i="4"/>
  <c r="E214" i="4"/>
  <c r="F220" i="4"/>
  <c r="E224" i="4"/>
  <c r="I289" i="4"/>
  <c r="F289" i="4"/>
  <c r="I265" i="4"/>
  <c r="H265" i="4"/>
  <c r="I273" i="4"/>
  <c r="H273" i="4"/>
  <c r="F162" i="4"/>
  <c r="I162" i="4"/>
  <c r="I183" i="4"/>
  <c r="H183" i="4"/>
  <c r="I193" i="4"/>
  <c r="H193" i="4"/>
  <c r="I237" i="4"/>
  <c r="H237" i="4"/>
  <c r="I247" i="4"/>
  <c r="H247" i="4"/>
  <c r="I255" i="4"/>
  <c r="H255" i="4"/>
  <c r="F275" i="4"/>
  <c r="E281" i="4"/>
  <c r="F283" i="4"/>
  <c r="E283" i="4"/>
  <c r="I304" i="4"/>
  <c r="H304" i="4"/>
  <c r="F96" i="4"/>
  <c r="E101" i="4"/>
  <c r="F114" i="4"/>
  <c r="E119" i="4"/>
  <c r="E136" i="4"/>
  <c r="E145" i="4"/>
  <c r="F158" i="4"/>
  <c r="I166" i="4"/>
  <c r="H166" i="4"/>
  <c r="E175" i="4"/>
  <c r="I201" i="4"/>
  <c r="H201" i="4"/>
  <c r="I211" i="4"/>
  <c r="H211" i="4"/>
  <c r="I219" i="4"/>
  <c r="H219" i="4"/>
  <c r="I229" i="4"/>
  <c r="H229" i="4"/>
  <c r="F239" i="4"/>
  <c r="F257" i="4"/>
  <c r="E263" i="4"/>
  <c r="F265" i="4"/>
  <c r="E265" i="4"/>
  <c r="E271" i="4"/>
  <c r="E70" i="4"/>
  <c r="E88" i="4"/>
  <c r="E106" i="4"/>
  <c r="E124" i="4"/>
  <c r="I142" i="4"/>
  <c r="H142" i="4"/>
  <c r="I151" i="4"/>
  <c r="H151" i="4"/>
  <c r="E160" i="4"/>
  <c r="F168" i="4"/>
  <c r="I168" i="4"/>
  <c r="E181" i="4"/>
  <c r="E191" i="4"/>
  <c r="F193" i="4"/>
  <c r="E193" i="4"/>
  <c r="F203" i="4"/>
  <c r="F221" i="4"/>
  <c r="E245" i="4"/>
  <c r="F247" i="4"/>
  <c r="E247" i="4"/>
  <c r="F273" i="4"/>
  <c r="I275" i="4"/>
  <c r="H289" i="4"/>
  <c r="F75" i="4"/>
  <c r="F93" i="4"/>
  <c r="F111" i="4"/>
  <c r="I133" i="4"/>
  <c r="H133" i="4"/>
  <c r="F140" i="4"/>
  <c r="F149" i="4"/>
  <c r="F153" i="4"/>
  <c r="I153" i="4"/>
  <c r="F164" i="4"/>
  <c r="I172" i="4"/>
  <c r="H172" i="4"/>
  <c r="F183" i="4"/>
  <c r="E199" i="4"/>
  <c r="E209" i="4"/>
  <c r="F211" i="4"/>
  <c r="E211" i="4"/>
  <c r="F229" i="4"/>
  <c r="E229" i="4"/>
  <c r="F237" i="4"/>
  <c r="I239" i="4"/>
  <c r="F253" i="4"/>
  <c r="F255" i="4"/>
  <c r="I257" i="4"/>
  <c r="I278" i="4"/>
  <c r="H278" i="4"/>
  <c r="I280" i="4"/>
  <c r="F280" i="4"/>
  <c r="I157" i="4"/>
  <c r="H157" i="4"/>
  <c r="F174" i="4"/>
  <c r="I174" i="4"/>
  <c r="F201" i="4"/>
  <c r="I203" i="4"/>
  <c r="F217" i="4"/>
  <c r="F219" i="4"/>
  <c r="I221" i="4"/>
  <c r="F235" i="4"/>
  <c r="I260" i="4"/>
  <c r="H260" i="4"/>
  <c r="I262" i="4"/>
  <c r="F262" i="4"/>
  <c r="I268" i="4"/>
  <c r="H268" i="4"/>
  <c r="H271" i="4"/>
  <c r="F292" i="4"/>
  <c r="E292" i="4"/>
  <c r="I301" i="4"/>
  <c r="H301" i="4"/>
  <c r="I267" i="4"/>
  <c r="I285" i="4"/>
  <c r="F301" i="4"/>
  <c r="F294" i="4"/>
  <c r="I298" i="4"/>
  <c r="H298" i="4"/>
  <c r="H191" i="4"/>
  <c r="H209" i="4"/>
  <c r="H227" i="4"/>
  <c r="H245" i="4"/>
  <c r="H263" i="4"/>
  <c r="H281" i="4"/>
  <c r="F180" i="4"/>
  <c r="F198" i="4"/>
  <c r="E203" i="4"/>
  <c r="F216" i="4"/>
  <c r="E221" i="4"/>
  <c r="F234" i="4"/>
  <c r="E239" i="4"/>
  <c r="F252" i="4"/>
  <c r="E257" i="4"/>
  <c r="F270" i="4"/>
  <c r="E275" i="4"/>
  <c r="H286" i="4"/>
  <c r="F288" i="4"/>
  <c r="H291" i="4"/>
  <c r="E298" i="4"/>
  <c r="F304" i="4"/>
  <c r="E304" i="4"/>
  <c r="E182" i="4"/>
  <c r="F195" i="4"/>
  <c r="E200" i="4"/>
  <c r="F213" i="4"/>
  <c r="F231" i="4"/>
  <c r="E236" i="4"/>
  <c r="F249" i="4"/>
  <c r="H283" i="4"/>
  <c r="H288" i="4"/>
  <c r="E297" i="4"/>
  <c r="E300" i="4"/>
  <c r="E303" i="4"/>
  <c r="M22" i="2" l="1"/>
  <c r="A25" i="2"/>
  <c r="Q15" i="3"/>
  <c r="R15" i="3" s="1"/>
  <c r="T277" i="3"/>
  <c r="T58" i="3"/>
  <c r="U116" i="3"/>
  <c r="T229" i="3"/>
  <c r="T167" i="3"/>
  <c r="U240" i="3"/>
  <c r="T212" i="3"/>
  <c r="T220" i="3"/>
  <c r="Q10" i="3"/>
  <c r="R10" i="3" s="1"/>
  <c r="U215" i="3"/>
  <c r="T284" i="3"/>
  <c r="T292" i="3"/>
  <c r="T183" i="3"/>
  <c r="U285" i="3"/>
  <c r="U293" i="3"/>
  <c r="U69" i="3"/>
  <c r="U17" i="3"/>
  <c r="Q7" i="3"/>
  <c r="R7" i="3" s="1"/>
  <c r="T157" i="3"/>
  <c r="T149" i="3"/>
  <c r="T82" i="3"/>
  <c r="U89" i="3"/>
  <c r="T289" i="3"/>
  <c r="U205" i="3"/>
  <c r="U286" i="3"/>
  <c r="T222" i="3"/>
  <c r="Q9" i="3"/>
  <c r="R9" i="3" s="1"/>
  <c r="Q8" i="3"/>
  <c r="R8" i="3" s="1"/>
  <c r="U6" i="3"/>
  <c r="T106" i="3"/>
  <c r="U65" i="3"/>
  <c r="T166" i="3"/>
  <c r="T155" i="3"/>
  <c r="T83" i="3"/>
  <c r="U90" i="3"/>
  <c r="U250" i="3"/>
  <c r="U265" i="3"/>
  <c r="U302" i="3"/>
  <c r="U223" i="3"/>
  <c r="U51" i="3"/>
  <c r="U61" i="3"/>
  <c r="T27" i="3"/>
  <c r="T107" i="3"/>
  <c r="T45" i="3"/>
  <c r="T93" i="3"/>
  <c r="U100" i="3"/>
  <c r="U266" i="3"/>
  <c r="U289" i="3"/>
  <c r="T192" i="3"/>
  <c r="T294" i="3"/>
  <c r="E23" i="2"/>
  <c r="C7" i="2" s="1"/>
  <c r="T23" i="3"/>
  <c r="T13" i="3"/>
  <c r="U21" i="3"/>
  <c r="U27" i="3"/>
  <c r="U53" i="3"/>
  <c r="U40" i="3"/>
  <c r="T18" i="3"/>
  <c r="T31" i="3"/>
  <c r="T33" i="3"/>
  <c r="G13" i="2"/>
  <c r="C15" i="2"/>
  <c r="D15" i="2" s="1"/>
  <c r="U133" i="3"/>
  <c r="T225" i="3"/>
  <c r="U218" i="3"/>
  <c r="U130" i="3"/>
  <c r="T128" i="3"/>
  <c r="T42" i="3"/>
  <c r="T54" i="3"/>
  <c r="T66" i="3"/>
  <c r="T78" i="3"/>
  <c r="T90" i="3"/>
  <c r="T102" i="3"/>
  <c r="U276" i="3"/>
  <c r="U85" i="3"/>
  <c r="U97" i="3"/>
  <c r="T142" i="3"/>
  <c r="T125" i="3"/>
  <c r="U113" i="3"/>
  <c r="T243" i="3"/>
  <c r="U208" i="3"/>
  <c r="T146" i="3"/>
  <c r="U110" i="3"/>
  <c r="U135" i="3"/>
  <c r="U147" i="3"/>
  <c r="T169" i="3"/>
  <c r="U176" i="3"/>
  <c r="T207" i="3"/>
  <c r="U174" i="3"/>
  <c r="U173" i="3"/>
  <c r="U160" i="3"/>
  <c r="U254" i="3"/>
  <c r="T189" i="3"/>
  <c r="U231" i="3"/>
  <c r="U303" i="3"/>
  <c r="U261" i="3"/>
  <c r="U224" i="3"/>
  <c r="U296" i="3"/>
  <c r="U271" i="3"/>
  <c r="U234" i="3"/>
  <c r="U197" i="3"/>
  <c r="U269" i="3"/>
  <c r="T34" i="3"/>
  <c r="F9" i="4"/>
  <c r="E9" i="4"/>
  <c r="U47" i="3"/>
  <c r="T39" i="3"/>
  <c r="F15" i="4"/>
  <c r="E15" i="4"/>
  <c r="U20" i="3"/>
  <c r="U22" i="3"/>
  <c r="F12" i="2"/>
  <c r="T138" i="3"/>
  <c r="T139" i="3"/>
  <c r="T261" i="3"/>
  <c r="T241" i="3"/>
  <c r="T164" i="3"/>
  <c r="U129" i="3"/>
  <c r="T43" i="3"/>
  <c r="T55" i="3"/>
  <c r="T67" i="3"/>
  <c r="T79" i="3"/>
  <c r="T91" i="3"/>
  <c r="T103" i="3"/>
  <c r="T297" i="3"/>
  <c r="U86" i="3"/>
  <c r="U98" i="3"/>
  <c r="T148" i="3"/>
  <c r="U126" i="3"/>
  <c r="T124" i="3"/>
  <c r="T250" i="3"/>
  <c r="T227" i="3"/>
  <c r="T152" i="3"/>
  <c r="T121" i="3"/>
  <c r="U136" i="3"/>
  <c r="U148" i="3"/>
  <c r="U170" i="3"/>
  <c r="U217" i="3"/>
  <c r="T216" i="3"/>
  <c r="T215" i="3"/>
  <c r="U184" i="3"/>
  <c r="T171" i="3"/>
  <c r="U262" i="3"/>
  <c r="T190" i="3"/>
  <c r="T242" i="3"/>
  <c r="T200" i="3"/>
  <c r="T272" i="3"/>
  <c r="T235" i="3"/>
  <c r="T210" i="3"/>
  <c r="T282" i="3"/>
  <c r="T245" i="3"/>
  <c r="T208" i="3"/>
  <c r="T280" i="3"/>
  <c r="T22" i="3"/>
  <c r="F13" i="4"/>
  <c r="E13" i="4"/>
  <c r="U194" i="3"/>
  <c r="U10" i="3"/>
  <c r="T29" i="3"/>
  <c r="U73" i="3"/>
  <c r="T10" i="3"/>
  <c r="U16" i="3"/>
  <c r="U41" i="3"/>
  <c r="U28" i="3"/>
  <c r="U54" i="3"/>
  <c r="T19" i="3"/>
  <c r="T21" i="3"/>
  <c r="F11" i="2"/>
  <c r="T145" i="3"/>
  <c r="U304" i="3"/>
  <c r="T300" i="3"/>
  <c r="U181" i="3"/>
  <c r="T137" i="3"/>
  <c r="T44" i="3"/>
  <c r="T56" i="3"/>
  <c r="T68" i="3"/>
  <c r="T80" i="3"/>
  <c r="T92" i="3"/>
  <c r="U104" i="3"/>
  <c r="U75" i="3"/>
  <c r="U87" i="3"/>
  <c r="U99" i="3"/>
  <c r="T154" i="3"/>
  <c r="U159" i="3"/>
  <c r="U125" i="3"/>
  <c r="U251" i="3"/>
  <c r="U228" i="3"/>
  <c r="T158" i="3"/>
  <c r="U122" i="3"/>
  <c r="U137" i="3"/>
  <c r="U149" i="3"/>
  <c r="T181" i="3"/>
  <c r="U241" i="3"/>
  <c r="T231" i="3"/>
  <c r="U216" i="3"/>
  <c r="U190" i="3"/>
  <c r="U172" i="3"/>
  <c r="U268" i="3"/>
  <c r="T191" i="3"/>
  <c r="U243" i="3"/>
  <c r="U201" i="3"/>
  <c r="U273" i="3"/>
  <c r="U236" i="3"/>
  <c r="U211" i="3"/>
  <c r="U283" i="3"/>
  <c r="U246" i="3"/>
  <c r="U209" i="3"/>
  <c r="U281" i="3"/>
  <c r="U9" i="3"/>
  <c r="T252" i="3"/>
  <c r="U188" i="3"/>
  <c r="T147" i="3"/>
  <c r="T111" i="3"/>
  <c r="T285" i="3"/>
  <c r="U187" i="3"/>
  <c r="T203" i="3"/>
  <c r="U140" i="3"/>
  <c r="U152" i="3"/>
  <c r="U229" i="3"/>
  <c r="T162" i="3"/>
  <c r="T264" i="3"/>
  <c r="T263" i="3"/>
  <c r="T238" i="3"/>
  <c r="U199" i="3"/>
  <c r="U292" i="3"/>
  <c r="T194" i="3"/>
  <c r="T266" i="3"/>
  <c r="T224" i="3"/>
  <c r="T296" i="3"/>
  <c r="T259" i="3"/>
  <c r="T234" i="3"/>
  <c r="T197" i="3"/>
  <c r="T269" i="3"/>
  <c r="T232" i="3"/>
  <c r="T304" i="3"/>
  <c r="T8" i="3"/>
  <c r="U112" i="3"/>
  <c r="U163" i="3"/>
  <c r="U239" i="3"/>
  <c r="U267" i="3"/>
  <c r="U225" i="3"/>
  <c r="U297" i="3"/>
  <c r="U260" i="3"/>
  <c r="U235" i="3"/>
  <c r="U198" i="3"/>
  <c r="U270" i="3"/>
  <c r="U233" i="3"/>
  <c r="U64" i="3"/>
  <c r="E14" i="4"/>
  <c r="F14" i="4"/>
  <c r="C14" i="2"/>
  <c r="D14" i="2" s="1"/>
  <c r="C19" i="2"/>
  <c r="D19" i="2" s="1"/>
  <c r="C17" i="2"/>
  <c r="D17" i="2" s="1"/>
  <c r="C16" i="2"/>
  <c r="D16" i="2" s="1"/>
  <c r="G11" i="2"/>
  <c r="U167" i="3"/>
  <c r="U120" i="3"/>
  <c r="U300" i="3"/>
  <c r="T298" i="3"/>
  <c r="T180" i="3"/>
  <c r="T48" i="3"/>
  <c r="T60" i="3"/>
  <c r="T72" i="3"/>
  <c r="T84" i="3"/>
  <c r="T96" i="3"/>
  <c r="U128" i="3"/>
  <c r="U79" i="3"/>
  <c r="U91" i="3"/>
  <c r="U103" i="3"/>
  <c r="T267" i="3"/>
  <c r="U192" i="3"/>
  <c r="T153" i="3"/>
  <c r="T110" i="3"/>
  <c r="T204" i="3"/>
  <c r="U204" i="3"/>
  <c r="U141" i="3"/>
  <c r="U153" i="3"/>
  <c r="U253" i="3"/>
  <c r="T279" i="3"/>
  <c r="J12" i="2"/>
  <c r="T6" i="3"/>
  <c r="T144" i="3"/>
  <c r="U37" i="3"/>
  <c r="U38" i="3"/>
  <c r="T156" i="3"/>
  <c r="T7" i="3"/>
  <c r="U30" i="3"/>
  <c r="U171" i="3"/>
  <c r="U71" i="3"/>
  <c r="U33" i="3"/>
  <c r="C18" i="2"/>
  <c r="D18" i="2" s="1"/>
  <c r="T108" i="3"/>
  <c r="T182" i="3"/>
  <c r="T131" i="3"/>
  <c r="T105" i="3"/>
  <c r="U299" i="3"/>
  <c r="U189" i="3"/>
  <c r="T49" i="3"/>
  <c r="T61" i="3"/>
  <c r="T73" i="3"/>
  <c r="T85" i="3"/>
  <c r="T97" i="3"/>
  <c r="T170" i="3"/>
  <c r="U80" i="3"/>
  <c r="U92" i="3"/>
  <c r="T114" i="3"/>
  <c r="T274" i="3"/>
  <c r="U232" i="3"/>
  <c r="U169" i="3"/>
  <c r="T123" i="3"/>
  <c r="U111" i="3"/>
  <c r="T219" i="3"/>
  <c r="U226" i="3"/>
  <c r="U142" i="3"/>
  <c r="U154" i="3"/>
  <c r="U277" i="3"/>
  <c r="T174" i="3"/>
  <c r="T288" i="3"/>
  <c r="T287" i="3"/>
  <c r="T262" i="3"/>
  <c r="U214" i="3"/>
  <c r="T184" i="3"/>
  <c r="T206" i="3"/>
  <c r="T278" i="3"/>
  <c r="T236" i="3"/>
  <c r="T199" i="3"/>
  <c r="T271" i="3"/>
  <c r="T246" i="3"/>
  <c r="T209" i="3"/>
  <c r="T281" i="3"/>
  <c r="T244" i="3"/>
  <c r="U60" i="3"/>
  <c r="U14" i="3"/>
  <c r="U206" i="3"/>
  <c r="T12" i="3"/>
  <c r="F16" i="4"/>
  <c r="E16" i="4"/>
  <c r="F6" i="4"/>
  <c r="E6" i="4"/>
  <c r="U74" i="3"/>
  <c r="T36" i="3"/>
  <c r="T5" i="3"/>
  <c r="H11" i="2"/>
  <c r="H23" i="2" s="1"/>
  <c r="T37" i="3"/>
  <c r="U52" i="3"/>
  <c r="U5" i="3"/>
  <c r="J11" i="2"/>
  <c r="T17" i="3"/>
  <c r="U67" i="3"/>
  <c r="T32" i="3"/>
  <c r="U109" i="3"/>
  <c r="U186" i="3"/>
  <c r="U132" i="3"/>
  <c r="U106" i="3"/>
  <c r="T104" i="3"/>
  <c r="T213" i="3"/>
  <c r="T50" i="3"/>
  <c r="T62" i="3"/>
  <c r="T74" i="3"/>
  <c r="T86" i="3"/>
  <c r="T98" i="3"/>
  <c r="U180" i="3"/>
  <c r="U81" i="3"/>
  <c r="U93" i="3"/>
  <c r="U115" i="3"/>
  <c r="U275" i="3"/>
  <c r="T251" i="3"/>
  <c r="T177" i="3"/>
  <c r="U124" i="3"/>
  <c r="T122" i="3"/>
  <c r="T226" i="3"/>
  <c r="U242" i="3"/>
  <c r="U143" i="3"/>
  <c r="U155" i="3"/>
  <c r="U301" i="3"/>
  <c r="U175" i="3"/>
  <c r="T303" i="3"/>
  <c r="U288" i="3"/>
  <c r="U263" i="3"/>
  <c r="U220" i="3"/>
  <c r="T185" i="3"/>
  <c r="U207" i="3"/>
  <c r="U279" i="3"/>
  <c r="U237" i="3"/>
  <c r="U200" i="3"/>
  <c r="U272" i="3"/>
  <c r="U247" i="3"/>
  <c r="U210" i="3"/>
  <c r="U282" i="3"/>
  <c r="U245" i="3"/>
  <c r="U56" i="3"/>
  <c r="T20" i="3"/>
  <c r="U23" i="3"/>
  <c r="U264" i="3"/>
  <c r="U36" i="3"/>
  <c r="F4" i="2"/>
  <c r="U25" i="3"/>
  <c r="U42" i="3"/>
  <c r="U26" i="3"/>
  <c r="U46" i="3"/>
  <c r="U70" i="3"/>
  <c r="T150" i="3"/>
  <c r="E8" i="4"/>
  <c r="F8" i="4"/>
  <c r="F10" i="4"/>
  <c r="E10" i="4"/>
  <c r="U63" i="3"/>
  <c r="U165" i="3"/>
  <c r="F13" i="2"/>
  <c r="K13" i="2" s="1"/>
  <c r="L13" i="2" s="1"/>
  <c r="T120" i="3"/>
  <c r="T198" i="3"/>
  <c r="T165" i="3"/>
  <c r="T117" i="3"/>
  <c r="U105" i="3"/>
  <c r="T253" i="3"/>
  <c r="T51" i="3"/>
  <c r="T63" i="3"/>
  <c r="T75" i="3"/>
  <c r="T87" i="3"/>
  <c r="T99" i="3"/>
  <c r="U193" i="3"/>
  <c r="U82" i="3"/>
  <c r="U94" i="3"/>
  <c r="T126" i="3"/>
  <c r="U290" i="3"/>
  <c r="U252" i="3"/>
  <c r="U178" i="3"/>
  <c r="T168" i="3"/>
  <c r="U123" i="3"/>
  <c r="U227" i="3"/>
  <c r="T265" i="3"/>
  <c r="U144" i="3"/>
  <c r="U156" i="3"/>
  <c r="T163" i="3"/>
  <c r="U185" i="3"/>
  <c r="T161" i="3"/>
  <c r="T160" i="3"/>
  <c r="T286" i="3"/>
  <c r="U230" i="3"/>
  <c r="T186" i="3"/>
  <c r="T218" i="3"/>
  <c r="T290" i="3"/>
  <c r="T248" i="3"/>
  <c r="T211" i="3"/>
  <c r="T283" i="3"/>
  <c r="T258" i="3"/>
  <c r="T221" i="3"/>
  <c r="T293" i="3"/>
  <c r="T256" i="3"/>
  <c r="U50" i="3"/>
  <c r="T35" i="3"/>
  <c r="T41" i="3"/>
  <c r="T24" i="3"/>
  <c r="U58" i="3"/>
  <c r="T30" i="3"/>
  <c r="T25" i="3"/>
  <c r="U39" i="3"/>
  <c r="U66" i="3"/>
  <c r="U131" i="3"/>
  <c r="T118" i="3"/>
  <c r="U59" i="3"/>
  <c r="U119" i="3"/>
  <c r="K7" i="2"/>
  <c r="U121" i="3"/>
  <c r="T202" i="3"/>
  <c r="U166" i="3"/>
  <c r="U118" i="3"/>
  <c r="T116" i="3"/>
  <c r="T276" i="3"/>
  <c r="T52" i="3"/>
  <c r="T64" i="3"/>
  <c r="T76" i="3"/>
  <c r="T88" i="3"/>
  <c r="T100" i="3"/>
  <c r="U256" i="3"/>
  <c r="U83" i="3"/>
  <c r="U95" i="3"/>
  <c r="U127" i="3"/>
  <c r="T113" i="3"/>
  <c r="U274" i="3"/>
  <c r="T205" i="3"/>
  <c r="U177" i="3"/>
  <c r="T134" i="3"/>
  <c r="T249" i="3"/>
  <c r="T301" i="3"/>
  <c r="U145" i="3"/>
  <c r="U157" i="3"/>
  <c r="U164" i="3"/>
  <c r="U191" i="3"/>
  <c r="U162" i="3"/>
  <c r="U161" i="3"/>
  <c r="U287" i="3"/>
  <c r="U238" i="3"/>
  <c r="T187" i="3"/>
  <c r="U219" i="3"/>
  <c r="U291" i="3"/>
  <c r="U249" i="3"/>
  <c r="U212" i="3"/>
  <c r="U284" i="3"/>
  <c r="U259" i="3"/>
  <c r="U222" i="3"/>
  <c r="U294" i="3"/>
  <c r="U257" i="3"/>
  <c r="U44" i="3"/>
  <c r="M16" i="2"/>
  <c r="K20" i="2"/>
  <c r="L20" i="2" s="1"/>
  <c r="M20" i="2" s="1"/>
  <c r="T14" i="3"/>
  <c r="U43" i="3"/>
  <c r="U195" i="3"/>
  <c r="U24" i="3"/>
  <c r="U15" i="3"/>
  <c r="C13" i="2" s="1"/>
  <c r="T28" i="3"/>
  <c r="U19" i="3"/>
  <c r="T15" i="3"/>
  <c r="T38" i="3"/>
  <c r="U62" i="3"/>
  <c r="U107" i="3"/>
  <c r="U48" i="3"/>
  <c r="U32" i="3"/>
  <c r="U34" i="3"/>
  <c r="T132" i="3"/>
  <c r="U203" i="3"/>
  <c r="U202" i="3"/>
  <c r="T129" i="3"/>
  <c r="U117" i="3"/>
  <c r="U298" i="3"/>
  <c r="T53" i="3"/>
  <c r="T65" i="3"/>
  <c r="T77" i="3"/>
  <c r="T89" i="3"/>
  <c r="T101" i="3"/>
  <c r="T275" i="3"/>
  <c r="U84" i="3"/>
  <c r="U96" i="3"/>
  <c r="T136" i="3"/>
  <c r="U114" i="3"/>
  <c r="T112" i="3"/>
  <c r="T228" i="3"/>
  <c r="U183" i="3"/>
  <c r="T140" i="3"/>
  <c r="T109" i="3"/>
  <c r="U134" i="3"/>
  <c r="U146" i="3"/>
  <c r="U158" i="3"/>
  <c r="T175" i="3"/>
  <c r="U196" i="3"/>
  <c r="T173" i="3"/>
  <c r="T172" i="3"/>
  <c r="T159" i="3"/>
  <c r="U244" i="3"/>
  <c r="T188" i="3"/>
  <c r="T230" i="3"/>
  <c r="T302" i="3"/>
  <c r="T260" i="3"/>
  <c r="T223" i="3"/>
  <c r="T295" i="3"/>
  <c r="T270" i="3"/>
  <c r="T233" i="3"/>
  <c r="T196" i="3"/>
  <c r="T268" i="3"/>
  <c r="U35" i="3"/>
  <c r="U72" i="3"/>
  <c r="B12" i="2" l="1"/>
  <c r="M13" i="2"/>
  <c r="G23" i="2"/>
  <c r="C12" i="2"/>
  <c r="B13" i="2"/>
  <c r="D13" i="2" s="1"/>
  <c r="K12" i="2"/>
  <c r="L12" i="2" s="1"/>
  <c r="J23" i="2"/>
  <c r="C11" i="2"/>
  <c r="F23" i="2"/>
  <c r="K11" i="2"/>
  <c r="M15" i="2"/>
  <c r="M14" i="2"/>
  <c r="M17" i="2"/>
  <c r="M18" i="2"/>
  <c r="B11" i="2"/>
  <c r="M19" i="2"/>
  <c r="D12" i="2" l="1"/>
  <c r="B23" i="2"/>
  <c r="C23" i="2"/>
  <c r="D23" i="2" s="1"/>
  <c r="G7" i="2" s="1"/>
  <c r="D11" i="2"/>
  <c r="K23" i="2"/>
  <c r="E7" i="2" s="1"/>
  <c r="L11" i="2"/>
  <c r="M12" i="2"/>
  <c r="M11" i="2" l="1"/>
  <c r="L23" i="2"/>
  <c r="M23" i="2" l="1"/>
  <c r="I7" i="2" s="1"/>
  <c r="A7" i="2"/>
</calcChain>
</file>

<file path=xl/sharedStrings.xml><?xml version="1.0" encoding="utf-8"?>
<sst xmlns="http://schemas.openxmlformats.org/spreadsheetml/2006/main" count="303" uniqueCount="205">
  <si>
    <t>Short-Term Rental Profit Tracker</t>
  </si>
  <si>
    <t>Manual entry, no sync. Fill your properties in once — every other tab reads from here.</t>
  </si>
  <si>
    <t>MANUAL ENTRY — this file does not log in to any platform, import calendars or sync with anything. You type eight cells per booking; fees, cleaning, laundry, consumables, net and the whole turnover plan calculate themselves.</t>
  </si>
  <si>
    <t>START HERE — four steps</t>
  </si>
  <si>
    <t>1 · Overwrite the three example properties below with your own. Column L warns you about duplicate names and about characters that break lookups.</t>
  </si>
  <si>
    <t>2 · Add your cleaning team in the second table (row 40) — those names become the dropdown in the Cleaning tab.</t>
  </si>
  <si>
    <t>3 · Bookings tab: one row per stay. Property, platform, status, guest, check-in, check-out, guests, gross booking value. That is the whole job.</t>
  </si>
  <si>
    <t>4 · Dashboard: pick a year and a month and read what each property actually earned. Never type anything else on that tab.</t>
  </si>
  <si>
    <t>THE THREE RULES THIS FILE COUNTS BY</t>
  </si>
  <si>
    <t>· Money (booking value, fees, cleaning, consumables) is counted in the month a stay CHECKS OUT. Nights and occupancy are split across months by the actual dates, so a stay over a month border shows nights in both months but money in one.</t>
  </si>
  <si>
    <t>· Gross booking value = the total the guest paid, including any cleaning fee you charged them. What you pay your cleaner is a cost — it belongs in column E below, never in the Bookings tab.</t>
  </si>
  <si>
    <t>· Fixed monthly costs (column J) run in EVERY month you look at, including months before you owned the place. Never log them again in the Costs tab; clear the field before you check earlier months.</t>
  </si>
  <si>
    <t>START EMPTY IN 30 SECONDS — in Bookings clear B5:G16, I5:K16 and S5:S16 (white cells only), in Cleaning clear J5:L16, in Costs clear B5:H9, then overwrite the three example properties below. Nothing else.</t>
  </si>
  <si>
    <t>GREY CELLS CALCULATE THEMSELVES — never clear or type in one, and leave the numbered # column alone. Deleted a grey cell by accident? Undo with Ctrl+Z / Cmd+Z, or copy the same cell from the row below and paste it back.</t>
  </si>
  <si>
    <t>RENAMING — rename a property here and every booking still carrying the old name loses its link. The Check columns in Bookings and Costs show you exactly which rows to fix.</t>
  </si>
  <si>
    <t>CAPACITY — 12 properties · 300 bookings · 300 turnovers · 250 cost rows. A row pasted below row 304 (Bookings, Cleaning) or row 254 (Costs) is not counted anywhere.</t>
  </si>
  <si>
    <t>CURRENCY-NEUTRAL — no currency symbol is hard-coded. Select the number columns and apply your own currency format in one click.</t>
  </si>
  <si>
    <t>YOUR PROPERTIES — fill this in first</t>
  </si>
  <si>
    <t>Property name</t>
  </si>
  <si>
    <t>City / label</t>
  </si>
  <si>
    <t>Bedrooms</t>
  </si>
  <si>
    <t>Platform fee % (default)</t>
  </si>
  <si>
    <t>Cleaner pay per turnover</t>
  </si>
  <si>
    <t>Laundry per turnover</t>
  </si>
  <si>
    <t>Consumables per stay</t>
  </si>
  <si>
    <t>Consumables per night</t>
  </si>
  <si>
    <t>Linen sets per turnover</t>
  </si>
  <si>
    <t>Fixed monthly costs</t>
  </si>
  <si>
    <t>Notes</t>
  </si>
  <si>
    <t>Check</t>
  </si>
  <si>
    <t>Riverside Loft</t>
  </si>
  <si>
    <t>Porto</t>
  </si>
  <si>
    <t>EXAMPLE — overwrite with your own</t>
  </si>
  <si>
    <t>Harbour Studio</t>
  </si>
  <si>
    <t>Garden Cottage</t>
  </si>
  <si>
    <t>Braga</t>
  </si>
  <si>
    <t>CLEANING TEAM (feeds the dropdown in the Cleaning tab)</t>
  </si>
  <si>
    <t>Cleaner name</t>
  </si>
  <si>
    <t>Phone / contact</t>
  </si>
  <si>
    <t>Rate note</t>
  </si>
  <si>
    <t>Ana</t>
  </si>
  <si>
    <t>+351 000 000 000</t>
  </si>
  <si>
    <t>EXAMPLE — overwrite</t>
  </si>
  <si>
    <t>Marco</t>
  </si>
  <si>
    <t>CleanCo (agency)</t>
  </si>
  <si>
    <t>office@example.com</t>
  </si>
  <si>
    <t>Me (owner)</t>
  </si>
  <si>
    <t>GOOD TO KNOW</t>
  </si>
  <si>
    <t>Google Sheets: File ▸ Import ▸ Upload this file. Formulas, dropdowns and colours carry over. The Dashboard's write-protection is an Excel feature and does not — in Google Sheets just avoid typing on that tab.</t>
  </si>
  <si>
    <t>Excel: the Dashboard is write-protected so you cannot type over a formula by accident. Review ▸ Unprotect Sheet (no password) if you want to restyle it.</t>
  </si>
  <si>
    <t>Filtering and sorting: use the filter arrows in row 4 to filter. If you want to sort, select the whole table first (Bookings A4:W304, Cleaning A4:L304, 'data has header row') — never sort a single column on its own. The numbered # column keeps Bookings and Cleaning linked either way.</t>
  </si>
  <si>
    <t>More than 300 bookings? Select the last row of Bookings and drag it down, then do the same in Cleaning so both sheets stay the same length — and widen the ranges in the Dashboard formulas, which read rows 5–304 today.</t>
  </si>
  <si>
    <t>Property names: avoid the characters * ? and ~ . Spreadsheets read them as wildcards and they would quietly mismatch your bookings. Column L tells you if one slipped in.</t>
  </si>
  <si>
    <t>Percentages: type 3% or 0.03, not 3. The file corrects an obvious 15 into 15% for you, but typing the % sign keeps Excel and Google Sheets identical.</t>
  </si>
  <si>
    <t>HANDING THE CLEANING LIST TO A CLEANER</t>
  </si>
  <si>
    <t>Sharing this file always shares every tab, including your money. To give a cleaner their own list: right-click the Cleaning tab ▸ Copy to ▸ New spreadsheet, then Edit ▸ Paste special ▸ Values only, and delete column I — it shows what you pay per turnover.</t>
  </si>
  <si>
    <t>Guest names are personal data. Only share that list with people who need it.</t>
  </si>
  <si>
    <t>This is a spreadsheet for your own bookkeeping-free overview. It is not tax, legal or accounting advice, and it does not calculate tax of any kind. Check any figure before you rely on it.</t>
  </si>
  <si>
    <t>Built for Excel and Google Sheets — no macros, no add-ons, no plug-ins, nothing to install.</t>
  </si>
  <si>
    <t>LICENSE — Personal use. One buyer, unlimited own properties &amp; devices. Please don't resell or redistribute.</t>
  </si>
  <si>
    <t>Questions, or a formula that looks wrong? Message us on Etsy — we reply within 48 h.</t>
  </si>
  <si>
    <t>Dashboard — one month, every property side by side</t>
  </si>
  <si>
    <t>Pick a year and a month in the two white cells. Everything else on this tab calculates itself from Bookings, Cleaning and Costs.</t>
  </si>
  <si>
    <t>Period start</t>
  </si>
  <si>
    <t>Period end</t>
  </si>
  <si>
    <t>Year</t>
  </si>
  <si>
    <t>Month</t>
  </si>
  <si>
    <t>Days in month</t>
  </si>
  <si>
    <t>Net (tracked costs only)</t>
  </si>
  <si>
    <t>Gross booking value</t>
  </si>
  <si>
    <t>Total tracked costs</t>
  </si>
  <si>
    <t>Occupancy</t>
  </si>
  <si>
    <t>Net per available night</t>
  </si>
  <si>
    <t>Cleanings still open</t>
  </si>
  <si>
    <t>PER PROPERTY — selected month</t>
  </si>
  <si>
    <t>Property</t>
  </si>
  <si>
    <t>Nights booked</t>
  </si>
  <si>
    <t>Nights available</t>
  </si>
  <si>
    <t>Occupancy %</t>
  </si>
  <si>
    <t>Platform fees</t>
  </si>
  <si>
    <t>Cleaning &amp; laundry</t>
  </si>
  <si>
    <t>Consumables</t>
  </si>
  <si>
    <t>Fixed monthly</t>
  </si>
  <si>
    <t>Other logged costs</t>
  </si>
  <si>
    <t>Total costs</t>
  </si>
  <si>
    <t>Net after tracked costs</t>
  </si>
  <si>
    <t>PORTFOLIO TOTAL</t>
  </si>
  <si>
    <t>HOW THE MATH WORKS</t>
  </si>
  <si>
    <t>1 · Money (booking value, fees, cleaning, consumables) is counted in the month a stay CHECKS OUT. Nights and occupancy are split across months by the actual dates, so a stay spanning two months shows nights in both but money in one.</t>
  </si>
  <si>
    <t>2 · Gross booking value = the total the guest paid, including any cleaning fee you charge. What you pay your cleaner is a cost in Setup.</t>
  </si>
  <si>
    <t>3 · Fixed monthly costs come from Setup and run in every month you look at — never enter them again in the Costs tab. If you only owned a property part of the year, clear that field before checking earlier months.</t>
  </si>
  <si>
    <t>4 · Colour thresholds are our convention, not a benchmark: occupancy green from 60%, amber from 40%; the cost tile turns amber when tracked costs pass 70% of gross. Change them in the conditional formatting menu whenever you like.</t>
  </si>
  <si>
    <t>5 · 'Net after tracked costs' is gross minus exactly what you typed into this workbook. It is not a tax, accounting or bookkeeping figure, and no tax of any kind is calculated here.</t>
  </si>
  <si>
    <t>Never type on this sheet except the two month pickers. Excel: Review ▸ Unprotect Sheet (no password) if you want to restyle it. Google Sheets does not carry that protection over — just don't type here.</t>
  </si>
  <si>
    <t>Bookings — one row per stay</t>
  </si>
  <si>
    <t>Type the white cells only: property, platform, status, guest, the two dates, guests and the gross booking value. Grey columns calculate themselves. Manual entry — no login, no API, no calendar sync.</t>
  </si>
  <si>
    <t>#</t>
  </si>
  <si>
    <t>Platform</t>
  </si>
  <si>
    <t>Status</t>
  </si>
  <si>
    <t>Guest / reference</t>
  </si>
  <si>
    <t>Check-in</t>
  </si>
  <si>
    <t>Check-out</t>
  </si>
  <si>
    <t>Nights</t>
  </si>
  <si>
    <t>Guests</t>
  </si>
  <si>
    <t>Platform fee % override</t>
  </si>
  <si>
    <t>Platform fee</t>
  </si>
  <si>
    <t>Estimated payout after platform fee</t>
  </si>
  <si>
    <t>Cleaning</t>
  </si>
  <si>
    <t>Laundry</t>
  </si>
  <si>
    <t>Net after direct costs</t>
  </si>
  <si>
    <t>Net per night</t>
  </si>
  <si>
    <t>Nights in selected month — guest (changes with the Dashboard month picker)</t>
  </si>
  <si>
    <t>Nights in selected month — owner block (changes with the Dashboard month picker)</t>
  </si>
  <si>
    <t>Gross counted in this file</t>
  </si>
  <si>
    <t>Airbnb</t>
  </si>
  <si>
    <t>Completed</t>
  </si>
  <si>
    <t>EXAMPLE — A. Pereira</t>
  </si>
  <si>
    <t>EXAMPLE — J. Meyer</t>
  </si>
  <si>
    <t>Vrbo</t>
  </si>
  <si>
    <t>EXAMPLE — L. Rossi</t>
  </si>
  <si>
    <t>Confirmed</t>
  </si>
  <si>
    <t>EXAMPLE — S. Novak</t>
  </si>
  <si>
    <t>Still ahead: the Cleaning tab counts the days down to this turnover.</t>
  </si>
  <si>
    <t>Booking.com</t>
  </si>
  <si>
    <t>EXAMPLE — T. Brandt</t>
  </si>
  <si>
    <t>EXAMPLE — M. Silva</t>
  </si>
  <si>
    <t>The next row checks in the day this guest leaves — the Cleaning tab flags a SAME-DAY TURN.</t>
  </si>
  <si>
    <t>EXAMPLE — K. Owusu</t>
  </si>
  <si>
    <t>Fee override 3% — this one came in through a different channel.</t>
  </si>
  <si>
    <t>Cancelled</t>
  </si>
  <si>
    <t>EXAMPLE — cancelled stay</t>
  </si>
  <si>
    <t>Cancelled: counted nowhere, every calculated column shows —.</t>
  </si>
  <si>
    <t>EXAMPLE — Family Duarte</t>
  </si>
  <si>
    <t>Other</t>
  </si>
  <si>
    <t>Owner block</t>
  </si>
  <si>
    <t>EXAMPLE — own stay, no income</t>
  </si>
  <si>
    <t>Owner block: no income, but the cleaner still comes — cleaning and laundry stay as costs.</t>
  </si>
  <si>
    <t>EXAMPLE — R. Lindqvist</t>
  </si>
  <si>
    <t>EXAMPLE — stay across the month border</t>
  </si>
  <si>
    <t>Checks out on the 3rd: money lands in this month, nights are split across both.</t>
  </si>
  <si>
    <t>Cleaning &amp; turnover plan</t>
  </si>
  <si>
    <t>Fills itself from Bookings through the # column. Type only Cleaner, Status and Notes. Column I shows what you pay per turnover — delete it before you hand this list to anyone.</t>
  </si>
  <si>
    <t>Turnover date = check-out</t>
  </si>
  <si>
    <t>Days until turnover</t>
  </si>
  <si>
    <t>Next guest same day?</t>
  </si>
  <si>
    <t>Linen sets due</t>
  </si>
  <si>
    <t>Cleaning cost</t>
  </si>
  <si>
    <t>Cleaner</t>
  </si>
  <si>
    <t>Cleaning status</t>
  </si>
  <si>
    <t>Notes / access info</t>
  </si>
  <si>
    <t>Done</t>
  </si>
  <si>
    <t>EXAMPLE — key box code 1234, bins out on Tuesday.</t>
  </si>
  <si>
    <t>Scheduled</t>
  </si>
  <si>
    <t>EXAMPLE — agency invoices monthly.</t>
  </si>
  <si>
    <t>EXAMPLE — tight turn, next guest arrives 15:00.</t>
  </si>
  <si>
    <t>Not scheduled</t>
  </si>
  <si>
    <t>Issue</t>
  </si>
  <si>
    <t>EXAMPLE — shower drain blocked, plumber called.</t>
  </si>
  <si>
    <t>EXAMPLE — delete rows 5–16 (columns J to L) when you start with your own data.</t>
  </si>
  <si>
    <t>Costs — everything that does not hang on a booking</t>
  </si>
  <si>
    <t>One-off and variable costs only — anything already entered as Fixed monthly costs in Setup must NOT be logged here, or you count it twice.</t>
  </si>
  <si>
    <t>Date</t>
  </si>
  <si>
    <t>Category</t>
  </si>
  <si>
    <t>Description</t>
  </si>
  <si>
    <t>Amount</t>
  </si>
  <si>
    <t>Paid by</t>
  </si>
  <si>
    <t>Receipt / note</t>
  </si>
  <si>
    <t>Maintenance &amp; repair</t>
  </si>
  <si>
    <t>EXAMPLE — boiler service</t>
  </si>
  <si>
    <t>Owner</t>
  </si>
  <si>
    <t>Invoice in the folder</t>
  </si>
  <si>
    <t>Supplies restock</t>
  </si>
  <si>
    <t>EXAMPLE — coffee, soap, paper</t>
  </si>
  <si>
    <t>Supermarket receipt</t>
  </si>
  <si>
    <t>Furnishings &amp; replacement</t>
  </si>
  <si>
    <t>EXAMPLE — replaced broken lamp</t>
  </si>
  <si>
    <t>Co-host</t>
  </si>
  <si>
    <t>Photo in the shared album</t>
  </si>
  <si>
    <t>EXAMPLE — extra bed linen set</t>
  </si>
  <si>
    <t>Online order</t>
  </si>
  <si>
    <t>Extra cleaning</t>
  </si>
  <si>
    <t>EXAMPLE — deep clean after a 6-guest stay</t>
  </si>
  <si>
    <t>Paid in cash — delete rows 5–9 when you start</t>
  </si>
  <si>
    <t>January</t>
  </si>
  <si>
    <t>February</t>
  </si>
  <si>
    <t>In progress</t>
  </si>
  <si>
    <t>Laundry service</t>
  </si>
  <si>
    <t>March</t>
  </si>
  <si>
    <t>Direct booking</t>
  </si>
  <si>
    <t>Utilities</t>
  </si>
  <si>
    <t>April</t>
  </si>
  <si>
    <t>Internet &amp; TV</t>
  </si>
  <si>
    <t>May</t>
  </si>
  <si>
    <t>Insurance</t>
  </si>
  <si>
    <t>June</t>
  </si>
  <si>
    <t>Software &amp; tools</t>
  </si>
  <si>
    <t>July</t>
  </si>
  <si>
    <t>August</t>
  </si>
  <si>
    <t>September</t>
  </si>
  <si>
    <t>Guest damage</t>
  </si>
  <si>
    <t>October</t>
  </si>
  <si>
    <t>Co-host / management fee</t>
  </si>
  <si>
    <t>November</t>
  </si>
  <si>
    <t>December</t>
  </si>
  <si>
    <t>Do not sort or renumber these columns — the Dashboard month picker matches on the order in column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</si>
</sst>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000"/>
  </numFmts>
  <fonts count="17" x14ac:knownFonts="1">
    <font>
      <sz val="11"/>
      <color theme="1"/>
      <name val="Calibri"/>
      <family val="2"/>
      <scheme val="minor"/>
    </font>
    <font>
      <b/>
      <sz val="16"/>
      <color rgb="FF2D3A8C"/>
      <name val="Calibri"/>
      <family val="2"/>
    </font>
    <font>
      <sz val="10"/>
      <color rgb="FF555B7A"/>
      <name val="Calibri"/>
      <family val="2"/>
    </font>
    <font>
      <sz val="11"/>
      <color rgb="FF1E2340"/>
      <name val="Calibri"/>
      <family val="2"/>
    </font>
    <font>
      <b/>
      <sz val="12"/>
      <color rgb="FF1F7A6D"/>
      <name val="Calibri"/>
      <family val="2"/>
    </font>
    <font>
      <b/>
      <sz val="12"/>
      <color rgb="FF2D3A8C"/>
      <name val="Calibri"/>
      <family val="2"/>
    </font>
    <font>
      <b/>
      <sz val="11"/>
      <color rgb="FFFFFFFF"/>
      <name val="Calibri"/>
      <family val="2"/>
    </font>
    <font>
      <b/>
      <sz val="11"/>
      <color rgb="FF1E2340"/>
      <name val="Calibri"/>
      <family val="2"/>
    </font>
    <font>
      <i/>
      <sz val="10"/>
      <color rgb="FF555B7A"/>
      <name val="Calibri"/>
      <family val="2"/>
    </font>
    <font>
      <sz val="9"/>
      <color rgb="FF8A90A8"/>
      <name val="Calibri"/>
      <family val="2"/>
    </font>
    <font>
      <b/>
      <sz val="10"/>
      <color rgb="FF555B7A"/>
      <name val="Calibri"/>
      <family val="2"/>
    </font>
    <font>
      <b/>
      <sz val="16"/>
      <color rgb="FF1F7A6D"/>
      <name val="Calibri"/>
      <family val="2"/>
    </font>
    <font>
      <b/>
      <sz val="15"/>
      <color rgb="FF2D3A8C"/>
      <name val="Calibri"/>
      <family val="2"/>
    </font>
    <font>
      <b/>
      <sz val="15"/>
      <color rgb="FFB4540A"/>
      <name val="Calibri"/>
      <family val="2"/>
    </font>
    <font>
      <b/>
      <sz val="11"/>
      <color rgb="FF2D3A8C"/>
      <name val="Calibri"/>
      <family val="2"/>
    </font>
    <font>
      <b/>
      <sz val="11"/>
      <color rgb="FF1F7A6D"/>
      <name val="Calibri"/>
      <family val="2"/>
    </font>
    <font>
      <b/>
      <sz val="10"/>
      <color rgb="FFB4540A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D3A8C"/>
      </patternFill>
    </fill>
    <fill>
      <patternFill patternType="solid">
        <fgColor rgb="FFF7F8FC"/>
      </patternFill>
    </fill>
    <fill>
      <patternFill patternType="solid">
        <fgColor rgb="FFECEDF3"/>
      </patternFill>
    </fill>
    <fill>
      <patternFill patternType="solid">
        <fgColor rgb="FFFFFFFF"/>
      </patternFill>
    </fill>
    <fill>
      <patternFill patternType="solid">
        <fgColor rgb="FFE3F1EE"/>
      </patternFill>
    </fill>
    <fill>
      <patternFill patternType="solid">
        <fgColor rgb="FFEEF1FB"/>
      </patternFill>
    </fill>
    <fill>
      <patternFill patternType="solid">
        <fgColor rgb="FFFFF1CC"/>
      </patternFill>
    </fill>
    <fill>
      <patternFill patternType="solid">
        <fgColor rgb="FFF2F3F8"/>
      </patternFill>
    </fill>
  </fills>
  <borders count="2">
    <border>
      <left/>
      <right/>
      <top/>
      <bottom/>
      <diagonal/>
    </border>
    <border>
      <left style="thin">
        <color rgb="FFD9DCEA"/>
      </left>
      <right style="thin">
        <color rgb="FFD9DCEA"/>
      </right>
      <top style="thin">
        <color rgb="FFD9DCEA"/>
      </top>
      <bottom style="thin">
        <color rgb="FFD9DCE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3" borderId="1" xfId="0" applyFill="1" applyBorder="1" applyAlignment="1">
      <alignment vertical="top" wrapText="1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9" fillId="0" borderId="0" xfId="0" applyFont="1" applyAlignment="1">
      <alignment horizontal="right"/>
    </xf>
    <xf numFmtId="165" fontId="9" fillId="4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 vertical="center"/>
    </xf>
    <xf numFmtId="1" fontId="5" fillId="5" borderId="1" xfId="0" applyNumberFormat="1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1" fontId="9" fillId="4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1" fontId="0" fillId="4" borderId="1" xfId="0" applyNumberFormat="1" applyFill="1" applyBorder="1" applyAlignment="1">
      <alignment horizontal="right" vertical="top"/>
    </xf>
    <xf numFmtId="9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9" borderId="1" xfId="0" applyFill="1" applyBorder="1" applyAlignment="1">
      <alignment horizontal="left" vertical="top"/>
    </xf>
    <xf numFmtId="1" fontId="0" fillId="9" borderId="1" xfId="0" applyNumberFormat="1" applyFill="1" applyBorder="1" applyAlignment="1">
      <alignment horizontal="right" vertical="top"/>
    </xf>
    <xf numFmtId="9" fontId="0" fillId="9" borderId="1" xfId="0" applyNumberFormat="1" applyFill="1" applyBorder="1" applyAlignment="1">
      <alignment horizontal="right" vertical="top"/>
    </xf>
    <xf numFmtId="4" fontId="0" fillId="9" borderId="1" xfId="0" applyNumberFormat="1" applyFill="1" applyBorder="1" applyAlignment="1">
      <alignment horizontal="right" vertical="top"/>
    </xf>
    <xf numFmtId="0" fontId="14" fillId="7" borderId="1" xfId="0" applyFont="1" applyFill="1" applyBorder="1" applyAlignment="1">
      <alignment vertical="top" wrapText="1"/>
    </xf>
    <xf numFmtId="1" fontId="14" fillId="7" borderId="1" xfId="0" applyNumberFormat="1" applyFont="1" applyFill="1" applyBorder="1" applyAlignment="1">
      <alignment horizontal="right" vertical="center"/>
    </xf>
    <xf numFmtId="9" fontId="14" fillId="7" borderId="1" xfId="0" applyNumberFormat="1" applyFont="1" applyFill="1" applyBorder="1" applyAlignment="1">
      <alignment horizontal="right" vertical="center"/>
    </xf>
    <xf numFmtId="4" fontId="14" fillId="7" borderId="1" xfId="0" applyNumberFormat="1" applyFont="1" applyFill="1" applyBorder="1" applyAlignment="1">
      <alignment horizontal="right" vertical="center"/>
    </xf>
    <xf numFmtId="166" fontId="9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3" borderId="1" xfId="0" applyNumberFormat="1" applyFill="1" applyBorder="1" applyAlignment="1">
      <alignment horizontal="center" vertical="top"/>
    </xf>
    <xf numFmtId="1" fontId="0" fillId="3" borderId="1" xfId="0" applyNumberFormat="1" applyFill="1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  <xf numFmtId="165" fontId="0" fillId="4" borderId="1" xfId="0" applyNumberFormat="1" applyFill="1" applyBorder="1" applyAlignment="1">
      <alignment horizontal="center" vertical="top"/>
    </xf>
    <xf numFmtId="1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" fontId="9" fillId="4" borderId="1" xfId="0" applyNumberFormat="1" applyFont="1" applyFill="1" applyBorder="1" applyAlignment="1">
      <alignment horizontal="center" vertical="top"/>
    </xf>
    <xf numFmtId="0" fontId="9" fillId="0" borderId="0" xfId="0" applyFont="1"/>
    <xf numFmtId="0" fontId="3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/>
    <xf numFmtId="0" fontId="8" fillId="0" borderId="0" xfId="0" applyFont="1" applyAlignment="1">
      <alignment horizontal="left" vertical="center"/>
    </xf>
    <xf numFmtId="1" fontId="13" fillId="8" borderId="1" xfId="0" applyNumberFormat="1" applyFont="1" applyFill="1" applyBorder="1" applyAlignment="1">
      <alignment horizontal="center" vertical="center"/>
    </xf>
    <xf numFmtId="4" fontId="12" fillId="7" borderId="1" xfId="0" applyNumberFormat="1" applyFont="1" applyFill="1" applyBorder="1" applyAlignment="1">
      <alignment horizontal="center" vertical="center"/>
    </xf>
    <xf numFmtId="4" fontId="11" fillId="6" borderId="1" xfId="0" applyNumberFormat="1" applyFont="1" applyFill="1" applyBorder="1" applyAlignment="1">
      <alignment horizontal="center" vertical="center"/>
    </xf>
    <xf numFmtId="9" fontId="12" fillId="7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6" fillId="0" borderId="0" xfId="0" applyFont="1"/>
  </cellXfs>
  <cellStyles count="1">
    <cellStyle name="Standard" xfId="0" builtinId="0"/>
  </cellStyles>
  <dxfs count="30">
    <dxf>
      <font>
        <b/>
        <color rgb="FF8A3333"/>
      </font>
      <fill>
        <patternFill patternType="solid">
          <fgColor rgb="FFF5DBDB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FFF1CC"/>
        </patternFill>
      </fill>
    </dxf>
    <dxf>
      <font>
        <b/>
        <color rgb="FFB4540A"/>
      </font>
      <fill>
        <patternFill patternType="solid">
          <fgColor rgb="FFFFD8A8"/>
        </patternFill>
      </fill>
    </dxf>
    <dxf>
      <font>
        <color rgb="FF8A90A8"/>
      </font>
      <fill>
        <patternFill patternType="solid">
          <fgColor rgb="FFE4E4EC"/>
        </patternFill>
      </fill>
    </dxf>
    <dxf>
      <fill>
        <patternFill patternType="solid">
          <fgColor rgb="FFFFF1CC"/>
        </patternFill>
      </fill>
    </dxf>
    <dxf>
      <font>
        <b/>
        <color rgb="FF8A3333"/>
      </font>
      <fill>
        <patternFill patternType="solid">
          <fgColor rgb="FFF5DBDB"/>
        </patternFill>
      </fill>
    </dxf>
    <dxf>
      <font>
        <b/>
        <color rgb="FF8A3333"/>
      </font>
      <fill>
        <patternFill patternType="solid">
          <fgColor rgb="FFF5DBDB"/>
        </patternFill>
      </fill>
    </dxf>
    <dxf>
      <font>
        <b/>
        <color rgb="FF8A3333"/>
      </font>
      <fill>
        <patternFill patternType="solid">
          <fgColor rgb="FFF5DBDB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E4E4EC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DCE9FF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FFF1CC"/>
        </patternFill>
      </fill>
    </dxf>
    <dxf>
      <font>
        <b/>
      </font>
      <fill>
        <patternFill patternType="solid">
          <fgColor rgb="FFBFE8CF"/>
        </patternFill>
      </fill>
    </dxf>
    <dxf>
      <fill>
        <patternFill patternType="solid">
          <fgColor rgb="FFDCF2E4"/>
        </patternFill>
      </fill>
    </dxf>
    <dxf>
      <fill>
        <patternFill patternType="solid">
          <fgColor rgb="FFF5DBDB"/>
        </patternFill>
      </fill>
    </dxf>
    <dxf>
      <font>
        <b/>
        <color rgb="FFB4540A"/>
      </font>
      <fill>
        <patternFill patternType="solid">
          <fgColor rgb="FFFFF1CC"/>
        </patternFill>
      </fill>
    </dxf>
    <dxf>
      <font>
        <b/>
        <color rgb="FF1F7A6D"/>
      </font>
      <fill>
        <patternFill patternType="solid">
          <fgColor rgb="FFDCF2E4"/>
        </patternFill>
      </fill>
    </dxf>
    <dxf>
      <font>
        <b/>
        <color rgb="FFB4540A"/>
      </font>
      <fill>
        <patternFill patternType="solid">
          <fgColor rgb="FFFFF1CC"/>
        </patternFill>
      </fill>
    </dxf>
    <dxf>
      <fill>
        <patternFill patternType="solid">
          <fgColor rgb="FFF5DBDB"/>
        </patternFill>
      </fill>
    </dxf>
    <dxf>
      <fill>
        <patternFill patternType="solid">
          <fgColor rgb="FFFFF1CC"/>
        </patternFill>
      </fill>
    </dxf>
    <dxf>
      <fill>
        <patternFill patternType="solid">
          <fgColor rgb="FFDCF2E4"/>
        </patternFill>
      </fill>
    </dxf>
    <dxf>
      <font>
        <b/>
        <color rgb="FF1F7A6D"/>
      </font>
      <fill>
        <patternFill patternType="solid">
          <fgColor rgb="FFE3F1EE"/>
        </patternFill>
      </fill>
    </dxf>
    <dxf>
      <font>
        <b/>
        <color rgb="FF8A3333"/>
      </font>
      <fill>
        <patternFill patternType="solid">
          <fgColor rgb="FFF5DBDB"/>
        </patternFill>
      </fill>
    </dxf>
    <dxf>
      <font>
        <b/>
        <color rgb="FF8A3333"/>
      </font>
      <fill>
        <patternFill patternType="solid">
          <fgColor rgb="FFF5DBD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showGridLines="0" tabSelected="1" workbookViewId="0">
      <selection sqref="A1:L1"/>
    </sheetView>
  </sheetViews>
  <sheetFormatPr baseColWidth="10" defaultColWidth="8.83203125" defaultRowHeight="15" x14ac:dyDescent="0.2"/>
  <cols>
    <col min="1" max="1" width="26" customWidth="1"/>
    <col min="2" max="2" width="20" customWidth="1"/>
    <col min="3" max="3" width="11" customWidth="1"/>
    <col min="4" max="6" width="13" customWidth="1"/>
    <col min="7" max="8" width="14" customWidth="1"/>
    <col min="9" max="9" width="12" customWidth="1"/>
    <col min="10" max="10" width="14" customWidth="1"/>
    <col min="11" max="11" width="34" customWidth="1"/>
    <col min="12" max="12" width="26" customWidth="1"/>
  </cols>
  <sheetData>
    <row r="1" spans="1:12" ht="26" customHeight="1" x14ac:dyDescent="0.25">
      <c r="A1" s="47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2">
      <c r="A2" s="45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30" customHeight="1" x14ac:dyDescent="0.2">
      <c r="B4" s="42" t="s">
        <v>2</v>
      </c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6" customHeight="1" x14ac:dyDescent="0.2">
      <c r="B5" s="42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ht="16" customHeight="1" x14ac:dyDescent="0.2">
      <c r="B6" s="46" t="s">
        <v>3</v>
      </c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2" ht="16" customHeight="1" x14ac:dyDescent="0.2">
      <c r="B7" s="42" t="s">
        <v>4</v>
      </c>
      <c r="C7" s="43"/>
      <c r="D7" s="43"/>
      <c r="E7" s="43"/>
      <c r="F7" s="43"/>
      <c r="G7" s="43"/>
      <c r="H7" s="43"/>
      <c r="I7" s="43"/>
      <c r="J7" s="43"/>
      <c r="K7" s="43"/>
      <c r="L7" s="43"/>
    </row>
    <row r="8" spans="1:12" ht="16" customHeight="1" x14ac:dyDescent="0.2">
      <c r="B8" s="42" t="s">
        <v>5</v>
      </c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2" ht="16" customHeight="1" x14ac:dyDescent="0.2">
      <c r="B9" s="42" t="s">
        <v>6</v>
      </c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ht="16" customHeight="1" x14ac:dyDescent="0.2">
      <c r="B10" s="42" t="s">
        <v>7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ht="16" customHeight="1" x14ac:dyDescent="0.2"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ht="16" customHeight="1" x14ac:dyDescent="0.2">
      <c r="B12" s="46" t="s">
        <v>8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 ht="30" customHeight="1" x14ac:dyDescent="0.2">
      <c r="B13" s="42" t="s">
        <v>9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ht="30" customHeight="1" x14ac:dyDescent="0.2">
      <c r="B14" s="42" t="s">
        <v>10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ht="30" customHeight="1" x14ac:dyDescent="0.2">
      <c r="B15" s="42" t="s">
        <v>11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1:12" ht="16" customHeight="1" x14ac:dyDescent="0.2"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3"/>
    </row>
    <row r="17" spans="1:12" ht="30" customHeight="1" x14ac:dyDescent="0.2">
      <c r="B17" s="42" t="s">
        <v>12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ht="30" customHeight="1" x14ac:dyDescent="0.2">
      <c r="B18" s="42" t="s">
        <v>13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ht="30" customHeight="1" x14ac:dyDescent="0.2">
      <c r="B19" s="42" t="s">
        <v>14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</row>
    <row r="20" spans="1:12" ht="16" customHeight="1" x14ac:dyDescent="0.2">
      <c r="B20" s="42" t="s">
        <v>15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2" ht="16" customHeight="1" x14ac:dyDescent="0.2">
      <c r="B21" s="42" t="s">
        <v>16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3" spans="1:12" ht="16" x14ac:dyDescent="0.2">
      <c r="A23" s="1" t="s">
        <v>17</v>
      </c>
    </row>
    <row r="24" spans="1:12" ht="30" customHeight="1" x14ac:dyDescent="0.2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25</v>
      </c>
      <c r="I24" s="2" t="s">
        <v>26</v>
      </c>
      <c r="J24" s="2" t="s">
        <v>27</v>
      </c>
      <c r="K24" s="2" t="s">
        <v>28</v>
      </c>
      <c r="L24" s="2" t="s">
        <v>29</v>
      </c>
    </row>
    <row r="25" spans="1:12" ht="16" x14ac:dyDescent="0.2">
      <c r="A25" s="3" t="s">
        <v>30</v>
      </c>
      <c r="B25" s="3" t="s">
        <v>31</v>
      </c>
      <c r="C25" s="4">
        <v>1</v>
      </c>
      <c r="D25" s="5">
        <v>0.03</v>
      </c>
      <c r="E25" s="6">
        <v>45</v>
      </c>
      <c r="F25" s="6">
        <v>12</v>
      </c>
      <c r="G25" s="6">
        <v>6</v>
      </c>
      <c r="H25" s="6">
        <v>1.5</v>
      </c>
      <c r="I25" s="4">
        <v>2</v>
      </c>
      <c r="J25" s="6">
        <v>62</v>
      </c>
      <c r="K25" s="3" t="s">
        <v>32</v>
      </c>
      <c r="L25" s="7" t="str">
        <f>IF($A25="","—",IF(COUNTIF($A$25:$A$36,$A25)&gt;1,"⚠ duplicate name",IF(SUMPRODUCT(--ISNUMBER(FIND({"*";"?";"~"},$A25)))&gt;0,"⚠ remove * ? ~ from the name","OK")))</f>
        <v>OK</v>
      </c>
    </row>
    <row r="26" spans="1:12" ht="16" x14ac:dyDescent="0.2">
      <c r="A26" s="8" t="s">
        <v>33</v>
      </c>
      <c r="B26" s="8" t="s">
        <v>31</v>
      </c>
      <c r="C26" s="9">
        <v>1</v>
      </c>
      <c r="D26" s="10">
        <v>0.15</v>
      </c>
      <c r="E26" s="11">
        <v>38</v>
      </c>
      <c r="F26" s="11">
        <v>9</v>
      </c>
      <c r="G26" s="11">
        <v>4.5</v>
      </c>
      <c r="H26" s="11">
        <v>1.2</v>
      </c>
      <c r="I26" s="9">
        <v>1</v>
      </c>
      <c r="J26" s="11">
        <v>48</v>
      </c>
      <c r="K26" s="8" t="s">
        <v>32</v>
      </c>
      <c r="L26" s="7" t="str">
        <f>IF($A26="","—",IF(COUNTIF($A$25:$A$36,$A26)&gt;1,"⚠ duplicate name",IF(SUMPRODUCT(--ISNUMBER(FIND({"*";"?";"~"},$A26)))&gt;0,"⚠ remove * ? ~ from the name","OK")))</f>
        <v>OK</v>
      </c>
    </row>
    <row r="27" spans="1:12" ht="16" x14ac:dyDescent="0.2">
      <c r="A27" s="3" t="s">
        <v>34</v>
      </c>
      <c r="B27" s="3" t="s">
        <v>35</v>
      </c>
      <c r="C27" s="4">
        <v>2</v>
      </c>
      <c r="D27" s="5">
        <v>0.08</v>
      </c>
      <c r="E27" s="6">
        <v>60</v>
      </c>
      <c r="F27" s="6">
        <v>18</v>
      </c>
      <c r="G27" s="6">
        <v>8</v>
      </c>
      <c r="H27" s="6">
        <v>2</v>
      </c>
      <c r="I27" s="4">
        <v>3</v>
      </c>
      <c r="J27" s="6">
        <v>74</v>
      </c>
      <c r="K27" s="3" t="s">
        <v>32</v>
      </c>
      <c r="L27" s="7" t="str">
        <f>IF($A27="","—",IF(COUNTIF($A$25:$A$36,$A27)&gt;1,"⚠ duplicate name",IF(SUMPRODUCT(--ISNUMBER(FIND({"*";"?";"~"},$A27)))&gt;0,"⚠ remove * ? ~ from the name","OK")))</f>
        <v>OK</v>
      </c>
    </row>
    <row r="28" spans="1:12" x14ac:dyDescent="0.2">
      <c r="A28" s="8"/>
      <c r="B28" s="8"/>
      <c r="C28" s="9"/>
      <c r="D28" s="10"/>
      <c r="E28" s="11"/>
      <c r="F28" s="11"/>
      <c r="G28" s="11"/>
      <c r="H28" s="11"/>
      <c r="I28" s="9"/>
      <c r="J28" s="11"/>
      <c r="K28" s="8"/>
      <c r="L28" s="7" t="str">
        <f>IF($A28="","—",IF(COUNTIF($A$25:$A$36,$A28)&gt;1,"⚠ duplicate name",IF(SUMPRODUCT(--ISNUMBER(FIND({"*";"?";"~"},$A28)))&gt;0,"⚠ remove * ? ~ from the name","OK")))</f>
        <v>—</v>
      </c>
    </row>
    <row r="29" spans="1:12" x14ac:dyDescent="0.2">
      <c r="A29" s="3"/>
      <c r="B29" s="3"/>
      <c r="C29" s="4"/>
      <c r="D29" s="5"/>
      <c r="E29" s="6"/>
      <c r="F29" s="6"/>
      <c r="G29" s="6"/>
      <c r="H29" s="6"/>
      <c r="I29" s="4"/>
      <c r="J29" s="6"/>
      <c r="K29" s="3"/>
      <c r="L29" s="7" t="str">
        <f>IF($A29="","—",IF(COUNTIF($A$25:$A$36,$A29)&gt;1,"⚠ duplicate name",IF(SUMPRODUCT(--ISNUMBER(FIND({"*";"?";"~"},$A29)))&gt;0,"⚠ remove * ? ~ from the name","OK")))</f>
        <v>—</v>
      </c>
    </row>
    <row r="30" spans="1:12" x14ac:dyDescent="0.2">
      <c r="A30" s="8"/>
      <c r="B30" s="8"/>
      <c r="C30" s="9"/>
      <c r="D30" s="10"/>
      <c r="E30" s="11"/>
      <c r="F30" s="11"/>
      <c r="G30" s="11"/>
      <c r="H30" s="11"/>
      <c r="I30" s="9"/>
      <c r="J30" s="11"/>
      <c r="K30" s="8"/>
      <c r="L30" s="7" t="str">
        <f>IF($A30="","—",IF(COUNTIF($A$25:$A$36,$A30)&gt;1,"⚠ duplicate name",IF(SUMPRODUCT(--ISNUMBER(FIND({"*";"?";"~"},$A30)))&gt;0,"⚠ remove * ? ~ from the name","OK")))</f>
        <v>—</v>
      </c>
    </row>
    <row r="31" spans="1:12" x14ac:dyDescent="0.2">
      <c r="A31" s="3"/>
      <c r="B31" s="3"/>
      <c r="C31" s="4"/>
      <c r="D31" s="5"/>
      <c r="E31" s="6"/>
      <c r="F31" s="6"/>
      <c r="G31" s="6"/>
      <c r="H31" s="6"/>
      <c r="I31" s="4"/>
      <c r="J31" s="6"/>
      <c r="K31" s="3"/>
      <c r="L31" s="7" t="str">
        <f>IF($A31="","—",IF(COUNTIF($A$25:$A$36,$A31)&gt;1,"⚠ duplicate name",IF(SUMPRODUCT(--ISNUMBER(FIND({"*";"?";"~"},$A31)))&gt;0,"⚠ remove * ? ~ from the name","OK")))</f>
        <v>—</v>
      </c>
    </row>
    <row r="32" spans="1:12" x14ac:dyDescent="0.2">
      <c r="A32" s="8"/>
      <c r="B32" s="8"/>
      <c r="C32" s="9"/>
      <c r="D32" s="10"/>
      <c r="E32" s="11"/>
      <c r="F32" s="11"/>
      <c r="G32" s="11"/>
      <c r="H32" s="11"/>
      <c r="I32" s="9"/>
      <c r="J32" s="11"/>
      <c r="K32" s="8"/>
      <c r="L32" s="7" t="str">
        <f>IF($A32="","—",IF(COUNTIF($A$25:$A$36,$A32)&gt;1,"⚠ duplicate name",IF(SUMPRODUCT(--ISNUMBER(FIND({"*";"?";"~"},$A32)))&gt;0,"⚠ remove * ? ~ from the name","OK")))</f>
        <v>—</v>
      </c>
    </row>
    <row r="33" spans="1:12" x14ac:dyDescent="0.2">
      <c r="A33" s="3"/>
      <c r="B33" s="3"/>
      <c r="C33" s="4"/>
      <c r="D33" s="5"/>
      <c r="E33" s="6"/>
      <c r="F33" s="6"/>
      <c r="G33" s="6"/>
      <c r="H33" s="6"/>
      <c r="I33" s="4"/>
      <c r="J33" s="6"/>
      <c r="K33" s="3"/>
      <c r="L33" s="7" t="str">
        <f>IF($A33="","—",IF(COUNTIF($A$25:$A$36,$A33)&gt;1,"⚠ duplicate name",IF(SUMPRODUCT(--ISNUMBER(FIND({"*";"?";"~"},$A33)))&gt;0,"⚠ remove * ? ~ from the name","OK")))</f>
        <v>—</v>
      </c>
    </row>
    <row r="34" spans="1:12" x14ac:dyDescent="0.2">
      <c r="A34" s="8"/>
      <c r="B34" s="8"/>
      <c r="C34" s="9"/>
      <c r="D34" s="10"/>
      <c r="E34" s="11"/>
      <c r="F34" s="11"/>
      <c r="G34" s="11"/>
      <c r="H34" s="11"/>
      <c r="I34" s="9"/>
      <c r="J34" s="11"/>
      <c r="K34" s="8"/>
      <c r="L34" s="7" t="str">
        <f>IF($A34="","—",IF(COUNTIF($A$25:$A$36,$A34)&gt;1,"⚠ duplicate name",IF(SUMPRODUCT(--ISNUMBER(FIND({"*";"?";"~"},$A34)))&gt;0,"⚠ remove * ? ~ from the name","OK")))</f>
        <v>—</v>
      </c>
    </row>
    <row r="35" spans="1:12" x14ac:dyDescent="0.2">
      <c r="A35" s="3"/>
      <c r="B35" s="3"/>
      <c r="C35" s="4"/>
      <c r="D35" s="5"/>
      <c r="E35" s="6"/>
      <c r="F35" s="6"/>
      <c r="G35" s="6"/>
      <c r="H35" s="6"/>
      <c r="I35" s="4"/>
      <c r="J35" s="6"/>
      <c r="K35" s="3"/>
      <c r="L35" s="7" t="str">
        <f>IF($A35="","—",IF(COUNTIF($A$25:$A$36,$A35)&gt;1,"⚠ duplicate name",IF(SUMPRODUCT(--ISNUMBER(FIND({"*";"?";"~"},$A35)))&gt;0,"⚠ remove * ? ~ from the name","OK")))</f>
        <v>—</v>
      </c>
    </row>
    <row r="36" spans="1:12" x14ac:dyDescent="0.2">
      <c r="A36" s="8"/>
      <c r="B36" s="8"/>
      <c r="C36" s="9"/>
      <c r="D36" s="10"/>
      <c r="E36" s="11"/>
      <c r="F36" s="11"/>
      <c r="G36" s="11"/>
      <c r="H36" s="11"/>
      <c r="I36" s="9"/>
      <c r="J36" s="11"/>
      <c r="K36" s="8"/>
      <c r="L36" s="7" t="str">
        <f>IF($A36="","—",IF(COUNTIF($A$25:$A$36,$A36)&gt;1,"⚠ duplicate name",IF(SUMPRODUCT(--ISNUMBER(FIND({"*";"?";"~"},$A36)))&gt;0,"⚠ remove * ? ~ from the name","OK")))</f>
        <v>—</v>
      </c>
    </row>
    <row r="38" spans="1:12" ht="16" x14ac:dyDescent="0.2">
      <c r="A38" s="1" t="s">
        <v>36</v>
      </c>
    </row>
    <row r="39" spans="1:12" ht="30" customHeight="1" x14ac:dyDescent="0.2">
      <c r="A39" s="2" t="s">
        <v>37</v>
      </c>
      <c r="B39" s="2" t="s">
        <v>38</v>
      </c>
      <c r="C39" s="2" t="s">
        <v>39</v>
      </c>
    </row>
    <row r="40" spans="1:12" ht="32" x14ac:dyDescent="0.2">
      <c r="A40" s="8" t="s">
        <v>40</v>
      </c>
      <c r="B40" s="8" t="s">
        <v>41</v>
      </c>
      <c r="C40" s="8" t="s">
        <v>42</v>
      </c>
    </row>
    <row r="41" spans="1:12" ht="32" x14ac:dyDescent="0.2">
      <c r="A41" s="3" t="s">
        <v>43</v>
      </c>
      <c r="B41" s="3" t="s">
        <v>41</v>
      </c>
      <c r="C41" s="3" t="s">
        <v>42</v>
      </c>
    </row>
    <row r="42" spans="1:12" ht="32" x14ac:dyDescent="0.2">
      <c r="A42" s="8" t="s">
        <v>44</v>
      </c>
      <c r="B42" s="8" t="s">
        <v>45</v>
      </c>
      <c r="C42" s="8" t="s">
        <v>42</v>
      </c>
    </row>
    <row r="43" spans="1:12" ht="32" x14ac:dyDescent="0.2">
      <c r="A43" s="3" t="s">
        <v>46</v>
      </c>
      <c r="B43" s="3"/>
      <c r="C43" s="3" t="s">
        <v>42</v>
      </c>
    </row>
    <row r="44" spans="1:12" x14ac:dyDescent="0.2">
      <c r="A44" s="8"/>
      <c r="B44" s="8"/>
      <c r="C44" s="8"/>
    </row>
    <row r="45" spans="1:12" x14ac:dyDescent="0.2">
      <c r="A45" s="3"/>
      <c r="B45" s="3"/>
      <c r="C45" s="3"/>
    </row>
    <row r="46" spans="1:12" x14ac:dyDescent="0.2">
      <c r="A46" s="8"/>
      <c r="B46" s="8"/>
      <c r="C46" s="8"/>
    </row>
    <row r="47" spans="1:12" x14ac:dyDescent="0.2">
      <c r="A47" s="3"/>
      <c r="B47" s="3"/>
      <c r="C47" s="3"/>
    </row>
    <row r="49" spans="2:12" ht="16" customHeight="1" x14ac:dyDescent="0.2">
      <c r="B49" s="46" t="s">
        <v>47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</row>
    <row r="50" spans="2:12" ht="29" customHeight="1" x14ac:dyDescent="0.2">
      <c r="B50" s="44" t="s">
        <v>48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</row>
    <row r="51" spans="2:12" ht="16" customHeight="1" x14ac:dyDescent="0.2">
      <c r="B51" s="44" t="s">
        <v>49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</row>
    <row r="52" spans="2:12" ht="29" customHeight="1" x14ac:dyDescent="0.2">
      <c r="B52" s="44" t="s">
        <v>50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</row>
    <row r="53" spans="2:12" ht="29" customHeight="1" x14ac:dyDescent="0.2">
      <c r="B53" s="44" t="s">
        <v>51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 spans="2:12" ht="29" customHeight="1" x14ac:dyDescent="0.2">
      <c r="B54" s="44" t="s">
        <v>52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</row>
    <row r="55" spans="2:12" ht="16" customHeight="1" x14ac:dyDescent="0.2">
      <c r="B55" s="44" t="s">
        <v>53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</row>
    <row r="56" spans="2:12" ht="16" customHeight="1" x14ac:dyDescent="0.2">
      <c r="B56" s="44"/>
      <c r="C56" s="43"/>
      <c r="D56" s="43"/>
      <c r="E56" s="43"/>
      <c r="F56" s="43"/>
      <c r="G56" s="43"/>
      <c r="H56" s="43"/>
      <c r="I56" s="43"/>
      <c r="J56" s="43"/>
      <c r="K56" s="43"/>
      <c r="L56" s="43"/>
    </row>
    <row r="57" spans="2:12" ht="16" customHeight="1" x14ac:dyDescent="0.2">
      <c r="B57" s="46" t="s">
        <v>54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 spans="2:12" ht="29" customHeight="1" x14ac:dyDescent="0.2">
      <c r="B58" s="44" t="s">
        <v>55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59" spans="2:12" ht="16" customHeight="1" x14ac:dyDescent="0.2">
      <c r="B59" s="44" t="s">
        <v>56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</row>
    <row r="60" spans="2:12" ht="16" customHeight="1" x14ac:dyDescent="0.2">
      <c r="B60" s="44"/>
      <c r="C60" s="43"/>
      <c r="D60" s="43"/>
      <c r="E60" s="43"/>
      <c r="F60" s="43"/>
      <c r="G60" s="43"/>
      <c r="H60" s="43"/>
      <c r="I60" s="43"/>
      <c r="J60" s="43"/>
      <c r="K60" s="43"/>
      <c r="L60" s="43"/>
    </row>
    <row r="61" spans="2:12" ht="29" customHeight="1" x14ac:dyDescent="0.2">
      <c r="B61" s="44" t="s">
        <v>57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 spans="2:12" ht="16" customHeight="1" x14ac:dyDescent="0.2">
      <c r="B62" s="44" t="s">
        <v>58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</row>
    <row r="63" spans="2:12" ht="16" customHeight="1" x14ac:dyDescent="0.2">
      <c r="B63" s="44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</row>
    <row r="64" spans="2:12" ht="16" customHeight="1" x14ac:dyDescent="0.2">
      <c r="B64" s="44" t="s">
        <v>60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</row>
  </sheetData>
  <mergeCells count="36">
    <mergeCell ref="B64:L64"/>
    <mergeCell ref="B15:L15"/>
    <mergeCell ref="A1:L1"/>
    <mergeCell ref="B55:L55"/>
    <mergeCell ref="B5:L5"/>
    <mergeCell ref="B20:L20"/>
    <mergeCell ref="B51:L51"/>
    <mergeCell ref="B63:L63"/>
    <mergeCell ref="A2:L2"/>
    <mergeCell ref="B12:L12"/>
    <mergeCell ref="B58:L58"/>
    <mergeCell ref="B52:L52"/>
    <mergeCell ref="B21:L21"/>
    <mergeCell ref="B11:L11"/>
    <mergeCell ref="B14:L14"/>
    <mergeCell ref="B17:L17"/>
    <mergeCell ref="B57:L57"/>
    <mergeCell ref="B8:L8"/>
    <mergeCell ref="B53:L53"/>
    <mergeCell ref="B13:L13"/>
    <mergeCell ref="B19:L19"/>
    <mergeCell ref="B10:L10"/>
    <mergeCell ref="B9:L9"/>
    <mergeCell ref="B49:L49"/>
    <mergeCell ref="B4:L4"/>
    <mergeCell ref="B50:L50"/>
    <mergeCell ref="B16:L16"/>
    <mergeCell ref="B54:L54"/>
    <mergeCell ref="B62:L62"/>
    <mergeCell ref="B7:L7"/>
    <mergeCell ref="B59:L59"/>
    <mergeCell ref="B18:L18"/>
    <mergeCell ref="B56:L56"/>
    <mergeCell ref="B60:L60"/>
    <mergeCell ref="B61:L61"/>
    <mergeCell ref="B6:L6"/>
  </mergeCells>
  <conditionalFormatting sqref="L25:L36">
    <cfRule type="expression" dxfId="29" priority="1">
      <formula>LEFT($L25,1)="⚠"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2" width="12" customWidth="1"/>
    <col min="3" max="3" width="13" customWidth="1"/>
    <col min="4" max="4" width="11" customWidth="1"/>
    <col min="5" max="5" width="15" customWidth="1"/>
    <col min="6" max="6" width="13" customWidth="1"/>
    <col min="7" max="7" width="16" customWidth="1"/>
    <col min="8" max="9" width="13" customWidth="1"/>
    <col min="10" max="11" width="14" customWidth="1"/>
    <col min="12" max="12" width="17" customWidth="1"/>
    <col min="13" max="13" width="15" customWidth="1"/>
    <col min="14" max="14" width="3" customWidth="1"/>
    <col min="15" max="15" width="15" customWidth="1"/>
    <col min="16" max="16" width="13" customWidth="1"/>
  </cols>
  <sheetData>
    <row r="1" spans="1:16" ht="26" customHeight="1" x14ac:dyDescent="0.25">
      <c r="A1" s="47" t="s">
        <v>61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6" x14ac:dyDescent="0.2">
      <c r="A2" s="45" t="s">
        <v>62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O2" s="12" t="s">
        <v>63</v>
      </c>
      <c r="P2" s="13">
        <f ca="1">IFERROR(DATE($B$4,MATCH($D$4,Lists!$G$1:$G$12,0),1),DATE(YEAR(TODAY()),MONTH(TODAY()),1))</f>
        <v>46204</v>
      </c>
    </row>
    <row r="3" spans="1:16" x14ac:dyDescent="0.2">
      <c r="O3" s="12" t="s">
        <v>64</v>
      </c>
      <c r="P3" s="13">
        <f ca="1">IFERROR(DATE(YEAR($P$2),MONTH($P$2)+1,0),$P$2)</f>
        <v>46234</v>
      </c>
    </row>
    <row r="4" spans="1:16" ht="22" customHeight="1" x14ac:dyDescent="0.2">
      <c r="A4" s="14" t="s">
        <v>65</v>
      </c>
      <c r="B4" s="15">
        <f ca="1">IFERROR(YEAR(TODAY()),2025)</f>
        <v>2026</v>
      </c>
      <c r="C4" s="14" t="s">
        <v>66</v>
      </c>
      <c r="D4" s="16" t="str">
        <f ca="1">IFERROR(INDEX(Lists!$G$1:$G$12,MONTH(TODAY())),"January")</f>
        <v>July</v>
      </c>
      <c r="F4" s="48" t="str">
        <f ca="1">IF(OR(NOT(ISNUMBER($P$2)),NOT(ISNUMBER($P$3))),"Pick a year in B4 and a month in D4.","Showing "&amp;DAY($P$2)&amp;" "&amp;INDEX(Lists!$G$1:$G$12,MONTH($P$2))&amp;" "&amp;YEAR($P$2)&amp;" to "&amp;DAY($P$3)&amp;" "&amp;INDEX(Lists!$G$1:$G$12,MONTH($P$3))&amp;" "&amp;YEAR($P$3)&amp;"  ·  money is counted in the month a stay CHECKS OUT; nights are split by actual date")</f>
        <v>Showing 1 July 2026 to 31 July 2026  ·  money is counted in the month a stay CHECKS OUT; nights are split by actual date</v>
      </c>
      <c r="G4" s="43"/>
      <c r="H4" s="43"/>
      <c r="I4" s="43"/>
      <c r="J4" s="43"/>
      <c r="K4" s="43"/>
      <c r="L4" s="43"/>
      <c r="M4" s="43"/>
      <c r="O4" s="12" t="s">
        <v>67</v>
      </c>
      <c r="P4" s="17">
        <f ca="1">IF(NOT(ISNUMBER($P$3)),"—",DAY($P$3))</f>
        <v>31</v>
      </c>
    </row>
    <row r="6" spans="1:16" ht="30" customHeight="1" x14ac:dyDescent="0.2">
      <c r="A6" s="18" t="s">
        <v>68</v>
      </c>
      <c r="C6" s="18" t="s">
        <v>69</v>
      </c>
      <c r="E6" s="18" t="s">
        <v>70</v>
      </c>
      <c r="G6" s="18" t="s">
        <v>71</v>
      </c>
      <c r="I6" s="18" t="s">
        <v>72</v>
      </c>
      <c r="K6" s="18" t="s">
        <v>73</v>
      </c>
    </row>
    <row r="7" spans="1:16" ht="30" customHeight="1" x14ac:dyDescent="0.2">
      <c r="A7" s="51">
        <f ca="1">IF(NOT(ISNUMBER($L$23)),"—",$L$23)</f>
        <v>2549.1999999999998</v>
      </c>
      <c r="B7" s="43"/>
      <c r="C7" s="50">
        <f ca="1">IF(NOT(ISNUMBER($E$23)),"—",$E$23)</f>
        <v>3890</v>
      </c>
      <c r="D7" s="43"/>
      <c r="E7" s="50">
        <f ca="1">IF(NOT(ISNUMBER($K$23)),"—",$K$23)</f>
        <v>1340.8</v>
      </c>
      <c r="F7" s="43"/>
      <c r="G7" s="52">
        <f ca="1">IF(NOT(ISNUMBER($D$23)),"—",$D$23)</f>
        <v>0.4</v>
      </c>
      <c r="H7" s="43"/>
      <c r="I7" s="50">
        <f ca="1">IF(NOT(ISNUMBER($M$23)),"—",$M$23)</f>
        <v>28.32</v>
      </c>
      <c r="J7" s="43"/>
      <c r="K7" s="49">
        <f ca="1">IF(COUNTIFS(Cleaning!$D$5:$D$304,"&gt;="&amp;$P$2,Cleaning!$D$5:$D$304,"&lt;="&amp;$P$3)=0,"—",IF(COUNTIFS(Cleaning!$D$5:$D$304,"&gt;="&amp;$P$2,Cleaning!$D$5:$D$304,"&lt;="&amp;$P$3)-COUNTIFS(Cleaning!$D$5:$D$304,"&gt;="&amp;$P$2,Cleaning!$D$5:$D$304,"&lt;="&amp;$P$3,Cleaning!$K$5:$K$304,"Done")=0,"All done ✓",COUNTIFS(Cleaning!$D$5:$D$304,"&gt;="&amp;$P$2,Cleaning!$D$5:$D$304,"&lt;="&amp;$P$3)-COUNTIFS(Cleaning!$D$5:$D$304,"&gt;="&amp;$P$2,Cleaning!$D$5:$D$304,"&lt;="&amp;$P$3,Cleaning!$K$5:$K$304,"Done")))</f>
        <v>1</v>
      </c>
      <c r="L7" s="43"/>
    </row>
    <row r="9" spans="1:16" ht="16" x14ac:dyDescent="0.2">
      <c r="A9" s="1" t="s">
        <v>74</v>
      </c>
    </row>
    <row r="10" spans="1:16" ht="30" customHeight="1" x14ac:dyDescent="0.2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69</v>
      </c>
      <c r="F10" s="2" t="s">
        <v>79</v>
      </c>
      <c r="G10" s="2" t="s">
        <v>80</v>
      </c>
      <c r="H10" s="2" t="s">
        <v>81</v>
      </c>
      <c r="I10" s="2" t="s">
        <v>82</v>
      </c>
      <c r="J10" s="2" t="s">
        <v>83</v>
      </c>
      <c r="K10" s="2" t="s">
        <v>84</v>
      </c>
      <c r="L10" s="2" t="s">
        <v>85</v>
      </c>
      <c r="M10" s="2" t="s">
        <v>72</v>
      </c>
    </row>
    <row r="11" spans="1:16" x14ac:dyDescent="0.2">
      <c r="A11" s="7" t="str">
        <f>IF(Setup!$A25="","—",Setup!$A25)</f>
        <v>Riverside Loft</v>
      </c>
      <c r="B11" s="19">
        <f ca="1">IF($A11="—","—",IF(SUMIFS(Bookings!$T$5:$T$304,Bookings!$B$5:$B$304,$A11)=0,"—",SUMIFS(Bookings!$T$5:$T$304,Bookings!$B$5:$B$304,$A11)))</f>
        <v>16</v>
      </c>
      <c r="C11" s="19">
        <f ca="1">IF(OR($A11="—",NOT(ISNUMBER($P$4))),"—",$P$4-SUMIFS(Bookings!$U$5:$U$304,Bookings!$B$5:$B$304,$A11))</f>
        <v>31</v>
      </c>
      <c r="D11" s="20">
        <f t="shared" ref="D11:D22" ca="1" si="0">IFERROR(IF(OR($A11="—",NOT(ISNUMBER($C11)),$C11&lt;=0),"—",IF(ISNUMBER($B11),$B11,0)/$C11),"—")</f>
        <v>0.5161290322580645</v>
      </c>
      <c r="E11" s="21">
        <f ca="1">IF($A11="—","—",IF(SUMIFS(Bookings!$W$5:$W$304,Bookings!$B$5:$B$304,$A11,Bookings!$G$5:$G$304,"&gt;="&amp;$P$2,Bookings!$G$5:$G$304,"&lt;="&amp;$P$3)=0,"—",SUMIFS(Bookings!$W$5:$W$304,Bookings!$B$5:$B$304,$A11,Bookings!$G$5:$G$304,"&gt;="&amp;$P$2,Bookings!$G$5:$G$304,"&lt;="&amp;$P$3)))</f>
        <v>1935</v>
      </c>
      <c r="F11" s="21">
        <f ca="1">IF($A11="—","—",IF(SUMIFS(Bookings!$L$5:$L$304,Bookings!$B$5:$B$304,$A11,Bookings!$G$5:$G$304,"&gt;="&amp;$P$2,Bookings!$G$5:$G$304,"&lt;="&amp;$P$3)=0,"—",SUMIFS(Bookings!$L$5:$L$304,Bookings!$B$5:$B$304,$A11,Bookings!$G$5:$G$304,"&gt;="&amp;$P$2,Bookings!$G$5:$G$304,"&lt;="&amp;$P$3)))</f>
        <v>66.649999999999991</v>
      </c>
      <c r="G11" s="21">
        <f ca="1">IF($A11="—","—",IF(SUMIFS(Bookings!$N$5:$N$304,Bookings!$B$5:$B$304,$A11,Bookings!$G$5:$G$304,"&gt;="&amp;$P$2,Bookings!$G$5:$G$304,"&lt;="&amp;$P$3)+SUMIFS(Bookings!$O$5:$O$304,Bookings!$B$5:$B$304,$A11,Bookings!$G$5:$G$304,"&gt;="&amp;$P$2,Bookings!$G$5:$G$304,"&lt;="&amp;$P$3)=0,"—",SUMIFS(Bookings!$N$5:$N$304,Bookings!$B$5:$B$304,$A11,Bookings!$G$5:$G$304,"&gt;="&amp;$P$2,Bookings!$G$5:$G$304,"&lt;="&amp;$P$3)+SUMIFS(Bookings!$O$5:$O$304,Bookings!$B$5:$B$304,$A11,Bookings!$G$5:$G$304,"&gt;="&amp;$P$2,Bookings!$G$5:$G$304,"&lt;="&amp;$P$3)))</f>
        <v>228</v>
      </c>
      <c r="H11" s="21">
        <f ca="1">IF($A11="—","—",IF(SUMIFS(Bookings!$P$5:$P$304,Bookings!$B$5:$B$304,$A11,Bookings!$G$5:$G$304,"&gt;="&amp;$P$2,Bookings!$G$5:$G$304,"&lt;="&amp;$P$3)=0,"—",SUMIFS(Bookings!$P$5:$P$304,Bookings!$B$5:$B$304,$A11,Bookings!$G$5:$G$304,"&gt;="&amp;$P$2,Bookings!$G$5:$G$304,"&lt;="&amp;$P$3)))</f>
        <v>49.5</v>
      </c>
      <c r="I11" s="21">
        <f>IF($A11="—","—",IFERROR(IF(INDEX(Setup!$J$25:$J$36,MATCH($A11,Setup!$A$25:$A$36,0))=0,"—",INDEX(Setup!$J$25:$J$36,MATCH($A11,Setup!$A$25:$A$36,0))),"—"))</f>
        <v>62</v>
      </c>
      <c r="J11" s="21">
        <f ca="1">IF($A11="—","—",IF(SUMIFS(Costs!$F$5:$F$254,Costs!$C$5:$C$254,$A11,Costs!$B$5:$B$254,"&gt;="&amp;$P$2,Costs!$B$5:$B$254,"&lt;="&amp;$P$3)=0,"—",SUMIFS(Costs!$F$5:$F$254,Costs!$C$5:$C$254,$A11,Costs!$B$5:$B$254,"&gt;="&amp;$P$2,Costs!$B$5:$B$254,"&lt;="&amp;$P$3)))</f>
        <v>148.5</v>
      </c>
      <c r="K11" s="21">
        <f t="shared" ref="K11:K22" ca="1" si="1">IF(OR($A11="—",COUNT($F11:$J11)=0),"—",ROUND(SUM($F11:$J11),2))</f>
        <v>554.65</v>
      </c>
      <c r="L11" s="21">
        <f t="shared" ref="L11:L22" ca="1" si="2">IF(OR($A11="—",COUNT($E11,$K11)=0),"—",ROUND(IF(ISNUMBER($E11),$E11,0)-IF(ISNUMBER($K11),$K11,0),2))</f>
        <v>1380.35</v>
      </c>
      <c r="M11" s="21">
        <f t="shared" ref="M11:M23" ca="1" si="3">IF(OR(NOT(ISNUMBER($L11)),NOT(ISNUMBER($C11)),$C11&lt;=0),"—",ROUND($L11/$C11,2))</f>
        <v>44.53</v>
      </c>
    </row>
    <row r="12" spans="1:16" x14ac:dyDescent="0.2">
      <c r="A12" s="22" t="str">
        <f>IF(Setup!$A26="","—",Setup!$A26)</f>
        <v>Harbour Studio</v>
      </c>
      <c r="B12" s="23">
        <f ca="1">IF($A12="—","—",IF(SUMIFS(Bookings!$T$5:$T$304,Bookings!$B$5:$B$304,$A12)=0,"—",SUMIFS(Bookings!$T$5:$T$304,Bookings!$B$5:$B$304,$A12)))</f>
        <v>14</v>
      </c>
      <c r="C12" s="23">
        <f ca="1">IF(OR($A12="—",NOT(ISNUMBER($P$4))),"—",$P$4-SUMIFS(Bookings!$U$5:$U$304,Bookings!$B$5:$B$304,$A12))</f>
        <v>31</v>
      </c>
      <c r="D12" s="24">
        <f t="shared" ca="1" si="0"/>
        <v>0.45161290322580644</v>
      </c>
      <c r="E12" s="25">
        <f ca="1">IF($A12="—","—",IF(SUMIFS(Bookings!$W$5:$W$304,Bookings!$B$5:$B$304,$A12,Bookings!$G$5:$G$304,"&gt;="&amp;$P$2,Bookings!$G$5:$G$304,"&lt;="&amp;$P$3)=0,"—",SUMIFS(Bookings!$W$5:$W$304,Bookings!$B$5:$B$304,$A12,Bookings!$G$5:$G$304,"&gt;="&amp;$P$2,Bookings!$G$5:$G$304,"&lt;="&amp;$P$3)))</f>
        <v>1065</v>
      </c>
      <c r="F12" s="25">
        <f ca="1">IF($A12="—","—",IF(SUMIFS(Bookings!$L$5:$L$304,Bookings!$B$5:$B$304,$A12,Bookings!$G$5:$G$304,"&gt;="&amp;$P$2,Bookings!$G$5:$G$304,"&lt;="&amp;$P$3)=0,"—",SUMIFS(Bookings!$L$5:$L$304,Bookings!$B$5:$B$304,$A12,Bookings!$G$5:$G$304,"&gt;="&amp;$P$2,Bookings!$G$5:$G$304,"&lt;="&amp;$P$3)))</f>
        <v>123.75</v>
      </c>
      <c r="G12" s="25">
        <f ca="1">IF($A12="—","—",IF(SUMIFS(Bookings!$N$5:$N$304,Bookings!$B$5:$B$304,$A12,Bookings!$G$5:$G$304,"&gt;="&amp;$P$2,Bookings!$G$5:$G$304,"&lt;="&amp;$P$3)+SUMIFS(Bookings!$O$5:$O$304,Bookings!$B$5:$B$304,$A12,Bookings!$G$5:$G$304,"&gt;="&amp;$P$2,Bookings!$G$5:$G$304,"&lt;="&amp;$P$3)=0,"—",SUMIFS(Bookings!$N$5:$N$304,Bookings!$B$5:$B$304,$A12,Bookings!$G$5:$G$304,"&gt;="&amp;$P$2,Bookings!$G$5:$G$304,"&lt;="&amp;$P$3)+SUMIFS(Bookings!$O$5:$O$304,Bookings!$B$5:$B$304,$A12,Bookings!$G$5:$G$304,"&gt;="&amp;$P$2,Bookings!$G$5:$G$304,"&lt;="&amp;$P$3)))</f>
        <v>141</v>
      </c>
      <c r="H12" s="25">
        <f ca="1">IF($A12="—","—",IF(SUMIFS(Bookings!$P$5:$P$304,Bookings!$B$5:$B$304,$A12,Bookings!$G$5:$G$304,"&gt;="&amp;$P$2,Bookings!$G$5:$G$304,"&lt;="&amp;$P$3)=0,"—",SUMIFS(Bookings!$P$5:$P$304,Bookings!$B$5:$B$304,$A12,Bookings!$G$5:$G$304,"&gt;="&amp;$P$2,Bookings!$G$5:$G$304,"&lt;="&amp;$P$3)))</f>
        <v>30.3</v>
      </c>
      <c r="I12" s="25">
        <f>IF($A12="—","—",IFERROR(IF(INDEX(Setup!$J$25:$J$36,MATCH($A12,Setup!$A$25:$A$36,0))=0,"—",INDEX(Setup!$J$25:$J$36,MATCH($A12,Setup!$A$25:$A$36,0))),"—"))</f>
        <v>48</v>
      </c>
      <c r="J12" s="25">
        <f ca="1">IF($A12="—","—",IF(SUMIFS(Costs!$F$5:$F$254,Costs!$C$5:$C$254,$A12,Costs!$B$5:$B$254,"&gt;="&amp;$P$2,Costs!$B$5:$B$254,"&lt;="&amp;$P$3)=0,"—",SUMIFS(Costs!$F$5:$F$254,Costs!$C$5:$C$254,$A12,Costs!$B$5:$B$254,"&gt;="&amp;$P$2,Costs!$B$5:$B$254,"&lt;="&amp;$P$3)))</f>
        <v>34.9</v>
      </c>
      <c r="K12" s="25">
        <f t="shared" ca="1" si="1"/>
        <v>377.95</v>
      </c>
      <c r="L12" s="25">
        <f t="shared" ca="1" si="2"/>
        <v>687.05</v>
      </c>
      <c r="M12" s="25">
        <f t="shared" ca="1" si="3"/>
        <v>22.16</v>
      </c>
    </row>
    <row r="13" spans="1:16" x14ac:dyDescent="0.2">
      <c r="A13" s="7" t="str">
        <f>IF(Setup!$A27="","—",Setup!$A27)</f>
        <v>Garden Cottage</v>
      </c>
      <c r="B13" s="19">
        <f ca="1">IF($A13="—","—",IF(SUMIFS(Bookings!$T$5:$T$304,Bookings!$B$5:$B$304,$A13)=0,"—",SUMIFS(Bookings!$T$5:$T$304,Bookings!$B$5:$B$304,$A13)))</f>
        <v>6</v>
      </c>
      <c r="C13" s="19">
        <f ca="1">IF(OR($A13="—",NOT(ISNUMBER($P$4))),"—",$P$4-SUMIFS(Bookings!$U$5:$U$304,Bookings!$B$5:$B$304,$A13))</f>
        <v>28</v>
      </c>
      <c r="D13" s="20">
        <f t="shared" ca="1" si="0"/>
        <v>0.21428571428571427</v>
      </c>
      <c r="E13" s="21">
        <f ca="1">IF($A13="—","—",IF(SUMIFS(Bookings!$W$5:$W$304,Bookings!$B$5:$B$304,$A13,Bookings!$G$5:$G$304,"&gt;="&amp;$P$2,Bookings!$G$5:$G$304,"&lt;="&amp;$P$3)=0,"—",SUMIFS(Bookings!$W$5:$W$304,Bookings!$B$5:$B$304,$A13,Bookings!$G$5:$G$304,"&gt;="&amp;$P$2,Bookings!$G$5:$G$304,"&lt;="&amp;$P$3)))</f>
        <v>890</v>
      </c>
      <c r="F13" s="21">
        <f ca="1">IF($A13="—","—",IF(SUMIFS(Bookings!$L$5:$L$304,Bookings!$B$5:$B$304,$A13,Bookings!$G$5:$G$304,"&gt;="&amp;$P$2,Bookings!$G$5:$G$304,"&lt;="&amp;$P$3)=0,"—",SUMIFS(Bookings!$L$5:$L$304,Bookings!$B$5:$B$304,$A13,Bookings!$G$5:$G$304,"&gt;="&amp;$P$2,Bookings!$G$5:$G$304,"&lt;="&amp;$P$3)))</f>
        <v>71.2</v>
      </c>
      <c r="G13" s="21">
        <f ca="1">IF($A13="—","—",IF(SUMIFS(Bookings!$N$5:$N$304,Bookings!$B$5:$B$304,$A13,Bookings!$G$5:$G$304,"&gt;="&amp;$P$2,Bookings!$G$5:$G$304,"&lt;="&amp;$P$3)+SUMIFS(Bookings!$O$5:$O$304,Bookings!$B$5:$B$304,$A13,Bookings!$G$5:$G$304,"&gt;="&amp;$P$2,Bookings!$G$5:$G$304,"&lt;="&amp;$P$3)=0,"—",SUMIFS(Bookings!$N$5:$N$304,Bookings!$B$5:$B$304,$A13,Bookings!$G$5:$G$304,"&gt;="&amp;$P$2,Bookings!$G$5:$G$304,"&lt;="&amp;$P$3)+SUMIFS(Bookings!$O$5:$O$304,Bookings!$B$5:$B$304,$A13,Bookings!$G$5:$G$304,"&gt;="&amp;$P$2,Bookings!$G$5:$G$304,"&lt;="&amp;$P$3)))</f>
        <v>156</v>
      </c>
      <c r="H13" s="21">
        <f ca="1">IF($A13="—","—",IF(SUMIFS(Bookings!$P$5:$P$304,Bookings!$B$5:$B$304,$A13,Bookings!$G$5:$G$304,"&gt;="&amp;$P$2,Bookings!$G$5:$G$304,"&lt;="&amp;$P$3)=0,"—",SUMIFS(Bookings!$P$5:$P$304,Bookings!$B$5:$B$304,$A13,Bookings!$G$5:$G$304,"&gt;="&amp;$P$2,Bookings!$G$5:$G$304,"&lt;="&amp;$P$3)))</f>
        <v>20</v>
      </c>
      <c r="I13" s="21">
        <f>IF($A13="—","—",IFERROR(IF(INDEX(Setup!$J$25:$J$36,MATCH($A13,Setup!$A$25:$A$36,0))=0,"—",INDEX(Setup!$J$25:$J$36,MATCH($A13,Setup!$A$25:$A$36,0))),"—"))</f>
        <v>74</v>
      </c>
      <c r="J13" s="21">
        <f ca="1">IF($A13="—","—",IF(SUMIFS(Costs!$F$5:$F$254,Costs!$C$5:$C$254,$A13,Costs!$B$5:$B$254,"&gt;="&amp;$P$2,Costs!$B$5:$B$254,"&lt;="&amp;$P$3)=0,"—",SUMIFS(Costs!$F$5:$F$254,Costs!$C$5:$C$254,$A13,Costs!$B$5:$B$254,"&gt;="&amp;$P$2,Costs!$B$5:$B$254,"&lt;="&amp;$P$3)))</f>
        <v>87</v>
      </c>
      <c r="K13" s="21">
        <f t="shared" ca="1" si="1"/>
        <v>408.2</v>
      </c>
      <c r="L13" s="21">
        <f t="shared" ca="1" si="2"/>
        <v>481.8</v>
      </c>
      <c r="M13" s="21">
        <f t="shared" ca="1" si="3"/>
        <v>17.21</v>
      </c>
    </row>
    <row r="14" spans="1:16" x14ac:dyDescent="0.2">
      <c r="A14" s="22" t="str">
        <f>IF(Setup!$A28="","—",Setup!$A28)</f>
        <v>—</v>
      </c>
      <c r="B14" s="23" t="str">
        <f>IF($A14="—","—",IF(SUMIFS(Bookings!$T$5:$T$304,Bookings!$B$5:$B$304,$A14)=0,"—",SUMIFS(Bookings!$T$5:$T$304,Bookings!$B$5:$B$304,$A14)))</f>
        <v>—</v>
      </c>
      <c r="C14" s="23" t="str">
        <f ca="1">IF(OR($A14="—",NOT(ISNUMBER($P$4))),"—",$P$4-SUMIFS(Bookings!$U$5:$U$304,Bookings!$B$5:$B$304,$A14))</f>
        <v>—</v>
      </c>
      <c r="D14" s="24" t="str">
        <f t="shared" ca="1" si="0"/>
        <v>—</v>
      </c>
      <c r="E14" s="25" t="str">
        <f>IF($A14="—","—",IF(SUMIFS(Bookings!$W$5:$W$304,Bookings!$B$5:$B$304,$A14,Bookings!$G$5:$G$304,"&gt;="&amp;$P$2,Bookings!$G$5:$G$304,"&lt;="&amp;$P$3)=0,"—",SUMIFS(Bookings!$W$5:$W$304,Bookings!$B$5:$B$304,$A14,Bookings!$G$5:$G$304,"&gt;="&amp;$P$2,Bookings!$G$5:$G$304,"&lt;="&amp;$P$3)))</f>
        <v>—</v>
      </c>
      <c r="F14" s="25" t="str">
        <f>IF($A14="—","—",IF(SUMIFS(Bookings!$L$5:$L$304,Bookings!$B$5:$B$304,$A14,Bookings!$G$5:$G$304,"&gt;="&amp;$P$2,Bookings!$G$5:$G$304,"&lt;="&amp;$P$3)=0,"—",SUMIFS(Bookings!$L$5:$L$304,Bookings!$B$5:$B$304,$A14,Bookings!$G$5:$G$304,"&gt;="&amp;$P$2,Bookings!$G$5:$G$304,"&lt;="&amp;$P$3)))</f>
        <v>—</v>
      </c>
      <c r="G14" s="25" t="str">
        <f>IF($A14="—","—",IF(SUMIFS(Bookings!$N$5:$N$304,Bookings!$B$5:$B$304,$A14,Bookings!$G$5:$G$304,"&gt;="&amp;$P$2,Bookings!$G$5:$G$304,"&lt;="&amp;$P$3)+SUMIFS(Bookings!$O$5:$O$304,Bookings!$B$5:$B$304,$A14,Bookings!$G$5:$G$304,"&gt;="&amp;$P$2,Bookings!$G$5:$G$304,"&lt;="&amp;$P$3)=0,"—",SUMIFS(Bookings!$N$5:$N$304,Bookings!$B$5:$B$304,$A14,Bookings!$G$5:$G$304,"&gt;="&amp;$P$2,Bookings!$G$5:$G$304,"&lt;="&amp;$P$3)+SUMIFS(Bookings!$O$5:$O$304,Bookings!$B$5:$B$304,$A14,Bookings!$G$5:$G$304,"&gt;="&amp;$P$2,Bookings!$G$5:$G$304,"&lt;="&amp;$P$3)))</f>
        <v>—</v>
      </c>
      <c r="H14" s="25" t="str">
        <f>IF($A14="—","—",IF(SUMIFS(Bookings!$P$5:$P$304,Bookings!$B$5:$B$304,$A14,Bookings!$G$5:$G$304,"&gt;="&amp;$P$2,Bookings!$G$5:$G$304,"&lt;="&amp;$P$3)=0,"—",SUMIFS(Bookings!$P$5:$P$304,Bookings!$B$5:$B$304,$A14,Bookings!$G$5:$G$304,"&gt;="&amp;$P$2,Bookings!$G$5:$G$304,"&lt;="&amp;$P$3)))</f>
        <v>—</v>
      </c>
      <c r="I14" s="25" t="str">
        <f>IF($A14="—","—",IFERROR(IF(INDEX(Setup!$J$25:$J$36,MATCH($A14,Setup!$A$25:$A$36,0))=0,"—",INDEX(Setup!$J$25:$J$36,MATCH($A14,Setup!$A$25:$A$36,0))),"—"))</f>
        <v>—</v>
      </c>
      <c r="J14" s="25" t="str">
        <f>IF($A14="—","—",IF(SUMIFS(Costs!$F$5:$F$254,Costs!$C$5:$C$254,$A14,Costs!$B$5:$B$254,"&gt;="&amp;$P$2,Costs!$B$5:$B$254,"&lt;="&amp;$P$3)=0,"—",SUMIFS(Costs!$F$5:$F$254,Costs!$C$5:$C$254,$A14,Costs!$B$5:$B$254,"&gt;="&amp;$P$2,Costs!$B$5:$B$254,"&lt;="&amp;$P$3)))</f>
        <v>—</v>
      </c>
      <c r="K14" s="25" t="str">
        <f t="shared" si="1"/>
        <v>—</v>
      </c>
      <c r="L14" s="25" t="str">
        <f t="shared" si="2"/>
        <v>—</v>
      </c>
      <c r="M14" s="25" t="str">
        <f t="shared" ca="1" si="3"/>
        <v>—</v>
      </c>
    </row>
    <row r="15" spans="1:16" x14ac:dyDescent="0.2">
      <c r="A15" s="7" t="str">
        <f>IF(Setup!$A29="","—",Setup!$A29)</f>
        <v>—</v>
      </c>
      <c r="B15" s="19" t="str">
        <f>IF($A15="—","—",IF(SUMIFS(Bookings!$T$5:$T$304,Bookings!$B$5:$B$304,$A15)=0,"—",SUMIFS(Bookings!$T$5:$T$304,Bookings!$B$5:$B$304,$A15)))</f>
        <v>—</v>
      </c>
      <c r="C15" s="19" t="str">
        <f ca="1">IF(OR($A15="—",NOT(ISNUMBER($P$4))),"—",$P$4-SUMIFS(Bookings!$U$5:$U$304,Bookings!$B$5:$B$304,$A15))</f>
        <v>—</v>
      </c>
      <c r="D15" s="20" t="str">
        <f t="shared" ca="1" si="0"/>
        <v>—</v>
      </c>
      <c r="E15" s="21" t="str">
        <f>IF($A15="—","—",IF(SUMIFS(Bookings!$W$5:$W$304,Bookings!$B$5:$B$304,$A15,Bookings!$G$5:$G$304,"&gt;="&amp;$P$2,Bookings!$G$5:$G$304,"&lt;="&amp;$P$3)=0,"—",SUMIFS(Bookings!$W$5:$W$304,Bookings!$B$5:$B$304,$A15,Bookings!$G$5:$G$304,"&gt;="&amp;$P$2,Bookings!$G$5:$G$304,"&lt;="&amp;$P$3)))</f>
        <v>—</v>
      </c>
      <c r="F15" s="21" t="str">
        <f>IF($A15="—","—",IF(SUMIFS(Bookings!$L$5:$L$304,Bookings!$B$5:$B$304,$A15,Bookings!$G$5:$G$304,"&gt;="&amp;$P$2,Bookings!$G$5:$G$304,"&lt;="&amp;$P$3)=0,"—",SUMIFS(Bookings!$L$5:$L$304,Bookings!$B$5:$B$304,$A15,Bookings!$G$5:$G$304,"&gt;="&amp;$P$2,Bookings!$G$5:$G$304,"&lt;="&amp;$P$3)))</f>
        <v>—</v>
      </c>
      <c r="G15" s="21" t="str">
        <f>IF($A15="—","—",IF(SUMIFS(Bookings!$N$5:$N$304,Bookings!$B$5:$B$304,$A15,Bookings!$G$5:$G$304,"&gt;="&amp;$P$2,Bookings!$G$5:$G$304,"&lt;="&amp;$P$3)+SUMIFS(Bookings!$O$5:$O$304,Bookings!$B$5:$B$304,$A15,Bookings!$G$5:$G$304,"&gt;="&amp;$P$2,Bookings!$G$5:$G$304,"&lt;="&amp;$P$3)=0,"—",SUMIFS(Bookings!$N$5:$N$304,Bookings!$B$5:$B$304,$A15,Bookings!$G$5:$G$304,"&gt;="&amp;$P$2,Bookings!$G$5:$G$304,"&lt;="&amp;$P$3)+SUMIFS(Bookings!$O$5:$O$304,Bookings!$B$5:$B$304,$A15,Bookings!$G$5:$G$304,"&gt;="&amp;$P$2,Bookings!$G$5:$G$304,"&lt;="&amp;$P$3)))</f>
        <v>—</v>
      </c>
      <c r="H15" s="21" t="str">
        <f>IF($A15="—","—",IF(SUMIFS(Bookings!$P$5:$P$304,Bookings!$B$5:$B$304,$A15,Bookings!$G$5:$G$304,"&gt;="&amp;$P$2,Bookings!$G$5:$G$304,"&lt;="&amp;$P$3)=0,"—",SUMIFS(Bookings!$P$5:$P$304,Bookings!$B$5:$B$304,$A15,Bookings!$G$5:$G$304,"&gt;="&amp;$P$2,Bookings!$G$5:$G$304,"&lt;="&amp;$P$3)))</f>
        <v>—</v>
      </c>
      <c r="I15" s="21" t="str">
        <f>IF($A15="—","—",IFERROR(IF(INDEX(Setup!$J$25:$J$36,MATCH($A15,Setup!$A$25:$A$36,0))=0,"—",INDEX(Setup!$J$25:$J$36,MATCH($A15,Setup!$A$25:$A$36,0))),"—"))</f>
        <v>—</v>
      </c>
      <c r="J15" s="21" t="str">
        <f>IF($A15="—","—",IF(SUMIFS(Costs!$F$5:$F$254,Costs!$C$5:$C$254,$A15,Costs!$B$5:$B$254,"&gt;="&amp;$P$2,Costs!$B$5:$B$254,"&lt;="&amp;$P$3)=0,"—",SUMIFS(Costs!$F$5:$F$254,Costs!$C$5:$C$254,$A15,Costs!$B$5:$B$254,"&gt;="&amp;$P$2,Costs!$B$5:$B$254,"&lt;="&amp;$P$3)))</f>
        <v>—</v>
      </c>
      <c r="K15" s="21" t="str">
        <f t="shared" si="1"/>
        <v>—</v>
      </c>
      <c r="L15" s="21" t="str">
        <f t="shared" si="2"/>
        <v>—</v>
      </c>
      <c r="M15" s="21" t="str">
        <f t="shared" ca="1" si="3"/>
        <v>—</v>
      </c>
    </row>
    <row r="16" spans="1:16" x14ac:dyDescent="0.2">
      <c r="A16" s="22" t="str">
        <f>IF(Setup!$A30="","—",Setup!$A30)</f>
        <v>—</v>
      </c>
      <c r="B16" s="23" t="str">
        <f>IF($A16="—","—",IF(SUMIFS(Bookings!$T$5:$T$304,Bookings!$B$5:$B$304,$A16)=0,"—",SUMIFS(Bookings!$T$5:$T$304,Bookings!$B$5:$B$304,$A16)))</f>
        <v>—</v>
      </c>
      <c r="C16" s="23" t="str">
        <f ca="1">IF(OR($A16="—",NOT(ISNUMBER($P$4))),"—",$P$4-SUMIFS(Bookings!$U$5:$U$304,Bookings!$B$5:$B$304,$A16))</f>
        <v>—</v>
      </c>
      <c r="D16" s="24" t="str">
        <f t="shared" ca="1" si="0"/>
        <v>—</v>
      </c>
      <c r="E16" s="25" t="str">
        <f>IF($A16="—","—",IF(SUMIFS(Bookings!$W$5:$W$304,Bookings!$B$5:$B$304,$A16,Bookings!$G$5:$G$304,"&gt;="&amp;$P$2,Bookings!$G$5:$G$304,"&lt;="&amp;$P$3)=0,"—",SUMIFS(Bookings!$W$5:$W$304,Bookings!$B$5:$B$304,$A16,Bookings!$G$5:$G$304,"&gt;="&amp;$P$2,Bookings!$G$5:$G$304,"&lt;="&amp;$P$3)))</f>
        <v>—</v>
      </c>
      <c r="F16" s="25" t="str">
        <f>IF($A16="—","—",IF(SUMIFS(Bookings!$L$5:$L$304,Bookings!$B$5:$B$304,$A16,Bookings!$G$5:$G$304,"&gt;="&amp;$P$2,Bookings!$G$5:$G$304,"&lt;="&amp;$P$3)=0,"—",SUMIFS(Bookings!$L$5:$L$304,Bookings!$B$5:$B$304,$A16,Bookings!$G$5:$G$304,"&gt;="&amp;$P$2,Bookings!$G$5:$G$304,"&lt;="&amp;$P$3)))</f>
        <v>—</v>
      </c>
      <c r="G16" s="25" t="str">
        <f>IF($A16="—","—",IF(SUMIFS(Bookings!$N$5:$N$304,Bookings!$B$5:$B$304,$A16,Bookings!$G$5:$G$304,"&gt;="&amp;$P$2,Bookings!$G$5:$G$304,"&lt;="&amp;$P$3)+SUMIFS(Bookings!$O$5:$O$304,Bookings!$B$5:$B$304,$A16,Bookings!$G$5:$G$304,"&gt;="&amp;$P$2,Bookings!$G$5:$G$304,"&lt;="&amp;$P$3)=0,"—",SUMIFS(Bookings!$N$5:$N$304,Bookings!$B$5:$B$304,$A16,Bookings!$G$5:$G$304,"&gt;="&amp;$P$2,Bookings!$G$5:$G$304,"&lt;="&amp;$P$3)+SUMIFS(Bookings!$O$5:$O$304,Bookings!$B$5:$B$304,$A16,Bookings!$G$5:$G$304,"&gt;="&amp;$P$2,Bookings!$G$5:$G$304,"&lt;="&amp;$P$3)))</f>
        <v>—</v>
      </c>
      <c r="H16" s="25" t="str">
        <f>IF($A16="—","—",IF(SUMIFS(Bookings!$P$5:$P$304,Bookings!$B$5:$B$304,$A16,Bookings!$G$5:$G$304,"&gt;="&amp;$P$2,Bookings!$G$5:$G$304,"&lt;="&amp;$P$3)=0,"—",SUMIFS(Bookings!$P$5:$P$304,Bookings!$B$5:$B$304,$A16,Bookings!$G$5:$G$304,"&gt;="&amp;$P$2,Bookings!$G$5:$G$304,"&lt;="&amp;$P$3)))</f>
        <v>—</v>
      </c>
      <c r="I16" s="25" t="str">
        <f>IF($A16="—","—",IFERROR(IF(INDEX(Setup!$J$25:$J$36,MATCH($A16,Setup!$A$25:$A$36,0))=0,"—",INDEX(Setup!$J$25:$J$36,MATCH($A16,Setup!$A$25:$A$36,0))),"—"))</f>
        <v>—</v>
      </c>
      <c r="J16" s="25" t="str">
        <f>IF($A16="—","—",IF(SUMIFS(Costs!$F$5:$F$254,Costs!$C$5:$C$254,$A16,Costs!$B$5:$B$254,"&gt;="&amp;$P$2,Costs!$B$5:$B$254,"&lt;="&amp;$P$3)=0,"—",SUMIFS(Costs!$F$5:$F$254,Costs!$C$5:$C$254,$A16,Costs!$B$5:$B$254,"&gt;="&amp;$P$2,Costs!$B$5:$B$254,"&lt;="&amp;$P$3)))</f>
        <v>—</v>
      </c>
      <c r="K16" s="25" t="str">
        <f t="shared" si="1"/>
        <v>—</v>
      </c>
      <c r="L16" s="25" t="str">
        <f t="shared" si="2"/>
        <v>—</v>
      </c>
      <c r="M16" s="25" t="str">
        <f t="shared" ca="1" si="3"/>
        <v>—</v>
      </c>
    </row>
    <row r="17" spans="1:13" x14ac:dyDescent="0.2">
      <c r="A17" s="7" t="str">
        <f>IF(Setup!$A31="","—",Setup!$A31)</f>
        <v>—</v>
      </c>
      <c r="B17" s="19" t="str">
        <f>IF($A17="—","—",IF(SUMIFS(Bookings!$T$5:$T$304,Bookings!$B$5:$B$304,$A17)=0,"—",SUMIFS(Bookings!$T$5:$T$304,Bookings!$B$5:$B$304,$A17)))</f>
        <v>—</v>
      </c>
      <c r="C17" s="19" t="str">
        <f ca="1">IF(OR($A17="—",NOT(ISNUMBER($P$4))),"—",$P$4-SUMIFS(Bookings!$U$5:$U$304,Bookings!$B$5:$B$304,$A17))</f>
        <v>—</v>
      </c>
      <c r="D17" s="20" t="str">
        <f t="shared" ca="1" si="0"/>
        <v>—</v>
      </c>
      <c r="E17" s="21" t="str">
        <f>IF($A17="—","—",IF(SUMIFS(Bookings!$W$5:$W$304,Bookings!$B$5:$B$304,$A17,Bookings!$G$5:$G$304,"&gt;="&amp;$P$2,Bookings!$G$5:$G$304,"&lt;="&amp;$P$3)=0,"—",SUMIFS(Bookings!$W$5:$W$304,Bookings!$B$5:$B$304,$A17,Bookings!$G$5:$G$304,"&gt;="&amp;$P$2,Bookings!$G$5:$G$304,"&lt;="&amp;$P$3)))</f>
        <v>—</v>
      </c>
      <c r="F17" s="21" t="str">
        <f>IF($A17="—","—",IF(SUMIFS(Bookings!$L$5:$L$304,Bookings!$B$5:$B$304,$A17,Bookings!$G$5:$G$304,"&gt;="&amp;$P$2,Bookings!$G$5:$G$304,"&lt;="&amp;$P$3)=0,"—",SUMIFS(Bookings!$L$5:$L$304,Bookings!$B$5:$B$304,$A17,Bookings!$G$5:$G$304,"&gt;="&amp;$P$2,Bookings!$G$5:$G$304,"&lt;="&amp;$P$3)))</f>
        <v>—</v>
      </c>
      <c r="G17" s="21" t="str">
        <f>IF($A17="—","—",IF(SUMIFS(Bookings!$N$5:$N$304,Bookings!$B$5:$B$304,$A17,Bookings!$G$5:$G$304,"&gt;="&amp;$P$2,Bookings!$G$5:$G$304,"&lt;="&amp;$P$3)+SUMIFS(Bookings!$O$5:$O$304,Bookings!$B$5:$B$304,$A17,Bookings!$G$5:$G$304,"&gt;="&amp;$P$2,Bookings!$G$5:$G$304,"&lt;="&amp;$P$3)=0,"—",SUMIFS(Bookings!$N$5:$N$304,Bookings!$B$5:$B$304,$A17,Bookings!$G$5:$G$304,"&gt;="&amp;$P$2,Bookings!$G$5:$G$304,"&lt;="&amp;$P$3)+SUMIFS(Bookings!$O$5:$O$304,Bookings!$B$5:$B$304,$A17,Bookings!$G$5:$G$304,"&gt;="&amp;$P$2,Bookings!$G$5:$G$304,"&lt;="&amp;$P$3)))</f>
        <v>—</v>
      </c>
      <c r="H17" s="21" t="str">
        <f>IF($A17="—","—",IF(SUMIFS(Bookings!$P$5:$P$304,Bookings!$B$5:$B$304,$A17,Bookings!$G$5:$G$304,"&gt;="&amp;$P$2,Bookings!$G$5:$G$304,"&lt;="&amp;$P$3)=0,"—",SUMIFS(Bookings!$P$5:$P$304,Bookings!$B$5:$B$304,$A17,Bookings!$G$5:$G$304,"&gt;="&amp;$P$2,Bookings!$G$5:$G$304,"&lt;="&amp;$P$3)))</f>
        <v>—</v>
      </c>
      <c r="I17" s="21" t="str">
        <f>IF($A17="—","—",IFERROR(IF(INDEX(Setup!$J$25:$J$36,MATCH($A17,Setup!$A$25:$A$36,0))=0,"—",INDEX(Setup!$J$25:$J$36,MATCH($A17,Setup!$A$25:$A$36,0))),"—"))</f>
        <v>—</v>
      </c>
      <c r="J17" s="21" t="str">
        <f>IF($A17="—","—",IF(SUMIFS(Costs!$F$5:$F$254,Costs!$C$5:$C$254,$A17,Costs!$B$5:$B$254,"&gt;="&amp;$P$2,Costs!$B$5:$B$254,"&lt;="&amp;$P$3)=0,"—",SUMIFS(Costs!$F$5:$F$254,Costs!$C$5:$C$254,$A17,Costs!$B$5:$B$254,"&gt;="&amp;$P$2,Costs!$B$5:$B$254,"&lt;="&amp;$P$3)))</f>
        <v>—</v>
      </c>
      <c r="K17" s="21" t="str">
        <f t="shared" si="1"/>
        <v>—</v>
      </c>
      <c r="L17" s="21" t="str">
        <f t="shared" si="2"/>
        <v>—</v>
      </c>
      <c r="M17" s="21" t="str">
        <f t="shared" ca="1" si="3"/>
        <v>—</v>
      </c>
    </row>
    <row r="18" spans="1:13" x14ac:dyDescent="0.2">
      <c r="A18" s="22" t="str">
        <f>IF(Setup!$A32="","—",Setup!$A32)</f>
        <v>—</v>
      </c>
      <c r="B18" s="23" t="str">
        <f>IF($A18="—","—",IF(SUMIFS(Bookings!$T$5:$T$304,Bookings!$B$5:$B$304,$A18)=0,"—",SUMIFS(Bookings!$T$5:$T$304,Bookings!$B$5:$B$304,$A18)))</f>
        <v>—</v>
      </c>
      <c r="C18" s="23" t="str">
        <f ca="1">IF(OR($A18="—",NOT(ISNUMBER($P$4))),"—",$P$4-SUMIFS(Bookings!$U$5:$U$304,Bookings!$B$5:$B$304,$A18))</f>
        <v>—</v>
      </c>
      <c r="D18" s="24" t="str">
        <f t="shared" ca="1" si="0"/>
        <v>—</v>
      </c>
      <c r="E18" s="25" t="str">
        <f>IF($A18="—","—",IF(SUMIFS(Bookings!$W$5:$W$304,Bookings!$B$5:$B$304,$A18,Bookings!$G$5:$G$304,"&gt;="&amp;$P$2,Bookings!$G$5:$G$304,"&lt;="&amp;$P$3)=0,"—",SUMIFS(Bookings!$W$5:$W$304,Bookings!$B$5:$B$304,$A18,Bookings!$G$5:$G$304,"&gt;="&amp;$P$2,Bookings!$G$5:$G$304,"&lt;="&amp;$P$3)))</f>
        <v>—</v>
      </c>
      <c r="F18" s="25" t="str">
        <f>IF($A18="—","—",IF(SUMIFS(Bookings!$L$5:$L$304,Bookings!$B$5:$B$304,$A18,Bookings!$G$5:$G$304,"&gt;="&amp;$P$2,Bookings!$G$5:$G$304,"&lt;="&amp;$P$3)=0,"—",SUMIFS(Bookings!$L$5:$L$304,Bookings!$B$5:$B$304,$A18,Bookings!$G$5:$G$304,"&gt;="&amp;$P$2,Bookings!$G$5:$G$304,"&lt;="&amp;$P$3)))</f>
        <v>—</v>
      </c>
      <c r="G18" s="25" t="str">
        <f>IF($A18="—","—",IF(SUMIFS(Bookings!$N$5:$N$304,Bookings!$B$5:$B$304,$A18,Bookings!$G$5:$G$304,"&gt;="&amp;$P$2,Bookings!$G$5:$G$304,"&lt;="&amp;$P$3)+SUMIFS(Bookings!$O$5:$O$304,Bookings!$B$5:$B$304,$A18,Bookings!$G$5:$G$304,"&gt;="&amp;$P$2,Bookings!$G$5:$G$304,"&lt;="&amp;$P$3)=0,"—",SUMIFS(Bookings!$N$5:$N$304,Bookings!$B$5:$B$304,$A18,Bookings!$G$5:$G$304,"&gt;="&amp;$P$2,Bookings!$G$5:$G$304,"&lt;="&amp;$P$3)+SUMIFS(Bookings!$O$5:$O$304,Bookings!$B$5:$B$304,$A18,Bookings!$G$5:$G$304,"&gt;="&amp;$P$2,Bookings!$G$5:$G$304,"&lt;="&amp;$P$3)))</f>
        <v>—</v>
      </c>
      <c r="H18" s="25" t="str">
        <f>IF($A18="—","—",IF(SUMIFS(Bookings!$P$5:$P$304,Bookings!$B$5:$B$304,$A18,Bookings!$G$5:$G$304,"&gt;="&amp;$P$2,Bookings!$G$5:$G$304,"&lt;="&amp;$P$3)=0,"—",SUMIFS(Bookings!$P$5:$P$304,Bookings!$B$5:$B$304,$A18,Bookings!$G$5:$G$304,"&gt;="&amp;$P$2,Bookings!$G$5:$G$304,"&lt;="&amp;$P$3)))</f>
        <v>—</v>
      </c>
      <c r="I18" s="25" t="str">
        <f>IF($A18="—","—",IFERROR(IF(INDEX(Setup!$J$25:$J$36,MATCH($A18,Setup!$A$25:$A$36,0))=0,"—",INDEX(Setup!$J$25:$J$36,MATCH($A18,Setup!$A$25:$A$36,0))),"—"))</f>
        <v>—</v>
      </c>
      <c r="J18" s="25" t="str">
        <f>IF($A18="—","—",IF(SUMIFS(Costs!$F$5:$F$254,Costs!$C$5:$C$254,$A18,Costs!$B$5:$B$254,"&gt;="&amp;$P$2,Costs!$B$5:$B$254,"&lt;="&amp;$P$3)=0,"—",SUMIFS(Costs!$F$5:$F$254,Costs!$C$5:$C$254,$A18,Costs!$B$5:$B$254,"&gt;="&amp;$P$2,Costs!$B$5:$B$254,"&lt;="&amp;$P$3)))</f>
        <v>—</v>
      </c>
      <c r="K18" s="25" t="str">
        <f t="shared" si="1"/>
        <v>—</v>
      </c>
      <c r="L18" s="25" t="str">
        <f t="shared" si="2"/>
        <v>—</v>
      </c>
      <c r="M18" s="25" t="str">
        <f t="shared" ca="1" si="3"/>
        <v>—</v>
      </c>
    </row>
    <row r="19" spans="1:13" x14ac:dyDescent="0.2">
      <c r="A19" s="7" t="str">
        <f>IF(Setup!$A33="","—",Setup!$A33)</f>
        <v>—</v>
      </c>
      <c r="B19" s="19" t="str">
        <f>IF($A19="—","—",IF(SUMIFS(Bookings!$T$5:$T$304,Bookings!$B$5:$B$304,$A19)=0,"—",SUMIFS(Bookings!$T$5:$T$304,Bookings!$B$5:$B$304,$A19)))</f>
        <v>—</v>
      </c>
      <c r="C19" s="19" t="str">
        <f ca="1">IF(OR($A19="—",NOT(ISNUMBER($P$4))),"—",$P$4-SUMIFS(Bookings!$U$5:$U$304,Bookings!$B$5:$B$304,$A19))</f>
        <v>—</v>
      </c>
      <c r="D19" s="20" t="str">
        <f t="shared" ca="1" si="0"/>
        <v>—</v>
      </c>
      <c r="E19" s="21" t="str">
        <f>IF($A19="—","—",IF(SUMIFS(Bookings!$W$5:$W$304,Bookings!$B$5:$B$304,$A19,Bookings!$G$5:$G$304,"&gt;="&amp;$P$2,Bookings!$G$5:$G$304,"&lt;="&amp;$P$3)=0,"—",SUMIFS(Bookings!$W$5:$W$304,Bookings!$B$5:$B$304,$A19,Bookings!$G$5:$G$304,"&gt;="&amp;$P$2,Bookings!$G$5:$G$304,"&lt;="&amp;$P$3)))</f>
        <v>—</v>
      </c>
      <c r="F19" s="21" t="str">
        <f>IF($A19="—","—",IF(SUMIFS(Bookings!$L$5:$L$304,Bookings!$B$5:$B$304,$A19,Bookings!$G$5:$G$304,"&gt;="&amp;$P$2,Bookings!$G$5:$G$304,"&lt;="&amp;$P$3)=0,"—",SUMIFS(Bookings!$L$5:$L$304,Bookings!$B$5:$B$304,$A19,Bookings!$G$5:$G$304,"&gt;="&amp;$P$2,Bookings!$G$5:$G$304,"&lt;="&amp;$P$3)))</f>
        <v>—</v>
      </c>
      <c r="G19" s="21" t="str">
        <f>IF($A19="—","—",IF(SUMIFS(Bookings!$N$5:$N$304,Bookings!$B$5:$B$304,$A19,Bookings!$G$5:$G$304,"&gt;="&amp;$P$2,Bookings!$G$5:$G$304,"&lt;="&amp;$P$3)+SUMIFS(Bookings!$O$5:$O$304,Bookings!$B$5:$B$304,$A19,Bookings!$G$5:$G$304,"&gt;="&amp;$P$2,Bookings!$G$5:$G$304,"&lt;="&amp;$P$3)=0,"—",SUMIFS(Bookings!$N$5:$N$304,Bookings!$B$5:$B$304,$A19,Bookings!$G$5:$G$304,"&gt;="&amp;$P$2,Bookings!$G$5:$G$304,"&lt;="&amp;$P$3)+SUMIFS(Bookings!$O$5:$O$304,Bookings!$B$5:$B$304,$A19,Bookings!$G$5:$G$304,"&gt;="&amp;$P$2,Bookings!$G$5:$G$304,"&lt;="&amp;$P$3)))</f>
        <v>—</v>
      </c>
      <c r="H19" s="21" t="str">
        <f>IF($A19="—","—",IF(SUMIFS(Bookings!$P$5:$P$304,Bookings!$B$5:$B$304,$A19,Bookings!$G$5:$G$304,"&gt;="&amp;$P$2,Bookings!$G$5:$G$304,"&lt;="&amp;$P$3)=0,"—",SUMIFS(Bookings!$P$5:$P$304,Bookings!$B$5:$B$304,$A19,Bookings!$G$5:$G$304,"&gt;="&amp;$P$2,Bookings!$G$5:$G$304,"&lt;="&amp;$P$3)))</f>
        <v>—</v>
      </c>
      <c r="I19" s="21" t="str">
        <f>IF($A19="—","—",IFERROR(IF(INDEX(Setup!$J$25:$J$36,MATCH($A19,Setup!$A$25:$A$36,0))=0,"—",INDEX(Setup!$J$25:$J$36,MATCH($A19,Setup!$A$25:$A$36,0))),"—"))</f>
        <v>—</v>
      </c>
      <c r="J19" s="21" t="str">
        <f>IF($A19="—","—",IF(SUMIFS(Costs!$F$5:$F$254,Costs!$C$5:$C$254,$A19,Costs!$B$5:$B$254,"&gt;="&amp;$P$2,Costs!$B$5:$B$254,"&lt;="&amp;$P$3)=0,"—",SUMIFS(Costs!$F$5:$F$254,Costs!$C$5:$C$254,$A19,Costs!$B$5:$B$254,"&gt;="&amp;$P$2,Costs!$B$5:$B$254,"&lt;="&amp;$P$3)))</f>
        <v>—</v>
      </c>
      <c r="K19" s="21" t="str">
        <f t="shared" si="1"/>
        <v>—</v>
      </c>
      <c r="L19" s="21" t="str">
        <f t="shared" si="2"/>
        <v>—</v>
      </c>
      <c r="M19" s="21" t="str">
        <f t="shared" ca="1" si="3"/>
        <v>—</v>
      </c>
    </row>
    <row r="20" spans="1:13" x14ac:dyDescent="0.2">
      <c r="A20" s="22" t="str">
        <f>IF(Setup!$A34="","—",Setup!$A34)</f>
        <v>—</v>
      </c>
      <c r="B20" s="23" t="str">
        <f>IF($A20="—","—",IF(SUMIFS(Bookings!$T$5:$T$304,Bookings!$B$5:$B$304,$A20)=0,"—",SUMIFS(Bookings!$T$5:$T$304,Bookings!$B$5:$B$304,$A20)))</f>
        <v>—</v>
      </c>
      <c r="C20" s="23" t="str">
        <f ca="1">IF(OR($A20="—",NOT(ISNUMBER($P$4))),"—",$P$4-SUMIFS(Bookings!$U$5:$U$304,Bookings!$B$5:$B$304,$A20))</f>
        <v>—</v>
      </c>
      <c r="D20" s="24" t="str">
        <f t="shared" ca="1" si="0"/>
        <v>—</v>
      </c>
      <c r="E20" s="25" t="str">
        <f>IF($A20="—","—",IF(SUMIFS(Bookings!$W$5:$W$304,Bookings!$B$5:$B$304,$A20,Bookings!$G$5:$G$304,"&gt;="&amp;$P$2,Bookings!$G$5:$G$304,"&lt;="&amp;$P$3)=0,"—",SUMIFS(Bookings!$W$5:$W$304,Bookings!$B$5:$B$304,$A20,Bookings!$G$5:$G$304,"&gt;="&amp;$P$2,Bookings!$G$5:$G$304,"&lt;="&amp;$P$3)))</f>
        <v>—</v>
      </c>
      <c r="F20" s="25" t="str">
        <f>IF($A20="—","—",IF(SUMIFS(Bookings!$L$5:$L$304,Bookings!$B$5:$B$304,$A20,Bookings!$G$5:$G$304,"&gt;="&amp;$P$2,Bookings!$G$5:$G$304,"&lt;="&amp;$P$3)=0,"—",SUMIFS(Bookings!$L$5:$L$304,Bookings!$B$5:$B$304,$A20,Bookings!$G$5:$G$304,"&gt;="&amp;$P$2,Bookings!$G$5:$G$304,"&lt;="&amp;$P$3)))</f>
        <v>—</v>
      </c>
      <c r="G20" s="25" t="str">
        <f>IF($A20="—","—",IF(SUMIFS(Bookings!$N$5:$N$304,Bookings!$B$5:$B$304,$A20,Bookings!$G$5:$G$304,"&gt;="&amp;$P$2,Bookings!$G$5:$G$304,"&lt;="&amp;$P$3)+SUMIFS(Bookings!$O$5:$O$304,Bookings!$B$5:$B$304,$A20,Bookings!$G$5:$G$304,"&gt;="&amp;$P$2,Bookings!$G$5:$G$304,"&lt;="&amp;$P$3)=0,"—",SUMIFS(Bookings!$N$5:$N$304,Bookings!$B$5:$B$304,$A20,Bookings!$G$5:$G$304,"&gt;="&amp;$P$2,Bookings!$G$5:$G$304,"&lt;="&amp;$P$3)+SUMIFS(Bookings!$O$5:$O$304,Bookings!$B$5:$B$304,$A20,Bookings!$G$5:$G$304,"&gt;="&amp;$P$2,Bookings!$G$5:$G$304,"&lt;="&amp;$P$3)))</f>
        <v>—</v>
      </c>
      <c r="H20" s="25" t="str">
        <f>IF($A20="—","—",IF(SUMIFS(Bookings!$P$5:$P$304,Bookings!$B$5:$B$304,$A20,Bookings!$G$5:$G$304,"&gt;="&amp;$P$2,Bookings!$G$5:$G$304,"&lt;="&amp;$P$3)=0,"—",SUMIFS(Bookings!$P$5:$P$304,Bookings!$B$5:$B$304,$A20,Bookings!$G$5:$G$304,"&gt;="&amp;$P$2,Bookings!$G$5:$G$304,"&lt;="&amp;$P$3)))</f>
        <v>—</v>
      </c>
      <c r="I20" s="25" t="str">
        <f>IF($A20="—","—",IFERROR(IF(INDEX(Setup!$J$25:$J$36,MATCH($A20,Setup!$A$25:$A$36,0))=0,"—",INDEX(Setup!$J$25:$J$36,MATCH($A20,Setup!$A$25:$A$36,0))),"—"))</f>
        <v>—</v>
      </c>
      <c r="J20" s="25" t="str">
        <f>IF($A20="—","—",IF(SUMIFS(Costs!$F$5:$F$254,Costs!$C$5:$C$254,$A20,Costs!$B$5:$B$254,"&gt;="&amp;$P$2,Costs!$B$5:$B$254,"&lt;="&amp;$P$3)=0,"—",SUMIFS(Costs!$F$5:$F$254,Costs!$C$5:$C$254,$A20,Costs!$B$5:$B$254,"&gt;="&amp;$P$2,Costs!$B$5:$B$254,"&lt;="&amp;$P$3)))</f>
        <v>—</v>
      </c>
      <c r="K20" s="25" t="str">
        <f t="shared" si="1"/>
        <v>—</v>
      </c>
      <c r="L20" s="25" t="str">
        <f t="shared" si="2"/>
        <v>—</v>
      </c>
      <c r="M20" s="25" t="str">
        <f t="shared" ca="1" si="3"/>
        <v>—</v>
      </c>
    </row>
    <row r="21" spans="1:13" x14ac:dyDescent="0.2">
      <c r="A21" s="7" t="str">
        <f>IF(Setup!$A35="","—",Setup!$A35)</f>
        <v>—</v>
      </c>
      <c r="B21" s="19" t="str">
        <f>IF($A21="—","—",IF(SUMIFS(Bookings!$T$5:$T$304,Bookings!$B$5:$B$304,$A21)=0,"—",SUMIFS(Bookings!$T$5:$T$304,Bookings!$B$5:$B$304,$A21)))</f>
        <v>—</v>
      </c>
      <c r="C21" s="19" t="str">
        <f ca="1">IF(OR($A21="—",NOT(ISNUMBER($P$4))),"—",$P$4-SUMIFS(Bookings!$U$5:$U$304,Bookings!$B$5:$B$304,$A21))</f>
        <v>—</v>
      </c>
      <c r="D21" s="20" t="str">
        <f t="shared" ca="1" si="0"/>
        <v>—</v>
      </c>
      <c r="E21" s="21" t="str">
        <f>IF($A21="—","—",IF(SUMIFS(Bookings!$W$5:$W$304,Bookings!$B$5:$B$304,$A21,Bookings!$G$5:$G$304,"&gt;="&amp;$P$2,Bookings!$G$5:$G$304,"&lt;="&amp;$P$3)=0,"—",SUMIFS(Bookings!$W$5:$W$304,Bookings!$B$5:$B$304,$A21,Bookings!$G$5:$G$304,"&gt;="&amp;$P$2,Bookings!$G$5:$G$304,"&lt;="&amp;$P$3)))</f>
        <v>—</v>
      </c>
      <c r="F21" s="21" t="str">
        <f>IF($A21="—","—",IF(SUMIFS(Bookings!$L$5:$L$304,Bookings!$B$5:$B$304,$A21,Bookings!$G$5:$G$304,"&gt;="&amp;$P$2,Bookings!$G$5:$G$304,"&lt;="&amp;$P$3)=0,"—",SUMIFS(Bookings!$L$5:$L$304,Bookings!$B$5:$B$304,$A21,Bookings!$G$5:$G$304,"&gt;="&amp;$P$2,Bookings!$G$5:$G$304,"&lt;="&amp;$P$3)))</f>
        <v>—</v>
      </c>
      <c r="G21" s="21" t="str">
        <f>IF($A21="—","—",IF(SUMIFS(Bookings!$N$5:$N$304,Bookings!$B$5:$B$304,$A21,Bookings!$G$5:$G$304,"&gt;="&amp;$P$2,Bookings!$G$5:$G$304,"&lt;="&amp;$P$3)+SUMIFS(Bookings!$O$5:$O$304,Bookings!$B$5:$B$304,$A21,Bookings!$G$5:$G$304,"&gt;="&amp;$P$2,Bookings!$G$5:$G$304,"&lt;="&amp;$P$3)=0,"—",SUMIFS(Bookings!$N$5:$N$304,Bookings!$B$5:$B$304,$A21,Bookings!$G$5:$G$304,"&gt;="&amp;$P$2,Bookings!$G$5:$G$304,"&lt;="&amp;$P$3)+SUMIFS(Bookings!$O$5:$O$304,Bookings!$B$5:$B$304,$A21,Bookings!$G$5:$G$304,"&gt;="&amp;$P$2,Bookings!$G$5:$G$304,"&lt;="&amp;$P$3)))</f>
        <v>—</v>
      </c>
      <c r="H21" s="21" t="str">
        <f>IF($A21="—","—",IF(SUMIFS(Bookings!$P$5:$P$304,Bookings!$B$5:$B$304,$A21,Bookings!$G$5:$G$304,"&gt;="&amp;$P$2,Bookings!$G$5:$G$304,"&lt;="&amp;$P$3)=0,"—",SUMIFS(Bookings!$P$5:$P$304,Bookings!$B$5:$B$304,$A21,Bookings!$G$5:$G$304,"&gt;="&amp;$P$2,Bookings!$G$5:$G$304,"&lt;="&amp;$P$3)))</f>
        <v>—</v>
      </c>
      <c r="I21" s="21" t="str">
        <f>IF($A21="—","—",IFERROR(IF(INDEX(Setup!$J$25:$J$36,MATCH($A21,Setup!$A$25:$A$36,0))=0,"—",INDEX(Setup!$J$25:$J$36,MATCH($A21,Setup!$A$25:$A$36,0))),"—"))</f>
        <v>—</v>
      </c>
      <c r="J21" s="21" t="str">
        <f>IF($A21="—","—",IF(SUMIFS(Costs!$F$5:$F$254,Costs!$C$5:$C$254,$A21,Costs!$B$5:$B$254,"&gt;="&amp;$P$2,Costs!$B$5:$B$254,"&lt;="&amp;$P$3)=0,"—",SUMIFS(Costs!$F$5:$F$254,Costs!$C$5:$C$254,$A21,Costs!$B$5:$B$254,"&gt;="&amp;$P$2,Costs!$B$5:$B$254,"&lt;="&amp;$P$3)))</f>
        <v>—</v>
      </c>
      <c r="K21" s="21" t="str">
        <f t="shared" si="1"/>
        <v>—</v>
      </c>
      <c r="L21" s="21" t="str">
        <f t="shared" si="2"/>
        <v>—</v>
      </c>
      <c r="M21" s="21" t="str">
        <f t="shared" ca="1" si="3"/>
        <v>—</v>
      </c>
    </row>
    <row r="22" spans="1:13" x14ac:dyDescent="0.2">
      <c r="A22" s="22" t="str">
        <f>IF(Setup!$A36="","—",Setup!$A36)</f>
        <v>—</v>
      </c>
      <c r="B22" s="23" t="str">
        <f>IF($A22="—","—",IF(SUMIFS(Bookings!$T$5:$T$304,Bookings!$B$5:$B$304,$A22)=0,"—",SUMIFS(Bookings!$T$5:$T$304,Bookings!$B$5:$B$304,$A22)))</f>
        <v>—</v>
      </c>
      <c r="C22" s="23" t="str">
        <f ca="1">IF(OR($A22="—",NOT(ISNUMBER($P$4))),"—",$P$4-SUMIFS(Bookings!$U$5:$U$304,Bookings!$B$5:$B$304,$A22))</f>
        <v>—</v>
      </c>
      <c r="D22" s="24" t="str">
        <f t="shared" ca="1" si="0"/>
        <v>—</v>
      </c>
      <c r="E22" s="25" t="str">
        <f>IF($A22="—","—",IF(SUMIFS(Bookings!$W$5:$W$304,Bookings!$B$5:$B$304,$A22,Bookings!$G$5:$G$304,"&gt;="&amp;$P$2,Bookings!$G$5:$G$304,"&lt;="&amp;$P$3)=0,"—",SUMIFS(Bookings!$W$5:$W$304,Bookings!$B$5:$B$304,$A22,Bookings!$G$5:$G$304,"&gt;="&amp;$P$2,Bookings!$G$5:$G$304,"&lt;="&amp;$P$3)))</f>
        <v>—</v>
      </c>
      <c r="F22" s="25" t="str">
        <f>IF($A22="—","—",IF(SUMIFS(Bookings!$L$5:$L$304,Bookings!$B$5:$B$304,$A22,Bookings!$G$5:$G$304,"&gt;="&amp;$P$2,Bookings!$G$5:$G$304,"&lt;="&amp;$P$3)=0,"—",SUMIFS(Bookings!$L$5:$L$304,Bookings!$B$5:$B$304,$A22,Bookings!$G$5:$G$304,"&gt;="&amp;$P$2,Bookings!$G$5:$G$304,"&lt;="&amp;$P$3)))</f>
        <v>—</v>
      </c>
      <c r="G22" s="25" t="str">
        <f>IF($A22="—","—",IF(SUMIFS(Bookings!$N$5:$N$304,Bookings!$B$5:$B$304,$A22,Bookings!$G$5:$G$304,"&gt;="&amp;$P$2,Bookings!$G$5:$G$304,"&lt;="&amp;$P$3)+SUMIFS(Bookings!$O$5:$O$304,Bookings!$B$5:$B$304,$A22,Bookings!$G$5:$G$304,"&gt;="&amp;$P$2,Bookings!$G$5:$G$304,"&lt;="&amp;$P$3)=0,"—",SUMIFS(Bookings!$N$5:$N$304,Bookings!$B$5:$B$304,$A22,Bookings!$G$5:$G$304,"&gt;="&amp;$P$2,Bookings!$G$5:$G$304,"&lt;="&amp;$P$3)+SUMIFS(Bookings!$O$5:$O$304,Bookings!$B$5:$B$304,$A22,Bookings!$G$5:$G$304,"&gt;="&amp;$P$2,Bookings!$G$5:$G$304,"&lt;="&amp;$P$3)))</f>
        <v>—</v>
      </c>
      <c r="H22" s="25" t="str">
        <f>IF($A22="—","—",IF(SUMIFS(Bookings!$P$5:$P$304,Bookings!$B$5:$B$304,$A22,Bookings!$G$5:$G$304,"&gt;="&amp;$P$2,Bookings!$G$5:$G$304,"&lt;="&amp;$P$3)=0,"—",SUMIFS(Bookings!$P$5:$P$304,Bookings!$B$5:$B$304,$A22,Bookings!$G$5:$G$304,"&gt;="&amp;$P$2,Bookings!$G$5:$G$304,"&lt;="&amp;$P$3)))</f>
        <v>—</v>
      </c>
      <c r="I22" s="25" t="str">
        <f>IF($A22="—","—",IFERROR(IF(INDEX(Setup!$J$25:$J$36,MATCH($A22,Setup!$A$25:$A$36,0))=0,"—",INDEX(Setup!$J$25:$J$36,MATCH($A22,Setup!$A$25:$A$36,0))),"—"))</f>
        <v>—</v>
      </c>
      <c r="J22" s="25" t="str">
        <f>IF($A22="—","—",IF(SUMIFS(Costs!$F$5:$F$254,Costs!$C$5:$C$254,$A22,Costs!$B$5:$B$254,"&gt;="&amp;$P$2,Costs!$B$5:$B$254,"&lt;="&amp;$P$3)=0,"—",SUMIFS(Costs!$F$5:$F$254,Costs!$C$5:$C$254,$A22,Costs!$B$5:$B$254,"&gt;="&amp;$P$2,Costs!$B$5:$B$254,"&lt;="&amp;$P$3)))</f>
        <v>—</v>
      </c>
      <c r="K22" s="25" t="str">
        <f t="shared" si="1"/>
        <v>—</v>
      </c>
      <c r="L22" s="25" t="str">
        <f t="shared" si="2"/>
        <v>—</v>
      </c>
      <c r="M22" s="25" t="str">
        <f t="shared" ca="1" si="3"/>
        <v>—</v>
      </c>
    </row>
    <row r="23" spans="1:13" ht="16" x14ac:dyDescent="0.2">
      <c r="A23" s="26" t="s">
        <v>86</v>
      </c>
      <c r="B23" s="27">
        <f ca="1">IF(COUNT(B$11:B$22)=0,"—",ROUND(SUM(B$11:B$22),2))</f>
        <v>36</v>
      </c>
      <c r="C23" s="27">
        <f ca="1">IF(COUNT(C$11:C$22)=0,"—",ROUND(SUM(C$11:C$22),2))</f>
        <v>90</v>
      </c>
      <c r="D23" s="28">
        <f ca="1">IF(OR(NOT(ISNUMBER($C23)),$C23&lt;=0),"—",IF(ISNUMBER($B23),$B23,0)/$C23)</f>
        <v>0.4</v>
      </c>
      <c r="E23" s="29">
        <f t="shared" ref="E23:L23" ca="1" si="4">IF(COUNT(E$11:E$22)=0,"—",ROUND(SUM(E$11:E$22),2))</f>
        <v>3890</v>
      </c>
      <c r="F23" s="29">
        <f t="shared" ca="1" si="4"/>
        <v>261.60000000000002</v>
      </c>
      <c r="G23" s="29">
        <f t="shared" ca="1" si="4"/>
        <v>525</v>
      </c>
      <c r="H23" s="29">
        <f t="shared" ca="1" si="4"/>
        <v>99.8</v>
      </c>
      <c r="I23" s="29">
        <f t="shared" si="4"/>
        <v>184</v>
      </c>
      <c r="J23" s="29">
        <f t="shared" ca="1" si="4"/>
        <v>270.39999999999998</v>
      </c>
      <c r="K23" s="29">
        <f t="shared" ca="1" si="4"/>
        <v>1340.8</v>
      </c>
      <c r="L23" s="29">
        <f t="shared" ca="1" si="4"/>
        <v>2549.1999999999998</v>
      </c>
      <c r="M23" s="29">
        <f t="shared" ca="1" si="3"/>
        <v>28.32</v>
      </c>
    </row>
    <row r="25" spans="1:13" ht="18" customHeight="1" x14ac:dyDescent="0.2">
      <c r="A25" s="48" t="str">
        <f ca="1">IF(COUNTIF(Bookings!$V$5:$V$304,"⚠*")+COUNTIF(Costs!$I$5:$I$254,"⚠*")&gt;0,"Data check: "&amp;(COUNTIF(Bookings!$V$5:$V$304,"⚠*")+COUNTIF(Costs!$I$5:$I$254,"⚠*"))&amp;" row(s) are NOT counted anywhere — see the Check column in Bookings and Costs.",IF(COUNTA(Bookings!$B$5:$B$304)+COUNTA(Costs!$C$5:$C$254)=0,"Data check: no rows entered yet — start in the Setup tab, then the Bookings tab.","Data check: every row is linked to a property in Setup."))</f>
        <v>Data check: every row is linked to a property in Setup.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7" spans="1:13" ht="16" customHeight="1" x14ac:dyDescent="0.2">
      <c r="A27" s="53" t="s">
        <v>87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 spans="1:13" ht="29" customHeight="1" x14ac:dyDescent="0.2">
      <c r="A28" s="44" t="s">
        <v>88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13" ht="16" customHeight="1" x14ac:dyDescent="0.2">
      <c r="A29" s="44" t="s">
        <v>89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0" spans="1:13" ht="29" customHeight="1" x14ac:dyDescent="0.2">
      <c r="A30" s="44" t="s">
        <v>90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 spans="1:13" ht="29" customHeight="1" x14ac:dyDescent="0.2">
      <c r="A31" s="44" t="s">
        <v>91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 spans="1:13" ht="29" customHeight="1" x14ac:dyDescent="0.2">
      <c r="A32" s="44" t="s">
        <v>92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 spans="1:13" ht="29" customHeight="1" x14ac:dyDescent="0.2">
      <c r="A33" s="44" t="s">
        <v>93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</row>
  </sheetData>
  <sheetProtection sheet="1"/>
  <mergeCells count="17">
    <mergeCell ref="A25:M25"/>
    <mergeCell ref="A2:M2"/>
    <mergeCell ref="A28:M28"/>
    <mergeCell ref="A27:M27"/>
    <mergeCell ref="A31:M31"/>
    <mergeCell ref="A32:M32"/>
    <mergeCell ref="A33:M33"/>
    <mergeCell ref="A30:M30"/>
    <mergeCell ref="A29:M29"/>
    <mergeCell ref="F4:M4"/>
    <mergeCell ref="K7:L7"/>
    <mergeCell ref="C7:D7"/>
    <mergeCell ref="A1:M1"/>
    <mergeCell ref="A7:B7"/>
    <mergeCell ref="E7:F7"/>
    <mergeCell ref="G7:H7"/>
    <mergeCell ref="I7:J7"/>
  </mergeCells>
  <conditionalFormatting sqref="A7:B7">
    <cfRule type="expression" dxfId="28" priority="12">
      <formula>AND(ISNUMBER($A$7),$A$7&lt;0)</formula>
    </cfRule>
    <cfRule type="expression" dxfId="27" priority="13">
      <formula>AND(ISNUMBER($A$7),$A$7&gt;0)</formula>
    </cfRule>
  </conditionalFormatting>
  <conditionalFormatting sqref="D11:D23">
    <cfRule type="expression" dxfId="26" priority="1">
      <formula>AND(ISNUMBER($D11),$D11&gt;=0.6)</formula>
    </cfRule>
    <cfRule type="expression" dxfId="25" priority="2">
      <formula>AND(ISNUMBER($D11),$D11&gt;=0.4,$D11&lt;0.6)</formula>
    </cfRule>
    <cfRule type="expression" dxfId="24" priority="3">
      <formula>AND(ISNUMBER($D11),$D11&lt;0.4)</formula>
    </cfRule>
  </conditionalFormatting>
  <conditionalFormatting sqref="E7:F7">
    <cfRule type="expression" dxfId="23" priority="14">
      <formula>AND(ISNUMBER($E$7),ISNUMBER($K$23),ISNUMBER($E$23),$E$23&gt;0,$K$23/$E$23&gt;0.7)</formula>
    </cfRule>
  </conditionalFormatting>
  <conditionalFormatting sqref="K7:L7">
    <cfRule type="cellIs" dxfId="22" priority="15" operator="equal">
      <formula>"All done ✓"</formula>
    </cfRule>
    <cfRule type="expression" dxfId="21" priority="16">
      <formula>AND(ISNUMBER($K$7),$K$7&gt;=1)</formula>
    </cfRule>
  </conditionalFormatting>
  <conditionalFormatting sqref="L11:L22">
    <cfRule type="expression" dxfId="20" priority="10">
      <formula>AND(ISNUMBER($L11),$L11&lt;0)</formula>
    </cfRule>
    <cfRule type="expression" dxfId="19" priority="11">
      <formula>AND(ISNUMBER($L11),$L11&gt;0)</formula>
    </cfRule>
  </conditionalFormatting>
  <conditionalFormatting sqref="M11:M22">
    <cfRule type="expression" dxfId="18" priority="7" stopIfTrue="1">
      <formula>AND(COUNT($M$11:$M$22)&gt;1,ISNUMBER($M11),$M11=MAX($M$11:$M$22))</formula>
    </cfRule>
    <cfRule type="expression" dxfId="17" priority="8">
      <formula>AND(COUNT($M$11:$M$22)&gt;1,ISNUMBER($M11),$M11=MIN($M$11:$M$22))</formula>
    </cfRule>
    <cfRule type="expression" dxfId="16" priority="9">
      <formula>AND(ISNUMBER($M11),$M11&lt;0)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Lists!$F$1:$F$10</xm:f>
          </x14:formula1>
          <xm:sqref>B4</xm:sqref>
        </x14:dataValidation>
        <x14:dataValidation type="list" allowBlank="1" xr:uid="{00000000-0002-0000-0100-000001000000}">
          <x14:formula1>
            <xm:f>Lists!$G$1:$G$12</xm:f>
          </x14:formula1>
          <xm:sqref>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2" width="22" customWidth="1"/>
    <col min="3" max="3" width="15" customWidth="1"/>
    <col min="4" max="4" width="14" customWidth="1"/>
    <col min="5" max="5" width="26" customWidth="1"/>
    <col min="6" max="7" width="13" customWidth="1"/>
    <col min="8" max="9" width="9" customWidth="1"/>
    <col min="10" max="10" width="14" customWidth="1"/>
    <col min="11" max="12" width="12" customWidth="1"/>
    <col min="13" max="13" width="15" customWidth="1"/>
    <col min="14" max="15" width="12" customWidth="1"/>
    <col min="16" max="16" width="13" customWidth="1"/>
    <col min="17" max="17" width="15" customWidth="1"/>
    <col min="18" max="18" width="13" customWidth="1"/>
    <col min="19" max="19" width="34" customWidth="1"/>
    <col min="20" max="21" width="13" customWidth="1"/>
    <col min="22" max="22" width="26" customWidth="1"/>
    <col min="23" max="23" width="14" customWidth="1"/>
  </cols>
  <sheetData>
    <row r="1" spans="1:23" ht="26" customHeight="1" x14ac:dyDescent="0.25">
      <c r="A1" s="47" t="s">
        <v>94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x14ac:dyDescent="0.2">
      <c r="A2" s="45" t="s">
        <v>95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4" spans="1:23" ht="46" customHeight="1" x14ac:dyDescent="0.2">
      <c r="A4" s="2" t="s">
        <v>96</v>
      </c>
      <c r="B4" s="2" t="s">
        <v>75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69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108</v>
      </c>
      <c r="P4" s="2" t="s">
        <v>81</v>
      </c>
      <c r="Q4" s="2" t="s">
        <v>109</v>
      </c>
      <c r="R4" s="2" t="s">
        <v>110</v>
      </c>
      <c r="S4" s="2" t="s">
        <v>28</v>
      </c>
      <c r="T4" s="2" t="s">
        <v>111</v>
      </c>
      <c r="U4" s="2" t="s">
        <v>112</v>
      </c>
      <c r="V4" s="2" t="s">
        <v>29</v>
      </c>
      <c r="W4" s="2" t="s">
        <v>113</v>
      </c>
    </row>
    <row r="5" spans="1:23" ht="16" x14ac:dyDescent="0.2">
      <c r="A5" s="30">
        <v>1</v>
      </c>
      <c r="B5" s="3" t="s">
        <v>30</v>
      </c>
      <c r="C5" s="3" t="s">
        <v>114</v>
      </c>
      <c r="D5" s="3" t="s">
        <v>115</v>
      </c>
      <c r="E5" s="3" t="s">
        <v>116</v>
      </c>
      <c r="F5" s="31">
        <f ca="1">IFERROR(DATE(YEAR(TODAY()),MONTH(TODAY()),1),"")</f>
        <v>46204</v>
      </c>
      <c r="G5" s="31">
        <f ca="1">IFERROR(DATE(YEAR(TODAY()),MONTH(TODAY()),5),"")</f>
        <v>46208</v>
      </c>
      <c r="H5" s="19">
        <f t="shared" ref="H5:H68" ca="1" si="0">IF(OR(NOT(ISNUMBER($F5)),NOT(ISNUMBER($G5))),"—",IF($G5&lt;=$F5,"⚠ check dates",$G5-$F5))</f>
        <v>4</v>
      </c>
      <c r="I5" s="32">
        <v>2</v>
      </c>
      <c r="J5" s="6">
        <v>480</v>
      </c>
      <c r="K5" s="33"/>
      <c r="L5" s="21">
        <f>IF(OR($B5="",NOT(ISNUMBER($J5)),$D5="Cancelled",$D5="Owner block"),"—",ROUND($J5*IF(ISNUMBER($K5),IF($K5&gt;1,$K5/100,$K5),IF(IFERROR(INDEX(Setup!$D$25:$D$36,MATCH($B5,Setup!$A$25:$A$36,0)),0)&gt;1,IFERROR(INDEX(Setup!$D$25:$D$36,MATCH($B5,Setup!$A$25:$A$36,0)),0)/100,IFERROR(INDEX(Setup!$D$25:$D$36,MATCH($B5,Setup!$A$25:$A$36,0)),0))),2))</f>
        <v>14.4</v>
      </c>
      <c r="M5" s="21">
        <f t="shared" ref="M5:M68" si="1">IF(NOT(ISNUMBER($L5)),"—",ROUND($J5-$L5,2))</f>
        <v>465.6</v>
      </c>
      <c r="N5" s="21">
        <f ca="1">IF(OR($B5="",$G5="",$D5="Cancelled"),"—",IFERROR(IF(INDEX(Setup!$E$25:$E$36,MATCH($B5,Setup!$A$25:$A$36,0))=0,"—",INDEX(Setup!$E$25:$E$36,MATCH($B5,Setup!$A$25:$A$36,0))),"—"))</f>
        <v>45</v>
      </c>
      <c r="O5" s="21">
        <f ca="1">IF(OR($B5="",$G5="",$D5="Cancelled"),"—",IFERROR(IF(INDEX(Setup!$F$25:$F$36,MATCH($B5,Setup!$A$25:$A$36,0))=0,"—",INDEX(Setup!$F$25:$F$36,MATCH($B5,Setup!$A$25:$A$36,0))),"—"))</f>
        <v>12</v>
      </c>
      <c r="P5" s="21">
        <f ca="1">IF(OR($B5="",$G5="",$D5="Cancelled",$D5="Owner block"),"—",IF(IFERROR(INDEX(Setup!$G$25:$G$36,MATCH($B5,Setup!$A$25:$A$36,0)),0)+IFERROR(INDEX(Setup!$H$25:$H$36,MATCH($B5,Setup!$A$25:$A$36,0)),0)*IF(ISNUMBER($H5),$H5,0)=0,"—",ROUND(IFERROR(INDEX(Setup!$G$25:$G$36,MATCH($B5,Setup!$A$25:$A$36,0)),0)+IFERROR(INDEX(Setup!$H$25:$H$36,MATCH($B5,Setup!$A$25:$A$36,0)),0)*IF(ISNUMBER($H5),$H5,0),2)))</f>
        <v>12</v>
      </c>
      <c r="Q5" s="21">
        <f t="shared" ref="Q5:Q68" ca="1" si="2">IF(OR($B5="",$D5="Cancelled"),"—",IF(AND(NOT(ISNUMBER($M5)),COUNT($N5:$P5)=0),"—",ROUND(IF(ISNUMBER($M5),$M5,0)-SUM($N5:$P5),2)))</f>
        <v>396.6</v>
      </c>
      <c r="R5" s="21">
        <f t="shared" ref="R5:R68" ca="1" si="3">IF(OR(NOT(ISNUMBER($Q5)),NOT(ISNUMBER($H5)),$H5&lt;=0),"—",ROUND($Q5/$H5,2))</f>
        <v>99.15</v>
      </c>
      <c r="S5" s="3"/>
      <c r="T5" s="19">
        <f ca="1">IF(OR(NOT(ISNUMBER($F5)),NOT(ISNUMBER($G5)),NOT(ISNUMBER(Dashboard!$P$2)),NOT(ISNUMBER(Dashboard!$P$3)),$D5="Cancelled",$D5="Owner block"),"—",IF(MAX(0,MIN($G5,Dashboard!$P$3+1)-MAX($F5,Dashboard!$P$2))=0,"—",MAX(0,MIN($G5,Dashboard!$P$3+1)-MAX($F5,Dashboard!$P$2))))</f>
        <v>4</v>
      </c>
      <c r="U5" s="19" t="str">
        <f ca="1">IF(OR(NOT(ISNUMBER($F5)),NOT(ISNUMBER($G5)),NOT(ISNUMBER(Dashboard!$P$2)),NOT(ISNUMBER(Dashboard!$P$3)),$D5&lt;&gt;"Owner block"),"—",IF(MAX(0,MIN($G5,Dashboard!$P$3+1)-MAX($F5,Dashboard!$P$2))=0,"—",MAX(0,MIN($G5,Dashboard!$P$3+1)-MAX($F5,Dashboard!$P$2))))</f>
        <v>—</v>
      </c>
      <c r="V5" s="7" t="str">
        <f ca="1">IF($B5="",IF(COUNTA($C5:$G5,$I5:$K5,$S5)=0,"","⚠ no property — not counted"),IF(COUNTIF(Setup!$A$25:$A$36,$B5)=0,"⚠ property not in Setup",IF(AND($F5&lt;&gt;"",NOT(ISNUMBER($F5))),"⚠ check-in is not a real date",IF(AND($G5&lt;&gt;"",NOT(ISNUMBER($G5))),"⚠ check-out is not a real date",IF(AND($J5&lt;&gt;"",NOT(ISNUMBER($J5))),"⚠ booking value is not a number","OK")))))</f>
        <v>OK</v>
      </c>
      <c r="W5" s="21">
        <f t="shared" ref="W5:W68" si="4">IF(OR($B5="",NOT(ISNUMBER($J5)),$D5="Cancelled",$D5="Owner block"),"—",$J5)</f>
        <v>480</v>
      </c>
    </row>
    <row r="6" spans="1:23" ht="16" x14ac:dyDescent="0.2">
      <c r="A6" s="30">
        <v>2</v>
      </c>
      <c r="B6" s="8" t="s">
        <v>30</v>
      </c>
      <c r="C6" s="8" t="s">
        <v>114</v>
      </c>
      <c r="D6" s="8" t="s">
        <v>115</v>
      </c>
      <c r="E6" s="8" t="s">
        <v>117</v>
      </c>
      <c r="F6" s="34">
        <f ca="1">IFERROR(DATE(YEAR(TODAY()),MONTH(TODAY()),7),"")</f>
        <v>46210</v>
      </c>
      <c r="G6" s="34">
        <f ca="1">IFERROR(DATE(YEAR(TODAY()),MONTH(TODAY()),11),"")</f>
        <v>46214</v>
      </c>
      <c r="H6" s="19">
        <f t="shared" ca="1" si="0"/>
        <v>4</v>
      </c>
      <c r="I6" s="35">
        <v>2</v>
      </c>
      <c r="J6" s="11">
        <v>505</v>
      </c>
      <c r="K6" s="36"/>
      <c r="L6" s="21">
        <f>IF(OR($B6="",NOT(ISNUMBER($J6)),$D6="Cancelled",$D6="Owner block"),"—",ROUND($J6*IF(ISNUMBER($K6),IF($K6&gt;1,$K6/100,$K6),IF(IFERROR(INDEX(Setup!$D$25:$D$36,MATCH($B6,Setup!$A$25:$A$36,0)),0)&gt;1,IFERROR(INDEX(Setup!$D$25:$D$36,MATCH($B6,Setup!$A$25:$A$36,0)),0)/100,IFERROR(INDEX(Setup!$D$25:$D$36,MATCH($B6,Setup!$A$25:$A$36,0)),0))),2))</f>
        <v>15.15</v>
      </c>
      <c r="M6" s="21">
        <f t="shared" si="1"/>
        <v>489.85</v>
      </c>
      <c r="N6" s="21">
        <f ca="1">IF(OR($B6="",$G6="",$D6="Cancelled"),"—",IFERROR(IF(INDEX(Setup!$E$25:$E$36,MATCH($B6,Setup!$A$25:$A$36,0))=0,"—",INDEX(Setup!$E$25:$E$36,MATCH($B6,Setup!$A$25:$A$36,0))),"—"))</f>
        <v>45</v>
      </c>
      <c r="O6" s="21">
        <f ca="1">IF(OR($B6="",$G6="",$D6="Cancelled"),"—",IFERROR(IF(INDEX(Setup!$F$25:$F$36,MATCH($B6,Setup!$A$25:$A$36,0))=0,"—",INDEX(Setup!$F$25:$F$36,MATCH($B6,Setup!$A$25:$A$36,0))),"—"))</f>
        <v>12</v>
      </c>
      <c r="P6" s="21">
        <f ca="1">IF(OR($B6="",$G6="",$D6="Cancelled",$D6="Owner block"),"—",IF(IFERROR(INDEX(Setup!$G$25:$G$36,MATCH($B6,Setup!$A$25:$A$36,0)),0)+IFERROR(INDEX(Setup!$H$25:$H$36,MATCH($B6,Setup!$A$25:$A$36,0)),0)*IF(ISNUMBER($H6),$H6,0)=0,"—",ROUND(IFERROR(INDEX(Setup!$G$25:$G$36,MATCH($B6,Setup!$A$25:$A$36,0)),0)+IFERROR(INDEX(Setup!$H$25:$H$36,MATCH($B6,Setup!$A$25:$A$36,0)),0)*IF(ISNUMBER($H6),$H6,0),2)))</f>
        <v>12</v>
      </c>
      <c r="Q6" s="21">
        <f t="shared" ca="1" si="2"/>
        <v>420.85</v>
      </c>
      <c r="R6" s="21">
        <f t="shared" ca="1" si="3"/>
        <v>105.21</v>
      </c>
      <c r="S6" s="8"/>
      <c r="T6" s="19">
        <f ca="1">IF(OR(NOT(ISNUMBER($F6)),NOT(ISNUMBER($G6)),NOT(ISNUMBER(Dashboard!$P$2)),NOT(ISNUMBER(Dashboard!$P$3)),$D6="Cancelled",$D6="Owner block"),"—",IF(MAX(0,MIN($G6,Dashboard!$P$3+1)-MAX($F6,Dashboard!$P$2))=0,"—",MAX(0,MIN($G6,Dashboard!$P$3+1)-MAX($F6,Dashboard!$P$2))))</f>
        <v>4</v>
      </c>
      <c r="U6" s="19" t="str">
        <f ca="1">IF(OR(NOT(ISNUMBER($F6)),NOT(ISNUMBER($G6)),NOT(ISNUMBER(Dashboard!$P$2)),NOT(ISNUMBER(Dashboard!$P$3)),$D6&lt;&gt;"Owner block"),"—",IF(MAX(0,MIN($G6,Dashboard!$P$3+1)-MAX($F6,Dashboard!$P$2))=0,"—",MAX(0,MIN($G6,Dashboard!$P$3+1)-MAX($F6,Dashboard!$P$2))))</f>
        <v>—</v>
      </c>
      <c r="V6" s="7" t="str">
        <f ca="1">IF($B6="",IF(COUNTA($C6:$G6,$I6:$K6,$S6)=0,"","⚠ no property — not counted"),IF(COUNTIF(Setup!$A$25:$A$36,$B6)=0,"⚠ property not in Setup",IF(AND($F6&lt;&gt;"",NOT(ISNUMBER($F6))),"⚠ check-in is not a real date",IF(AND($G6&lt;&gt;"",NOT(ISNUMBER($G6))),"⚠ check-out is not a real date",IF(AND($J6&lt;&gt;"",NOT(ISNUMBER($J6))),"⚠ booking value is not a number","OK")))))</f>
        <v>OK</v>
      </c>
      <c r="W6" s="21">
        <f t="shared" si="4"/>
        <v>505</v>
      </c>
    </row>
    <row r="7" spans="1:23" ht="16" x14ac:dyDescent="0.2">
      <c r="A7" s="30">
        <v>3</v>
      </c>
      <c r="B7" s="3" t="s">
        <v>30</v>
      </c>
      <c r="C7" s="3" t="s">
        <v>118</v>
      </c>
      <c r="D7" s="3" t="s">
        <v>115</v>
      </c>
      <c r="E7" s="3" t="s">
        <v>119</v>
      </c>
      <c r="F7" s="31">
        <f ca="1">IFERROR(DATE(YEAR(TODAY()),MONTH(TODAY()),12),"")</f>
        <v>46215</v>
      </c>
      <c r="G7" s="31">
        <f ca="1">IFERROR(DATE(YEAR(TODAY()),MONTH(TODAY()),16),"")</f>
        <v>46219</v>
      </c>
      <c r="H7" s="19">
        <f t="shared" ca="1" si="0"/>
        <v>4</v>
      </c>
      <c r="I7" s="32">
        <v>3</v>
      </c>
      <c r="J7" s="6">
        <v>430</v>
      </c>
      <c r="K7" s="33">
        <v>0.05</v>
      </c>
      <c r="L7" s="21">
        <f>IF(OR($B7="",NOT(ISNUMBER($J7)),$D7="Cancelled",$D7="Owner block"),"—",ROUND($J7*IF(ISNUMBER($K7),IF($K7&gt;1,$K7/100,$K7),IF(IFERROR(INDEX(Setup!$D$25:$D$36,MATCH($B7,Setup!$A$25:$A$36,0)),0)&gt;1,IFERROR(INDEX(Setup!$D$25:$D$36,MATCH($B7,Setup!$A$25:$A$36,0)),0)/100,IFERROR(INDEX(Setup!$D$25:$D$36,MATCH($B7,Setup!$A$25:$A$36,0)),0))),2))</f>
        <v>21.5</v>
      </c>
      <c r="M7" s="21">
        <f t="shared" si="1"/>
        <v>408.5</v>
      </c>
      <c r="N7" s="21">
        <f ca="1">IF(OR($B7="",$G7="",$D7="Cancelled"),"—",IFERROR(IF(INDEX(Setup!$E$25:$E$36,MATCH($B7,Setup!$A$25:$A$36,0))=0,"—",INDEX(Setup!$E$25:$E$36,MATCH($B7,Setup!$A$25:$A$36,0))),"—"))</f>
        <v>45</v>
      </c>
      <c r="O7" s="21">
        <f ca="1">IF(OR($B7="",$G7="",$D7="Cancelled"),"—",IFERROR(IF(INDEX(Setup!$F$25:$F$36,MATCH($B7,Setup!$A$25:$A$36,0))=0,"—",INDEX(Setup!$F$25:$F$36,MATCH($B7,Setup!$A$25:$A$36,0))),"—"))</f>
        <v>12</v>
      </c>
      <c r="P7" s="21">
        <f ca="1">IF(OR($B7="",$G7="",$D7="Cancelled",$D7="Owner block"),"—",IF(IFERROR(INDEX(Setup!$G$25:$G$36,MATCH($B7,Setup!$A$25:$A$36,0)),0)+IFERROR(INDEX(Setup!$H$25:$H$36,MATCH($B7,Setup!$A$25:$A$36,0)),0)*IF(ISNUMBER($H7),$H7,0)=0,"—",ROUND(IFERROR(INDEX(Setup!$G$25:$G$36,MATCH($B7,Setup!$A$25:$A$36,0)),0)+IFERROR(INDEX(Setup!$H$25:$H$36,MATCH($B7,Setup!$A$25:$A$36,0)),0)*IF(ISNUMBER($H7),$H7,0),2)))</f>
        <v>12</v>
      </c>
      <c r="Q7" s="21">
        <f t="shared" ca="1" si="2"/>
        <v>339.5</v>
      </c>
      <c r="R7" s="21">
        <f t="shared" ca="1" si="3"/>
        <v>84.88</v>
      </c>
      <c r="S7" s="3"/>
      <c r="T7" s="19">
        <f ca="1">IF(OR(NOT(ISNUMBER($F7)),NOT(ISNUMBER($G7)),NOT(ISNUMBER(Dashboard!$P$2)),NOT(ISNUMBER(Dashboard!$P$3)),$D7="Cancelled",$D7="Owner block"),"—",IF(MAX(0,MIN($G7,Dashboard!$P$3+1)-MAX($F7,Dashboard!$P$2))=0,"—",MAX(0,MIN($G7,Dashboard!$P$3+1)-MAX($F7,Dashboard!$P$2))))</f>
        <v>4</v>
      </c>
      <c r="U7" s="19" t="str">
        <f ca="1">IF(OR(NOT(ISNUMBER($F7)),NOT(ISNUMBER($G7)),NOT(ISNUMBER(Dashboard!$P$2)),NOT(ISNUMBER(Dashboard!$P$3)),$D7&lt;&gt;"Owner block"),"—",IF(MAX(0,MIN($G7,Dashboard!$P$3+1)-MAX($F7,Dashboard!$P$2))=0,"—",MAX(0,MIN($G7,Dashboard!$P$3+1)-MAX($F7,Dashboard!$P$2))))</f>
        <v>—</v>
      </c>
      <c r="V7" s="7" t="str">
        <f ca="1">IF($B7="",IF(COUNTA($C7:$G7,$I7:$K7,$S7)=0,"","⚠ no property — not counted"),IF(COUNTIF(Setup!$A$25:$A$36,$B7)=0,"⚠ property not in Setup",IF(AND($F7&lt;&gt;"",NOT(ISNUMBER($F7))),"⚠ check-in is not a real date",IF(AND($G7&lt;&gt;"",NOT(ISNUMBER($G7))),"⚠ check-out is not a real date",IF(AND($J7&lt;&gt;"",NOT(ISNUMBER($J7))),"⚠ booking value is not a number","OK")))))</f>
        <v>OK</v>
      </c>
      <c r="W7" s="21">
        <f t="shared" si="4"/>
        <v>430</v>
      </c>
    </row>
    <row r="8" spans="1:23" ht="32" x14ac:dyDescent="0.2">
      <c r="A8" s="30">
        <v>4</v>
      </c>
      <c r="B8" s="8" t="s">
        <v>30</v>
      </c>
      <c r="C8" s="8" t="s">
        <v>114</v>
      </c>
      <c r="D8" s="8" t="s">
        <v>120</v>
      </c>
      <c r="E8" s="8" t="s">
        <v>121</v>
      </c>
      <c r="F8" s="34">
        <f ca="1">IFERROR(TODAY()+1,"")</f>
        <v>46233</v>
      </c>
      <c r="G8" s="34">
        <f ca="1">IFERROR(TODAY()+3,"")</f>
        <v>46235</v>
      </c>
      <c r="H8" s="19">
        <f t="shared" ca="1" si="0"/>
        <v>2</v>
      </c>
      <c r="I8" s="35">
        <v>2</v>
      </c>
      <c r="J8" s="11">
        <v>560</v>
      </c>
      <c r="K8" s="36"/>
      <c r="L8" s="21">
        <f>IF(OR($B8="",NOT(ISNUMBER($J8)),$D8="Cancelled",$D8="Owner block"),"—",ROUND($J8*IF(ISNUMBER($K8),IF($K8&gt;1,$K8/100,$K8),IF(IFERROR(INDEX(Setup!$D$25:$D$36,MATCH($B8,Setup!$A$25:$A$36,0)),0)&gt;1,IFERROR(INDEX(Setup!$D$25:$D$36,MATCH($B8,Setup!$A$25:$A$36,0)),0)/100,IFERROR(INDEX(Setup!$D$25:$D$36,MATCH($B8,Setup!$A$25:$A$36,0)),0))),2))</f>
        <v>16.8</v>
      </c>
      <c r="M8" s="21">
        <f t="shared" si="1"/>
        <v>543.20000000000005</v>
      </c>
      <c r="N8" s="21">
        <f ca="1">IF(OR($B8="",$G8="",$D8="Cancelled"),"—",IFERROR(IF(INDEX(Setup!$E$25:$E$36,MATCH($B8,Setup!$A$25:$A$36,0))=0,"—",INDEX(Setup!$E$25:$E$36,MATCH($B8,Setup!$A$25:$A$36,0))),"—"))</f>
        <v>45</v>
      </c>
      <c r="O8" s="21">
        <f ca="1">IF(OR($B8="",$G8="",$D8="Cancelled"),"—",IFERROR(IF(INDEX(Setup!$F$25:$F$36,MATCH($B8,Setup!$A$25:$A$36,0))=0,"—",INDEX(Setup!$F$25:$F$36,MATCH($B8,Setup!$A$25:$A$36,0))),"—"))</f>
        <v>12</v>
      </c>
      <c r="P8" s="21">
        <f ca="1">IF(OR($B8="",$G8="",$D8="Cancelled",$D8="Owner block"),"—",IF(IFERROR(INDEX(Setup!$G$25:$G$36,MATCH($B8,Setup!$A$25:$A$36,0)),0)+IFERROR(INDEX(Setup!$H$25:$H$36,MATCH($B8,Setup!$A$25:$A$36,0)),0)*IF(ISNUMBER($H8),$H8,0)=0,"—",ROUND(IFERROR(INDEX(Setup!$G$25:$G$36,MATCH($B8,Setup!$A$25:$A$36,0)),0)+IFERROR(INDEX(Setup!$H$25:$H$36,MATCH($B8,Setup!$A$25:$A$36,0)),0)*IF(ISNUMBER($H8),$H8,0),2)))</f>
        <v>9</v>
      </c>
      <c r="Q8" s="21">
        <f t="shared" ca="1" si="2"/>
        <v>477.2</v>
      </c>
      <c r="R8" s="21">
        <f t="shared" ca="1" si="3"/>
        <v>238.6</v>
      </c>
      <c r="S8" s="8" t="s">
        <v>122</v>
      </c>
      <c r="T8" s="19">
        <f ca="1">IF(OR(NOT(ISNUMBER($F8)),NOT(ISNUMBER($G8)),NOT(ISNUMBER(Dashboard!$P$2)),NOT(ISNUMBER(Dashboard!$P$3)),$D8="Cancelled",$D8="Owner block"),"—",IF(MAX(0,MIN($G8,Dashboard!$P$3+1)-MAX($F8,Dashboard!$P$2))=0,"—",MAX(0,MIN($G8,Dashboard!$P$3+1)-MAX($F8,Dashboard!$P$2))))</f>
        <v>2</v>
      </c>
      <c r="U8" s="19" t="str">
        <f ca="1">IF(OR(NOT(ISNUMBER($F8)),NOT(ISNUMBER($G8)),NOT(ISNUMBER(Dashboard!$P$2)),NOT(ISNUMBER(Dashboard!$P$3)),$D8&lt;&gt;"Owner block"),"—",IF(MAX(0,MIN($G8,Dashboard!$P$3+1)-MAX($F8,Dashboard!$P$2))=0,"—",MAX(0,MIN($G8,Dashboard!$P$3+1)-MAX($F8,Dashboard!$P$2))))</f>
        <v>—</v>
      </c>
      <c r="V8" s="7" t="str">
        <f ca="1">IF($B8="",IF(COUNTA($C8:$G8,$I8:$K8,$S8)=0,"","⚠ no property — not counted"),IF(COUNTIF(Setup!$A$25:$A$36,$B8)=0,"⚠ property not in Setup",IF(AND($F8&lt;&gt;"",NOT(ISNUMBER($F8))),"⚠ check-in is not a real date",IF(AND($G8&lt;&gt;"",NOT(ISNUMBER($G8))),"⚠ check-out is not a real date",IF(AND($J8&lt;&gt;"",NOT(ISNUMBER($J8))),"⚠ booking value is not a number","OK")))))</f>
        <v>OK</v>
      </c>
      <c r="W8" s="21">
        <f t="shared" si="4"/>
        <v>560</v>
      </c>
    </row>
    <row r="9" spans="1:23" ht="16" x14ac:dyDescent="0.2">
      <c r="A9" s="30">
        <v>5</v>
      </c>
      <c r="B9" s="3" t="s">
        <v>33</v>
      </c>
      <c r="C9" s="3" t="s">
        <v>123</v>
      </c>
      <c r="D9" s="3" t="s">
        <v>115</v>
      </c>
      <c r="E9" s="3" t="s">
        <v>124</v>
      </c>
      <c r="F9" s="31">
        <f ca="1">IFERROR(DATE(YEAR(TODAY()),MONTH(TODAY()),2),"")</f>
        <v>46205</v>
      </c>
      <c r="G9" s="31">
        <f ca="1">IFERROR(DATE(YEAR(TODAY()),MONTH(TODAY()),6),"")</f>
        <v>46209</v>
      </c>
      <c r="H9" s="19">
        <f t="shared" ca="1" si="0"/>
        <v>4</v>
      </c>
      <c r="I9" s="32">
        <v>2</v>
      </c>
      <c r="J9" s="6">
        <v>310</v>
      </c>
      <c r="K9" s="33"/>
      <c r="L9" s="21">
        <f>IF(OR($B9="",NOT(ISNUMBER($J9)),$D9="Cancelled",$D9="Owner block"),"—",ROUND($J9*IF(ISNUMBER($K9),IF($K9&gt;1,$K9/100,$K9),IF(IFERROR(INDEX(Setup!$D$25:$D$36,MATCH($B9,Setup!$A$25:$A$36,0)),0)&gt;1,IFERROR(INDEX(Setup!$D$25:$D$36,MATCH($B9,Setup!$A$25:$A$36,0)),0)/100,IFERROR(INDEX(Setup!$D$25:$D$36,MATCH($B9,Setup!$A$25:$A$36,0)),0))),2))</f>
        <v>46.5</v>
      </c>
      <c r="M9" s="21">
        <f t="shared" si="1"/>
        <v>263.5</v>
      </c>
      <c r="N9" s="21">
        <f ca="1">IF(OR($B9="",$G9="",$D9="Cancelled"),"—",IFERROR(IF(INDEX(Setup!$E$25:$E$36,MATCH($B9,Setup!$A$25:$A$36,0))=0,"—",INDEX(Setup!$E$25:$E$36,MATCH($B9,Setup!$A$25:$A$36,0))),"—"))</f>
        <v>38</v>
      </c>
      <c r="O9" s="21">
        <f ca="1">IF(OR($B9="",$G9="",$D9="Cancelled"),"—",IFERROR(IF(INDEX(Setup!$F$25:$F$36,MATCH($B9,Setup!$A$25:$A$36,0))=0,"—",INDEX(Setup!$F$25:$F$36,MATCH($B9,Setup!$A$25:$A$36,0))),"—"))</f>
        <v>9</v>
      </c>
      <c r="P9" s="21">
        <f ca="1">IF(OR($B9="",$G9="",$D9="Cancelled",$D9="Owner block"),"—",IF(IFERROR(INDEX(Setup!$G$25:$G$36,MATCH($B9,Setup!$A$25:$A$36,0)),0)+IFERROR(INDEX(Setup!$H$25:$H$36,MATCH($B9,Setup!$A$25:$A$36,0)),0)*IF(ISNUMBER($H9),$H9,0)=0,"—",ROUND(IFERROR(INDEX(Setup!$G$25:$G$36,MATCH($B9,Setup!$A$25:$A$36,0)),0)+IFERROR(INDEX(Setup!$H$25:$H$36,MATCH($B9,Setup!$A$25:$A$36,0)),0)*IF(ISNUMBER($H9),$H9,0),2)))</f>
        <v>9.3000000000000007</v>
      </c>
      <c r="Q9" s="21">
        <f t="shared" ca="1" si="2"/>
        <v>207.2</v>
      </c>
      <c r="R9" s="21">
        <f t="shared" ca="1" si="3"/>
        <v>51.8</v>
      </c>
      <c r="S9" s="3"/>
      <c r="T9" s="19">
        <f ca="1">IF(OR(NOT(ISNUMBER($F9)),NOT(ISNUMBER($G9)),NOT(ISNUMBER(Dashboard!$P$2)),NOT(ISNUMBER(Dashboard!$P$3)),$D9="Cancelled",$D9="Owner block"),"—",IF(MAX(0,MIN($G9,Dashboard!$P$3+1)-MAX($F9,Dashboard!$P$2))=0,"—",MAX(0,MIN($G9,Dashboard!$P$3+1)-MAX($F9,Dashboard!$P$2))))</f>
        <v>4</v>
      </c>
      <c r="U9" s="19" t="str">
        <f ca="1">IF(OR(NOT(ISNUMBER($F9)),NOT(ISNUMBER($G9)),NOT(ISNUMBER(Dashboard!$P$2)),NOT(ISNUMBER(Dashboard!$P$3)),$D9&lt;&gt;"Owner block"),"—",IF(MAX(0,MIN($G9,Dashboard!$P$3+1)-MAX($F9,Dashboard!$P$2))=0,"—",MAX(0,MIN($G9,Dashboard!$P$3+1)-MAX($F9,Dashboard!$P$2))))</f>
        <v>—</v>
      </c>
      <c r="V9" s="7" t="str">
        <f ca="1">IF($B9="",IF(COUNTA($C9:$G9,$I9:$K9,$S9)=0,"","⚠ no property — not counted"),IF(COUNTIF(Setup!$A$25:$A$36,$B9)=0,"⚠ property not in Setup",IF(AND($F9&lt;&gt;"",NOT(ISNUMBER($F9))),"⚠ check-in is not a real date",IF(AND($G9&lt;&gt;"",NOT(ISNUMBER($G9))),"⚠ check-out is not a real date",IF(AND($J9&lt;&gt;"",NOT(ISNUMBER($J9))),"⚠ booking value is not a number","OK")))))</f>
        <v>OK</v>
      </c>
      <c r="W9" s="21">
        <f t="shared" si="4"/>
        <v>310</v>
      </c>
    </row>
    <row r="10" spans="1:23" ht="48" x14ac:dyDescent="0.2">
      <c r="A10" s="30">
        <v>6</v>
      </c>
      <c r="B10" s="8" t="s">
        <v>33</v>
      </c>
      <c r="C10" s="8" t="s">
        <v>123</v>
      </c>
      <c r="D10" s="8" t="s">
        <v>115</v>
      </c>
      <c r="E10" s="8" t="s">
        <v>125</v>
      </c>
      <c r="F10" s="34">
        <f ca="1">IFERROR(DATE(YEAR(TODAY()),MONTH(TODAY()),8),"")</f>
        <v>46211</v>
      </c>
      <c r="G10" s="34">
        <f ca="1">IFERROR(DATE(YEAR(TODAY()),MONTH(TODAY()),14),"")</f>
        <v>46217</v>
      </c>
      <c r="H10" s="19">
        <f t="shared" ca="1" si="0"/>
        <v>6</v>
      </c>
      <c r="I10" s="35">
        <v>2</v>
      </c>
      <c r="J10" s="11">
        <v>455</v>
      </c>
      <c r="K10" s="36"/>
      <c r="L10" s="21">
        <f>IF(OR($B10="",NOT(ISNUMBER($J10)),$D10="Cancelled",$D10="Owner block"),"—",ROUND($J10*IF(ISNUMBER($K10),IF($K10&gt;1,$K10/100,$K10),IF(IFERROR(INDEX(Setup!$D$25:$D$36,MATCH($B10,Setup!$A$25:$A$36,0)),0)&gt;1,IFERROR(INDEX(Setup!$D$25:$D$36,MATCH($B10,Setup!$A$25:$A$36,0)),0)/100,IFERROR(INDEX(Setup!$D$25:$D$36,MATCH($B10,Setup!$A$25:$A$36,0)),0))),2))</f>
        <v>68.25</v>
      </c>
      <c r="M10" s="21">
        <f t="shared" si="1"/>
        <v>386.75</v>
      </c>
      <c r="N10" s="21">
        <f ca="1">IF(OR($B10="",$G10="",$D10="Cancelled"),"—",IFERROR(IF(INDEX(Setup!$E$25:$E$36,MATCH($B10,Setup!$A$25:$A$36,0))=0,"—",INDEX(Setup!$E$25:$E$36,MATCH($B10,Setup!$A$25:$A$36,0))),"—"))</f>
        <v>38</v>
      </c>
      <c r="O10" s="21">
        <f ca="1">IF(OR($B10="",$G10="",$D10="Cancelled"),"—",IFERROR(IF(INDEX(Setup!$F$25:$F$36,MATCH($B10,Setup!$A$25:$A$36,0))=0,"—",INDEX(Setup!$F$25:$F$36,MATCH($B10,Setup!$A$25:$A$36,0))),"—"))</f>
        <v>9</v>
      </c>
      <c r="P10" s="21">
        <f ca="1">IF(OR($B10="",$G10="",$D10="Cancelled",$D10="Owner block"),"—",IF(IFERROR(INDEX(Setup!$G$25:$G$36,MATCH($B10,Setup!$A$25:$A$36,0)),0)+IFERROR(INDEX(Setup!$H$25:$H$36,MATCH($B10,Setup!$A$25:$A$36,0)),0)*IF(ISNUMBER($H10),$H10,0)=0,"—",ROUND(IFERROR(INDEX(Setup!$G$25:$G$36,MATCH($B10,Setup!$A$25:$A$36,0)),0)+IFERROR(INDEX(Setup!$H$25:$H$36,MATCH($B10,Setup!$A$25:$A$36,0)),0)*IF(ISNUMBER($H10),$H10,0),2)))</f>
        <v>11.7</v>
      </c>
      <c r="Q10" s="21">
        <f t="shared" ca="1" si="2"/>
        <v>328.05</v>
      </c>
      <c r="R10" s="21">
        <f t="shared" ca="1" si="3"/>
        <v>54.68</v>
      </c>
      <c r="S10" s="8" t="s">
        <v>126</v>
      </c>
      <c r="T10" s="19">
        <f ca="1">IF(OR(NOT(ISNUMBER($F10)),NOT(ISNUMBER($G10)),NOT(ISNUMBER(Dashboard!$P$2)),NOT(ISNUMBER(Dashboard!$P$3)),$D10="Cancelled",$D10="Owner block"),"—",IF(MAX(0,MIN($G10,Dashboard!$P$3+1)-MAX($F10,Dashboard!$P$2))=0,"—",MAX(0,MIN($G10,Dashboard!$P$3+1)-MAX($F10,Dashboard!$P$2))))</f>
        <v>6</v>
      </c>
      <c r="U10" s="19" t="str">
        <f ca="1">IF(OR(NOT(ISNUMBER($F10)),NOT(ISNUMBER($G10)),NOT(ISNUMBER(Dashboard!$P$2)),NOT(ISNUMBER(Dashboard!$P$3)),$D10&lt;&gt;"Owner block"),"—",IF(MAX(0,MIN($G10,Dashboard!$P$3+1)-MAX($F10,Dashboard!$P$2))=0,"—",MAX(0,MIN($G10,Dashboard!$P$3+1)-MAX($F10,Dashboard!$P$2))))</f>
        <v>—</v>
      </c>
      <c r="V10" s="7" t="str">
        <f ca="1">IF($B10="",IF(COUNTA($C10:$G10,$I10:$K10,$S10)=0,"","⚠ no property — not counted"),IF(COUNTIF(Setup!$A$25:$A$36,$B10)=0,"⚠ property not in Setup",IF(AND($F10&lt;&gt;"",NOT(ISNUMBER($F10))),"⚠ check-in is not a real date",IF(AND($G10&lt;&gt;"",NOT(ISNUMBER($G10))),"⚠ check-out is not a real date",IF(AND($J10&lt;&gt;"",NOT(ISNUMBER($J10))),"⚠ booking value is not a number","OK")))))</f>
        <v>OK</v>
      </c>
      <c r="W10" s="21">
        <f t="shared" si="4"/>
        <v>455</v>
      </c>
    </row>
    <row r="11" spans="1:23" ht="32" x14ac:dyDescent="0.2">
      <c r="A11" s="30">
        <v>7</v>
      </c>
      <c r="B11" s="3" t="s">
        <v>33</v>
      </c>
      <c r="C11" s="3" t="s">
        <v>114</v>
      </c>
      <c r="D11" s="3" t="s">
        <v>115</v>
      </c>
      <c r="E11" s="3" t="s">
        <v>127</v>
      </c>
      <c r="F11" s="31">
        <f ca="1">IFERROR(DATE(YEAR(TODAY()),MONTH(TODAY()),14),"")</f>
        <v>46217</v>
      </c>
      <c r="G11" s="31">
        <f ca="1">IFERROR(DATE(YEAR(TODAY()),MONTH(TODAY()),18),"")</f>
        <v>46221</v>
      </c>
      <c r="H11" s="19">
        <f t="shared" ca="1" si="0"/>
        <v>4</v>
      </c>
      <c r="I11" s="32">
        <v>1</v>
      </c>
      <c r="J11" s="6">
        <v>300</v>
      </c>
      <c r="K11" s="33">
        <v>0.03</v>
      </c>
      <c r="L11" s="21">
        <f>IF(OR($B11="",NOT(ISNUMBER($J11)),$D11="Cancelled",$D11="Owner block"),"—",ROUND($J11*IF(ISNUMBER($K11),IF($K11&gt;1,$K11/100,$K11),IF(IFERROR(INDEX(Setup!$D$25:$D$36,MATCH($B11,Setup!$A$25:$A$36,0)),0)&gt;1,IFERROR(INDEX(Setup!$D$25:$D$36,MATCH($B11,Setup!$A$25:$A$36,0)),0)/100,IFERROR(INDEX(Setup!$D$25:$D$36,MATCH($B11,Setup!$A$25:$A$36,0)),0))),2))</f>
        <v>9</v>
      </c>
      <c r="M11" s="21">
        <f t="shared" si="1"/>
        <v>291</v>
      </c>
      <c r="N11" s="21">
        <f ca="1">IF(OR($B11="",$G11="",$D11="Cancelled"),"—",IFERROR(IF(INDEX(Setup!$E$25:$E$36,MATCH($B11,Setup!$A$25:$A$36,0))=0,"—",INDEX(Setup!$E$25:$E$36,MATCH($B11,Setup!$A$25:$A$36,0))),"—"))</f>
        <v>38</v>
      </c>
      <c r="O11" s="21">
        <f ca="1">IF(OR($B11="",$G11="",$D11="Cancelled"),"—",IFERROR(IF(INDEX(Setup!$F$25:$F$36,MATCH($B11,Setup!$A$25:$A$36,0))=0,"—",INDEX(Setup!$F$25:$F$36,MATCH($B11,Setup!$A$25:$A$36,0))),"—"))</f>
        <v>9</v>
      </c>
      <c r="P11" s="21">
        <f ca="1">IF(OR($B11="",$G11="",$D11="Cancelled",$D11="Owner block"),"—",IF(IFERROR(INDEX(Setup!$G$25:$G$36,MATCH($B11,Setup!$A$25:$A$36,0)),0)+IFERROR(INDEX(Setup!$H$25:$H$36,MATCH($B11,Setup!$A$25:$A$36,0)),0)*IF(ISNUMBER($H11),$H11,0)=0,"—",ROUND(IFERROR(INDEX(Setup!$G$25:$G$36,MATCH($B11,Setup!$A$25:$A$36,0)),0)+IFERROR(INDEX(Setup!$H$25:$H$36,MATCH($B11,Setup!$A$25:$A$36,0)),0)*IF(ISNUMBER($H11),$H11,0),2)))</f>
        <v>9.3000000000000007</v>
      </c>
      <c r="Q11" s="21">
        <f t="shared" ca="1" si="2"/>
        <v>234.7</v>
      </c>
      <c r="R11" s="21">
        <f t="shared" ca="1" si="3"/>
        <v>58.68</v>
      </c>
      <c r="S11" s="3" t="s">
        <v>128</v>
      </c>
      <c r="T11" s="19">
        <f ca="1">IF(OR(NOT(ISNUMBER($F11)),NOT(ISNUMBER($G11)),NOT(ISNUMBER(Dashboard!$P$2)),NOT(ISNUMBER(Dashboard!$P$3)),$D11="Cancelled",$D11="Owner block"),"—",IF(MAX(0,MIN($G11,Dashboard!$P$3+1)-MAX($F11,Dashboard!$P$2))=0,"—",MAX(0,MIN($G11,Dashboard!$P$3+1)-MAX($F11,Dashboard!$P$2))))</f>
        <v>4</v>
      </c>
      <c r="U11" s="19" t="str">
        <f ca="1">IF(OR(NOT(ISNUMBER($F11)),NOT(ISNUMBER($G11)),NOT(ISNUMBER(Dashboard!$P$2)),NOT(ISNUMBER(Dashboard!$P$3)),$D11&lt;&gt;"Owner block"),"—",IF(MAX(0,MIN($G11,Dashboard!$P$3+1)-MAX($F11,Dashboard!$P$2))=0,"—",MAX(0,MIN($G11,Dashboard!$P$3+1)-MAX($F11,Dashboard!$P$2))))</f>
        <v>—</v>
      </c>
      <c r="V11" s="7" t="str">
        <f ca="1">IF($B11="",IF(COUNTA($C11:$G11,$I11:$K11,$S11)=0,"","⚠ no property — not counted"),IF(COUNTIF(Setup!$A$25:$A$36,$B11)=0,"⚠ property not in Setup",IF(AND($F11&lt;&gt;"",NOT(ISNUMBER($F11))),"⚠ check-in is not a real date",IF(AND($G11&lt;&gt;"",NOT(ISNUMBER($G11))),"⚠ check-out is not a real date",IF(AND($J11&lt;&gt;"",NOT(ISNUMBER($J11))),"⚠ booking value is not a number","OK")))))</f>
        <v>OK</v>
      </c>
      <c r="W11" s="21">
        <f t="shared" si="4"/>
        <v>300</v>
      </c>
    </row>
    <row r="12" spans="1:23" ht="32" x14ac:dyDescent="0.2">
      <c r="A12" s="30">
        <v>8</v>
      </c>
      <c r="B12" s="8" t="s">
        <v>33</v>
      </c>
      <c r="C12" s="8" t="s">
        <v>123</v>
      </c>
      <c r="D12" s="8" t="s">
        <v>129</v>
      </c>
      <c r="E12" s="8" t="s">
        <v>130</v>
      </c>
      <c r="F12" s="34">
        <f ca="1">IFERROR(DATE(YEAR(TODAY()),MONTH(TODAY()),21),"")</f>
        <v>46224</v>
      </c>
      <c r="G12" s="34">
        <f ca="1">IFERROR(DATE(YEAR(TODAY()),MONTH(TODAY()),24),"")</f>
        <v>46227</v>
      </c>
      <c r="H12" s="19">
        <f t="shared" ca="1" si="0"/>
        <v>3</v>
      </c>
      <c r="I12" s="35">
        <v>2</v>
      </c>
      <c r="J12" s="11">
        <v>280</v>
      </c>
      <c r="K12" s="36"/>
      <c r="L12" s="21" t="str">
        <f>IF(OR($B12="",NOT(ISNUMBER($J12)),$D12="Cancelled",$D12="Owner block"),"—",ROUND($J12*IF(ISNUMBER($K12),IF($K12&gt;1,$K12/100,$K12),IF(IFERROR(INDEX(Setup!$D$25:$D$36,MATCH($B12,Setup!$A$25:$A$36,0)),0)&gt;1,IFERROR(INDEX(Setup!$D$25:$D$36,MATCH($B12,Setup!$A$25:$A$36,0)),0)/100,IFERROR(INDEX(Setup!$D$25:$D$36,MATCH($B12,Setup!$A$25:$A$36,0)),0))),2))</f>
        <v>—</v>
      </c>
      <c r="M12" s="21" t="str">
        <f t="shared" si="1"/>
        <v>—</v>
      </c>
      <c r="N12" s="21" t="str">
        <f ca="1">IF(OR($B12="",$G12="",$D12="Cancelled"),"—",IFERROR(IF(INDEX(Setup!$E$25:$E$36,MATCH($B12,Setup!$A$25:$A$36,0))=0,"—",INDEX(Setup!$E$25:$E$36,MATCH($B12,Setup!$A$25:$A$36,0))),"—"))</f>
        <v>—</v>
      </c>
      <c r="O12" s="21" t="str">
        <f ca="1">IF(OR($B12="",$G12="",$D12="Cancelled"),"—",IFERROR(IF(INDEX(Setup!$F$25:$F$36,MATCH($B12,Setup!$A$25:$A$36,0))=0,"—",INDEX(Setup!$F$25:$F$36,MATCH($B12,Setup!$A$25:$A$36,0))),"—"))</f>
        <v>—</v>
      </c>
      <c r="P12" s="21" t="str">
        <f ca="1">IF(OR($B12="",$G12="",$D12="Cancelled",$D12="Owner block"),"—",IF(IFERROR(INDEX(Setup!$G$25:$G$36,MATCH($B12,Setup!$A$25:$A$36,0)),0)+IFERROR(INDEX(Setup!$H$25:$H$36,MATCH($B12,Setup!$A$25:$A$36,0)),0)*IF(ISNUMBER($H12),$H12,0)=0,"—",ROUND(IFERROR(INDEX(Setup!$G$25:$G$36,MATCH($B12,Setup!$A$25:$A$36,0)),0)+IFERROR(INDEX(Setup!$H$25:$H$36,MATCH($B12,Setup!$A$25:$A$36,0)),0)*IF(ISNUMBER($H12),$H12,0),2)))</f>
        <v>—</v>
      </c>
      <c r="Q12" s="21" t="str">
        <f t="shared" si="2"/>
        <v>—</v>
      </c>
      <c r="R12" s="21" t="str">
        <f t="shared" ca="1" si="3"/>
        <v>—</v>
      </c>
      <c r="S12" s="8" t="s">
        <v>131</v>
      </c>
      <c r="T12" s="19" t="str">
        <f ca="1">IF(OR(NOT(ISNUMBER($F12)),NOT(ISNUMBER($G12)),NOT(ISNUMBER(Dashboard!$P$2)),NOT(ISNUMBER(Dashboard!$P$3)),$D12="Cancelled",$D12="Owner block"),"—",IF(MAX(0,MIN($G12,Dashboard!$P$3+1)-MAX($F12,Dashboard!$P$2))=0,"—",MAX(0,MIN($G12,Dashboard!$P$3+1)-MAX($F12,Dashboard!$P$2))))</f>
        <v>—</v>
      </c>
      <c r="U12" s="19" t="str">
        <f ca="1">IF(OR(NOT(ISNUMBER($F12)),NOT(ISNUMBER($G12)),NOT(ISNUMBER(Dashboard!$P$2)),NOT(ISNUMBER(Dashboard!$P$3)),$D12&lt;&gt;"Owner block"),"—",IF(MAX(0,MIN($G12,Dashboard!$P$3+1)-MAX($F12,Dashboard!$P$2))=0,"—",MAX(0,MIN($G12,Dashboard!$P$3+1)-MAX($F12,Dashboard!$P$2))))</f>
        <v>—</v>
      </c>
      <c r="V12" s="7" t="str">
        <f ca="1">IF($B12="",IF(COUNTA($C12:$G12,$I12:$K12,$S12)=0,"","⚠ no property — not counted"),IF(COUNTIF(Setup!$A$25:$A$36,$B12)=0,"⚠ property not in Setup",IF(AND($F12&lt;&gt;"",NOT(ISNUMBER($F12))),"⚠ check-in is not a real date",IF(AND($G12&lt;&gt;"",NOT(ISNUMBER($G12))),"⚠ check-out is not a real date",IF(AND($J12&lt;&gt;"",NOT(ISNUMBER($J12))),"⚠ booking value is not a number","OK")))))</f>
        <v>OK</v>
      </c>
      <c r="W12" s="21" t="str">
        <f t="shared" si="4"/>
        <v>—</v>
      </c>
    </row>
    <row r="13" spans="1:23" ht="16" x14ac:dyDescent="0.2">
      <c r="A13" s="30">
        <v>9</v>
      </c>
      <c r="B13" s="3" t="s">
        <v>34</v>
      </c>
      <c r="C13" s="3" t="s">
        <v>118</v>
      </c>
      <c r="D13" s="3" t="s">
        <v>115</v>
      </c>
      <c r="E13" s="3" t="s">
        <v>132</v>
      </c>
      <c r="F13" s="31">
        <f ca="1">IFERROR(DATE(YEAR(TODAY()),MONTH(TODAY()),3),"")</f>
        <v>46206</v>
      </c>
      <c r="G13" s="31">
        <f ca="1">IFERROR(DATE(YEAR(TODAY()),MONTH(TODAY()),9),"")</f>
        <v>46212</v>
      </c>
      <c r="H13" s="19">
        <f t="shared" ca="1" si="0"/>
        <v>6</v>
      </c>
      <c r="I13" s="32">
        <v>6</v>
      </c>
      <c r="J13" s="6">
        <v>890</v>
      </c>
      <c r="K13" s="33"/>
      <c r="L13" s="21">
        <f>IF(OR($B13="",NOT(ISNUMBER($J13)),$D13="Cancelled",$D13="Owner block"),"—",ROUND($J13*IF(ISNUMBER($K13),IF($K13&gt;1,$K13/100,$K13),IF(IFERROR(INDEX(Setup!$D$25:$D$36,MATCH($B13,Setup!$A$25:$A$36,0)),0)&gt;1,IFERROR(INDEX(Setup!$D$25:$D$36,MATCH($B13,Setup!$A$25:$A$36,0)),0)/100,IFERROR(INDEX(Setup!$D$25:$D$36,MATCH($B13,Setup!$A$25:$A$36,0)),0))),2))</f>
        <v>71.2</v>
      </c>
      <c r="M13" s="21">
        <f t="shared" si="1"/>
        <v>818.8</v>
      </c>
      <c r="N13" s="21">
        <f ca="1">IF(OR($B13="",$G13="",$D13="Cancelled"),"—",IFERROR(IF(INDEX(Setup!$E$25:$E$36,MATCH($B13,Setup!$A$25:$A$36,0))=0,"—",INDEX(Setup!$E$25:$E$36,MATCH($B13,Setup!$A$25:$A$36,0))),"—"))</f>
        <v>60</v>
      </c>
      <c r="O13" s="21">
        <f ca="1">IF(OR($B13="",$G13="",$D13="Cancelled"),"—",IFERROR(IF(INDEX(Setup!$F$25:$F$36,MATCH($B13,Setup!$A$25:$A$36,0))=0,"—",INDEX(Setup!$F$25:$F$36,MATCH($B13,Setup!$A$25:$A$36,0))),"—"))</f>
        <v>18</v>
      </c>
      <c r="P13" s="21">
        <f ca="1">IF(OR($B13="",$G13="",$D13="Cancelled",$D13="Owner block"),"—",IF(IFERROR(INDEX(Setup!$G$25:$G$36,MATCH($B13,Setup!$A$25:$A$36,0)),0)+IFERROR(INDEX(Setup!$H$25:$H$36,MATCH($B13,Setup!$A$25:$A$36,0)),0)*IF(ISNUMBER($H13),$H13,0)=0,"—",ROUND(IFERROR(INDEX(Setup!$G$25:$G$36,MATCH($B13,Setup!$A$25:$A$36,0)),0)+IFERROR(INDEX(Setup!$H$25:$H$36,MATCH($B13,Setup!$A$25:$A$36,0)),0)*IF(ISNUMBER($H13),$H13,0),2)))</f>
        <v>20</v>
      </c>
      <c r="Q13" s="21">
        <f t="shared" ca="1" si="2"/>
        <v>720.8</v>
      </c>
      <c r="R13" s="21">
        <f t="shared" ca="1" si="3"/>
        <v>120.13</v>
      </c>
      <c r="S13" s="3"/>
      <c r="T13" s="19">
        <f ca="1">IF(OR(NOT(ISNUMBER($F13)),NOT(ISNUMBER($G13)),NOT(ISNUMBER(Dashboard!$P$2)),NOT(ISNUMBER(Dashboard!$P$3)),$D13="Cancelled",$D13="Owner block"),"—",IF(MAX(0,MIN($G13,Dashboard!$P$3+1)-MAX($F13,Dashboard!$P$2))=0,"—",MAX(0,MIN($G13,Dashboard!$P$3+1)-MAX($F13,Dashboard!$P$2))))</f>
        <v>6</v>
      </c>
      <c r="U13" s="19" t="str">
        <f ca="1">IF(OR(NOT(ISNUMBER($F13)),NOT(ISNUMBER($G13)),NOT(ISNUMBER(Dashboard!$P$2)),NOT(ISNUMBER(Dashboard!$P$3)),$D13&lt;&gt;"Owner block"),"—",IF(MAX(0,MIN($G13,Dashboard!$P$3+1)-MAX($F13,Dashboard!$P$2))=0,"—",MAX(0,MIN($G13,Dashboard!$P$3+1)-MAX($F13,Dashboard!$P$2))))</f>
        <v>—</v>
      </c>
      <c r="V13" s="7" t="str">
        <f ca="1">IF($B13="",IF(COUNTA($C13:$G13,$I13:$K13,$S13)=0,"","⚠ no property — not counted"),IF(COUNTIF(Setup!$A$25:$A$36,$B13)=0,"⚠ property not in Setup",IF(AND($F13&lt;&gt;"",NOT(ISNUMBER($F13))),"⚠ check-in is not a real date",IF(AND($G13&lt;&gt;"",NOT(ISNUMBER($G13))),"⚠ check-out is not a real date",IF(AND($J13&lt;&gt;"",NOT(ISNUMBER($J13))),"⚠ booking value is not a number","OK")))))</f>
        <v>OK</v>
      </c>
      <c r="W13" s="21">
        <f t="shared" si="4"/>
        <v>890</v>
      </c>
    </row>
    <row r="14" spans="1:23" ht="48" x14ac:dyDescent="0.2">
      <c r="A14" s="30">
        <v>10</v>
      </c>
      <c r="B14" s="8" t="s">
        <v>34</v>
      </c>
      <c r="C14" s="8" t="s">
        <v>133</v>
      </c>
      <c r="D14" s="8" t="s">
        <v>134</v>
      </c>
      <c r="E14" s="8" t="s">
        <v>135</v>
      </c>
      <c r="F14" s="34">
        <f ca="1">IFERROR(DATE(YEAR(TODAY()),MONTH(TODAY()),11),"")</f>
        <v>46214</v>
      </c>
      <c r="G14" s="34">
        <f ca="1">IFERROR(DATE(YEAR(TODAY()),MONTH(TODAY()),14),"")</f>
        <v>46217</v>
      </c>
      <c r="H14" s="19">
        <f t="shared" ca="1" si="0"/>
        <v>3</v>
      </c>
      <c r="I14" s="35">
        <v>2</v>
      </c>
      <c r="J14" s="11"/>
      <c r="K14" s="36"/>
      <c r="L14" s="21" t="str">
        <f>IF(OR($B14="",NOT(ISNUMBER($J14)),$D14="Cancelled",$D14="Owner block"),"—",ROUND($J14*IF(ISNUMBER($K14),IF($K14&gt;1,$K14/100,$K14),IF(IFERROR(INDEX(Setup!$D$25:$D$36,MATCH($B14,Setup!$A$25:$A$36,0)),0)&gt;1,IFERROR(INDEX(Setup!$D$25:$D$36,MATCH($B14,Setup!$A$25:$A$36,0)),0)/100,IFERROR(INDEX(Setup!$D$25:$D$36,MATCH($B14,Setup!$A$25:$A$36,0)),0))),2))</f>
        <v>—</v>
      </c>
      <c r="M14" s="21" t="str">
        <f t="shared" si="1"/>
        <v>—</v>
      </c>
      <c r="N14" s="21">
        <f ca="1">IF(OR($B14="",$G14="",$D14="Cancelled"),"—",IFERROR(IF(INDEX(Setup!$E$25:$E$36,MATCH($B14,Setup!$A$25:$A$36,0))=0,"—",INDEX(Setup!$E$25:$E$36,MATCH($B14,Setup!$A$25:$A$36,0))),"—"))</f>
        <v>60</v>
      </c>
      <c r="O14" s="21">
        <f ca="1">IF(OR($B14="",$G14="",$D14="Cancelled"),"—",IFERROR(IF(INDEX(Setup!$F$25:$F$36,MATCH($B14,Setup!$A$25:$A$36,0))=0,"—",INDEX(Setup!$F$25:$F$36,MATCH($B14,Setup!$A$25:$A$36,0))),"—"))</f>
        <v>18</v>
      </c>
      <c r="P14" s="21" t="str">
        <f ca="1">IF(OR($B14="",$G14="",$D14="Cancelled",$D14="Owner block"),"—",IF(IFERROR(INDEX(Setup!$G$25:$G$36,MATCH($B14,Setup!$A$25:$A$36,0)),0)+IFERROR(INDEX(Setup!$H$25:$H$36,MATCH($B14,Setup!$A$25:$A$36,0)),0)*IF(ISNUMBER($H14),$H14,0)=0,"—",ROUND(IFERROR(INDEX(Setup!$G$25:$G$36,MATCH($B14,Setup!$A$25:$A$36,0)),0)+IFERROR(INDEX(Setup!$H$25:$H$36,MATCH($B14,Setup!$A$25:$A$36,0)),0)*IF(ISNUMBER($H14),$H14,0),2)))</f>
        <v>—</v>
      </c>
      <c r="Q14" s="21">
        <f t="shared" ca="1" si="2"/>
        <v>-78</v>
      </c>
      <c r="R14" s="21">
        <f t="shared" ca="1" si="3"/>
        <v>-26</v>
      </c>
      <c r="S14" s="8" t="s">
        <v>136</v>
      </c>
      <c r="T14" s="19" t="str">
        <f ca="1">IF(OR(NOT(ISNUMBER($F14)),NOT(ISNUMBER($G14)),NOT(ISNUMBER(Dashboard!$P$2)),NOT(ISNUMBER(Dashboard!$P$3)),$D14="Cancelled",$D14="Owner block"),"—",IF(MAX(0,MIN($G14,Dashboard!$P$3+1)-MAX($F14,Dashboard!$P$2))=0,"—",MAX(0,MIN($G14,Dashboard!$P$3+1)-MAX($F14,Dashboard!$P$2))))</f>
        <v>—</v>
      </c>
      <c r="U14" s="19">
        <f ca="1">IF(OR(NOT(ISNUMBER($F14)),NOT(ISNUMBER($G14)),NOT(ISNUMBER(Dashboard!$P$2)),NOT(ISNUMBER(Dashboard!$P$3)),$D14&lt;&gt;"Owner block"),"—",IF(MAX(0,MIN($G14,Dashboard!$P$3+1)-MAX($F14,Dashboard!$P$2))=0,"—",MAX(0,MIN($G14,Dashboard!$P$3+1)-MAX($F14,Dashboard!$P$2))))</f>
        <v>3</v>
      </c>
      <c r="V14" s="7" t="str">
        <f ca="1">IF($B14="",IF(COUNTA($C14:$G14,$I14:$K14,$S14)=0,"","⚠ no property — not counted"),IF(COUNTIF(Setup!$A$25:$A$36,$B14)=0,"⚠ property not in Setup",IF(AND($F14&lt;&gt;"",NOT(ISNUMBER($F14))),"⚠ check-in is not a real date",IF(AND($G14&lt;&gt;"",NOT(ISNUMBER($G14))),"⚠ check-out is not a real date",IF(AND($J14&lt;&gt;"",NOT(ISNUMBER($J14))),"⚠ booking value is not a number","OK")))))</f>
        <v>OK</v>
      </c>
      <c r="W14" s="21" t="str">
        <f t="shared" si="4"/>
        <v>—</v>
      </c>
    </row>
    <row r="15" spans="1:23" ht="16" x14ac:dyDescent="0.2">
      <c r="A15" s="30">
        <v>11</v>
      </c>
      <c r="B15" s="3" t="s">
        <v>34</v>
      </c>
      <c r="C15" s="3" t="s">
        <v>118</v>
      </c>
      <c r="D15" s="3" t="s">
        <v>120</v>
      </c>
      <c r="E15" s="3" t="s">
        <v>137</v>
      </c>
      <c r="F15" s="31">
        <f ca="1">IFERROR(TODAY()+5,"")</f>
        <v>46237</v>
      </c>
      <c r="G15" s="31">
        <f ca="1">IFERROR(TODAY()+9,"")</f>
        <v>46241</v>
      </c>
      <c r="H15" s="19">
        <f t="shared" ca="1" si="0"/>
        <v>4</v>
      </c>
      <c r="I15" s="32">
        <v>5</v>
      </c>
      <c r="J15" s="6">
        <v>940</v>
      </c>
      <c r="K15" s="33"/>
      <c r="L15" s="21">
        <f>IF(OR($B15="",NOT(ISNUMBER($J15)),$D15="Cancelled",$D15="Owner block"),"—",ROUND($J15*IF(ISNUMBER($K15),IF($K15&gt;1,$K15/100,$K15),IF(IFERROR(INDEX(Setup!$D$25:$D$36,MATCH($B15,Setup!$A$25:$A$36,0)),0)&gt;1,IFERROR(INDEX(Setup!$D$25:$D$36,MATCH($B15,Setup!$A$25:$A$36,0)),0)/100,IFERROR(INDEX(Setup!$D$25:$D$36,MATCH($B15,Setup!$A$25:$A$36,0)),0))),2))</f>
        <v>75.2</v>
      </c>
      <c r="M15" s="21">
        <f t="shared" si="1"/>
        <v>864.8</v>
      </c>
      <c r="N15" s="21">
        <f ca="1">IF(OR($B15="",$G15="",$D15="Cancelled"),"—",IFERROR(IF(INDEX(Setup!$E$25:$E$36,MATCH($B15,Setup!$A$25:$A$36,0))=0,"—",INDEX(Setup!$E$25:$E$36,MATCH($B15,Setup!$A$25:$A$36,0))),"—"))</f>
        <v>60</v>
      </c>
      <c r="O15" s="21">
        <f ca="1">IF(OR($B15="",$G15="",$D15="Cancelled"),"—",IFERROR(IF(INDEX(Setup!$F$25:$F$36,MATCH($B15,Setup!$A$25:$A$36,0))=0,"—",INDEX(Setup!$F$25:$F$36,MATCH($B15,Setup!$A$25:$A$36,0))),"—"))</f>
        <v>18</v>
      </c>
      <c r="P15" s="21">
        <f ca="1">IF(OR($B15="",$G15="",$D15="Cancelled",$D15="Owner block"),"—",IF(IFERROR(INDEX(Setup!$G$25:$G$36,MATCH($B15,Setup!$A$25:$A$36,0)),0)+IFERROR(INDEX(Setup!$H$25:$H$36,MATCH($B15,Setup!$A$25:$A$36,0)),0)*IF(ISNUMBER($H15),$H15,0)=0,"—",ROUND(IFERROR(INDEX(Setup!$G$25:$G$36,MATCH($B15,Setup!$A$25:$A$36,0)),0)+IFERROR(INDEX(Setup!$H$25:$H$36,MATCH($B15,Setup!$A$25:$A$36,0)),0)*IF(ISNUMBER($H15),$H15,0),2)))</f>
        <v>16</v>
      </c>
      <c r="Q15" s="21">
        <f t="shared" ca="1" si="2"/>
        <v>770.8</v>
      </c>
      <c r="R15" s="21">
        <f t="shared" ca="1" si="3"/>
        <v>192.7</v>
      </c>
      <c r="S15" s="3"/>
      <c r="T15" s="19" t="str">
        <f ca="1">IF(OR(NOT(ISNUMBER($F15)),NOT(ISNUMBER($G15)),NOT(ISNUMBER(Dashboard!$P$2)),NOT(ISNUMBER(Dashboard!$P$3)),$D15="Cancelled",$D15="Owner block"),"—",IF(MAX(0,MIN($G15,Dashboard!$P$3+1)-MAX($F15,Dashboard!$P$2))=0,"—",MAX(0,MIN($G15,Dashboard!$P$3+1)-MAX($F15,Dashboard!$P$2))))</f>
        <v>—</v>
      </c>
      <c r="U15" s="19" t="str">
        <f ca="1">IF(OR(NOT(ISNUMBER($F15)),NOT(ISNUMBER($G15)),NOT(ISNUMBER(Dashboard!$P$2)),NOT(ISNUMBER(Dashboard!$P$3)),$D15&lt;&gt;"Owner block"),"—",IF(MAX(0,MIN($G15,Dashboard!$P$3+1)-MAX($F15,Dashboard!$P$2))=0,"—",MAX(0,MIN($G15,Dashboard!$P$3+1)-MAX($F15,Dashboard!$P$2))))</f>
        <v>—</v>
      </c>
      <c r="V15" s="7" t="str">
        <f ca="1">IF($B15="",IF(COUNTA($C15:$G15,$I15:$K15,$S15)=0,"","⚠ no property — not counted"),IF(COUNTIF(Setup!$A$25:$A$36,$B15)=0,"⚠ property not in Setup",IF(AND($F15&lt;&gt;"",NOT(ISNUMBER($F15))),"⚠ check-in is not a real date",IF(AND($G15&lt;&gt;"",NOT(ISNUMBER($G15))),"⚠ check-out is not a real date",IF(AND($J15&lt;&gt;"",NOT(ISNUMBER($J15))),"⚠ booking value is not a number","OK")))))</f>
        <v>OK</v>
      </c>
      <c r="W15" s="21">
        <f t="shared" si="4"/>
        <v>940</v>
      </c>
    </row>
    <row r="16" spans="1:23" ht="32" x14ac:dyDescent="0.2">
      <c r="A16" s="30">
        <v>12</v>
      </c>
      <c r="B16" s="8" t="s">
        <v>30</v>
      </c>
      <c r="C16" s="8" t="s">
        <v>114</v>
      </c>
      <c r="D16" s="8" t="s">
        <v>115</v>
      </c>
      <c r="E16" s="8" t="s">
        <v>138</v>
      </c>
      <c r="F16" s="34">
        <f ca="1">IFERROR(DATE(YEAR(TODAY()),MONTH(TODAY()),-2),"")</f>
        <v>46201</v>
      </c>
      <c r="G16" s="34">
        <f ca="1">IFERROR(DATE(YEAR(TODAY()),MONTH(TODAY()),3),"")</f>
        <v>46206</v>
      </c>
      <c r="H16" s="19">
        <f t="shared" ca="1" si="0"/>
        <v>5</v>
      </c>
      <c r="I16" s="35">
        <v>2</v>
      </c>
      <c r="J16" s="11">
        <v>520</v>
      </c>
      <c r="K16" s="36"/>
      <c r="L16" s="21">
        <f>IF(OR($B16="",NOT(ISNUMBER($J16)),$D16="Cancelled",$D16="Owner block"),"—",ROUND($J16*IF(ISNUMBER($K16),IF($K16&gt;1,$K16/100,$K16),IF(IFERROR(INDEX(Setup!$D$25:$D$36,MATCH($B16,Setup!$A$25:$A$36,0)),0)&gt;1,IFERROR(INDEX(Setup!$D$25:$D$36,MATCH($B16,Setup!$A$25:$A$36,0)),0)/100,IFERROR(INDEX(Setup!$D$25:$D$36,MATCH($B16,Setup!$A$25:$A$36,0)),0))),2))</f>
        <v>15.6</v>
      </c>
      <c r="M16" s="21">
        <f t="shared" si="1"/>
        <v>504.4</v>
      </c>
      <c r="N16" s="21">
        <f ca="1">IF(OR($B16="",$G16="",$D16="Cancelled"),"—",IFERROR(IF(INDEX(Setup!$E$25:$E$36,MATCH($B16,Setup!$A$25:$A$36,0))=0,"—",INDEX(Setup!$E$25:$E$36,MATCH($B16,Setup!$A$25:$A$36,0))),"—"))</f>
        <v>45</v>
      </c>
      <c r="O16" s="21">
        <f ca="1">IF(OR($B16="",$G16="",$D16="Cancelled"),"—",IFERROR(IF(INDEX(Setup!$F$25:$F$36,MATCH($B16,Setup!$A$25:$A$36,0))=0,"—",INDEX(Setup!$F$25:$F$36,MATCH($B16,Setup!$A$25:$A$36,0))),"—"))</f>
        <v>12</v>
      </c>
      <c r="P16" s="21">
        <f ca="1">IF(OR($B16="",$G16="",$D16="Cancelled",$D16="Owner block"),"—",IF(IFERROR(INDEX(Setup!$G$25:$G$36,MATCH($B16,Setup!$A$25:$A$36,0)),0)+IFERROR(INDEX(Setup!$H$25:$H$36,MATCH($B16,Setup!$A$25:$A$36,0)),0)*IF(ISNUMBER($H16),$H16,0)=0,"—",ROUND(IFERROR(INDEX(Setup!$G$25:$G$36,MATCH($B16,Setup!$A$25:$A$36,0)),0)+IFERROR(INDEX(Setup!$H$25:$H$36,MATCH($B16,Setup!$A$25:$A$36,0)),0)*IF(ISNUMBER($H16),$H16,0),2)))</f>
        <v>13.5</v>
      </c>
      <c r="Q16" s="21">
        <f t="shared" ca="1" si="2"/>
        <v>433.9</v>
      </c>
      <c r="R16" s="21">
        <f t="shared" ca="1" si="3"/>
        <v>86.78</v>
      </c>
      <c r="S16" s="8" t="s">
        <v>139</v>
      </c>
      <c r="T16" s="19">
        <f ca="1">IF(OR(NOT(ISNUMBER($F16)),NOT(ISNUMBER($G16)),NOT(ISNUMBER(Dashboard!$P$2)),NOT(ISNUMBER(Dashboard!$P$3)),$D16="Cancelled",$D16="Owner block"),"—",IF(MAX(0,MIN($G16,Dashboard!$P$3+1)-MAX($F16,Dashboard!$P$2))=0,"—",MAX(0,MIN($G16,Dashboard!$P$3+1)-MAX($F16,Dashboard!$P$2))))</f>
        <v>2</v>
      </c>
      <c r="U16" s="19" t="str">
        <f ca="1">IF(OR(NOT(ISNUMBER($F16)),NOT(ISNUMBER($G16)),NOT(ISNUMBER(Dashboard!$P$2)),NOT(ISNUMBER(Dashboard!$P$3)),$D16&lt;&gt;"Owner block"),"—",IF(MAX(0,MIN($G16,Dashboard!$P$3+1)-MAX($F16,Dashboard!$P$2))=0,"—",MAX(0,MIN($G16,Dashboard!$P$3+1)-MAX($F16,Dashboard!$P$2))))</f>
        <v>—</v>
      </c>
      <c r="V16" s="7" t="str">
        <f ca="1">IF($B16="",IF(COUNTA($C16:$G16,$I16:$K16,$S16)=0,"","⚠ no property — not counted"),IF(COUNTIF(Setup!$A$25:$A$36,$B16)=0,"⚠ property not in Setup",IF(AND($F16&lt;&gt;"",NOT(ISNUMBER($F16))),"⚠ check-in is not a real date",IF(AND($G16&lt;&gt;"",NOT(ISNUMBER($G16))),"⚠ check-out is not a real date",IF(AND($J16&lt;&gt;"",NOT(ISNUMBER($J16))),"⚠ booking value is not a number","OK")))))</f>
        <v>OK</v>
      </c>
      <c r="W16" s="21">
        <f t="shared" si="4"/>
        <v>520</v>
      </c>
    </row>
    <row r="17" spans="1:23" x14ac:dyDescent="0.2">
      <c r="A17" s="30">
        <v>13</v>
      </c>
      <c r="B17" s="3"/>
      <c r="C17" s="3"/>
      <c r="D17" s="3"/>
      <c r="E17" s="3"/>
      <c r="F17" s="31"/>
      <c r="G17" s="31"/>
      <c r="H17" s="19" t="str">
        <f t="shared" si="0"/>
        <v>—</v>
      </c>
      <c r="I17" s="32"/>
      <c r="J17" s="6"/>
      <c r="K17" s="33"/>
      <c r="L17" s="21" t="str">
        <f>IF(OR($B17="",NOT(ISNUMBER($J17)),$D17="Cancelled",$D17="Owner block"),"—",ROUND($J17*IF(ISNUMBER($K17),IF($K17&gt;1,$K17/100,$K17),IF(IFERROR(INDEX(Setup!$D$25:$D$36,MATCH($B17,Setup!$A$25:$A$36,0)),0)&gt;1,IFERROR(INDEX(Setup!$D$25:$D$36,MATCH($B17,Setup!$A$25:$A$36,0)),0)/100,IFERROR(INDEX(Setup!$D$25:$D$36,MATCH($B17,Setup!$A$25:$A$36,0)),0))),2))</f>
        <v>—</v>
      </c>
      <c r="M17" s="21" t="str">
        <f t="shared" si="1"/>
        <v>—</v>
      </c>
      <c r="N17" s="21" t="str">
        <f>IF(OR($B17="",$G17="",$D17="Cancelled"),"—",IFERROR(IF(INDEX(Setup!$E$25:$E$36,MATCH($B17,Setup!$A$25:$A$36,0))=0,"—",INDEX(Setup!$E$25:$E$36,MATCH($B17,Setup!$A$25:$A$36,0))),"—"))</f>
        <v>—</v>
      </c>
      <c r="O17" s="21" t="str">
        <f>IF(OR($B17="",$G17="",$D17="Cancelled"),"—",IFERROR(IF(INDEX(Setup!$F$25:$F$36,MATCH($B17,Setup!$A$25:$A$36,0))=0,"—",INDEX(Setup!$F$25:$F$36,MATCH($B17,Setup!$A$25:$A$36,0))),"—"))</f>
        <v>—</v>
      </c>
      <c r="P17" s="21" t="str">
        <f>IF(OR($B17="",$G17="",$D17="Cancelled",$D17="Owner block"),"—",IF(IFERROR(INDEX(Setup!$G$25:$G$36,MATCH($B17,Setup!$A$25:$A$36,0)),0)+IFERROR(INDEX(Setup!$H$25:$H$36,MATCH($B17,Setup!$A$25:$A$36,0)),0)*IF(ISNUMBER($H17),$H17,0)=0,"—",ROUND(IFERROR(INDEX(Setup!$G$25:$G$36,MATCH($B17,Setup!$A$25:$A$36,0)),0)+IFERROR(INDEX(Setup!$H$25:$H$36,MATCH($B17,Setup!$A$25:$A$36,0)),0)*IF(ISNUMBER($H17),$H17,0),2)))</f>
        <v>—</v>
      </c>
      <c r="Q17" s="21" t="str">
        <f t="shared" si="2"/>
        <v>—</v>
      </c>
      <c r="R17" s="21" t="str">
        <f t="shared" si="3"/>
        <v>—</v>
      </c>
      <c r="S17" s="3"/>
      <c r="T17" s="19" t="str">
        <f ca="1">IF(OR(NOT(ISNUMBER($F17)),NOT(ISNUMBER($G17)),NOT(ISNUMBER(Dashboard!$P$2)),NOT(ISNUMBER(Dashboard!$P$3)),$D17="Cancelled",$D17="Owner block"),"—",IF(MAX(0,MIN($G17,Dashboard!$P$3+1)-MAX($F17,Dashboard!$P$2))=0,"—",MAX(0,MIN($G17,Dashboard!$P$3+1)-MAX($F17,Dashboard!$P$2))))</f>
        <v>—</v>
      </c>
      <c r="U17" s="19" t="str">
        <f ca="1">IF(OR(NOT(ISNUMBER($F17)),NOT(ISNUMBER($G17)),NOT(ISNUMBER(Dashboard!$P$2)),NOT(ISNUMBER(Dashboard!$P$3)),$D17&lt;&gt;"Owner block"),"—",IF(MAX(0,MIN($G17,Dashboard!$P$3+1)-MAX($F17,Dashboard!$P$2))=0,"—",MAX(0,MIN($G17,Dashboard!$P$3+1)-MAX($F17,Dashboard!$P$2))))</f>
        <v>—</v>
      </c>
      <c r="V17" s="7" t="str">
        <f>IF($B17="",IF(COUNTA($C17:$G17,$I17:$K17,$S17)=0,"","⚠ no property — not counted"),IF(COUNTIF(Setup!$A$25:$A$36,$B17)=0,"⚠ property not in Setup",IF(AND($F17&lt;&gt;"",NOT(ISNUMBER($F17))),"⚠ check-in is not a real date",IF(AND($G17&lt;&gt;"",NOT(ISNUMBER($G17))),"⚠ check-out is not a real date",IF(AND($J17&lt;&gt;"",NOT(ISNUMBER($J17))),"⚠ booking value is not a number","OK")))))</f>
        <v/>
      </c>
      <c r="W17" s="21" t="str">
        <f t="shared" si="4"/>
        <v>—</v>
      </c>
    </row>
    <row r="18" spans="1:23" x14ac:dyDescent="0.2">
      <c r="A18" s="30">
        <v>14</v>
      </c>
      <c r="B18" s="8"/>
      <c r="C18" s="8"/>
      <c r="D18" s="8"/>
      <c r="E18" s="8"/>
      <c r="F18" s="34"/>
      <c r="G18" s="34"/>
      <c r="H18" s="19" t="str">
        <f t="shared" si="0"/>
        <v>—</v>
      </c>
      <c r="I18" s="35"/>
      <c r="J18" s="11"/>
      <c r="K18" s="36"/>
      <c r="L18" s="21" t="str">
        <f>IF(OR($B18="",NOT(ISNUMBER($J18)),$D18="Cancelled",$D18="Owner block"),"—",ROUND($J18*IF(ISNUMBER($K18),IF($K18&gt;1,$K18/100,$K18),IF(IFERROR(INDEX(Setup!$D$25:$D$36,MATCH($B18,Setup!$A$25:$A$36,0)),0)&gt;1,IFERROR(INDEX(Setup!$D$25:$D$36,MATCH($B18,Setup!$A$25:$A$36,0)),0)/100,IFERROR(INDEX(Setup!$D$25:$D$36,MATCH($B18,Setup!$A$25:$A$36,0)),0))),2))</f>
        <v>—</v>
      </c>
      <c r="M18" s="21" t="str">
        <f t="shared" si="1"/>
        <v>—</v>
      </c>
      <c r="N18" s="21" t="str">
        <f>IF(OR($B18="",$G18="",$D18="Cancelled"),"—",IFERROR(IF(INDEX(Setup!$E$25:$E$36,MATCH($B18,Setup!$A$25:$A$36,0))=0,"—",INDEX(Setup!$E$25:$E$36,MATCH($B18,Setup!$A$25:$A$36,0))),"—"))</f>
        <v>—</v>
      </c>
      <c r="O18" s="21" t="str">
        <f>IF(OR($B18="",$G18="",$D18="Cancelled"),"—",IFERROR(IF(INDEX(Setup!$F$25:$F$36,MATCH($B18,Setup!$A$25:$A$36,0))=0,"—",INDEX(Setup!$F$25:$F$36,MATCH($B18,Setup!$A$25:$A$36,0))),"—"))</f>
        <v>—</v>
      </c>
      <c r="P18" s="21" t="str">
        <f>IF(OR($B18="",$G18="",$D18="Cancelled",$D18="Owner block"),"—",IF(IFERROR(INDEX(Setup!$G$25:$G$36,MATCH($B18,Setup!$A$25:$A$36,0)),0)+IFERROR(INDEX(Setup!$H$25:$H$36,MATCH($B18,Setup!$A$25:$A$36,0)),0)*IF(ISNUMBER($H18),$H18,0)=0,"—",ROUND(IFERROR(INDEX(Setup!$G$25:$G$36,MATCH($B18,Setup!$A$25:$A$36,0)),0)+IFERROR(INDEX(Setup!$H$25:$H$36,MATCH($B18,Setup!$A$25:$A$36,0)),0)*IF(ISNUMBER($H18),$H18,0),2)))</f>
        <v>—</v>
      </c>
      <c r="Q18" s="21" t="str">
        <f t="shared" si="2"/>
        <v>—</v>
      </c>
      <c r="R18" s="21" t="str">
        <f t="shared" si="3"/>
        <v>—</v>
      </c>
      <c r="S18" s="8"/>
      <c r="T18" s="19" t="str">
        <f ca="1">IF(OR(NOT(ISNUMBER($F18)),NOT(ISNUMBER($G18)),NOT(ISNUMBER(Dashboard!$P$2)),NOT(ISNUMBER(Dashboard!$P$3)),$D18="Cancelled",$D18="Owner block"),"—",IF(MAX(0,MIN($G18,Dashboard!$P$3+1)-MAX($F18,Dashboard!$P$2))=0,"—",MAX(0,MIN($G18,Dashboard!$P$3+1)-MAX($F18,Dashboard!$P$2))))</f>
        <v>—</v>
      </c>
      <c r="U18" s="19" t="str">
        <f ca="1">IF(OR(NOT(ISNUMBER($F18)),NOT(ISNUMBER($G18)),NOT(ISNUMBER(Dashboard!$P$2)),NOT(ISNUMBER(Dashboard!$P$3)),$D18&lt;&gt;"Owner block"),"—",IF(MAX(0,MIN($G18,Dashboard!$P$3+1)-MAX($F18,Dashboard!$P$2))=0,"—",MAX(0,MIN($G18,Dashboard!$P$3+1)-MAX($F18,Dashboard!$P$2))))</f>
        <v>—</v>
      </c>
      <c r="V18" s="7" t="str">
        <f>IF($B18="",IF(COUNTA($C18:$G18,$I18:$K18,$S18)=0,"","⚠ no property — not counted"),IF(COUNTIF(Setup!$A$25:$A$36,$B18)=0,"⚠ property not in Setup",IF(AND($F18&lt;&gt;"",NOT(ISNUMBER($F18))),"⚠ check-in is not a real date",IF(AND($G18&lt;&gt;"",NOT(ISNUMBER($G18))),"⚠ check-out is not a real date",IF(AND($J18&lt;&gt;"",NOT(ISNUMBER($J18))),"⚠ booking value is not a number","OK")))))</f>
        <v/>
      </c>
      <c r="W18" s="21" t="str">
        <f t="shared" si="4"/>
        <v>—</v>
      </c>
    </row>
    <row r="19" spans="1:23" x14ac:dyDescent="0.2">
      <c r="A19" s="30">
        <v>15</v>
      </c>
      <c r="B19" s="3"/>
      <c r="C19" s="3"/>
      <c r="D19" s="3"/>
      <c r="E19" s="3"/>
      <c r="F19" s="31"/>
      <c r="G19" s="31"/>
      <c r="H19" s="19" t="str">
        <f t="shared" si="0"/>
        <v>—</v>
      </c>
      <c r="I19" s="32"/>
      <c r="J19" s="6"/>
      <c r="K19" s="33"/>
      <c r="L19" s="21" t="str">
        <f>IF(OR($B19="",NOT(ISNUMBER($J19)),$D19="Cancelled",$D19="Owner block"),"—",ROUND($J19*IF(ISNUMBER($K19),IF($K19&gt;1,$K19/100,$K19),IF(IFERROR(INDEX(Setup!$D$25:$D$36,MATCH($B19,Setup!$A$25:$A$36,0)),0)&gt;1,IFERROR(INDEX(Setup!$D$25:$D$36,MATCH($B19,Setup!$A$25:$A$36,0)),0)/100,IFERROR(INDEX(Setup!$D$25:$D$36,MATCH($B19,Setup!$A$25:$A$36,0)),0))),2))</f>
        <v>—</v>
      </c>
      <c r="M19" s="21" t="str">
        <f t="shared" si="1"/>
        <v>—</v>
      </c>
      <c r="N19" s="21" t="str">
        <f>IF(OR($B19="",$G19="",$D19="Cancelled"),"—",IFERROR(IF(INDEX(Setup!$E$25:$E$36,MATCH($B19,Setup!$A$25:$A$36,0))=0,"—",INDEX(Setup!$E$25:$E$36,MATCH($B19,Setup!$A$25:$A$36,0))),"—"))</f>
        <v>—</v>
      </c>
      <c r="O19" s="21" t="str">
        <f>IF(OR($B19="",$G19="",$D19="Cancelled"),"—",IFERROR(IF(INDEX(Setup!$F$25:$F$36,MATCH($B19,Setup!$A$25:$A$36,0))=0,"—",INDEX(Setup!$F$25:$F$36,MATCH($B19,Setup!$A$25:$A$36,0))),"—"))</f>
        <v>—</v>
      </c>
      <c r="P19" s="21" t="str">
        <f>IF(OR($B19="",$G19="",$D19="Cancelled",$D19="Owner block"),"—",IF(IFERROR(INDEX(Setup!$G$25:$G$36,MATCH($B19,Setup!$A$25:$A$36,0)),0)+IFERROR(INDEX(Setup!$H$25:$H$36,MATCH($B19,Setup!$A$25:$A$36,0)),0)*IF(ISNUMBER($H19),$H19,0)=0,"—",ROUND(IFERROR(INDEX(Setup!$G$25:$G$36,MATCH($B19,Setup!$A$25:$A$36,0)),0)+IFERROR(INDEX(Setup!$H$25:$H$36,MATCH($B19,Setup!$A$25:$A$36,0)),0)*IF(ISNUMBER($H19),$H19,0),2)))</f>
        <v>—</v>
      </c>
      <c r="Q19" s="21" t="str">
        <f t="shared" si="2"/>
        <v>—</v>
      </c>
      <c r="R19" s="21" t="str">
        <f t="shared" si="3"/>
        <v>—</v>
      </c>
      <c r="S19" s="3"/>
      <c r="T19" s="19" t="str">
        <f ca="1">IF(OR(NOT(ISNUMBER($F19)),NOT(ISNUMBER($G19)),NOT(ISNUMBER(Dashboard!$P$2)),NOT(ISNUMBER(Dashboard!$P$3)),$D19="Cancelled",$D19="Owner block"),"—",IF(MAX(0,MIN($G19,Dashboard!$P$3+1)-MAX($F19,Dashboard!$P$2))=0,"—",MAX(0,MIN($G19,Dashboard!$P$3+1)-MAX($F19,Dashboard!$P$2))))</f>
        <v>—</v>
      </c>
      <c r="U19" s="19" t="str">
        <f ca="1">IF(OR(NOT(ISNUMBER($F19)),NOT(ISNUMBER($G19)),NOT(ISNUMBER(Dashboard!$P$2)),NOT(ISNUMBER(Dashboard!$P$3)),$D19&lt;&gt;"Owner block"),"—",IF(MAX(0,MIN($G19,Dashboard!$P$3+1)-MAX($F19,Dashboard!$P$2))=0,"—",MAX(0,MIN($G19,Dashboard!$P$3+1)-MAX($F19,Dashboard!$P$2))))</f>
        <v>—</v>
      </c>
      <c r="V19" s="7" t="str">
        <f>IF($B19="",IF(COUNTA($C19:$G19,$I19:$K19,$S19)=0,"","⚠ no property — not counted"),IF(COUNTIF(Setup!$A$25:$A$36,$B19)=0,"⚠ property not in Setup",IF(AND($F19&lt;&gt;"",NOT(ISNUMBER($F19))),"⚠ check-in is not a real date",IF(AND($G19&lt;&gt;"",NOT(ISNUMBER($G19))),"⚠ check-out is not a real date",IF(AND($J19&lt;&gt;"",NOT(ISNUMBER($J19))),"⚠ booking value is not a number","OK")))))</f>
        <v/>
      </c>
      <c r="W19" s="21" t="str">
        <f t="shared" si="4"/>
        <v>—</v>
      </c>
    </row>
    <row r="20" spans="1:23" x14ac:dyDescent="0.2">
      <c r="A20" s="30">
        <v>16</v>
      </c>
      <c r="B20" s="8"/>
      <c r="C20" s="8"/>
      <c r="D20" s="8"/>
      <c r="E20" s="8"/>
      <c r="F20" s="34"/>
      <c r="G20" s="34"/>
      <c r="H20" s="19" t="str">
        <f t="shared" si="0"/>
        <v>—</v>
      </c>
      <c r="I20" s="35"/>
      <c r="J20" s="11"/>
      <c r="K20" s="36"/>
      <c r="L20" s="21" t="str">
        <f>IF(OR($B20="",NOT(ISNUMBER($J20)),$D20="Cancelled",$D20="Owner block"),"—",ROUND($J20*IF(ISNUMBER($K20),IF($K20&gt;1,$K20/100,$K20),IF(IFERROR(INDEX(Setup!$D$25:$D$36,MATCH($B20,Setup!$A$25:$A$36,0)),0)&gt;1,IFERROR(INDEX(Setup!$D$25:$D$36,MATCH($B20,Setup!$A$25:$A$36,0)),0)/100,IFERROR(INDEX(Setup!$D$25:$D$36,MATCH($B20,Setup!$A$25:$A$36,0)),0))),2))</f>
        <v>—</v>
      </c>
      <c r="M20" s="21" t="str">
        <f t="shared" si="1"/>
        <v>—</v>
      </c>
      <c r="N20" s="21" t="str">
        <f>IF(OR($B20="",$G20="",$D20="Cancelled"),"—",IFERROR(IF(INDEX(Setup!$E$25:$E$36,MATCH($B20,Setup!$A$25:$A$36,0))=0,"—",INDEX(Setup!$E$25:$E$36,MATCH($B20,Setup!$A$25:$A$36,0))),"—"))</f>
        <v>—</v>
      </c>
      <c r="O20" s="21" t="str">
        <f>IF(OR($B20="",$G20="",$D20="Cancelled"),"—",IFERROR(IF(INDEX(Setup!$F$25:$F$36,MATCH($B20,Setup!$A$25:$A$36,0))=0,"—",INDEX(Setup!$F$25:$F$36,MATCH($B20,Setup!$A$25:$A$36,0))),"—"))</f>
        <v>—</v>
      </c>
      <c r="P20" s="21" t="str">
        <f>IF(OR($B20="",$G20="",$D20="Cancelled",$D20="Owner block"),"—",IF(IFERROR(INDEX(Setup!$G$25:$G$36,MATCH($B20,Setup!$A$25:$A$36,0)),0)+IFERROR(INDEX(Setup!$H$25:$H$36,MATCH($B20,Setup!$A$25:$A$36,0)),0)*IF(ISNUMBER($H20),$H20,0)=0,"—",ROUND(IFERROR(INDEX(Setup!$G$25:$G$36,MATCH($B20,Setup!$A$25:$A$36,0)),0)+IFERROR(INDEX(Setup!$H$25:$H$36,MATCH($B20,Setup!$A$25:$A$36,0)),0)*IF(ISNUMBER($H20),$H20,0),2)))</f>
        <v>—</v>
      </c>
      <c r="Q20" s="21" t="str">
        <f t="shared" si="2"/>
        <v>—</v>
      </c>
      <c r="R20" s="21" t="str">
        <f t="shared" si="3"/>
        <v>—</v>
      </c>
      <c r="S20" s="8"/>
      <c r="T20" s="19" t="str">
        <f ca="1">IF(OR(NOT(ISNUMBER($F20)),NOT(ISNUMBER($G20)),NOT(ISNUMBER(Dashboard!$P$2)),NOT(ISNUMBER(Dashboard!$P$3)),$D20="Cancelled",$D20="Owner block"),"—",IF(MAX(0,MIN($G20,Dashboard!$P$3+1)-MAX($F20,Dashboard!$P$2))=0,"—",MAX(0,MIN($G20,Dashboard!$P$3+1)-MAX($F20,Dashboard!$P$2))))</f>
        <v>—</v>
      </c>
      <c r="U20" s="19" t="str">
        <f ca="1">IF(OR(NOT(ISNUMBER($F20)),NOT(ISNUMBER($G20)),NOT(ISNUMBER(Dashboard!$P$2)),NOT(ISNUMBER(Dashboard!$P$3)),$D20&lt;&gt;"Owner block"),"—",IF(MAX(0,MIN($G20,Dashboard!$P$3+1)-MAX($F20,Dashboard!$P$2))=0,"—",MAX(0,MIN($G20,Dashboard!$P$3+1)-MAX($F20,Dashboard!$P$2))))</f>
        <v>—</v>
      </c>
      <c r="V20" s="7" t="str">
        <f>IF($B20="",IF(COUNTA($C20:$G20,$I20:$K20,$S20)=0,"","⚠ no property — not counted"),IF(COUNTIF(Setup!$A$25:$A$36,$B20)=0,"⚠ property not in Setup",IF(AND($F20&lt;&gt;"",NOT(ISNUMBER($F20))),"⚠ check-in is not a real date",IF(AND($G20&lt;&gt;"",NOT(ISNUMBER($G20))),"⚠ check-out is not a real date",IF(AND($J20&lt;&gt;"",NOT(ISNUMBER($J20))),"⚠ booking value is not a number","OK")))))</f>
        <v/>
      </c>
      <c r="W20" s="21" t="str">
        <f t="shared" si="4"/>
        <v>—</v>
      </c>
    </row>
    <row r="21" spans="1:23" x14ac:dyDescent="0.2">
      <c r="A21" s="30">
        <v>17</v>
      </c>
      <c r="B21" s="3"/>
      <c r="C21" s="3"/>
      <c r="D21" s="3"/>
      <c r="E21" s="3"/>
      <c r="F21" s="31"/>
      <c r="G21" s="31"/>
      <c r="H21" s="19" t="str">
        <f t="shared" si="0"/>
        <v>—</v>
      </c>
      <c r="I21" s="32"/>
      <c r="J21" s="6"/>
      <c r="K21" s="33"/>
      <c r="L21" s="21" t="str">
        <f>IF(OR($B21="",NOT(ISNUMBER($J21)),$D21="Cancelled",$D21="Owner block"),"—",ROUND($J21*IF(ISNUMBER($K21),IF($K21&gt;1,$K21/100,$K21),IF(IFERROR(INDEX(Setup!$D$25:$D$36,MATCH($B21,Setup!$A$25:$A$36,0)),0)&gt;1,IFERROR(INDEX(Setup!$D$25:$D$36,MATCH($B21,Setup!$A$25:$A$36,0)),0)/100,IFERROR(INDEX(Setup!$D$25:$D$36,MATCH($B21,Setup!$A$25:$A$36,0)),0))),2))</f>
        <v>—</v>
      </c>
      <c r="M21" s="21" t="str">
        <f t="shared" si="1"/>
        <v>—</v>
      </c>
      <c r="N21" s="21" t="str">
        <f>IF(OR($B21="",$G21="",$D21="Cancelled"),"—",IFERROR(IF(INDEX(Setup!$E$25:$E$36,MATCH($B21,Setup!$A$25:$A$36,0))=0,"—",INDEX(Setup!$E$25:$E$36,MATCH($B21,Setup!$A$25:$A$36,0))),"—"))</f>
        <v>—</v>
      </c>
      <c r="O21" s="21" t="str">
        <f>IF(OR($B21="",$G21="",$D21="Cancelled"),"—",IFERROR(IF(INDEX(Setup!$F$25:$F$36,MATCH($B21,Setup!$A$25:$A$36,0))=0,"—",INDEX(Setup!$F$25:$F$36,MATCH($B21,Setup!$A$25:$A$36,0))),"—"))</f>
        <v>—</v>
      </c>
      <c r="P21" s="21" t="str">
        <f>IF(OR($B21="",$G21="",$D21="Cancelled",$D21="Owner block"),"—",IF(IFERROR(INDEX(Setup!$G$25:$G$36,MATCH($B21,Setup!$A$25:$A$36,0)),0)+IFERROR(INDEX(Setup!$H$25:$H$36,MATCH($B21,Setup!$A$25:$A$36,0)),0)*IF(ISNUMBER($H21),$H21,0)=0,"—",ROUND(IFERROR(INDEX(Setup!$G$25:$G$36,MATCH($B21,Setup!$A$25:$A$36,0)),0)+IFERROR(INDEX(Setup!$H$25:$H$36,MATCH($B21,Setup!$A$25:$A$36,0)),0)*IF(ISNUMBER($H21),$H21,0),2)))</f>
        <v>—</v>
      </c>
      <c r="Q21" s="21" t="str">
        <f t="shared" si="2"/>
        <v>—</v>
      </c>
      <c r="R21" s="21" t="str">
        <f t="shared" si="3"/>
        <v>—</v>
      </c>
      <c r="S21" s="3"/>
      <c r="T21" s="19" t="str">
        <f ca="1">IF(OR(NOT(ISNUMBER($F21)),NOT(ISNUMBER($G21)),NOT(ISNUMBER(Dashboard!$P$2)),NOT(ISNUMBER(Dashboard!$P$3)),$D21="Cancelled",$D21="Owner block"),"—",IF(MAX(0,MIN($G21,Dashboard!$P$3+1)-MAX($F21,Dashboard!$P$2))=0,"—",MAX(0,MIN($G21,Dashboard!$P$3+1)-MAX($F21,Dashboard!$P$2))))</f>
        <v>—</v>
      </c>
      <c r="U21" s="19" t="str">
        <f ca="1">IF(OR(NOT(ISNUMBER($F21)),NOT(ISNUMBER($G21)),NOT(ISNUMBER(Dashboard!$P$2)),NOT(ISNUMBER(Dashboard!$P$3)),$D21&lt;&gt;"Owner block"),"—",IF(MAX(0,MIN($G21,Dashboard!$P$3+1)-MAX($F21,Dashboard!$P$2))=0,"—",MAX(0,MIN($G21,Dashboard!$P$3+1)-MAX($F21,Dashboard!$P$2))))</f>
        <v>—</v>
      </c>
      <c r="V21" s="7" t="str">
        <f>IF($B21="",IF(COUNTA($C21:$G21,$I21:$K21,$S21)=0,"","⚠ no property — not counted"),IF(COUNTIF(Setup!$A$25:$A$36,$B21)=0,"⚠ property not in Setup",IF(AND($F21&lt;&gt;"",NOT(ISNUMBER($F21))),"⚠ check-in is not a real date",IF(AND($G21&lt;&gt;"",NOT(ISNUMBER($G21))),"⚠ check-out is not a real date",IF(AND($J21&lt;&gt;"",NOT(ISNUMBER($J21))),"⚠ booking value is not a number","OK")))))</f>
        <v/>
      </c>
      <c r="W21" s="21" t="str">
        <f t="shared" si="4"/>
        <v>—</v>
      </c>
    </row>
    <row r="22" spans="1:23" x14ac:dyDescent="0.2">
      <c r="A22" s="30">
        <v>18</v>
      </c>
      <c r="B22" s="8"/>
      <c r="C22" s="8"/>
      <c r="D22" s="8"/>
      <c r="E22" s="8"/>
      <c r="F22" s="34"/>
      <c r="G22" s="34"/>
      <c r="H22" s="19" t="str">
        <f t="shared" si="0"/>
        <v>—</v>
      </c>
      <c r="I22" s="35"/>
      <c r="J22" s="11"/>
      <c r="K22" s="36"/>
      <c r="L22" s="21" t="str">
        <f>IF(OR($B22="",NOT(ISNUMBER($J22)),$D22="Cancelled",$D22="Owner block"),"—",ROUND($J22*IF(ISNUMBER($K22),IF($K22&gt;1,$K22/100,$K22),IF(IFERROR(INDEX(Setup!$D$25:$D$36,MATCH($B22,Setup!$A$25:$A$36,0)),0)&gt;1,IFERROR(INDEX(Setup!$D$25:$D$36,MATCH($B22,Setup!$A$25:$A$36,0)),0)/100,IFERROR(INDEX(Setup!$D$25:$D$36,MATCH($B22,Setup!$A$25:$A$36,0)),0))),2))</f>
        <v>—</v>
      </c>
      <c r="M22" s="21" t="str">
        <f t="shared" si="1"/>
        <v>—</v>
      </c>
      <c r="N22" s="21" t="str">
        <f>IF(OR($B22="",$G22="",$D22="Cancelled"),"—",IFERROR(IF(INDEX(Setup!$E$25:$E$36,MATCH($B22,Setup!$A$25:$A$36,0))=0,"—",INDEX(Setup!$E$25:$E$36,MATCH($B22,Setup!$A$25:$A$36,0))),"—"))</f>
        <v>—</v>
      </c>
      <c r="O22" s="21" t="str">
        <f>IF(OR($B22="",$G22="",$D22="Cancelled"),"—",IFERROR(IF(INDEX(Setup!$F$25:$F$36,MATCH($B22,Setup!$A$25:$A$36,0))=0,"—",INDEX(Setup!$F$25:$F$36,MATCH($B22,Setup!$A$25:$A$36,0))),"—"))</f>
        <v>—</v>
      </c>
      <c r="P22" s="21" t="str">
        <f>IF(OR($B22="",$G22="",$D22="Cancelled",$D22="Owner block"),"—",IF(IFERROR(INDEX(Setup!$G$25:$G$36,MATCH($B22,Setup!$A$25:$A$36,0)),0)+IFERROR(INDEX(Setup!$H$25:$H$36,MATCH($B22,Setup!$A$25:$A$36,0)),0)*IF(ISNUMBER($H22),$H22,0)=0,"—",ROUND(IFERROR(INDEX(Setup!$G$25:$G$36,MATCH($B22,Setup!$A$25:$A$36,0)),0)+IFERROR(INDEX(Setup!$H$25:$H$36,MATCH($B22,Setup!$A$25:$A$36,0)),0)*IF(ISNUMBER($H22),$H22,0),2)))</f>
        <v>—</v>
      </c>
      <c r="Q22" s="21" t="str">
        <f t="shared" si="2"/>
        <v>—</v>
      </c>
      <c r="R22" s="21" t="str">
        <f t="shared" si="3"/>
        <v>—</v>
      </c>
      <c r="S22" s="8"/>
      <c r="T22" s="19" t="str">
        <f ca="1">IF(OR(NOT(ISNUMBER($F22)),NOT(ISNUMBER($G22)),NOT(ISNUMBER(Dashboard!$P$2)),NOT(ISNUMBER(Dashboard!$P$3)),$D22="Cancelled",$D22="Owner block"),"—",IF(MAX(0,MIN($G22,Dashboard!$P$3+1)-MAX($F22,Dashboard!$P$2))=0,"—",MAX(0,MIN($G22,Dashboard!$P$3+1)-MAX($F22,Dashboard!$P$2))))</f>
        <v>—</v>
      </c>
      <c r="U22" s="19" t="str">
        <f ca="1">IF(OR(NOT(ISNUMBER($F22)),NOT(ISNUMBER($G22)),NOT(ISNUMBER(Dashboard!$P$2)),NOT(ISNUMBER(Dashboard!$P$3)),$D22&lt;&gt;"Owner block"),"—",IF(MAX(0,MIN($G22,Dashboard!$P$3+1)-MAX($F22,Dashboard!$P$2))=0,"—",MAX(0,MIN($G22,Dashboard!$P$3+1)-MAX($F22,Dashboard!$P$2))))</f>
        <v>—</v>
      </c>
      <c r="V22" s="7" t="str">
        <f>IF($B22="",IF(COUNTA($C22:$G22,$I22:$K22,$S22)=0,"","⚠ no property — not counted"),IF(COUNTIF(Setup!$A$25:$A$36,$B22)=0,"⚠ property not in Setup",IF(AND($F22&lt;&gt;"",NOT(ISNUMBER($F22))),"⚠ check-in is not a real date",IF(AND($G22&lt;&gt;"",NOT(ISNUMBER($G22))),"⚠ check-out is not a real date",IF(AND($J22&lt;&gt;"",NOT(ISNUMBER($J22))),"⚠ booking value is not a number","OK")))))</f>
        <v/>
      </c>
      <c r="W22" s="21" t="str">
        <f t="shared" si="4"/>
        <v>—</v>
      </c>
    </row>
    <row r="23" spans="1:23" x14ac:dyDescent="0.2">
      <c r="A23" s="30">
        <v>19</v>
      </c>
      <c r="B23" s="3"/>
      <c r="C23" s="3"/>
      <c r="D23" s="3"/>
      <c r="E23" s="3"/>
      <c r="F23" s="31"/>
      <c r="G23" s="31"/>
      <c r="H23" s="19" t="str">
        <f t="shared" si="0"/>
        <v>—</v>
      </c>
      <c r="I23" s="32"/>
      <c r="J23" s="6"/>
      <c r="K23" s="33"/>
      <c r="L23" s="21" t="str">
        <f>IF(OR($B23="",NOT(ISNUMBER($J23)),$D23="Cancelled",$D23="Owner block"),"—",ROUND($J23*IF(ISNUMBER($K23),IF($K23&gt;1,$K23/100,$K23),IF(IFERROR(INDEX(Setup!$D$25:$D$36,MATCH($B23,Setup!$A$25:$A$36,0)),0)&gt;1,IFERROR(INDEX(Setup!$D$25:$D$36,MATCH($B23,Setup!$A$25:$A$36,0)),0)/100,IFERROR(INDEX(Setup!$D$25:$D$36,MATCH($B23,Setup!$A$25:$A$36,0)),0))),2))</f>
        <v>—</v>
      </c>
      <c r="M23" s="21" t="str">
        <f t="shared" si="1"/>
        <v>—</v>
      </c>
      <c r="N23" s="21" t="str">
        <f>IF(OR($B23="",$G23="",$D23="Cancelled"),"—",IFERROR(IF(INDEX(Setup!$E$25:$E$36,MATCH($B23,Setup!$A$25:$A$36,0))=0,"—",INDEX(Setup!$E$25:$E$36,MATCH($B23,Setup!$A$25:$A$36,0))),"—"))</f>
        <v>—</v>
      </c>
      <c r="O23" s="21" t="str">
        <f>IF(OR($B23="",$G23="",$D23="Cancelled"),"—",IFERROR(IF(INDEX(Setup!$F$25:$F$36,MATCH($B23,Setup!$A$25:$A$36,0))=0,"—",INDEX(Setup!$F$25:$F$36,MATCH($B23,Setup!$A$25:$A$36,0))),"—"))</f>
        <v>—</v>
      </c>
      <c r="P23" s="21" t="str">
        <f>IF(OR($B23="",$G23="",$D23="Cancelled",$D23="Owner block"),"—",IF(IFERROR(INDEX(Setup!$G$25:$G$36,MATCH($B23,Setup!$A$25:$A$36,0)),0)+IFERROR(INDEX(Setup!$H$25:$H$36,MATCH($B23,Setup!$A$25:$A$36,0)),0)*IF(ISNUMBER($H23),$H23,0)=0,"—",ROUND(IFERROR(INDEX(Setup!$G$25:$G$36,MATCH($B23,Setup!$A$25:$A$36,0)),0)+IFERROR(INDEX(Setup!$H$25:$H$36,MATCH($B23,Setup!$A$25:$A$36,0)),0)*IF(ISNUMBER($H23),$H23,0),2)))</f>
        <v>—</v>
      </c>
      <c r="Q23" s="21" t="str">
        <f t="shared" si="2"/>
        <v>—</v>
      </c>
      <c r="R23" s="21" t="str">
        <f t="shared" si="3"/>
        <v>—</v>
      </c>
      <c r="S23" s="3"/>
      <c r="T23" s="19" t="str">
        <f ca="1">IF(OR(NOT(ISNUMBER($F23)),NOT(ISNUMBER($G23)),NOT(ISNUMBER(Dashboard!$P$2)),NOT(ISNUMBER(Dashboard!$P$3)),$D23="Cancelled",$D23="Owner block"),"—",IF(MAX(0,MIN($G23,Dashboard!$P$3+1)-MAX($F23,Dashboard!$P$2))=0,"—",MAX(0,MIN($G23,Dashboard!$P$3+1)-MAX($F23,Dashboard!$P$2))))</f>
        <v>—</v>
      </c>
      <c r="U23" s="19" t="str">
        <f ca="1">IF(OR(NOT(ISNUMBER($F23)),NOT(ISNUMBER($G23)),NOT(ISNUMBER(Dashboard!$P$2)),NOT(ISNUMBER(Dashboard!$P$3)),$D23&lt;&gt;"Owner block"),"—",IF(MAX(0,MIN($G23,Dashboard!$P$3+1)-MAX($F23,Dashboard!$P$2))=0,"—",MAX(0,MIN($G23,Dashboard!$P$3+1)-MAX($F23,Dashboard!$P$2))))</f>
        <v>—</v>
      </c>
      <c r="V23" s="7" t="str">
        <f>IF($B23="",IF(COUNTA($C23:$G23,$I23:$K23,$S23)=0,"","⚠ no property — not counted"),IF(COUNTIF(Setup!$A$25:$A$36,$B23)=0,"⚠ property not in Setup",IF(AND($F23&lt;&gt;"",NOT(ISNUMBER($F23))),"⚠ check-in is not a real date",IF(AND($G23&lt;&gt;"",NOT(ISNUMBER($G23))),"⚠ check-out is not a real date",IF(AND($J23&lt;&gt;"",NOT(ISNUMBER($J23))),"⚠ booking value is not a number","OK")))))</f>
        <v/>
      </c>
      <c r="W23" s="21" t="str">
        <f t="shared" si="4"/>
        <v>—</v>
      </c>
    </row>
    <row r="24" spans="1:23" x14ac:dyDescent="0.2">
      <c r="A24" s="30">
        <v>20</v>
      </c>
      <c r="B24" s="8"/>
      <c r="C24" s="8"/>
      <c r="D24" s="8"/>
      <c r="E24" s="8"/>
      <c r="F24" s="34"/>
      <c r="G24" s="34"/>
      <c r="H24" s="19" t="str">
        <f t="shared" si="0"/>
        <v>—</v>
      </c>
      <c r="I24" s="35"/>
      <c r="J24" s="11"/>
      <c r="K24" s="36"/>
      <c r="L24" s="21" t="str">
        <f>IF(OR($B24="",NOT(ISNUMBER($J24)),$D24="Cancelled",$D24="Owner block"),"—",ROUND($J24*IF(ISNUMBER($K24),IF($K24&gt;1,$K24/100,$K24),IF(IFERROR(INDEX(Setup!$D$25:$D$36,MATCH($B24,Setup!$A$25:$A$36,0)),0)&gt;1,IFERROR(INDEX(Setup!$D$25:$D$36,MATCH($B24,Setup!$A$25:$A$36,0)),0)/100,IFERROR(INDEX(Setup!$D$25:$D$36,MATCH($B24,Setup!$A$25:$A$36,0)),0))),2))</f>
        <v>—</v>
      </c>
      <c r="M24" s="21" t="str">
        <f t="shared" si="1"/>
        <v>—</v>
      </c>
      <c r="N24" s="21" t="str">
        <f>IF(OR($B24="",$G24="",$D24="Cancelled"),"—",IFERROR(IF(INDEX(Setup!$E$25:$E$36,MATCH($B24,Setup!$A$25:$A$36,0))=0,"—",INDEX(Setup!$E$25:$E$36,MATCH($B24,Setup!$A$25:$A$36,0))),"—"))</f>
        <v>—</v>
      </c>
      <c r="O24" s="21" t="str">
        <f>IF(OR($B24="",$G24="",$D24="Cancelled"),"—",IFERROR(IF(INDEX(Setup!$F$25:$F$36,MATCH($B24,Setup!$A$25:$A$36,0))=0,"—",INDEX(Setup!$F$25:$F$36,MATCH($B24,Setup!$A$25:$A$36,0))),"—"))</f>
        <v>—</v>
      </c>
      <c r="P24" s="21" t="str">
        <f>IF(OR($B24="",$G24="",$D24="Cancelled",$D24="Owner block"),"—",IF(IFERROR(INDEX(Setup!$G$25:$G$36,MATCH($B24,Setup!$A$25:$A$36,0)),0)+IFERROR(INDEX(Setup!$H$25:$H$36,MATCH($B24,Setup!$A$25:$A$36,0)),0)*IF(ISNUMBER($H24),$H24,0)=0,"—",ROUND(IFERROR(INDEX(Setup!$G$25:$G$36,MATCH($B24,Setup!$A$25:$A$36,0)),0)+IFERROR(INDEX(Setup!$H$25:$H$36,MATCH($B24,Setup!$A$25:$A$36,0)),0)*IF(ISNUMBER($H24),$H24,0),2)))</f>
        <v>—</v>
      </c>
      <c r="Q24" s="21" t="str">
        <f t="shared" si="2"/>
        <v>—</v>
      </c>
      <c r="R24" s="21" t="str">
        <f t="shared" si="3"/>
        <v>—</v>
      </c>
      <c r="S24" s="8"/>
      <c r="T24" s="19" t="str">
        <f ca="1">IF(OR(NOT(ISNUMBER($F24)),NOT(ISNUMBER($G24)),NOT(ISNUMBER(Dashboard!$P$2)),NOT(ISNUMBER(Dashboard!$P$3)),$D24="Cancelled",$D24="Owner block"),"—",IF(MAX(0,MIN($G24,Dashboard!$P$3+1)-MAX($F24,Dashboard!$P$2))=0,"—",MAX(0,MIN($G24,Dashboard!$P$3+1)-MAX($F24,Dashboard!$P$2))))</f>
        <v>—</v>
      </c>
      <c r="U24" s="19" t="str">
        <f ca="1">IF(OR(NOT(ISNUMBER($F24)),NOT(ISNUMBER($G24)),NOT(ISNUMBER(Dashboard!$P$2)),NOT(ISNUMBER(Dashboard!$P$3)),$D24&lt;&gt;"Owner block"),"—",IF(MAX(0,MIN($G24,Dashboard!$P$3+1)-MAX($F24,Dashboard!$P$2))=0,"—",MAX(0,MIN($G24,Dashboard!$P$3+1)-MAX($F24,Dashboard!$P$2))))</f>
        <v>—</v>
      </c>
      <c r="V24" s="7" t="str">
        <f>IF($B24="",IF(COUNTA($C24:$G24,$I24:$K24,$S24)=0,"","⚠ no property — not counted"),IF(COUNTIF(Setup!$A$25:$A$36,$B24)=0,"⚠ property not in Setup",IF(AND($F24&lt;&gt;"",NOT(ISNUMBER($F24))),"⚠ check-in is not a real date",IF(AND($G24&lt;&gt;"",NOT(ISNUMBER($G24))),"⚠ check-out is not a real date",IF(AND($J24&lt;&gt;"",NOT(ISNUMBER($J24))),"⚠ booking value is not a number","OK")))))</f>
        <v/>
      </c>
      <c r="W24" s="21" t="str">
        <f t="shared" si="4"/>
        <v>—</v>
      </c>
    </row>
    <row r="25" spans="1:23" x14ac:dyDescent="0.2">
      <c r="A25" s="30">
        <v>21</v>
      </c>
      <c r="B25" s="3"/>
      <c r="C25" s="3"/>
      <c r="D25" s="3"/>
      <c r="E25" s="3"/>
      <c r="F25" s="31"/>
      <c r="G25" s="31"/>
      <c r="H25" s="19" t="str">
        <f t="shared" si="0"/>
        <v>—</v>
      </c>
      <c r="I25" s="32"/>
      <c r="J25" s="6"/>
      <c r="K25" s="33"/>
      <c r="L25" s="21" t="str">
        <f>IF(OR($B25="",NOT(ISNUMBER($J25)),$D25="Cancelled",$D25="Owner block"),"—",ROUND($J25*IF(ISNUMBER($K25),IF($K25&gt;1,$K25/100,$K25),IF(IFERROR(INDEX(Setup!$D$25:$D$36,MATCH($B25,Setup!$A$25:$A$36,0)),0)&gt;1,IFERROR(INDEX(Setup!$D$25:$D$36,MATCH($B25,Setup!$A$25:$A$36,0)),0)/100,IFERROR(INDEX(Setup!$D$25:$D$36,MATCH($B25,Setup!$A$25:$A$36,0)),0))),2))</f>
        <v>—</v>
      </c>
      <c r="M25" s="21" t="str">
        <f t="shared" si="1"/>
        <v>—</v>
      </c>
      <c r="N25" s="21" t="str">
        <f>IF(OR($B25="",$G25="",$D25="Cancelled"),"—",IFERROR(IF(INDEX(Setup!$E$25:$E$36,MATCH($B25,Setup!$A$25:$A$36,0))=0,"—",INDEX(Setup!$E$25:$E$36,MATCH($B25,Setup!$A$25:$A$36,0))),"—"))</f>
        <v>—</v>
      </c>
      <c r="O25" s="21" t="str">
        <f>IF(OR($B25="",$G25="",$D25="Cancelled"),"—",IFERROR(IF(INDEX(Setup!$F$25:$F$36,MATCH($B25,Setup!$A$25:$A$36,0))=0,"—",INDEX(Setup!$F$25:$F$36,MATCH($B25,Setup!$A$25:$A$36,0))),"—"))</f>
        <v>—</v>
      </c>
      <c r="P25" s="21" t="str">
        <f>IF(OR($B25="",$G25="",$D25="Cancelled",$D25="Owner block"),"—",IF(IFERROR(INDEX(Setup!$G$25:$G$36,MATCH($B25,Setup!$A$25:$A$36,0)),0)+IFERROR(INDEX(Setup!$H$25:$H$36,MATCH($B25,Setup!$A$25:$A$36,0)),0)*IF(ISNUMBER($H25),$H25,0)=0,"—",ROUND(IFERROR(INDEX(Setup!$G$25:$G$36,MATCH($B25,Setup!$A$25:$A$36,0)),0)+IFERROR(INDEX(Setup!$H$25:$H$36,MATCH($B25,Setup!$A$25:$A$36,0)),0)*IF(ISNUMBER($H25),$H25,0),2)))</f>
        <v>—</v>
      </c>
      <c r="Q25" s="21" t="str">
        <f t="shared" si="2"/>
        <v>—</v>
      </c>
      <c r="R25" s="21" t="str">
        <f t="shared" si="3"/>
        <v>—</v>
      </c>
      <c r="S25" s="3"/>
      <c r="T25" s="19" t="str">
        <f ca="1">IF(OR(NOT(ISNUMBER($F25)),NOT(ISNUMBER($G25)),NOT(ISNUMBER(Dashboard!$P$2)),NOT(ISNUMBER(Dashboard!$P$3)),$D25="Cancelled",$D25="Owner block"),"—",IF(MAX(0,MIN($G25,Dashboard!$P$3+1)-MAX($F25,Dashboard!$P$2))=0,"—",MAX(0,MIN($G25,Dashboard!$P$3+1)-MAX($F25,Dashboard!$P$2))))</f>
        <v>—</v>
      </c>
      <c r="U25" s="19" t="str">
        <f ca="1">IF(OR(NOT(ISNUMBER($F25)),NOT(ISNUMBER($G25)),NOT(ISNUMBER(Dashboard!$P$2)),NOT(ISNUMBER(Dashboard!$P$3)),$D25&lt;&gt;"Owner block"),"—",IF(MAX(0,MIN($G25,Dashboard!$P$3+1)-MAX($F25,Dashboard!$P$2))=0,"—",MAX(0,MIN($G25,Dashboard!$P$3+1)-MAX($F25,Dashboard!$P$2))))</f>
        <v>—</v>
      </c>
      <c r="V25" s="7" t="str">
        <f>IF($B25="",IF(COUNTA($C25:$G25,$I25:$K25,$S25)=0,"","⚠ no property — not counted"),IF(COUNTIF(Setup!$A$25:$A$36,$B25)=0,"⚠ property not in Setup",IF(AND($F25&lt;&gt;"",NOT(ISNUMBER($F25))),"⚠ check-in is not a real date",IF(AND($G25&lt;&gt;"",NOT(ISNUMBER($G25))),"⚠ check-out is not a real date",IF(AND($J25&lt;&gt;"",NOT(ISNUMBER($J25))),"⚠ booking value is not a number","OK")))))</f>
        <v/>
      </c>
      <c r="W25" s="21" t="str">
        <f t="shared" si="4"/>
        <v>—</v>
      </c>
    </row>
    <row r="26" spans="1:23" x14ac:dyDescent="0.2">
      <c r="A26" s="30">
        <v>22</v>
      </c>
      <c r="B26" s="8"/>
      <c r="C26" s="8"/>
      <c r="D26" s="8"/>
      <c r="E26" s="8"/>
      <c r="F26" s="34"/>
      <c r="G26" s="34"/>
      <c r="H26" s="19" t="str">
        <f t="shared" si="0"/>
        <v>—</v>
      </c>
      <c r="I26" s="35"/>
      <c r="J26" s="11"/>
      <c r="K26" s="36"/>
      <c r="L26" s="21" t="str">
        <f>IF(OR($B26="",NOT(ISNUMBER($J26)),$D26="Cancelled",$D26="Owner block"),"—",ROUND($J26*IF(ISNUMBER($K26),IF($K26&gt;1,$K26/100,$K26),IF(IFERROR(INDEX(Setup!$D$25:$D$36,MATCH($B26,Setup!$A$25:$A$36,0)),0)&gt;1,IFERROR(INDEX(Setup!$D$25:$D$36,MATCH($B26,Setup!$A$25:$A$36,0)),0)/100,IFERROR(INDEX(Setup!$D$25:$D$36,MATCH($B26,Setup!$A$25:$A$36,0)),0))),2))</f>
        <v>—</v>
      </c>
      <c r="M26" s="21" t="str">
        <f t="shared" si="1"/>
        <v>—</v>
      </c>
      <c r="N26" s="21" t="str">
        <f>IF(OR($B26="",$G26="",$D26="Cancelled"),"—",IFERROR(IF(INDEX(Setup!$E$25:$E$36,MATCH($B26,Setup!$A$25:$A$36,0))=0,"—",INDEX(Setup!$E$25:$E$36,MATCH($B26,Setup!$A$25:$A$36,0))),"—"))</f>
        <v>—</v>
      </c>
      <c r="O26" s="21" t="str">
        <f>IF(OR($B26="",$G26="",$D26="Cancelled"),"—",IFERROR(IF(INDEX(Setup!$F$25:$F$36,MATCH($B26,Setup!$A$25:$A$36,0))=0,"—",INDEX(Setup!$F$25:$F$36,MATCH($B26,Setup!$A$25:$A$36,0))),"—"))</f>
        <v>—</v>
      </c>
      <c r="P26" s="21" t="str">
        <f>IF(OR($B26="",$G26="",$D26="Cancelled",$D26="Owner block"),"—",IF(IFERROR(INDEX(Setup!$G$25:$G$36,MATCH($B26,Setup!$A$25:$A$36,0)),0)+IFERROR(INDEX(Setup!$H$25:$H$36,MATCH($B26,Setup!$A$25:$A$36,0)),0)*IF(ISNUMBER($H26),$H26,0)=0,"—",ROUND(IFERROR(INDEX(Setup!$G$25:$G$36,MATCH($B26,Setup!$A$25:$A$36,0)),0)+IFERROR(INDEX(Setup!$H$25:$H$36,MATCH($B26,Setup!$A$25:$A$36,0)),0)*IF(ISNUMBER($H26),$H26,0),2)))</f>
        <v>—</v>
      </c>
      <c r="Q26" s="21" t="str">
        <f t="shared" si="2"/>
        <v>—</v>
      </c>
      <c r="R26" s="21" t="str">
        <f t="shared" si="3"/>
        <v>—</v>
      </c>
      <c r="S26" s="8"/>
      <c r="T26" s="19" t="str">
        <f ca="1">IF(OR(NOT(ISNUMBER($F26)),NOT(ISNUMBER($G26)),NOT(ISNUMBER(Dashboard!$P$2)),NOT(ISNUMBER(Dashboard!$P$3)),$D26="Cancelled",$D26="Owner block"),"—",IF(MAX(0,MIN($G26,Dashboard!$P$3+1)-MAX($F26,Dashboard!$P$2))=0,"—",MAX(0,MIN($G26,Dashboard!$P$3+1)-MAX($F26,Dashboard!$P$2))))</f>
        <v>—</v>
      </c>
      <c r="U26" s="19" t="str">
        <f ca="1">IF(OR(NOT(ISNUMBER($F26)),NOT(ISNUMBER($G26)),NOT(ISNUMBER(Dashboard!$P$2)),NOT(ISNUMBER(Dashboard!$P$3)),$D26&lt;&gt;"Owner block"),"—",IF(MAX(0,MIN($G26,Dashboard!$P$3+1)-MAX($F26,Dashboard!$P$2))=0,"—",MAX(0,MIN($G26,Dashboard!$P$3+1)-MAX($F26,Dashboard!$P$2))))</f>
        <v>—</v>
      </c>
      <c r="V26" s="7" t="str">
        <f>IF($B26="",IF(COUNTA($C26:$G26,$I26:$K26,$S26)=0,"","⚠ no property — not counted"),IF(COUNTIF(Setup!$A$25:$A$36,$B26)=0,"⚠ property not in Setup",IF(AND($F26&lt;&gt;"",NOT(ISNUMBER($F26))),"⚠ check-in is not a real date",IF(AND($G26&lt;&gt;"",NOT(ISNUMBER($G26))),"⚠ check-out is not a real date",IF(AND($J26&lt;&gt;"",NOT(ISNUMBER($J26))),"⚠ booking value is not a number","OK")))))</f>
        <v/>
      </c>
      <c r="W26" s="21" t="str">
        <f t="shared" si="4"/>
        <v>—</v>
      </c>
    </row>
    <row r="27" spans="1:23" x14ac:dyDescent="0.2">
      <c r="A27" s="30">
        <v>23</v>
      </c>
      <c r="B27" s="3"/>
      <c r="C27" s="3"/>
      <c r="D27" s="3"/>
      <c r="E27" s="3"/>
      <c r="F27" s="31"/>
      <c r="G27" s="31"/>
      <c r="H27" s="19" t="str">
        <f t="shared" si="0"/>
        <v>—</v>
      </c>
      <c r="I27" s="32"/>
      <c r="J27" s="6"/>
      <c r="K27" s="33"/>
      <c r="L27" s="21" t="str">
        <f>IF(OR($B27="",NOT(ISNUMBER($J27)),$D27="Cancelled",$D27="Owner block"),"—",ROUND($J27*IF(ISNUMBER($K27),IF($K27&gt;1,$K27/100,$K27),IF(IFERROR(INDEX(Setup!$D$25:$D$36,MATCH($B27,Setup!$A$25:$A$36,0)),0)&gt;1,IFERROR(INDEX(Setup!$D$25:$D$36,MATCH($B27,Setup!$A$25:$A$36,0)),0)/100,IFERROR(INDEX(Setup!$D$25:$D$36,MATCH($B27,Setup!$A$25:$A$36,0)),0))),2))</f>
        <v>—</v>
      </c>
      <c r="M27" s="21" t="str">
        <f t="shared" si="1"/>
        <v>—</v>
      </c>
      <c r="N27" s="21" t="str">
        <f>IF(OR($B27="",$G27="",$D27="Cancelled"),"—",IFERROR(IF(INDEX(Setup!$E$25:$E$36,MATCH($B27,Setup!$A$25:$A$36,0))=0,"—",INDEX(Setup!$E$25:$E$36,MATCH($B27,Setup!$A$25:$A$36,0))),"—"))</f>
        <v>—</v>
      </c>
      <c r="O27" s="21" t="str">
        <f>IF(OR($B27="",$G27="",$D27="Cancelled"),"—",IFERROR(IF(INDEX(Setup!$F$25:$F$36,MATCH($B27,Setup!$A$25:$A$36,0))=0,"—",INDEX(Setup!$F$25:$F$36,MATCH($B27,Setup!$A$25:$A$36,0))),"—"))</f>
        <v>—</v>
      </c>
      <c r="P27" s="21" t="str">
        <f>IF(OR($B27="",$G27="",$D27="Cancelled",$D27="Owner block"),"—",IF(IFERROR(INDEX(Setup!$G$25:$G$36,MATCH($B27,Setup!$A$25:$A$36,0)),0)+IFERROR(INDEX(Setup!$H$25:$H$36,MATCH($B27,Setup!$A$25:$A$36,0)),0)*IF(ISNUMBER($H27),$H27,0)=0,"—",ROUND(IFERROR(INDEX(Setup!$G$25:$G$36,MATCH($B27,Setup!$A$25:$A$36,0)),0)+IFERROR(INDEX(Setup!$H$25:$H$36,MATCH($B27,Setup!$A$25:$A$36,0)),0)*IF(ISNUMBER($H27),$H27,0),2)))</f>
        <v>—</v>
      </c>
      <c r="Q27" s="21" t="str">
        <f t="shared" si="2"/>
        <v>—</v>
      </c>
      <c r="R27" s="21" t="str">
        <f t="shared" si="3"/>
        <v>—</v>
      </c>
      <c r="S27" s="3"/>
      <c r="T27" s="19" t="str">
        <f ca="1">IF(OR(NOT(ISNUMBER($F27)),NOT(ISNUMBER($G27)),NOT(ISNUMBER(Dashboard!$P$2)),NOT(ISNUMBER(Dashboard!$P$3)),$D27="Cancelled",$D27="Owner block"),"—",IF(MAX(0,MIN($G27,Dashboard!$P$3+1)-MAX($F27,Dashboard!$P$2))=0,"—",MAX(0,MIN($G27,Dashboard!$P$3+1)-MAX($F27,Dashboard!$P$2))))</f>
        <v>—</v>
      </c>
      <c r="U27" s="19" t="str">
        <f ca="1">IF(OR(NOT(ISNUMBER($F27)),NOT(ISNUMBER($G27)),NOT(ISNUMBER(Dashboard!$P$2)),NOT(ISNUMBER(Dashboard!$P$3)),$D27&lt;&gt;"Owner block"),"—",IF(MAX(0,MIN($G27,Dashboard!$P$3+1)-MAX($F27,Dashboard!$P$2))=0,"—",MAX(0,MIN($G27,Dashboard!$P$3+1)-MAX($F27,Dashboard!$P$2))))</f>
        <v>—</v>
      </c>
      <c r="V27" s="7" t="str">
        <f>IF($B27="",IF(COUNTA($C27:$G27,$I27:$K27,$S27)=0,"","⚠ no property — not counted"),IF(COUNTIF(Setup!$A$25:$A$36,$B27)=0,"⚠ property not in Setup",IF(AND($F27&lt;&gt;"",NOT(ISNUMBER($F27))),"⚠ check-in is not a real date",IF(AND($G27&lt;&gt;"",NOT(ISNUMBER($G27))),"⚠ check-out is not a real date",IF(AND($J27&lt;&gt;"",NOT(ISNUMBER($J27))),"⚠ booking value is not a number","OK")))))</f>
        <v/>
      </c>
      <c r="W27" s="21" t="str">
        <f t="shared" si="4"/>
        <v>—</v>
      </c>
    </row>
    <row r="28" spans="1:23" x14ac:dyDescent="0.2">
      <c r="A28" s="30">
        <v>24</v>
      </c>
      <c r="B28" s="8"/>
      <c r="C28" s="8"/>
      <c r="D28" s="8"/>
      <c r="E28" s="8"/>
      <c r="F28" s="34"/>
      <c r="G28" s="34"/>
      <c r="H28" s="19" t="str">
        <f t="shared" si="0"/>
        <v>—</v>
      </c>
      <c r="I28" s="35"/>
      <c r="J28" s="11"/>
      <c r="K28" s="36"/>
      <c r="L28" s="21" t="str">
        <f>IF(OR($B28="",NOT(ISNUMBER($J28)),$D28="Cancelled",$D28="Owner block"),"—",ROUND($J28*IF(ISNUMBER($K28),IF($K28&gt;1,$K28/100,$K28),IF(IFERROR(INDEX(Setup!$D$25:$D$36,MATCH($B28,Setup!$A$25:$A$36,0)),0)&gt;1,IFERROR(INDEX(Setup!$D$25:$D$36,MATCH($B28,Setup!$A$25:$A$36,0)),0)/100,IFERROR(INDEX(Setup!$D$25:$D$36,MATCH($B28,Setup!$A$25:$A$36,0)),0))),2))</f>
        <v>—</v>
      </c>
      <c r="M28" s="21" t="str">
        <f t="shared" si="1"/>
        <v>—</v>
      </c>
      <c r="N28" s="21" t="str">
        <f>IF(OR($B28="",$G28="",$D28="Cancelled"),"—",IFERROR(IF(INDEX(Setup!$E$25:$E$36,MATCH($B28,Setup!$A$25:$A$36,0))=0,"—",INDEX(Setup!$E$25:$E$36,MATCH($B28,Setup!$A$25:$A$36,0))),"—"))</f>
        <v>—</v>
      </c>
      <c r="O28" s="21" t="str">
        <f>IF(OR($B28="",$G28="",$D28="Cancelled"),"—",IFERROR(IF(INDEX(Setup!$F$25:$F$36,MATCH($B28,Setup!$A$25:$A$36,0))=0,"—",INDEX(Setup!$F$25:$F$36,MATCH($B28,Setup!$A$25:$A$36,0))),"—"))</f>
        <v>—</v>
      </c>
      <c r="P28" s="21" t="str">
        <f>IF(OR($B28="",$G28="",$D28="Cancelled",$D28="Owner block"),"—",IF(IFERROR(INDEX(Setup!$G$25:$G$36,MATCH($B28,Setup!$A$25:$A$36,0)),0)+IFERROR(INDEX(Setup!$H$25:$H$36,MATCH($B28,Setup!$A$25:$A$36,0)),0)*IF(ISNUMBER($H28),$H28,0)=0,"—",ROUND(IFERROR(INDEX(Setup!$G$25:$G$36,MATCH($B28,Setup!$A$25:$A$36,0)),0)+IFERROR(INDEX(Setup!$H$25:$H$36,MATCH($B28,Setup!$A$25:$A$36,0)),0)*IF(ISNUMBER($H28),$H28,0),2)))</f>
        <v>—</v>
      </c>
      <c r="Q28" s="21" t="str">
        <f t="shared" si="2"/>
        <v>—</v>
      </c>
      <c r="R28" s="21" t="str">
        <f t="shared" si="3"/>
        <v>—</v>
      </c>
      <c r="S28" s="8"/>
      <c r="T28" s="19" t="str">
        <f ca="1">IF(OR(NOT(ISNUMBER($F28)),NOT(ISNUMBER($G28)),NOT(ISNUMBER(Dashboard!$P$2)),NOT(ISNUMBER(Dashboard!$P$3)),$D28="Cancelled",$D28="Owner block"),"—",IF(MAX(0,MIN($G28,Dashboard!$P$3+1)-MAX($F28,Dashboard!$P$2))=0,"—",MAX(0,MIN($G28,Dashboard!$P$3+1)-MAX($F28,Dashboard!$P$2))))</f>
        <v>—</v>
      </c>
      <c r="U28" s="19" t="str">
        <f ca="1">IF(OR(NOT(ISNUMBER($F28)),NOT(ISNUMBER($G28)),NOT(ISNUMBER(Dashboard!$P$2)),NOT(ISNUMBER(Dashboard!$P$3)),$D28&lt;&gt;"Owner block"),"—",IF(MAX(0,MIN($G28,Dashboard!$P$3+1)-MAX($F28,Dashboard!$P$2))=0,"—",MAX(0,MIN($G28,Dashboard!$P$3+1)-MAX($F28,Dashboard!$P$2))))</f>
        <v>—</v>
      </c>
      <c r="V28" s="7" t="str">
        <f>IF($B28="",IF(COUNTA($C28:$G28,$I28:$K28,$S28)=0,"","⚠ no property — not counted"),IF(COUNTIF(Setup!$A$25:$A$36,$B28)=0,"⚠ property not in Setup",IF(AND($F28&lt;&gt;"",NOT(ISNUMBER($F28))),"⚠ check-in is not a real date",IF(AND($G28&lt;&gt;"",NOT(ISNUMBER($G28))),"⚠ check-out is not a real date",IF(AND($J28&lt;&gt;"",NOT(ISNUMBER($J28))),"⚠ booking value is not a number","OK")))))</f>
        <v/>
      </c>
      <c r="W28" s="21" t="str">
        <f t="shared" si="4"/>
        <v>—</v>
      </c>
    </row>
    <row r="29" spans="1:23" x14ac:dyDescent="0.2">
      <c r="A29" s="30">
        <v>25</v>
      </c>
      <c r="B29" s="3"/>
      <c r="C29" s="3"/>
      <c r="D29" s="3"/>
      <c r="E29" s="3"/>
      <c r="F29" s="31"/>
      <c r="G29" s="31"/>
      <c r="H29" s="19" t="str">
        <f t="shared" si="0"/>
        <v>—</v>
      </c>
      <c r="I29" s="32"/>
      <c r="J29" s="6"/>
      <c r="K29" s="33"/>
      <c r="L29" s="21" t="str">
        <f>IF(OR($B29="",NOT(ISNUMBER($J29)),$D29="Cancelled",$D29="Owner block"),"—",ROUND($J29*IF(ISNUMBER($K29),IF($K29&gt;1,$K29/100,$K29),IF(IFERROR(INDEX(Setup!$D$25:$D$36,MATCH($B29,Setup!$A$25:$A$36,0)),0)&gt;1,IFERROR(INDEX(Setup!$D$25:$D$36,MATCH($B29,Setup!$A$25:$A$36,0)),0)/100,IFERROR(INDEX(Setup!$D$25:$D$36,MATCH($B29,Setup!$A$25:$A$36,0)),0))),2))</f>
        <v>—</v>
      </c>
      <c r="M29" s="21" t="str">
        <f t="shared" si="1"/>
        <v>—</v>
      </c>
      <c r="N29" s="21" t="str">
        <f>IF(OR($B29="",$G29="",$D29="Cancelled"),"—",IFERROR(IF(INDEX(Setup!$E$25:$E$36,MATCH($B29,Setup!$A$25:$A$36,0))=0,"—",INDEX(Setup!$E$25:$E$36,MATCH($B29,Setup!$A$25:$A$36,0))),"—"))</f>
        <v>—</v>
      </c>
      <c r="O29" s="21" t="str">
        <f>IF(OR($B29="",$G29="",$D29="Cancelled"),"—",IFERROR(IF(INDEX(Setup!$F$25:$F$36,MATCH($B29,Setup!$A$25:$A$36,0))=0,"—",INDEX(Setup!$F$25:$F$36,MATCH($B29,Setup!$A$25:$A$36,0))),"—"))</f>
        <v>—</v>
      </c>
      <c r="P29" s="21" t="str">
        <f>IF(OR($B29="",$G29="",$D29="Cancelled",$D29="Owner block"),"—",IF(IFERROR(INDEX(Setup!$G$25:$G$36,MATCH($B29,Setup!$A$25:$A$36,0)),0)+IFERROR(INDEX(Setup!$H$25:$H$36,MATCH($B29,Setup!$A$25:$A$36,0)),0)*IF(ISNUMBER($H29),$H29,0)=0,"—",ROUND(IFERROR(INDEX(Setup!$G$25:$G$36,MATCH($B29,Setup!$A$25:$A$36,0)),0)+IFERROR(INDEX(Setup!$H$25:$H$36,MATCH($B29,Setup!$A$25:$A$36,0)),0)*IF(ISNUMBER($H29),$H29,0),2)))</f>
        <v>—</v>
      </c>
      <c r="Q29" s="21" t="str">
        <f t="shared" si="2"/>
        <v>—</v>
      </c>
      <c r="R29" s="21" t="str">
        <f t="shared" si="3"/>
        <v>—</v>
      </c>
      <c r="S29" s="3"/>
      <c r="T29" s="19" t="str">
        <f ca="1">IF(OR(NOT(ISNUMBER($F29)),NOT(ISNUMBER($G29)),NOT(ISNUMBER(Dashboard!$P$2)),NOT(ISNUMBER(Dashboard!$P$3)),$D29="Cancelled",$D29="Owner block"),"—",IF(MAX(0,MIN($G29,Dashboard!$P$3+1)-MAX($F29,Dashboard!$P$2))=0,"—",MAX(0,MIN($G29,Dashboard!$P$3+1)-MAX($F29,Dashboard!$P$2))))</f>
        <v>—</v>
      </c>
      <c r="U29" s="19" t="str">
        <f ca="1">IF(OR(NOT(ISNUMBER($F29)),NOT(ISNUMBER($G29)),NOT(ISNUMBER(Dashboard!$P$2)),NOT(ISNUMBER(Dashboard!$P$3)),$D29&lt;&gt;"Owner block"),"—",IF(MAX(0,MIN($G29,Dashboard!$P$3+1)-MAX($F29,Dashboard!$P$2))=0,"—",MAX(0,MIN($G29,Dashboard!$P$3+1)-MAX($F29,Dashboard!$P$2))))</f>
        <v>—</v>
      </c>
      <c r="V29" s="7" t="str">
        <f>IF($B29="",IF(COUNTA($C29:$G29,$I29:$K29,$S29)=0,"","⚠ no property — not counted"),IF(COUNTIF(Setup!$A$25:$A$36,$B29)=0,"⚠ property not in Setup",IF(AND($F29&lt;&gt;"",NOT(ISNUMBER($F29))),"⚠ check-in is not a real date",IF(AND($G29&lt;&gt;"",NOT(ISNUMBER($G29))),"⚠ check-out is not a real date",IF(AND($J29&lt;&gt;"",NOT(ISNUMBER($J29))),"⚠ booking value is not a number","OK")))))</f>
        <v/>
      </c>
      <c r="W29" s="21" t="str">
        <f t="shared" si="4"/>
        <v>—</v>
      </c>
    </row>
    <row r="30" spans="1:23" x14ac:dyDescent="0.2">
      <c r="A30" s="30">
        <v>26</v>
      </c>
      <c r="B30" s="8"/>
      <c r="C30" s="8"/>
      <c r="D30" s="8"/>
      <c r="E30" s="8"/>
      <c r="F30" s="34"/>
      <c r="G30" s="34"/>
      <c r="H30" s="19" t="str">
        <f t="shared" si="0"/>
        <v>—</v>
      </c>
      <c r="I30" s="35"/>
      <c r="J30" s="11"/>
      <c r="K30" s="36"/>
      <c r="L30" s="21" t="str">
        <f>IF(OR($B30="",NOT(ISNUMBER($J30)),$D30="Cancelled",$D30="Owner block"),"—",ROUND($J30*IF(ISNUMBER($K30),IF($K30&gt;1,$K30/100,$K30),IF(IFERROR(INDEX(Setup!$D$25:$D$36,MATCH($B30,Setup!$A$25:$A$36,0)),0)&gt;1,IFERROR(INDEX(Setup!$D$25:$D$36,MATCH($B30,Setup!$A$25:$A$36,0)),0)/100,IFERROR(INDEX(Setup!$D$25:$D$36,MATCH($B30,Setup!$A$25:$A$36,0)),0))),2))</f>
        <v>—</v>
      </c>
      <c r="M30" s="21" t="str">
        <f t="shared" si="1"/>
        <v>—</v>
      </c>
      <c r="N30" s="21" t="str">
        <f>IF(OR($B30="",$G30="",$D30="Cancelled"),"—",IFERROR(IF(INDEX(Setup!$E$25:$E$36,MATCH($B30,Setup!$A$25:$A$36,0))=0,"—",INDEX(Setup!$E$25:$E$36,MATCH($B30,Setup!$A$25:$A$36,0))),"—"))</f>
        <v>—</v>
      </c>
      <c r="O30" s="21" t="str">
        <f>IF(OR($B30="",$G30="",$D30="Cancelled"),"—",IFERROR(IF(INDEX(Setup!$F$25:$F$36,MATCH($B30,Setup!$A$25:$A$36,0))=0,"—",INDEX(Setup!$F$25:$F$36,MATCH($B30,Setup!$A$25:$A$36,0))),"—"))</f>
        <v>—</v>
      </c>
      <c r="P30" s="21" t="str">
        <f>IF(OR($B30="",$G30="",$D30="Cancelled",$D30="Owner block"),"—",IF(IFERROR(INDEX(Setup!$G$25:$G$36,MATCH($B30,Setup!$A$25:$A$36,0)),0)+IFERROR(INDEX(Setup!$H$25:$H$36,MATCH($B30,Setup!$A$25:$A$36,0)),0)*IF(ISNUMBER($H30),$H30,0)=0,"—",ROUND(IFERROR(INDEX(Setup!$G$25:$G$36,MATCH($B30,Setup!$A$25:$A$36,0)),0)+IFERROR(INDEX(Setup!$H$25:$H$36,MATCH($B30,Setup!$A$25:$A$36,0)),0)*IF(ISNUMBER($H30),$H30,0),2)))</f>
        <v>—</v>
      </c>
      <c r="Q30" s="21" t="str">
        <f t="shared" si="2"/>
        <v>—</v>
      </c>
      <c r="R30" s="21" t="str">
        <f t="shared" si="3"/>
        <v>—</v>
      </c>
      <c r="S30" s="8"/>
      <c r="T30" s="19" t="str">
        <f ca="1">IF(OR(NOT(ISNUMBER($F30)),NOT(ISNUMBER($G30)),NOT(ISNUMBER(Dashboard!$P$2)),NOT(ISNUMBER(Dashboard!$P$3)),$D30="Cancelled",$D30="Owner block"),"—",IF(MAX(0,MIN($G30,Dashboard!$P$3+1)-MAX($F30,Dashboard!$P$2))=0,"—",MAX(0,MIN($G30,Dashboard!$P$3+1)-MAX($F30,Dashboard!$P$2))))</f>
        <v>—</v>
      </c>
      <c r="U30" s="19" t="str">
        <f ca="1">IF(OR(NOT(ISNUMBER($F30)),NOT(ISNUMBER($G30)),NOT(ISNUMBER(Dashboard!$P$2)),NOT(ISNUMBER(Dashboard!$P$3)),$D30&lt;&gt;"Owner block"),"—",IF(MAX(0,MIN($G30,Dashboard!$P$3+1)-MAX($F30,Dashboard!$P$2))=0,"—",MAX(0,MIN($G30,Dashboard!$P$3+1)-MAX($F30,Dashboard!$P$2))))</f>
        <v>—</v>
      </c>
      <c r="V30" s="7" t="str">
        <f>IF($B30="",IF(COUNTA($C30:$G30,$I30:$K30,$S30)=0,"","⚠ no property — not counted"),IF(COUNTIF(Setup!$A$25:$A$36,$B30)=0,"⚠ property not in Setup",IF(AND($F30&lt;&gt;"",NOT(ISNUMBER($F30))),"⚠ check-in is not a real date",IF(AND($G30&lt;&gt;"",NOT(ISNUMBER($G30))),"⚠ check-out is not a real date",IF(AND($J30&lt;&gt;"",NOT(ISNUMBER($J30))),"⚠ booking value is not a number","OK")))))</f>
        <v/>
      </c>
      <c r="W30" s="21" t="str">
        <f t="shared" si="4"/>
        <v>—</v>
      </c>
    </row>
    <row r="31" spans="1:23" x14ac:dyDescent="0.2">
      <c r="A31" s="30">
        <v>27</v>
      </c>
      <c r="B31" s="3"/>
      <c r="C31" s="3"/>
      <c r="D31" s="3"/>
      <c r="E31" s="3"/>
      <c r="F31" s="31"/>
      <c r="G31" s="31"/>
      <c r="H31" s="19" t="str">
        <f t="shared" si="0"/>
        <v>—</v>
      </c>
      <c r="I31" s="32"/>
      <c r="J31" s="6"/>
      <c r="K31" s="33"/>
      <c r="L31" s="21" t="str">
        <f>IF(OR($B31="",NOT(ISNUMBER($J31)),$D31="Cancelled",$D31="Owner block"),"—",ROUND($J31*IF(ISNUMBER($K31),IF($K31&gt;1,$K31/100,$K31),IF(IFERROR(INDEX(Setup!$D$25:$D$36,MATCH($B31,Setup!$A$25:$A$36,0)),0)&gt;1,IFERROR(INDEX(Setup!$D$25:$D$36,MATCH($B31,Setup!$A$25:$A$36,0)),0)/100,IFERROR(INDEX(Setup!$D$25:$D$36,MATCH($B31,Setup!$A$25:$A$36,0)),0))),2))</f>
        <v>—</v>
      </c>
      <c r="M31" s="21" t="str">
        <f t="shared" si="1"/>
        <v>—</v>
      </c>
      <c r="N31" s="21" t="str">
        <f>IF(OR($B31="",$G31="",$D31="Cancelled"),"—",IFERROR(IF(INDEX(Setup!$E$25:$E$36,MATCH($B31,Setup!$A$25:$A$36,0))=0,"—",INDEX(Setup!$E$25:$E$36,MATCH($B31,Setup!$A$25:$A$36,0))),"—"))</f>
        <v>—</v>
      </c>
      <c r="O31" s="21" t="str">
        <f>IF(OR($B31="",$G31="",$D31="Cancelled"),"—",IFERROR(IF(INDEX(Setup!$F$25:$F$36,MATCH($B31,Setup!$A$25:$A$36,0))=0,"—",INDEX(Setup!$F$25:$F$36,MATCH($B31,Setup!$A$25:$A$36,0))),"—"))</f>
        <v>—</v>
      </c>
      <c r="P31" s="21" t="str">
        <f>IF(OR($B31="",$G31="",$D31="Cancelled",$D31="Owner block"),"—",IF(IFERROR(INDEX(Setup!$G$25:$G$36,MATCH($B31,Setup!$A$25:$A$36,0)),0)+IFERROR(INDEX(Setup!$H$25:$H$36,MATCH($B31,Setup!$A$25:$A$36,0)),0)*IF(ISNUMBER($H31),$H31,0)=0,"—",ROUND(IFERROR(INDEX(Setup!$G$25:$G$36,MATCH($B31,Setup!$A$25:$A$36,0)),0)+IFERROR(INDEX(Setup!$H$25:$H$36,MATCH($B31,Setup!$A$25:$A$36,0)),0)*IF(ISNUMBER($H31),$H31,0),2)))</f>
        <v>—</v>
      </c>
      <c r="Q31" s="21" t="str">
        <f t="shared" si="2"/>
        <v>—</v>
      </c>
      <c r="R31" s="21" t="str">
        <f t="shared" si="3"/>
        <v>—</v>
      </c>
      <c r="S31" s="3"/>
      <c r="T31" s="19" t="str">
        <f ca="1">IF(OR(NOT(ISNUMBER($F31)),NOT(ISNUMBER($G31)),NOT(ISNUMBER(Dashboard!$P$2)),NOT(ISNUMBER(Dashboard!$P$3)),$D31="Cancelled",$D31="Owner block"),"—",IF(MAX(0,MIN($G31,Dashboard!$P$3+1)-MAX($F31,Dashboard!$P$2))=0,"—",MAX(0,MIN($G31,Dashboard!$P$3+1)-MAX($F31,Dashboard!$P$2))))</f>
        <v>—</v>
      </c>
      <c r="U31" s="19" t="str">
        <f ca="1">IF(OR(NOT(ISNUMBER($F31)),NOT(ISNUMBER($G31)),NOT(ISNUMBER(Dashboard!$P$2)),NOT(ISNUMBER(Dashboard!$P$3)),$D31&lt;&gt;"Owner block"),"—",IF(MAX(0,MIN($G31,Dashboard!$P$3+1)-MAX($F31,Dashboard!$P$2))=0,"—",MAX(0,MIN($G31,Dashboard!$P$3+1)-MAX($F31,Dashboard!$P$2))))</f>
        <v>—</v>
      </c>
      <c r="V31" s="7" t="str">
        <f>IF($B31="",IF(COUNTA($C31:$G31,$I31:$K31,$S31)=0,"","⚠ no property — not counted"),IF(COUNTIF(Setup!$A$25:$A$36,$B31)=0,"⚠ property not in Setup",IF(AND($F31&lt;&gt;"",NOT(ISNUMBER($F31))),"⚠ check-in is not a real date",IF(AND($G31&lt;&gt;"",NOT(ISNUMBER($G31))),"⚠ check-out is not a real date",IF(AND($J31&lt;&gt;"",NOT(ISNUMBER($J31))),"⚠ booking value is not a number","OK")))))</f>
        <v/>
      </c>
      <c r="W31" s="21" t="str">
        <f t="shared" si="4"/>
        <v>—</v>
      </c>
    </row>
    <row r="32" spans="1:23" x14ac:dyDescent="0.2">
      <c r="A32" s="30">
        <v>28</v>
      </c>
      <c r="B32" s="8"/>
      <c r="C32" s="8"/>
      <c r="D32" s="8"/>
      <c r="E32" s="8"/>
      <c r="F32" s="34"/>
      <c r="G32" s="34"/>
      <c r="H32" s="19" t="str">
        <f t="shared" si="0"/>
        <v>—</v>
      </c>
      <c r="I32" s="35"/>
      <c r="J32" s="11"/>
      <c r="K32" s="36"/>
      <c r="L32" s="21" t="str">
        <f>IF(OR($B32="",NOT(ISNUMBER($J32)),$D32="Cancelled",$D32="Owner block"),"—",ROUND($J32*IF(ISNUMBER($K32),IF($K32&gt;1,$K32/100,$K32),IF(IFERROR(INDEX(Setup!$D$25:$D$36,MATCH($B32,Setup!$A$25:$A$36,0)),0)&gt;1,IFERROR(INDEX(Setup!$D$25:$D$36,MATCH($B32,Setup!$A$25:$A$36,0)),0)/100,IFERROR(INDEX(Setup!$D$25:$D$36,MATCH($B32,Setup!$A$25:$A$36,0)),0))),2))</f>
        <v>—</v>
      </c>
      <c r="M32" s="21" t="str">
        <f t="shared" si="1"/>
        <v>—</v>
      </c>
      <c r="N32" s="21" t="str">
        <f>IF(OR($B32="",$G32="",$D32="Cancelled"),"—",IFERROR(IF(INDEX(Setup!$E$25:$E$36,MATCH($B32,Setup!$A$25:$A$36,0))=0,"—",INDEX(Setup!$E$25:$E$36,MATCH($B32,Setup!$A$25:$A$36,0))),"—"))</f>
        <v>—</v>
      </c>
      <c r="O32" s="21" t="str">
        <f>IF(OR($B32="",$G32="",$D32="Cancelled"),"—",IFERROR(IF(INDEX(Setup!$F$25:$F$36,MATCH($B32,Setup!$A$25:$A$36,0))=0,"—",INDEX(Setup!$F$25:$F$36,MATCH($B32,Setup!$A$25:$A$36,0))),"—"))</f>
        <v>—</v>
      </c>
      <c r="P32" s="21" t="str">
        <f>IF(OR($B32="",$G32="",$D32="Cancelled",$D32="Owner block"),"—",IF(IFERROR(INDEX(Setup!$G$25:$G$36,MATCH($B32,Setup!$A$25:$A$36,0)),0)+IFERROR(INDEX(Setup!$H$25:$H$36,MATCH($B32,Setup!$A$25:$A$36,0)),0)*IF(ISNUMBER($H32),$H32,0)=0,"—",ROUND(IFERROR(INDEX(Setup!$G$25:$G$36,MATCH($B32,Setup!$A$25:$A$36,0)),0)+IFERROR(INDEX(Setup!$H$25:$H$36,MATCH($B32,Setup!$A$25:$A$36,0)),0)*IF(ISNUMBER($H32),$H32,0),2)))</f>
        <v>—</v>
      </c>
      <c r="Q32" s="21" t="str">
        <f t="shared" si="2"/>
        <v>—</v>
      </c>
      <c r="R32" s="21" t="str">
        <f t="shared" si="3"/>
        <v>—</v>
      </c>
      <c r="S32" s="8"/>
      <c r="T32" s="19" t="str">
        <f ca="1">IF(OR(NOT(ISNUMBER($F32)),NOT(ISNUMBER($G32)),NOT(ISNUMBER(Dashboard!$P$2)),NOT(ISNUMBER(Dashboard!$P$3)),$D32="Cancelled",$D32="Owner block"),"—",IF(MAX(0,MIN($G32,Dashboard!$P$3+1)-MAX($F32,Dashboard!$P$2))=0,"—",MAX(0,MIN($G32,Dashboard!$P$3+1)-MAX($F32,Dashboard!$P$2))))</f>
        <v>—</v>
      </c>
      <c r="U32" s="19" t="str">
        <f ca="1">IF(OR(NOT(ISNUMBER($F32)),NOT(ISNUMBER($G32)),NOT(ISNUMBER(Dashboard!$P$2)),NOT(ISNUMBER(Dashboard!$P$3)),$D32&lt;&gt;"Owner block"),"—",IF(MAX(0,MIN($G32,Dashboard!$P$3+1)-MAX($F32,Dashboard!$P$2))=0,"—",MAX(0,MIN($G32,Dashboard!$P$3+1)-MAX($F32,Dashboard!$P$2))))</f>
        <v>—</v>
      </c>
      <c r="V32" s="7" t="str">
        <f>IF($B32="",IF(COUNTA($C32:$G32,$I32:$K32,$S32)=0,"","⚠ no property — not counted"),IF(COUNTIF(Setup!$A$25:$A$36,$B32)=0,"⚠ property not in Setup",IF(AND($F32&lt;&gt;"",NOT(ISNUMBER($F32))),"⚠ check-in is not a real date",IF(AND($G32&lt;&gt;"",NOT(ISNUMBER($G32))),"⚠ check-out is not a real date",IF(AND($J32&lt;&gt;"",NOT(ISNUMBER($J32))),"⚠ booking value is not a number","OK")))))</f>
        <v/>
      </c>
      <c r="W32" s="21" t="str">
        <f t="shared" si="4"/>
        <v>—</v>
      </c>
    </row>
    <row r="33" spans="1:23" x14ac:dyDescent="0.2">
      <c r="A33" s="30">
        <v>29</v>
      </c>
      <c r="B33" s="3"/>
      <c r="C33" s="3"/>
      <c r="D33" s="3"/>
      <c r="E33" s="3"/>
      <c r="F33" s="31"/>
      <c r="G33" s="31"/>
      <c r="H33" s="19" t="str">
        <f t="shared" si="0"/>
        <v>—</v>
      </c>
      <c r="I33" s="32"/>
      <c r="J33" s="6"/>
      <c r="K33" s="33"/>
      <c r="L33" s="21" t="str">
        <f>IF(OR($B33="",NOT(ISNUMBER($J33)),$D33="Cancelled",$D33="Owner block"),"—",ROUND($J33*IF(ISNUMBER($K33),IF($K33&gt;1,$K33/100,$K33),IF(IFERROR(INDEX(Setup!$D$25:$D$36,MATCH($B33,Setup!$A$25:$A$36,0)),0)&gt;1,IFERROR(INDEX(Setup!$D$25:$D$36,MATCH($B33,Setup!$A$25:$A$36,0)),0)/100,IFERROR(INDEX(Setup!$D$25:$D$36,MATCH($B33,Setup!$A$25:$A$36,0)),0))),2))</f>
        <v>—</v>
      </c>
      <c r="M33" s="21" t="str">
        <f t="shared" si="1"/>
        <v>—</v>
      </c>
      <c r="N33" s="21" t="str">
        <f>IF(OR($B33="",$G33="",$D33="Cancelled"),"—",IFERROR(IF(INDEX(Setup!$E$25:$E$36,MATCH($B33,Setup!$A$25:$A$36,0))=0,"—",INDEX(Setup!$E$25:$E$36,MATCH($B33,Setup!$A$25:$A$36,0))),"—"))</f>
        <v>—</v>
      </c>
      <c r="O33" s="21" t="str">
        <f>IF(OR($B33="",$G33="",$D33="Cancelled"),"—",IFERROR(IF(INDEX(Setup!$F$25:$F$36,MATCH($B33,Setup!$A$25:$A$36,0))=0,"—",INDEX(Setup!$F$25:$F$36,MATCH($B33,Setup!$A$25:$A$36,0))),"—"))</f>
        <v>—</v>
      </c>
      <c r="P33" s="21" t="str">
        <f>IF(OR($B33="",$G33="",$D33="Cancelled",$D33="Owner block"),"—",IF(IFERROR(INDEX(Setup!$G$25:$G$36,MATCH($B33,Setup!$A$25:$A$36,0)),0)+IFERROR(INDEX(Setup!$H$25:$H$36,MATCH($B33,Setup!$A$25:$A$36,0)),0)*IF(ISNUMBER($H33),$H33,0)=0,"—",ROUND(IFERROR(INDEX(Setup!$G$25:$G$36,MATCH($B33,Setup!$A$25:$A$36,0)),0)+IFERROR(INDEX(Setup!$H$25:$H$36,MATCH($B33,Setup!$A$25:$A$36,0)),0)*IF(ISNUMBER($H33),$H33,0),2)))</f>
        <v>—</v>
      </c>
      <c r="Q33" s="21" t="str">
        <f t="shared" si="2"/>
        <v>—</v>
      </c>
      <c r="R33" s="21" t="str">
        <f t="shared" si="3"/>
        <v>—</v>
      </c>
      <c r="S33" s="3"/>
      <c r="T33" s="19" t="str">
        <f ca="1">IF(OR(NOT(ISNUMBER($F33)),NOT(ISNUMBER($G33)),NOT(ISNUMBER(Dashboard!$P$2)),NOT(ISNUMBER(Dashboard!$P$3)),$D33="Cancelled",$D33="Owner block"),"—",IF(MAX(0,MIN($G33,Dashboard!$P$3+1)-MAX($F33,Dashboard!$P$2))=0,"—",MAX(0,MIN($G33,Dashboard!$P$3+1)-MAX($F33,Dashboard!$P$2))))</f>
        <v>—</v>
      </c>
      <c r="U33" s="19" t="str">
        <f ca="1">IF(OR(NOT(ISNUMBER($F33)),NOT(ISNUMBER($G33)),NOT(ISNUMBER(Dashboard!$P$2)),NOT(ISNUMBER(Dashboard!$P$3)),$D33&lt;&gt;"Owner block"),"—",IF(MAX(0,MIN($G33,Dashboard!$P$3+1)-MAX($F33,Dashboard!$P$2))=0,"—",MAX(0,MIN($G33,Dashboard!$P$3+1)-MAX($F33,Dashboard!$P$2))))</f>
        <v>—</v>
      </c>
      <c r="V33" s="7" t="str">
        <f>IF($B33="",IF(COUNTA($C33:$G33,$I33:$K33,$S33)=0,"","⚠ no property — not counted"),IF(COUNTIF(Setup!$A$25:$A$36,$B33)=0,"⚠ property not in Setup",IF(AND($F33&lt;&gt;"",NOT(ISNUMBER($F33))),"⚠ check-in is not a real date",IF(AND($G33&lt;&gt;"",NOT(ISNUMBER($G33))),"⚠ check-out is not a real date",IF(AND($J33&lt;&gt;"",NOT(ISNUMBER($J33))),"⚠ booking value is not a number","OK")))))</f>
        <v/>
      </c>
      <c r="W33" s="21" t="str">
        <f t="shared" si="4"/>
        <v>—</v>
      </c>
    </row>
    <row r="34" spans="1:23" x14ac:dyDescent="0.2">
      <c r="A34" s="30">
        <v>30</v>
      </c>
      <c r="B34" s="8"/>
      <c r="C34" s="8"/>
      <c r="D34" s="8"/>
      <c r="E34" s="8"/>
      <c r="F34" s="34"/>
      <c r="G34" s="34"/>
      <c r="H34" s="19" t="str">
        <f t="shared" si="0"/>
        <v>—</v>
      </c>
      <c r="I34" s="35"/>
      <c r="J34" s="11"/>
      <c r="K34" s="36"/>
      <c r="L34" s="21" t="str">
        <f>IF(OR($B34="",NOT(ISNUMBER($J34)),$D34="Cancelled",$D34="Owner block"),"—",ROUND($J34*IF(ISNUMBER($K34),IF($K34&gt;1,$K34/100,$K34),IF(IFERROR(INDEX(Setup!$D$25:$D$36,MATCH($B34,Setup!$A$25:$A$36,0)),0)&gt;1,IFERROR(INDEX(Setup!$D$25:$D$36,MATCH($B34,Setup!$A$25:$A$36,0)),0)/100,IFERROR(INDEX(Setup!$D$25:$D$36,MATCH($B34,Setup!$A$25:$A$36,0)),0))),2))</f>
        <v>—</v>
      </c>
      <c r="M34" s="21" t="str">
        <f t="shared" si="1"/>
        <v>—</v>
      </c>
      <c r="N34" s="21" t="str">
        <f>IF(OR($B34="",$G34="",$D34="Cancelled"),"—",IFERROR(IF(INDEX(Setup!$E$25:$E$36,MATCH($B34,Setup!$A$25:$A$36,0))=0,"—",INDEX(Setup!$E$25:$E$36,MATCH($B34,Setup!$A$25:$A$36,0))),"—"))</f>
        <v>—</v>
      </c>
      <c r="O34" s="21" t="str">
        <f>IF(OR($B34="",$G34="",$D34="Cancelled"),"—",IFERROR(IF(INDEX(Setup!$F$25:$F$36,MATCH($B34,Setup!$A$25:$A$36,0))=0,"—",INDEX(Setup!$F$25:$F$36,MATCH($B34,Setup!$A$25:$A$36,0))),"—"))</f>
        <v>—</v>
      </c>
      <c r="P34" s="21" t="str">
        <f>IF(OR($B34="",$G34="",$D34="Cancelled",$D34="Owner block"),"—",IF(IFERROR(INDEX(Setup!$G$25:$G$36,MATCH($B34,Setup!$A$25:$A$36,0)),0)+IFERROR(INDEX(Setup!$H$25:$H$36,MATCH($B34,Setup!$A$25:$A$36,0)),0)*IF(ISNUMBER($H34),$H34,0)=0,"—",ROUND(IFERROR(INDEX(Setup!$G$25:$G$36,MATCH($B34,Setup!$A$25:$A$36,0)),0)+IFERROR(INDEX(Setup!$H$25:$H$36,MATCH($B34,Setup!$A$25:$A$36,0)),0)*IF(ISNUMBER($H34),$H34,0),2)))</f>
        <v>—</v>
      </c>
      <c r="Q34" s="21" t="str">
        <f t="shared" si="2"/>
        <v>—</v>
      </c>
      <c r="R34" s="21" t="str">
        <f t="shared" si="3"/>
        <v>—</v>
      </c>
      <c r="S34" s="8"/>
      <c r="T34" s="19" t="str">
        <f ca="1">IF(OR(NOT(ISNUMBER($F34)),NOT(ISNUMBER($G34)),NOT(ISNUMBER(Dashboard!$P$2)),NOT(ISNUMBER(Dashboard!$P$3)),$D34="Cancelled",$D34="Owner block"),"—",IF(MAX(0,MIN($G34,Dashboard!$P$3+1)-MAX($F34,Dashboard!$P$2))=0,"—",MAX(0,MIN($G34,Dashboard!$P$3+1)-MAX($F34,Dashboard!$P$2))))</f>
        <v>—</v>
      </c>
      <c r="U34" s="19" t="str">
        <f ca="1">IF(OR(NOT(ISNUMBER($F34)),NOT(ISNUMBER($G34)),NOT(ISNUMBER(Dashboard!$P$2)),NOT(ISNUMBER(Dashboard!$P$3)),$D34&lt;&gt;"Owner block"),"—",IF(MAX(0,MIN($G34,Dashboard!$P$3+1)-MAX($F34,Dashboard!$P$2))=0,"—",MAX(0,MIN($G34,Dashboard!$P$3+1)-MAX($F34,Dashboard!$P$2))))</f>
        <v>—</v>
      </c>
      <c r="V34" s="7" t="str">
        <f>IF($B34="",IF(COUNTA($C34:$G34,$I34:$K34,$S34)=0,"","⚠ no property — not counted"),IF(COUNTIF(Setup!$A$25:$A$36,$B34)=0,"⚠ property not in Setup",IF(AND($F34&lt;&gt;"",NOT(ISNUMBER($F34))),"⚠ check-in is not a real date",IF(AND($G34&lt;&gt;"",NOT(ISNUMBER($G34))),"⚠ check-out is not a real date",IF(AND($J34&lt;&gt;"",NOT(ISNUMBER($J34))),"⚠ booking value is not a number","OK")))))</f>
        <v/>
      </c>
      <c r="W34" s="21" t="str">
        <f t="shared" si="4"/>
        <v>—</v>
      </c>
    </row>
    <row r="35" spans="1:23" x14ac:dyDescent="0.2">
      <c r="A35" s="30">
        <v>31</v>
      </c>
      <c r="B35" s="3"/>
      <c r="C35" s="3"/>
      <c r="D35" s="3"/>
      <c r="E35" s="3"/>
      <c r="F35" s="31"/>
      <c r="G35" s="31"/>
      <c r="H35" s="19" t="str">
        <f t="shared" si="0"/>
        <v>—</v>
      </c>
      <c r="I35" s="32"/>
      <c r="J35" s="6"/>
      <c r="K35" s="33"/>
      <c r="L35" s="21" t="str">
        <f>IF(OR($B35="",NOT(ISNUMBER($J35)),$D35="Cancelled",$D35="Owner block"),"—",ROUND($J35*IF(ISNUMBER($K35),IF($K35&gt;1,$K35/100,$K35),IF(IFERROR(INDEX(Setup!$D$25:$D$36,MATCH($B35,Setup!$A$25:$A$36,0)),0)&gt;1,IFERROR(INDEX(Setup!$D$25:$D$36,MATCH($B35,Setup!$A$25:$A$36,0)),0)/100,IFERROR(INDEX(Setup!$D$25:$D$36,MATCH($B35,Setup!$A$25:$A$36,0)),0))),2))</f>
        <v>—</v>
      </c>
      <c r="M35" s="21" t="str">
        <f t="shared" si="1"/>
        <v>—</v>
      </c>
      <c r="N35" s="21" t="str">
        <f>IF(OR($B35="",$G35="",$D35="Cancelled"),"—",IFERROR(IF(INDEX(Setup!$E$25:$E$36,MATCH($B35,Setup!$A$25:$A$36,0))=0,"—",INDEX(Setup!$E$25:$E$36,MATCH($B35,Setup!$A$25:$A$36,0))),"—"))</f>
        <v>—</v>
      </c>
      <c r="O35" s="21" t="str">
        <f>IF(OR($B35="",$G35="",$D35="Cancelled"),"—",IFERROR(IF(INDEX(Setup!$F$25:$F$36,MATCH($B35,Setup!$A$25:$A$36,0))=0,"—",INDEX(Setup!$F$25:$F$36,MATCH($B35,Setup!$A$25:$A$36,0))),"—"))</f>
        <v>—</v>
      </c>
      <c r="P35" s="21" t="str">
        <f>IF(OR($B35="",$G35="",$D35="Cancelled",$D35="Owner block"),"—",IF(IFERROR(INDEX(Setup!$G$25:$G$36,MATCH($B35,Setup!$A$25:$A$36,0)),0)+IFERROR(INDEX(Setup!$H$25:$H$36,MATCH($B35,Setup!$A$25:$A$36,0)),0)*IF(ISNUMBER($H35),$H35,0)=0,"—",ROUND(IFERROR(INDEX(Setup!$G$25:$G$36,MATCH($B35,Setup!$A$25:$A$36,0)),0)+IFERROR(INDEX(Setup!$H$25:$H$36,MATCH($B35,Setup!$A$25:$A$36,0)),0)*IF(ISNUMBER($H35),$H35,0),2)))</f>
        <v>—</v>
      </c>
      <c r="Q35" s="21" t="str">
        <f t="shared" si="2"/>
        <v>—</v>
      </c>
      <c r="R35" s="21" t="str">
        <f t="shared" si="3"/>
        <v>—</v>
      </c>
      <c r="S35" s="3"/>
      <c r="T35" s="19" t="str">
        <f ca="1">IF(OR(NOT(ISNUMBER($F35)),NOT(ISNUMBER($G35)),NOT(ISNUMBER(Dashboard!$P$2)),NOT(ISNUMBER(Dashboard!$P$3)),$D35="Cancelled",$D35="Owner block"),"—",IF(MAX(0,MIN($G35,Dashboard!$P$3+1)-MAX($F35,Dashboard!$P$2))=0,"—",MAX(0,MIN($G35,Dashboard!$P$3+1)-MAX($F35,Dashboard!$P$2))))</f>
        <v>—</v>
      </c>
      <c r="U35" s="19" t="str">
        <f ca="1">IF(OR(NOT(ISNUMBER($F35)),NOT(ISNUMBER($G35)),NOT(ISNUMBER(Dashboard!$P$2)),NOT(ISNUMBER(Dashboard!$P$3)),$D35&lt;&gt;"Owner block"),"—",IF(MAX(0,MIN($G35,Dashboard!$P$3+1)-MAX($F35,Dashboard!$P$2))=0,"—",MAX(0,MIN($G35,Dashboard!$P$3+1)-MAX($F35,Dashboard!$P$2))))</f>
        <v>—</v>
      </c>
      <c r="V35" s="7" t="str">
        <f>IF($B35="",IF(COUNTA($C35:$G35,$I35:$K35,$S35)=0,"","⚠ no property — not counted"),IF(COUNTIF(Setup!$A$25:$A$36,$B35)=0,"⚠ property not in Setup",IF(AND($F35&lt;&gt;"",NOT(ISNUMBER($F35))),"⚠ check-in is not a real date",IF(AND($G35&lt;&gt;"",NOT(ISNUMBER($G35))),"⚠ check-out is not a real date",IF(AND($J35&lt;&gt;"",NOT(ISNUMBER($J35))),"⚠ booking value is not a number","OK")))))</f>
        <v/>
      </c>
      <c r="W35" s="21" t="str">
        <f t="shared" si="4"/>
        <v>—</v>
      </c>
    </row>
    <row r="36" spans="1:23" x14ac:dyDescent="0.2">
      <c r="A36" s="30">
        <v>32</v>
      </c>
      <c r="B36" s="8"/>
      <c r="C36" s="8"/>
      <c r="D36" s="8"/>
      <c r="E36" s="8"/>
      <c r="F36" s="34"/>
      <c r="G36" s="34"/>
      <c r="H36" s="19" t="str">
        <f t="shared" si="0"/>
        <v>—</v>
      </c>
      <c r="I36" s="35"/>
      <c r="J36" s="11"/>
      <c r="K36" s="36"/>
      <c r="L36" s="21" t="str">
        <f>IF(OR($B36="",NOT(ISNUMBER($J36)),$D36="Cancelled",$D36="Owner block"),"—",ROUND($J36*IF(ISNUMBER($K36),IF($K36&gt;1,$K36/100,$K36),IF(IFERROR(INDEX(Setup!$D$25:$D$36,MATCH($B36,Setup!$A$25:$A$36,0)),0)&gt;1,IFERROR(INDEX(Setup!$D$25:$D$36,MATCH($B36,Setup!$A$25:$A$36,0)),0)/100,IFERROR(INDEX(Setup!$D$25:$D$36,MATCH($B36,Setup!$A$25:$A$36,0)),0))),2))</f>
        <v>—</v>
      </c>
      <c r="M36" s="21" t="str">
        <f t="shared" si="1"/>
        <v>—</v>
      </c>
      <c r="N36" s="21" t="str">
        <f>IF(OR($B36="",$G36="",$D36="Cancelled"),"—",IFERROR(IF(INDEX(Setup!$E$25:$E$36,MATCH($B36,Setup!$A$25:$A$36,0))=0,"—",INDEX(Setup!$E$25:$E$36,MATCH($B36,Setup!$A$25:$A$36,0))),"—"))</f>
        <v>—</v>
      </c>
      <c r="O36" s="21" t="str">
        <f>IF(OR($B36="",$G36="",$D36="Cancelled"),"—",IFERROR(IF(INDEX(Setup!$F$25:$F$36,MATCH($B36,Setup!$A$25:$A$36,0))=0,"—",INDEX(Setup!$F$25:$F$36,MATCH($B36,Setup!$A$25:$A$36,0))),"—"))</f>
        <v>—</v>
      </c>
      <c r="P36" s="21" t="str">
        <f>IF(OR($B36="",$G36="",$D36="Cancelled",$D36="Owner block"),"—",IF(IFERROR(INDEX(Setup!$G$25:$G$36,MATCH($B36,Setup!$A$25:$A$36,0)),0)+IFERROR(INDEX(Setup!$H$25:$H$36,MATCH($B36,Setup!$A$25:$A$36,0)),0)*IF(ISNUMBER($H36),$H36,0)=0,"—",ROUND(IFERROR(INDEX(Setup!$G$25:$G$36,MATCH($B36,Setup!$A$25:$A$36,0)),0)+IFERROR(INDEX(Setup!$H$25:$H$36,MATCH($B36,Setup!$A$25:$A$36,0)),0)*IF(ISNUMBER($H36),$H36,0),2)))</f>
        <v>—</v>
      </c>
      <c r="Q36" s="21" t="str">
        <f t="shared" si="2"/>
        <v>—</v>
      </c>
      <c r="R36" s="21" t="str">
        <f t="shared" si="3"/>
        <v>—</v>
      </c>
      <c r="S36" s="8"/>
      <c r="T36" s="19" t="str">
        <f ca="1">IF(OR(NOT(ISNUMBER($F36)),NOT(ISNUMBER($G36)),NOT(ISNUMBER(Dashboard!$P$2)),NOT(ISNUMBER(Dashboard!$P$3)),$D36="Cancelled",$D36="Owner block"),"—",IF(MAX(0,MIN($G36,Dashboard!$P$3+1)-MAX($F36,Dashboard!$P$2))=0,"—",MAX(0,MIN($G36,Dashboard!$P$3+1)-MAX($F36,Dashboard!$P$2))))</f>
        <v>—</v>
      </c>
      <c r="U36" s="19" t="str">
        <f ca="1">IF(OR(NOT(ISNUMBER($F36)),NOT(ISNUMBER($G36)),NOT(ISNUMBER(Dashboard!$P$2)),NOT(ISNUMBER(Dashboard!$P$3)),$D36&lt;&gt;"Owner block"),"—",IF(MAX(0,MIN($G36,Dashboard!$P$3+1)-MAX($F36,Dashboard!$P$2))=0,"—",MAX(0,MIN($G36,Dashboard!$P$3+1)-MAX($F36,Dashboard!$P$2))))</f>
        <v>—</v>
      </c>
      <c r="V36" s="7" t="str">
        <f>IF($B36="",IF(COUNTA($C36:$G36,$I36:$K36,$S36)=0,"","⚠ no property — not counted"),IF(COUNTIF(Setup!$A$25:$A$36,$B36)=0,"⚠ property not in Setup",IF(AND($F36&lt;&gt;"",NOT(ISNUMBER($F36))),"⚠ check-in is not a real date",IF(AND($G36&lt;&gt;"",NOT(ISNUMBER($G36))),"⚠ check-out is not a real date",IF(AND($J36&lt;&gt;"",NOT(ISNUMBER($J36))),"⚠ booking value is not a number","OK")))))</f>
        <v/>
      </c>
      <c r="W36" s="21" t="str">
        <f t="shared" si="4"/>
        <v>—</v>
      </c>
    </row>
    <row r="37" spans="1:23" x14ac:dyDescent="0.2">
      <c r="A37" s="30">
        <v>33</v>
      </c>
      <c r="B37" s="3"/>
      <c r="C37" s="3"/>
      <c r="D37" s="3"/>
      <c r="E37" s="3"/>
      <c r="F37" s="31"/>
      <c r="G37" s="31"/>
      <c r="H37" s="19" t="str">
        <f t="shared" si="0"/>
        <v>—</v>
      </c>
      <c r="I37" s="32"/>
      <c r="J37" s="6"/>
      <c r="K37" s="33"/>
      <c r="L37" s="21" t="str">
        <f>IF(OR($B37="",NOT(ISNUMBER($J37)),$D37="Cancelled",$D37="Owner block"),"—",ROUND($J37*IF(ISNUMBER($K37),IF($K37&gt;1,$K37/100,$K37),IF(IFERROR(INDEX(Setup!$D$25:$D$36,MATCH($B37,Setup!$A$25:$A$36,0)),0)&gt;1,IFERROR(INDEX(Setup!$D$25:$D$36,MATCH($B37,Setup!$A$25:$A$36,0)),0)/100,IFERROR(INDEX(Setup!$D$25:$D$36,MATCH($B37,Setup!$A$25:$A$36,0)),0))),2))</f>
        <v>—</v>
      </c>
      <c r="M37" s="21" t="str">
        <f t="shared" si="1"/>
        <v>—</v>
      </c>
      <c r="N37" s="21" t="str">
        <f>IF(OR($B37="",$G37="",$D37="Cancelled"),"—",IFERROR(IF(INDEX(Setup!$E$25:$E$36,MATCH($B37,Setup!$A$25:$A$36,0))=0,"—",INDEX(Setup!$E$25:$E$36,MATCH($B37,Setup!$A$25:$A$36,0))),"—"))</f>
        <v>—</v>
      </c>
      <c r="O37" s="21" t="str">
        <f>IF(OR($B37="",$G37="",$D37="Cancelled"),"—",IFERROR(IF(INDEX(Setup!$F$25:$F$36,MATCH($B37,Setup!$A$25:$A$36,0))=0,"—",INDEX(Setup!$F$25:$F$36,MATCH($B37,Setup!$A$25:$A$36,0))),"—"))</f>
        <v>—</v>
      </c>
      <c r="P37" s="21" t="str">
        <f>IF(OR($B37="",$G37="",$D37="Cancelled",$D37="Owner block"),"—",IF(IFERROR(INDEX(Setup!$G$25:$G$36,MATCH($B37,Setup!$A$25:$A$36,0)),0)+IFERROR(INDEX(Setup!$H$25:$H$36,MATCH($B37,Setup!$A$25:$A$36,0)),0)*IF(ISNUMBER($H37),$H37,0)=0,"—",ROUND(IFERROR(INDEX(Setup!$G$25:$G$36,MATCH($B37,Setup!$A$25:$A$36,0)),0)+IFERROR(INDEX(Setup!$H$25:$H$36,MATCH($B37,Setup!$A$25:$A$36,0)),0)*IF(ISNUMBER($H37),$H37,0),2)))</f>
        <v>—</v>
      </c>
      <c r="Q37" s="21" t="str">
        <f t="shared" si="2"/>
        <v>—</v>
      </c>
      <c r="R37" s="21" t="str">
        <f t="shared" si="3"/>
        <v>—</v>
      </c>
      <c r="S37" s="3"/>
      <c r="T37" s="19" t="str">
        <f ca="1">IF(OR(NOT(ISNUMBER($F37)),NOT(ISNUMBER($G37)),NOT(ISNUMBER(Dashboard!$P$2)),NOT(ISNUMBER(Dashboard!$P$3)),$D37="Cancelled",$D37="Owner block"),"—",IF(MAX(0,MIN($G37,Dashboard!$P$3+1)-MAX($F37,Dashboard!$P$2))=0,"—",MAX(0,MIN($G37,Dashboard!$P$3+1)-MAX($F37,Dashboard!$P$2))))</f>
        <v>—</v>
      </c>
      <c r="U37" s="19" t="str">
        <f ca="1">IF(OR(NOT(ISNUMBER($F37)),NOT(ISNUMBER($G37)),NOT(ISNUMBER(Dashboard!$P$2)),NOT(ISNUMBER(Dashboard!$P$3)),$D37&lt;&gt;"Owner block"),"—",IF(MAX(0,MIN($G37,Dashboard!$P$3+1)-MAX($F37,Dashboard!$P$2))=0,"—",MAX(0,MIN($G37,Dashboard!$P$3+1)-MAX($F37,Dashboard!$P$2))))</f>
        <v>—</v>
      </c>
      <c r="V37" s="7" t="str">
        <f>IF($B37="",IF(COUNTA($C37:$G37,$I37:$K37,$S37)=0,"","⚠ no property — not counted"),IF(COUNTIF(Setup!$A$25:$A$36,$B37)=0,"⚠ property not in Setup",IF(AND($F37&lt;&gt;"",NOT(ISNUMBER($F37))),"⚠ check-in is not a real date",IF(AND($G37&lt;&gt;"",NOT(ISNUMBER($G37))),"⚠ check-out is not a real date",IF(AND($J37&lt;&gt;"",NOT(ISNUMBER($J37))),"⚠ booking value is not a number","OK")))))</f>
        <v/>
      </c>
      <c r="W37" s="21" t="str">
        <f t="shared" si="4"/>
        <v>—</v>
      </c>
    </row>
    <row r="38" spans="1:23" x14ac:dyDescent="0.2">
      <c r="A38" s="30">
        <v>34</v>
      </c>
      <c r="B38" s="8"/>
      <c r="C38" s="8"/>
      <c r="D38" s="8"/>
      <c r="E38" s="8"/>
      <c r="F38" s="34"/>
      <c r="G38" s="34"/>
      <c r="H38" s="19" t="str">
        <f t="shared" si="0"/>
        <v>—</v>
      </c>
      <c r="I38" s="35"/>
      <c r="J38" s="11"/>
      <c r="K38" s="36"/>
      <c r="L38" s="21" t="str">
        <f>IF(OR($B38="",NOT(ISNUMBER($J38)),$D38="Cancelled",$D38="Owner block"),"—",ROUND($J38*IF(ISNUMBER($K38),IF($K38&gt;1,$K38/100,$K38),IF(IFERROR(INDEX(Setup!$D$25:$D$36,MATCH($B38,Setup!$A$25:$A$36,0)),0)&gt;1,IFERROR(INDEX(Setup!$D$25:$D$36,MATCH($B38,Setup!$A$25:$A$36,0)),0)/100,IFERROR(INDEX(Setup!$D$25:$D$36,MATCH($B38,Setup!$A$25:$A$36,0)),0))),2))</f>
        <v>—</v>
      </c>
      <c r="M38" s="21" t="str">
        <f t="shared" si="1"/>
        <v>—</v>
      </c>
      <c r="N38" s="21" t="str">
        <f>IF(OR($B38="",$G38="",$D38="Cancelled"),"—",IFERROR(IF(INDEX(Setup!$E$25:$E$36,MATCH($B38,Setup!$A$25:$A$36,0))=0,"—",INDEX(Setup!$E$25:$E$36,MATCH($B38,Setup!$A$25:$A$36,0))),"—"))</f>
        <v>—</v>
      </c>
      <c r="O38" s="21" t="str">
        <f>IF(OR($B38="",$G38="",$D38="Cancelled"),"—",IFERROR(IF(INDEX(Setup!$F$25:$F$36,MATCH($B38,Setup!$A$25:$A$36,0))=0,"—",INDEX(Setup!$F$25:$F$36,MATCH($B38,Setup!$A$25:$A$36,0))),"—"))</f>
        <v>—</v>
      </c>
      <c r="P38" s="21" t="str">
        <f>IF(OR($B38="",$G38="",$D38="Cancelled",$D38="Owner block"),"—",IF(IFERROR(INDEX(Setup!$G$25:$G$36,MATCH($B38,Setup!$A$25:$A$36,0)),0)+IFERROR(INDEX(Setup!$H$25:$H$36,MATCH($B38,Setup!$A$25:$A$36,0)),0)*IF(ISNUMBER($H38),$H38,0)=0,"—",ROUND(IFERROR(INDEX(Setup!$G$25:$G$36,MATCH($B38,Setup!$A$25:$A$36,0)),0)+IFERROR(INDEX(Setup!$H$25:$H$36,MATCH($B38,Setup!$A$25:$A$36,0)),0)*IF(ISNUMBER($H38),$H38,0),2)))</f>
        <v>—</v>
      </c>
      <c r="Q38" s="21" t="str">
        <f t="shared" si="2"/>
        <v>—</v>
      </c>
      <c r="R38" s="21" t="str">
        <f t="shared" si="3"/>
        <v>—</v>
      </c>
      <c r="S38" s="8"/>
      <c r="T38" s="19" t="str">
        <f ca="1">IF(OR(NOT(ISNUMBER($F38)),NOT(ISNUMBER($G38)),NOT(ISNUMBER(Dashboard!$P$2)),NOT(ISNUMBER(Dashboard!$P$3)),$D38="Cancelled",$D38="Owner block"),"—",IF(MAX(0,MIN($G38,Dashboard!$P$3+1)-MAX($F38,Dashboard!$P$2))=0,"—",MAX(0,MIN($G38,Dashboard!$P$3+1)-MAX($F38,Dashboard!$P$2))))</f>
        <v>—</v>
      </c>
      <c r="U38" s="19" t="str">
        <f ca="1">IF(OR(NOT(ISNUMBER($F38)),NOT(ISNUMBER($G38)),NOT(ISNUMBER(Dashboard!$P$2)),NOT(ISNUMBER(Dashboard!$P$3)),$D38&lt;&gt;"Owner block"),"—",IF(MAX(0,MIN($G38,Dashboard!$P$3+1)-MAX($F38,Dashboard!$P$2))=0,"—",MAX(0,MIN($G38,Dashboard!$P$3+1)-MAX($F38,Dashboard!$P$2))))</f>
        <v>—</v>
      </c>
      <c r="V38" s="7" t="str">
        <f>IF($B38="",IF(COUNTA($C38:$G38,$I38:$K38,$S38)=0,"","⚠ no property — not counted"),IF(COUNTIF(Setup!$A$25:$A$36,$B38)=0,"⚠ property not in Setup",IF(AND($F38&lt;&gt;"",NOT(ISNUMBER($F38))),"⚠ check-in is not a real date",IF(AND($G38&lt;&gt;"",NOT(ISNUMBER($G38))),"⚠ check-out is not a real date",IF(AND($J38&lt;&gt;"",NOT(ISNUMBER($J38))),"⚠ booking value is not a number","OK")))))</f>
        <v/>
      </c>
      <c r="W38" s="21" t="str">
        <f t="shared" si="4"/>
        <v>—</v>
      </c>
    </row>
    <row r="39" spans="1:23" x14ac:dyDescent="0.2">
      <c r="A39" s="30">
        <v>35</v>
      </c>
      <c r="B39" s="3"/>
      <c r="C39" s="3"/>
      <c r="D39" s="3"/>
      <c r="E39" s="3"/>
      <c r="F39" s="31"/>
      <c r="G39" s="31"/>
      <c r="H39" s="19" t="str">
        <f t="shared" si="0"/>
        <v>—</v>
      </c>
      <c r="I39" s="32"/>
      <c r="J39" s="6"/>
      <c r="K39" s="33"/>
      <c r="L39" s="21" t="str">
        <f>IF(OR($B39="",NOT(ISNUMBER($J39)),$D39="Cancelled",$D39="Owner block"),"—",ROUND($J39*IF(ISNUMBER($K39),IF($K39&gt;1,$K39/100,$K39),IF(IFERROR(INDEX(Setup!$D$25:$D$36,MATCH($B39,Setup!$A$25:$A$36,0)),0)&gt;1,IFERROR(INDEX(Setup!$D$25:$D$36,MATCH($B39,Setup!$A$25:$A$36,0)),0)/100,IFERROR(INDEX(Setup!$D$25:$D$36,MATCH($B39,Setup!$A$25:$A$36,0)),0))),2))</f>
        <v>—</v>
      </c>
      <c r="M39" s="21" t="str">
        <f t="shared" si="1"/>
        <v>—</v>
      </c>
      <c r="N39" s="21" t="str">
        <f>IF(OR($B39="",$G39="",$D39="Cancelled"),"—",IFERROR(IF(INDEX(Setup!$E$25:$E$36,MATCH($B39,Setup!$A$25:$A$36,0))=0,"—",INDEX(Setup!$E$25:$E$36,MATCH($B39,Setup!$A$25:$A$36,0))),"—"))</f>
        <v>—</v>
      </c>
      <c r="O39" s="21" t="str">
        <f>IF(OR($B39="",$G39="",$D39="Cancelled"),"—",IFERROR(IF(INDEX(Setup!$F$25:$F$36,MATCH($B39,Setup!$A$25:$A$36,0))=0,"—",INDEX(Setup!$F$25:$F$36,MATCH($B39,Setup!$A$25:$A$36,0))),"—"))</f>
        <v>—</v>
      </c>
      <c r="P39" s="21" t="str">
        <f>IF(OR($B39="",$G39="",$D39="Cancelled",$D39="Owner block"),"—",IF(IFERROR(INDEX(Setup!$G$25:$G$36,MATCH($B39,Setup!$A$25:$A$36,0)),0)+IFERROR(INDEX(Setup!$H$25:$H$36,MATCH($B39,Setup!$A$25:$A$36,0)),0)*IF(ISNUMBER($H39),$H39,0)=0,"—",ROUND(IFERROR(INDEX(Setup!$G$25:$G$36,MATCH($B39,Setup!$A$25:$A$36,0)),0)+IFERROR(INDEX(Setup!$H$25:$H$36,MATCH($B39,Setup!$A$25:$A$36,0)),0)*IF(ISNUMBER($H39),$H39,0),2)))</f>
        <v>—</v>
      </c>
      <c r="Q39" s="21" t="str">
        <f t="shared" si="2"/>
        <v>—</v>
      </c>
      <c r="R39" s="21" t="str">
        <f t="shared" si="3"/>
        <v>—</v>
      </c>
      <c r="S39" s="3"/>
      <c r="T39" s="19" t="str">
        <f ca="1">IF(OR(NOT(ISNUMBER($F39)),NOT(ISNUMBER($G39)),NOT(ISNUMBER(Dashboard!$P$2)),NOT(ISNUMBER(Dashboard!$P$3)),$D39="Cancelled",$D39="Owner block"),"—",IF(MAX(0,MIN($G39,Dashboard!$P$3+1)-MAX($F39,Dashboard!$P$2))=0,"—",MAX(0,MIN($G39,Dashboard!$P$3+1)-MAX($F39,Dashboard!$P$2))))</f>
        <v>—</v>
      </c>
      <c r="U39" s="19" t="str">
        <f ca="1">IF(OR(NOT(ISNUMBER($F39)),NOT(ISNUMBER($G39)),NOT(ISNUMBER(Dashboard!$P$2)),NOT(ISNUMBER(Dashboard!$P$3)),$D39&lt;&gt;"Owner block"),"—",IF(MAX(0,MIN($G39,Dashboard!$P$3+1)-MAX($F39,Dashboard!$P$2))=0,"—",MAX(0,MIN($G39,Dashboard!$P$3+1)-MAX($F39,Dashboard!$P$2))))</f>
        <v>—</v>
      </c>
      <c r="V39" s="7" t="str">
        <f>IF($B39="",IF(COUNTA($C39:$G39,$I39:$K39,$S39)=0,"","⚠ no property — not counted"),IF(COUNTIF(Setup!$A$25:$A$36,$B39)=0,"⚠ property not in Setup",IF(AND($F39&lt;&gt;"",NOT(ISNUMBER($F39))),"⚠ check-in is not a real date",IF(AND($G39&lt;&gt;"",NOT(ISNUMBER($G39))),"⚠ check-out is not a real date",IF(AND($J39&lt;&gt;"",NOT(ISNUMBER($J39))),"⚠ booking value is not a number","OK")))))</f>
        <v/>
      </c>
      <c r="W39" s="21" t="str">
        <f t="shared" si="4"/>
        <v>—</v>
      </c>
    </row>
    <row r="40" spans="1:23" x14ac:dyDescent="0.2">
      <c r="A40" s="30">
        <v>36</v>
      </c>
      <c r="B40" s="8"/>
      <c r="C40" s="8"/>
      <c r="D40" s="8"/>
      <c r="E40" s="8"/>
      <c r="F40" s="34"/>
      <c r="G40" s="34"/>
      <c r="H40" s="19" t="str">
        <f t="shared" si="0"/>
        <v>—</v>
      </c>
      <c r="I40" s="35"/>
      <c r="J40" s="11"/>
      <c r="K40" s="36"/>
      <c r="L40" s="21" t="str">
        <f>IF(OR($B40="",NOT(ISNUMBER($J40)),$D40="Cancelled",$D40="Owner block"),"—",ROUND($J40*IF(ISNUMBER($K40),IF($K40&gt;1,$K40/100,$K40),IF(IFERROR(INDEX(Setup!$D$25:$D$36,MATCH($B40,Setup!$A$25:$A$36,0)),0)&gt;1,IFERROR(INDEX(Setup!$D$25:$D$36,MATCH($B40,Setup!$A$25:$A$36,0)),0)/100,IFERROR(INDEX(Setup!$D$25:$D$36,MATCH($B40,Setup!$A$25:$A$36,0)),0))),2))</f>
        <v>—</v>
      </c>
      <c r="M40" s="21" t="str">
        <f t="shared" si="1"/>
        <v>—</v>
      </c>
      <c r="N40" s="21" t="str">
        <f>IF(OR($B40="",$G40="",$D40="Cancelled"),"—",IFERROR(IF(INDEX(Setup!$E$25:$E$36,MATCH($B40,Setup!$A$25:$A$36,0))=0,"—",INDEX(Setup!$E$25:$E$36,MATCH($B40,Setup!$A$25:$A$36,0))),"—"))</f>
        <v>—</v>
      </c>
      <c r="O40" s="21" t="str">
        <f>IF(OR($B40="",$G40="",$D40="Cancelled"),"—",IFERROR(IF(INDEX(Setup!$F$25:$F$36,MATCH($B40,Setup!$A$25:$A$36,0))=0,"—",INDEX(Setup!$F$25:$F$36,MATCH($B40,Setup!$A$25:$A$36,0))),"—"))</f>
        <v>—</v>
      </c>
      <c r="P40" s="21" t="str">
        <f>IF(OR($B40="",$G40="",$D40="Cancelled",$D40="Owner block"),"—",IF(IFERROR(INDEX(Setup!$G$25:$G$36,MATCH($B40,Setup!$A$25:$A$36,0)),0)+IFERROR(INDEX(Setup!$H$25:$H$36,MATCH($B40,Setup!$A$25:$A$36,0)),0)*IF(ISNUMBER($H40),$H40,0)=0,"—",ROUND(IFERROR(INDEX(Setup!$G$25:$G$36,MATCH($B40,Setup!$A$25:$A$36,0)),0)+IFERROR(INDEX(Setup!$H$25:$H$36,MATCH($B40,Setup!$A$25:$A$36,0)),0)*IF(ISNUMBER($H40),$H40,0),2)))</f>
        <v>—</v>
      </c>
      <c r="Q40" s="21" t="str">
        <f t="shared" si="2"/>
        <v>—</v>
      </c>
      <c r="R40" s="21" t="str">
        <f t="shared" si="3"/>
        <v>—</v>
      </c>
      <c r="S40" s="8"/>
      <c r="T40" s="19" t="str">
        <f ca="1">IF(OR(NOT(ISNUMBER($F40)),NOT(ISNUMBER($G40)),NOT(ISNUMBER(Dashboard!$P$2)),NOT(ISNUMBER(Dashboard!$P$3)),$D40="Cancelled",$D40="Owner block"),"—",IF(MAX(0,MIN($G40,Dashboard!$P$3+1)-MAX($F40,Dashboard!$P$2))=0,"—",MAX(0,MIN($G40,Dashboard!$P$3+1)-MAX($F40,Dashboard!$P$2))))</f>
        <v>—</v>
      </c>
      <c r="U40" s="19" t="str">
        <f ca="1">IF(OR(NOT(ISNUMBER($F40)),NOT(ISNUMBER($G40)),NOT(ISNUMBER(Dashboard!$P$2)),NOT(ISNUMBER(Dashboard!$P$3)),$D40&lt;&gt;"Owner block"),"—",IF(MAX(0,MIN($G40,Dashboard!$P$3+1)-MAX($F40,Dashboard!$P$2))=0,"—",MAX(0,MIN($G40,Dashboard!$P$3+1)-MAX($F40,Dashboard!$P$2))))</f>
        <v>—</v>
      </c>
      <c r="V40" s="7" t="str">
        <f>IF($B40="",IF(COUNTA($C40:$G40,$I40:$K40,$S40)=0,"","⚠ no property — not counted"),IF(COUNTIF(Setup!$A$25:$A$36,$B40)=0,"⚠ property not in Setup",IF(AND($F40&lt;&gt;"",NOT(ISNUMBER($F40))),"⚠ check-in is not a real date",IF(AND($G40&lt;&gt;"",NOT(ISNUMBER($G40))),"⚠ check-out is not a real date",IF(AND($J40&lt;&gt;"",NOT(ISNUMBER($J40))),"⚠ booking value is not a number","OK")))))</f>
        <v/>
      </c>
      <c r="W40" s="21" t="str">
        <f t="shared" si="4"/>
        <v>—</v>
      </c>
    </row>
    <row r="41" spans="1:23" x14ac:dyDescent="0.2">
      <c r="A41" s="30">
        <v>37</v>
      </c>
      <c r="B41" s="3"/>
      <c r="C41" s="3"/>
      <c r="D41" s="3"/>
      <c r="E41" s="3"/>
      <c r="F41" s="31"/>
      <c r="G41" s="31"/>
      <c r="H41" s="19" t="str">
        <f t="shared" si="0"/>
        <v>—</v>
      </c>
      <c r="I41" s="32"/>
      <c r="J41" s="6"/>
      <c r="K41" s="33"/>
      <c r="L41" s="21" t="str">
        <f>IF(OR($B41="",NOT(ISNUMBER($J41)),$D41="Cancelled",$D41="Owner block"),"—",ROUND($J41*IF(ISNUMBER($K41),IF($K41&gt;1,$K41/100,$K41),IF(IFERROR(INDEX(Setup!$D$25:$D$36,MATCH($B41,Setup!$A$25:$A$36,0)),0)&gt;1,IFERROR(INDEX(Setup!$D$25:$D$36,MATCH($B41,Setup!$A$25:$A$36,0)),0)/100,IFERROR(INDEX(Setup!$D$25:$D$36,MATCH($B41,Setup!$A$25:$A$36,0)),0))),2))</f>
        <v>—</v>
      </c>
      <c r="M41" s="21" t="str">
        <f t="shared" si="1"/>
        <v>—</v>
      </c>
      <c r="N41" s="21" t="str">
        <f>IF(OR($B41="",$G41="",$D41="Cancelled"),"—",IFERROR(IF(INDEX(Setup!$E$25:$E$36,MATCH($B41,Setup!$A$25:$A$36,0))=0,"—",INDEX(Setup!$E$25:$E$36,MATCH($B41,Setup!$A$25:$A$36,0))),"—"))</f>
        <v>—</v>
      </c>
      <c r="O41" s="21" t="str">
        <f>IF(OR($B41="",$G41="",$D41="Cancelled"),"—",IFERROR(IF(INDEX(Setup!$F$25:$F$36,MATCH($B41,Setup!$A$25:$A$36,0))=0,"—",INDEX(Setup!$F$25:$F$36,MATCH($B41,Setup!$A$25:$A$36,0))),"—"))</f>
        <v>—</v>
      </c>
      <c r="P41" s="21" t="str">
        <f>IF(OR($B41="",$G41="",$D41="Cancelled",$D41="Owner block"),"—",IF(IFERROR(INDEX(Setup!$G$25:$G$36,MATCH($B41,Setup!$A$25:$A$36,0)),0)+IFERROR(INDEX(Setup!$H$25:$H$36,MATCH($B41,Setup!$A$25:$A$36,0)),0)*IF(ISNUMBER($H41),$H41,0)=0,"—",ROUND(IFERROR(INDEX(Setup!$G$25:$G$36,MATCH($B41,Setup!$A$25:$A$36,0)),0)+IFERROR(INDEX(Setup!$H$25:$H$36,MATCH($B41,Setup!$A$25:$A$36,0)),0)*IF(ISNUMBER($H41),$H41,0),2)))</f>
        <v>—</v>
      </c>
      <c r="Q41" s="21" t="str">
        <f t="shared" si="2"/>
        <v>—</v>
      </c>
      <c r="R41" s="21" t="str">
        <f t="shared" si="3"/>
        <v>—</v>
      </c>
      <c r="S41" s="3"/>
      <c r="T41" s="19" t="str">
        <f ca="1">IF(OR(NOT(ISNUMBER($F41)),NOT(ISNUMBER($G41)),NOT(ISNUMBER(Dashboard!$P$2)),NOT(ISNUMBER(Dashboard!$P$3)),$D41="Cancelled",$D41="Owner block"),"—",IF(MAX(0,MIN($G41,Dashboard!$P$3+1)-MAX($F41,Dashboard!$P$2))=0,"—",MAX(0,MIN($G41,Dashboard!$P$3+1)-MAX($F41,Dashboard!$P$2))))</f>
        <v>—</v>
      </c>
      <c r="U41" s="19" t="str">
        <f ca="1">IF(OR(NOT(ISNUMBER($F41)),NOT(ISNUMBER($G41)),NOT(ISNUMBER(Dashboard!$P$2)),NOT(ISNUMBER(Dashboard!$P$3)),$D41&lt;&gt;"Owner block"),"—",IF(MAX(0,MIN($G41,Dashboard!$P$3+1)-MAX($F41,Dashboard!$P$2))=0,"—",MAX(0,MIN($G41,Dashboard!$P$3+1)-MAX($F41,Dashboard!$P$2))))</f>
        <v>—</v>
      </c>
      <c r="V41" s="7" t="str">
        <f>IF($B41="",IF(COUNTA($C41:$G41,$I41:$K41,$S41)=0,"","⚠ no property — not counted"),IF(COUNTIF(Setup!$A$25:$A$36,$B41)=0,"⚠ property not in Setup",IF(AND($F41&lt;&gt;"",NOT(ISNUMBER($F41))),"⚠ check-in is not a real date",IF(AND($G41&lt;&gt;"",NOT(ISNUMBER($G41))),"⚠ check-out is not a real date",IF(AND($J41&lt;&gt;"",NOT(ISNUMBER($J41))),"⚠ booking value is not a number","OK")))))</f>
        <v/>
      </c>
      <c r="W41" s="21" t="str">
        <f t="shared" si="4"/>
        <v>—</v>
      </c>
    </row>
    <row r="42" spans="1:23" x14ac:dyDescent="0.2">
      <c r="A42" s="30">
        <v>38</v>
      </c>
      <c r="B42" s="8"/>
      <c r="C42" s="8"/>
      <c r="D42" s="8"/>
      <c r="E42" s="8"/>
      <c r="F42" s="34"/>
      <c r="G42" s="34"/>
      <c r="H42" s="19" t="str">
        <f t="shared" si="0"/>
        <v>—</v>
      </c>
      <c r="I42" s="35"/>
      <c r="J42" s="11"/>
      <c r="K42" s="36"/>
      <c r="L42" s="21" t="str">
        <f>IF(OR($B42="",NOT(ISNUMBER($J42)),$D42="Cancelled",$D42="Owner block"),"—",ROUND($J42*IF(ISNUMBER($K42),IF($K42&gt;1,$K42/100,$K42),IF(IFERROR(INDEX(Setup!$D$25:$D$36,MATCH($B42,Setup!$A$25:$A$36,0)),0)&gt;1,IFERROR(INDEX(Setup!$D$25:$D$36,MATCH($B42,Setup!$A$25:$A$36,0)),0)/100,IFERROR(INDEX(Setup!$D$25:$D$36,MATCH($B42,Setup!$A$25:$A$36,0)),0))),2))</f>
        <v>—</v>
      </c>
      <c r="M42" s="21" t="str">
        <f t="shared" si="1"/>
        <v>—</v>
      </c>
      <c r="N42" s="21" t="str">
        <f>IF(OR($B42="",$G42="",$D42="Cancelled"),"—",IFERROR(IF(INDEX(Setup!$E$25:$E$36,MATCH($B42,Setup!$A$25:$A$36,0))=0,"—",INDEX(Setup!$E$25:$E$36,MATCH($B42,Setup!$A$25:$A$36,0))),"—"))</f>
        <v>—</v>
      </c>
      <c r="O42" s="21" t="str">
        <f>IF(OR($B42="",$G42="",$D42="Cancelled"),"—",IFERROR(IF(INDEX(Setup!$F$25:$F$36,MATCH($B42,Setup!$A$25:$A$36,0))=0,"—",INDEX(Setup!$F$25:$F$36,MATCH($B42,Setup!$A$25:$A$36,0))),"—"))</f>
        <v>—</v>
      </c>
      <c r="P42" s="21" t="str">
        <f>IF(OR($B42="",$G42="",$D42="Cancelled",$D42="Owner block"),"—",IF(IFERROR(INDEX(Setup!$G$25:$G$36,MATCH($B42,Setup!$A$25:$A$36,0)),0)+IFERROR(INDEX(Setup!$H$25:$H$36,MATCH($B42,Setup!$A$25:$A$36,0)),0)*IF(ISNUMBER($H42),$H42,0)=0,"—",ROUND(IFERROR(INDEX(Setup!$G$25:$G$36,MATCH($B42,Setup!$A$25:$A$36,0)),0)+IFERROR(INDEX(Setup!$H$25:$H$36,MATCH($B42,Setup!$A$25:$A$36,0)),0)*IF(ISNUMBER($H42),$H42,0),2)))</f>
        <v>—</v>
      </c>
      <c r="Q42" s="21" t="str">
        <f t="shared" si="2"/>
        <v>—</v>
      </c>
      <c r="R42" s="21" t="str">
        <f t="shared" si="3"/>
        <v>—</v>
      </c>
      <c r="S42" s="8"/>
      <c r="T42" s="19" t="str">
        <f ca="1">IF(OR(NOT(ISNUMBER($F42)),NOT(ISNUMBER($G42)),NOT(ISNUMBER(Dashboard!$P$2)),NOT(ISNUMBER(Dashboard!$P$3)),$D42="Cancelled",$D42="Owner block"),"—",IF(MAX(0,MIN($G42,Dashboard!$P$3+1)-MAX($F42,Dashboard!$P$2))=0,"—",MAX(0,MIN($G42,Dashboard!$P$3+1)-MAX($F42,Dashboard!$P$2))))</f>
        <v>—</v>
      </c>
      <c r="U42" s="19" t="str">
        <f ca="1">IF(OR(NOT(ISNUMBER($F42)),NOT(ISNUMBER($G42)),NOT(ISNUMBER(Dashboard!$P$2)),NOT(ISNUMBER(Dashboard!$P$3)),$D42&lt;&gt;"Owner block"),"—",IF(MAX(0,MIN($G42,Dashboard!$P$3+1)-MAX($F42,Dashboard!$P$2))=0,"—",MAX(0,MIN($G42,Dashboard!$P$3+1)-MAX($F42,Dashboard!$P$2))))</f>
        <v>—</v>
      </c>
      <c r="V42" s="7" t="str">
        <f>IF($B42="",IF(COUNTA($C42:$G42,$I42:$K42,$S42)=0,"","⚠ no property — not counted"),IF(COUNTIF(Setup!$A$25:$A$36,$B42)=0,"⚠ property not in Setup",IF(AND($F42&lt;&gt;"",NOT(ISNUMBER($F42))),"⚠ check-in is not a real date",IF(AND($G42&lt;&gt;"",NOT(ISNUMBER($G42))),"⚠ check-out is not a real date",IF(AND($J42&lt;&gt;"",NOT(ISNUMBER($J42))),"⚠ booking value is not a number","OK")))))</f>
        <v/>
      </c>
      <c r="W42" s="21" t="str">
        <f t="shared" si="4"/>
        <v>—</v>
      </c>
    </row>
    <row r="43" spans="1:23" x14ac:dyDescent="0.2">
      <c r="A43" s="30">
        <v>39</v>
      </c>
      <c r="B43" s="3"/>
      <c r="C43" s="3"/>
      <c r="D43" s="3"/>
      <c r="E43" s="3"/>
      <c r="F43" s="31"/>
      <c r="G43" s="31"/>
      <c r="H43" s="19" t="str">
        <f t="shared" si="0"/>
        <v>—</v>
      </c>
      <c r="I43" s="32"/>
      <c r="J43" s="6"/>
      <c r="K43" s="33"/>
      <c r="L43" s="21" t="str">
        <f>IF(OR($B43="",NOT(ISNUMBER($J43)),$D43="Cancelled",$D43="Owner block"),"—",ROUND($J43*IF(ISNUMBER($K43),IF($K43&gt;1,$K43/100,$K43),IF(IFERROR(INDEX(Setup!$D$25:$D$36,MATCH($B43,Setup!$A$25:$A$36,0)),0)&gt;1,IFERROR(INDEX(Setup!$D$25:$D$36,MATCH($B43,Setup!$A$25:$A$36,0)),0)/100,IFERROR(INDEX(Setup!$D$25:$D$36,MATCH($B43,Setup!$A$25:$A$36,0)),0))),2))</f>
        <v>—</v>
      </c>
      <c r="M43" s="21" t="str">
        <f t="shared" si="1"/>
        <v>—</v>
      </c>
      <c r="N43" s="21" t="str">
        <f>IF(OR($B43="",$G43="",$D43="Cancelled"),"—",IFERROR(IF(INDEX(Setup!$E$25:$E$36,MATCH($B43,Setup!$A$25:$A$36,0))=0,"—",INDEX(Setup!$E$25:$E$36,MATCH($B43,Setup!$A$25:$A$36,0))),"—"))</f>
        <v>—</v>
      </c>
      <c r="O43" s="21" t="str">
        <f>IF(OR($B43="",$G43="",$D43="Cancelled"),"—",IFERROR(IF(INDEX(Setup!$F$25:$F$36,MATCH($B43,Setup!$A$25:$A$36,0))=0,"—",INDEX(Setup!$F$25:$F$36,MATCH($B43,Setup!$A$25:$A$36,0))),"—"))</f>
        <v>—</v>
      </c>
      <c r="P43" s="21" t="str">
        <f>IF(OR($B43="",$G43="",$D43="Cancelled",$D43="Owner block"),"—",IF(IFERROR(INDEX(Setup!$G$25:$G$36,MATCH($B43,Setup!$A$25:$A$36,0)),0)+IFERROR(INDEX(Setup!$H$25:$H$36,MATCH($B43,Setup!$A$25:$A$36,0)),0)*IF(ISNUMBER($H43),$H43,0)=0,"—",ROUND(IFERROR(INDEX(Setup!$G$25:$G$36,MATCH($B43,Setup!$A$25:$A$36,0)),0)+IFERROR(INDEX(Setup!$H$25:$H$36,MATCH($B43,Setup!$A$25:$A$36,0)),0)*IF(ISNUMBER($H43),$H43,0),2)))</f>
        <v>—</v>
      </c>
      <c r="Q43" s="21" t="str">
        <f t="shared" si="2"/>
        <v>—</v>
      </c>
      <c r="R43" s="21" t="str">
        <f t="shared" si="3"/>
        <v>—</v>
      </c>
      <c r="S43" s="3"/>
      <c r="T43" s="19" t="str">
        <f ca="1">IF(OR(NOT(ISNUMBER($F43)),NOT(ISNUMBER($G43)),NOT(ISNUMBER(Dashboard!$P$2)),NOT(ISNUMBER(Dashboard!$P$3)),$D43="Cancelled",$D43="Owner block"),"—",IF(MAX(0,MIN($G43,Dashboard!$P$3+1)-MAX($F43,Dashboard!$P$2))=0,"—",MAX(0,MIN($G43,Dashboard!$P$3+1)-MAX($F43,Dashboard!$P$2))))</f>
        <v>—</v>
      </c>
      <c r="U43" s="19" t="str">
        <f ca="1">IF(OR(NOT(ISNUMBER($F43)),NOT(ISNUMBER($G43)),NOT(ISNUMBER(Dashboard!$P$2)),NOT(ISNUMBER(Dashboard!$P$3)),$D43&lt;&gt;"Owner block"),"—",IF(MAX(0,MIN($G43,Dashboard!$P$3+1)-MAX($F43,Dashboard!$P$2))=0,"—",MAX(0,MIN($G43,Dashboard!$P$3+1)-MAX($F43,Dashboard!$P$2))))</f>
        <v>—</v>
      </c>
      <c r="V43" s="7" t="str">
        <f>IF($B43="",IF(COUNTA($C43:$G43,$I43:$K43,$S43)=0,"","⚠ no property — not counted"),IF(COUNTIF(Setup!$A$25:$A$36,$B43)=0,"⚠ property not in Setup",IF(AND($F43&lt;&gt;"",NOT(ISNUMBER($F43))),"⚠ check-in is not a real date",IF(AND($G43&lt;&gt;"",NOT(ISNUMBER($G43))),"⚠ check-out is not a real date",IF(AND($J43&lt;&gt;"",NOT(ISNUMBER($J43))),"⚠ booking value is not a number","OK")))))</f>
        <v/>
      </c>
      <c r="W43" s="21" t="str">
        <f t="shared" si="4"/>
        <v>—</v>
      </c>
    </row>
    <row r="44" spans="1:23" x14ac:dyDescent="0.2">
      <c r="A44" s="30">
        <v>40</v>
      </c>
      <c r="B44" s="8"/>
      <c r="C44" s="8"/>
      <c r="D44" s="8"/>
      <c r="E44" s="8"/>
      <c r="F44" s="34"/>
      <c r="G44" s="34"/>
      <c r="H44" s="19" t="str">
        <f t="shared" si="0"/>
        <v>—</v>
      </c>
      <c r="I44" s="35"/>
      <c r="J44" s="11"/>
      <c r="K44" s="36"/>
      <c r="L44" s="21" t="str">
        <f>IF(OR($B44="",NOT(ISNUMBER($J44)),$D44="Cancelled",$D44="Owner block"),"—",ROUND($J44*IF(ISNUMBER($K44),IF($K44&gt;1,$K44/100,$K44),IF(IFERROR(INDEX(Setup!$D$25:$D$36,MATCH($B44,Setup!$A$25:$A$36,0)),0)&gt;1,IFERROR(INDEX(Setup!$D$25:$D$36,MATCH($B44,Setup!$A$25:$A$36,0)),0)/100,IFERROR(INDEX(Setup!$D$25:$D$36,MATCH($B44,Setup!$A$25:$A$36,0)),0))),2))</f>
        <v>—</v>
      </c>
      <c r="M44" s="21" t="str">
        <f t="shared" si="1"/>
        <v>—</v>
      </c>
      <c r="N44" s="21" t="str">
        <f>IF(OR($B44="",$G44="",$D44="Cancelled"),"—",IFERROR(IF(INDEX(Setup!$E$25:$E$36,MATCH($B44,Setup!$A$25:$A$36,0))=0,"—",INDEX(Setup!$E$25:$E$36,MATCH($B44,Setup!$A$25:$A$36,0))),"—"))</f>
        <v>—</v>
      </c>
      <c r="O44" s="21" t="str">
        <f>IF(OR($B44="",$G44="",$D44="Cancelled"),"—",IFERROR(IF(INDEX(Setup!$F$25:$F$36,MATCH($B44,Setup!$A$25:$A$36,0))=0,"—",INDEX(Setup!$F$25:$F$36,MATCH($B44,Setup!$A$25:$A$36,0))),"—"))</f>
        <v>—</v>
      </c>
      <c r="P44" s="21" t="str">
        <f>IF(OR($B44="",$G44="",$D44="Cancelled",$D44="Owner block"),"—",IF(IFERROR(INDEX(Setup!$G$25:$G$36,MATCH($B44,Setup!$A$25:$A$36,0)),0)+IFERROR(INDEX(Setup!$H$25:$H$36,MATCH($B44,Setup!$A$25:$A$36,0)),0)*IF(ISNUMBER($H44),$H44,0)=0,"—",ROUND(IFERROR(INDEX(Setup!$G$25:$G$36,MATCH($B44,Setup!$A$25:$A$36,0)),0)+IFERROR(INDEX(Setup!$H$25:$H$36,MATCH($B44,Setup!$A$25:$A$36,0)),0)*IF(ISNUMBER($H44),$H44,0),2)))</f>
        <v>—</v>
      </c>
      <c r="Q44" s="21" t="str">
        <f t="shared" si="2"/>
        <v>—</v>
      </c>
      <c r="R44" s="21" t="str">
        <f t="shared" si="3"/>
        <v>—</v>
      </c>
      <c r="S44" s="8"/>
      <c r="T44" s="19" t="str">
        <f ca="1">IF(OR(NOT(ISNUMBER($F44)),NOT(ISNUMBER($G44)),NOT(ISNUMBER(Dashboard!$P$2)),NOT(ISNUMBER(Dashboard!$P$3)),$D44="Cancelled",$D44="Owner block"),"—",IF(MAX(0,MIN($G44,Dashboard!$P$3+1)-MAX($F44,Dashboard!$P$2))=0,"—",MAX(0,MIN($G44,Dashboard!$P$3+1)-MAX($F44,Dashboard!$P$2))))</f>
        <v>—</v>
      </c>
      <c r="U44" s="19" t="str">
        <f ca="1">IF(OR(NOT(ISNUMBER($F44)),NOT(ISNUMBER($G44)),NOT(ISNUMBER(Dashboard!$P$2)),NOT(ISNUMBER(Dashboard!$P$3)),$D44&lt;&gt;"Owner block"),"—",IF(MAX(0,MIN($G44,Dashboard!$P$3+1)-MAX($F44,Dashboard!$P$2))=0,"—",MAX(0,MIN($G44,Dashboard!$P$3+1)-MAX($F44,Dashboard!$P$2))))</f>
        <v>—</v>
      </c>
      <c r="V44" s="7" t="str">
        <f>IF($B44="",IF(COUNTA($C44:$G44,$I44:$K44,$S44)=0,"","⚠ no property — not counted"),IF(COUNTIF(Setup!$A$25:$A$36,$B44)=0,"⚠ property not in Setup",IF(AND($F44&lt;&gt;"",NOT(ISNUMBER($F44))),"⚠ check-in is not a real date",IF(AND($G44&lt;&gt;"",NOT(ISNUMBER($G44))),"⚠ check-out is not a real date",IF(AND($J44&lt;&gt;"",NOT(ISNUMBER($J44))),"⚠ booking value is not a number","OK")))))</f>
        <v/>
      </c>
      <c r="W44" s="21" t="str">
        <f t="shared" si="4"/>
        <v>—</v>
      </c>
    </row>
    <row r="45" spans="1:23" x14ac:dyDescent="0.2">
      <c r="A45" s="30">
        <v>41</v>
      </c>
      <c r="B45" s="3"/>
      <c r="C45" s="3"/>
      <c r="D45" s="3"/>
      <c r="E45" s="3"/>
      <c r="F45" s="31"/>
      <c r="G45" s="31"/>
      <c r="H45" s="19" t="str">
        <f t="shared" si="0"/>
        <v>—</v>
      </c>
      <c r="I45" s="32"/>
      <c r="J45" s="6"/>
      <c r="K45" s="33"/>
      <c r="L45" s="21" t="str">
        <f>IF(OR($B45="",NOT(ISNUMBER($J45)),$D45="Cancelled",$D45="Owner block"),"—",ROUND($J45*IF(ISNUMBER($K45),IF($K45&gt;1,$K45/100,$K45),IF(IFERROR(INDEX(Setup!$D$25:$D$36,MATCH($B45,Setup!$A$25:$A$36,0)),0)&gt;1,IFERROR(INDEX(Setup!$D$25:$D$36,MATCH($B45,Setup!$A$25:$A$36,0)),0)/100,IFERROR(INDEX(Setup!$D$25:$D$36,MATCH($B45,Setup!$A$25:$A$36,0)),0))),2))</f>
        <v>—</v>
      </c>
      <c r="M45" s="21" t="str">
        <f t="shared" si="1"/>
        <v>—</v>
      </c>
      <c r="N45" s="21" t="str">
        <f>IF(OR($B45="",$G45="",$D45="Cancelled"),"—",IFERROR(IF(INDEX(Setup!$E$25:$E$36,MATCH($B45,Setup!$A$25:$A$36,0))=0,"—",INDEX(Setup!$E$25:$E$36,MATCH($B45,Setup!$A$25:$A$36,0))),"—"))</f>
        <v>—</v>
      </c>
      <c r="O45" s="21" t="str">
        <f>IF(OR($B45="",$G45="",$D45="Cancelled"),"—",IFERROR(IF(INDEX(Setup!$F$25:$F$36,MATCH($B45,Setup!$A$25:$A$36,0))=0,"—",INDEX(Setup!$F$25:$F$36,MATCH($B45,Setup!$A$25:$A$36,0))),"—"))</f>
        <v>—</v>
      </c>
      <c r="P45" s="21" t="str">
        <f>IF(OR($B45="",$G45="",$D45="Cancelled",$D45="Owner block"),"—",IF(IFERROR(INDEX(Setup!$G$25:$G$36,MATCH($B45,Setup!$A$25:$A$36,0)),0)+IFERROR(INDEX(Setup!$H$25:$H$36,MATCH($B45,Setup!$A$25:$A$36,0)),0)*IF(ISNUMBER($H45),$H45,0)=0,"—",ROUND(IFERROR(INDEX(Setup!$G$25:$G$36,MATCH($B45,Setup!$A$25:$A$36,0)),0)+IFERROR(INDEX(Setup!$H$25:$H$36,MATCH($B45,Setup!$A$25:$A$36,0)),0)*IF(ISNUMBER($H45),$H45,0),2)))</f>
        <v>—</v>
      </c>
      <c r="Q45" s="21" t="str">
        <f t="shared" si="2"/>
        <v>—</v>
      </c>
      <c r="R45" s="21" t="str">
        <f t="shared" si="3"/>
        <v>—</v>
      </c>
      <c r="S45" s="3"/>
      <c r="T45" s="19" t="str">
        <f ca="1">IF(OR(NOT(ISNUMBER($F45)),NOT(ISNUMBER($G45)),NOT(ISNUMBER(Dashboard!$P$2)),NOT(ISNUMBER(Dashboard!$P$3)),$D45="Cancelled",$D45="Owner block"),"—",IF(MAX(0,MIN($G45,Dashboard!$P$3+1)-MAX($F45,Dashboard!$P$2))=0,"—",MAX(0,MIN($G45,Dashboard!$P$3+1)-MAX($F45,Dashboard!$P$2))))</f>
        <v>—</v>
      </c>
      <c r="U45" s="19" t="str">
        <f ca="1">IF(OR(NOT(ISNUMBER($F45)),NOT(ISNUMBER($G45)),NOT(ISNUMBER(Dashboard!$P$2)),NOT(ISNUMBER(Dashboard!$P$3)),$D45&lt;&gt;"Owner block"),"—",IF(MAX(0,MIN($G45,Dashboard!$P$3+1)-MAX($F45,Dashboard!$P$2))=0,"—",MAX(0,MIN($G45,Dashboard!$P$3+1)-MAX($F45,Dashboard!$P$2))))</f>
        <v>—</v>
      </c>
      <c r="V45" s="7" t="str">
        <f>IF($B45="",IF(COUNTA($C45:$G45,$I45:$K45,$S45)=0,"","⚠ no property — not counted"),IF(COUNTIF(Setup!$A$25:$A$36,$B45)=0,"⚠ property not in Setup",IF(AND($F45&lt;&gt;"",NOT(ISNUMBER($F45))),"⚠ check-in is not a real date",IF(AND($G45&lt;&gt;"",NOT(ISNUMBER($G45))),"⚠ check-out is not a real date",IF(AND($J45&lt;&gt;"",NOT(ISNUMBER($J45))),"⚠ booking value is not a number","OK")))))</f>
        <v/>
      </c>
      <c r="W45" s="21" t="str">
        <f t="shared" si="4"/>
        <v>—</v>
      </c>
    </row>
    <row r="46" spans="1:23" x14ac:dyDescent="0.2">
      <c r="A46" s="30">
        <v>42</v>
      </c>
      <c r="B46" s="8"/>
      <c r="C46" s="8"/>
      <c r="D46" s="8"/>
      <c r="E46" s="8"/>
      <c r="F46" s="34"/>
      <c r="G46" s="34"/>
      <c r="H46" s="19" t="str">
        <f t="shared" si="0"/>
        <v>—</v>
      </c>
      <c r="I46" s="35"/>
      <c r="J46" s="11"/>
      <c r="K46" s="36"/>
      <c r="L46" s="21" t="str">
        <f>IF(OR($B46="",NOT(ISNUMBER($J46)),$D46="Cancelled",$D46="Owner block"),"—",ROUND($J46*IF(ISNUMBER($K46),IF($K46&gt;1,$K46/100,$K46),IF(IFERROR(INDEX(Setup!$D$25:$D$36,MATCH($B46,Setup!$A$25:$A$36,0)),0)&gt;1,IFERROR(INDEX(Setup!$D$25:$D$36,MATCH($B46,Setup!$A$25:$A$36,0)),0)/100,IFERROR(INDEX(Setup!$D$25:$D$36,MATCH($B46,Setup!$A$25:$A$36,0)),0))),2))</f>
        <v>—</v>
      </c>
      <c r="M46" s="21" t="str">
        <f t="shared" si="1"/>
        <v>—</v>
      </c>
      <c r="N46" s="21" t="str">
        <f>IF(OR($B46="",$G46="",$D46="Cancelled"),"—",IFERROR(IF(INDEX(Setup!$E$25:$E$36,MATCH($B46,Setup!$A$25:$A$36,0))=0,"—",INDEX(Setup!$E$25:$E$36,MATCH($B46,Setup!$A$25:$A$36,0))),"—"))</f>
        <v>—</v>
      </c>
      <c r="O46" s="21" t="str">
        <f>IF(OR($B46="",$G46="",$D46="Cancelled"),"—",IFERROR(IF(INDEX(Setup!$F$25:$F$36,MATCH($B46,Setup!$A$25:$A$36,0))=0,"—",INDEX(Setup!$F$25:$F$36,MATCH($B46,Setup!$A$25:$A$36,0))),"—"))</f>
        <v>—</v>
      </c>
      <c r="P46" s="21" t="str">
        <f>IF(OR($B46="",$G46="",$D46="Cancelled",$D46="Owner block"),"—",IF(IFERROR(INDEX(Setup!$G$25:$G$36,MATCH($B46,Setup!$A$25:$A$36,0)),0)+IFERROR(INDEX(Setup!$H$25:$H$36,MATCH($B46,Setup!$A$25:$A$36,0)),0)*IF(ISNUMBER($H46),$H46,0)=0,"—",ROUND(IFERROR(INDEX(Setup!$G$25:$G$36,MATCH($B46,Setup!$A$25:$A$36,0)),0)+IFERROR(INDEX(Setup!$H$25:$H$36,MATCH($B46,Setup!$A$25:$A$36,0)),0)*IF(ISNUMBER($H46),$H46,0),2)))</f>
        <v>—</v>
      </c>
      <c r="Q46" s="21" t="str">
        <f t="shared" si="2"/>
        <v>—</v>
      </c>
      <c r="R46" s="21" t="str">
        <f t="shared" si="3"/>
        <v>—</v>
      </c>
      <c r="S46" s="8"/>
      <c r="T46" s="19" t="str">
        <f ca="1">IF(OR(NOT(ISNUMBER($F46)),NOT(ISNUMBER($G46)),NOT(ISNUMBER(Dashboard!$P$2)),NOT(ISNUMBER(Dashboard!$P$3)),$D46="Cancelled",$D46="Owner block"),"—",IF(MAX(0,MIN($G46,Dashboard!$P$3+1)-MAX($F46,Dashboard!$P$2))=0,"—",MAX(0,MIN($G46,Dashboard!$P$3+1)-MAX($F46,Dashboard!$P$2))))</f>
        <v>—</v>
      </c>
      <c r="U46" s="19" t="str">
        <f ca="1">IF(OR(NOT(ISNUMBER($F46)),NOT(ISNUMBER($G46)),NOT(ISNUMBER(Dashboard!$P$2)),NOT(ISNUMBER(Dashboard!$P$3)),$D46&lt;&gt;"Owner block"),"—",IF(MAX(0,MIN($G46,Dashboard!$P$3+1)-MAX($F46,Dashboard!$P$2))=0,"—",MAX(0,MIN($G46,Dashboard!$P$3+1)-MAX($F46,Dashboard!$P$2))))</f>
        <v>—</v>
      </c>
      <c r="V46" s="7" t="str">
        <f>IF($B46="",IF(COUNTA($C46:$G46,$I46:$K46,$S46)=0,"","⚠ no property — not counted"),IF(COUNTIF(Setup!$A$25:$A$36,$B46)=0,"⚠ property not in Setup",IF(AND($F46&lt;&gt;"",NOT(ISNUMBER($F46))),"⚠ check-in is not a real date",IF(AND($G46&lt;&gt;"",NOT(ISNUMBER($G46))),"⚠ check-out is not a real date",IF(AND($J46&lt;&gt;"",NOT(ISNUMBER($J46))),"⚠ booking value is not a number","OK")))))</f>
        <v/>
      </c>
      <c r="W46" s="21" t="str">
        <f t="shared" si="4"/>
        <v>—</v>
      </c>
    </row>
    <row r="47" spans="1:23" x14ac:dyDescent="0.2">
      <c r="A47" s="30">
        <v>43</v>
      </c>
      <c r="B47" s="3"/>
      <c r="C47" s="3"/>
      <c r="D47" s="3"/>
      <c r="E47" s="3"/>
      <c r="F47" s="31"/>
      <c r="G47" s="31"/>
      <c r="H47" s="19" t="str">
        <f t="shared" si="0"/>
        <v>—</v>
      </c>
      <c r="I47" s="32"/>
      <c r="J47" s="6"/>
      <c r="K47" s="33"/>
      <c r="L47" s="21" t="str">
        <f>IF(OR($B47="",NOT(ISNUMBER($J47)),$D47="Cancelled",$D47="Owner block"),"—",ROUND($J47*IF(ISNUMBER($K47),IF($K47&gt;1,$K47/100,$K47),IF(IFERROR(INDEX(Setup!$D$25:$D$36,MATCH($B47,Setup!$A$25:$A$36,0)),0)&gt;1,IFERROR(INDEX(Setup!$D$25:$D$36,MATCH($B47,Setup!$A$25:$A$36,0)),0)/100,IFERROR(INDEX(Setup!$D$25:$D$36,MATCH($B47,Setup!$A$25:$A$36,0)),0))),2))</f>
        <v>—</v>
      </c>
      <c r="M47" s="21" t="str">
        <f t="shared" si="1"/>
        <v>—</v>
      </c>
      <c r="N47" s="21" t="str">
        <f>IF(OR($B47="",$G47="",$D47="Cancelled"),"—",IFERROR(IF(INDEX(Setup!$E$25:$E$36,MATCH($B47,Setup!$A$25:$A$36,0))=0,"—",INDEX(Setup!$E$25:$E$36,MATCH($B47,Setup!$A$25:$A$36,0))),"—"))</f>
        <v>—</v>
      </c>
      <c r="O47" s="21" t="str">
        <f>IF(OR($B47="",$G47="",$D47="Cancelled"),"—",IFERROR(IF(INDEX(Setup!$F$25:$F$36,MATCH($B47,Setup!$A$25:$A$36,0))=0,"—",INDEX(Setup!$F$25:$F$36,MATCH($B47,Setup!$A$25:$A$36,0))),"—"))</f>
        <v>—</v>
      </c>
      <c r="P47" s="21" t="str">
        <f>IF(OR($B47="",$G47="",$D47="Cancelled",$D47="Owner block"),"—",IF(IFERROR(INDEX(Setup!$G$25:$G$36,MATCH($B47,Setup!$A$25:$A$36,0)),0)+IFERROR(INDEX(Setup!$H$25:$H$36,MATCH($B47,Setup!$A$25:$A$36,0)),0)*IF(ISNUMBER($H47),$H47,0)=0,"—",ROUND(IFERROR(INDEX(Setup!$G$25:$G$36,MATCH($B47,Setup!$A$25:$A$36,0)),0)+IFERROR(INDEX(Setup!$H$25:$H$36,MATCH($B47,Setup!$A$25:$A$36,0)),0)*IF(ISNUMBER($H47),$H47,0),2)))</f>
        <v>—</v>
      </c>
      <c r="Q47" s="21" t="str">
        <f t="shared" si="2"/>
        <v>—</v>
      </c>
      <c r="R47" s="21" t="str">
        <f t="shared" si="3"/>
        <v>—</v>
      </c>
      <c r="S47" s="3"/>
      <c r="T47" s="19" t="str">
        <f ca="1">IF(OR(NOT(ISNUMBER($F47)),NOT(ISNUMBER($G47)),NOT(ISNUMBER(Dashboard!$P$2)),NOT(ISNUMBER(Dashboard!$P$3)),$D47="Cancelled",$D47="Owner block"),"—",IF(MAX(0,MIN($G47,Dashboard!$P$3+1)-MAX($F47,Dashboard!$P$2))=0,"—",MAX(0,MIN($G47,Dashboard!$P$3+1)-MAX($F47,Dashboard!$P$2))))</f>
        <v>—</v>
      </c>
      <c r="U47" s="19" t="str">
        <f ca="1">IF(OR(NOT(ISNUMBER($F47)),NOT(ISNUMBER($G47)),NOT(ISNUMBER(Dashboard!$P$2)),NOT(ISNUMBER(Dashboard!$P$3)),$D47&lt;&gt;"Owner block"),"—",IF(MAX(0,MIN($G47,Dashboard!$P$3+1)-MAX($F47,Dashboard!$P$2))=0,"—",MAX(0,MIN($G47,Dashboard!$P$3+1)-MAX($F47,Dashboard!$P$2))))</f>
        <v>—</v>
      </c>
      <c r="V47" s="7" t="str">
        <f>IF($B47="",IF(COUNTA($C47:$G47,$I47:$K47,$S47)=0,"","⚠ no property — not counted"),IF(COUNTIF(Setup!$A$25:$A$36,$B47)=0,"⚠ property not in Setup",IF(AND($F47&lt;&gt;"",NOT(ISNUMBER($F47))),"⚠ check-in is not a real date",IF(AND($G47&lt;&gt;"",NOT(ISNUMBER($G47))),"⚠ check-out is not a real date",IF(AND($J47&lt;&gt;"",NOT(ISNUMBER($J47))),"⚠ booking value is not a number","OK")))))</f>
        <v/>
      </c>
      <c r="W47" s="21" t="str">
        <f t="shared" si="4"/>
        <v>—</v>
      </c>
    </row>
    <row r="48" spans="1:23" x14ac:dyDescent="0.2">
      <c r="A48" s="30">
        <v>44</v>
      </c>
      <c r="B48" s="8"/>
      <c r="C48" s="8"/>
      <c r="D48" s="8"/>
      <c r="E48" s="8"/>
      <c r="F48" s="34"/>
      <c r="G48" s="34"/>
      <c r="H48" s="19" t="str">
        <f t="shared" si="0"/>
        <v>—</v>
      </c>
      <c r="I48" s="35"/>
      <c r="J48" s="11"/>
      <c r="K48" s="36"/>
      <c r="L48" s="21" t="str">
        <f>IF(OR($B48="",NOT(ISNUMBER($J48)),$D48="Cancelled",$D48="Owner block"),"—",ROUND($J48*IF(ISNUMBER($K48),IF($K48&gt;1,$K48/100,$K48),IF(IFERROR(INDEX(Setup!$D$25:$D$36,MATCH($B48,Setup!$A$25:$A$36,0)),0)&gt;1,IFERROR(INDEX(Setup!$D$25:$D$36,MATCH($B48,Setup!$A$25:$A$36,0)),0)/100,IFERROR(INDEX(Setup!$D$25:$D$36,MATCH($B48,Setup!$A$25:$A$36,0)),0))),2))</f>
        <v>—</v>
      </c>
      <c r="M48" s="21" t="str">
        <f t="shared" si="1"/>
        <v>—</v>
      </c>
      <c r="N48" s="21" t="str">
        <f>IF(OR($B48="",$G48="",$D48="Cancelled"),"—",IFERROR(IF(INDEX(Setup!$E$25:$E$36,MATCH($B48,Setup!$A$25:$A$36,0))=0,"—",INDEX(Setup!$E$25:$E$36,MATCH($B48,Setup!$A$25:$A$36,0))),"—"))</f>
        <v>—</v>
      </c>
      <c r="O48" s="21" t="str">
        <f>IF(OR($B48="",$G48="",$D48="Cancelled"),"—",IFERROR(IF(INDEX(Setup!$F$25:$F$36,MATCH($B48,Setup!$A$25:$A$36,0))=0,"—",INDEX(Setup!$F$25:$F$36,MATCH($B48,Setup!$A$25:$A$36,0))),"—"))</f>
        <v>—</v>
      </c>
      <c r="P48" s="21" t="str">
        <f>IF(OR($B48="",$G48="",$D48="Cancelled",$D48="Owner block"),"—",IF(IFERROR(INDEX(Setup!$G$25:$G$36,MATCH($B48,Setup!$A$25:$A$36,0)),0)+IFERROR(INDEX(Setup!$H$25:$H$36,MATCH($B48,Setup!$A$25:$A$36,0)),0)*IF(ISNUMBER($H48),$H48,0)=0,"—",ROUND(IFERROR(INDEX(Setup!$G$25:$G$36,MATCH($B48,Setup!$A$25:$A$36,0)),0)+IFERROR(INDEX(Setup!$H$25:$H$36,MATCH($B48,Setup!$A$25:$A$36,0)),0)*IF(ISNUMBER($H48),$H48,0),2)))</f>
        <v>—</v>
      </c>
      <c r="Q48" s="21" t="str">
        <f t="shared" si="2"/>
        <v>—</v>
      </c>
      <c r="R48" s="21" t="str">
        <f t="shared" si="3"/>
        <v>—</v>
      </c>
      <c r="S48" s="8"/>
      <c r="T48" s="19" t="str">
        <f ca="1">IF(OR(NOT(ISNUMBER($F48)),NOT(ISNUMBER($G48)),NOT(ISNUMBER(Dashboard!$P$2)),NOT(ISNUMBER(Dashboard!$P$3)),$D48="Cancelled",$D48="Owner block"),"—",IF(MAX(0,MIN($G48,Dashboard!$P$3+1)-MAX($F48,Dashboard!$P$2))=0,"—",MAX(0,MIN($G48,Dashboard!$P$3+1)-MAX($F48,Dashboard!$P$2))))</f>
        <v>—</v>
      </c>
      <c r="U48" s="19" t="str">
        <f ca="1">IF(OR(NOT(ISNUMBER($F48)),NOT(ISNUMBER($G48)),NOT(ISNUMBER(Dashboard!$P$2)),NOT(ISNUMBER(Dashboard!$P$3)),$D48&lt;&gt;"Owner block"),"—",IF(MAX(0,MIN($G48,Dashboard!$P$3+1)-MAX($F48,Dashboard!$P$2))=0,"—",MAX(0,MIN($G48,Dashboard!$P$3+1)-MAX($F48,Dashboard!$P$2))))</f>
        <v>—</v>
      </c>
      <c r="V48" s="7" t="str">
        <f>IF($B48="",IF(COUNTA($C48:$G48,$I48:$K48,$S48)=0,"","⚠ no property — not counted"),IF(COUNTIF(Setup!$A$25:$A$36,$B48)=0,"⚠ property not in Setup",IF(AND($F48&lt;&gt;"",NOT(ISNUMBER($F48))),"⚠ check-in is not a real date",IF(AND($G48&lt;&gt;"",NOT(ISNUMBER($G48))),"⚠ check-out is not a real date",IF(AND($J48&lt;&gt;"",NOT(ISNUMBER($J48))),"⚠ booking value is not a number","OK")))))</f>
        <v/>
      </c>
      <c r="W48" s="21" t="str">
        <f t="shared" si="4"/>
        <v>—</v>
      </c>
    </row>
    <row r="49" spans="1:23" x14ac:dyDescent="0.2">
      <c r="A49" s="30">
        <v>45</v>
      </c>
      <c r="B49" s="3"/>
      <c r="C49" s="3"/>
      <c r="D49" s="3"/>
      <c r="E49" s="3"/>
      <c r="F49" s="31"/>
      <c r="G49" s="31"/>
      <c r="H49" s="19" t="str">
        <f t="shared" si="0"/>
        <v>—</v>
      </c>
      <c r="I49" s="32"/>
      <c r="J49" s="6"/>
      <c r="K49" s="33"/>
      <c r="L49" s="21" t="str">
        <f>IF(OR($B49="",NOT(ISNUMBER($J49)),$D49="Cancelled",$D49="Owner block"),"—",ROUND($J49*IF(ISNUMBER($K49),IF($K49&gt;1,$K49/100,$K49),IF(IFERROR(INDEX(Setup!$D$25:$D$36,MATCH($B49,Setup!$A$25:$A$36,0)),0)&gt;1,IFERROR(INDEX(Setup!$D$25:$D$36,MATCH($B49,Setup!$A$25:$A$36,0)),0)/100,IFERROR(INDEX(Setup!$D$25:$D$36,MATCH($B49,Setup!$A$25:$A$36,0)),0))),2))</f>
        <v>—</v>
      </c>
      <c r="M49" s="21" t="str">
        <f t="shared" si="1"/>
        <v>—</v>
      </c>
      <c r="N49" s="21" t="str">
        <f>IF(OR($B49="",$G49="",$D49="Cancelled"),"—",IFERROR(IF(INDEX(Setup!$E$25:$E$36,MATCH($B49,Setup!$A$25:$A$36,0))=0,"—",INDEX(Setup!$E$25:$E$36,MATCH($B49,Setup!$A$25:$A$36,0))),"—"))</f>
        <v>—</v>
      </c>
      <c r="O49" s="21" t="str">
        <f>IF(OR($B49="",$G49="",$D49="Cancelled"),"—",IFERROR(IF(INDEX(Setup!$F$25:$F$36,MATCH($B49,Setup!$A$25:$A$36,0))=0,"—",INDEX(Setup!$F$25:$F$36,MATCH($B49,Setup!$A$25:$A$36,0))),"—"))</f>
        <v>—</v>
      </c>
      <c r="P49" s="21" t="str">
        <f>IF(OR($B49="",$G49="",$D49="Cancelled",$D49="Owner block"),"—",IF(IFERROR(INDEX(Setup!$G$25:$G$36,MATCH($B49,Setup!$A$25:$A$36,0)),0)+IFERROR(INDEX(Setup!$H$25:$H$36,MATCH($B49,Setup!$A$25:$A$36,0)),0)*IF(ISNUMBER($H49),$H49,0)=0,"—",ROUND(IFERROR(INDEX(Setup!$G$25:$G$36,MATCH($B49,Setup!$A$25:$A$36,0)),0)+IFERROR(INDEX(Setup!$H$25:$H$36,MATCH($B49,Setup!$A$25:$A$36,0)),0)*IF(ISNUMBER($H49),$H49,0),2)))</f>
        <v>—</v>
      </c>
      <c r="Q49" s="21" t="str">
        <f t="shared" si="2"/>
        <v>—</v>
      </c>
      <c r="R49" s="21" t="str">
        <f t="shared" si="3"/>
        <v>—</v>
      </c>
      <c r="S49" s="3"/>
      <c r="T49" s="19" t="str">
        <f ca="1">IF(OR(NOT(ISNUMBER($F49)),NOT(ISNUMBER($G49)),NOT(ISNUMBER(Dashboard!$P$2)),NOT(ISNUMBER(Dashboard!$P$3)),$D49="Cancelled",$D49="Owner block"),"—",IF(MAX(0,MIN($G49,Dashboard!$P$3+1)-MAX($F49,Dashboard!$P$2))=0,"—",MAX(0,MIN($G49,Dashboard!$P$3+1)-MAX($F49,Dashboard!$P$2))))</f>
        <v>—</v>
      </c>
      <c r="U49" s="19" t="str">
        <f ca="1">IF(OR(NOT(ISNUMBER($F49)),NOT(ISNUMBER($G49)),NOT(ISNUMBER(Dashboard!$P$2)),NOT(ISNUMBER(Dashboard!$P$3)),$D49&lt;&gt;"Owner block"),"—",IF(MAX(0,MIN($G49,Dashboard!$P$3+1)-MAX($F49,Dashboard!$P$2))=0,"—",MAX(0,MIN($G49,Dashboard!$P$3+1)-MAX($F49,Dashboard!$P$2))))</f>
        <v>—</v>
      </c>
      <c r="V49" s="7" t="str">
        <f>IF($B49="",IF(COUNTA($C49:$G49,$I49:$K49,$S49)=0,"","⚠ no property — not counted"),IF(COUNTIF(Setup!$A$25:$A$36,$B49)=0,"⚠ property not in Setup",IF(AND($F49&lt;&gt;"",NOT(ISNUMBER($F49))),"⚠ check-in is not a real date",IF(AND($G49&lt;&gt;"",NOT(ISNUMBER($G49))),"⚠ check-out is not a real date",IF(AND($J49&lt;&gt;"",NOT(ISNUMBER($J49))),"⚠ booking value is not a number","OK")))))</f>
        <v/>
      </c>
      <c r="W49" s="21" t="str">
        <f t="shared" si="4"/>
        <v>—</v>
      </c>
    </row>
    <row r="50" spans="1:23" x14ac:dyDescent="0.2">
      <c r="A50" s="30">
        <v>46</v>
      </c>
      <c r="B50" s="8"/>
      <c r="C50" s="8"/>
      <c r="D50" s="8"/>
      <c r="E50" s="8"/>
      <c r="F50" s="34"/>
      <c r="G50" s="34"/>
      <c r="H50" s="19" t="str">
        <f t="shared" si="0"/>
        <v>—</v>
      </c>
      <c r="I50" s="35"/>
      <c r="J50" s="11"/>
      <c r="K50" s="36"/>
      <c r="L50" s="21" t="str">
        <f>IF(OR($B50="",NOT(ISNUMBER($J50)),$D50="Cancelled",$D50="Owner block"),"—",ROUND($J50*IF(ISNUMBER($K50),IF($K50&gt;1,$K50/100,$K50),IF(IFERROR(INDEX(Setup!$D$25:$D$36,MATCH($B50,Setup!$A$25:$A$36,0)),0)&gt;1,IFERROR(INDEX(Setup!$D$25:$D$36,MATCH($B50,Setup!$A$25:$A$36,0)),0)/100,IFERROR(INDEX(Setup!$D$25:$D$36,MATCH($B50,Setup!$A$25:$A$36,0)),0))),2))</f>
        <v>—</v>
      </c>
      <c r="M50" s="21" t="str">
        <f t="shared" si="1"/>
        <v>—</v>
      </c>
      <c r="N50" s="21" t="str">
        <f>IF(OR($B50="",$G50="",$D50="Cancelled"),"—",IFERROR(IF(INDEX(Setup!$E$25:$E$36,MATCH($B50,Setup!$A$25:$A$36,0))=0,"—",INDEX(Setup!$E$25:$E$36,MATCH($B50,Setup!$A$25:$A$36,0))),"—"))</f>
        <v>—</v>
      </c>
      <c r="O50" s="21" t="str">
        <f>IF(OR($B50="",$G50="",$D50="Cancelled"),"—",IFERROR(IF(INDEX(Setup!$F$25:$F$36,MATCH($B50,Setup!$A$25:$A$36,0))=0,"—",INDEX(Setup!$F$25:$F$36,MATCH($B50,Setup!$A$25:$A$36,0))),"—"))</f>
        <v>—</v>
      </c>
      <c r="P50" s="21" t="str">
        <f>IF(OR($B50="",$G50="",$D50="Cancelled",$D50="Owner block"),"—",IF(IFERROR(INDEX(Setup!$G$25:$G$36,MATCH($B50,Setup!$A$25:$A$36,0)),0)+IFERROR(INDEX(Setup!$H$25:$H$36,MATCH($B50,Setup!$A$25:$A$36,0)),0)*IF(ISNUMBER($H50),$H50,0)=0,"—",ROUND(IFERROR(INDEX(Setup!$G$25:$G$36,MATCH($B50,Setup!$A$25:$A$36,0)),0)+IFERROR(INDEX(Setup!$H$25:$H$36,MATCH($B50,Setup!$A$25:$A$36,0)),0)*IF(ISNUMBER($H50),$H50,0),2)))</f>
        <v>—</v>
      </c>
      <c r="Q50" s="21" t="str">
        <f t="shared" si="2"/>
        <v>—</v>
      </c>
      <c r="R50" s="21" t="str">
        <f t="shared" si="3"/>
        <v>—</v>
      </c>
      <c r="S50" s="8"/>
      <c r="T50" s="19" t="str">
        <f ca="1">IF(OR(NOT(ISNUMBER($F50)),NOT(ISNUMBER($G50)),NOT(ISNUMBER(Dashboard!$P$2)),NOT(ISNUMBER(Dashboard!$P$3)),$D50="Cancelled",$D50="Owner block"),"—",IF(MAX(0,MIN($G50,Dashboard!$P$3+1)-MAX($F50,Dashboard!$P$2))=0,"—",MAX(0,MIN($G50,Dashboard!$P$3+1)-MAX($F50,Dashboard!$P$2))))</f>
        <v>—</v>
      </c>
      <c r="U50" s="19" t="str">
        <f ca="1">IF(OR(NOT(ISNUMBER($F50)),NOT(ISNUMBER($G50)),NOT(ISNUMBER(Dashboard!$P$2)),NOT(ISNUMBER(Dashboard!$P$3)),$D50&lt;&gt;"Owner block"),"—",IF(MAX(0,MIN($G50,Dashboard!$P$3+1)-MAX($F50,Dashboard!$P$2))=0,"—",MAX(0,MIN($G50,Dashboard!$P$3+1)-MAX($F50,Dashboard!$P$2))))</f>
        <v>—</v>
      </c>
      <c r="V50" s="7" t="str">
        <f>IF($B50="",IF(COUNTA($C50:$G50,$I50:$K50,$S50)=0,"","⚠ no property — not counted"),IF(COUNTIF(Setup!$A$25:$A$36,$B50)=0,"⚠ property not in Setup",IF(AND($F50&lt;&gt;"",NOT(ISNUMBER($F50))),"⚠ check-in is not a real date",IF(AND($G50&lt;&gt;"",NOT(ISNUMBER($G50))),"⚠ check-out is not a real date",IF(AND($J50&lt;&gt;"",NOT(ISNUMBER($J50))),"⚠ booking value is not a number","OK")))))</f>
        <v/>
      </c>
      <c r="W50" s="21" t="str">
        <f t="shared" si="4"/>
        <v>—</v>
      </c>
    </row>
    <row r="51" spans="1:23" x14ac:dyDescent="0.2">
      <c r="A51" s="30">
        <v>47</v>
      </c>
      <c r="B51" s="3"/>
      <c r="C51" s="3"/>
      <c r="D51" s="3"/>
      <c r="E51" s="3"/>
      <c r="F51" s="31"/>
      <c r="G51" s="31"/>
      <c r="H51" s="19" t="str">
        <f t="shared" si="0"/>
        <v>—</v>
      </c>
      <c r="I51" s="32"/>
      <c r="J51" s="6"/>
      <c r="K51" s="33"/>
      <c r="L51" s="21" t="str">
        <f>IF(OR($B51="",NOT(ISNUMBER($J51)),$D51="Cancelled",$D51="Owner block"),"—",ROUND($J51*IF(ISNUMBER($K51),IF($K51&gt;1,$K51/100,$K51),IF(IFERROR(INDEX(Setup!$D$25:$D$36,MATCH($B51,Setup!$A$25:$A$36,0)),0)&gt;1,IFERROR(INDEX(Setup!$D$25:$D$36,MATCH($B51,Setup!$A$25:$A$36,0)),0)/100,IFERROR(INDEX(Setup!$D$25:$D$36,MATCH($B51,Setup!$A$25:$A$36,0)),0))),2))</f>
        <v>—</v>
      </c>
      <c r="M51" s="21" t="str">
        <f t="shared" si="1"/>
        <v>—</v>
      </c>
      <c r="N51" s="21" t="str">
        <f>IF(OR($B51="",$G51="",$D51="Cancelled"),"—",IFERROR(IF(INDEX(Setup!$E$25:$E$36,MATCH($B51,Setup!$A$25:$A$36,0))=0,"—",INDEX(Setup!$E$25:$E$36,MATCH($B51,Setup!$A$25:$A$36,0))),"—"))</f>
        <v>—</v>
      </c>
      <c r="O51" s="21" t="str">
        <f>IF(OR($B51="",$G51="",$D51="Cancelled"),"—",IFERROR(IF(INDEX(Setup!$F$25:$F$36,MATCH($B51,Setup!$A$25:$A$36,0))=0,"—",INDEX(Setup!$F$25:$F$36,MATCH($B51,Setup!$A$25:$A$36,0))),"—"))</f>
        <v>—</v>
      </c>
      <c r="P51" s="21" t="str">
        <f>IF(OR($B51="",$G51="",$D51="Cancelled",$D51="Owner block"),"—",IF(IFERROR(INDEX(Setup!$G$25:$G$36,MATCH($B51,Setup!$A$25:$A$36,0)),0)+IFERROR(INDEX(Setup!$H$25:$H$36,MATCH($B51,Setup!$A$25:$A$36,0)),0)*IF(ISNUMBER($H51),$H51,0)=0,"—",ROUND(IFERROR(INDEX(Setup!$G$25:$G$36,MATCH($B51,Setup!$A$25:$A$36,0)),0)+IFERROR(INDEX(Setup!$H$25:$H$36,MATCH($B51,Setup!$A$25:$A$36,0)),0)*IF(ISNUMBER($H51),$H51,0),2)))</f>
        <v>—</v>
      </c>
      <c r="Q51" s="21" t="str">
        <f t="shared" si="2"/>
        <v>—</v>
      </c>
      <c r="R51" s="21" t="str">
        <f t="shared" si="3"/>
        <v>—</v>
      </c>
      <c r="S51" s="3"/>
      <c r="T51" s="19" t="str">
        <f ca="1">IF(OR(NOT(ISNUMBER($F51)),NOT(ISNUMBER($G51)),NOT(ISNUMBER(Dashboard!$P$2)),NOT(ISNUMBER(Dashboard!$P$3)),$D51="Cancelled",$D51="Owner block"),"—",IF(MAX(0,MIN($G51,Dashboard!$P$3+1)-MAX($F51,Dashboard!$P$2))=0,"—",MAX(0,MIN($G51,Dashboard!$P$3+1)-MAX($F51,Dashboard!$P$2))))</f>
        <v>—</v>
      </c>
      <c r="U51" s="19" t="str">
        <f ca="1">IF(OR(NOT(ISNUMBER($F51)),NOT(ISNUMBER($G51)),NOT(ISNUMBER(Dashboard!$P$2)),NOT(ISNUMBER(Dashboard!$P$3)),$D51&lt;&gt;"Owner block"),"—",IF(MAX(0,MIN($G51,Dashboard!$P$3+1)-MAX($F51,Dashboard!$P$2))=0,"—",MAX(0,MIN($G51,Dashboard!$P$3+1)-MAX($F51,Dashboard!$P$2))))</f>
        <v>—</v>
      </c>
      <c r="V51" s="7" t="str">
        <f>IF($B51="",IF(COUNTA($C51:$G51,$I51:$K51,$S51)=0,"","⚠ no property — not counted"),IF(COUNTIF(Setup!$A$25:$A$36,$B51)=0,"⚠ property not in Setup",IF(AND($F51&lt;&gt;"",NOT(ISNUMBER($F51))),"⚠ check-in is not a real date",IF(AND($G51&lt;&gt;"",NOT(ISNUMBER($G51))),"⚠ check-out is not a real date",IF(AND($J51&lt;&gt;"",NOT(ISNUMBER($J51))),"⚠ booking value is not a number","OK")))))</f>
        <v/>
      </c>
      <c r="W51" s="21" t="str">
        <f t="shared" si="4"/>
        <v>—</v>
      </c>
    </row>
    <row r="52" spans="1:23" x14ac:dyDescent="0.2">
      <c r="A52" s="30">
        <v>48</v>
      </c>
      <c r="B52" s="8"/>
      <c r="C52" s="8"/>
      <c r="D52" s="8"/>
      <c r="E52" s="8"/>
      <c r="F52" s="34"/>
      <c r="G52" s="34"/>
      <c r="H52" s="19" t="str">
        <f t="shared" si="0"/>
        <v>—</v>
      </c>
      <c r="I52" s="35"/>
      <c r="J52" s="11"/>
      <c r="K52" s="36"/>
      <c r="L52" s="21" t="str">
        <f>IF(OR($B52="",NOT(ISNUMBER($J52)),$D52="Cancelled",$D52="Owner block"),"—",ROUND($J52*IF(ISNUMBER($K52),IF($K52&gt;1,$K52/100,$K52),IF(IFERROR(INDEX(Setup!$D$25:$D$36,MATCH($B52,Setup!$A$25:$A$36,0)),0)&gt;1,IFERROR(INDEX(Setup!$D$25:$D$36,MATCH($B52,Setup!$A$25:$A$36,0)),0)/100,IFERROR(INDEX(Setup!$D$25:$D$36,MATCH($B52,Setup!$A$25:$A$36,0)),0))),2))</f>
        <v>—</v>
      </c>
      <c r="M52" s="21" t="str">
        <f t="shared" si="1"/>
        <v>—</v>
      </c>
      <c r="N52" s="21" t="str">
        <f>IF(OR($B52="",$G52="",$D52="Cancelled"),"—",IFERROR(IF(INDEX(Setup!$E$25:$E$36,MATCH($B52,Setup!$A$25:$A$36,0))=0,"—",INDEX(Setup!$E$25:$E$36,MATCH($B52,Setup!$A$25:$A$36,0))),"—"))</f>
        <v>—</v>
      </c>
      <c r="O52" s="21" t="str">
        <f>IF(OR($B52="",$G52="",$D52="Cancelled"),"—",IFERROR(IF(INDEX(Setup!$F$25:$F$36,MATCH($B52,Setup!$A$25:$A$36,0))=0,"—",INDEX(Setup!$F$25:$F$36,MATCH($B52,Setup!$A$25:$A$36,0))),"—"))</f>
        <v>—</v>
      </c>
      <c r="P52" s="21" t="str">
        <f>IF(OR($B52="",$G52="",$D52="Cancelled",$D52="Owner block"),"—",IF(IFERROR(INDEX(Setup!$G$25:$G$36,MATCH($B52,Setup!$A$25:$A$36,0)),0)+IFERROR(INDEX(Setup!$H$25:$H$36,MATCH($B52,Setup!$A$25:$A$36,0)),0)*IF(ISNUMBER($H52),$H52,0)=0,"—",ROUND(IFERROR(INDEX(Setup!$G$25:$G$36,MATCH($B52,Setup!$A$25:$A$36,0)),0)+IFERROR(INDEX(Setup!$H$25:$H$36,MATCH($B52,Setup!$A$25:$A$36,0)),0)*IF(ISNUMBER($H52),$H52,0),2)))</f>
        <v>—</v>
      </c>
      <c r="Q52" s="21" t="str">
        <f t="shared" si="2"/>
        <v>—</v>
      </c>
      <c r="R52" s="21" t="str">
        <f t="shared" si="3"/>
        <v>—</v>
      </c>
      <c r="S52" s="8"/>
      <c r="T52" s="19" t="str">
        <f ca="1">IF(OR(NOT(ISNUMBER($F52)),NOT(ISNUMBER($G52)),NOT(ISNUMBER(Dashboard!$P$2)),NOT(ISNUMBER(Dashboard!$P$3)),$D52="Cancelled",$D52="Owner block"),"—",IF(MAX(0,MIN($G52,Dashboard!$P$3+1)-MAX($F52,Dashboard!$P$2))=0,"—",MAX(0,MIN($G52,Dashboard!$P$3+1)-MAX($F52,Dashboard!$P$2))))</f>
        <v>—</v>
      </c>
      <c r="U52" s="19" t="str">
        <f ca="1">IF(OR(NOT(ISNUMBER($F52)),NOT(ISNUMBER($G52)),NOT(ISNUMBER(Dashboard!$P$2)),NOT(ISNUMBER(Dashboard!$P$3)),$D52&lt;&gt;"Owner block"),"—",IF(MAX(0,MIN($G52,Dashboard!$P$3+1)-MAX($F52,Dashboard!$P$2))=0,"—",MAX(0,MIN($G52,Dashboard!$P$3+1)-MAX($F52,Dashboard!$P$2))))</f>
        <v>—</v>
      </c>
      <c r="V52" s="7" t="str">
        <f>IF($B52="",IF(COUNTA($C52:$G52,$I52:$K52,$S52)=0,"","⚠ no property — not counted"),IF(COUNTIF(Setup!$A$25:$A$36,$B52)=0,"⚠ property not in Setup",IF(AND($F52&lt;&gt;"",NOT(ISNUMBER($F52))),"⚠ check-in is not a real date",IF(AND($G52&lt;&gt;"",NOT(ISNUMBER($G52))),"⚠ check-out is not a real date",IF(AND($J52&lt;&gt;"",NOT(ISNUMBER($J52))),"⚠ booking value is not a number","OK")))))</f>
        <v/>
      </c>
      <c r="W52" s="21" t="str">
        <f t="shared" si="4"/>
        <v>—</v>
      </c>
    </row>
    <row r="53" spans="1:23" x14ac:dyDescent="0.2">
      <c r="A53" s="30">
        <v>49</v>
      </c>
      <c r="B53" s="3"/>
      <c r="C53" s="3"/>
      <c r="D53" s="3"/>
      <c r="E53" s="3"/>
      <c r="F53" s="31"/>
      <c r="G53" s="31"/>
      <c r="H53" s="19" t="str">
        <f t="shared" si="0"/>
        <v>—</v>
      </c>
      <c r="I53" s="32"/>
      <c r="J53" s="6"/>
      <c r="K53" s="33"/>
      <c r="L53" s="21" t="str">
        <f>IF(OR($B53="",NOT(ISNUMBER($J53)),$D53="Cancelled",$D53="Owner block"),"—",ROUND($J53*IF(ISNUMBER($K53),IF($K53&gt;1,$K53/100,$K53),IF(IFERROR(INDEX(Setup!$D$25:$D$36,MATCH($B53,Setup!$A$25:$A$36,0)),0)&gt;1,IFERROR(INDEX(Setup!$D$25:$D$36,MATCH($B53,Setup!$A$25:$A$36,0)),0)/100,IFERROR(INDEX(Setup!$D$25:$D$36,MATCH($B53,Setup!$A$25:$A$36,0)),0))),2))</f>
        <v>—</v>
      </c>
      <c r="M53" s="21" t="str">
        <f t="shared" si="1"/>
        <v>—</v>
      </c>
      <c r="N53" s="21" t="str">
        <f>IF(OR($B53="",$G53="",$D53="Cancelled"),"—",IFERROR(IF(INDEX(Setup!$E$25:$E$36,MATCH($B53,Setup!$A$25:$A$36,0))=0,"—",INDEX(Setup!$E$25:$E$36,MATCH($B53,Setup!$A$25:$A$36,0))),"—"))</f>
        <v>—</v>
      </c>
      <c r="O53" s="21" t="str">
        <f>IF(OR($B53="",$G53="",$D53="Cancelled"),"—",IFERROR(IF(INDEX(Setup!$F$25:$F$36,MATCH($B53,Setup!$A$25:$A$36,0))=0,"—",INDEX(Setup!$F$25:$F$36,MATCH($B53,Setup!$A$25:$A$36,0))),"—"))</f>
        <v>—</v>
      </c>
      <c r="P53" s="21" t="str">
        <f>IF(OR($B53="",$G53="",$D53="Cancelled",$D53="Owner block"),"—",IF(IFERROR(INDEX(Setup!$G$25:$G$36,MATCH($B53,Setup!$A$25:$A$36,0)),0)+IFERROR(INDEX(Setup!$H$25:$H$36,MATCH($B53,Setup!$A$25:$A$36,0)),0)*IF(ISNUMBER($H53),$H53,0)=0,"—",ROUND(IFERROR(INDEX(Setup!$G$25:$G$36,MATCH($B53,Setup!$A$25:$A$36,0)),0)+IFERROR(INDEX(Setup!$H$25:$H$36,MATCH($B53,Setup!$A$25:$A$36,0)),0)*IF(ISNUMBER($H53),$H53,0),2)))</f>
        <v>—</v>
      </c>
      <c r="Q53" s="21" t="str">
        <f t="shared" si="2"/>
        <v>—</v>
      </c>
      <c r="R53" s="21" t="str">
        <f t="shared" si="3"/>
        <v>—</v>
      </c>
      <c r="S53" s="3"/>
      <c r="T53" s="19" t="str">
        <f ca="1">IF(OR(NOT(ISNUMBER($F53)),NOT(ISNUMBER($G53)),NOT(ISNUMBER(Dashboard!$P$2)),NOT(ISNUMBER(Dashboard!$P$3)),$D53="Cancelled",$D53="Owner block"),"—",IF(MAX(0,MIN($G53,Dashboard!$P$3+1)-MAX($F53,Dashboard!$P$2))=0,"—",MAX(0,MIN($G53,Dashboard!$P$3+1)-MAX($F53,Dashboard!$P$2))))</f>
        <v>—</v>
      </c>
      <c r="U53" s="19" t="str">
        <f ca="1">IF(OR(NOT(ISNUMBER($F53)),NOT(ISNUMBER($G53)),NOT(ISNUMBER(Dashboard!$P$2)),NOT(ISNUMBER(Dashboard!$P$3)),$D53&lt;&gt;"Owner block"),"—",IF(MAX(0,MIN($G53,Dashboard!$P$3+1)-MAX($F53,Dashboard!$P$2))=0,"—",MAX(0,MIN($G53,Dashboard!$P$3+1)-MAX($F53,Dashboard!$P$2))))</f>
        <v>—</v>
      </c>
      <c r="V53" s="7" t="str">
        <f>IF($B53="",IF(COUNTA($C53:$G53,$I53:$K53,$S53)=0,"","⚠ no property — not counted"),IF(COUNTIF(Setup!$A$25:$A$36,$B53)=0,"⚠ property not in Setup",IF(AND($F53&lt;&gt;"",NOT(ISNUMBER($F53))),"⚠ check-in is not a real date",IF(AND($G53&lt;&gt;"",NOT(ISNUMBER($G53))),"⚠ check-out is not a real date",IF(AND($J53&lt;&gt;"",NOT(ISNUMBER($J53))),"⚠ booking value is not a number","OK")))))</f>
        <v/>
      </c>
      <c r="W53" s="21" t="str">
        <f t="shared" si="4"/>
        <v>—</v>
      </c>
    </row>
    <row r="54" spans="1:23" x14ac:dyDescent="0.2">
      <c r="A54" s="30">
        <v>50</v>
      </c>
      <c r="B54" s="8"/>
      <c r="C54" s="8"/>
      <c r="D54" s="8"/>
      <c r="E54" s="8"/>
      <c r="F54" s="34"/>
      <c r="G54" s="34"/>
      <c r="H54" s="19" t="str">
        <f t="shared" si="0"/>
        <v>—</v>
      </c>
      <c r="I54" s="35"/>
      <c r="J54" s="11"/>
      <c r="K54" s="36"/>
      <c r="L54" s="21" t="str">
        <f>IF(OR($B54="",NOT(ISNUMBER($J54)),$D54="Cancelled",$D54="Owner block"),"—",ROUND($J54*IF(ISNUMBER($K54),IF($K54&gt;1,$K54/100,$K54),IF(IFERROR(INDEX(Setup!$D$25:$D$36,MATCH($B54,Setup!$A$25:$A$36,0)),0)&gt;1,IFERROR(INDEX(Setup!$D$25:$D$36,MATCH($B54,Setup!$A$25:$A$36,0)),0)/100,IFERROR(INDEX(Setup!$D$25:$D$36,MATCH($B54,Setup!$A$25:$A$36,0)),0))),2))</f>
        <v>—</v>
      </c>
      <c r="M54" s="21" t="str">
        <f t="shared" si="1"/>
        <v>—</v>
      </c>
      <c r="N54" s="21" t="str">
        <f>IF(OR($B54="",$G54="",$D54="Cancelled"),"—",IFERROR(IF(INDEX(Setup!$E$25:$E$36,MATCH($B54,Setup!$A$25:$A$36,0))=0,"—",INDEX(Setup!$E$25:$E$36,MATCH($B54,Setup!$A$25:$A$36,0))),"—"))</f>
        <v>—</v>
      </c>
      <c r="O54" s="21" t="str">
        <f>IF(OR($B54="",$G54="",$D54="Cancelled"),"—",IFERROR(IF(INDEX(Setup!$F$25:$F$36,MATCH($B54,Setup!$A$25:$A$36,0))=0,"—",INDEX(Setup!$F$25:$F$36,MATCH($B54,Setup!$A$25:$A$36,0))),"—"))</f>
        <v>—</v>
      </c>
      <c r="P54" s="21" t="str">
        <f>IF(OR($B54="",$G54="",$D54="Cancelled",$D54="Owner block"),"—",IF(IFERROR(INDEX(Setup!$G$25:$G$36,MATCH($B54,Setup!$A$25:$A$36,0)),0)+IFERROR(INDEX(Setup!$H$25:$H$36,MATCH($B54,Setup!$A$25:$A$36,0)),0)*IF(ISNUMBER($H54),$H54,0)=0,"—",ROUND(IFERROR(INDEX(Setup!$G$25:$G$36,MATCH($B54,Setup!$A$25:$A$36,0)),0)+IFERROR(INDEX(Setup!$H$25:$H$36,MATCH($B54,Setup!$A$25:$A$36,0)),0)*IF(ISNUMBER($H54),$H54,0),2)))</f>
        <v>—</v>
      </c>
      <c r="Q54" s="21" t="str">
        <f t="shared" si="2"/>
        <v>—</v>
      </c>
      <c r="R54" s="21" t="str">
        <f t="shared" si="3"/>
        <v>—</v>
      </c>
      <c r="S54" s="8"/>
      <c r="T54" s="19" t="str">
        <f ca="1">IF(OR(NOT(ISNUMBER($F54)),NOT(ISNUMBER($G54)),NOT(ISNUMBER(Dashboard!$P$2)),NOT(ISNUMBER(Dashboard!$P$3)),$D54="Cancelled",$D54="Owner block"),"—",IF(MAX(0,MIN($G54,Dashboard!$P$3+1)-MAX($F54,Dashboard!$P$2))=0,"—",MAX(0,MIN($G54,Dashboard!$P$3+1)-MAX($F54,Dashboard!$P$2))))</f>
        <v>—</v>
      </c>
      <c r="U54" s="19" t="str">
        <f ca="1">IF(OR(NOT(ISNUMBER($F54)),NOT(ISNUMBER($G54)),NOT(ISNUMBER(Dashboard!$P$2)),NOT(ISNUMBER(Dashboard!$P$3)),$D54&lt;&gt;"Owner block"),"—",IF(MAX(0,MIN($G54,Dashboard!$P$3+1)-MAX($F54,Dashboard!$P$2))=0,"—",MAX(0,MIN($G54,Dashboard!$P$3+1)-MAX($F54,Dashboard!$P$2))))</f>
        <v>—</v>
      </c>
      <c r="V54" s="7" t="str">
        <f>IF($B54="",IF(COUNTA($C54:$G54,$I54:$K54,$S54)=0,"","⚠ no property — not counted"),IF(COUNTIF(Setup!$A$25:$A$36,$B54)=0,"⚠ property not in Setup",IF(AND($F54&lt;&gt;"",NOT(ISNUMBER($F54))),"⚠ check-in is not a real date",IF(AND($G54&lt;&gt;"",NOT(ISNUMBER($G54))),"⚠ check-out is not a real date",IF(AND($J54&lt;&gt;"",NOT(ISNUMBER($J54))),"⚠ booking value is not a number","OK")))))</f>
        <v/>
      </c>
      <c r="W54" s="21" t="str">
        <f t="shared" si="4"/>
        <v>—</v>
      </c>
    </row>
    <row r="55" spans="1:23" x14ac:dyDescent="0.2">
      <c r="A55" s="30">
        <v>51</v>
      </c>
      <c r="B55" s="3"/>
      <c r="C55" s="3"/>
      <c r="D55" s="3"/>
      <c r="E55" s="3"/>
      <c r="F55" s="31"/>
      <c r="G55" s="31"/>
      <c r="H55" s="19" t="str">
        <f t="shared" si="0"/>
        <v>—</v>
      </c>
      <c r="I55" s="32"/>
      <c r="J55" s="6"/>
      <c r="K55" s="33"/>
      <c r="L55" s="21" t="str">
        <f>IF(OR($B55="",NOT(ISNUMBER($J55)),$D55="Cancelled",$D55="Owner block"),"—",ROUND($J55*IF(ISNUMBER($K55),IF($K55&gt;1,$K55/100,$K55),IF(IFERROR(INDEX(Setup!$D$25:$D$36,MATCH($B55,Setup!$A$25:$A$36,0)),0)&gt;1,IFERROR(INDEX(Setup!$D$25:$D$36,MATCH($B55,Setup!$A$25:$A$36,0)),0)/100,IFERROR(INDEX(Setup!$D$25:$D$36,MATCH($B55,Setup!$A$25:$A$36,0)),0))),2))</f>
        <v>—</v>
      </c>
      <c r="M55" s="21" t="str">
        <f t="shared" si="1"/>
        <v>—</v>
      </c>
      <c r="N55" s="21" t="str">
        <f>IF(OR($B55="",$G55="",$D55="Cancelled"),"—",IFERROR(IF(INDEX(Setup!$E$25:$E$36,MATCH($B55,Setup!$A$25:$A$36,0))=0,"—",INDEX(Setup!$E$25:$E$36,MATCH($B55,Setup!$A$25:$A$36,0))),"—"))</f>
        <v>—</v>
      </c>
      <c r="O55" s="21" t="str">
        <f>IF(OR($B55="",$G55="",$D55="Cancelled"),"—",IFERROR(IF(INDEX(Setup!$F$25:$F$36,MATCH($B55,Setup!$A$25:$A$36,0))=0,"—",INDEX(Setup!$F$25:$F$36,MATCH($B55,Setup!$A$25:$A$36,0))),"—"))</f>
        <v>—</v>
      </c>
      <c r="P55" s="21" t="str">
        <f>IF(OR($B55="",$G55="",$D55="Cancelled",$D55="Owner block"),"—",IF(IFERROR(INDEX(Setup!$G$25:$G$36,MATCH($B55,Setup!$A$25:$A$36,0)),0)+IFERROR(INDEX(Setup!$H$25:$H$36,MATCH($B55,Setup!$A$25:$A$36,0)),0)*IF(ISNUMBER($H55),$H55,0)=0,"—",ROUND(IFERROR(INDEX(Setup!$G$25:$G$36,MATCH($B55,Setup!$A$25:$A$36,0)),0)+IFERROR(INDEX(Setup!$H$25:$H$36,MATCH($B55,Setup!$A$25:$A$36,0)),0)*IF(ISNUMBER($H55),$H55,0),2)))</f>
        <v>—</v>
      </c>
      <c r="Q55" s="21" t="str">
        <f t="shared" si="2"/>
        <v>—</v>
      </c>
      <c r="R55" s="21" t="str">
        <f t="shared" si="3"/>
        <v>—</v>
      </c>
      <c r="S55" s="3"/>
      <c r="T55" s="19" t="str">
        <f ca="1">IF(OR(NOT(ISNUMBER($F55)),NOT(ISNUMBER($G55)),NOT(ISNUMBER(Dashboard!$P$2)),NOT(ISNUMBER(Dashboard!$P$3)),$D55="Cancelled",$D55="Owner block"),"—",IF(MAX(0,MIN($G55,Dashboard!$P$3+1)-MAX($F55,Dashboard!$P$2))=0,"—",MAX(0,MIN($G55,Dashboard!$P$3+1)-MAX($F55,Dashboard!$P$2))))</f>
        <v>—</v>
      </c>
      <c r="U55" s="19" t="str">
        <f ca="1">IF(OR(NOT(ISNUMBER($F55)),NOT(ISNUMBER($G55)),NOT(ISNUMBER(Dashboard!$P$2)),NOT(ISNUMBER(Dashboard!$P$3)),$D55&lt;&gt;"Owner block"),"—",IF(MAX(0,MIN($G55,Dashboard!$P$3+1)-MAX($F55,Dashboard!$P$2))=0,"—",MAX(0,MIN($G55,Dashboard!$P$3+1)-MAX($F55,Dashboard!$P$2))))</f>
        <v>—</v>
      </c>
      <c r="V55" s="7" t="str">
        <f>IF($B55="",IF(COUNTA($C55:$G55,$I55:$K55,$S55)=0,"","⚠ no property — not counted"),IF(COUNTIF(Setup!$A$25:$A$36,$B55)=0,"⚠ property not in Setup",IF(AND($F55&lt;&gt;"",NOT(ISNUMBER($F55))),"⚠ check-in is not a real date",IF(AND($G55&lt;&gt;"",NOT(ISNUMBER($G55))),"⚠ check-out is not a real date",IF(AND($J55&lt;&gt;"",NOT(ISNUMBER($J55))),"⚠ booking value is not a number","OK")))))</f>
        <v/>
      </c>
      <c r="W55" s="21" t="str">
        <f t="shared" si="4"/>
        <v>—</v>
      </c>
    </row>
    <row r="56" spans="1:23" x14ac:dyDescent="0.2">
      <c r="A56" s="30">
        <v>52</v>
      </c>
      <c r="B56" s="8"/>
      <c r="C56" s="8"/>
      <c r="D56" s="8"/>
      <c r="E56" s="8"/>
      <c r="F56" s="34"/>
      <c r="G56" s="34"/>
      <c r="H56" s="19" t="str">
        <f t="shared" si="0"/>
        <v>—</v>
      </c>
      <c r="I56" s="35"/>
      <c r="J56" s="11"/>
      <c r="K56" s="36"/>
      <c r="L56" s="21" t="str">
        <f>IF(OR($B56="",NOT(ISNUMBER($J56)),$D56="Cancelled",$D56="Owner block"),"—",ROUND($J56*IF(ISNUMBER($K56),IF($K56&gt;1,$K56/100,$K56),IF(IFERROR(INDEX(Setup!$D$25:$D$36,MATCH($B56,Setup!$A$25:$A$36,0)),0)&gt;1,IFERROR(INDEX(Setup!$D$25:$D$36,MATCH($B56,Setup!$A$25:$A$36,0)),0)/100,IFERROR(INDEX(Setup!$D$25:$D$36,MATCH($B56,Setup!$A$25:$A$36,0)),0))),2))</f>
        <v>—</v>
      </c>
      <c r="M56" s="21" t="str">
        <f t="shared" si="1"/>
        <v>—</v>
      </c>
      <c r="N56" s="21" t="str">
        <f>IF(OR($B56="",$G56="",$D56="Cancelled"),"—",IFERROR(IF(INDEX(Setup!$E$25:$E$36,MATCH($B56,Setup!$A$25:$A$36,0))=0,"—",INDEX(Setup!$E$25:$E$36,MATCH($B56,Setup!$A$25:$A$36,0))),"—"))</f>
        <v>—</v>
      </c>
      <c r="O56" s="21" t="str">
        <f>IF(OR($B56="",$G56="",$D56="Cancelled"),"—",IFERROR(IF(INDEX(Setup!$F$25:$F$36,MATCH($B56,Setup!$A$25:$A$36,0))=0,"—",INDEX(Setup!$F$25:$F$36,MATCH($B56,Setup!$A$25:$A$36,0))),"—"))</f>
        <v>—</v>
      </c>
      <c r="P56" s="21" t="str">
        <f>IF(OR($B56="",$G56="",$D56="Cancelled",$D56="Owner block"),"—",IF(IFERROR(INDEX(Setup!$G$25:$G$36,MATCH($B56,Setup!$A$25:$A$36,0)),0)+IFERROR(INDEX(Setup!$H$25:$H$36,MATCH($B56,Setup!$A$25:$A$36,0)),0)*IF(ISNUMBER($H56),$H56,0)=0,"—",ROUND(IFERROR(INDEX(Setup!$G$25:$G$36,MATCH($B56,Setup!$A$25:$A$36,0)),0)+IFERROR(INDEX(Setup!$H$25:$H$36,MATCH($B56,Setup!$A$25:$A$36,0)),0)*IF(ISNUMBER($H56),$H56,0),2)))</f>
        <v>—</v>
      </c>
      <c r="Q56" s="21" t="str">
        <f t="shared" si="2"/>
        <v>—</v>
      </c>
      <c r="R56" s="21" t="str">
        <f t="shared" si="3"/>
        <v>—</v>
      </c>
      <c r="S56" s="8"/>
      <c r="T56" s="19" t="str">
        <f ca="1">IF(OR(NOT(ISNUMBER($F56)),NOT(ISNUMBER($G56)),NOT(ISNUMBER(Dashboard!$P$2)),NOT(ISNUMBER(Dashboard!$P$3)),$D56="Cancelled",$D56="Owner block"),"—",IF(MAX(0,MIN($G56,Dashboard!$P$3+1)-MAX($F56,Dashboard!$P$2))=0,"—",MAX(0,MIN($G56,Dashboard!$P$3+1)-MAX($F56,Dashboard!$P$2))))</f>
        <v>—</v>
      </c>
      <c r="U56" s="19" t="str">
        <f ca="1">IF(OR(NOT(ISNUMBER($F56)),NOT(ISNUMBER($G56)),NOT(ISNUMBER(Dashboard!$P$2)),NOT(ISNUMBER(Dashboard!$P$3)),$D56&lt;&gt;"Owner block"),"—",IF(MAX(0,MIN($G56,Dashboard!$P$3+1)-MAX($F56,Dashboard!$P$2))=0,"—",MAX(0,MIN($G56,Dashboard!$P$3+1)-MAX($F56,Dashboard!$P$2))))</f>
        <v>—</v>
      </c>
      <c r="V56" s="7" t="str">
        <f>IF($B56="",IF(COUNTA($C56:$G56,$I56:$K56,$S56)=0,"","⚠ no property — not counted"),IF(COUNTIF(Setup!$A$25:$A$36,$B56)=0,"⚠ property not in Setup",IF(AND($F56&lt;&gt;"",NOT(ISNUMBER($F56))),"⚠ check-in is not a real date",IF(AND($G56&lt;&gt;"",NOT(ISNUMBER($G56))),"⚠ check-out is not a real date",IF(AND($J56&lt;&gt;"",NOT(ISNUMBER($J56))),"⚠ booking value is not a number","OK")))))</f>
        <v/>
      </c>
      <c r="W56" s="21" t="str">
        <f t="shared" si="4"/>
        <v>—</v>
      </c>
    </row>
    <row r="57" spans="1:23" x14ac:dyDescent="0.2">
      <c r="A57" s="30">
        <v>53</v>
      </c>
      <c r="B57" s="3"/>
      <c r="C57" s="3"/>
      <c r="D57" s="3"/>
      <c r="E57" s="3"/>
      <c r="F57" s="31"/>
      <c r="G57" s="31"/>
      <c r="H57" s="19" t="str">
        <f t="shared" si="0"/>
        <v>—</v>
      </c>
      <c r="I57" s="32"/>
      <c r="J57" s="6"/>
      <c r="K57" s="33"/>
      <c r="L57" s="21" t="str">
        <f>IF(OR($B57="",NOT(ISNUMBER($J57)),$D57="Cancelled",$D57="Owner block"),"—",ROUND($J57*IF(ISNUMBER($K57),IF($K57&gt;1,$K57/100,$K57),IF(IFERROR(INDEX(Setup!$D$25:$D$36,MATCH($B57,Setup!$A$25:$A$36,0)),0)&gt;1,IFERROR(INDEX(Setup!$D$25:$D$36,MATCH($B57,Setup!$A$25:$A$36,0)),0)/100,IFERROR(INDEX(Setup!$D$25:$D$36,MATCH($B57,Setup!$A$25:$A$36,0)),0))),2))</f>
        <v>—</v>
      </c>
      <c r="M57" s="21" t="str">
        <f t="shared" si="1"/>
        <v>—</v>
      </c>
      <c r="N57" s="21" t="str">
        <f>IF(OR($B57="",$G57="",$D57="Cancelled"),"—",IFERROR(IF(INDEX(Setup!$E$25:$E$36,MATCH($B57,Setup!$A$25:$A$36,0))=0,"—",INDEX(Setup!$E$25:$E$36,MATCH($B57,Setup!$A$25:$A$36,0))),"—"))</f>
        <v>—</v>
      </c>
      <c r="O57" s="21" t="str">
        <f>IF(OR($B57="",$G57="",$D57="Cancelled"),"—",IFERROR(IF(INDEX(Setup!$F$25:$F$36,MATCH($B57,Setup!$A$25:$A$36,0))=0,"—",INDEX(Setup!$F$25:$F$36,MATCH($B57,Setup!$A$25:$A$36,0))),"—"))</f>
        <v>—</v>
      </c>
      <c r="P57" s="21" t="str">
        <f>IF(OR($B57="",$G57="",$D57="Cancelled",$D57="Owner block"),"—",IF(IFERROR(INDEX(Setup!$G$25:$G$36,MATCH($B57,Setup!$A$25:$A$36,0)),0)+IFERROR(INDEX(Setup!$H$25:$H$36,MATCH($B57,Setup!$A$25:$A$36,0)),0)*IF(ISNUMBER($H57),$H57,0)=0,"—",ROUND(IFERROR(INDEX(Setup!$G$25:$G$36,MATCH($B57,Setup!$A$25:$A$36,0)),0)+IFERROR(INDEX(Setup!$H$25:$H$36,MATCH($B57,Setup!$A$25:$A$36,0)),0)*IF(ISNUMBER($H57),$H57,0),2)))</f>
        <v>—</v>
      </c>
      <c r="Q57" s="21" t="str">
        <f t="shared" si="2"/>
        <v>—</v>
      </c>
      <c r="R57" s="21" t="str">
        <f t="shared" si="3"/>
        <v>—</v>
      </c>
      <c r="S57" s="3"/>
      <c r="T57" s="19" t="str">
        <f ca="1">IF(OR(NOT(ISNUMBER($F57)),NOT(ISNUMBER($G57)),NOT(ISNUMBER(Dashboard!$P$2)),NOT(ISNUMBER(Dashboard!$P$3)),$D57="Cancelled",$D57="Owner block"),"—",IF(MAX(0,MIN($G57,Dashboard!$P$3+1)-MAX($F57,Dashboard!$P$2))=0,"—",MAX(0,MIN($G57,Dashboard!$P$3+1)-MAX($F57,Dashboard!$P$2))))</f>
        <v>—</v>
      </c>
      <c r="U57" s="19" t="str">
        <f ca="1">IF(OR(NOT(ISNUMBER($F57)),NOT(ISNUMBER($G57)),NOT(ISNUMBER(Dashboard!$P$2)),NOT(ISNUMBER(Dashboard!$P$3)),$D57&lt;&gt;"Owner block"),"—",IF(MAX(0,MIN($G57,Dashboard!$P$3+1)-MAX($F57,Dashboard!$P$2))=0,"—",MAX(0,MIN($G57,Dashboard!$P$3+1)-MAX($F57,Dashboard!$P$2))))</f>
        <v>—</v>
      </c>
      <c r="V57" s="7" t="str">
        <f>IF($B57="",IF(COUNTA($C57:$G57,$I57:$K57,$S57)=0,"","⚠ no property — not counted"),IF(COUNTIF(Setup!$A$25:$A$36,$B57)=0,"⚠ property not in Setup",IF(AND($F57&lt;&gt;"",NOT(ISNUMBER($F57))),"⚠ check-in is not a real date",IF(AND($G57&lt;&gt;"",NOT(ISNUMBER($G57))),"⚠ check-out is not a real date",IF(AND($J57&lt;&gt;"",NOT(ISNUMBER($J57))),"⚠ booking value is not a number","OK")))))</f>
        <v/>
      </c>
      <c r="W57" s="21" t="str">
        <f t="shared" si="4"/>
        <v>—</v>
      </c>
    </row>
    <row r="58" spans="1:23" x14ac:dyDescent="0.2">
      <c r="A58" s="30">
        <v>54</v>
      </c>
      <c r="B58" s="8"/>
      <c r="C58" s="8"/>
      <c r="D58" s="8"/>
      <c r="E58" s="8"/>
      <c r="F58" s="34"/>
      <c r="G58" s="34"/>
      <c r="H58" s="19" t="str">
        <f t="shared" si="0"/>
        <v>—</v>
      </c>
      <c r="I58" s="35"/>
      <c r="J58" s="11"/>
      <c r="K58" s="36"/>
      <c r="L58" s="21" t="str">
        <f>IF(OR($B58="",NOT(ISNUMBER($J58)),$D58="Cancelled",$D58="Owner block"),"—",ROUND($J58*IF(ISNUMBER($K58),IF($K58&gt;1,$K58/100,$K58),IF(IFERROR(INDEX(Setup!$D$25:$D$36,MATCH($B58,Setup!$A$25:$A$36,0)),0)&gt;1,IFERROR(INDEX(Setup!$D$25:$D$36,MATCH($B58,Setup!$A$25:$A$36,0)),0)/100,IFERROR(INDEX(Setup!$D$25:$D$36,MATCH($B58,Setup!$A$25:$A$36,0)),0))),2))</f>
        <v>—</v>
      </c>
      <c r="M58" s="21" t="str">
        <f t="shared" si="1"/>
        <v>—</v>
      </c>
      <c r="N58" s="21" t="str">
        <f>IF(OR($B58="",$G58="",$D58="Cancelled"),"—",IFERROR(IF(INDEX(Setup!$E$25:$E$36,MATCH($B58,Setup!$A$25:$A$36,0))=0,"—",INDEX(Setup!$E$25:$E$36,MATCH($B58,Setup!$A$25:$A$36,0))),"—"))</f>
        <v>—</v>
      </c>
      <c r="O58" s="21" t="str">
        <f>IF(OR($B58="",$G58="",$D58="Cancelled"),"—",IFERROR(IF(INDEX(Setup!$F$25:$F$36,MATCH($B58,Setup!$A$25:$A$36,0))=0,"—",INDEX(Setup!$F$25:$F$36,MATCH($B58,Setup!$A$25:$A$36,0))),"—"))</f>
        <v>—</v>
      </c>
      <c r="P58" s="21" t="str">
        <f>IF(OR($B58="",$G58="",$D58="Cancelled",$D58="Owner block"),"—",IF(IFERROR(INDEX(Setup!$G$25:$G$36,MATCH($B58,Setup!$A$25:$A$36,0)),0)+IFERROR(INDEX(Setup!$H$25:$H$36,MATCH($B58,Setup!$A$25:$A$36,0)),0)*IF(ISNUMBER($H58),$H58,0)=0,"—",ROUND(IFERROR(INDEX(Setup!$G$25:$G$36,MATCH($B58,Setup!$A$25:$A$36,0)),0)+IFERROR(INDEX(Setup!$H$25:$H$36,MATCH($B58,Setup!$A$25:$A$36,0)),0)*IF(ISNUMBER($H58),$H58,0),2)))</f>
        <v>—</v>
      </c>
      <c r="Q58" s="21" t="str">
        <f t="shared" si="2"/>
        <v>—</v>
      </c>
      <c r="R58" s="21" t="str">
        <f t="shared" si="3"/>
        <v>—</v>
      </c>
      <c r="S58" s="8"/>
      <c r="T58" s="19" t="str">
        <f ca="1">IF(OR(NOT(ISNUMBER($F58)),NOT(ISNUMBER($G58)),NOT(ISNUMBER(Dashboard!$P$2)),NOT(ISNUMBER(Dashboard!$P$3)),$D58="Cancelled",$D58="Owner block"),"—",IF(MAX(0,MIN($G58,Dashboard!$P$3+1)-MAX($F58,Dashboard!$P$2))=0,"—",MAX(0,MIN($G58,Dashboard!$P$3+1)-MAX($F58,Dashboard!$P$2))))</f>
        <v>—</v>
      </c>
      <c r="U58" s="19" t="str">
        <f ca="1">IF(OR(NOT(ISNUMBER($F58)),NOT(ISNUMBER($G58)),NOT(ISNUMBER(Dashboard!$P$2)),NOT(ISNUMBER(Dashboard!$P$3)),$D58&lt;&gt;"Owner block"),"—",IF(MAX(0,MIN($G58,Dashboard!$P$3+1)-MAX($F58,Dashboard!$P$2))=0,"—",MAX(0,MIN($G58,Dashboard!$P$3+1)-MAX($F58,Dashboard!$P$2))))</f>
        <v>—</v>
      </c>
      <c r="V58" s="7" t="str">
        <f>IF($B58="",IF(COUNTA($C58:$G58,$I58:$K58,$S58)=0,"","⚠ no property — not counted"),IF(COUNTIF(Setup!$A$25:$A$36,$B58)=0,"⚠ property not in Setup",IF(AND($F58&lt;&gt;"",NOT(ISNUMBER($F58))),"⚠ check-in is not a real date",IF(AND($G58&lt;&gt;"",NOT(ISNUMBER($G58))),"⚠ check-out is not a real date",IF(AND($J58&lt;&gt;"",NOT(ISNUMBER($J58))),"⚠ booking value is not a number","OK")))))</f>
        <v/>
      </c>
      <c r="W58" s="21" t="str">
        <f t="shared" si="4"/>
        <v>—</v>
      </c>
    </row>
    <row r="59" spans="1:23" x14ac:dyDescent="0.2">
      <c r="A59" s="30">
        <v>55</v>
      </c>
      <c r="B59" s="3"/>
      <c r="C59" s="3"/>
      <c r="D59" s="3"/>
      <c r="E59" s="3"/>
      <c r="F59" s="31"/>
      <c r="G59" s="31"/>
      <c r="H59" s="19" t="str">
        <f t="shared" si="0"/>
        <v>—</v>
      </c>
      <c r="I59" s="32"/>
      <c r="J59" s="6"/>
      <c r="K59" s="33"/>
      <c r="L59" s="21" t="str">
        <f>IF(OR($B59="",NOT(ISNUMBER($J59)),$D59="Cancelled",$D59="Owner block"),"—",ROUND($J59*IF(ISNUMBER($K59),IF($K59&gt;1,$K59/100,$K59),IF(IFERROR(INDEX(Setup!$D$25:$D$36,MATCH($B59,Setup!$A$25:$A$36,0)),0)&gt;1,IFERROR(INDEX(Setup!$D$25:$D$36,MATCH($B59,Setup!$A$25:$A$36,0)),0)/100,IFERROR(INDEX(Setup!$D$25:$D$36,MATCH($B59,Setup!$A$25:$A$36,0)),0))),2))</f>
        <v>—</v>
      </c>
      <c r="M59" s="21" t="str">
        <f t="shared" si="1"/>
        <v>—</v>
      </c>
      <c r="N59" s="21" t="str">
        <f>IF(OR($B59="",$G59="",$D59="Cancelled"),"—",IFERROR(IF(INDEX(Setup!$E$25:$E$36,MATCH($B59,Setup!$A$25:$A$36,0))=0,"—",INDEX(Setup!$E$25:$E$36,MATCH($B59,Setup!$A$25:$A$36,0))),"—"))</f>
        <v>—</v>
      </c>
      <c r="O59" s="21" t="str">
        <f>IF(OR($B59="",$G59="",$D59="Cancelled"),"—",IFERROR(IF(INDEX(Setup!$F$25:$F$36,MATCH($B59,Setup!$A$25:$A$36,0))=0,"—",INDEX(Setup!$F$25:$F$36,MATCH($B59,Setup!$A$25:$A$36,0))),"—"))</f>
        <v>—</v>
      </c>
      <c r="P59" s="21" t="str">
        <f>IF(OR($B59="",$G59="",$D59="Cancelled",$D59="Owner block"),"—",IF(IFERROR(INDEX(Setup!$G$25:$G$36,MATCH($B59,Setup!$A$25:$A$36,0)),0)+IFERROR(INDEX(Setup!$H$25:$H$36,MATCH($B59,Setup!$A$25:$A$36,0)),0)*IF(ISNUMBER($H59),$H59,0)=0,"—",ROUND(IFERROR(INDEX(Setup!$G$25:$G$36,MATCH($B59,Setup!$A$25:$A$36,0)),0)+IFERROR(INDEX(Setup!$H$25:$H$36,MATCH($B59,Setup!$A$25:$A$36,0)),0)*IF(ISNUMBER($H59),$H59,0),2)))</f>
        <v>—</v>
      </c>
      <c r="Q59" s="21" t="str">
        <f t="shared" si="2"/>
        <v>—</v>
      </c>
      <c r="R59" s="21" t="str">
        <f t="shared" si="3"/>
        <v>—</v>
      </c>
      <c r="S59" s="3"/>
      <c r="T59" s="19" t="str">
        <f ca="1">IF(OR(NOT(ISNUMBER($F59)),NOT(ISNUMBER($G59)),NOT(ISNUMBER(Dashboard!$P$2)),NOT(ISNUMBER(Dashboard!$P$3)),$D59="Cancelled",$D59="Owner block"),"—",IF(MAX(0,MIN($G59,Dashboard!$P$3+1)-MAX($F59,Dashboard!$P$2))=0,"—",MAX(0,MIN($G59,Dashboard!$P$3+1)-MAX($F59,Dashboard!$P$2))))</f>
        <v>—</v>
      </c>
      <c r="U59" s="19" t="str">
        <f ca="1">IF(OR(NOT(ISNUMBER($F59)),NOT(ISNUMBER($G59)),NOT(ISNUMBER(Dashboard!$P$2)),NOT(ISNUMBER(Dashboard!$P$3)),$D59&lt;&gt;"Owner block"),"—",IF(MAX(0,MIN($G59,Dashboard!$P$3+1)-MAX($F59,Dashboard!$P$2))=0,"—",MAX(0,MIN($G59,Dashboard!$P$3+1)-MAX($F59,Dashboard!$P$2))))</f>
        <v>—</v>
      </c>
      <c r="V59" s="7" t="str">
        <f>IF($B59="",IF(COUNTA($C59:$G59,$I59:$K59,$S59)=0,"","⚠ no property — not counted"),IF(COUNTIF(Setup!$A$25:$A$36,$B59)=0,"⚠ property not in Setup",IF(AND($F59&lt;&gt;"",NOT(ISNUMBER($F59))),"⚠ check-in is not a real date",IF(AND($G59&lt;&gt;"",NOT(ISNUMBER($G59))),"⚠ check-out is not a real date",IF(AND($J59&lt;&gt;"",NOT(ISNUMBER($J59))),"⚠ booking value is not a number","OK")))))</f>
        <v/>
      </c>
      <c r="W59" s="21" t="str">
        <f t="shared" si="4"/>
        <v>—</v>
      </c>
    </row>
    <row r="60" spans="1:23" x14ac:dyDescent="0.2">
      <c r="A60" s="30">
        <v>56</v>
      </c>
      <c r="B60" s="8"/>
      <c r="C60" s="8"/>
      <c r="D60" s="8"/>
      <c r="E60" s="8"/>
      <c r="F60" s="34"/>
      <c r="G60" s="34"/>
      <c r="H60" s="19" t="str">
        <f t="shared" si="0"/>
        <v>—</v>
      </c>
      <c r="I60" s="35"/>
      <c r="J60" s="11"/>
      <c r="K60" s="36"/>
      <c r="L60" s="21" t="str">
        <f>IF(OR($B60="",NOT(ISNUMBER($J60)),$D60="Cancelled",$D60="Owner block"),"—",ROUND($J60*IF(ISNUMBER($K60),IF($K60&gt;1,$K60/100,$K60),IF(IFERROR(INDEX(Setup!$D$25:$D$36,MATCH($B60,Setup!$A$25:$A$36,0)),0)&gt;1,IFERROR(INDEX(Setup!$D$25:$D$36,MATCH($B60,Setup!$A$25:$A$36,0)),0)/100,IFERROR(INDEX(Setup!$D$25:$D$36,MATCH($B60,Setup!$A$25:$A$36,0)),0))),2))</f>
        <v>—</v>
      </c>
      <c r="M60" s="21" t="str">
        <f t="shared" si="1"/>
        <v>—</v>
      </c>
      <c r="N60" s="21" t="str">
        <f>IF(OR($B60="",$G60="",$D60="Cancelled"),"—",IFERROR(IF(INDEX(Setup!$E$25:$E$36,MATCH($B60,Setup!$A$25:$A$36,0))=0,"—",INDEX(Setup!$E$25:$E$36,MATCH($B60,Setup!$A$25:$A$36,0))),"—"))</f>
        <v>—</v>
      </c>
      <c r="O60" s="21" t="str">
        <f>IF(OR($B60="",$G60="",$D60="Cancelled"),"—",IFERROR(IF(INDEX(Setup!$F$25:$F$36,MATCH($B60,Setup!$A$25:$A$36,0))=0,"—",INDEX(Setup!$F$25:$F$36,MATCH($B60,Setup!$A$25:$A$36,0))),"—"))</f>
        <v>—</v>
      </c>
      <c r="P60" s="21" t="str">
        <f>IF(OR($B60="",$G60="",$D60="Cancelled",$D60="Owner block"),"—",IF(IFERROR(INDEX(Setup!$G$25:$G$36,MATCH($B60,Setup!$A$25:$A$36,0)),0)+IFERROR(INDEX(Setup!$H$25:$H$36,MATCH($B60,Setup!$A$25:$A$36,0)),0)*IF(ISNUMBER($H60),$H60,0)=0,"—",ROUND(IFERROR(INDEX(Setup!$G$25:$G$36,MATCH($B60,Setup!$A$25:$A$36,0)),0)+IFERROR(INDEX(Setup!$H$25:$H$36,MATCH($B60,Setup!$A$25:$A$36,0)),0)*IF(ISNUMBER($H60),$H60,0),2)))</f>
        <v>—</v>
      </c>
      <c r="Q60" s="21" t="str">
        <f t="shared" si="2"/>
        <v>—</v>
      </c>
      <c r="R60" s="21" t="str">
        <f t="shared" si="3"/>
        <v>—</v>
      </c>
      <c r="S60" s="8"/>
      <c r="T60" s="19" t="str">
        <f ca="1">IF(OR(NOT(ISNUMBER($F60)),NOT(ISNUMBER($G60)),NOT(ISNUMBER(Dashboard!$P$2)),NOT(ISNUMBER(Dashboard!$P$3)),$D60="Cancelled",$D60="Owner block"),"—",IF(MAX(0,MIN($G60,Dashboard!$P$3+1)-MAX($F60,Dashboard!$P$2))=0,"—",MAX(0,MIN($G60,Dashboard!$P$3+1)-MAX($F60,Dashboard!$P$2))))</f>
        <v>—</v>
      </c>
      <c r="U60" s="19" t="str">
        <f ca="1">IF(OR(NOT(ISNUMBER($F60)),NOT(ISNUMBER($G60)),NOT(ISNUMBER(Dashboard!$P$2)),NOT(ISNUMBER(Dashboard!$P$3)),$D60&lt;&gt;"Owner block"),"—",IF(MAX(0,MIN($G60,Dashboard!$P$3+1)-MAX($F60,Dashboard!$P$2))=0,"—",MAX(0,MIN($G60,Dashboard!$P$3+1)-MAX($F60,Dashboard!$P$2))))</f>
        <v>—</v>
      </c>
      <c r="V60" s="7" t="str">
        <f>IF($B60="",IF(COUNTA($C60:$G60,$I60:$K60,$S60)=0,"","⚠ no property — not counted"),IF(COUNTIF(Setup!$A$25:$A$36,$B60)=0,"⚠ property not in Setup",IF(AND($F60&lt;&gt;"",NOT(ISNUMBER($F60))),"⚠ check-in is not a real date",IF(AND($G60&lt;&gt;"",NOT(ISNUMBER($G60))),"⚠ check-out is not a real date",IF(AND($J60&lt;&gt;"",NOT(ISNUMBER($J60))),"⚠ booking value is not a number","OK")))))</f>
        <v/>
      </c>
      <c r="W60" s="21" t="str">
        <f t="shared" si="4"/>
        <v>—</v>
      </c>
    </row>
    <row r="61" spans="1:23" x14ac:dyDescent="0.2">
      <c r="A61" s="30">
        <v>57</v>
      </c>
      <c r="B61" s="3"/>
      <c r="C61" s="3"/>
      <c r="D61" s="3"/>
      <c r="E61" s="3"/>
      <c r="F61" s="31"/>
      <c r="G61" s="31"/>
      <c r="H61" s="19" t="str">
        <f t="shared" si="0"/>
        <v>—</v>
      </c>
      <c r="I61" s="32"/>
      <c r="J61" s="6"/>
      <c r="K61" s="33"/>
      <c r="L61" s="21" t="str">
        <f>IF(OR($B61="",NOT(ISNUMBER($J61)),$D61="Cancelled",$D61="Owner block"),"—",ROUND($J61*IF(ISNUMBER($K61),IF($K61&gt;1,$K61/100,$K61),IF(IFERROR(INDEX(Setup!$D$25:$D$36,MATCH($B61,Setup!$A$25:$A$36,0)),0)&gt;1,IFERROR(INDEX(Setup!$D$25:$D$36,MATCH($B61,Setup!$A$25:$A$36,0)),0)/100,IFERROR(INDEX(Setup!$D$25:$D$36,MATCH($B61,Setup!$A$25:$A$36,0)),0))),2))</f>
        <v>—</v>
      </c>
      <c r="M61" s="21" t="str">
        <f t="shared" si="1"/>
        <v>—</v>
      </c>
      <c r="N61" s="21" t="str">
        <f>IF(OR($B61="",$G61="",$D61="Cancelled"),"—",IFERROR(IF(INDEX(Setup!$E$25:$E$36,MATCH($B61,Setup!$A$25:$A$36,0))=0,"—",INDEX(Setup!$E$25:$E$36,MATCH($B61,Setup!$A$25:$A$36,0))),"—"))</f>
        <v>—</v>
      </c>
      <c r="O61" s="21" t="str">
        <f>IF(OR($B61="",$G61="",$D61="Cancelled"),"—",IFERROR(IF(INDEX(Setup!$F$25:$F$36,MATCH($B61,Setup!$A$25:$A$36,0))=0,"—",INDEX(Setup!$F$25:$F$36,MATCH($B61,Setup!$A$25:$A$36,0))),"—"))</f>
        <v>—</v>
      </c>
      <c r="P61" s="21" t="str">
        <f>IF(OR($B61="",$G61="",$D61="Cancelled",$D61="Owner block"),"—",IF(IFERROR(INDEX(Setup!$G$25:$G$36,MATCH($B61,Setup!$A$25:$A$36,0)),0)+IFERROR(INDEX(Setup!$H$25:$H$36,MATCH($B61,Setup!$A$25:$A$36,0)),0)*IF(ISNUMBER($H61),$H61,0)=0,"—",ROUND(IFERROR(INDEX(Setup!$G$25:$G$36,MATCH($B61,Setup!$A$25:$A$36,0)),0)+IFERROR(INDEX(Setup!$H$25:$H$36,MATCH($B61,Setup!$A$25:$A$36,0)),0)*IF(ISNUMBER($H61),$H61,0),2)))</f>
        <v>—</v>
      </c>
      <c r="Q61" s="21" t="str">
        <f t="shared" si="2"/>
        <v>—</v>
      </c>
      <c r="R61" s="21" t="str">
        <f t="shared" si="3"/>
        <v>—</v>
      </c>
      <c r="S61" s="3"/>
      <c r="T61" s="19" t="str">
        <f ca="1">IF(OR(NOT(ISNUMBER($F61)),NOT(ISNUMBER($G61)),NOT(ISNUMBER(Dashboard!$P$2)),NOT(ISNUMBER(Dashboard!$P$3)),$D61="Cancelled",$D61="Owner block"),"—",IF(MAX(0,MIN($G61,Dashboard!$P$3+1)-MAX($F61,Dashboard!$P$2))=0,"—",MAX(0,MIN($G61,Dashboard!$P$3+1)-MAX($F61,Dashboard!$P$2))))</f>
        <v>—</v>
      </c>
      <c r="U61" s="19" t="str">
        <f ca="1">IF(OR(NOT(ISNUMBER($F61)),NOT(ISNUMBER($G61)),NOT(ISNUMBER(Dashboard!$P$2)),NOT(ISNUMBER(Dashboard!$P$3)),$D61&lt;&gt;"Owner block"),"—",IF(MAX(0,MIN($G61,Dashboard!$P$3+1)-MAX($F61,Dashboard!$P$2))=0,"—",MAX(0,MIN($G61,Dashboard!$P$3+1)-MAX($F61,Dashboard!$P$2))))</f>
        <v>—</v>
      </c>
      <c r="V61" s="7" t="str">
        <f>IF($B61="",IF(COUNTA($C61:$G61,$I61:$K61,$S61)=0,"","⚠ no property — not counted"),IF(COUNTIF(Setup!$A$25:$A$36,$B61)=0,"⚠ property not in Setup",IF(AND($F61&lt;&gt;"",NOT(ISNUMBER($F61))),"⚠ check-in is not a real date",IF(AND($G61&lt;&gt;"",NOT(ISNUMBER($G61))),"⚠ check-out is not a real date",IF(AND($J61&lt;&gt;"",NOT(ISNUMBER($J61))),"⚠ booking value is not a number","OK")))))</f>
        <v/>
      </c>
      <c r="W61" s="21" t="str">
        <f t="shared" si="4"/>
        <v>—</v>
      </c>
    </row>
    <row r="62" spans="1:23" x14ac:dyDescent="0.2">
      <c r="A62" s="30">
        <v>58</v>
      </c>
      <c r="B62" s="8"/>
      <c r="C62" s="8"/>
      <c r="D62" s="8"/>
      <c r="E62" s="8"/>
      <c r="F62" s="34"/>
      <c r="G62" s="34"/>
      <c r="H62" s="19" t="str">
        <f t="shared" si="0"/>
        <v>—</v>
      </c>
      <c r="I62" s="35"/>
      <c r="J62" s="11"/>
      <c r="K62" s="36"/>
      <c r="L62" s="21" t="str">
        <f>IF(OR($B62="",NOT(ISNUMBER($J62)),$D62="Cancelled",$D62="Owner block"),"—",ROUND($J62*IF(ISNUMBER($K62),IF($K62&gt;1,$K62/100,$K62),IF(IFERROR(INDEX(Setup!$D$25:$D$36,MATCH($B62,Setup!$A$25:$A$36,0)),0)&gt;1,IFERROR(INDEX(Setup!$D$25:$D$36,MATCH($B62,Setup!$A$25:$A$36,0)),0)/100,IFERROR(INDEX(Setup!$D$25:$D$36,MATCH($B62,Setup!$A$25:$A$36,0)),0))),2))</f>
        <v>—</v>
      </c>
      <c r="M62" s="21" t="str">
        <f t="shared" si="1"/>
        <v>—</v>
      </c>
      <c r="N62" s="21" t="str">
        <f>IF(OR($B62="",$G62="",$D62="Cancelled"),"—",IFERROR(IF(INDEX(Setup!$E$25:$E$36,MATCH($B62,Setup!$A$25:$A$36,0))=0,"—",INDEX(Setup!$E$25:$E$36,MATCH($B62,Setup!$A$25:$A$36,0))),"—"))</f>
        <v>—</v>
      </c>
      <c r="O62" s="21" t="str">
        <f>IF(OR($B62="",$G62="",$D62="Cancelled"),"—",IFERROR(IF(INDEX(Setup!$F$25:$F$36,MATCH($B62,Setup!$A$25:$A$36,0))=0,"—",INDEX(Setup!$F$25:$F$36,MATCH($B62,Setup!$A$25:$A$36,0))),"—"))</f>
        <v>—</v>
      </c>
      <c r="P62" s="21" t="str">
        <f>IF(OR($B62="",$G62="",$D62="Cancelled",$D62="Owner block"),"—",IF(IFERROR(INDEX(Setup!$G$25:$G$36,MATCH($B62,Setup!$A$25:$A$36,0)),0)+IFERROR(INDEX(Setup!$H$25:$H$36,MATCH($B62,Setup!$A$25:$A$36,0)),0)*IF(ISNUMBER($H62),$H62,0)=0,"—",ROUND(IFERROR(INDEX(Setup!$G$25:$G$36,MATCH($B62,Setup!$A$25:$A$36,0)),0)+IFERROR(INDEX(Setup!$H$25:$H$36,MATCH($B62,Setup!$A$25:$A$36,0)),0)*IF(ISNUMBER($H62),$H62,0),2)))</f>
        <v>—</v>
      </c>
      <c r="Q62" s="21" t="str">
        <f t="shared" si="2"/>
        <v>—</v>
      </c>
      <c r="R62" s="21" t="str">
        <f t="shared" si="3"/>
        <v>—</v>
      </c>
      <c r="S62" s="8"/>
      <c r="T62" s="19" t="str">
        <f ca="1">IF(OR(NOT(ISNUMBER($F62)),NOT(ISNUMBER($G62)),NOT(ISNUMBER(Dashboard!$P$2)),NOT(ISNUMBER(Dashboard!$P$3)),$D62="Cancelled",$D62="Owner block"),"—",IF(MAX(0,MIN($G62,Dashboard!$P$3+1)-MAX($F62,Dashboard!$P$2))=0,"—",MAX(0,MIN($G62,Dashboard!$P$3+1)-MAX($F62,Dashboard!$P$2))))</f>
        <v>—</v>
      </c>
      <c r="U62" s="19" t="str">
        <f ca="1">IF(OR(NOT(ISNUMBER($F62)),NOT(ISNUMBER($G62)),NOT(ISNUMBER(Dashboard!$P$2)),NOT(ISNUMBER(Dashboard!$P$3)),$D62&lt;&gt;"Owner block"),"—",IF(MAX(0,MIN($G62,Dashboard!$P$3+1)-MAX($F62,Dashboard!$P$2))=0,"—",MAX(0,MIN($G62,Dashboard!$P$3+1)-MAX($F62,Dashboard!$P$2))))</f>
        <v>—</v>
      </c>
      <c r="V62" s="7" t="str">
        <f>IF($B62="",IF(COUNTA($C62:$G62,$I62:$K62,$S62)=0,"","⚠ no property — not counted"),IF(COUNTIF(Setup!$A$25:$A$36,$B62)=0,"⚠ property not in Setup",IF(AND($F62&lt;&gt;"",NOT(ISNUMBER($F62))),"⚠ check-in is not a real date",IF(AND($G62&lt;&gt;"",NOT(ISNUMBER($G62))),"⚠ check-out is not a real date",IF(AND($J62&lt;&gt;"",NOT(ISNUMBER($J62))),"⚠ booking value is not a number","OK")))))</f>
        <v/>
      </c>
      <c r="W62" s="21" t="str">
        <f t="shared" si="4"/>
        <v>—</v>
      </c>
    </row>
    <row r="63" spans="1:23" x14ac:dyDescent="0.2">
      <c r="A63" s="30">
        <v>59</v>
      </c>
      <c r="B63" s="3"/>
      <c r="C63" s="3"/>
      <c r="D63" s="3"/>
      <c r="E63" s="3"/>
      <c r="F63" s="31"/>
      <c r="G63" s="31"/>
      <c r="H63" s="19" t="str">
        <f t="shared" si="0"/>
        <v>—</v>
      </c>
      <c r="I63" s="32"/>
      <c r="J63" s="6"/>
      <c r="K63" s="33"/>
      <c r="L63" s="21" t="str">
        <f>IF(OR($B63="",NOT(ISNUMBER($J63)),$D63="Cancelled",$D63="Owner block"),"—",ROUND($J63*IF(ISNUMBER($K63),IF($K63&gt;1,$K63/100,$K63),IF(IFERROR(INDEX(Setup!$D$25:$D$36,MATCH($B63,Setup!$A$25:$A$36,0)),0)&gt;1,IFERROR(INDEX(Setup!$D$25:$D$36,MATCH($B63,Setup!$A$25:$A$36,0)),0)/100,IFERROR(INDEX(Setup!$D$25:$D$36,MATCH($B63,Setup!$A$25:$A$36,0)),0))),2))</f>
        <v>—</v>
      </c>
      <c r="M63" s="21" t="str">
        <f t="shared" si="1"/>
        <v>—</v>
      </c>
      <c r="N63" s="21" t="str">
        <f>IF(OR($B63="",$G63="",$D63="Cancelled"),"—",IFERROR(IF(INDEX(Setup!$E$25:$E$36,MATCH($B63,Setup!$A$25:$A$36,0))=0,"—",INDEX(Setup!$E$25:$E$36,MATCH($B63,Setup!$A$25:$A$36,0))),"—"))</f>
        <v>—</v>
      </c>
      <c r="O63" s="21" t="str">
        <f>IF(OR($B63="",$G63="",$D63="Cancelled"),"—",IFERROR(IF(INDEX(Setup!$F$25:$F$36,MATCH($B63,Setup!$A$25:$A$36,0))=0,"—",INDEX(Setup!$F$25:$F$36,MATCH($B63,Setup!$A$25:$A$36,0))),"—"))</f>
        <v>—</v>
      </c>
      <c r="P63" s="21" t="str">
        <f>IF(OR($B63="",$G63="",$D63="Cancelled",$D63="Owner block"),"—",IF(IFERROR(INDEX(Setup!$G$25:$G$36,MATCH($B63,Setup!$A$25:$A$36,0)),0)+IFERROR(INDEX(Setup!$H$25:$H$36,MATCH($B63,Setup!$A$25:$A$36,0)),0)*IF(ISNUMBER($H63),$H63,0)=0,"—",ROUND(IFERROR(INDEX(Setup!$G$25:$G$36,MATCH($B63,Setup!$A$25:$A$36,0)),0)+IFERROR(INDEX(Setup!$H$25:$H$36,MATCH($B63,Setup!$A$25:$A$36,0)),0)*IF(ISNUMBER($H63),$H63,0),2)))</f>
        <v>—</v>
      </c>
      <c r="Q63" s="21" t="str">
        <f t="shared" si="2"/>
        <v>—</v>
      </c>
      <c r="R63" s="21" t="str">
        <f t="shared" si="3"/>
        <v>—</v>
      </c>
      <c r="S63" s="3"/>
      <c r="T63" s="19" t="str">
        <f ca="1">IF(OR(NOT(ISNUMBER($F63)),NOT(ISNUMBER($G63)),NOT(ISNUMBER(Dashboard!$P$2)),NOT(ISNUMBER(Dashboard!$P$3)),$D63="Cancelled",$D63="Owner block"),"—",IF(MAX(0,MIN($G63,Dashboard!$P$3+1)-MAX($F63,Dashboard!$P$2))=0,"—",MAX(0,MIN($G63,Dashboard!$P$3+1)-MAX($F63,Dashboard!$P$2))))</f>
        <v>—</v>
      </c>
      <c r="U63" s="19" t="str">
        <f ca="1">IF(OR(NOT(ISNUMBER($F63)),NOT(ISNUMBER($G63)),NOT(ISNUMBER(Dashboard!$P$2)),NOT(ISNUMBER(Dashboard!$P$3)),$D63&lt;&gt;"Owner block"),"—",IF(MAX(0,MIN($G63,Dashboard!$P$3+1)-MAX($F63,Dashboard!$P$2))=0,"—",MAX(0,MIN($G63,Dashboard!$P$3+1)-MAX($F63,Dashboard!$P$2))))</f>
        <v>—</v>
      </c>
      <c r="V63" s="7" t="str">
        <f>IF($B63="",IF(COUNTA($C63:$G63,$I63:$K63,$S63)=0,"","⚠ no property — not counted"),IF(COUNTIF(Setup!$A$25:$A$36,$B63)=0,"⚠ property not in Setup",IF(AND($F63&lt;&gt;"",NOT(ISNUMBER($F63))),"⚠ check-in is not a real date",IF(AND($G63&lt;&gt;"",NOT(ISNUMBER($G63))),"⚠ check-out is not a real date",IF(AND($J63&lt;&gt;"",NOT(ISNUMBER($J63))),"⚠ booking value is not a number","OK")))))</f>
        <v/>
      </c>
      <c r="W63" s="21" t="str">
        <f t="shared" si="4"/>
        <v>—</v>
      </c>
    </row>
    <row r="64" spans="1:23" x14ac:dyDescent="0.2">
      <c r="A64" s="30">
        <v>60</v>
      </c>
      <c r="B64" s="8"/>
      <c r="C64" s="8"/>
      <c r="D64" s="8"/>
      <c r="E64" s="8"/>
      <c r="F64" s="34"/>
      <c r="G64" s="34"/>
      <c r="H64" s="19" t="str">
        <f t="shared" si="0"/>
        <v>—</v>
      </c>
      <c r="I64" s="35"/>
      <c r="J64" s="11"/>
      <c r="K64" s="36"/>
      <c r="L64" s="21" t="str">
        <f>IF(OR($B64="",NOT(ISNUMBER($J64)),$D64="Cancelled",$D64="Owner block"),"—",ROUND($J64*IF(ISNUMBER($K64),IF($K64&gt;1,$K64/100,$K64),IF(IFERROR(INDEX(Setup!$D$25:$D$36,MATCH($B64,Setup!$A$25:$A$36,0)),0)&gt;1,IFERROR(INDEX(Setup!$D$25:$D$36,MATCH($B64,Setup!$A$25:$A$36,0)),0)/100,IFERROR(INDEX(Setup!$D$25:$D$36,MATCH($B64,Setup!$A$25:$A$36,0)),0))),2))</f>
        <v>—</v>
      </c>
      <c r="M64" s="21" t="str">
        <f t="shared" si="1"/>
        <v>—</v>
      </c>
      <c r="N64" s="21" t="str">
        <f>IF(OR($B64="",$G64="",$D64="Cancelled"),"—",IFERROR(IF(INDEX(Setup!$E$25:$E$36,MATCH($B64,Setup!$A$25:$A$36,0))=0,"—",INDEX(Setup!$E$25:$E$36,MATCH($B64,Setup!$A$25:$A$36,0))),"—"))</f>
        <v>—</v>
      </c>
      <c r="O64" s="21" t="str">
        <f>IF(OR($B64="",$G64="",$D64="Cancelled"),"—",IFERROR(IF(INDEX(Setup!$F$25:$F$36,MATCH($B64,Setup!$A$25:$A$36,0))=0,"—",INDEX(Setup!$F$25:$F$36,MATCH($B64,Setup!$A$25:$A$36,0))),"—"))</f>
        <v>—</v>
      </c>
      <c r="P64" s="21" t="str">
        <f>IF(OR($B64="",$G64="",$D64="Cancelled",$D64="Owner block"),"—",IF(IFERROR(INDEX(Setup!$G$25:$G$36,MATCH($B64,Setup!$A$25:$A$36,0)),0)+IFERROR(INDEX(Setup!$H$25:$H$36,MATCH($B64,Setup!$A$25:$A$36,0)),0)*IF(ISNUMBER($H64),$H64,0)=0,"—",ROUND(IFERROR(INDEX(Setup!$G$25:$G$36,MATCH($B64,Setup!$A$25:$A$36,0)),0)+IFERROR(INDEX(Setup!$H$25:$H$36,MATCH($B64,Setup!$A$25:$A$36,0)),0)*IF(ISNUMBER($H64),$H64,0),2)))</f>
        <v>—</v>
      </c>
      <c r="Q64" s="21" t="str">
        <f t="shared" si="2"/>
        <v>—</v>
      </c>
      <c r="R64" s="21" t="str">
        <f t="shared" si="3"/>
        <v>—</v>
      </c>
      <c r="S64" s="8"/>
      <c r="T64" s="19" t="str">
        <f ca="1">IF(OR(NOT(ISNUMBER($F64)),NOT(ISNUMBER($G64)),NOT(ISNUMBER(Dashboard!$P$2)),NOT(ISNUMBER(Dashboard!$P$3)),$D64="Cancelled",$D64="Owner block"),"—",IF(MAX(0,MIN($G64,Dashboard!$P$3+1)-MAX($F64,Dashboard!$P$2))=0,"—",MAX(0,MIN($G64,Dashboard!$P$3+1)-MAX($F64,Dashboard!$P$2))))</f>
        <v>—</v>
      </c>
      <c r="U64" s="19" t="str">
        <f ca="1">IF(OR(NOT(ISNUMBER($F64)),NOT(ISNUMBER($G64)),NOT(ISNUMBER(Dashboard!$P$2)),NOT(ISNUMBER(Dashboard!$P$3)),$D64&lt;&gt;"Owner block"),"—",IF(MAX(0,MIN($G64,Dashboard!$P$3+1)-MAX($F64,Dashboard!$P$2))=0,"—",MAX(0,MIN($G64,Dashboard!$P$3+1)-MAX($F64,Dashboard!$P$2))))</f>
        <v>—</v>
      </c>
      <c r="V64" s="7" t="str">
        <f>IF($B64="",IF(COUNTA($C64:$G64,$I64:$K64,$S64)=0,"","⚠ no property — not counted"),IF(COUNTIF(Setup!$A$25:$A$36,$B64)=0,"⚠ property not in Setup",IF(AND($F64&lt;&gt;"",NOT(ISNUMBER($F64))),"⚠ check-in is not a real date",IF(AND($G64&lt;&gt;"",NOT(ISNUMBER($G64))),"⚠ check-out is not a real date",IF(AND($J64&lt;&gt;"",NOT(ISNUMBER($J64))),"⚠ booking value is not a number","OK")))))</f>
        <v/>
      </c>
      <c r="W64" s="21" t="str">
        <f t="shared" si="4"/>
        <v>—</v>
      </c>
    </row>
    <row r="65" spans="1:23" x14ac:dyDescent="0.2">
      <c r="A65" s="30">
        <v>61</v>
      </c>
      <c r="B65" s="3"/>
      <c r="C65" s="3"/>
      <c r="D65" s="3"/>
      <c r="E65" s="3"/>
      <c r="F65" s="31"/>
      <c r="G65" s="31"/>
      <c r="H65" s="19" t="str">
        <f t="shared" si="0"/>
        <v>—</v>
      </c>
      <c r="I65" s="32"/>
      <c r="J65" s="6"/>
      <c r="K65" s="33"/>
      <c r="L65" s="21" t="str">
        <f>IF(OR($B65="",NOT(ISNUMBER($J65)),$D65="Cancelled",$D65="Owner block"),"—",ROUND($J65*IF(ISNUMBER($K65),IF($K65&gt;1,$K65/100,$K65),IF(IFERROR(INDEX(Setup!$D$25:$D$36,MATCH($B65,Setup!$A$25:$A$36,0)),0)&gt;1,IFERROR(INDEX(Setup!$D$25:$D$36,MATCH($B65,Setup!$A$25:$A$36,0)),0)/100,IFERROR(INDEX(Setup!$D$25:$D$36,MATCH($B65,Setup!$A$25:$A$36,0)),0))),2))</f>
        <v>—</v>
      </c>
      <c r="M65" s="21" t="str">
        <f t="shared" si="1"/>
        <v>—</v>
      </c>
      <c r="N65" s="21" t="str">
        <f>IF(OR($B65="",$G65="",$D65="Cancelled"),"—",IFERROR(IF(INDEX(Setup!$E$25:$E$36,MATCH($B65,Setup!$A$25:$A$36,0))=0,"—",INDEX(Setup!$E$25:$E$36,MATCH($B65,Setup!$A$25:$A$36,0))),"—"))</f>
        <v>—</v>
      </c>
      <c r="O65" s="21" t="str">
        <f>IF(OR($B65="",$G65="",$D65="Cancelled"),"—",IFERROR(IF(INDEX(Setup!$F$25:$F$36,MATCH($B65,Setup!$A$25:$A$36,0))=0,"—",INDEX(Setup!$F$25:$F$36,MATCH($B65,Setup!$A$25:$A$36,0))),"—"))</f>
        <v>—</v>
      </c>
      <c r="P65" s="21" t="str">
        <f>IF(OR($B65="",$G65="",$D65="Cancelled",$D65="Owner block"),"—",IF(IFERROR(INDEX(Setup!$G$25:$G$36,MATCH($B65,Setup!$A$25:$A$36,0)),0)+IFERROR(INDEX(Setup!$H$25:$H$36,MATCH($B65,Setup!$A$25:$A$36,0)),0)*IF(ISNUMBER($H65),$H65,0)=0,"—",ROUND(IFERROR(INDEX(Setup!$G$25:$G$36,MATCH($B65,Setup!$A$25:$A$36,0)),0)+IFERROR(INDEX(Setup!$H$25:$H$36,MATCH($B65,Setup!$A$25:$A$36,0)),0)*IF(ISNUMBER($H65),$H65,0),2)))</f>
        <v>—</v>
      </c>
      <c r="Q65" s="21" t="str">
        <f t="shared" si="2"/>
        <v>—</v>
      </c>
      <c r="R65" s="21" t="str">
        <f t="shared" si="3"/>
        <v>—</v>
      </c>
      <c r="S65" s="3"/>
      <c r="T65" s="19" t="str">
        <f ca="1">IF(OR(NOT(ISNUMBER($F65)),NOT(ISNUMBER($G65)),NOT(ISNUMBER(Dashboard!$P$2)),NOT(ISNUMBER(Dashboard!$P$3)),$D65="Cancelled",$D65="Owner block"),"—",IF(MAX(0,MIN($G65,Dashboard!$P$3+1)-MAX($F65,Dashboard!$P$2))=0,"—",MAX(0,MIN($G65,Dashboard!$P$3+1)-MAX($F65,Dashboard!$P$2))))</f>
        <v>—</v>
      </c>
      <c r="U65" s="19" t="str">
        <f ca="1">IF(OR(NOT(ISNUMBER($F65)),NOT(ISNUMBER($G65)),NOT(ISNUMBER(Dashboard!$P$2)),NOT(ISNUMBER(Dashboard!$P$3)),$D65&lt;&gt;"Owner block"),"—",IF(MAX(0,MIN($G65,Dashboard!$P$3+1)-MAX($F65,Dashboard!$P$2))=0,"—",MAX(0,MIN($G65,Dashboard!$P$3+1)-MAX($F65,Dashboard!$P$2))))</f>
        <v>—</v>
      </c>
      <c r="V65" s="7" t="str">
        <f>IF($B65="",IF(COUNTA($C65:$G65,$I65:$K65,$S65)=0,"","⚠ no property — not counted"),IF(COUNTIF(Setup!$A$25:$A$36,$B65)=0,"⚠ property not in Setup",IF(AND($F65&lt;&gt;"",NOT(ISNUMBER($F65))),"⚠ check-in is not a real date",IF(AND($G65&lt;&gt;"",NOT(ISNUMBER($G65))),"⚠ check-out is not a real date",IF(AND($J65&lt;&gt;"",NOT(ISNUMBER($J65))),"⚠ booking value is not a number","OK")))))</f>
        <v/>
      </c>
      <c r="W65" s="21" t="str">
        <f t="shared" si="4"/>
        <v>—</v>
      </c>
    </row>
    <row r="66" spans="1:23" x14ac:dyDescent="0.2">
      <c r="A66" s="30">
        <v>62</v>
      </c>
      <c r="B66" s="8"/>
      <c r="C66" s="8"/>
      <c r="D66" s="8"/>
      <c r="E66" s="8"/>
      <c r="F66" s="34"/>
      <c r="G66" s="34"/>
      <c r="H66" s="19" t="str">
        <f t="shared" si="0"/>
        <v>—</v>
      </c>
      <c r="I66" s="35"/>
      <c r="J66" s="11"/>
      <c r="K66" s="36"/>
      <c r="L66" s="21" t="str">
        <f>IF(OR($B66="",NOT(ISNUMBER($J66)),$D66="Cancelled",$D66="Owner block"),"—",ROUND($J66*IF(ISNUMBER($K66),IF($K66&gt;1,$K66/100,$K66),IF(IFERROR(INDEX(Setup!$D$25:$D$36,MATCH($B66,Setup!$A$25:$A$36,0)),0)&gt;1,IFERROR(INDEX(Setup!$D$25:$D$36,MATCH($B66,Setup!$A$25:$A$36,0)),0)/100,IFERROR(INDEX(Setup!$D$25:$D$36,MATCH($B66,Setup!$A$25:$A$36,0)),0))),2))</f>
        <v>—</v>
      </c>
      <c r="M66" s="21" t="str">
        <f t="shared" si="1"/>
        <v>—</v>
      </c>
      <c r="N66" s="21" t="str">
        <f>IF(OR($B66="",$G66="",$D66="Cancelled"),"—",IFERROR(IF(INDEX(Setup!$E$25:$E$36,MATCH($B66,Setup!$A$25:$A$36,0))=0,"—",INDEX(Setup!$E$25:$E$36,MATCH($B66,Setup!$A$25:$A$36,0))),"—"))</f>
        <v>—</v>
      </c>
      <c r="O66" s="21" t="str">
        <f>IF(OR($B66="",$G66="",$D66="Cancelled"),"—",IFERROR(IF(INDEX(Setup!$F$25:$F$36,MATCH($B66,Setup!$A$25:$A$36,0))=0,"—",INDEX(Setup!$F$25:$F$36,MATCH($B66,Setup!$A$25:$A$36,0))),"—"))</f>
        <v>—</v>
      </c>
      <c r="P66" s="21" t="str">
        <f>IF(OR($B66="",$G66="",$D66="Cancelled",$D66="Owner block"),"—",IF(IFERROR(INDEX(Setup!$G$25:$G$36,MATCH($B66,Setup!$A$25:$A$36,0)),0)+IFERROR(INDEX(Setup!$H$25:$H$36,MATCH($B66,Setup!$A$25:$A$36,0)),0)*IF(ISNUMBER($H66),$H66,0)=0,"—",ROUND(IFERROR(INDEX(Setup!$G$25:$G$36,MATCH($B66,Setup!$A$25:$A$36,0)),0)+IFERROR(INDEX(Setup!$H$25:$H$36,MATCH($B66,Setup!$A$25:$A$36,0)),0)*IF(ISNUMBER($H66),$H66,0),2)))</f>
        <v>—</v>
      </c>
      <c r="Q66" s="21" t="str">
        <f t="shared" si="2"/>
        <v>—</v>
      </c>
      <c r="R66" s="21" t="str">
        <f t="shared" si="3"/>
        <v>—</v>
      </c>
      <c r="S66" s="8"/>
      <c r="T66" s="19" t="str">
        <f ca="1">IF(OR(NOT(ISNUMBER($F66)),NOT(ISNUMBER($G66)),NOT(ISNUMBER(Dashboard!$P$2)),NOT(ISNUMBER(Dashboard!$P$3)),$D66="Cancelled",$D66="Owner block"),"—",IF(MAX(0,MIN($G66,Dashboard!$P$3+1)-MAX($F66,Dashboard!$P$2))=0,"—",MAX(0,MIN($G66,Dashboard!$P$3+1)-MAX($F66,Dashboard!$P$2))))</f>
        <v>—</v>
      </c>
      <c r="U66" s="19" t="str">
        <f ca="1">IF(OR(NOT(ISNUMBER($F66)),NOT(ISNUMBER($G66)),NOT(ISNUMBER(Dashboard!$P$2)),NOT(ISNUMBER(Dashboard!$P$3)),$D66&lt;&gt;"Owner block"),"—",IF(MAX(0,MIN($G66,Dashboard!$P$3+1)-MAX($F66,Dashboard!$P$2))=0,"—",MAX(0,MIN($G66,Dashboard!$P$3+1)-MAX($F66,Dashboard!$P$2))))</f>
        <v>—</v>
      </c>
      <c r="V66" s="7" t="str">
        <f>IF($B66="",IF(COUNTA($C66:$G66,$I66:$K66,$S66)=0,"","⚠ no property — not counted"),IF(COUNTIF(Setup!$A$25:$A$36,$B66)=0,"⚠ property not in Setup",IF(AND($F66&lt;&gt;"",NOT(ISNUMBER($F66))),"⚠ check-in is not a real date",IF(AND($G66&lt;&gt;"",NOT(ISNUMBER($G66))),"⚠ check-out is not a real date",IF(AND($J66&lt;&gt;"",NOT(ISNUMBER($J66))),"⚠ booking value is not a number","OK")))))</f>
        <v/>
      </c>
      <c r="W66" s="21" t="str">
        <f t="shared" si="4"/>
        <v>—</v>
      </c>
    </row>
    <row r="67" spans="1:23" x14ac:dyDescent="0.2">
      <c r="A67" s="30">
        <v>63</v>
      </c>
      <c r="B67" s="3"/>
      <c r="C67" s="3"/>
      <c r="D67" s="3"/>
      <c r="E67" s="3"/>
      <c r="F67" s="31"/>
      <c r="G67" s="31"/>
      <c r="H67" s="19" t="str">
        <f t="shared" si="0"/>
        <v>—</v>
      </c>
      <c r="I67" s="32"/>
      <c r="J67" s="6"/>
      <c r="K67" s="33"/>
      <c r="L67" s="21" t="str">
        <f>IF(OR($B67="",NOT(ISNUMBER($J67)),$D67="Cancelled",$D67="Owner block"),"—",ROUND($J67*IF(ISNUMBER($K67),IF($K67&gt;1,$K67/100,$K67),IF(IFERROR(INDEX(Setup!$D$25:$D$36,MATCH($B67,Setup!$A$25:$A$36,0)),0)&gt;1,IFERROR(INDEX(Setup!$D$25:$D$36,MATCH($B67,Setup!$A$25:$A$36,0)),0)/100,IFERROR(INDEX(Setup!$D$25:$D$36,MATCH($B67,Setup!$A$25:$A$36,0)),0))),2))</f>
        <v>—</v>
      </c>
      <c r="M67" s="21" t="str">
        <f t="shared" si="1"/>
        <v>—</v>
      </c>
      <c r="N67" s="21" t="str">
        <f>IF(OR($B67="",$G67="",$D67="Cancelled"),"—",IFERROR(IF(INDEX(Setup!$E$25:$E$36,MATCH($B67,Setup!$A$25:$A$36,0))=0,"—",INDEX(Setup!$E$25:$E$36,MATCH($B67,Setup!$A$25:$A$36,0))),"—"))</f>
        <v>—</v>
      </c>
      <c r="O67" s="21" t="str">
        <f>IF(OR($B67="",$G67="",$D67="Cancelled"),"—",IFERROR(IF(INDEX(Setup!$F$25:$F$36,MATCH($B67,Setup!$A$25:$A$36,0))=0,"—",INDEX(Setup!$F$25:$F$36,MATCH($B67,Setup!$A$25:$A$36,0))),"—"))</f>
        <v>—</v>
      </c>
      <c r="P67" s="21" t="str">
        <f>IF(OR($B67="",$G67="",$D67="Cancelled",$D67="Owner block"),"—",IF(IFERROR(INDEX(Setup!$G$25:$G$36,MATCH($B67,Setup!$A$25:$A$36,0)),0)+IFERROR(INDEX(Setup!$H$25:$H$36,MATCH($B67,Setup!$A$25:$A$36,0)),0)*IF(ISNUMBER($H67),$H67,0)=0,"—",ROUND(IFERROR(INDEX(Setup!$G$25:$G$36,MATCH($B67,Setup!$A$25:$A$36,0)),0)+IFERROR(INDEX(Setup!$H$25:$H$36,MATCH($B67,Setup!$A$25:$A$36,0)),0)*IF(ISNUMBER($H67),$H67,0),2)))</f>
        <v>—</v>
      </c>
      <c r="Q67" s="21" t="str">
        <f t="shared" si="2"/>
        <v>—</v>
      </c>
      <c r="R67" s="21" t="str">
        <f t="shared" si="3"/>
        <v>—</v>
      </c>
      <c r="S67" s="3"/>
      <c r="T67" s="19" t="str">
        <f ca="1">IF(OR(NOT(ISNUMBER($F67)),NOT(ISNUMBER($G67)),NOT(ISNUMBER(Dashboard!$P$2)),NOT(ISNUMBER(Dashboard!$P$3)),$D67="Cancelled",$D67="Owner block"),"—",IF(MAX(0,MIN($G67,Dashboard!$P$3+1)-MAX($F67,Dashboard!$P$2))=0,"—",MAX(0,MIN($G67,Dashboard!$P$3+1)-MAX($F67,Dashboard!$P$2))))</f>
        <v>—</v>
      </c>
      <c r="U67" s="19" t="str">
        <f ca="1">IF(OR(NOT(ISNUMBER($F67)),NOT(ISNUMBER($G67)),NOT(ISNUMBER(Dashboard!$P$2)),NOT(ISNUMBER(Dashboard!$P$3)),$D67&lt;&gt;"Owner block"),"—",IF(MAX(0,MIN($G67,Dashboard!$P$3+1)-MAX($F67,Dashboard!$P$2))=0,"—",MAX(0,MIN($G67,Dashboard!$P$3+1)-MAX($F67,Dashboard!$P$2))))</f>
        <v>—</v>
      </c>
      <c r="V67" s="7" t="str">
        <f>IF($B67="",IF(COUNTA($C67:$G67,$I67:$K67,$S67)=0,"","⚠ no property — not counted"),IF(COUNTIF(Setup!$A$25:$A$36,$B67)=0,"⚠ property not in Setup",IF(AND($F67&lt;&gt;"",NOT(ISNUMBER($F67))),"⚠ check-in is not a real date",IF(AND($G67&lt;&gt;"",NOT(ISNUMBER($G67))),"⚠ check-out is not a real date",IF(AND($J67&lt;&gt;"",NOT(ISNUMBER($J67))),"⚠ booking value is not a number","OK")))))</f>
        <v/>
      </c>
      <c r="W67" s="21" t="str">
        <f t="shared" si="4"/>
        <v>—</v>
      </c>
    </row>
    <row r="68" spans="1:23" x14ac:dyDescent="0.2">
      <c r="A68" s="30">
        <v>64</v>
      </c>
      <c r="B68" s="8"/>
      <c r="C68" s="8"/>
      <c r="D68" s="8"/>
      <c r="E68" s="8"/>
      <c r="F68" s="34"/>
      <c r="G68" s="34"/>
      <c r="H68" s="19" t="str">
        <f t="shared" si="0"/>
        <v>—</v>
      </c>
      <c r="I68" s="35"/>
      <c r="J68" s="11"/>
      <c r="K68" s="36"/>
      <c r="L68" s="21" t="str">
        <f>IF(OR($B68="",NOT(ISNUMBER($J68)),$D68="Cancelled",$D68="Owner block"),"—",ROUND($J68*IF(ISNUMBER($K68),IF($K68&gt;1,$K68/100,$K68),IF(IFERROR(INDEX(Setup!$D$25:$D$36,MATCH($B68,Setup!$A$25:$A$36,0)),0)&gt;1,IFERROR(INDEX(Setup!$D$25:$D$36,MATCH($B68,Setup!$A$25:$A$36,0)),0)/100,IFERROR(INDEX(Setup!$D$25:$D$36,MATCH($B68,Setup!$A$25:$A$36,0)),0))),2))</f>
        <v>—</v>
      </c>
      <c r="M68" s="21" t="str">
        <f t="shared" si="1"/>
        <v>—</v>
      </c>
      <c r="N68" s="21" t="str">
        <f>IF(OR($B68="",$G68="",$D68="Cancelled"),"—",IFERROR(IF(INDEX(Setup!$E$25:$E$36,MATCH($B68,Setup!$A$25:$A$36,0))=0,"—",INDEX(Setup!$E$25:$E$36,MATCH($B68,Setup!$A$25:$A$36,0))),"—"))</f>
        <v>—</v>
      </c>
      <c r="O68" s="21" t="str">
        <f>IF(OR($B68="",$G68="",$D68="Cancelled"),"—",IFERROR(IF(INDEX(Setup!$F$25:$F$36,MATCH($B68,Setup!$A$25:$A$36,0))=0,"—",INDEX(Setup!$F$25:$F$36,MATCH($B68,Setup!$A$25:$A$36,0))),"—"))</f>
        <v>—</v>
      </c>
      <c r="P68" s="21" t="str">
        <f>IF(OR($B68="",$G68="",$D68="Cancelled",$D68="Owner block"),"—",IF(IFERROR(INDEX(Setup!$G$25:$G$36,MATCH($B68,Setup!$A$25:$A$36,0)),0)+IFERROR(INDEX(Setup!$H$25:$H$36,MATCH($B68,Setup!$A$25:$A$36,0)),0)*IF(ISNUMBER($H68),$H68,0)=0,"—",ROUND(IFERROR(INDEX(Setup!$G$25:$G$36,MATCH($B68,Setup!$A$25:$A$36,0)),0)+IFERROR(INDEX(Setup!$H$25:$H$36,MATCH($B68,Setup!$A$25:$A$36,0)),0)*IF(ISNUMBER($H68),$H68,0),2)))</f>
        <v>—</v>
      </c>
      <c r="Q68" s="21" t="str">
        <f t="shared" si="2"/>
        <v>—</v>
      </c>
      <c r="R68" s="21" t="str">
        <f t="shared" si="3"/>
        <v>—</v>
      </c>
      <c r="S68" s="8"/>
      <c r="T68" s="19" t="str">
        <f ca="1">IF(OR(NOT(ISNUMBER($F68)),NOT(ISNUMBER($G68)),NOT(ISNUMBER(Dashboard!$P$2)),NOT(ISNUMBER(Dashboard!$P$3)),$D68="Cancelled",$D68="Owner block"),"—",IF(MAX(0,MIN($G68,Dashboard!$P$3+1)-MAX($F68,Dashboard!$P$2))=0,"—",MAX(0,MIN($G68,Dashboard!$P$3+1)-MAX($F68,Dashboard!$P$2))))</f>
        <v>—</v>
      </c>
      <c r="U68" s="19" t="str">
        <f ca="1">IF(OR(NOT(ISNUMBER($F68)),NOT(ISNUMBER($G68)),NOT(ISNUMBER(Dashboard!$P$2)),NOT(ISNUMBER(Dashboard!$P$3)),$D68&lt;&gt;"Owner block"),"—",IF(MAX(0,MIN($G68,Dashboard!$P$3+1)-MAX($F68,Dashboard!$P$2))=0,"—",MAX(0,MIN($G68,Dashboard!$P$3+1)-MAX($F68,Dashboard!$P$2))))</f>
        <v>—</v>
      </c>
      <c r="V68" s="7" t="str">
        <f>IF($B68="",IF(COUNTA($C68:$G68,$I68:$K68,$S68)=0,"","⚠ no property — not counted"),IF(COUNTIF(Setup!$A$25:$A$36,$B68)=0,"⚠ property not in Setup",IF(AND($F68&lt;&gt;"",NOT(ISNUMBER($F68))),"⚠ check-in is not a real date",IF(AND($G68&lt;&gt;"",NOT(ISNUMBER($G68))),"⚠ check-out is not a real date",IF(AND($J68&lt;&gt;"",NOT(ISNUMBER($J68))),"⚠ booking value is not a number","OK")))))</f>
        <v/>
      </c>
      <c r="W68" s="21" t="str">
        <f t="shared" si="4"/>
        <v>—</v>
      </c>
    </row>
    <row r="69" spans="1:23" x14ac:dyDescent="0.2">
      <c r="A69" s="30">
        <v>65</v>
      </c>
      <c r="B69" s="3"/>
      <c r="C69" s="3"/>
      <c r="D69" s="3"/>
      <c r="E69" s="3"/>
      <c r="F69" s="31"/>
      <c r="G69" s="31"/>
      <c r="H69" s="19" t="str">
        <f t="shared" ref="H69:H132" si="5">IF(OR(NOT(ISNUMBER($F69)),NOT(ISNUMBER($G69))),"—",IF($G69&lt;=$F69,"⚠ check dates",$G69-$F69))</f>
        <v>—</v>
      </c>
      <c r="I69" s="32"/>
      <c r="J69" s="6"/>
      <c r="K69" s="33"/>
      <c r="L69" s="21" t="str">
        <f>IF(OR($B69="",NOT(ISNUMBER($J69)),$D69="Cancelled",$D69="Owner block"),"—",ROUND($J69*IF(ISNUMBER($K69),IF($K69&gt;1,$K69/100,$K69),IF(IFERROR(INDEX(Setup!$D$25:$D$36,MATCH($B69,Setup!$A$25:$A$36,0)),0)&gt;1,IFERROR(INDEX(Setup!$D$25:$D$36,MATCH($B69,Setup!$A$25:$A$36,0)),0)/100,IFERROR(INDEX(Setup!$D$25:$D$36,MATCH($B69,Setup!$A$25:$A$36,0)),0))),2))</f>
        <v>—</v>
      </c>
      <c r="M69" s="21" t="str">
        <f t="shared" ref="M69:M132" si="6">IF(NOT(ISNUMBER($L69)),"—",ROUND($J69-$L69,2))</f>
        <v>—</v>
      </c>
      <c r="N69" s="21" t="str">
        <f>IF(OR($B69="",$G69="",$D69="Cancelled"),"—",IFERROR(IF(INDEX(Setup!$E$25:$E$36,MATCH($B69,Setup!$A$25:$A$36,0))=0,"—",INDEX(Setup!$E$25:$E$36,MATCH($B69,Setup!$A$25:$A$36,0))),"—"))</f>
        <v>—</v>
      </c>
      <c r="O69" s="21" t="str">
        <f>IF(OR($B69="",$G69="",$D69="Cancelled"),"—",IFERROR(IF(INDEX(Setup!$F$25:$F$36,MATCH($B69,Setup!$A$25:$A$36,0))=0,"—",INDEX(Setup!$F$25:$F$36,MATCH($B69,Setup!$A$25:$A$36,0))),"—"))</f>
        <v>—</v>
      </c>
      <c r="P69" s="21" t="str">
        <f>IF(OR($B69="",$G69="",$D69="Cancelled",$D69="Owner block"),"—",IF(IFERROR(INDEX(Setup!$G$25:$G$36,MATCH($B69,Setup!$A$25:$A$36,0)),0)+IFERROR(INDEX(Setup!$H$25:$H$36,MATCH($B69,Setup!$A$25:$A$36,0)),0)*IF(ISNUMBER($H69),$H69,0)=0,"—",ROUND(IFERROR(INDEX(Setup!$G$25:$G$36,MATCH($B69,Setup!$A$25:$A$36,0)),0)+IFERROR(INDEX(Setup!$H$25:$H$36,MATCH($B69,Setup!$A$25:$A$36,0)),0)*IF(ISNUMBER($H69),$H69,0),2)))</f>
        <v>—</v>
      </c>
      <c r="Q69" s="21" t="str">
        <f t="shared" ref="Q69:Q132" si="7">IF(OR($B69="",$D69="Cancelled"),"—",IF(AND(NOT(ISNUMBER($M69)),COUNT($N69:$P69)=0),"—",ROUND(IF(ISNUMBER($M69),$M69,0)-SUM($N69:$P69),2)))</f>
        <v>—</v>
      </c>
      <c r="R69" s="21" t="str">
        <f t="shared" ref="R69:R132" si="8">IF(OR(NOT(ISNUMBER($Q69)),NOT(ISNUMBER($H69)),$H69&lt;=0),"—",ROUND($Q69/$H69,2))</f>
        <v>—</v>
      </c>
      <c r="S69" s="3"/>
      <c r="T69" s="19" t="str">
        <f ca="1">IF(OR(NOT(ISNUMBER($F69)),NOT(ISNUMBER($G69)),NOT(ISNUMBER(Dashboard!$P$2)),NOT(ISNUMBER(Dashboard!$P$3)),$D69="Cancelled",$D69="Owner block"),"—",IF(MAX(0,MIN($G69,Dashboard!$P$3+1)-MAX($F69,Dashboard!$P$2))=0,"—",MAX(0,MIN($G69,Dashboard!$P$3+1)-MAX($F69,Dashboard!$P$2))))</f>
        <v>—</v>
      </c>
      <c r="U69" s="19" t="str">
        <f ca="1">IF(OR(NOT(ISNUMBER($F69)),NOT(ISNUMBER($G69)),NOT(ISNUMBER(Dashboard!$P$2)),NOT(ISNUMBER(Dashboard!$P$3)),$D69&lt;&gt;"Owner block"),"—",IF(MAX(0,MIN($G69,Dashboard!$P$3+1)-MAX($F69,Dashboard!$P$2))=0,"—",MAX(0,MIN($G69,Dashboard!$P$3+1)-MAX($F69,Dashboard!$P$2))))</f>
        <v>—</v>
      </c>
      <c r="V69" s="7" t="str">
        <f>IF($B69="",IF(COUNTA($C69:$G69,$I69:$K69,$S69)=0,"","⚠ no property — not counted"),IF(COUNTIF(Setup!$A$25:$A$36,$B69)=0,"⚠ property not in Setup",IF(AND($F69&lt;&gt;"",NOT(ISNUMBER($F69))),"⚠ check-in is not a real date",IF(AND($G69&lt;&gt;"",NOT(ISNUMBER($G69))),"⚠ check-out is not a real date",IF(AND($J69&lt;&gt;"",NOT(ISNUMBER($J69))),"⚠ booking value is not a number","OK")))))</f>
        <v/>
      </c>
      <c r="W69" s="21" t="str">
        <f t="shared" ref="W69:W132" si="9">IF(OR($B69="",NOT(ISNUMBER($J69)),$D69="Cancelled",$D69="Owner block"),"—",$J69)</f>
        <v>—</v>
      </c>
    </row>
    <row r="70" spans="1:23" x14ac:dyDescent="0.2">
      <c r="A70" s="30">
        <v>66</v>
      </c>
      <c r="B70" s="8"/>
      <c r="C70" s="8"/>
      <c r="D70" s="8"/>
      <c r="E70" s="8"/>
      <c r="F70" s="34"/>
      <c r="G70" s="34"/>
      <c r="H70" s="19" t="str">
        <f t="shared" si="5"/>
        <v>—</v>
      </c>
      <c r="I70" s="35"/>
      <c r="J70" s="11"/>
      <c r="K70" s="36"/>
      <c r="L70" s="21" t="str">
        <f>IF(OR($B70="",NOT(ISNUMBER($J70)),$D70="Cancelled",$D70="Owner block"),"—",ROUND($J70*IF(ISNUMBER($K70),IF($K70&gt;1,$K70/100,$K70),IF(IFERROR(INDEX(Setup!$D$25:$D$36,MATCH($B70,Setup!$A$25:$A$36,0)),0)&gt;1,IFERROR(INDEX(Setup!$D$25:$D$36,MATCH($B70,Setup!$A$25:$A$36,0)),0)/100,IFERROR(INDEX(Setup!$D$25:$D$36,MATCH($B70,Setup!$A$25:$A$36,0)),0))),2))</f>
        <v>—</v>
      </c>
      <c r="M70" s="21" t="str">
        <f t="shared" si="6"/>
        <v>—</v>
      </c>
      <c r="N70" s="21" t="str">
        <f>IF(OR($B70="",$G70="",$D70="Cancelled"),"—",IFERROR(IF(INDEX(Setup!$E$25:$E$36,MATCH($B70,Setup!$A$25:$A$36,0))=0,"—",INDEX(Setup!$E$25:$E$36,MATCH($B70,Setup!$A$25:$A$36,0))),"—"))</f>
        <v>—</v>
      </c>
      <c r="O70" s="21" t="str">
        <f>IF(OR($B70="",$G70="",$D70="Cancelled"),"—",IFERROR(IF(INDEX(Setup!$F$25:$F$36,MATCH($B70,Setup!$A$25:$A$36,0))=0,"—",INDEX(Setup!$F$25:$F$36,MATCH($B70,Setup!$A$25:$A$36,0))),"—"))</f>
        <v>—</v>
      </c>
      <c r="P70" s="21" t="str">
        <f>IF(OR($B70="",$G70="",$D70="Cancelled",$D70="Owner block"),"—",IF(IFERROR(INDEX(Setup!$G$25:$G$36,MATCH($B70,Setup!$A$25:$A$36,0)),0)+IFERROR(INDEX(Setup!$H$25:$H$36,MATCH($B70,Setup!$A$25:$A$36,0)),0)*IF(ISNUMBER($H70),$H70,0)=0,"—",ROUND(IFERROR(INDEX(Setup!$G$25:$G$36,MATCH($B70,Setup!$A$25:$A$36,0)),0)+IFERROR(INDEX(Setup!$H$25:$H$36,MATCH($B70,Setup!$A$25:$A$36,0)),0)*IF(ISNUMBER($H70),$H70,0),2)))</f>
        <v>—</v>
      </c>
      <c r="Q70" s="21" t="str">
        <f t="shared" si="7"/>
        <v>—</v>
      </c>
      <c r="R70" s="21" t="str">
        <f t="shared" si="8"/>
        <v>—</v>
      </c>
      <c r="S70" s="8"/>
      <c r="T70" s="19" t="str">
        <f ca="1">IF(OR(NOT(ISNUMBER($F70)),NOT(ISNUMBER($G70)),NOT(ISNUMBER(Dashboard!$P$2)),NOT(ISNUMBER(Dashboard!$P$3)),$D70="Cancelled",$D70="Owner block"),"—",IF(MAX(0,MIN($G70,Dashboard!$P$3+1)-MAX($F70,Dashboard!$P$2))=0,"—",MAX(0,MIN($G70,Dashboard!$P$3+1)-MAX($F70,Dashboard!$P$2))))</f>
        <v>—</v>
      </c>
      <c r="U70" s="19" t="str">
        <f ca="1">IF(OR(NOT(ISNUMBER($F70)),NOT(ISNUMBER($G70)),NOT(ISNUMBER(Dashboard!$P$2)),NOT(ISNUMBER(Dashboard!$P$3)),$D70&lt;&gt;"Owner block"),"—",IF(MAX(0,MIN($G70,Dashboard!$P$3+1)-MAX($F70,Dashboard!$P$2))=0,"—",MAX(0,MIN($G70,Dashboard!$P$3+1)-MAX($F70,Dashboard!$P$2))))</f>
        <v>—</v>
      </c>
      <c r="V70" s="7" t="str">
        <f>IF($B70="",IF(COUNTA($C70:$G70,$I70:$K70,$S70)=0,"","⚠ no property — not counted"),IF(COUNTIF(Setup!$A$25:$A$36,$B70)=0,"⚠ property not in Setup",IF(AND($F70&lt;&gt;"",NOT(ISNUMBER($F70))),"⚠ check-in is not a real date",IF(AND($G70&lt;&gt;"",NOT(ISNUMBER($G70))),"⚠ check-out is not a real date",IF(AND($J70&lt;&gt;"",NOT(ISNUMBER($J70))),"⚠ booking value is not a number","OK")))))</f>
        <v/>
      </c>
      <c r="W70" s="21" t="str">
        <f t="shared" si="9"/>
        <v>—</v>
      </c>
    </row>
    <row r="71" spans="1:23" x14ac:dyDescent="0.2">
      <c r="A71" s="30">
        <v>67</v>
      </c>
      <c r="B71" s="3"/>
      <c r="C71" s="3"/>
      <c r="D71" s="3"/>
      <c r="E71" s="3"/>
      <c r="F71" s="31"/>
      <c r="G71" s="31"/>
      <c r="H71" s="19" t="str">
        <f t="shared" si="5"/>
        <v>—</v>
      </c>
      <c r="I71" s="32"/>
      <c r="J71" s="6"/>
      <c r="K71" s="33"/>
      <c r="L71" s="21" t="str">
        <f>IF(OR($B71="",NOT(ISNUMBER($J71)),$D71="Cancelled",$D71="Owner block"),"—",ROUND($J71*IF(ISNUMBER($K71),IF($K71&gt;1,$K71/100,$K71),IF(IFERROR(INDEX(Setup!$D$25:$D$36,MATCH($B71,Setup!$A$25:$A$36,0)),0)&gt;1,IFERROR(INDEX(Setup!$D$25:$D$36,MATCH($B71,Setup!$A$25:$A$36,0)),0)/100,IFERROR(INDEX(Setup!$D$25:$D$36,MATCH($B71,Setup!$A$25:$A$36,0)),0))),2))</f>
        <v>—</v>
      </c>
      <c r="M71" s="21" t="str">
        <f t="shared" si="6"/>
        <v>—</v>
      </c>
      <c r="N71" s="21" t="str">
        <f>IF(OR($B71="",$G71="",$D71="Cancelled"),"—",IFERROR(IF(INDEX(Setup!$E$25:$E$36,MATCH($B71,Setup!$A$25:$A$36,0))=0,"—",INDEX(Setup!$E$25:$E$36,MATCH($B71,Setup!$A$25:$A$36,0))),"—"))</f>
        <v>—</v>
      </c>
      <c r="O71" s="21" t="str">
        <f>IF(OR($B71="",$G71="",$D71="Cancelled"),"—",IFERROR(IF(INDEX(Setup!$F$25:$F$36,MATCH($B71,Setup!$A$25:$A$36,0))=0,"—",INDEX(Setup!$F$25:$F$36,MATCH($B71,Setup!$A$25:$A$36,0))),"—"))</f>
        <v>—</v>
      </c>
      <c r="P71" s="21" t="str">
        <f>IF(OR($B71="",$G71="",$D71="Cancelled",$D71="Owner block"),"—",IF(IFERROR(INDEX(Setup!$G$25:$G$36,MATCH($B71,Setup!$A$25:$A$36,0)),0)+IFERROR(INDEX(Setup!$H$25:$H$36,MATCH($B71,Setup!$A$25:$A$36,0)),0)*IF(ISNUMBER($H71),$H71,0)=0,"—",ROUND(IFERROR(INDEX(Setup!$G$25:$G$36,MATCH($B71,Setup!$A$25:$A$36,0)),0)+IFERROR(INDEX(Setup!$H$25:$H$36,MATCH($B71,Setup!$A$25:$A$36,0)),0)*IF(ISNUMBER($H71),$H71,0),2)))</f>
        <v>—</v>
      </c>
      <c r="Q71" s="21" t="str">
        <f t="shared" si="7"/>
        <v>—</v>
      </c>
      <c r="R71" s="21" t="str">
        <f t="shared" si="8"/>
        <v>—</v>
      </c>
      <c r="S71" s="3"/>
      <c r="T71" s="19" t="str">
        <f ca="1">IF(OR(NOT(ISNUMBER($F71)),NOT(ISNUMBER($G71)),NOT(ISNUMBER(Dashboard!$P$2)),NOT(ISNUMBER(Dashboard!$P$3)),$D71="Cancelled",$D71="Owner block"),"—",IF(MAX(0,MIN($G71,Dashboard!$P$3+1)-MAX($F71,Dashboard!$P$2))=0,"—",MAX(0,MIN($G71,Dashboard!$P$3+1)-MAX($F71,Dashboard!$P$2))))</f>
        <v>—</v>
      </c>
      <c r="U71" s="19" t="str">
        <f ca="1">IF(OR(NOT(ISNUMBER($F71)),NOT(ISNUMBER($G71)),NOT(ISNUMBER(Dashboard!$P$2)),NOT(ISNUMBER(Dashboard!$P$3)),$D71&lt;&gt;"Owner block"),"—",IF(MAX(0,MIN($G71,Dashboard!$P$3+1)-MAX($F71,Dashboard!$P$2))=0,"—",MAX(0,MIN($G71,Dashboard!$P$3+1)-MAX($F71,Dashboard!$P$2))))</f>
        <v>—</v>
      </c>
      <c r="V71" s="7" t="str">
        <f>IF($B71="",IF(COUNTA($C71:$G71,$I71:$K71,$S71)=0,"","⚠ no property — not counted"),IF(COUNTIF(Setup!$A$25:$A$36,$B71)=0,"⚠ property not in Setup",IF(AND($F71&lt;&gt;"",NOT(ISNUMBER($F71))),"⚠ check-in is not a real date",IF(AND($G71&lt;&gt;"",NOT(ISNUMBER($G71))),"⚠ check-out is not a real date",IF(AND($J71&lt;&gt;"",NOT(ISNUMBER($J71))),"⚠ booking value is not a number","OK")))))</f>
        <v/>
      </c>
      <c r="W71" s="21" t="str">
        <f t="shared" si="9"/>
        <v>—</v>
      </c>
    </row>
    <row r="72" spans="1:23" x14ac:dyDescent="0.2">
      <c r="A72" s="30">
        <v>68</v>
      </c>
      <c r="B72" s="8"/>
      <c r="C72" s="8"/>
      <c r="D72" s="8"/>
      <c r="E72" s="8"/>
      <c r="F72" s="34"/>
      <c r="G72" s="34"/>
      <c r="H72" s="19" t="str">
        <f t="shared" si="5"/>
        <v>—</v>
      </c>
      <c r="I72" s="35"/>
      <c r="J72" s="11"/>
      <c r="K72" s="36"/>
      <c r="L72" s="21" t="str">
        <f>IF(OR($B72="",NOT(ISNUMBER($J72)),$D72="Cancelled",$D72="Owner block"),"—",ROUND($J72*IF(ISNUMBER($K72),IF($K72&gt;1,$K72/100,$K72),IF(IFERROR(INDEX(Setup!$D$25:$D$36,MATCH($B72,Setup!$A$25:$A$36,0)),0)&gt;1,IFERROR(INDEX(Setup!$D$25:$D$36,MATCH($B72,Setup!$A$25:$A$36,0)),0)/100,IFERROR(INDEX(Setup!$D$25:$D$36,MATCH($B72,Setup!$A$25:$A$36,0)),0))),2))</f>
        <v>—</v>
      </c>
      <c r="M72" s="21" t="str">
        <f t="shared" si="6"/>
        <v>—</v>
      </c>
      <c r="N72" s="21" t="str">
        <f>IF(OR($B72="",$G72="",$D72="Cancelled"),"—",IFERROR(IF(INDEX(Setup!$E$25:$E$36,MATCH($B72,Setup!$A$25:$A$36,0))=0,"—",INDEX(Setup!$E$25:$E$36,MATCH($B72,Setup!$A$25:$A$36,0))),"—"))</f>
        <v>—</v>
      </c>
      <c r="O72" s="21" t="str">
        <f>IF(OR($B72="",$G72="",$D72="Cancelled"),"—",IFERROR(IF(INDEX(Setup!$F$25:$F$36,MATCH($B72,Setup!$A$25:$A$36,0))=0,"—",INDEX(Setup!$F$25:$F$36,MATCH($B72,Setup!$A$25:$A$36,0))),"—"))</f>
        <v>—</v>
      </c>
      <c r="P72" s="21" t="str">
        <f>IF(OR($B72="",$G72="",$D72="Cancelled",$D72="Owner block"),"—",IF(IFERROR(INDEX(Setup!$G$25:$G$36,MATCH($B72,Setup!$A$25:$A$36,0)),0)+IFERROR(INDEX(Setup!$H$25:$H$36,MATCH($B72,Setup!$A$25:$A$36,0)),0)*IF(ISNUMBER($H72),$H72,0)=0,"—",ROUND(IFERROR(INDEX(Setup!$G$25:$G$36,MATCH($B72,Setup!$A$25:$A$36,0)),0)+IFERROR(INDEX(Setup!$H$25:$H$36,MATCH($B72,Setup!$A$25:$A$36,0)),0)*IF(ISNUMBER($H72),$H72,0),2)))</f>
        <v>—</v>
      </c>
      <c r="Q72" s="21" t="str">
        <f t="shared" si="7"/>
        <v>—</v>
      </c>
      <c r="R72" s="21" t="str">
        <f t="shared" si="8"/>
        <v>—</v>
      </c>
      <c r="S72" s="8"/>
      <c r="T72" s="19" t="str">
        <f ca="1">IF(OR(NOT(ISNUMBER($F72)),NOT(ISNUMBER($G72)),NOT(ISNUMBER(Dashboard!$P$2)),NOT(ISNUMBER(Dashboard!$P$3)),$D72="Cancelled",$D72="Owner block"),"—",IF(MAX(0,MIN($G72,Dashboard!$P$3+1)-MAX($F72,Dashboard!$P$2))=0,"—",MAX(0,MIN($G72,Dashboard!$P$3+1)-MAX($F72,Dashboard!$P$2))))</f>
        <v>—</v>
      </c>
      <c r="U72" s="19" t="str">
        <f ca="1">IF(OR(NOT(ISNUMBER($F72)),NOT(ISNUMBER($G72)),NOT(ISNUMBER(Dashboard!$P$2)),NOT(ISNUMBER(Dashboard!$P$3)),$D72&lt;&gt;"Owner block"),"—",IF(MAX(0,MIN($G72,Dashboard!$P$3+1)-MAX($F72,Dashboard!$P$2))=0,"—",MAX(0,MIN($G72,Dashboard!$P$3+1)-MAX($F72,Dashboard!$P$2))))</f>
        <v>—</v>
      </c>
      <c r="V72" s="7" t="str">
        <f>IF($B72="",IF(COUNTA($C72:$G72,$I72:$K72,$S72)=0,"","⚠ no property — not counted"),IF(COUNTIF(Setup!$A$25:$A$36,$B72)=0,"⚠ property not in Setup",IF(AND($F72&lt;&gt;"",NOT(ISNUMBER($F72))),"⚠ check-in is not a real date",IF(AND($G72&lt;&gt;"",NOT(ISNUMBER($G72))),"⚠ check-out is not a real date",IF(AND($J72&lt;&gt;"",NOT(ISNUMBER($J72))),"⚠ booking value is not a number","OK")))))</f>
        <v/>
      </c>
      <c r="W72" s="21" t="str">
        <f t="shared" si="9"/>
        <v>—</v>
      </c>
    </row>
    <row r="73" spans="1:23" x14ac:dyDescent="0.2">
      <c r="A73" s="30">
        <v>69</v>
      </c>
      <c r="B73" s="3"/>
      <c r="C73" s="3"/>
      <c r="D73" s="3"/>
      <c r="E73" s="3"/>
      <c r="F73" s="31"/>
      <c r="G73" s="31"/>
      <c r="H73" s="19" t="str">
        <f t="shared" si="5"/>
        <v>—</v>
      </c>
      <c r="I73" s="32"/>
      <c r="J73" s="6"/>
      <c r="K73" s="33"/>
      <c r="L73" s="21" t="str">
        <f>IF(OR($B73="",NOT(ISNUMBER($J73)),$D73="Cancelled",$D73="Owner block"),"—",ROUND($J73*IF(ISNUMBER($K73),IF($K73&gt;1,$K73/100,$K73),IF(IFERROR(INDEX(Setup!$D$25:$D$36,MATCH($B73,Setup!$A$25:$A$36,0)),0)&gt;1,IFERROR(INDEX(Setup!$D$25:$D$36,MATCH($B73,Setup!$A$25:$A$36,0)),0)/100,IFERROR(INDEX(Setup!$D$25:$D$36,MATCH($B73,Setup!$A$25:$A$36,0)),0))),2))</f>
        <v>—</v>
      </c>
      <c r="M73" s="21" t="str">
        <f t="shared" si="6"/>
        <v>—</v>
      </c>
      <c r="N73" s="21" t="str">
        <f>IF(OR($B73="",$G73="",$D73="Cancelled"),"—",IFERROR(IF(INDEX(Setup!$E$25:$E$36,MATCH($B73,Setup!$A$25:$A$36,0))=0,"—",INDEX(Setup!$E$25:$E$36,MATCH($B73,Setup!$A$25:$A$36,0))),"—"))</f>
        <v>—</v>
      </c>
      <c r="O73" s="21" t="str">
        <f>IF(OR($B73="",$G73="",$D73="Cancelled"),"—",IFERROR(IF(INDEX(Setup!$F$25:$F$36,MATCH($B73,Setup!$A$25:$A$36,0))=0,"—",INDEX(Setup!$F$25:$F$36,MATCH($B73,Setup!$A$25:$A$36,0))),"—"))</f>
        <v>—</v>
      </c>
      <c r="P73" s="21" t="str">
        <f>IF(OR($B73="",$G73="",$D73="Cancelled",$D73="Owner block"),"—",IF(IFERROR(INDEX(Setup!$G$25:$G$36,MATCH($B73,Setup!$A$25:$A$36,0)),0)+IFERROR(INDEX(Setup!$H$25:$H$36,MATCH($B73,Setup!$A$25:$A$36,0)),0)*IF(ISNUMBER($H73),$H73,0)=0,"—",ROUND(IFERROR(INDEX(Setup!$G$25:$G$36,MATCH($B73,Setup!$A$25:$A$36,0)),0)+IFERROR(INDEX(Setup!$H$25:$H$36,MATCH($B73,Setup!$A$25:$A$36,0)),0)*IF(ISNUMBER($H73),$H73,0),2)))</f>
        <v>—</v>
      </c>
      <c r="Q73" s="21" t="str">
        <f t="shared" si="7"/>
        <v>—</v>
      </c>
      <c r="R73" s="21" t="str">
        <f t="shared" si="8"/>
        <v>—</v>
      </c>
      <c r="S73" s="3"/>
      <c r="T73" s="19" t="str">
        <f ca="1">IF(OR(NOT(ISNUMBER($F73)),NOT(ISNUMBER($G73)),NOT(ISNUMBER(Dashboard!$P$2)),NOT(ISNUMBER(Dashboard!$P$3)),$D73="Cancelled",$D73="Owner block"),"—",IF(MAX(0,MIN($G73,Dashboard!$P$3+1)-MAX($F73,Dashboard!$P$2))=0,"—",MAX(0,MIN($G73,Dashboard!$P$3+1)-MAX($F73,Dashboard!$P$2))))</f>
        <v>—</v>
      </c>
      <c r="U73" s="19" t="str">
        <f ca="1">IF(OR(NOT(ISNUMBER($F73)),NOT(ISNUMBER($G73)),NOT(ISNUMBER(Dashboard!$P$2)),NOT(ISNUMBER(Dashboard!$P$3)),$D73&lt;&gt;"Owner block"),"—",IF(MAX(0,MIN($G73,Dashboard!$P$3+1)-MAX($F73,Dashboard!$P$2))=0,"—",MAX(0,MIN($G73,Dashboard!$P$3+1)-MAX($F73,Dashboard!$P$2))))</f>
        <v>—</v>
      </c>
      <c r="V73" s="7" t="str">
        <f>IF($B73="",IF(COUNTA($C73:$G73,$I73:$K73,$S73)=0,"","⚠ no property — not counted"),IF(COUNTIF(Setup!$A$25:$A$36,$B73)=0,"⚠ property not in Setup",IF(AND($F73&lt;&gt;"",NOT(ISNUMBER($F73))),"⚠ check-in is not a real date",IF(AND($G73&lt;&gt;"",NOT(ISNUMBER($G73))),"⚠ check-out is not a real date",IF(AND($J73&lt;&gt;"",NOT(ISNUMBER($J73))),"⚠ booking value is not a number","OK")))))</f>
        <v/>
      </c>
      <c r="W73" s="21" t="str">
        <f t="shared" si="9"/>
        <v>—</v>
      </c>
    </row>
    <row r="74" spans="1:23" x14ac:dyDescent="0.2">
      <c r="A74" s="30">
        <v>70</v>
      </c>
      <c r="B74" s="8"/>
      <c r="C74" s="8"/>
      <c r="D74" s="8"/>
      <c r="E74" s="8"/>
      <c r="F74" s="34"/>
      <c r="G74" s="34"/>
      <c r="H74" s="19" t="str">
        <f t="shared" si="5"/>
        <v>—</v>
      </c>
      <c r="I74" s="35"/>
      <c r="J74" s="11"/>
      <c r="K74" s="36"/>
      <c r="L74" s="21" t="str">
        <f>IF(OR($B74="",NOT(ISNUMBER($J74)),$D74="Cancelled",$D74="Owner block"),"—",ROUND($J74*IF(ISNUMBER($K74),IF($K74&gt;1,$K74/100,$K74),IF(IFERROR(INDEX(Setup!$D$25:$D$36,MATCH($B74,Setup!$A$25:$A$36,0)),0)&gt;1,IFERROR(INDEX(Setup!$D$25:$D$36,MATCH($B74,Setup!$A$25:$A$36,0)),0)/100,IFERROR(INDEX(Setup!$D$25:$D$36,MATCH($B74,Setup!$A$25:$A$36,0)),0))),2))</f>
        <v>—</v>
      </c>
      <c r="M74" s="21" t="str">
        <f t="shared" si="6"/>
        <v>—</v>
      </c>
      <c r="N74" s="21" t="str">
        <f>IF(OR($B74="",$G74="",$D74="Cancelled"),"—",IFERROR(IF(INDEX(Setup!$E$25:$E$36,MATCH($B74,Setup!$A$25:$A$36,0))=0,"—",INDEX(Setup!$E$25:$E$36,MATCH($B74,Setup!$A$25:$A$36,0))),"—"))</f>
        <v>—</v>
      </c>
      <c r="O74" s="21" t="str">
        <f>IF(OR($B74="",$G74="",$D74="Cancelled"),"—",IFERROR(IF(INDEX(Setup!$F$25:$F$36,MATCH($B74,Setup!$A$25:$A$36,0))=0,"—",INDEX(Setup!$F$25:$F$36,MATCH($B74,Setup!$A$25:$A$36,0))),"—"))</f>
        <v>—</v>
      </c>
      <c r="P74" s="21" t="str">
        <f>IF(OR($B74="",$G74="",$D74="Cancelled",$D74="Owner block"),"—",IF(IFERROR(INDEX(Setup!$G$25:$G$36,MATCH($B74,Setup!$A$25:$A$36,0)),0)+IFERROR(INDEX(Setup!$H$25:$H$36,MATCH($B74,Setup!$A$25:$A$36,0)),0)*IF(ISNUMBER($H74),$H74,0)=0,"—",ROUND(IFERROR(INDEX(Setup!$G$25:$G$36,MATCH($B74,Setup!$A$25:$A$36,0)),0)+IFERROR(INDEX(Setup!$H$25:$H$36,MATCH($B74,Setup!$A$25:$A$36,0)),0)*IF(ISNUMBER($H74),$H74,0),2)))</f>
        <v>—</v>
      </c>
      <c r="Q74" s="21" t="str">
        <f t="shared" si="7"/>
        <v>—</v>
      </c>
      <c r="R74" s="21" t="str">
        <f t="shared" si="8"/>
        <v>—</v>
      </c>
      <c r="S74" s="8"/>
      <c r="T74" s="19" t="str">
        <f ca="1">IF(OR(NOT(ISNUMBER($F74)),NOT(ISNUMBER($G74)),NOT(ISNUMBER(Dashboard!$P$2)),NOT(ISNUMBER(Dashboard!$P$3)),$D74="Cancelled",$D74="Owner block"),"—",IF(MAX(0,MIN($G74,Dashboard!$P$3+1)-MAX($F74,Dashboard!$P$2))=0,"—",MAX(0,MIN($G74,Dashboard!$P$3+1)-MAX($F74,Dashboard!$P$2))))</f>
        <v>—</v>
      </c>
      <c r="U74" s="19" t="str">
        <f ca="1">IF(OR(NOT(ISNUMBER($F74)),NOT(ISNUMBER($G74)),NOT(ISNUMBER(Dashboard!$P$2)),NOT(ISNUMBER(Dashboard!$P$3)),$D74&lt;&gt;"Owner block"),"—",IF(MAX(0,MIN($G74,Dashboard!$P$3+1)-MAX($F74,Dashboard!$P$2))=0,"—",MAX(0,MIN($G74,Dashboard!$P$3+1)-MAX($F74,Dashboard!$P$2))))</f>
        <v>—</v>
      </c>
      <c r="V74" s="7" t="str">
        <f>IF($B74="",IF(COUNTA($C74:$G74,$I74:$K74,$S74)=0,"","⚠ no property — not counted"),IF(COUNTIF(Setup!$A$25:$A$36,$B74)=0,"⚠ property not in Setup",IF(AND($F74&lt;&gt;"",NOT(ISNUMBER($F74))),"⚠ check-in is not a real date",IF(AND($G74&lt;&gt;"",NOT(ISNUMBER($G74))),"⚠ check-out is not a real date",IF(AND($J74&lt;&gt;"",NOT(ISNUMBER($J74))),"⚠ booking value is not a number","OK")))))</f>
        <v/>
      </c>
      <c r="W74" s="21" t="str">
        <f t="shared" si="9"/>
        <v>—</v>
      </c>
    </row>
    <row r="75" spans="1:23" x14ac:dyDescent="0.2">
      <c r="A75" s="30">
        <v>71</v>
      </c>
      <c r="B75" s="3"/>
      <c r="C75" s="3"/>
      <c r="D75" s="3"/>
      <c r="E75" s="3"/>
      <c r="F75" s="31"/>
      <c r="G75" s="31"/>
      <c r="H75" s="19" t="str">
        <f t="shared" si="5"/>
        <v>—</v>
      </c>
      <c r="I75" s="32"/>
      <c r="J75" s="6"/>
      <c r="K75" s="33"/>
      <c r="L75" s="21" t="str">
        <f>IF(OR($B75="",NOT(ISNUMBER($J75)),$D75="Cancelled",$D75="Owner block"),"—",ROUND($J75*IF(ISNUMBER($K75),IF($K75&gt;1,$K75/100,$K75),IF(IFERROR(INDEX(Setup!$D$25:$D$36,MATCH($B75,Setup!$A$25:$A$36,0)),0)&gt;1,IFERROR(INDEX(Setup!$D$25:$D$36,MATCH($B75,Setup!$A$25:$A$36,0)),0)/100,IFERROR(INDEX(Setup!$D$25:$D$36,MATCH($B75,Setup!$A$25:$A$36,0)),0))),2))</f>
        <v>—</v>
      </c>
      <c r="M75" s="21" t="str">
        <f t="shared" si="6"/>
        <v>—</v>
      </c>
      <c r="N75" s="21" t="str">
        <f>IF(OR($B75="",$G75="",$D75="Cancelled"),"—",IFERROR(IF(INDEX(Setup!$E$25:$E$36,MATCH($B75,Setup!$A$25:$A$36,0))=0,"—",INDEX(Setup!$E$25:$E$36,MATCH($B75,Setup!$A$25:$A$36,0))),"—"))</f>
        <v>—</v>
      </c>
      <c r="O75" s="21" t="str">
        <f>IF(OR($B75="",$G75="",$D75="Cancelled"),"—",IFERROR(IF(INDEX(Setup!$F$25:$F$36,MATCH($B75,Setup!$A$25:$A$36,0))=0,"—",INDEX(Setup!$F$25:$F$36,MATCH($B75,Setup!$A$25:$A$36,0))),"—"))</f>
        <v>—</v>
      </c>
      <c r="P75" s="21" t="str">
        <f>IF(OR($B75="",$G75="",$D75="Cancelled",$D75="Owner block"),"—",IF(IFERROR(INDEX(Setup!$G$25:$G$36,MATCH($B75,Setup!$A$25:$A$36,0)),0)+IFERROR(INDEX(Setup!$H$25:$H$36,MATCH($B75,Setup!$A$25:$A$36,0)),0)*IF(ISNUMBER($H75),$H75,0)=0,"—",ROUND(IFERROR(INDEX(Setup!$G$25:$G$36,MATCH($B75,Setup!$A$25:$A$36,0)),0)+IFERROR(INDEX(Setup!$H$25:$H$36,MATCH($B75,Setup!$A$25:$A$36,0)),0)*IF(ISNUMBER($H75),$H75,0),2)))</f>
        <v>—</v>
      </c>
      <c r="Q75" s="21" t="str">
        <f t="shared" si="7"/>
        <v>—</v>
      </c>
      <c r="R75" s="21" t="str">
        <f t="shared" si="8"/>
        <v>—</v>
      </c>
      <c r="S75" s="3"/>
      <c r="T75" s="19" t="str">
        <f ca="1">IF(OR(NOT(ISNUMBER($F75)),NOT(ISNUMBER($G75)),NOT(ISNUMBER(Dashboard!$P$2)),NOT(ISNUMBER(Dashboard!$P$3)),$D75="Cancelled",$D75="Owner block"),"—",IF(MAX(0,MIN($G75,Dashboard!$P$3+1)-MAX($F75,Dashboard!$P$2))=0,"—",MAX(0,MIN($G75,Dashboard!$P$3+1)-MAX($F75,Dashboard!$P$2))))</f>
        <v>—</v>
      </c>
      <c r="U75" s="19" t="str">
        <f ca="1">IF(OR(NOT(ISNUMBER($F75)),NOT(ISNUMBER($G75)),NOT(ISNUMBER(Dashboard!$P$2)),NOT(ISNUMBER(Dashboard!$P$3)),$D75&lt;&gt;"Owner block"),"—",IF(MAX(0,MIN($G75,Dashboard!$P$3+1)-MAX($F75,Dashboard!$P$2))=0,"—",MAX(0,MIN($G75,Dashboard!$P$3+1)-MAX($F75,Dashboard!$P$2))))</f>
        <v>—</v>
      </c>
      <c r="V75" s="7" t="str">
        <f>IF($B75="",IF(COUNTA($C75:$G75,$I75:$K75,$S75)=0,"","⚠ no property — not counted"),IF(COUNTIF(Setup!$A$25:$A$36,$B75)=0,"⚠ property not in Setup",IF(AND($F75&lt;&gt;"",NOT(ISNUMBER($F75))),"⚠ check-in is not a real date",IF(AND($G75&lt;&gt;"",NOT(ISNUMBER($G75))),"⚠ check-out is not a real date",IF(AND($J75&lt;&gt;"",NOT(ISNUMBER($J75))),"⚠ booking value is not a number","OK")))))</f>
        <v/>
      </c>
      <c r="W75" s="21" t="str">
        <f t="shared" si="9"/>
        <v>—</v>
      </c>
    </row>
    <row r="76" spans="1:23" x14ac:dyDescent="0.2">
      <c r="A76" s="30">
        <v>72</v>
      </c>
      <c r="B76" s="8"/>
      <c r="C76" s="8"/>
      <c r="D76" s="8"/>
      <c r="E76" s="8"/>
      <c r="F76" s="34"/>
      <c r="G76" s="34"/>
      <c r="H76" s="19" t="str">
        <f t="shared" si="5"/>
        <v>—</v>
      </c>
      <c r="I76" s="35"/>
      <c r="J76" s="11"/>
      <c r="K76" s="36"/>
      <c r="L76" s="21" t="str">
        <f>IF(OR($B76="",NOT(ISNUMBER($J76)),$D76="Cancelled",$D76="Owner block"),"—",ROUND($J76*IF(ISNUMBER($K76),IF($K76&gt;1,$K76/100,$K76),IF(IFERROR(INDEX(Setup!$D$25:$D$36,MATCH($B76,Setup!$A$25:$A$36,0)),0)&gt;1,IFERROR(INDEX(Setup!$D$25:$D$36,MATCH($B76,Setup!$A$25:$A$36,0)),0)/100,IFERROR(INDEX(Setup!$D$25:$D$36,MATCH($B76,Setup!$A$25:$A$36,0)),0))),2))</f>
        <v>—</v>
      </c>
      <c r="M76" s="21" t="str">
        <f t="shared" si="6"/>
        <v>—</v>
      </c>
      <c r="N76" s="21" t="str">
        <f>IF(OR($B76="",$G76="",$D76="Cancelled"),"—",IFERROR(IF(INDEX(Setup!$E$25:$E$36,MATCH($B76,Setup!$A$25:$A$36,0))=0,"—",INDEX(Setup!$E$25:$E$36,MATCH($B76,Setup!$A$25:$A$36,0))),"—"))</f>
        <v>—</v>
      </c>
      <c r="O76" s="21" t="str">
        <f>IF(OR($B76="",$G76="",$D76="Cancelled"),"—",IFERROR(IF(INDEX(Setup!$F$25:$F$36,MATCH($B76,Setup!$A$25:$A$36,0))=0,"—",INDEX(Setup!$F$25:$F$36,MATCH($B76,Setup!$A$25:$A$36,0))),"—"))</f>
        <v>—</v>
      </c>
      <c r="P76" s="21" t="str">
        <f>IF(OR($B76="",$G76="",$D76="Cancelled",$D76="Owner block"),"—",IF(IFERROR(INDEX(Setup!$G$25:$G$36,MATCH($B76,Setup!$A$25:$A$36,0)),0)+IFERROR(INDEX(Setup!$H$25:$H$36,MATCH($B76,Setup!$A$25:$A$36,0)),0)*IF(ISNUMBER($H76),$H76,0)=0,"—",ROUND(IFERROR(INDEX(Setup!$G$25:$G$36,MATCH($B76,Setup!$A$25:$A$36,0)),0)+IFERROR(INDEX(Setup!$H$25:$H$36,MATCH($B76,Setup!$A$25:$A$36,0)),0)*IF(ISNUMBER($H76),$H76,0),2)))</f>
        <v>—</v>
      </c>
      <c r="Q76" s="21" t="str">
        <f t="shared" si="7"/>
        <v>—</v>
      </c>
      <c r="R76" s="21" t="str">
        <f t="shared" si="8"/>
        <v>—</v>
      </c>
      <c r="S76" s="8"/>
      <c r="T76" s="19" t="str">
        <f ca="1">IF(OR(NOT(ISNUMBER($F76)),NOT(ISNUMBER($G76)),NOT(ISNUMBER(Dashboard!$P$2)),NOT(ISNUMBER(Dashboard!$P$3)),$D76="Cancelled",$D76="Owner block"),"—",IF(MAX(0,MIN($G76,Dashboard!$P$3+1)-MAX($F76,Dashboard!$P$2))=0,"—",MAX(0,MIN($G76,Dashboard!$P$3+1)-MAX($F76,Dashboard!$P$2))))</f>
        <v>—</v>
      </c>
      <c r="U76" s="19" t="str">
        <f ca="1">IF(OR(NOT(ISNUMBER($F76)),NOT(ISNUMBER($G76)),NOT(ISNUMBER(Dashboard!$P$2)),NOT(ISNUMBER(Dashboard!$P$3)),$D76&lt;&gt;"Owner block"),"—",IF(MAX(0,MIN($G76,Dashboard!$P$3+1)-MAX($F76,Dashboard!$P$2))=0,"—",MAX(0,MIN($G76,Dashboard!$P$3+1)-MAX($F76,Dashboard!$P$2))))</f>
        <v>—</v>
      </c>
      <c r="V76" s="7" t="str">
        <f>IF($B76="",IF(COUNTA($C76:$G76,$I76:$K76,$S76)=0,"","⚠ no property — not counted"),IF(COUNTIF(Setup!$A$25:$A$36,$B76)=0,"⚠ property not in Setup",IF(AND($F76&lt;&gt;"",NOT(ISNUMBER($F76))),"⚠ check-in is not a real date",IF(AND($G76&lt;&gt;"",NOT(ISNUMBER($G76))),"⚠ check-out is not a real date",IF(AND($J76&lt;&gt;"",NOT(ISNUMBER($J76))),"⚠ booking value is not a number","OK")))))</f>
        <v/>
      </c>
      <c r="W76" s="21" t="str">
        <f t="shared" si="9"/>
        <v>—</v>
      </c>
    </row>
    <row r="77" spans="1:23" x14ac:dyDescent="0.2">
      <c r="A77" s="30">
        <v>73</v>
      </c>
      <c r="B77" s="3"/>
      <c r="C77" s="3"/>
      <c r="D77" s="3"/>
      <c r="E77" s="3"/>
      <c r="F77" s="31"/>
      <c r="G77" s="31"/>
      <c r="H77" s="19" t="str">
        <f t="shared" si="5"/>
        <v>—</v>
      </c>
      <c r="I77" s="32"/>
      <c r="J77" s="6"/>
      <c r="K77" s="33"/>
      <c r="L77" s="21" t="str">
        <f>IF(OR($B77="",NOT(ISNUMBER($J77)),$D77="Cancelled",$D77="Owner block"),"—",ROUND($J77*IF(ISNUMBER($K77),IF($K77&gt;1,$K77/100,$K77),IF(IFERROR(INDEX(Setup!$D$25:$D$36,MATCH($B77,Setup!$A$25:$A$36,0)),0)&gt;1,IFERROR(INDEX(Setup!$D$25:$D$36,MATCH($B77,Setup!$A$25:$A$36,0)),0)/100,IFERROR(INDEX(Setup!$D$25:$D$36,MATCH($B77,Setup!$A$25:$A$36,0)),0))),2))</f>
        <v>—</v>
      </c>
      <c r="M77" s="21" t="str">
        <f t="shared" si="6"/>
        <v>—</v>
      </c>
      <c r="N77" s="21" t="str">
        <f>IF(OR($B77="",$G77="",$D77="Cancelled"),"—",IFERROR(IF(INDEX(Setup!$E$25:$E$36,MATCH($B77,Setup!$A$25:$A$36,0))=0,"—",INDEX(Setup!$E$25:$E$36,MATCH($B77,Setup!$A$25:$A$36,0))),"—"))</f>
        <v>—</v>
      </c>
      <c r="O77" s="21" t="str">
        <f>IF(OR($B77="",$G77="",$D77="Cancelled"),"—",IFERROR(IF(INDEX(Setup!$F$25:$F$36,MATCH($B77,Setup!$A$25:$A$36,0))=0,"—",INDEX(Setup!$F$25:$F$36,MATCH($B77,Setup!$A$25:$A$36,0))),"—"))</f>
        <v>—</v>
      </c>
      <c r="P77" s="21" t="str">
        <f>IF(OR($B77="",$G77="",$D77="Cancelled",$D77="Owner block"),"—",IF(IFERROR(INDEX(Setup!$G$25:$G$36,MATCH($B77,Setup!$A$25:$A$36,0)),0)+IFERROR(INDEX(Setup!$H$25:$H$36,MATCH($B77,Setup!$A$25:$A$36,0)),0)*IF(ISNUMBER($H77),$H77,0)=0,"—",ROUND(IFERROR(INDEX(Setup!$G$25:$G$36,MATCH($B77,Setup!$A$25:$A$36,0)),0)+IFERROR(INDEX(Setup!$H$25:$H$36,MATCH($B77,Setup!$A$25:$A$36,0)),0)*IF(ISNUMBER($H77),$H77,0),2)))</f>
        <v>—</v>
      </c>
      <c r="Q77" s="21" t="str">
        <f t="shared" si="7"/>
        <v>—</v>
      </c>
      <c r="R77" s="21" t="str">
        <f t="shared" si="8"/>
        <v>—</v>
      </c>
      <c r="S77" s="3"/>
      <c r="T77" s="19" t="str">
        <f ca="1">IF(OR(NOT(ISNUMBER($F77)),NOT(ISNUMBER($G77)),NOT(ISNUMBER(Dashboard!$P$2)),NOT(ISNUMBER(Dashboard!$P$3)),$D77="Cancelled",$D77="Owner block"),"—",IF(MAX(0,MIN($G77,Dashboard!$P$3+1)-MAX($F77,Dashboard!$P$2))=0,"—",MAX(0,MIN($G77,Dashboard!$P$3+1)-MAX($F77,Dashboard!$P$2))))</f>
        <v>—</v>
      </c>
      <c r="U77" s="19" t="str">
        <f ca="1">IF(OR(NOT(ISNUMBER($F77)),NOT(ISNUMBER($G77)),NOT(ISNUMBER(Dashboard!$P$2)),NOT(ISNUMBER(Dashboard!$P$3)),$D77&lt;&gt;"Owner block"),"—",IF(MAX(0,MIN($G77,Dashboard!$P$3+1)-MAX($F77,Dashboard!$P$2))=0,"—",MAX(0,MIN($G77,Dashboard!$P$3+1)-MAX($F77,Dashboard!$P$2))))</f>
        <v>—</v>
      </c>
      <c r="V77" s="7" t="str">
        <f>IF($B77="",IF(COUNTA($C77:$G77,$I77:$K77,$S77)=0,"","⚠ no property — not counted"),IF(COUNTIF(Setup!$A$25:$A$36,$B77)=0,"⚠ property not in Setup",IF(AND($F77&lt;&gt;"",NOT(ISNUMBER($F77))),"⚠ check-in is not a real date",IF(AND($G77&lt;&gt;"",NOT(ISNUMBER($G77))),"⚠ check-out is not a real date",IF(AND($J77&lt;&gt;"",NOT(ISNUMBER($J77))),"⚠ booking value is not a number","OK")))))</f>
        <v/>
      </c>
      <c r="W77" s="21" t="str">
        <f t="shared" si="9"/>
        <v>—</v>
      </c>
    </row>
    <row r="78" spans="1:23" x14ac:dyDescent="0.2">
      <c r="A78" s="30">
        <v>74</v>
      </c>
      <c r="B78" s="8"/>
      <c r="C78" s="8"/>
      <c r="D78" s="8"/>
      <c r="E78" s="8"/>
      <c r="F78" s="34"/>
      <c r="G78" s="34"/>
      <c r="H78" s="19" t="str">
        <f t="shared" si="5"/>
        <v>—</v>
      </c>
      <c r="I78" s="35"/>
      <c r="J78" s="11"/>
      <c r="K78" s="36"/>
      <c r="L78" s="21" t="str">
        <f>IF(OR($B78="",NOT(ISNUMBER($J78)),$D78="Cancelled",$D78="Owner block"),"—",ROUND($J78*IF(ISNUMBER($K78),IF($K78&gt;1,$K78/100,$K78),IF(IFERROR(INDEX(Setup!$D$25:$D$36,MATCH($B78,Setup!$A$25:$A$36,0)),0)&gt;1,IFERROR(INDEX(Setup!$D$25:$D$36,MATCH($B78,Setup!$A$25:$A$36,0)),0)/100,IFERROR(INDEX(Setup!$D$25:$D$36,MATCH($B78,Setup!$A$25:$A$36,0)),0))),2))</f>
        <v>—</v>
      </c>
      <c r="M78" s="21" t="str">
        <f t="shared" si="6"/>
        <v>—</v>
      </c>
      <c r="N78" s="21" t="str">
        <f>IF(OR($B78="",$G78="",$D78="Cancelled"),"—",IFERROR(IF(INDEX(Setup!$E$25:$E$36,MATCH($B78,Setup!$A$25:$A$36,0))=0,"—",INDEX(Setup!$E$25:$E$36,MATCH($B78,Setup!$A$25:$A$36,0))),"—"))</f>
        <v>—</v>
      </c>
      <c r="O78" s="21" t="str">
        <f>IF(OR($B78="",$G78="",$D78="Cancelled"),"—",IFERROR(IF(INDEX(Setup!$F$25:$F$36,MATCH($B78,Setup!$A$25:$A$36,0))=0,"—",INDEX(Setup!$F$25:$F$36,MATCH($B78,Setup!$A$25:$A$36,0))),"—"))</f>
        <v>—</v>
      </c>
      <c r="P78" s="21" t="str">
        <f>IF(OR($B78="",$G78="",$D78="Cancelled",$D78="Owner block"),"—",IF(IFERROR(INDEX(Setup!$G$25:$G$36,MATCH($B78,Setup!$A$25:$A$36,0)),0)+IFERROR(INDEX(Setup!$H$25:$H$36,MATCH($B78,Setup!$A$25:$A$36,0)),0)*IF(ISNUMBER($H78),$H78,0)=0,"—",ROUND(IFERROR(INDEX(Setup!$G$25:$G$36,MATCH($B78,Setup!$A$25:$A$36,0)),0)+IFERROR(INDEX(Setup!$H$25:$H$36,MATCH($B78,Setup!$A$25:$A$36,0)),0)*IF(ISNUMBER($H78),$H78,0),2)))</f>
        <v>—</v>
      </c>
      <c r="Q78" s="21" t="str">
        <f t="shared" si="7"/>
        <v>—</v>
      </c>
      <c r="R78" s="21" t="str">
        <f t="shared" si="8"/>
        <v>—</v>
      </c>
      <c r="S78" s="8"/>
      <c r="T78" s="19" t="str">
        <f ca="1">IF(OR(NOT(ISNUMBER($F78)),NOT(ISNUMBER($G78)),NOT(ISNUMBER(Dashboard!$P$2)),NOT(ISNUMBER(Dashboard!$P$3)),$D78="Cancelled",$D78="Owner block"),"—",IF(MAX(0,MIN($G78,Dashboard!$P$3+1)-MAX($F78,Dashboard!$P$2))=0,"—",MAX(0,MIN($G78,Dashboard!$P$3+1)-MAX($F78,Dashboard!$P$2))))</f>
        <v>—</v>
      </c>
      <c r="U78" s="19" t="str">
        <f ca="1">IF(OR(NOT(ISNUMBER($F78)),NOT(ISNUMBER($G78)),NOT(ISNUMBER(Dashboard!$P$2)),NOT(ISNUMBER(Dashboard!$P$3)),$D78&lt;&gt;"Owner block"),"—",IF(MAX(0,MIN($G78,Dashboard!$P$3+1)-MAX($F78,Dashboard!$P$2))=0,"—",MAX(0,MIN($G78,Dashboard!$P$3+1)-MAX($F78,Dashboard!$P$2))))</f>
        <v>—</v>
      </c>
      <c r="V78" s="7" t="str">
        <f>IF($B78="",IF(COUNTA($C78:$G78,$I78:$K78,$S78)=0,"","⚠ no property — not counted"),IF(COUNTIF(Setup!$A$25:$A$36,$B78)=0,"⚠ property not in Setup",IF(AND($F78&lt;&gt;"",NOT(ISNUMBER($F78))),"⚠ check-in is not a real date",IF(AND($G78&lt;&gt;"",NOT(ISNUMBER($G78))),"⚠ check-out is not a real date",IF(AND($J78&lt;&gt;"",NOT(ISNUMBER($J78))),"⚠ booking value is not a number","OK")))))</f>
        <v/>
      </c>
      <c r="W78" s="21" t="str">
        <f t="shared" si="9"/>
        <v>—</v>
      </c>
    </row>
    <row r="79" spans="1:23" x14ac:dyDescent="0.2">
      <c r="A79" s="30">
        <v>75</v>
      </c>
      <c r="B79" s="3"/>
      <c r="C79" s="3"/>
      <c r="D79" s="3"/>
      <c r="E79" s="3"/>
      <c r="F79" s="31"/>
      <c r="G79" s="31"/>
      <c r="H79" s="19" t="str">
        <f t="shared" si="5"/>
        <v>—</v>
      </c>
      <c r="I79" s="32"/>
      <c r="J79" s="6"/>
      <c r="K79" s="33"/>
      <c r="L79" s="21" t="str">
        <f>IF(OR($B79="",NOT(ISNUMBER($J79)),$D79="Cancelled",$D79="Owner block"),"—",ROUND($J79*IF(ISNUMBER($K79),IF($K79&gt;1,$K79/100,$K79),IF(IFERROR(INDEX(Setup!$D$25:$D$36,MATCH($B79,Setup!$A$25:$A$36,0)),0)&gt;1,IFERROR(INDEX(Setup!$D$25:$D$36,MATCH($B79,Setup!$A$25:$A$36,0)),0)/100,IFERROR(INDEX(Setup!$D$25:$D$36,MATCH($B79,Setup!$A$25:$A$36,0)),0))),2))</f>
        <v>—</v>
      </c>
      <c r="M79" s="21" t="str">
        <f t="shared" si="6"/>
        <v>—</v>
      </c>
      <c r="N79" s="21" t="str">
        <f>IF(OR($B79="",$G79="",$D79="Cancelled"),"—",IFERROR(IF(INDEX(Setup!$E$25:$E$36,MATCH($B79,Setup!$A$25:$A$36,0))=0,"—",INDEX(Setup!$E$25:$E$36,MATCH($B79,Setup!$A$25:$A$36,0))),"—"))</f>
        <v>—</v>
      </c>
      <c r="O79" s="21" t="str">
        <f>IF(OR($B79="",$G79="",$D79="Cancelled"),"—",IFERROR(IF(INDEX(Setup!$F$25:$F$36,MATCH($B79,Setup!$A$25:$A$36,0))=0,"—",INDEX(Setup!$F$25:$F$36,MATCH($B79,Setup!$A$25:$A$36,0))),"—"))</f>
        <v>—</v>
      </c>
      <c r="P79" s="21" t="str">
        <f>IF(OR($B79="",$G79="",$D79="Cancelled",$D79="Owner block"),"—",IF(IFERROR(INDEX(Setup!$G$25:$G$36,MATCH($B79,Setup!$A$25:$A$36,0)),0)+IFERROR(INDEX(Setup!$H$25:$H$36,MATCH($B79,Setup!$A$25:$A$36,0)),0)*IF(ISNUMBER($H79),$H79,0)=0,"—",ROUND(IFERROR(INDEX(Setup!$G$25:$G$36,MATCH($B79,Setup!$A$25:$A$36,0)),0)+IFERROR(INDEX(Setup!$H$25:$H$36,MATCH($B79,Setup!$A$25:$A$36,0)),0)*IF(ISNUMBER($H79),$H79,0),2)))</f>
        <v>—</v>
      </c>
      <c r="Q79" s="21" t="str">
        <f t="shared" si="7"/>
        <v>—</v>
      </c>
      <c r="R79" s="21" t="str">
        <f t="shared" si="8"/>
        <v>—</v>
      </c>
      <c r="S79" s="3"/>
      <c r="T79" s="19" t="str">
        <f ca="1">IF(OR(NOT(ISNUMBER($F79)),NOT(ISNUMBER($G79)),NOT(ISNUMBER(Dashboard!$P$2)),NOT(ISNUMBER(Dashboard!$P$3)),$D79="Cancelled",$D79="Owner block"),"—",IF(MAX(0,MIN($G79,Dashboard!$P$3+1)-MAX($F79,Dashboard!$P$2))=0,"—",MAX(0,MIN($G79,Dashboard!$P$3+1)-MAX($F79,Dashboard!$P$2))))</f>
        <v>—</v>
      </c>
      <c r="U79" s="19" t="str">
        <f ca="1">IF(OR(NOT(ISNUMBER($F79)),NOT(ISNUMBER($G79)),NOT(ISNUMBER(Dashboard!$P$2)),NOT(ISNUMBER(Dashboard!$P$3)),$D79&lt;&gt;"Owner block"),"—",IF(MAX(0,MIN($G79,Dashboard!$P$3+1)-MAX($F79,Dashboard!$P$2))=0,"—",MAX(0,MIN($G79,Dashboard!$P$3+1)-MAX($F79,Dashboard!$P$2))))</f>
        <v>—</v>
      </c>
      <c r="V79" s="7" t="str">
        <f>IF($B79="",IF(COUNTA($C79:$G79,$I79:$K79,$S79)=0,"","⚠ no property — not counted"),IF(COUNTIF(Setup!$A$25:$A$36,$B79)=0,"⚠ property not in Setup",IF(AND($F79&lt;&gt;"",NOT(ISNUMBER($F79))),"⚠ check-in is not a real date",IF(AND($G79&lt;&gt;"",NOT(ISNUMBER($G79))),"⚠ check-out is not a real date",IF(AND($J79&lt;&gt;"",NOT(ISNUMBER($J79))),"⚠ booking value is not a number","OK")))))</f>
        <v/>
      </c>
      <c r="W79" s="21" t="str">
        <f t="shared" si="9"/>
        <v>—</v>
      </c>
    </row>
    <row r="80" spans="1:23" x14ac:dyDescent="0.2">
      <c r="A80" s="30">
        <v>76</v>
      </c>
      <c r="B80" s="8"/>
      <c r="C80" s="8"/>
      <c r="D80" s="8"/>
      <c r="E80" s="8"/>
      <c r="F80" s="34"/>
      <c r="G80" s="34"/>
      <c r="H80" s="19" t="str">
        <f t="shared" si="5"/>
        <v>—</v>
      </c>
      <c r="I80" s="35"/>
      <c r="J80" s="11"/>
      <c r="K80" s="36"/>
      <c r="L80" s="21" t="str">
        <f>IF(OR($B80="",NOT(ISNUMBER($J80)),$D80="Cancelled",$D80="Owner block"),"—",ROUND($J80*IF(ISNUMBER($K80),IF($K80&gt;1,$K80/100,$K80),IF(IFERROR(INDEX(Setup!$D$25:$D$36,MATCH($B80,Setup!$A$25:$A$36,0)),0)&gt;1,IFERROR(INDEX(Setup!$D$25:$D$36,MATCH($B80,Setup!$A$25:$A$36,0)),0)/100,IFERROR(INDEX(Setup!$D$25:$D$36,MATCH($B80,Setup!$A$25:$A$36,0)),0))),2))</f>
        <v>—</v>
      </c>
      <c r="M80" s="21" t="str">
        <f t="shared" si="6"/>
        <v>—</v>
      </c>
      <c r="N80" s="21" t="str">
        <f>IF(OR($B80="",$G80="",$D80="Cancelled"),"—",IFERROR(IF(INDEX(Setup!$E$25:$E$36,MATCH($B80,Setup!$A$25:$A$36,0))=0,"—",INDEX(Setup!$E$25:$E$36,MATCH($B80,Setup!$A$25:$A$36,0))),"—"))</f>
        <v>—</v>
      </c>
      <c r="O80" s="21" t="str">
        <f>IF(OR($B80="",$G80="",$D80="Cancelled"),"—",IFERROR(IF(INDEX(Setup!$F$25:$F$36,MATCH($B80,Setup!$A$25:$A$36,0))=0,"—",INDEX(Setup!$F$25:$F$36,MATCH($B80,Setup!$A$25:$A$36,0))),"—"))</f>
        <v>—</v>
      </c>
      <c r="P80" s="21" t="str">
        <f>IF(OR($B80="",$G80="",$D80="Cancelled",$D80="Owner block"),"—",IF(IFERROR(INDEX(Setup!$G$25:$G$36,MATCH($B80,Setup!$A$25:$A$36,0)),0)+IFERROR(INDEX(Setup!$H$25:$H$36,MATCH($B80,Setup!$A$25:$A$36,0)),0)*IF(ISNUMBER($H80),$H80,0)=0,"—",ROUND(IFERROR(INDEX(Setup!$G$25:$G$36,MATCH($B80,Setup!$A$25:$A$36,0)),0)+IFERROR(INDEX(Setup!$H$25:$H$36,MATCH($B80,Setup!$A$25:$A$36,0)),0)*IF(ISNUMBER($H80),$H80,0),2)))</f>
        <v>—</v>
      </c>
      <c r="Q80" s="21" t="str">
        <f t="shared" si="7"/>
        <v>—</v>
      </c>
      <c r="R80" s="21" t="str">
        <f t="shared" si="8"/>
        <v>—</v>
      </c>
      <c r="S80" s="8"/>
      <c r="T80" s="19" t="str">
        <f ca="1">IF(OR(NOT(ISNUMBER($F80)),NOT(ISNUMBER($G80)),NOT(ISNUMBER(Dashboard!$P$2)),NOT(ISNUMBER(Dashboard!$P$3)),$D80="Cancelled",$D80="Owner block"),"—",IF(MAX(0,MIN($G80,Dashboard!$P$3+1)-MAX($F80,Dashboard!$P$2))=0,"—",MAX(0,MIN($G80,Dashboard!$P$3+1)-MAX($F80,Dashboard!$P$2))))</f>
        <v>—</v>
      </c>
      <c r="U80" s="19" t="str">
        <f ca="1">IF(OR(NOT(ISNUMBER($F80)),NOT(ISNUMBER($G80)),NOT(ISNUMBER(Dashboard!$P$2)),NOT(ISNUMBER(Dashboard!$P$3)),$D80&lt;&gt;"Owner block"),"—",IF(MAX(0,MIN($G80,Dashboard!$P$3+1)-MAX($F80,Dashboard!$P$2))=0,"—",MAX(0,MIN($G80,Dashboard!$P$3+1)-MAX($F80,Dashboard!$P$2))))</f>
        <v>—</v>
      </c>
      <c r="V80" s="7" t="str">
        <f>IF($B80="",IF(COUNTA($C80:$G80,$I80:$K80,$S80)=0,"","⚠ no property — not counted"),IF(COUNTIF(Setup!$A$25:$A$36,$B80)=0,"⚠ property not in Setup",IF(AND($F80&lt;&gt;"",NOT(ISNUMBER($F80))),"⚠ check-in is not a real date",IF(AND($G80&lt;&gt;"",NOT(ISNUMBER($G80))),"⚠ check-out is not a real date",IF(AND($J80&lt;&gt;"",NOT(ISNUMBER($J80))),"⚠ booking value is not a number","OK")))))</f>
        <v/>
      </c>
      <c r="W80" s="21" t="str">
        <f t="shared" si="9"/>
        <v>—</v>
      </c>
    </row>
    <row r="81" spans="1:23" x14ac:dyDescent="0.2">
      <c r="A81" s="30">
        <v>77</v>
      </c>
      <c r="B81" s="3"/>
      <c r="C81" s="3"/>
      <c r="D81" s="3"/>
      <c r="E81" s="3"/>
      <c r="F81" s="31"/>
      <c r="G81" s="31"/>
      <c r="H81" s="19" t="str">
        <f t="shared" si="5"/>
        <v>—</v>
      </c>
      <c r="I81" s="32"/>
      <c r="J81" s="6"/>
      <c r="K81" s="33"/>
      <c r="L81" s="21" t="str">
        <f>IF(OR($B81="",NOT(ISNUMBER($J81)),$D81="Cancelled",$D81="Owner block"),"—",ROUND($J81*IF(ISNUMBER($K81),IF($K81&gt;1,$K81/100,$K81),IF(IFERROR(INDEX(Setup!$D$25:$D$36,MATCH($B81,Setup!$A$25:$A$36,0)),0)&gt;1,IFERROR(INDEX(Setup!$D$25:$D$36,MATCH($B81,Setup!$A$25:$A$36,0)),0)/100,IFERROR(INDEX(Setup!$D$25:$D$36,MATCH($B81,Setup!$A$25:$A$36,0)),0))),2))</f>
        <v>—</v>
      </c>
      <c r="M81" s="21" t="str">
        <f t="shared" si="6"/>
        <v>—</v>
      </c>
      <c r="N81" s="21" t="str">
        <f>IF(OR($B81="",$G81="",$D81="Cancelled"),"—",IFERROR(IF(INDEX(Setup!$E$25:$E$36,MATCH($B81,Setup!$A$25:$A$36,0))=0,"—",INDEX(Setup!$E$25:$E$36,MATCH($B81,Setup!$A$25:$A$36,0))),"—"))</f>
        <v>—</v>
      </c>
      <c r="O81" s="21" t="str">
        <f>IF(OR($B81="",$G81="",$D81="Cancelled"),"—",IFERROR(IF(INDEX(Setup!$F$25:$F$36,MATCH($B81,Setup!$A$25:$A$36,0))=0,"—",INDEX(Setup!$F$25:$F$36,MATCH($B81,Setup!$A$25:$A$36,0))),"—"))</f>
        <v>—</v>
      </c>
      <c r="P81" s="21" t="str">
        <f>IF(OR($B81="",$G81="",$D81="Cancelled",$D81="Owner block"),"—",IF(IFERROR(INDEX(Setup!$G$25:$G$36,MATCH($B81,Setup!$A$25:$A$36,0)),0)+IFERROR(INDEX(Setup!$H$25:$H$36,MATCH($B81,Setup!$A$25:$A$36,0)),0)*IF(ISNUMBER($H81),$H81,0)=0,"—",ROUND(IFERROR(INDEX(Setup!$G$25:$G$36,MATCH($B81,Setup!$A$25:$A$36,0)),0)+IFERROR(INDEX(Setup!$H$25:$H$36,MATCH($B81,Setup!$A$25:$A$36,0)),0)*IF(ISNUMBER($H81),$H81,0),2)))</f>
        <v>—</v>
      </c>
      <c r="Q81" s="21" t="str">
        <f t="shared" si="7"/>
        <v>—</v>
      </c>
      <c r="R81" s="21" t="str">
        <f t="shared" si="8"/>
        <v>—</v>
      </c>
      <c r="S81" s="3"/>
      <c r="T81" s="19" t="str">
        <f ca="1">IF(OR(NOT(ISNUMBER($F81)),NOT(ISNUMBER($G81)),NOT(ISNUMBER(Dashboard!$P$2)),NOT(ISNUMBER(Dashboard!$P$3)),$D81="Cancelled",$D81="Owner block"),"—",IF(MAX(0,MIN($G81,Dashboard!$P$3+1)-MAX($F81,Dashboard!$P$2))=0,"—",MAX(0,MIN($G81,Dashboard!$P$3+1)-MAX($F81,Dashboard!$P$2))))</f>
        <v>—</v>
      </c>
      <c r="U81" s="19" t="str">
        <f ca="1">IF(OR(NOT(ISNUMBER($F81)),NOT(ISNUMBER($G81)),NOT(ISNUMBER(Dashboard!$P$2)),NOT(ISNUMBER(Dashboard!$P$3)),$D81&lt;&gt;"Owner block"),"—",IF(MAX(0,MIN($G81,Dashboard!$P$3+1)-MAX($F81,Dashboard!$P$2))=0,"—",MAX(0,MIN($G81,Dashboard!$P$3+1)-MAX($F81,Dashboard!$P$2))))</f>
        <v>—</v>
      </c>
      <c r="V81" s="7" t="str">
        <f>IF($B81="",IF(COUNTA($C81:$G81,$I81:$K81,$S81)=0,"","⚠ no property — not counted"),IF(COUNTIF(Setup!$A$25:$A$36,$B81)=0,"⚠ property not in Setup",IF(AND($F81&lt;&gt;"",NOT(ISNUMBER($F81))),"⚠ check-in is not a real date",IF(AND($G81&lt;&gt;"",NOT(ISNUMBER($G81))),"⚠ check-out is not a real date",IF(AND($J81&lt;&gt;"",NOT(ISNUMBER($J81))),"⚠ booking value is not a number","OK")))))</f>
        <v/>
      </c>
      <c r="W81" s="21" t="str">
        <f t="shared" si="9"/>
        <v>—</v>
      </c>
    </row>
    <row r="82" spans="1:23" x14ac:dyDescent="0.2">
      <c r="A82" s="30">
        <v>78</v>
      </c>
      <c r="B82" s="8"/>
      <c r="C82" s="8"/>
      <c r="D82" s="8"/>
      <c r="E82" s="8"/>
      <c r="F82" s="34"/>
      <c r="G82" s="34"/>
      <c r="H82" s="19" t="str">
        <f t="shared" si="5"/>
        <v>—</v>
      </c>
      <c r="I82" s="35"/>
      <c r="J82" s="11"/>
      <c r="K82" s="36"/>
      <c r="L82" s="21" t="str">
        <f>IF(OR($B82="",NOT(ISNUMBER($J82)),$D82="Cancelled",$D82="Owner block"),"—",ROUND($J82*IF(ISNUMBER($K82),IF($K82&gt;1,$K82/100,$K82),IF(IFERROR(INDEX(Setup!$D$25:$D$36,MATCH($B82,Setup!$A$25:$A$36,0)),0)&gt;1,IFERROR(INDEX(Setup!$D$25:$D$36,MATCH($B82,Setup!$A$25:$A$36,0)),0)/100,IFERROR(INDEX(Setup!$D$25:$D$36,MATCH($B82,Setup!$A$25:$A$36,0)),0))),2))</f>
        <v>—</v>
      </c>
      <c r="M82" s="21" t="str">
        <f t="shared" si="6"/>
        <v>—</v>
      </c>
      <c r="N82" s="21" t="str">
        <f>IF(OR($B82="",$G82="",$D82="Cancelled"),"—",IFERROR(IF(INDEX(Setup!$E$25:$E$36,MATCH($B82,Setup!$A$25:$A$36,0))=0,"—",INDEX(Setup!$E$25:$E$36,MATCH($B82,Setup!$A$25:$A$36,0))),"—"))</f>
        <v>—</v>
      </c>
      <c r="O82" s="21" t="str">
        <f>IF(OR($B82="",$G82="",$D82="Cancelled"),"—",IFERROR(IF(INDEX(Setup!$F$25:$F$36,MATCH($B82,Setup!$A$25:$A$36,0))=0,"—",INDEX(Setup!$F$25:$F$36,MATCH($B82,Setup!$A$25:$A$36,0))),"—"))</f>
        <v>—</v>
      </c>
      <c r="P82" s="21" t="str">
        <f>IF(OR($B82="",$G82="",$D82="Cancelled",$D82="Owner block"),"—",IF(IFERROR(INDEX(Setup!$G$25:$G$36,MATCH($B82,Setup!$A$25:$A$36,0)),0)+IFERROR(INDEX(Setup!$H$25:$H$36,MATCH($B82,Setup!$A$25:$A$36,0)),0)*IF(ISNUMBER($H82),$H82,0)=0,"—",ROUND(IFERROR(INDEX(Setup!$G$25:$G$36,MATCH($B82,Setup!$A$25:$A$36,0)),0)+IFERROR(INDEX(Setup!$H$25:$H$36,MATCH($B82,Setup!$A$25:$A$36,0)),0)*IF(ISNUMBER($H82),$H82,0),2)))</f>
        <v>—</v>
      </c>
      <c r="Q82" s="21" t="str">
        <f t="shared" si="7"/>
        <v>—</v>
      </c>
      <c r="R82" s="21" t="str">
        <f t="shared" si="8"/>
        <v>—</v>
      </c>
      <c r="S82" s="8"/>
      <c r="T82" s="19" t="str">
        <f ca="1">IF(OR(NOT(ISNUMBER($F82)),NOT(ISNUMBER($G82)),NOT(ISNUMBER(Dashboard!$P$2)),NOT(ISNUMBER(Dashboard!$P$3)),$D82="Cancelled",$D82="Owner block"),"—",IF(MAX(0,MIN($G82,Dashboard!$P$3+1)-MAX($F82,Dashboard!$P$2))=0,"—",MAX(0,MIN($G82,Dashboard!$P$3+1)-MAX($F82,Dashboard!$P$2))))</f>
        <v>—</v>
      </c>
      <c r="U82" s="19" t="str">
        <f ca="1">IF(OR(NOT(ISNUMBER($F82)),NOT(ISNUMBER($G82)),NOT(ISNUMBER(Dashboard!$P$2)),NOT(ISNUMBER(Dashboard!$P$3)),$D82&lt;&gt;"Owner block"),"—",IF(MAX(0,MIN($G82,Dashboard!$P$3+1)-MAX($F82,Dashboard!$P$2))=0,"—",MAX(0,MIN($G82,Dashboard!$P$3+1)-MAX($F82,Dashboard!$P$2))))</f>
        <v>—</v>
      </c>
      <c r="V82" s="7" t="str">
        <f>IF($B82="",IF(COUNTA($C82:$G82,$I82:$K82,$S82)=0,"","⚠ no property — not counted"),IF(COUNTIF(Setup!$A$25:$A$36,$B82)=0,"⚠ property not in Setup",IF(AND($F82&lt;&gt;"",NOT(ISNUMBER($F82))),"⚠ check-in is not a real date",IF(AND($G82&lt;&gt;"",NOT(ISNUMBER($G82))),"⚠ check-out is not a real date",IF(AND($J82&lt;&gt;"",NOT(ISNUMBER($J82))),"⚠ booking value is not a number","OK")))))</f>
        <v/>
      </c>
      <c r="W82" s="21" t="str">
        <f t="shared" si="9"/>
        <v>—</v>
      </c>
    </row>
    <row r="83" spans="1:23" x14ac:dyDescent="0.2">
      <c r="A83" s="30">
        <v>79</v>
      </c>
      <c r="B83" s="3"/>
      <c r="C83" s="3"/>
      <c r="D83" s="3"/>
      <c r="E83" s="3"/>
      <c r="F83" s="31"/>
      <c r="G83" s="31"/>
      <c r="H83" s="19" t="str">
        <f t="shared" si="5"/>
        <v>—</v>
      </c>
      <c r="I83" s="32"/>
      <c r="J83" s="6"/>
      <c r="K83" s="33"/>
      <c r="L83" s="21" t="str">
        <f>IF(OR($B83="",NOT(ISNUMBER($J83)),$D83="Cancelled",$D83="Owner block"),"—",ROUND($J83*IF(ISNUMBER($K83),IF($K83&gt;1,$K83/100,$K83),IF(IFERROR(INDEX(Setup!$D$25:$D$36,MATCH($B83,Setup!$A$25:$A$36,0)),0)&gt;1,IFERROR(INDEX(Setup!$D$25:$D$36,MATCH($B83,Setup!$A$25:$A$36,0)),0)/100,IFERROR(INDEX(Setup!$D$25:$D$36,MATCH($B83,Setup!$A$25:$A$36,0)),0))),2))</f>
        <v>—</v>
      </c>
      <c r="M83" s="21" t="str">
        <f t="shared" si="6"/>
        <v>—</v>
      </c>
      <c r="N83" s="21" t="str">
        <f>IF(OR($B83="",$G83="",$D83="Cancelled"),"—",IFERROR(IF(INDEX(Setup!$E$25:$E$36,MATCH($B83,Setup!$A$25:$A$36,0))=0,"—",INDEX(Setup!$E$25:$E$36,MATCH($B83,Setup!$A$25:$A$36,0))),"—"))</f>
        <v>—</v>
      </c>
      <c r="O83" s="21" t="str">
        <f>IF(OR($B83="",$G83="",$D83="Cancelled"),"—",IFERROR(IF(INDEX(Setup!$F$25:$F$36,MATCH($B83,Setup!$A$25:$A$36,0))=0,"—",INDEX(Setup!$F$25:$F$36,MATCH($B83,Setup!$A$25:$A$36,0))),"—"))</f>
        <v>—</v>
      </c>
      <c r="P83" s="21" t="str">
        <f>IF(OR($B83="",$G83="",$D83="Cancelled",$D83="Owner block"),"—",IF(IFERROR(INDEX(Setup!$G$25:$G$36,MATCH($B83,Setup!$A$25:$A$36,0)),0)+IFERROR(INDEX(Setup!$H$25:$H$36,MATCH($B83,Setup!$A$25:$A$36,0)),0)*IF(ISNUMBER($H83),$H83,0)=0,"—",ROUND(IFERROR(INDEX(Setup!$G$25:$G$36,MATCH($B83,Setup!$A$25:$A$36,0)),0)+IFERROR(INDEX(Setup!$H$25:$H$36,MATCH($B83,Setup!$A$25:$A$36,0)),0)*IF(ISNUMBER($H83),$H83,0),2)))</f>
        <v>—</v>
      </c>
      <c r="Q83" s="21" t="str">
        <f t="shared" si="7"/>
        <v>—</v>
      </c>
      <c r="R83" s="21" t="str">
        <f t="shared" si="8"/>
        <v>—</v>
      </c>
      <c r="S83" s="3"/>
      <c r="T83" s="19" t="str">
        <f ca="1">IF(OR(NOT(ISNUMBER($F83)),NOT(ISNUMBER($G83)),NOT(ISNUMBER(Dashboard!$P$2)),NOT(ISNUMBER(Dashboard!$P$3)),$D83="Cancelled",$D83="Owner block"),"—",IF(MAX(0,MIN($G83,Dashboard!$P$3+1)-MAX($F83,Dashboard!$P$2))=0,"—",MAX(0,MIN($G83,Dashboard!$P$3+1)-MAX($F83,Dashboard!$P$2))))</f>
        <v>—</v>
      </c>
      <c r="U83" s="19" t="str">
        <f ca="1">IF(OR(NOT(ISNUMBER($F83)),NOT(ISNUMBER($G83)),NOT(ISNUMBER(Dashboard!$P$2)),NOT(ISNUMBER(Dashboard!$P$3)),$D83&lt;&gt;"Owner block"),"—",IF(MAX(0,MIN($G83,Dashboard!$P$3+1)-MAX($F83,Dashboard!$P$2))=0,"—",MAX(0,MIN($G83,Dashboard!$P$3+1)-MAX($F83,Dashboard!$P$2))))</f>
        <v>—</v>
      </c>
      <c r="V83" s="7" t="str">
        <f>IF($B83="",IF(COUNTA($C83:$G83,$I83:$K83,$S83)=0,"","⚠ no property — not counted"),IF(COUNTIF(Setup!$A$25:$A$36,$B83)=0,"⚠ property not in Setup",IF(AND($F83&lt;&gt;"",NOT(ISNUMBER($F83))),"⚠ check-in is not a real date",IF(AND($G83&lt;&gt;"",NOT(ISNUMBER($G83))),"⚠ check-out is not a real date",IF(AND($J83&lt;&gt;"",NOT(ISNUMBER($J83))),"⚠ booking value is not a number","OK")))))</f>
        <v/>
      </c>
      <c r="W83" s="21" t="str">
        <f t="shared" si="9"/>
        <v>—</v>
      </c>
    </row>
    <row r="84" spans="1:23" x14ac:dyDescent="0.2">
      <c r="A84" s="30">
        <v>80</v>
      </c>
      <c r="B84" s="8"/>
      <c r="C84" s="8"/>
      <c r="D84" s="8"/>
      <c r="E84" s="8"/>
      <c r="F84" s="34"/>
      <c r="G84" s="34"/>
      <c r="H84" s="19" t="str">
        <f t="shared" si="5"/>
        <v>—</v>
      </c>
      <c r="I84" s="35"/>
      <c r="J84" s="11"/>
      <c r="K84" s="36"/>
      <c r="L84" s="21" t="str">
        <f>IF(OR($B84="",NOT(ISNUMBER($J84)),$D84="Cancelled",$D84="Owner block"),"—",ROUND($J84*IF(ISNUMBER($K84),IF($K84&gt;1,$K84/100,$K84),IF(IFERROR(INDEX(Setup!$D$25:$D$36,MATCH($B84,Setup!$A$25:$A$36,0)),0)&gt;1,IFERROR(INDEX(Setup!$D$25:$D$36,MATCH($B84,Setup!$A$25:$A$36,0)),0)/100,IFERROR(INDEX(Setup!$D$25:$D$36,MATCH($B84,Setup!$A$25:$A$36,0)),0))),2))</f>
        <v>—</v>
      </c>
      <c r="M84" s="21" t="str">
        <f t="shared" si="6"/>
        <v>—</v>
      </c>
      <c r="N84" s="21" t="str">
        <f>IF(OR($B84="",$G84="",$D84="Cancelled"),"—",IFERROR(IF(INDEX(Setup!$E$25:$E$36,MATCH($B84,Setup!$A$25:$A$36,0))=0,"—",INDEX(Setup!$E$25:$E$36,MATCH($B84,Setup!$A$25:$A$36,0))),"—"))</f>
        <v>—</v>
      </c>
      <c r="O84" s="21" t="str">
        <f>IF(OR($B84="",$G84="",$D84="Cancelled"),"—",IFERROR(IF(INDEX(Setup!$F$25:$F$36,MATCH($B84,Setup!$A$25:$A$36,0))=0,"—",INDEX(Setup!$F$25:$F$36,MATCH($B84,Setup!$A$25:$A$36,0))),"—"))</f>
        <v>—</v>
      </c>
      <c r="P84" s="21" t="str">
        <f>IF(OR($B84="",$G84="",$D84="Cancelled",$D84="Owner block"),"—",IF(IFERROR(INDEX(Setup!$G$25:$G$36,MATCH($B84,Setup!$A$25:$A$36,0)),0)+IFERROR(INDEX(Setup!$H$25:$H$36,MATCH($B84,Setup!$A$25:$A$36,0)),0)*IF(ISNUMBER($H84),$H84,0)=0,"—",ROUND(IFERROR(INDEX(Setup!$G$25:$G$36,MATCH($B84,Setup!$A$25:$A$36,0)),0)+IFERROR(INDEX(Setup!$H$25:$H$36,MATCH($B84,Setup!$A$25:$A$36,0)),0)*IF(ISNUMBER($H84),$H84,0),2)))</f>
        <v>—</v>
      </c>
      <c r="Q84" s="21" t="str">
        <f t="shared" si="7"/>
        <v>—</v>
      </c>
      <c r="R84" s="21" t="str">
        <f t="shared" si="8"/>
        <v>—</v>
      </c>
      <c r="S84" s="8"/>
      <c r="T84" s="19" t="str">
        <f ca="1">IF(OR(NOT(ISNUMBER($F84)),NOT(ISNUMBER($G84)),NOT(ISNUMBER(Dashboard!$P$2)),NOT(ISNUMBER(Dashboard!$P$3)),$D84="Cancelled",$D84="Owner block"),"—",IF(MAX(0,MIN($G84,Dashboard!$P$3+1)-MAX($F84,Dashboard!$P$2))=0,"—",MAX(0,MIN($G84,Dashboard!$P$3+1)-MAX($F84,Dashboard!$P$2))))</f>
        <v>—</v>
      </c>
      <c r="U84" s="19" t="str">
        <f ca="1">IF(OR(NOT(ISNUMBER($F84)),NOT(ISNUMBER($G84)),NOT(ISNUMBER(Dashboard!$P$2)),NOT(ISNUMBER(Dashboard!$P$3)),$D84&lt;&gt;"Owner block"),"—",IF(MAX(0,MIN($G84,Dashboard!$P$3+1)-MAX($F84,Dashboard!$P$2))=0,"—",MAX(0,MIN($G84,Dashboard!$P$3+1)-MAX($F84,Dashboard!$P$2))))</f>
        <v>—</v>
      </c>
      <c r="V84" s="7" t="str">
        <f>IF($B84="",IF(COUNTA($C84:$G84,$I84:$K84,$S84)=0,"","⚠ no property — not counted"),IF(COUNTIF(Setup!$A$25:$A$36,$B84)=0,"⚠ property not in Setup",IF(AND($F84&lt;&gt;"",NOT(ISNUMBER($F84))),"⚠ check-in is not a real date",IF(AND($G84&lt;&gt;"",NOT(ISNUMBER($G84))),"⚠ check-out is not a real date",IF(AND($J84&lt;&gt;"",NOT(ISNUMBER($J84))),"⚠ booking value is not a number","OK")))))</f>
        <v/>
      </c>
      <c r="W84" s="21" t="str">
        <f t="shared" si="9"/>
        <v>—</v>
      </c>
    </row>
    <row r="85" spans="1:23" x14ac:dyDescent="0.2">
      <c r="A85" s="30">
        <v>81</v>
      </c>
      <c r="B85" s="3"/>
      <c r="C85" s="3"/>
      <c r="D85" s="3"/>
      <c r="E85" s="3"/>
      <c r="F85" s="31"/>
      <c r="G85" s="31"/>
      <c r="H85" s="19" t="str">
        <f t="shared" si="5"/>
        <v>—</v>
      </c>
      <c r="I85" s="32"/>
      <c r="J85" s="6"/>
      <c r="K85" s="33"/>
      <c r="L85" s="21" t="str">
        <f>IF(OR($B85="",NOT(ISNUMBER($J85)),$D85="Cancelled",$D85="Owner block"),"—",ROUND($J85*IF(ISNUMBER($K85),IF($K85&gt;1,$K85/100,$K85),IF(IFERROR(INDEX(Setup!$D$25:$D$36,MATCH($B85,Setup!$A$25:$A$36,0)),0)&gt;1,IFERROR(INDEX(Setup!$D$25:$D$36,MATCH($B85,Setup!$A$25:$A$36,0)),0)/100,IFERROR(INDEX(Setup!$D$25:$D$36,MATCH($B85,Setup!$A$25:$A$36,0)),0))),2))</f>
        <v>—</v>
      </c>
      <c r="M85" s="21" t="str">
        <f t="shared" si="6"/>
        <v>—</v>
      </c>
      <c r="N85" s="21" t="str">
        <f>IF(OR($B85="",$G85="",$D85="Cancelled"),"—",IFERROR(IF(INDEX(Setup!$E$25:$E$36,MATCH($B85,Setup!$A$25:$A$36,0))=0,"—",INDEX(Setup!$E$25:$E$36,MATCH($B85,Setup!$A$25:$A$36,0))),"—"))</f>
        <v>—</v>
      </c>
      <c r="O85" s="21" t="str">
        <f>IF(OR($B85="",$G85="",$D85="Cancelled"),"—",IFERROR(IF(INDEX(Setup!$F$25:$F$36,MATCH($B85,Setup!$A$25:$A$36,0))=0,"—",INDEX(Setup!$F$25:$F$36,MATCH($B85,Setup!$A$25:$A$36,0))),"—"))</f>
        <v>—</v>
      </c>
      <c r="P85" s="21" t="str">
        <f>IF(OR($B85="",$G85="",$D85="Cancelled",$D85="Owner block"),"—",IF(IFERROR(INDEX(Setup!$G$25:$G$36,MATCH($B85,Setup!$A$25:$A$36,0)),0)+IFERROR(INDEX(Setup!$H$25:$H$36,MATCH($B85,Setup!$A$25:$A$36,0)),0)*IF(ISNUMBER($H85),$H85,0)=0,"—",ROUND(IFERROR(INDEX(Setup!$G$25:$G$36,MATCH($B85,Setup!$A$25:$A$36,0)),0)+IFERROR(INDEX(Setup!$H$25:$H$36,MATCH($B85,Setup!$A$25:$A$36,0)),0)*IF(ISNUMBER($H85),$H85,0),2)))</f>
        <v>—</v>
      </c>
      <c r="Q85" s="21" t="str">
        <f t="shared" si="7"/>
        <v>—</v>
      </c>
      <c r="R85" s="21" t="str">
        <f t="shared" si="8"/>
        <v>—</v>
      </c>
      <c r="S85" s="3"/>
      <c r="T85" s="19" t="str">
        <f ca="1">IF(OR(NOT(ISNUMBER($F85)),NOT(ISNUMBER($G85)),NOT(ISNUMBER(Dashboard!$P$2)),NOT(ISNUMBER(Dashboard!$P$3)),$D85="Cancelled",$D85="Owner block"),"—",IF(MAX(0,MIN($G85,Dashboard!$P$3+1)-MAX($F85,Dashboard!$P$2))=0,"—",MAX(0,MIN($G85,Dashboard!$P$3+1)-MAX($F85,Dashboard!$P$2))))</f>
        <v>—</v>
      </c>
      <c r="U85" s="19" t="str">
        <f ca="1">IF(OR(NOT(ISNUMBER($F85)),NOT(ISNUMBER($G85)),NOT(ISNUMBER(Dashboard!$P$2)),NOT(ISNUMBER(Dashboard!$P$3)),$D85&lt;&gt;"Owner block"),"—",IF(MAX(0,MIN($G85,Dashboard!$P$3+1)-MAX($F85,Dashboard!$P$2))=0,"—",MAX(0,MIN($G85,Dashboard!$P$3+1)-MAX($F85,Dashboard!$P$2))))</f>
        <v>—</v>
      </c>
      <c r="V85" s="7" t="str">
        <f>IF($B85="",IF(COUNTA($C85:$G85,$I85:$K85,$S85)=0,"","⚠ no property — not counted"),IF(COUNTIF(Setup!$A$25:$A$36,$B85)=0,"⚠ property not in Setup",IF(AND($F85&lt;&gt;"",NOT(ISNUMBER($F85))),"⚠ check-in is not a real date",IF(AND($G85&lt;&gt;"",NOT(ISNUMBER($G85))),"⚠ check-out is not a real date",IF(AND($J85&lt;&gt;"",NOT(ISNUMBER($J85))),"⚠ booking value is not a number","OK")))))</f>
        <v/>
      </c>
      <c r="W85" s="21" t="str">
        <f t="shared" si="9"/>
        <v>—</v>
      </c>
    </row>
    <row r="86" spans="1:23" x14ac:dyDescent="0.2">
      <c r="A86" s="30">
        <v>82</v>
      </c>
      <c r="B86" s="8"/>
      <c r="C86" s="8"/>
      <c r="D86" s="8"/>
      <c r="E86" s="8"/>
      <c r="F86" s="34"/>
      <c r="G86" s="34"/>
      <c r="H86" s="19" t="str">
        <f t="shared" si="5"/>
        <v>—</v>
      </c>
      <c r="I86" s="35"/>
      <c r="J86" s="11"/>
      <c r="K86" s="36"/>
      <c r="L86" s="21" t="str">
        <f>IF(OR($B86="",NOT(ISNUMBER($J86)),$D86="Cancelled",$D86="Owner block"),"—",ROUND($J86*IF(ISNUMBER($K86),IF($K86&gt;1,$K86/100,$K86),IF(IFERROR(INDEX(Setup!$D$25:$D$36,MATCH($B86,Setup!$A$25:$A$36,0)),0)&gt;1,IFERROR(INDEX(Setup!$D$25:$D$36,MATCH($B86,Setup!$A$25:$A$36,0)),0)/100,IFERROR(INDEX(Setup!$D$25:$D$36,MATCH($B86,Setup!$A$25:$A$36,0)),0))),2))</f>
        <v>—</v>
      </c>
      <c r="M86" s="21" t="str">
        <f t="shared" si="6"/>
        <v>—</v>
      </c>
      <c r="N86" s="21" t="str">
        <f>IF(OR($B86="",$G86="",$D86="Cancelled"),"—",IFERROR(IF(INDEX(Setup!$E$25:$E$36,MATCH($B86,Setup!$A$25:$A$36,0))=0,"—",INDEX(Setup!$E$25:$E$36,MATCH($B86,Setup!$A$25:$A$36,0))),"—"))</f>
        <v>—</v>
      </c>
      <c r="O86" s="21" t="str">
        <f>IF(OR($B86="",$G86="",$D86="Cancelled"),"—",IFERROR(IF(INDEX(Setup!$F$25:$F$36,MATCH($B86,Setup!$A$25:$A$36,0))=0,"—",INDEX(Setup!$F$25:$F$36,MATCH($B86,Setup!$A$25:$A$36,0))),"—"))</f>
        <v>—</v>
      </c>
      <c r="P86" s="21" t="str">
        <f>IF(OR($B86="",$G86="",$D86="Cancelled",$D86="Owner block"),"—",IF(IFERROR(INDEX(Setup!$G$25:$G$36,MATCH($B86,Setup!$A$25:$A$36,0)),0)+IFERROR(INDEX(Setup!$H$25:$H$36,MATCH($B86,Setup!$A$25:$A$36,0)),0)*IF(ISNUMBER($H86),$H86,0)=0,"—",ROUND(IFERROR(INDEX(Setup!$G$25:$G$36,MATCH($B86,Setup!$A$25:$A$36,0)),0)+IFERROR(INDEX(Setup!$H$25:$H$36,MATCH($B86,Setup!$A$25:$A$36,0)),0)*IF(ISNUMBER($H86),$H86,0),2)))</f>
        <v>—</v>
      </c>
      <c r="Q86" s="21" t="str">
        <f t="shared" si="7"/>
        <v>—</v>
      </c>
      <c r="R86" s="21" t="str">
        <f t="shared" si="8"/>
        <v>—</v>
      </c>
      <c r="S86" s="8"/>
      <c r="T86" s="19" t="str">
        <f ca="1">IF(OR(NOT(ISNUMBER($F86)),NOT(ISNUMBER($G86)),NOT(ISNUMBER(Dashboard!$P$2)),NOT(ISNUMBER(Dashboard!$P$3)),$D86="Cancelled",$D86="Owner block"),"—",IF(MAX(0,MIN($G86,Dashboard!$P$3+1)-MAX($F86,Dashboard!$P$2))=0,"—",MAX(0,MIN($G86,Dashboard!$P$3+1)-MAX($F86,Dashboard!$P$2))))</f>
        <v>—</v>
      </c>
      <c r="U86" s="19" t="str">
        <f ca="1">IF(OR(NOT(ISNUMBER($F86)),NOT(ISNUMBER($G86)),NOT(ISNUMBER(Dashboard!$P$2)),NOT(ISNUMBER(Dashboard!$P$3)),$D86&lt;&gt;"Owner block"),"—",IF(MAX(0,MIN($G86,Dashboard!$P$3+1)-MAX($F86,Dashboard!$P$2))=0,"—",MAX(0,MIN($G86,Dashboard!$P$3+1)-MAX($F86,Dashboard!$P$2))))</f>
        <v>—</v>
      </c>
      <c r="V86" s="7" t="str">
        <f>IF($B86="",IF(COUNTA($C86:$G86,$I86:$K86,$S86)=0,"","⚠ no property — not counted"),IF(COUNTIF(Setup!$A$25:$A$36,$B86)=0,"⚠ property not in Setup",IF(AND($F86&lt;&gt;"",NOT(ISNUMBER($F86))),"⚠ check-in is not a real date",IF(AND($G86&lt;&gt;"",NOT(ISNUMBER($G86))),"⚠ check-out is not a real date",IF(AND($J86&lt;&gt;"",NOT(ISNUMBER($J86))),"⚠ booking value is not a number","OK")))))</f>
        <v/>
      </c>
      <c r="W86" s="21" t="str">
        <f t="shared" si="9"/>
        <v>—</v>
      </c>
    </row>
    <row r="87" spans="1:23" x14ac:dyDescent="0.2">
      <c r="A87" s="30">
        <v>83</v>
      </c>
      <c r="B87" s="3"/>
      <c r="C87" s="3"/>
      <c r="D87" s="3"/>
      <c r="E87" s="3"/>
      <c r="F87" s="31"/>
      <c r="G87" s="31"/>
      <c r="H87" s="19" t="str">
        <f t="shared" si="5"/>
        <v>—</v>
      </c>
      <c r="I87" s="32"/>
      <c r="J87" s="6"/>
      <c r="K87" s="33"/>
      <c r="L87" s="21" t="str">
        <f>IF(OR($B87="",NOT(ISNUMBER($J87)),$D87="Cancelled",$D87="Owner block"),"—",ROUND($J87*IF(ISNUMBER($K87),IF($K87&gt;1,$K87/100,$K87),IF(IFERROR(INDEX(Setup!$D$25:$D$36,MATCH($B87,Setup!$A$25:$A$36,0)),0)&gt;1,IFERROR(INDEX(Setup!$D$25:$D$36,MATCH($B87,Setup!$A$25:$A$36,0)),0)/100,IFERROR(INDEX(Setup!$D$25:$D$36,MATCH($B87,Setup!$A$25:$A$36,0)),0))),2))</f>
        <v>—</v>
      </c>
      <c r="M87" s="21" t="str">
        <f t="shared" si="6"/>
        <v>—</v>
      </c>
      <c r="N87" s="21" t="str">
        <f>IF(OR($B87="",$G87="",$D87="Cancelled"),"—",IFERROR(IF(INDEX(Setup!$E$25:$E$36,MATCH($B87,Setup!$A$25:$A$36,0))=0,"—",INDEX(Setup!$E$25:$E$36,MATCH($B87,Setup!$A$25:$A$36,0))),"—"))</f>
        <v>—</v>
      </c>
      <c r="O87" s="21" t="str">
        <f>IF(OR($B87="",$G87="",$D87="Cancelled"),"—",IFERROR(IF(INDEX(Setup!$F$25:$F$36,MATCH($B87,Setup!$A$25:$A$36,0))=0,"—",INDEX(Setup!$F$25:$F$36,MATCH($B87,Setup!$A$25:$A$36,0))),"—"))</f>
        <v>—</v>
      </c>
      <c r="P87" s="21" t="str">
        <f>IF(OR($B87="",$G87="",$D87="Cancelled",$D87="Owner block"),"—",IF(IFERROR(INDEX(Setup!$G$25:$G$36,MATCH($B87,Setup!$A$25:$A$36,0)),0)+IFERROR(INDEX(Setup!$H$25:$H$36,MATCH($B87,Setup!$A$25:$A$36,0)),0)*IF(ISNUMBER($H87),$H87,0)=0,"—",ROUND(IFERROR(INDEX(Setup!$G$25:$G$36,MATCH($B87,Setup!$A$25:$A$36,0)),0)+IFERROR(INDEX(Setup!$H$25:$H$36,MATCH($B87,Setup!$A$25:$A$36,0)),0)*IF(ISNUMBER($H87),$H87,0),2)))</f>
        <v>—</v>
      </c>
      <c r="Q87" s="21" t="str">
        <f t="shared" si="7"/>
        <v>—</v>
      </c>
      <c r="R87" s="21" t="str">
        <f t="shared" si="8"/>
        <v>—</v>
      </c>
      <c r="S87" s="3"/>
      <c r="T87" s="19" t="str">
        <f ca="1">IF(OR(NOT(ISNUMBER($F87)),NOT(ISNUMBER($G87)),NOT(ISNUMBER(Dashboard!$P$2)),NOT(ISNUMBER(Dashboard!$P$3)),$D87="Cancelled",$D87="Owner block"),"—",IF(MAX(0,MIN($G87,Dashboard!$P$3+1)-MAX($F87,Dashboard!$P$2))=0,"—",MAX(0,MIN($G87,Dashboard!$P$3+1)-MAX($F87,Dashboard!$P$2))))</f>
        <v>—</v>
      </c>
      <c r="U87" s="19" t="str">
        <f ca="1">IF(OR(NOT(ISNUMBER($F87)),NOT(ISNUMBER($G87)),NOT(ISNUMBER(Dashboard!$P$2)),NOT(ISNUMBER(Dashboard!$P$3)),$D87&lt;&gt;"Owner block"),"—",IF(MAX(0,MIN($G87,Dashboard!$P$3+1)-MAX($F87,Dashboard!$P$2))=0,"—",MAX(0,MIN($G87,Dashboard!$P$3+1)-MAX($F87,Dashboard!$P$2))))</f>
        <v>—</v>
      </c>
      <c r="V87" s="7" t="str">
        <f>IF($B87="",IF(COUNTA($C87:$G87,$I87:$K87,$S87)=0,"","⚠ no property — not counted"),IF(COUNTIF(Setup!$A$25:$A$36,$B87)=0,"⚠ property not in Setup",IF(AND($F87&lt;&gt;"",NOT(ISNUMBER($F87))),"⚠ check-in is not a real date",IF(AND($G87&lt;&gt;"",NOT(ISNUMBER($G87))),"⚠ check-out is not a real date",IF(AND($J87&lt;&gt;"",NOT(ISNUMBER($J87))),"⚠ booking value is not a number","OK")))))</f>
        <v/>
      </c>
      <c r="W87" s="21" t="str">
        <f t="shared" si="9"/>
        <v>—</v>
      </c>
    </row>
    <row r="88" spans="1:23" x14ac:dyDescent="0.2">
      <c r="A88" s="30">
        <v>84</v>
      </c>
      <c r="B88" s="8"/>
      <c r="C88" s="8"/>
      <c r="D88" s="8"/>
      <c r="E88" s="8"/>
      <c r="F88" s="34"/>
      <c r="G88" s="34"/>
      <c r="H88" s="19" t="str">
        <f t="shared" si="5"/>
        <v>—</v>
      </c>
      <c r="I88" s="35"/>
      <c r="J88" s="11"/>
      <c r="K88" s="36"/>
      <c r="L88" s="21" t="str">
        <f>IF(OR($B88="",NOT(ISNUMBER($J88)),$D88="Cancelled",$D88="Owner block"),"—",ROUND($J88*IF(ISNUMBER($K88),IF($K88&gt;1,$K88/100,$K88),IF(IFERROR(INDEX(Setup!$D$25:$D$36,MATCH($B88,Setup!$A$25:$A$36,0)),0)&gt;1,IFERROR(INDEX(Setup!$D$25:$D$36,MATCH($B88,Setup!$A$25:$A$36,0)),0)/100,IFERROR(INDEX(Setup!$D$25:$D$36,MATCH($B88,Setup!$A$25:$A$36,0)),0))),2))</f>
        <v>—</v>
      </c>
      <c r="M88" s="21" t="str">
        <f t="shared" si="6"/>
        <v>—</v>
      </c>
      <c r="N88" s="21" t="str">
        <f>IF(OR($B88="",$G88="",$D88="Cancelled"),"—",IFERROR(IF(INDEX(Setup!$E$25:$E$36,MATCH($B88,Setup!$A$25:$A$36,0))=0,"—",INDEX(Setup!$E$25:$E$36,MATCH($B88,Setup!$A$25:$A$36,0))),"—"))</f>
        <v>—</v>
      </c>
      <c r="O88" s="21" t="str">
        <f>IF(OR($B88="",$G88="",$D88="Cancelled"),"—",IFERROR(IF(INDEX(Setup!$F$25:$F$36,MATCH($B88,Setup!$A$25:$A$36,0))=0,"—",INDEX(Setup!$F$25:$F$36,MATCH($B88,Setup!$A$25:$A$36,0))),"—"))</f>
        <v>—</v>
      </c>
      <c r="P88" s="21" t="str">
        <f>IF(OR($B88="",$G88="",$D88="Cancelled",$D88="Owner block"),"—",IF(IFERROR(INDEX(Setup!$G$25:$G$36,MATCH($B88,Setup!$A$25:$A$36,0)),0)+IFERROR(INDEX(Setup!$H$25:$H$36,MATCH($B88,Setup!$A$25:$A$36,0)),0)*IF(ISNUMBER($H88),$H88,0)=0,"—",ROUND(IFERROR(INDEX(Setup!$G$25:$G$36,MATCH($B88,Setup!$A$25:$A$36,0)),0)+IFERROR(INDEX(Setup!$H$25:$H$36,MATCH($B88,Setup!$A$25:$A$36,0)),0)*IF(ISNUMBER($H88),$H88,0),2)))</f>
        <v>—</v>
      </c>
      <c r="Q88" s="21" t="str">
        <f t="shared" si="7"/>
        <v>—</v>
      </c>
      <c r="R88" s="21" t="str">
        <f t="shared" si="8"/>
        <v>—</v>
      </c>
      <c r="S88" s="8"/>
      <c r="T88" s="19" t="str">
        <f ca="1">IF(OR(NOT(ISNUMBER($F88)),NOT(ISNUMBER($G88)),NOT(ISNUMBER(Dashboard!$P$2)),NOT(ISNUMBER(Dashboard!$P$3)),$D88="Cancelled",$D88="Owner block"),"—",IF(MAX(0,MIN($G88,Dashboard!$P$3+1)-MAX($F88,Dashboard!$P$2))=0,"—",MAX(0,MIN($G88,Dashboard!$P$3+1)-MAX($F88,Dashboard!$P$2))))</f>
        <v>—</v>
      </c>
      <c r="U88" s="19" t="str">
        <f ca="1">IF(OR(NOT(ISNUMBER($F88)),NOT(ISNUMBER($G88)),NOT(ISNUMBER(Dashboard!$P$2)),NOT(ISNUMBER(Dashboard!$P$3)),$D88&lt;&gt;"Owner block"),"—",IF(MAX(0,MIN($G88,Dashboard!$P$3+1)-MAX($F88,Dashboard!$P$2))=0,"—",MAX(0,MIN($G88,Dashboard!$P$3+1)-MAX($F88,Dashboard!$P$2))))</f>
        <v>—</v>
      </c>
      <c r="V88" s="7" t="str">
        <f>IF($B88="",IF(COUNTA($C88:$G88,$I88:$K88,$S88)=0,"","⚠ no property — not counted"),IF(COUNTIF(Setup!$A$25:$A$36,$B88)=0,"⚠ property not in Setup",IF(AND($F88&lt;&gt;"",NOT(ISNUMBER($F88))),"⚠ check-in is not a real date",IF(AND($G88&lt;&gt;"",NOT(ISNUMBER($G88))),"⚠ check-out is not a real date",IF(AND($J88&lt;&gt;"",NOT(ISNUMBER($J88))),"⚠ booking value is not a number","OK")))))</f>
        <v/>
      </c>
      <c r="W88" s="21" t="str">
        <f t="shared" si="9"/>
        <v>—</v>
      </c>
    </row>
    <row r="89" spans="1:23" x14ac:dyDescent="0.2">
      <c r="A89" s="30">
        <v>85</v>
      </c>
      <c r="B89" s="3"/>
      <c r="C89" s="3"/>
      <c r="D89" s="3"/>
      <c r="E89" s="3"/>
      <c r="F89" s="31"/>
      <c r="G89" s="31"/>
      <c r="H89" s="19" t="str">
        <f t="shared" si="5"/>
        <v>—</v>
      </c>
      <c r="I89" s="32"/>
      <c r="J89" s="6"/>
      <c r="K89" s="33"/>
      <c r="L89" s="21" t="str">
        <f>IF(OR($B89="",NOT(ISNUMBER($J89)),$D89="Cancelled",$D89="Owner block"),"—",ROUND($J89*IF(ISNUMBER($K89),IF($K89&gt;1,$K89/100,$K89),IF(IFERROR(INDEX(Setup!$D$25:$D$36,MATCH($B89,Setup!$A$25:$A$36,0)),0)&gt;1,IFERROR(INDEX(Setup!$D$25:$D$36,MATCH($B89,Setup!$A$25:$A$36,0)),0)/100,IFERROR(INDEX(Setup!$D$25:$D$36,MATCH($B89,Setup!$A$25:$A$36,0)),0))),2))</f>
        <v>—</v>
      </c>
      <c r="M89" s="21" t="str">
        <f t="shared" si="6"/>
        <v>—</v>
      </c>
      <c r="N89" s="21" t="str">
        <f>IF(OR($B89="",$G89="",$D89="Cancelled"),"—",IFERROR(IF(INDEX(Setup!$E$25:$E$36,MATCH($B89,Setup!$A$25:$A$36,0))=0,"—",INDEX(Setup!$E$25:$E$36,MATCH($B89,Setup!$A$25:$A$36,0))),"—"))</f>
        <v>—</v>
      </c>
      <c r="O89" s="21" t="str">
        <f>IF(OR($B89="",$G89="",$D89="Cancelled"),"—",IFERROR(IF(INDEX(Setup!$F$25:$F$36,MATCH($B89,Setup!$A$25:$A$36,0))=0,"—",INDEX(Setup!$F$25:$F$36,MATCH($B89,Setup!$A$25:$A$36,0))),"—"))</f>
        <v>—</v>
      </c>
      <c r="P89" s="21" t="str">
        <f>IF(OR($B89="",$G89="",$D89="Cancelled",$D89="Owner block"),"—",IF(IFERROR(INDEX(Setup!$G$25:$G$36,MATCH($B89,Setup!$A$25:$A$36,0)),0)+IFERROR(INDEX(Setup!$H$25:$H$36,MATCH($B89,Setup!$A$25:$A$36,0)),0)*IF(ISNUMBER($H89),$H89,0)=0,"—",ROUND(IFERROR(INDEX(Setup!$G$25:$G$36,MATCH($B89,Setup!$A$25:$A$36,0)),0)+IFERROR(INDEX(Setup!$H$25:$H$36,MATCH($B89,Setup!$A$25:$A$36,0)),0)*IF(ISNUMBER($H89),$H89,0),2)))</f>
        <v>—</v>
      </c>
      <c r="Q89" s="21" t="str">
        <f t="shared" si="7"/>
        <v>—</v>
      </c>
      <c r="R89" s="21" t="str">
        <f t="shared" si="8"/>
        <v>—</v>
      </c>
      <c r="S89" s="3"/>
      <c r="T89" s="19" t="str">
        <f ca="1">IF(OR(NOT(ISNUMBER($F89)),NOT(ISNUMBER($G89)),NOT(ISNUMBER(Dashboard!$P$2)),NOT(ISNUMBER(Dashboard!$P$3)),$D89="Cancelled",$D89="Owner block"),"—",IF(MAX(0,MIN($G89,Dashboard!$P$3+1)-MAX($F89,Dashboard!$P$2))=0,"—",MAX(0,MIN($G89,Dashboard!$P$3+1)-MAX($F89,Dashboard!$P$2))))</f>
        <v>—</v>
      </c>
      <c r="U89" s="19" t="str">
        <f ca="1">IF(OR(NOT(ISNUMBER($F89)),NOT(ISNUMBER($G89)),NOT(ISNUMBER(Dashboard!$P$2)),NOT(ISNUMBER(Dashboard!$P$3)),$D89&lt;&gt;"Owner block"),"—",IF(MAX(0,MIN($G89,Dashboard!$P$3+1)-MAX($F89,Dashboard!$P$2))=0,"—",MAX(0,MIN($G89,Dashboard!$P$3+1)-MAX($F89,Dashboard!$P$2))))</f>
        <v>—</v>
      </c>
      <c r="V89" s="7" t="str">
        <f>IF($B89="",IF(COUNTA($C89:$G89,$I89:$K89,$S89)=0,"","⚠ no property — not counted"),IF(COUNTIF(Setup!$A$25:$A$36,$B89)=0,"⚠ property not in Setup",IF(AND($F89&lt;&gt;"",NOT(ISNUMBER($F89))),"⚠ check-in is not a real date",IF(AND($G89&lt;&gt;"",NOT(ISNUMBER($G89))),"⚠ check-out is not a real date",IF(AND($J89&lt;&gt;"",NOT(ISNUMBER($J89))),"⚠ booking value is not a number","OK")))))</f>
        <v/>
      </c>
      <c r="W89" s="21" t="str">
        <f t="shared" si="9"/>
        <v>—</v>
      </c>
    </row>
    <row r="90" spans="1:23" x14ac:dyDescent="0.2">
      <c r="A90" s="30">
        <v>86</v>
      </c>
      <c r="B90" s="8"/>
      <c r="C90" s="8"/>
      <c r="D90" s="8"/>
      <c r="E90" s="8"/>
      <c r="F90" s="34"/>
      <c r="G90" s="34"/>
      <c r="H90" s="19" t="str">
        <f t="shared" si="5"/>
        <v>—</v>
      </c>
      <c r="I90" s="35"/>
      <c r="J90" s="11"/>
      <c r="K90" s="36"/>
      <c r="L90" s="21" t="str">
        <f>IF(OR($B90="",NOT(ISNUMBER($J90)),$D90="Cancelled",$D90="Owner block"),"—",ROUND($J90*IF(ISNUMBER($K90),IF($K90&gt;1,$K90/100,$K90),IF(IFERROR(INDEX(Setup!$D$25:$D$36,MATCH($B90,Setup!$A$25:$A$36,0)),0)&gt;1,IFERROR(INDEX(Setup!$D$25:$D$36,MATCH($B90,Setup!$A$25:$A$36,0)),0)/100,IFERROR(INDEX(Setup!$D$25:$D$36,MATCH($B90,Setup!$A$25:$A$36,0)),0))),2))</f>
        <v>—</v>
      </c>
      <c r="M90" s="21" t="str">
        <f t="shared" si="6"/>
        <v>—</v>
      </c>
      <c r="N90" s="21" t="str">
        <f>IF(OR($B90="",$G90="",$D90="Cancelled"),"—",IFERROR(IF(INDEX(Setup!$E$25:$E$36,MATCH($B90,Setup!$A$25:$A$36,0))=0,"—",INDEX(Setup!$E$25:$E$36,MATCH($B90,Setup!$A$25:$A$36,0))),"—"))</f>
        <v>—</v>
      </c>
      <c r="O90" s="21" t="str">
        <f>IF(OR($B90="",$G90="",$D90="Cancelled"),"—",IFERROR(IF(INDEX(Setup!$F$25:$F$36,MATCH($B90,Setup!$A$25:$A$36,0))=0,"—",INDEX(Setup!$F$25:$F$36,MATCH($B90,Setup!$A$25:$A$36,0))),"—"))</f>
        <v>—</v>
      </c>
      <c r="P90" s="21" t="str">
        <f>IF(OR($B90="",$G90="",$D90="Cancelled",$D90="Owner block"),"—",IF(IFERROR(INDEX(Setup!$G$25:$G$36,MATCH($B90,Setup!$A$25:$A$36,0)),0)+IFERROR(INDEX(Setup!$H$25:$H$36,MATCH($B90,Setup!$A$25:$A$36,0)),0)*IF(ISNUMBER($H90),$H90,0)=0,"—",ROUND(IFERROR(INDEX(Setup!$G$25:$G$36,MATCH($B90,Setup!$A$25:$A$36,0)),0)+IFERROR(INDEX(Setup!$H$25:$H$36,MATCH($B90,Setup!$A$25:$A$36,0)),0)*IF(ISNUMBER($H90),$H90,0),2)))</f>
        <v>—</v>
      </c>
      <c r="Q90" s="21" t="str">
        <f t="shared" si="7"/>
        <v>—</v>
      </c>
      <c r="R90" s="21" t="str">
        <f t="shared" si="8"/>
        <v>—</v>
      </c>
      <c r="S90" s="8"/>
      <c r="T90" s="19" t="str">
        <f ca="1">IF(OR(NOT(ISNUMBER($F90)),NOT(ISNUMBER($G90)),NOT(ISNUMBER(Dashboard!$P$2)),NOT(ISNUMBER(Dashboard!$P$3)),$D90="Cancelled",$D90="Owner block"),"—",IF(MAX(0,MIN($G90,Dashboard!$P$3+1)-MAX($F90,Dashboard!$P$2))=0,"—",MAX(0,MIN($G90,Dashboard!$P$3+1)-MAX($F90,Dashboard!$P$2))))</f>
        <v>—</v>
      </c>
      <c r="U90" s="19" t="str">
        <f ca="1">IF(OR(NOT(ISNUMBER($F90)),NOT(ISNUMBER($G90)),NOT(ISNUMBER(Dashboard!$P$2)),NOT(ISNUMBER(Dashboard!$P$3)),$D90&lt;&gt;"Owner block"),"—",IF(MAX(0,MIN($G90,Dashboard!$P$3+1)-MAX($F90,Dashboard!$P$2))=0,"—",MAX(0,MIN($G90,Dashboard!$P$3+1)-MAX($F90,Dashboard!$P$2))))</f>
        <v>—</v>
      </c>
      <c r="V90" s="7" t="str">
        <f>IF($B90="",IF(COUNTA($C90:$G90,$I90:$K90,$S90)=0,"","⚠ no property — not counted"),IF(COUNTIF(Setup!$A$25:$A$36,$B90)=0,"⚠ property not in Setup",IF(AND($F90&lt;&gt;"",NOT(ISNUMBER($F90))),"⚠ check-in is not a real date",IF(AND($G90&lt;&gt;"",NOT(ISNUMBER($G90))),"⚠ check-out is not a real date",IF(AND($J90&lt;&gt;"",NOT(ISNUMBER($J90))),"⚠ booking value is not a number","OK")))))</f>
        <v/>
      </c>
      <c r="W90" s="21" t="str">
        <f t="shared" si="9"/>
        <v>—</v>
      </c>
    </row>
    <row r="91" spans="1:23" x14ac:dyDescent="0.2">
      <c r="A91" s="30">
        <v>87</v>
      </c>
      <c r="B91" s="3"/>
      <c r="C91" s="3"/>
      <c r="D91" s="3"/>
      <c r="E91" s="3"/>
      <c r="F91" s="31"/>
      <c r="G91" s="31"/>
      <c r="H91" s="19" t="str">
        <f t="shared" si="5"/>
        <v>—</v>
      </c>
      <c r="I91" s="32"/>
      <c r="J91" s="6"/>
      <c r="K91" s="33"/>
      <c r="L91" s="21" t="str">
        <f>IF(OR($B91="",NOT(ISNUMBER($J91)),$D91="Cancelled",$D91="Owner block"),"—",ROUND($J91*IF(ISNUMBER($K91),IF($K91&gt;1,$K91/100,$K91),IF(IFERROR(INDEX(Setup!$D$25:$D$36,MATCH($B91,Setup!$A$25:$A$36,0)),0)&gt;1,IFERROR(INDEX(Setup!$D$25:$D$36,MATCH($B91,Setup!$A$25:$A$36,0)),0)/100,IFERROR(INDEX(Setup!$D$25:$D$36,MATCH($B91,Setup!$A$25:$A$36,0)),0))),2))</f>
        <v>—</v>
      </c>
      <c r="M91" s="21" t="str">
        <f t="shared" si="6"/>
        <v>—</v>
      </c>
      <c r="N91" s="21" t="str">
        <f>IF(OR($B91="",$G91="",$D91="Cancelled"),"—",IFERROR(IF(INDEX(Setup!$E$25:$E$36,MATCH($B91,Setup!$A$25:$A$36,0))=0,"—",INDEX(Setup!$E$25:$E$36,MATCH($B91,Setup!$A$25:$A$36,0))),"—"))</f>
        <v>—</v>
      </c>
      <c r="O91" s="21" t="str">
        <f>IF(OR($B91="",$G91="",$D91="Cancelled"),"—",IFERROR(IF(INDEX(Setup!$F$25:$F$36,MATCH($B91,Setup!$A$25:$A$36,0))=0,"—",INDEX(Setup!$F$25:$F$36,MATCH($B91,Setup!$A$25:$A$36,0))),"—"))</f>
        <v>—</v>
      </c>
      <c r="P91" s="21" t="str">
        <f>IF(OR($B91="",$G91="",$D91="Cancelled",$D91="Owner block"),"—",IF(IFERROR(INDEX(Setup!$G$25:$G$36,MATCH($B91,Setup!$A$25:$A$36,0)),0)+IFERROR(INDEX(Setup!$H$25:$H$36,MATCH($B91,Setup!$A$25:$A$36,0)),0)*IF(ISNUMBER($H91),$H91,0)=0,"—",ROUND(IFERROR(INDEX(Setup!$G$25:$G$36,MATCH($B91,Setup!$A$25:$A$36,0)),0)+IFERROR(INDEX(Setup!$H$25:$H$36,MATCH($B91,Setup!$A$25:$A$36,0)),0)*IF(ISNUMBER($H91),$H91,0),2)))</f>
        <v>—</v>
      </c>
      <c r="Q91" s="21" t="str">
        <f t="shared" si="7"/>
        <v>—</v>
      </c>
      <c r="R91" s="21" t="str">
        <f t="shared" si="8"/>
        <v>—</v>
      </c>
      <c r="S91" s="3"/>
      <c r="T91" s="19" t="str">
        <f ca="1">IF(OR(NOT(ISNUMBER($F91)),NOT(ISNUMBER($G91)),NOT(ISNUMBER(Dashboard!$P$2)),NOT(ISNUMBER(Dashboard!$P$3)),$D91="Cancelled",$D91="Owner block"),"—",IF(MAX(0,MIN($G91,Dashboard!$P$3+1)-MAX($F91,Dashboard!$P$2))=0,"—",MAX(0,MIN($G91,Dashboard!$P$3+1)-MAX($F91,Dashboard!$P$2))))</f>
        <v>—</v>
      </c>
      <c r="U91" s="19" t="str">
        <f ca="1">IF(OR(NOT(ISNUMBER($F91)),NOT(ISNUMBER($G91)),NOT(ISNUMBER(Dashboard!$P$2)),NOT(ISNUMBER(Dashboard!$P$3)),$D91&lt;&gt;"Owner block"),"—",IF(MAX(0,MIN($G91,Dashboard!$P$3+1)-MAX($F91,Dashboard!$P$2))=0,"—",MAX(0,MIN($G91,Dashboard!$P$3+1)-MAX($F91,Dashboard!$P$2))))</f>
        <v>—</v>
      </c>
      <c r="V91" s="7" t="str">
        <f>IF($B91="",IF(COUNTA($C91:$G91,$I91:$K91,$S91)=0,"","⚠ no property — not counted"),IF(COUNTIF(Setup!$A$25:$A$36,$B91)=0,"⚠ property not in Setup",IF(AND($F91&lt;&gt;"",NOT(ISNUMBER($F91))),"⚠ check-in is not a real date",IF(AND($G91&lt;&gt;"",NOT(ISNUMBER($G91))),"⚠ check-out is not a real date",IF(AND($J91&lt;&gt;"",NOT(ISNUMBER($J91))),"⚠ booking value is not a number","OK")))))</f>
        <v/>
      </c>
      <c r="W91" s="21" t="str">
        <f t="shared" si="9"/>
        <v>—</v>
      </c>
    </row>
    <row r="92" spans="1:23" x14ac:dyDescent="0.2">
      <c r="A92" s="30">
        <v>88</v>
      </c>
      <c r="B92" s="8"/>
      <c r="C92" s="8"/>
      <c r="D92" s="8"/>
      <c r="E92" s="8"/>
      <c r="F92" s="34"/>
      <c r="G92" s="34"/>
      <c r="H92" s="19" t="str">
        <f t="shared" si="5"/>
        <v>—</v>
      </c>
      <c r="I92" s="35"/>
      <c r="J92" s="11"/>
      <c r="K92" s="36"/>
      <c r="L92" s="21" t="str">
        <f>IF(OR($B92="",NOT(ISNUMBER($J92)),$D92="Cancelled",$D92="Owner block"),"—",ROUND($J92*IF(ISNUMBER($K92),IF($K92&gt;1,$K92/100,$K92),IF(IFERROR(INDEX(Setup!$D$25:$D$36,MATCH($B92,Setup!$A$25:$A$36,0)),0)&gt;1,IFERROR(INDEX(Setup!$D$25:$D$36,MATCH($B92,Setup!$A$25:$A$36,0)),0)/100,IFERROR(INDEX(Setup!$D$25:$D$36,MATCH($B92,Setup!$A$25:$A$36,0)),0))),2))</f>
        <v>—</v>
      </c>
      <c r="M92" s="21" t="str">
        <f t="shared" si="6"/>
        <v>—</v>
      </c>
      <c r="N92" s="21" t="str">
        <f>IF(OR($B92="",$G92="",$D92="Cancelled"),"—",IFERROR(IF(INDEX(Setup!$E$25:$E$36,MATCH($B92,Setup!$A$25:$A$36,0))=0,"—",INDEX(Setup!$E$25:$E$36,MATCH($B92,Setup!$A$25:$A$36,0))),"—"))</f>
        <v>—</v>
      </c>
      <c r="O92" s="21" t="str">
        <f>IF(OR($B92="",$G92="",$D92="Cancelled"),"—",IFERROR(IF(INDEX(Setup!$F$25:$F$36,MATCH($B92,Setup!$A$25:$A$36,0))=0,"—",INDEX(Setup!$F$25:$F$36,MATCH($B92,Setup!$A$25:$A$36,0))),"—"))</f>
        <v>—</v>
      </c>
      <c r="P92" s="21" t="str">
        <f>IF(OR($B92="",$G92="",$D92="Cancelled",$D92="Owner block"),"—",IF(IFERROR(INDEX(Setup!$G$25:$G$36,MATCH($B92,Setup!$A$25:$A$36,0)),0)+IFERROR(INDEX(Setup!$H$25:$H$36,MATCH($B92,Setup!$A$25:$A$36,0)),0)*IF(ISNUMBER($H92),$H92,0)=0,"—",ROUND(IFERROR(INDEX(Setup!$G$25:$G$36,MATCH($B92,Setup!$A$25:$A$36,0)),0)+IFERROR(INDEX(Setup!$H$25:$H$36,MATCH($B92,Setup!$A$25:$A$36,0)),0)*IF(ISNUMBER($H92),$H92,0),2)))</f>
        <v>—</v>
      </c>
      <c r="Q92" s="21" t="str">
        <f t="shared" si="7"/>
        <v>—</v>
      </c>
      <c r="R92" s="21" t="str">
        <f t="shared" si="8"/>
        <v>—</v>
      </c>
      <c r="S92" s="8"/>
      <c r="T92" s="19" t="str">
        <f ca="1">IF(OR(NOT(ISNUMBER($F92)),NOT(ISNUMBER($G92)),NOT(ISNUMBER(Dashboard!$P$2)),NOT(ISNUMBER(Dashboard!$P$3)),$D92="Cancelled",$D92="Owner block"),"—",IF(MAX(0,MIN($G92,Dashboard!$P$3+1)-MAX($F92,Dashboard!$P$2))=0,"—",MAX(0,MIN($G92,Dashboard!$P$3+1)-MAX($F92,Dashboard!$P$2))))</f>
        <v>—</v>
      </c>
      <c r="U92" s="19" t="str">
        <f ca="1">IF(OR(NOT(ISNUMBER($F92)),NOT(ISNUMBER($G92)),NOT(ISNUMBER(Dashboard!$P$2)),NOT(ISNUMBER(Dashboard!$P$3)),$D92&lt;&gt;"Owner block"),"—",IF(MAX(0,MIN($G92,Dashboard!$P$3+1)-MAX($F92,Dashboard!$P$2))=0,"—",MAX(0,MIN($G92,Dashboard!$P$3+1)-MAX($F92,Dashboard!$P$2))))</f>
        <v>—</v>
      </c>
      <c r="V92" s="7" t="str">
        <f>IF($B92="",IF(COUNTA($C92:$G92,$I92:$K92,$S92)=0,"","⚠ no property — not counted"),IF(COUNTIF(Setup!$A$25:$A$36,$B92)=0,"⚠ property not in Setup",IF(AND($F92&lt;&gt;"",NOT(ISNUMBER($F92))),"⚠ check-in is not a real date",IF(AND($G92&lt;&gt;"",NOT(ISNUMBER($G92))),"⚠ check-out is not a real date",IF(AND($J92&lt;&gt;"",NOT(ISNUMBER($J92))),"⚠ booking value is not a number","OK")))))</f>
        <v/>
      </c>
      <c r="W92" s="21" t="str">
        <f t="shared" si="9"/>
        <v>—</v>
      </c>
    </row>
    <row r="93" spans="1:23" x14ac:dyDescent="0.2">
      <c r="A93" s="30">
        <v>89</v>
      </c>
      <c r="B93" s="3"/>
      <c r="C93" s="3"/>
      <c r="D93" s="3"/>
      <c r="E93" s="3"/>
      <c r="F93" s="31"/>
      <c r="G93" s="31"/>
      <c r="H93" s="19" t="str">
        <f t="shared" si="5"/>
        <v>—</v>
      </c>
      <c r="I93" s="32"/>
      <c r="J93" s="6"/>
      <c r="K93" s="33"/>
      <c r="L93" s="21" t="str">
        <f>IF(OR($B93="",NOT(ISNUMBER($J93)),$D93="Cancelled",$D93="Owner block"),"—",ROUND($J93*IF(ISNUMBER($K93),IF($K93&gt;1,$K93/100,$K93),IF(IFERROR(INDEX(Setup!$D$25:$D$36,MATCH($B93,Setup!$A$25:$A$36,0)),0)&gt;1,IFERROR(INDEX(Setup!$D$25:$D$36,MATCH($B93,Setup!$A$25:$A$36,0)),0)/100,IFERROR(INDEX(Setup!$D$25:$D$36,MATCH($B93,Setup!$A$25:$A$36,0)),0))),2))</f>
        <v>—</v>
      </c>
      <c r="M93" s="21" t="str">
        <f t="shared" si="6"/>
        <v>—</v>
      </c>
      <c r="N93" s="21" t="str">
        <f>IF(OR($B93="",$G93="",$D93="Cancelled"),"—",IFERROR(IF(INDEX(Setup!$E$25:$E$36,MATCH($B93,Setup!$A$25:$A$36,0))=0,"—",INDEX(Setup!$E$25:$E$36,MATCH($B93,Setup!$A$25:$A$36,0))),"—"))</f>
        <v>—</v>
      </c>
      <c r="O93" s="21" t="str">
        <f>IF(OR($B93="",$G93="",$D93="Cancelled"),"—",IFERROR(IF(INDEX(Setup!$F$25:$F$36,MATCH($B93,Setup!$A$25:$A$36,0))=0,"—",INDEX(Setup!$F$25:$F$36,MATCH($B93,Setup!$A$25:$A$36,0))),"—"))</f>
        <v>—</v>
      </c>
      <c r="P93" s="21" t="str">
        <f>IF(OR($B93="",$G93="",$D93="Cancelled",$D93="Owner block"),"—",IF(IFERROR(INDEX(Setup!$G$25:$G$36,MATCH($B93,Setup!$A$25:$A$36,0)),0)+IFERROR(INDEX(Setup!$H$25:$H$36,MATCH($B93,Setup!$A$25:$A$36,0)),0)*IF(ISNUMBER($H93),$H93,0)=0,"—",ROUND(IFERROR(INDEX(Setup!$G$25:$G$36,MATCH($B93,Setup!$A$25:$A$36,0)),0)+IFERROR(INDEX(Setup!$H$25:$H$36,MATCH($B93,Setup!$A$25:$A$36,0)),0)*IF(ISNUMBER($H93),$H93,0),2)))</f>
        <v>—</v>
      </c>
      <c r="Q93" s="21" t="str">
        <f t="shared" si="7"/>
        <v>—</v>
      </c>
      <c r="R93" s="21" t="str">
        <f t="shared" si="8"/>
        <v>—</v>
      </c>
      <c r="S93" s="3"/>
      <c r="T93" s="19" t="str">
        <f ca="1">IF(OR(NOT(ISNUMBER($F93)),NOT(ISNUMBER($G93)),NOT(ISNUMBER(Dashboard!$P$2)),NOT(ISNUMBER(Dashboard!$P$3)),$D93="Cancelled",$D93="Owner block"),"—",IF(MAX(0,MIN($G93,Dashboard!$P$3+1)-MAX($F93,Dashboard!$P$2))=0,"—",MAX(0,MIN($G93,Dashboard!$P$3+1)-MAX($F93,Dashboard!$P$2))))</f>
        <v>—</v>
      </c>
      <c r="U93" s="19" t="str">
        <f ca="1">IF(OR(NOT(ISNUMBER($F93)),NOT(ISNUMBER($G93)),NOT(ISNUMBER(Dashboard!$P$2)),NOT(ISNUMBER(Dashboard!$P$3)),$D93&lt;&gt;"Owner block"),"—",IF(MAX(0,MIN($G93,Dashboard!$P$3+1)-MAX($F93,Dashboard!$P$2))=0,"—",MAX(0,MIN($G93,Dashboard!$P$3+1)-MAX($F93,Dashboard!$P$2))))</f>
        <v>—</v>
      </c>
      <c r="V93" s="7" t="str">
        <f>IF($B93="",IF(COUNTA($C93:$G93,$I93:$K93,$S93)=0,"","⚠ no property — not counted"),IF(COUNTIF(Setup!$A$25:$A$36,$B93)=0,"⚠ property not in Setup",IF(AND($F93&lt;&gt;"",NOT(ISNUMBER($F93))),"⚠ check-in is not a real date",IF(AND($G93&lt;&gt;"",NOT(ISNUMBER($G93))),"⚠ check-out is not a real date",IF(AND($J93&lt;&gt;"",NOT(ISNUMBER($J93))),"⚠ booking value is not a number","OK")))))</f>
        <v/>
      </c>
      <c r="W93" s="21" t="str">
        <f t="shared" si="9"/>
        <v>—</v>
      </c>
    </row>
    <row r="94" spans="1:23" x14ac:dyDescent="0.2">
      <c r="A94" s="30">
        <v>90</v>
      </c>
      <c r="B94" s="8"/>
      <c r="C94" s="8"/>
      <c r="D94" s="8"/>
      <c r="E94" s="8"/>
      <c r="F94" s="34"/>
      <c r="G94" s="34"/>
      <c r="H94" s="19" t="str">
        <f t="shared" si="5"/>
        <v>—</v>
      </c>
      <c r="I94" s="35"/>
      <c r="J94" s="11"/>
      <c r="K94" s="36"/>
      <c r="L94" s="21" t="str">
        <f>IF(OR($B94="",NOT(ISNUMBER($J94)),$D94="Cancelled",$D94="Owner block"),"—",ROUND($J94*IF(ISNUMBER($K94),IF($K94&gt;1,$K94/100,$K94),IF(IFERROR(INDEX(Setup!$D$25:$D$36,MATCH($B94,Setup!$A$25:$A$36,0)),0)&gt;1,IFERROR(INDEX(Setup!$D$25:$D$36,MATCH($B94,Setup!$A$25:$A$36,0)),0)/100,IFERROR(INDEX(Setup!$D$25:$D$36,MATCH($B94,Setup!$A$25:$A$36,0)),0))),2))</f>
        <v>—</v>
      </c>
      <c r="M94" s="21" t="str">
        <f t="shared" si="6"/>
        <v>—</v>
      </c>
      <c r="N94" s="21" t="str">
        <f>IF(OR($B94="",$G94="",$D94="Cancelled"),"—",IFERROR(IF(INDEX(Setup!$E$25:$E$36,MATCH($B94,Setup!$A$25:$A$36,0))=0,"—",INDEX(Setup!$E$25:$E$36,MATCH($B94,Setup!$A$25:$A$36,0))),"—"))</f>
        <v>—</v>
      </c>
      <c r="O94" s="21" t="str">
        <f>IF(OR($B94="",$G94="",$D94="Cancelled"),"—",IFERROR(IF(INDEX(Setup!$F$25:$F$36,MATCH($B94,Setup!$A$25:$A$36,0))=0,"—",INDEX(Setup!$F$25:$F$36,MATCH($B94,Setup!$A$25:$A$36,0))),"—"))</f>
        <v>—</v>
      </c>
      <c r="P94" s="21" t="str">
        <f>IF(OR($B94="",$G94="",$D94="Cancelled",$D94="Owner block"),"—",IF(IFERROR(INDEX(Setup!$G$25:$G$36,MATCH($B94,Setup!$A$25:$A$36,0)),0)+IFERROR(INDEX(Setup!$H$25:$H$36,MATCH($B94,Setup!$A$25:$A$36,0)),0)*IF(ISNUMBER($H94),$H94,0)=0,"—",ROUND(IFERROR(INDEX(Setup!$G$25:$G$36,MATCH($B94,Setup!$A$25:$A$36,0)),0)+IFERROR(INDEX(Setup!$H$25:$H$36,MATCH($B94,Setup!$A$25:$A$36,0)),0)*IF(ISNUMBER($H94),$H94,0),2)))</f>
        <v>—</v>
      </c>
      <c r="Q94" s="21" t="str">
        <f t="shared" si="7"/>
        <v>—</v>
      </c>
      <c r="R94" s="21" t="str">
        <f t="shared" si="8"/>
        <v>—</v>
      </c>
      <c r="S94" s="8"/>
      <c r="T94" s="19" t="str">
        <f ca="1">IF(OR(NOT(ISNUMBER($F94)),NOT(ISNUMBER($G94)),NOT(ISNUMBER(Dashboard!$P$2)),NOT(ISNUMBER(Dashboard!$P$3)),$D94="Cancelled",$D94="Owner block"),"—",IF(MAX(0,MIN($G94,Dashboard!$P$3+1)-MAX($F94,Dashboard!$P$2))=0,"—",MAX(0,MIN($G94,Dashboard!$P$3+1)-MAX($F94,Dashboard!$P$2))))</f>
        <v>—</v>
      </c>
      <c r="U94" s="19" t="str">
        <f ca="1">IF(OR(NOT(ISNUMBER($F94)),NOT(ISNUMBER($G94)),NOT(ISNUMBER(Dashboard!$P$2)),NOT(ISNUMBER(Dashboard!$P$3)),$D94&lt;&gt;"Owner block"),"—",IF(MAX(0,MIN($G94,Dashboard!$P$3+1)-MAX($F94,Dashboard!$P$2))=0,"—",MAX(0,MIN($G94,Dashboard!$P$3+1)-MAX($F94,Dashboard!$P$2))))</f>
        <v>—</v>
      </c>
      <c r="V94" s="7" t="str">
        <f>IF($B94="",IF(COUNTA($C94:$G94,$I94:$K94,$S94)=0,"","⚠ no property — not counted"),IF(COUNTIF(Setup!$A$25:$A$36,$B94)=0,"⚠ property not in Setup",IF(AND($F94&lt;&gt;"",NOT(ISNUMBER($F94))),"⚠ check-in is not a real date",IF(AND($G94&lt;&gt;"",NOT(ISNUMBER($G94))),"⚠ check-out is not a real date",IF(AND($J94&lt;&gt;"",NOT(ISNUMBER($J94))),"⚠ booking value is not a number","OK")))))</f>
        <v/>
      </c>
      <c r="W94" s="21" t="str">
        <f t="shared" si="9"/>
        <v>—</v>
      </c>
    </row>
    <row r="95" spans="1:23" x14ac:dyDescent="0.2">
      <c r="A95" s="30">
        <v>91</v>
      </c>
      <c r="B95" s="3"/>
      <c r="C95" s="3"/>
      <c r="D95" s="3"/>
      <c r="E95" s="3"/>
      <c r="F95" s="31"/>
      <c r="G95" s="31"/>
      <c r="H95" s="19" t="str">
        <f t="shared" si="5"/>
        <v>—</v>
      </c>
      <c r="I95" s="32"/>
      <c r="J95" s="6"/>
      <c r="K95" s="33"/>
      <c r="L95" s="21" t="str">
        <f>IF(OR($B95="",NOT(ISNUMBER($J95)),$D95="Cancelled",$D95="Owner block"),"—",ROUND($J95*IF(ISNUMBER($K95),IF($K95&gt;1,$K95/100,$K95),IF(IFERROR(INDEX(Setup!$D$25:$D$36,MATCH($B95,Setup!$A$25:$A$36,0)),0)&gt;1,IFERROR(INDEX(Setup!$D$25:$D$36,MATCH($B95,Setup!$A$25:$A$36,0)),0)/100,IFERROR(INDEX(Setup!$D$25:$D$36,MATCH($B95,Setup!$A$25:$A$36,0)),0))),2))</f>
        <v>—</v>
      </c>
      <c r="M95" s="21" t="str">
        <f t="shared" si="6"/>
        <v>—</v>
      </c>
      <c r="N95" s="21" t="str">
        <f>IF(OR($B95="",$G95="",$D95="Cancelled"),"—",IFERROR(IF(INDEX(Setup!$E$25:$E$36,MATCH($B95,Setup!$A$25:$A$36,0))=0,"—",INDEX(Setup!$E$25:$E$36,MATCH($B95,Setup!$A$25:$A$36,0))),"—"))</f>
        <v>—</v>
      </c>
      <c r="O95" s="21" t="str">
        <f>IF(OR($B95="",$G95="",$D95="Cancelled"),"—",IFERROR(IF(INDEX(Setup!$F$25:$F$36,MATCH($B95,Setup!$A$25:$A$36,0))=0,"—",INDEX(Setup!$F$25:$F$36,MATCH($B95,Setup!$A$25:$A$36,0))),"—"))</f>
        <v>—</v>
      </c>
      <c r="P95" s="21" t="str">
        <f>IF(OR($B95="",$G95="",$D95="Cancelled",$D95="Owner block"),"—",IF(IFERROR(INDEX(Setup!$G$25:$G$36,MATCH($B95,Setup!$A$25:$A$36,0)),0)+IFERROR(INDEX(Setup!$H$25:$H$36,MATCH($B95,Setup!$A$25:$A$36,0)),0)*IF(ISNUMBER($H95),$H95,0)=0,"—",ROUND(IFERROR(INDEX(Setup!$G$25:$G$36,MATCH($B95,Setup!$A$25:$A$36,0)),0)+IFERROR(INDEX(Setup!$H$25:$H$36,MATCH($B95,Setup!$A$25:$A$36,0)),0)*IF(ISNUMBER($H95),$H95,0),2)))</f>
        <v>—</v>
      </c>
      <c r="Q95" s="21" t="str">
        <f t="shared" si="7"/>
        <v>—</v>
      </c>
      <c r="R95" s="21" t="str">
        <f t="shared" si="8"/>
        <v>—</v>
      </c>
      <c r="S95" s="3"/>
      <c r="T95" s="19" t="str">
        <f ca="1">IF(OR(NOT(ISNUMBER($F95)),NOT(ISNUMBER($G95)),NOT(ISNUMBER(Dashboard!$P$2)),NOT(ISNUMBER(Dashboard!$P$3)),$D95="Cancelled",$D95="Owner block"),"—",IF(MAX(0,MIN($G95,Dashboard!$P$3+1)-MAX($F95,Dashboard!$P$2))=0,"—",MAX(0,MIN($G95,Dashboard!$P$3+1)-MAX($F95,Dashboard!$P$2))))</f>
        <v>—</v>
      </c>
      <c r="U95" s="19" t="str">
        <f ca="1">IF(OR(NOT(ISNUMBER($F95)),NOT(ISNUMBER($G95)),NOT(ISNUMBER(Dashboard!$P$2)),NOT(ISNUMBER(Dashboard!$P$3)),$D95&lt;&gt;"Owner block"),"—",IF(MAX(0,MIN($G95,Dashboard!$P$3+1)-MAX($F95,Dashboard!$P$2))=0,"—",MAX(0,MIN($G95,Dashboard!$P$3+1)-MAX($F95,Dashboard!$P$2))))</f>
        <v>—</v>
      </c>
      <c r="V95" s="7" t="str">
        <f>IF($B95="",IF(COUNTA($C95:$G95,$I95:$K95,$S95)=0,"","⚠ no property — not counted"),IF(COUNTIF(Setup!$A$25:$A$36,$B95)=0,"⚠ property not in Setup",IF(AND($F95&lt;&gt;"",NOT(ISNUMBER($F95))),"⚠ check-in is not a real date",IF(AND($G95&lt;&gt;"",NOT(ISNUMBER($G95))),"⚠ check-out is not a real date",IF(AND($J95&lt;&gt;"",NOT(ISNUMBER($J95))),"⚠ booking value is not a number","OK")))))</f>
        <v/>
      </c>
      <c r="W95" s="21" t="str">
        <f t="shared" si="9"/>
        <v>—</v>
      </c>
    </row>
    <row r="96" spans="1:23" x14ac:dyDescent="0.2">
      <c r="A96" s="30">
        <v>92</v>
      </c>
      <c r="B96" s="8"/>
      <c r="C96" s="8"/>
      <c r="D96" s="8"/>
      <c r="E96" s="8"/>
      <c r="F96" s="34"/>
      <c r="G96" s="34"/>
      <c r="H96" s="19" t="str">
        <f t="shared" si="5"/>
        <v>—</v>
      </c>
      <c r="I96" s="35"/>
      <c r="J96" s="11"/>
      <c r="K96" s="36"/>
      <c r="L96" s="21" t="str">
        <f>IF(OR($B96="",NOT(ISNUMBER($J96)),$D96="Cancelled",$D96="Owner block"),"—",ROUND($J96*IF(ISNUMBER($K96),IF($K96&gt;1,$K96/100,$K96),IF(IFERROR(INDEX(Setup!$D$25:$D$36,MATCH($B96,Setup!$A$25:$A$36,0)),0)&gt;1,IFERROR(INDEX(Setup!$D$25:$D$36,MATCH($B96,Setup!$A$25:$A$36,0)),0)/100,IFERROR(INDEX(Setup!$D$25:$D$36,MATCH($B96,Setup!$A$25:$A$36,0)),0))),2))</f>
        <v>—</v>
      </c>
      <c r="M96" s="21" t="str">
        <f t="shared" si="6"/>
        <v>—</v>
      </c>
      <c r="N96" s="21" t="str">
        <f>IF(OR($B96="",$G96="",$D96="Cancelled"),"—",IFERROR(IF(INDEX(Setup!$E$25:$E$36,MATCH($B96,Setup!$A$25:$A$36,0))=0,"—",INDEX(Setup!$E$25:$E$36,MATCH($B96,Setup!$A$25:$A$36,0))),"—"))</f>
        <v>—</v>
      </c>
      <c r="O96" s="21" t="str">
        <f>IF(OR($B96="",$G96="",$D96="Cancelled"),"—",IFERROR(IF(INDEX(Setup!$F$25:$F$36,MATCH($B96,Setup!$A$25:$A$36,0))=0,"—",INDEX(Setup!$F$25:$F$36,MATCH($B96,Setup!$A$25:$A$36,0))),"—"))</f>
        <v>—</v>
      </c>
      <c r="P96" s="21" t="str">
        <f>IF(OR($B96="",$G96="",$D96="Cancelled",$D96="Owner block"),"—",IF(IFERROR(INDEX(Setup!$G$25:$G$36,MATCH($B96,Setup!$A$25:$A$36,0)),0)+IFERROR(INDEX(Setup!$H$25:$H$36,MATCH($B96,Setup!$A$25:$A$36,0)),0)*IF(ISNUMBER($H96),$H96,0)=0,"—",ROUND(IFERROR(INDEX(Setup!$G$25:$G$36,MATCH($B96,Setup!$A$25:$A$36,0)),0)+IFERROR(INDEX(Setup!$H$25:$H$36,MATCH($B96,Setup!$A$25:$A$36,0)),0)*IF(ISNUMBER($H96),$H96,0),2)))</f>
        <v>—</v>
      </c>
      <c r="Q96" s="21" t="str">
        <f t="shared" si="7"/>
        <v>—</v>
      </c>
      <c r="R96" s="21" t="str">
        <f t="shared" si="8"/>
        <v>—</v>
      </c>
      <c r="S96" s="8"/>
      <c r="T96" s="19" t="str">
        <f ca="1">IF(OR(NOT(ISNUMBER($F96)),NOT(ISNUMBER($G96)),NOT(ISNUMBER(Dashboard!$P$2)),NOT(ISNUMBER(Dashboard!$P$3)),$D96="Cancelled",$D96="Owner block"),"—",IF(MAX(0,MIN($G96,Dashboard!$P$3+1)-MAX($F96,Dashboard!$P$2))=0,"—",MAX(0,MIN($G96,Dashboard!$P$3+1)-MAX($F96,Dashboard!$P$2))))</f>
        <v>—</v>
      </c>
      <c r="U96" s="19" t="str">
        <f ca="1">IF(OR(NOT(ISNUMBER($F96)),NOT(ISNUMBER($G96)),NOT(ISNUMBER(Dashboard!$P$2)),NOT(ISNUMBER(Dashboard!$P$3)),$D96&lt;&gt;"Owner block"),"—",IF(MAX(0,MIN($G96,Dashboard!$P$3+1)-MAX($F96,Dashboard!$P$2))=0,"—",MAX(0,MIN($G96,Dashboard!$P$3+1)-MAX($F96,Dashboard!$P$2))))</f>
        <v>—</v>
      </c>
      <c r="V96" s="7" t="str">
        <f>IF($B96="",IF(COUNTA($C96:$G96,$I96:$K96,$S96)=0,"","⚠ no property — not counted"),IF(COUNTIF(Setup!$A$25:$A$36,$B96)=0,"⚠ property not in Setup",IF(AND($F96&lt;&gt;"",NOT(ISNUMBER($F96))),"⚠ check-in is not a real date",IF(AND($G96&lt;&gt;"",NOT(ISNUMBER($G96))),"⚠ check-out is not a real date",IF(AND($J96&lt;&gt;"",NOT(ISNUMBER($J96))),"⚠ booking value is not a number","OK")))))</f>
        <v/>
      </c>
      <c r="W96" s="21" t="str">
        <f t="shared" si="9"/>
        <v>—</v>
      </c>
    </row>
    <row r="97" spans="1:23" x14ac:dyDescent="0.2">
      <c r="A97" s="30">
        <v>93</v>
      </c>
      <c r="B97" s="3"/>
      <c r="C97" s="3"/>
      <c r="D97" s="3"/>
      <c r="E97" s="3"/>
      <c r="F97" s="31"/>
      <c r="G97" s="31"/>
      <c r="H97" s="19" t="str">
        <f t="shared" si="5"/>
        <v>—</v>
      </c>
      <c r="I97" s="32"/>
      <c r="J97" s="6"/>
      <c r="K97" s="33"/>
      <c r="L97" s="21" t="str">
        <f>IF(OR($B97="",NOT(ISNUMBER($J97)),$D97="Cancelled",$D97="Owner block"),"—",ROUND($J97*IF(ISNUMBER($K97),IF($K97&gt;1,$K97/100,$K97),IF(IFERROR(INDEX(Setup!$D$25:$D$36,MATCH($B97,Setup!$A$25:$A$36,0)),0)&gt;1,IFERROR(INDEX(Setup!$D$25:$D$36,MATCH($B97,Setup!$A$25:$A$36,0)),0)/100,IFERROR(INDEX(Setup!$D$25:$D$36,MATCH($B97,Setup!$A$25:$A$36,0)),0))),2))</f>
        <v>—</v>
      </c>
      <c r="M97" s="21" t="str">
        <f t="shared" si="6"/>
        <v>—</v>
      </c>
      <c r="N97" s="21" t="str">
        <f>IF(OR($B97="",$G97="",$D97="Cancelled"),"—",IFERROR(IF(INDEX(Setup!$E$25:$E$36,MATCH($B97,Setup!$A$25:$A$36,0))=0,"—",INDEX(Setup!$E$25:$E$36,MATCH($B97,Setup!$A$25:$A$36,0))),"—"))</f>
        <v>—</v>
      </c>
      <c r="O97" s="21" t="str">
        <f>IF(OR($B97="",$G97="",$D97="Cancelled"),"—",IFERROR(IF(INDEX(Setup!$F$25:$F$36,MATCH($B97,Setup!$A$25:$A$36,0))=0,"—",INDEX(Setup!$F$25:$F$36,MATCH($B97,Setup!$A$25:$A$36,0))),"—"))</f>
        <v>—</v>
      </c>
      <c r="P97" s="21" t="str">
        <f>IF(OR($B97="",$G97="",$D97="Cancelled",$D97="Owner block"),"—",IF(IFERROR(INDEX(Setup!$G$25:$G$36,MATCH($B97,Setup!$A$25:$A$36,0)),0)+IFERROR(INDEX(Setup!$H$25:$H$36,MATCH($B97,Setup!$A$25:$A$36,0)),0)*IF(ISNUMBER($H97),$H97,0)=0,"—",ROUND(IFERROR(INDEX(Setup!$G$25:$G$36,MATCH($B97,Setup!$A$25:$A$36,0)),0)+IFERROR(INDEX(Setup!$H$25:$H$36,MATCH($B97,Setup!$A$25:$A$36,0)),0)*IF(ISNUMBER($H97),$H97,0),2)))</f>
        <v>—</v>
      </c>
      <c r="Q97" s="21" t="str">
        <f t="shared" si="7"/>
        <v>—</v>
      </c>
      <c r="R97" s="21" t="str">
        <f t="shared" si="8"/>
        <v>—</v>
      </c>
      <c r="S97" s="3"/>
      <c r="T97" s="19" t="str">
        <f ca="1">IF(OR(NOT(ISNUMBER($F97)),NOT(ISNUMBER($G97)),NOT(ISNUMBER(Dashboard!$P$2)),NOT(ISNUMBER(Dashboard!$P$3)),$D97="Cancelled",$D97="Owner block"),"—",IF(MAX(0,MIN($G97,Dashboard!$P$3+1)-MAX($F97,Dashboard!$P$2))=0,"—",MAX(0,MIN($G97,Dashboard!$P$3+1)-MAX($F97,Dashboard!$P$2))))</f>
        <v>—</v>
      </c>
      <c r="U97" s="19" t="str">
        <f ca="1">IF(OR(NOT(ISNUMBER($F97)),NOT(ISNUMBER($G97)),NOT(ISNUMBER(Dashboard!$P$2)),NOT(ISNUMBER(Dashboard!$P$3)),$D97&lt;&gt;"Owner block"),"—",IF(MAX(0,MIN($G97,Dashboard!$P$3+1)-MAX($F97,Dashboard!$P$2))=0,"—",MAX(0,MIN($G97,Dashboard!$P$3+1)-MAX($F97,Dashboard!$P$2))))</f>
        <v>—</v>
      </c>
      <c r="V97" s="7" t="str">
        <f>IF($B97="",IF(COUNTA($C97:$G97,$I97:$K97,$S97)=0,"","⚠ no property — not counted"),IF(COUNTIF(Setup!$A$25:$A$36,$B97)=0,"⚠ property not in Setup",IF(AND($F97&lt;&gt;"",NOT(ISNUMBER($F97))),"⚠ check-in is not a real date",IF(AND($G97&lt;&gt;"",NOT(ISNUMBER($G97))),"⚠ check-out is not a real date",IF(AND($J97&lt;&gt;"",NOT(ISNUMBER($J97))),"⚠ booking value is not a number","OK")))))</f>
        <v/>
      </c>
      <c r="W97" s="21" t="str">
        <f t="shared" si="9"/>
        <v>—</v>
      </c>
    </row>
    <row r="98" spans="1:23" x14ac:dyDescent="0.2">
      <c r="A98" s="30">
        <v>94</v>
      </c>
      <c r="B98" s="8"/>
      <c r="C98" s="8"/>
      <c r="D98" s="8"/>
      <c r="E98" s="8"/>
      <c r="F98" s="34"/>
      <c r="G98" s="34"/>
      <c r="H98" s="19" t="str">
        <f t="shared" si="5"/>
        <v>—</v>
      </c>
      <c r="I98" s="35"/>
      <c r="J98" s="11"/>
      <c r="K98" s="36"/>
      <c r="L98" s="21" t="str">
        <f>IF(OR($B98="",NOT(ISNUMBER($J98)),$D98="Cancelled",$D98="Owner block"),"—",ROUND($J98*IF(ISNUMBER($K98),IF($K98&gt;1,$K98/100,$K98),IF(IFERROR(INDEX(Setup!$D$25:$D$36,MATCH($B98,Setup!$A$25:$A$36,0)),0)&gt;1,IFERROR(INDEX(Setup!$D$25:$D$36,MATCH($B98,Setup!$A$25:$A$36,0)),0)/100,IFERROR(INDEX(Setup!$D$25:$D$36,MATCH($B98,Setup!$A$25:$A$36,0)),0))),2))</f>
        <v>—</v>
      </c>
      <c r="M98" s="21" t="str">
        <f t="shared" si="6"/>
        <v>—</v>
      </c>
      <c r="N98" s="21" t="str">
        <f>IF(OR($B98="",$G98="",$D98="Cancelled"),"—",IFERROR(IF(INDEX(Setup!$E$25:$E$36,MATCH($B98,Setup!$A$25:$A$36,0))=0,"—",INDEX(Setup!$E$25:$E$36,MATCH($B98,Setup!$A$25:$A$36,0))),"—"))</f>
        <v>—</v>
      </c>
      <c r="O98" s="21" t="str">
        <f>IF(OR($B98="",$G98="",$D98="Cancelled"),"—",IFERROR(IF(INDEX(Setup!$F$25:$F$36,MATCH($B98,Setup!$A$25:$A$36,0))=0,"—",INDEX(Setup!$F$25:$F$36,MATCH($B98,Setup!$A$25:$A$36,0))),"—"))</f>
        <v>—</v>
      </c>
      <c r="P98" s="21" t="str">
        <f>IF(OR($B98="",$G98="",$D98="Cancelled",$D98="Owner block"),"—",IF(IFERROR(INDEX(Setup!$G$25:$G$36,MATCH($B98,Setup!$A$25:$A$36,0)),0)+IFERROR(INDEX(Setup!$H$25:$H$36,MATCH($B98,Setup!$A$25:$A$36,0)),0)*IF(ISNUMBER($H98),$H98,0)=0,"—",ROUND(IFERROR(INDEX(Setup!$G$25:$G$36,MATCH($B98,Setup!$A$25:$A$36,0)),0)+IFERROR(INDEX(Setup!$H$25:$H$36,MATCH($B98,Setup!$A$25:$A$36,0)),0)*IF(ISNUMBER($H98),$H98,0),2)))</f>
        <v>—</v>
      </c>
      <c r="Q98" s="21" t="str">
        <f t="shared" si="7"/>
        <v>—</v>
      </c>
      <c r="R98" s="21" t="str">
        <f t="shared" si="8"/>
        <v>—</v>
      </c>
      <c r="S98" s="8"/>
      <c r="T98" s="19" t="str">
        <f ca="1">IF(OR(NOT(ISNUMBER($F98)),NOT(ISNUMBER($G98)),NOT(ISNUMBER(Dashboard!$P$2)),NOT(ISNUMBER(Dashboard!$P$3)),$D98="Cancelled",$D98="Owner block"),"—",IF(MAX(0,MIN($G98,Dashboard!$P$3+1)-MAX($F98,Dashboard!$P$2))=0,"—",MAX(0,MIN($G98,Dashboard!$P$3+1)-MAX($F98,Dashboard!$P$2))))</f>
        <v>—</v>
      </c>
      <c r="U98" s="19" t="str">
        <f ca="1">IF(OR(NOT(ISNUMBER($F98)),NOT(ISNUMBER($G98)),NOT(ISNUMBER(Dashboard!$P$2)),NOT(ISNUMBER(Dashboard!$P$3)),$D98&lt;&gt;"Owner block"),"—",IF(MAX(0,MIN($G98,Dashboard!$P$3+1)-MAX($F98,Dashboard!$P$2))=0,"—",MAX(0,MIN($G98,Dashboard!$P$3+1)-MAX($F98,Dashboard!$P$2))))</f>
        <v>—</v>
      </c>
      <c r="V98" s="7" t="str">
        <f>IF($B98="",IF(COUNTA($C98:$G98,$I98:$K98,$S98)=0,"","⚠ no property — not counted"),IF(COUNTIF(Setup!$A$25:$A$36,$B98)=0,"⚠ property not in Setup",IF(AND($F98&lt;&gt;"",NOT(ISNUMBER($F98))),"⚠ check-in is not a real date",IF(AND($G98&lt;&gt;"",NOT(ISNUMBER($G98))),"⚠ check-out is not a real date",IF(AND($J98&lt;&gt;"",NOT(ISNUMBER($J98))),"⚠ booking value is not a number","OK")))))</f>
        <v/>
      </c>
      <c r="W98" s="21" t="str">
        <f t="shared" si="9"/>
        <v>—</v>
      </c>
    </row>
    <row r="99" spans="1:23" x14ac:dyDescent="0.2">
      <c r="A99" s="30">
        <v>95</v>
      </c>
      <c r="B99" s="3"/>
      <c r="C99" s="3"/>
      <c r="D99" s="3"/>
      <c r="E99" s="3"/>
      <c r="F99" s="31"/>
      <c r="G99" s="31"/>
      <c r="H99" s="19" t="str">
        <f t="shared" si="5"/>
        <v>—</v>
      </c>
      <c r="I99" s="32"/>
      <c r="J99" s="6"/>
      <c r="K99" s="33"/>
      <c r="L99" s="21" t="str">
        <f>IF(OR($B99="",NOT(ISNUMBER($J99)),$D99="Cancelled",$D99="Owner block"),"—",ROUND($J99*IF(ISNUMBER($K99),IF($K99&gt;1,$K99/100,$K99),IF(IFERROR(INDEX(Setup!$D$25:$D$36,MATCH($B99,Setup!$A$25:$A$36,0)),0)&gt;1,IFERROR(INDEX(Setup!$D$25:$D$36,MATCH($B99,Setup!$A$25:$A$36,0)),0)/100,IFERROR(INDEX(Setup!$D$25:$D$36,MATCH($B99,Setup!$A$25:$A$36,0)),0))),2))</f>
        <v>—</v>
      </c>
      <c r="M99" s="21" t="str">
        <f t="shared" si="6"/>
        <v>—</v>
      </c>
      <c r="N99" s="21" t="str">
        <f>IF(OR($B99="",$G99="",$D99="Cancelled"),"—",IFERROR(IF(INDEX(Setup!$E$25:$E$36,MATCH($B99,Setup!$A$25:$A$36,0))=0,"—",INDEX(Setup!$E$25:$E$36,MATCH($B99,Setup!$A$25:$A$36,0))),"—"))</f>
        <v>—</v>
      </c>
      <c r="O99" s="21" t="str">
        <f>IF(OR($B99="",$G99="",$D99="Cancelled"),"—",IFERROR(IF(INDEX(Setup!$F$25:$F$36,MATCH($B99,Setup!$A$25:$A$36,0))=0,"—",INDEX(Setup!$F$25:$F$36,MATCH($B99,Setup!$A$25:$A$36,0))),"—"))</f>
        <v>—</v>
      </c>
      <c r="P99" s="21" t="str">
        <f>IF(OR($B99="",$G99="",$D99="Cancelled",$D99="Owner block"),"—",IF(IFERROR(INDEX(Setup!$G$25:$G$36,MATCH($B99,Setup!$A$25:$A$36,0)),0)+IFERROR(INDEX(Setup!$H$25:$H$36,MATCH($B99,Setup!$A$25:$A$36,0)),0)*IF(ISNUMBER($H99),$H99,0)=0,"—",ROUND(IFERROR(INDEX(Setup!$G$25:$G$36,MATCH($B99,Setup!$A$25:$A$36,0)),0)+IFERROR(INDEX(Setup!$H$25:$H$36,MATCH($B99,Setup!$A$25:$A$36,0)),0)*IF(ISNUMBER($H99),$H99,0),2)))</f>
        <v>—</v>
      </c>
      <c r="Q99" s="21" t="str">
        <f t="shared" si="7"/>
        <v>—</v>
      </c>
      <c r="R99" s="21" t="str">
        <f t="shared" si="8"/>
        <v>—</v>
      </c>
      <c r="S99" s="3"/>
      <c r="T99" s="19" t="str">
        <f ca="1">IF(OR(NOT(ISNUMBER($F99)),NOT(ISNUMBER($G99)),NOT(ISNUMBER(Dashboard!$P$2)),NOT(ISNUMBER(Dashboard!$P$3)),$D99="Cancelled",$D99="Owner block"),"—",IF(MAX(0,MIN($G99,Dashboard!$P$3+1)-MAX($F99,Dashboard!$P$2))=0,"—",MAX(0,MIN($G99,Dashboard!$P$3+1)-MAX($F99,Dashboard!$P$2))))</f>
        <v>—</v>
      </c>
      <c r="U99" s="19" t="str">
        <f ca="1">IF(OR(NOT(ISNUMBER($F99)),NOT(ISNUMBER($G99)),NOT(ISNUMBER(Dashboard!$P$2)),NOT(ISNUMBER(Dashboard!$P$3)),$D99&lt;&gt;"Owner block"),"—",IF(MAX(0,MIN($G99,Dashboard!$P$3+1)-MAX($F99,Dashboard!$P$2))=0,"—",MAX(0,MIN($G99,Dashboard!$P$3+1)-MAX($F99,Dashboard!$P$2))))</f>
        <v>—</v>
      </c>
      <c r="V99" s="7" t="str">
        <f>IF($B99="",IF(COUNTA($C99:$G99,$I99:$K99,$S99)=0,"","⚠ no property — not counted"),IF(COUNTIF(Setup!$A$25:$A$36,$B99)=0,"⚠ property not in Setup",IF(AND($F99&lt;&gt;"",NOT(ISNUMBER($F99))),"⚠ check-in is not a real date",IF(AND($G99&lt;&gt;"",NOT(ISNUMBER($G99))),"⚠ check-out is not a real date",IF(AND($J99&lt;&gt;"",NOT(ISNUMBER($J99))),"⚠ booking value is not a number","OK")))))</f>
        <v/>
      </c>
      <c r="W99" s="21" t="str">
        <f t="shared" si="9"/>
        <v>—</v>
      </c>
    </row>
    <row r="100" spans="1:23" x14ac:dyDescent="0.2">
      <c r="A100" s="30">
        <v>96</v>
      </c>
      <c r="B100" s="8"/>
      <c r="C100" s="8"/>
      <c r="D100" s="8"/>
      <c r="E100" s="8"/>
      <c r="F100" s="34"/>
      <c r="G100" s="34"/>
      <c r="H100" s="19" t="str">
        <f t="shared" si="5"/>
        <v>—</v>
      </c>
      <c r="I100" s="35"/>
      <c r="J100" s="11"/>
      <c r="K100" s="36"/>
      <c r="L100" s="21" t="str">
        <f>IF(OR($B100="",NOT(ISNUMBER($J100)),$D100="Cancelled",$D100="Owner block"),"—",ROUND($J100*IF(ISNUMBER($K100),IF($K100&gt;1,$K100/100,$K100),IF(IFERROR(INDEX(Setup!$D$25:$D$36,MATCH($B100,Setup!$A$25:$A$36,0)),0)&gt;1,IFERROR(INDEX(Setup!$D$25:$D$36,MATCH($B100,Setup!$A$25:$A$36,0)),0)/100,IFERROR(INDEX(Setup!$D$25:$D$36,MATCH($B100,Setup!$A$25:$A$36,0)),0))),2))</f>
        <v>—</v>
      </c>
      <c r="M100" s="21" t="str">
        <f t="shared" si="6"/>
        <v>—</v>
      </c>
      <c r="N100" s="21" t="str">
        <f>IF(OR($B100="",$G100="",$D100="Cancelled"),"—",IFERROR(IF(INDEX(Setup!$E$25:$E$36,MATCH($B100,Setup!$A$25:$A$36,0))=0,"—",INDEX(Setup!$E$25:$E$36,MATCH($B100,Setup!$A$25:$A$36,0))),"—"))</f>
        <v>—</v>
      </c>
      <c r="O100" s="21" t="str">
        <f>IF(OR($B100="",$G100="",$D100="Cancelled"),"—",IFERROR(IF(INDEX(Setup!$F$25:$F$36,MATCH($B100,Setup!$A$25:$A$36,0))=0,"—",INDEX(Setup!$F$25:$F$36,MATCH($B100,Setup!$A$25:$A$36,0))),"—"))</f>
        <v>—</v>
      </c>
      <c r="P100" s="21" t="str">
        <f>IF(OR($B100="",$G100="",$D100="Cancelled",$D100="Owner block"),"—",IF(IFERROR(INDEX(Setup!$G$25:$G$36,MATCH($B100,Setup!$A$25:$A$36,0)),0)+IFERROR(INDEX(Setup!$H$25:$H$36,MATCH($B100,Setup!$A$25:$A$36,0)),0)*IF(ISNUMBER($H100),$H100,0)=0,"—",ROUND(IFERROR(INDEX(Setup!$G$25:$G$36,MATCH($B100,Setup!$A$25:$A$36,0)),0)+IFERROR(INDEX(Setup!$H$25:$H$36,MATCH($B100,Setup!$A$25:$A$36,0)),0)*IF(ISNUMBER($H100),$H100,0),2)))</f>
        <v>—</v>
      </c>
      <c r="Q100" s="21" t="str">
        <f t="shared" si="7"/>
        <v>—</v>
      </c>
      <c r="R100" s="21" t="str">
        <f t="shared" si="8"/>
        <v>—</v>
      </c>
      <c r="S100" s="8"/>
      <c r="T100" s="19" t="str">
        <f ca="1">IF(OR(NOT(ISNUMBER($F100)),NOT(ISNUMBER($G100)),NOT(ISNUMBER(Dashboard!$P$2)),NOT(ISNUMBER(Dashboard!$P$3)),$D100="Cancelled",$D100="Owner block"),"—",IF(MAX(0,MIN($G100,Dashboard!$P$3+1)-MAX($F100,Dashboard!$P$2))=0,"—",MAX(0,MIN($G100,Dashboard!$P$3+1)-MAX($F100,Dashboard!$P$2))))</f>
        <v>—</v>
      </c>
      <c r="U100" s="19" t="str">
        <f ca="1">IF(OR(NOT(ISNUMBER($F100)),NOT(ISNUMBER($G100)),NOT(ISNUMBER(Dashboard!$P$2)),NOT(ISNUMBER(Dashboard!$P$3)),$D100&lt;&gt;"Owner block"),"—",IF(MAX(0,MIN($G100,Dashboard!$P$3+1)-MAX($F100,Dashboard!$P$2))=0,"—",MAX(0,MIN($G100,Dashboard!$P$3+1)-MAX($F100,Dashboard!$P$2))))</f>
        <v>—</v>
      </c>
      <c r="V100" s="7" t="str">
        <f>IF($B100="",IF(COUNTA($C100:$G100,$I100:$K100,$S100)=0,"","⚠ no property — not counted"),IF(COUNTIF(Setup!$A$25:$A$36,$B100)=0,"⚠ property not in Setup",IF(AND($F100&lt;&gt;"",NOT(ISNUMBER($F100))),"⚠ check-in is not a real date",IF(AND($G100&lt;&gt;"",NOT(ISNUMBER($G100))),"⚠ check-out is not a real date",IF(AND($J100&lt;&gt;"",NOT(ISNUMBER($J100))),"⚠ booking value is not a number","OK")))))</f>
        <v/>
      </c>
      <c r="W100" s="21" t="str">
        <f t="shared" si="9"/>
        <v>—</v>
      </c>
    </row>
    <row r="101" spans="1:23" x14ac:dyDescent="0.2">
      <c r="A101" s="30">
        <v>97</v>
      </c>
      <c r="B101" s="3"/>
      <c r="C101" s="3"/>
      <c r="D101" s="3"/>
      <c r="E101" s="3"/>
      <c r="F101" s="31"/>
      <c r="G101" s="31"/>
      <c r="H101" s="19" t="str">
        <f t="shared" si="5"/>
        <v>—</v>
      </c>
      <c r="I101" s="32"/>
      <c r="J101" s="6"/>
      <c r="K101" s="33"/>
      <c r="L101" s="21" t="str">
        <f>IF(OR($B101="",NOT(ISNUMBER($J101)),$D101="Cancelled",$D101="Owner block"),"—",ROUND($J101*IF(ISNUMBER($K101),IF($K101&gt;1,$K101/100,$K101),IF(IFERROR(INDEX(Setup!$D$25:$D$36,MATCH($B101,Setup!$A$25:$A$36,0)),0)&gt;1,IFERROR(INDEX(Setup!$D$25:$D$36,MATCH($B101,Setup!$A$25:$A$36,0)),0)/100,IFERROR(INDEX(Setup!$D$25:$D$36,MATCH($B101,Setup!$A$25:$A$36,0)),0))),2))</f>
        <v>—</v>
      </c>
      <c r="M101" s="21" t="str">
        <f t="shared" si="6"/>
        <v>—</v>
      </c>
      <c r="N101" s="21" t="str">
        <f>IF(OR($B101="",$G101="",$D101="Cancelled"),"—",IFERROR(IF(INDEX(Setup!$E$25:$E$36,MATCH($B101,Setup!$A$25:$A$36,0))=0,"—",INDEX(Setup!$E$25:$E$36,MATCH($B101,Setup!$A$25:$A$36,0))),"—"))</f>
        <v>—</v>
      </c>
      <c r="O101" s="21" t="str">
        <f>IF(OR($B101="",$G101="",$D101="Cancelled"),"—",IFERROR(IF(INDEX(Setup!$F$25:$F$36,MATCH($B101,Setup!$A$25:$A$36,0))=0,"—",INDEX(Setup!$F$25:$F$36,MATCH($B101,Setup!$A$25:$A$36,0))),"—"))</f>
        <v>—</v>
      </c>
      <c r="P101" s="21" t="str">
        <f>IF(OR($B101="",$G101="",$D101="Cancelled",$D101="Owner block"),"—",IF(IFERROR(INDEX(Setup!$G$25:$G$36,MATCH($B101,Setup!$A$25:$A$36,0)),0)+IFERROR(INDEX(Setup!$H$25:$H$36,MATCH($B101,Setup!$A$25:$A$36,0)),0)*IF(ISNUMBER($H101),$H101,0)=0,"—",ROUND(IFERROR(INDEX(Setup!$G$25:$G$36,MATCH($B101,Setup!$A$25:$A$36,0)),0)+IFERROR(INDEX(Setup!$H$25:$H$36,MATCH($B101,Setup!$A$25:$A$36,0)),0)*IF(ISNUMBER($H101),$H101,0),2)))</f>
        <v>—</v>
      </c>
      <c r="Q101" s="21" t="str">
        <f t="shared" si="7"/>
        <v>—</v>
      </c>
      <c r="R101" s="21" t="str">
        <f t="shared" si="8"/>
        <v>—</v>
      </c>
      <c r="S101" s="3"/>
      <c r="T101" s="19" t="str">
        <f ca="1">IF(OR(NOT(ISNUMBER($F101)),NOT(ISNUMBER($G101)),NOT(ISNUMBER(Dashboard!$P$2)),NOT(ISNUMBER(Dashboard!$P$3)),$D101="Cancelled",$D101="Owner block"),"—",IF(MAX(0,MIN($G101,Dashboard!$P$3+1)-MAX($F101,Dashboard!$P$2))=0,"—",MAX(0,MIN($G101,Dashboard!$P$3+1)-MAX($F101,Dashboard!$P$2))))</f>
        <v>—</v>
      </c>
      <c r="U101" s="19" t="str">
        <f ca="1">IF(OR(NOT(ISNUMBER($F101)),NOT(ISNUMBER($G101)),NOT(ISNUMBER(Dashboard!$P$2)),NOT(ISNUMBER(Dashboard!$P$3)),$D101&lt;&gt;"Owner block"),"—",IF(MAX(0,MIN($G101,Dashboard!$P$3+1)-MAX($F101,Dashboard!$P$2))=0,"—",MAX(0,MIN($G101,Dashboard!$P$3+1)-MAX($F101,Dashboard!$P$2))))</f>
        <v>—</v>
      </c>
      <c r="V101" s="7" t="str">
        <f>IF($B101="",IF(COUNTA($C101:$G101,$I101:$K101,$S101)=0,"","⚠ no property — not counted"),IF(COUNTIF(Setup!$A$25:$A$36,$B101)=0,"⚠ property not in Setup",IF(AND($F101&lt;&gt;"",NOT(ISNUMBER($F101))),"⚠ check-in is not a real date",IF(AND($G101&lt;&gt;"",NOT(ISNUMBER($G101))),"⚠ check-out is not a real date",IF(AND($J101&lt;&gt;"",NOT(ISNUMBER($J101))),"⚠ booking value is not a number","OK")))))</f>
        <v/>
      </c>
      <c r="W101" s="21" t="str">
        <f t="shared" si="9"/>
        <v>—</v>
      </c>
    </row>
    <row r="102" spans="1:23" x14ac:dyDescent="0.2">
      <c r="A102" s="30">
        <v>98</v>
      </c>
      <c r="B102" s="8"/>
      <c r="C102" s="8"/>
      <c r="D102" s="8"/>
      <c r="E102" s="8"/>
      <c r="F102" s="34"/>
      <c r="G102" s="34"/>
      <c r="H102" s="19" t="str">
        <f t="shared" si="5"/>
        <v>—</v>
      </c>
      <c r="I102" s="35"/>
      <c r="J102" s="11"/>
      <c r="K102" s="36"/>
      <c r="L102" s="21" t="str">
        <f>IF(OR($B102="",NOT(ISNUMBER($J102)),$D102="Cancelled",$D102="Owner block"),"—",ROUND($J102*IF(ISNUMBER($K102),IF($K102&gt;1,$K102/100,$K102),IF(IFERROR(INDEX(Setup!$D$25:$D$36,MATCH($B102,Setup!$A$25:$A$36,0)),0)&gt;1,IFERROR(INDEX(Setup!$D$25:$D$36,MATCH($B102,Setup!$A$25:$A$36,0)),0)/100,IFERROR(INDEX(Setup!$D$25:$D$36,MATCH($B102,Setup!$A$25:$A$36,0)),0))),2))</f>
        <v>—</v>
      </c>
      <c r="M102" s="21" t="str">
        <f t="shared" si="6"/>
        <v>—</v>
      </c>
      <c r="N102" s="21" t="str">
        <f>IF(OR($B102="",$G102="",$D102="Cancelled"),"—",IFERROR(IF(INDEX(Setup!$E$25:$E$36,MATCH($B102,Setup!$A$25:$A$36,0))=0,"—",INDEX(Setup!$E$25:$E$36,MATCH($B102,Setup!$A$25:$A$36,0))),"—"))</f>
        <v>—</v>
      </c>
      <c r="O102" s="21" t="str">
        <f>IF(OR($B102="",$G102="",$D102="Cancelled"),"—",IFERROR(IF(INDEX(Setup!$F$25:$F$36,MATCH($B102,Setup!$A$25:$A$36,0))=0,"—",INDEX(Setup!$F$25:$F$36,MATCH($B102,Setup!$A$25:$A$36,0))),"—"))</f>
        <v>—</v>
      </c>
      <c r="P102" s="21" t="str">
        <f>IF(OR($B102="",$G102="",$D102="Cancelled",$D102="Owner block"),"—",IF(IFERROR(INDEX(Setup!$G$25:$G$36,MATCH($B102,Setup!$A$25:$A$36,0)),0)+IFERROR(INDEX(Setup!$H$25:$H$36,MATCH($B102,Setup!$A$25:$A$36,0)),0)*IF(ISNUMBER($H102),$H102,0)=0,"—",ROUND(IFERROR(INDEX(Setup!$G$25:$G$36,MATCH($B102,Setup!$A$25:$A$36,0)),0)+IFERROR(INDEX(Setup!$H$25:$H$36,MATCH($B102,Setup!$A$25:$A$36,0)),0)*IF(ISNUMBER($H102),$H102,0),2)))</f>
        <v>—</v>
      </c>
      <c r="Q102" s="21" t="str">
        <f t="shared" si="7"/>
        <v>—</v>
      </c>
      <c r="R102" s="21" t="str">
        <f t="shared" si="8"/>
        <v>—</v>
      </c>
      <c r="S102" s="8"/>
      <c r="T102" s="19" t="str">
        <f ca="1">IF(OR(NOT(ISNUMBER($F102)),NOT(ISNUMBER($G102)),NOT(ISNUMBER(Dashboard!$P$2)),NOT(ISNUMBER(Dashboard!$P$3)),$D102="Cancelled",$D102="Owner block"),"—",IF(MAX(0,MIN($G102,Dashboard!$P$3+1)-MAX($F102,Dashboard!$P$2))=0,"—",MAX(0,MIN($G102,Dashboard!$P$3+1)-MAX($F102,Dashboard!$P$2))))</f>
        <v>—</v>
      </c>
      <c r="U102" s="19" t="str">
        <f ca="1">IF(OR(NOT(ISNUMBER($F102)),NOT(ISNUMBER($G102)),NOT(ISNUMBER(Dashboard!$P$2)),NOT(ISNUMBER(Dashboard!$P$3)),$D102&lt;&gt;"Owner block"),"—",IF(MAX(0,MIN($G102,Dashboard!$P$3+1)-MAX($F102,Dashboard!$P$2))=0,"—",MAX(0,MIN($G102,Dashboard!$P$3+1)-MAX($F102,Dashboard!$P$2))))</f>
        <v>—</v>
      </c>
      <c r="V102" s="7" t="str">
        <f>IF($B102="",IF(COUNTA($C102:$G102,$I102:$K102,$S102)=0,"","⚠ no property — not counted"),IF(COUNTIF(Setup!$A$25:$A$36,$B102)=0,"⚠ property not in Setup",IF(AND($F102&lt;&gt;"",NOT(ISNUMBER($F102))),"⚠ check-in is not a real date",IF(AND($G102&lt;&gt;"",NOT(ISNUMBER($G102))),"⚠ check-out is not a real date",IF(AND($J102&lt;&gt;"",NOT(ISNUMBER($J102))),"⚠ booking value is not a number","OK")))))</f>
        <v/>
      </c>
      <c r="W102" s="21" t="str">
        <f t="shared" si="9"/>
        <v>—</v>
      </c>
    </row>
    <row r="103" spans="1:23" x14ac:dyDescent="0.2">
      <c r="A103" s="30">
        <v>99</v>
      </c>
      <c r="B103" s="3"/>
      <c r="C103" s="3"/>
      <c r="D103" s="3"/>
      <c r="E103" s="3"/>
      <c r="F103" s="31"/>
      <c r="G103" s="31"/>
      <c r="H103" s="19" t="str">
        <f t="shared" si="5"/>
        <v>—</v>
      </c>
      <c r="I103" s="32"/>
      <c r="J103" s="6"/>
      <c r="K103" s="33"/>
      <c r="L103" s="21" t="str">
        <f>IF(OR($B103="",NOT(ISNUMBER($J103)),$D103="Cancelled",$D103="Owner block"),"—",ROUND($J103*IF(ISNUMBER($K103),IF($K103&gt;1,$K103/100,$K103),IF(IFERROR(INDEX(Setup!$D$25:$D$36,MATCH($B103,Setup!$A$25:$A$36,0)),0)&gt;1,IFERROR(INDEX(Setup!$D$25:$D$36,MATCH($B103,Setup!$A$25:$A$36,0)),0)/100,IFERROR(INDEX(Setup!$D$25:$D$36,MATCH($B103,Setup!$A$25:$A$36,0)),0))),2))</f>
        <v>—</v>
      </c>
      <c r="M103" s="21" t="str">
        <f t="shared" si="6"/>
        <v>—</v>
      </c>
      <c r="N103" s="21" t="str">
        <f>IF(OR($B103="",$G103="",$D103="Cancelled"),"—",IFERROR(IF(INDEX(Setup!$E$25:$E$36,MATCH($B103,Setup!$A$25:$A$36,0))=0,"—",INDEX(Setup!$E$25:$E$36,MATCH($B103,Setup!$A$25:$A$36,0))),"—"))</f>
        <v>—</v>
      </c>
      <c r="O103" s="21" t="str">
        <f>IF(OR($B103="",$G103="",$D103="Cancelled"),"—",IFERROR(IF(INDEX(Setup!$F$25:$F$36,MATCH($B103,Setup!$A$25:$A$36,0))=0,"—",INDEX(Setup!$F$25:$F$36,MATCH($B103,Setup!$A$25:$A$36,0))),"—"))</f>
        <v>—</v>
      </c>
      <c r="P103" s="21" t="str">
        <f>IF(OR($B103="",$G103="",$D103="Cancelled",$D103="Owner block"),"—",IF(IFERROR(INDEX(Setup!$G$25:$G$36,MATCH($B103,Setup!$A$25:$A$36,0)),0)+IFERROR(INDEX(Setup!$H$25:$H$36,MATCH($B103,Setup!$A$25:$A$36,0)),0)*IF(ISNUMBER($H103),$H103,0)=0,"—",ROUND(IFERROR(INDEX(Setup!$G$25:$G$36,MATCH($B103,Setup!$A$25:$A$36,0)),0)+IFERROR(INDEX(Setup!$H$25:$H$36,MATCH($B103,Setup!$A$25:$A$36,0)),0)*IF(ISNUMBER($H103),$H103,0),2)))</f>
        <v>—</v>
      </c>
      <c r="Q103" s="21" t="str">
        <f t="shared" si="7"/>
        <v>—</v>
      </c>
      <c r="R103" s="21" t="str">
        <f t="shared" si="8"/>
        <v>—</v>
      </c>
      <c r="S103" s="3"/>
      <c r="T103" s="19" t="str">
        <f ca="1">IF(OR(NOT(ISNUMBER($F103)),NOT(ISNUMBER($G103)),NOT(ISNUMBER(Dashboard!$P$2)),NOT(ISNUMBER(Dashboard!$P$3)),$D103="Cancelled",$D103="Owner block"),"—",IF(MAX(0,MIN($G103,Dashboard!$P$3+1)-MAX($F103,Dashboard!$P$2))=0,"—",MAX(0,MIN($G103,Dashboard!$P$3+1)-MAX($F103,Dashboard!$P$2))))</f>
        <v>—</v>
      </c>
      <c r="U103" s="19" t="str">
        <f ca="1">IF(OR(NOT(ISNUMBER($F103)),NOT(ISNUMBER($G103)),NOT(ISNUMBER(Dashboard!$P$2)),NOT(ISNUMBER(Dashboard!$P$3)),$D103&lt;&gt;"Owner block"),"—",IF(MAX(0,MIN($G103,Dashboard!$P$3+1)-MAX($F103,Dashboard!$P$2))=0,"—",MAX(0,MIN($G103,Dashboard!$P$3+1)-MAX($F103,Dashboard!$P$2))))</f>
        <v>—</v>
      </c>
      <c r="V103" s="7" t="str">
        <f>IF($B103="",IF(COUNTA($C103:$G103,$I103:$K103,$S103)=0,"","⚠ no property — not counted"),IF(COUNTIF(Setup!$A$25:$A$36,$B103)=0,"⚠ property not in Setup",IF(AND($F103&lt;&gt;"",NOT(ISNUMBER($F103))),"⚠ check-in is not a real date",IF(AND($G103&lt;&gt;"",NOT(ISNUMBER($G103))),"⚠ check-out is not a real date",IF(AND($J103&lt;&gt;"",NOT(ISNUMBER($J103))),"⚠ booking value is not a number","OK")))))</f>
        <v/>
      </c>
      <c r="W103" s="21" t="str">
        <f t="shared" si="9"/>
        <v>—</v>
      </c>
    </row>
    <row r="104" spans="1:23" x14ac:dyDescent="0.2">
      <c r="A104" s="30">
        <v>100</v>
      </c>
      <c r="B104" s="8"/>
      <c r="C104" s="8"/>
      <c r="D104" s="8"/>
      <c r="E104" s="8"/>
      <c r="F104" s="34"/>
      <c r="G104" s="34"/>
      <c r="H104" s="19" t="str">
        <f t="shared" si="5"/>
        <v>—</v>
      </c>
      <c r="I104" s="35"/>
      <c r="J104" s="11"/>
      <c r="K104" s="36"/>
      <c r="L104" s="21" t="str">
        <f>IF(OR($B104="",NOT(ISNUMBER($J104)),$D104="Cancelled",$D104="Owner block"),"—",ROUND($J104*IF(ISNUMBER($K104),IF($K104&gt;1,$K104/100,$K104),IF(IFERROR(INDEX(Setup!$D$25:$D$36,MATCH($B104,Setup!$A$25:$A$36,0)),0)&gt;1,IFERROR(INDEX(Setup!$D$25:$D$36,MATCH($B104,Setup!$A$25:$A$36,0)),0)/100,IFERROR(INDEX(Setup!$D$25:$D$36,MATCH($B104,Setup!$A$25:$A$36,0)),0))),2))</f>
        <v>—</v>
      </c>
      <c r="M104" s="21" t="str">
        <f t="shared" si="6"/>
        <v>—</v>
      </c>
      <c r="N104" s="21" t="str">
        <f>IF(OR($B104="",$G104="",$D104="Cancelled"),"—",IFERROR(IF(INDEX(Setup!$E$25:$E$36,MATCH($B104,Setup!$A$25:$A$36,0))=0,"—",INDEX(Setup!$E$25:$E$36,MATCH($B104,Setup!$A$25:$A$36,0))),"—"))</f>
        <v>—</v>
      </c>
      <c r="O104" s="21" t="str">
        <f>IF(OR($B104="",$G104="",$D104="Cancelled"),"—",IFERROR(IF(INDEX(Setup!$F$25:$F$36,MATCH($B104,Setup!$A$25:$A$36,0))=0,"—",INDEX(Setup!$F$25:$F$36,MATCH($B104,Setup!$A$25:$A$36,0))),"—"))</f>
        <v>—</v>
      </c>
      <c r="P104" s="21" t="str">
        <f>IF(OR($B104="",$G104="",$D104="Cancelled",$D104="Owner block"),"—",IF(IFERROR(INDEX(Setup!$G$25:$G$36,MATCH($B104,Setup!$A$25:$A$36,0)),0)+IFERROR(INDEX(Setup!$H$25:$H$36,MATCH($B104,Setup!$A$25:$A$36,0)),0)*IF(ISNUMBER($H104),$H104,0)=0,"—",ROUND(IFERROR(INDEX(Setup!$G$25:$G$36,MATCH($B104,Setup!$A$25:$A$36,0)),0)+IFERROR(INDEX(Setup!$H$25:$H$36,MATCH($B104,Setup!$A$25:$A$36,0)),0)*IF(ISNUMBER($H104),$H104,0),2)))</f>
        <v>—</v>
      </c>
      <c r="Q104" s="21" t="str">
        <f t="shared" si="7"/>
        <v>—</v>
      </c>
      <c r="R104" s="21" t="str">
        <f t="shared" si="8"/>
        <v>—</v>
      </c>
      <c r="S104" s="8"/>
      <c r="T104" s="19" t="str">
        <f ca="1">IF(OR(NOT(ISNUMBER($F104)),NOT(ISNUMBER($G104)),NOT(ISNUMBER(Dashboard!$P$2)),NOT(ISNUMBER(Dashboard!$P$3)),$D104="Cancelled",$D104="Owner block"),"—",IF(MAX(0,MIN($G104,Dashboard!$P$3+1)-MAX($F104,Dashboard!$P$2))=0,"—",MAX(0,MIN($G104,Dashboard!$P$3+1)-MAX($F104,Dashboard!$P$2))))</f>
        <v>—</v>
      </c>
      <c r="U104" s="19" t="str">
        <f ca="1">IF(OR(NOT(ISNUMBER($F104)),NOT(ISNUMBER($G104)),NOT(ISNUMBER(Dashboard!$P$2)),NOT(ISNUMBER(Dashboard!$P$3)),$D104&lt;&gt;"Owner block"),"—",IF(MAX(0,MIN($G104,Dashboard!$P$3+1)-MAX($F104,Dashboard!$P$2))=0,"—",MAX(0,MIN($G104,Dashboard!$P$3+1)-MAX($F104,Dashboard!$P$2))))</f>
        <v>—</v>
      </c>
      <c r="V104" s="7" t="str">
        <f>IF($B104="",IF(COUNTA($C104:$G104,$I104:$K104,$S104)=0,"","⚠ no property — not counted"),IF(COUNTIF(Setup!$A$25:$A$36,$B104)=0,"⚠ property not in Setup",IF(AND($F104&lt;&gt;"",NOT(ISNUMBER($F104))),"⚠ check-in is not a real date",IF(AND($G104&lt;&gt;"",NOT(ISNUMBER($G104))),"⚠ check-out is not a real date",IF(AND($J104&lt;&gt;"",NOT(ISNUMBER($J104))),"⚠ booking value is not a number","OK")))))</f>
        <v/>
      </c>
      <c r="W104" s="21" t="str">
        <f t="shared" si="9"/>
        <v>—</v>
      </c>
    </row>
    <row r="105" spans="1:23" x14ac:dyDescent="0.2">
      <c r="A105" s="30">
        <v>101</v>
      </c>
      <c r="B105" s="3"/>
      <c r="C105" s="3"/>
      <c r="D105" s="3"/>
      <c r="E105" s="3"/>
      <c r="F105" s="31"/>
      <c r="G105" s="31"/>
      <c r="H105" s="19" t="str">
        <f t="shared" si="5"/>
        <v>—</v>
      </c>
      <c r="I105" s="32"/>
      <c r="J105" s="6"/>
      <c r="K105" s="33"/>
      <c r="L105" s="21" t="str">
        <f>IF(OR($B105="",NOT(ISNUMBER($J105)),$D105="Cancelled",$D105="Owner block"),"—",ROUND($J105*IF(ISNUMBER($K105),IF($K105&gt;1,$K105/100,$K105),IF(IFERROR(INDEX(Setup!$D$25:$D$36,MATCH($B105,Setup!$A$25:$A$36,0)),0)&gt;1,IFERROR(INDEX(Setup!$D$25:$D$36,MATCH($B105,Setup!$A$25:$A$36,0)),0)/100,IFERROR(INDEX(Setup!$D$25:$D$36,MATCH($B105,Setup!$A$25:$A$36,0)),0))),2))</f>
        <v>—</v>
      </c>
      <c r="M105" s="21" t="str">
        <f t="shared" si="6"/>
        <v>—</v>
      </c>
      <c r="N105" s="21" t="str">
        <f>IF(OR($B105="",$G105="",$D105="Cancelled"),"—",IFERROR(IF(INDEX(Setup!$E$25:$E$36,MATCH($B105,Setup!$A$25:$A$36,0))=0,"—",INDEX(Setup!$E$25:$E$36,MATCH($B105,Setup!$A$25:$A$36,0))),"—"))</f>
        <v>—</v>
      </c>
      <c r="O105" s="21" t="str">
        <f>IF(OR($B105="",$G105="",$D105="Cancelled"),"—",IFERROR(IF(INDEX(Setup!$F$25:$F$36,MATCH($B105,Setup!$A$25:$A$36,0))=0,"—",INDEX(Setup!$F$25:$F$36,MATCH($B105,Setup!$A$25:$A$36,0))),"—"))</f>
        <v>—</v>
      </c>
      <c r="P105" s="21" t="str">
        <f>IF(OR($B105="",$G105="",$D105="Cancelled",$D105="Owner block"),"—",IF(IFERROR(INDEX(Setup!$G$25:$G$36,MATCH($B105,Setup!$A$25:$A$36,0)),0)+IFERROR(INDEX(Setup!$H$25:$H$36,MATCH($B105,Setup!$A$25:$A$36,0)),0)*IF(ISNUMBER($H105),$H105,0)=0,"—",ROUND(IFERROR(INDEX(Setup!$G$25:$G$36,MATCH($B105,Setup!$A$25:$A$36,0)),0)+IFERROR(INDEX(Setup!$H$25:$H$36,MATCH($B105,Setup!$A$25:$A$36,0)),0)*IF(ISNUMBER($H105),$H105,0),2)))</f>
        <v>—</v>
      </c>
      <c r="Q105" s="21" t="str">
        <f t="shared" si="7"/>
        <v>—</v>
      </c>
      <c r="R105" s="21" t="str">
        <f t="shared" si="8"/>
        <v>—</v>
      </c>
      <c r="S105" s="3"/>
      <c r="T105" s="19" t="str">
        <f ca="1">IF(OR(NOT(ISNUMBER($F105)),NOT(ISNUMBER($G105)),NOT(ISNUMBER(Dashboard!$P$2)),NOT(ISNUMBER(Dashboard!$P$3)),$D105="Cancelled",$D105="Owner block"),"—",IF(MAX(0,MIN($G105,Dashboard!$P$3+1)-MAX($F105,Dashboard!$P$2))=0,"—",MAX(0,MIN($G105,Dashboard!$P$3+1)-MAX($F105,Dashboard!$P$2))))</f>
        <v>—</v>
      </c>
      <c r="U105" s="19" t="str">
        <f ca="1">IF(OR(NOT(ISNUMBER($F105)),NOT(ISNUMBER($G105)),NOT(ISNUMBER(Dashboard!$P$2)),NOT(ISNUMBER(Dashboard!$P$3)),$D105&lt;&gt;"Owner block"),"—",IF(MAX(0,MIN($G105,Dashboard!$P$3+1)-MAX($F105,Dashboard!$P$2))=0,"—",MAX(0,MIN($G105,Dashboard!$P$3+1)-MAX($F105,Dashboard!$P$2))))</f>
        <v>—</v>
      </c>
      <c r="V105" s="7" t="str">
        <f>IF($B105="",IF(COUNTA($C105:$G105,$I105:$K105,$S105)=0,"","⚠ no property — not counted"),IF(COUNTIF(Setup!$A$25:$A$36,$B105)=0,"⚠ property not in Setup",IF(AND($F105&lt;&gt;"",NOT(ISNUMBER($F105))),"⚠ check-in is not a real date",IF(AND($G105&lt;&gt;"",NOT(ISNUMBER($G105))),"⚠ check-out is not a real date",IF(AND($J105&lt;&gt;"",NOT(ISNUMBER($J105))),"⚠ booking value is not a number","OK")))))</f>
        <v/>
      </c>
      <c r="W105" s="21" t="str">
        <f t="shared" si="9"/>
        <v>—</v>
      </c>
    </row>
    <row r="106" spans="1:23" x14ac:dyDescent="0.2">
      <c r="A106" s="30">
        <v>102</v>
      </c>
      <c r="B106" s="8"/>
      <c r="C106" s="8"/>
      <c r="D106" s="8"/>
      <c r="E106" s="8"/>
      <c r="F106" s="34"/>
      <c r="G106" s="34"/>
      <c r="H106" s="19" t="str">
        <f t="shared" si="5"/>
        <v>—</v>
      </c>
      <c r="I106" s="35"/>
      <c r="J106" s="11"/>
      <c r="K106" s="36"/>
      <c r="L106" s="21" t="str">
        <f>IF(OR($B106="",NOT(ISNUMBER($J106)),$D106="Cancelled",$D106="Owner block"),"—",ROUND($J106*IF(ISNUMBER($K106),IF($K106&gt;1,$K106/100,$K106),IF(IFERROR(INDEX(Setup!$D$25:$D$36,MATCH($B106,Setup!$A$25:$A$36,0)),0)&gt;1,IFERROR(INDEX(Setup!$D$25:$D$36,MATCH($B106,Setup!$A$25:$A$36,0)),0)/100,IFERROR(INDEX(Setup!$D$25:$D$36,MATCH($B106,Setup!$A$25:$A$36,0)),0))),2))</f>
        <v>—</v>
      </c>
      <c r="M106" s="21" t="str">
        <f t="shared" si="6"/>
        <v>—</v>
      </c>
      <c r="N106" s="21" t="str">
        <f>IF(OR($B106="",$G106="",$D106="Cancelled"),"—",IFERROR(IF(INDEX(Setup!$E$25:$E$36,MATCH($B106,Setup!$A$25:$A$36,0))=0,"—",INDEX(Setup!$E$25:$E$36,MATCH($B106,Setup!$A$25:$A$36,0))),"—"))</f>
        <v>—</v>
      </c>
      <c r="O106" s="21" t="str">
        <f>IF(OR($B106="",$G106="",$D106="Cancelled"),"—",IFERROR(IF(INDEX(Setup!$F$25:$F$36,MATCH($B106,Setup!$A$25:$A$36,0))=0,"—",INDEX(Setup!$F$25:$F$36,MATCH($B106,Setup!$A$25:$A$36,0))),"—"))</f>
        <v>—</v>
      </c>
      <c r="P106" s="21" t="str">
        <f>IF(OR($B106="",$G106="",$D106="Cancelled",$D106="Owner block"),"—",IF(IFERROR(INDEX(Setup!$G$25:$G$36,MATCH($B106,Setup!$A$25:$A$36,0)),0)+IFERROR(INDEX(Setup!$H$25:$H$36,MATCH($B106,Setup!$A$25:$A$36,0)),0)*IF(ISNUMBER($H106),$H106,0)=0,"—",ROUND(IFERROR(INDEX(Setup!$G$25:$G$36,MATCH($B106,Setup!$A$25:$A$36,0)),0)+IFERROR(INDEX(Setup!$H$25:$H$36,MATCH($B106,Setup!$A$25:$A$36,0)),0)*IF(ISNUMBER($H106),$H106,0),2)))</f>
        <v>—</v>
      </c>
      <c r="Q106" s="21" t="str">
        <f t="shared" si="7"/>
        <v>—</v>
      </c>
      <c r="R106" s="21" t="str">
        <f t="shared" si="8"/>
        <v>—</v>
      </c>
      <c r="S106" s="8"/>
      <c r="T106" s="19" t="str">
        <f ca="1">IF(OR(NOT(ISNUMBER($F106)),NOT(ISNUMBER($G106)),NOT(ISNUMBER(Dashboard!$P$2)),NOT(ISNUMBER(Dashboard!$P$3)),$D106="Cancelled",$D106="Owner block"),"—",IF(MAX(0,MIN($G106,Dashboard!$P$3+1)-MAX($F106,Dashboard!$P$2))=0,"—",MAX(0,MIN($G106,Dashboard!$P$3+1)-MAX($F106,Dashboard!$P$2))))</f>
        <v>—</v>
      </c>
      <c r="U106" s="19" t="str">
        <f ca="1">IF(OR(NOT(ISNUMBER($F106)),NOT(ISNUMBER($G106)),NOT(ISNUMBER(Dashboard!$P$2)),NOT(ISNUMBER(Dashboard!$P$3)),$D106&lt;&gt;"Owner block"),"—",IF(MAX(0,MIN($G106,Dashboard!$P$3+1)-MAX($F106,Dashboard!$P$2))=0,"—",MAX(0,MIN($G106,Dashboard!$P$3+1)-MAX($F106,Dashboard!$P$2))))</f>
        <v>—</v>
      </c>
      <c r="V106" s="7" t="str">
        <f>IF($B106="",IF(COUNTA($C106:$G106,$I106:$K106,$S106)=0,"","⚠ no property — not counted"),IF(COUNTIF(Setup!$A$25:$A$36,$B106)=0,"⚠ property not in Setup",IF(AND($F106&lt;&gt;"",NOT(ISNUMBER($F106))),"⚠ check-in is not a real date",IF(AND($G106&lt;&gt;"",NOT(ISNUMBER($G106))),"⚠ check-out is not a real date",IF(AND($J106&lt;&gt;"",NOT(ISNUMBER($J106))),"⚠ booking value is not a number","OK")))))</f>
        <v/>
      </c>
      <c r="W106" s="21" t="str">
        <f t="shared" si="9"/>
        <v>—</v>
      </c>
    </row>
    <row r="107" spans="1:23" x14ac:dyDescent="0.2">
      <c r="A107" s="30">
        <v>103</v>
      </c>
      <c r="B107" s="3"/>
      <c r="C107" s="3"/>
      <c r="D107" s="3"/>
      <c r="E107" s="3"/>
      <c r="F107" s="31"/>
      <c r="G107" s="31"/>
      <c r="H107" s="19" t="str">
        <f t="shared" si="5"/>
        <v>—</v>
      </c>
      <c r="I107" s="32"/>
      <c r="J107" s="6"/>
      <c r="K107" s="33"/>
      <c r="L107" s="21" t="str">
        <f>IF(OR($B107="",NOT(ISNUMBER($J107)),$D107="Cancelled",$D107="Owner block"),"—",ROUND($J107*IF(ISNUMBER($K107),IF($K107&gt;1,$K107/100,$K107),IF(IFERROR(INDEX(Setup!$D$25:$D$36,MATCH($B107,Setup!$A$25:$A$36,0)),0)&gt;1,IFERROR(INDEX(Setup!$D$25:$D$36,MATCH($B107,Setup!$A$25:$A$36,0)),0)/100,IFERROR(INDEX(Setup!$D$25:$D$36,MATCH($B107,Setup!$A$25:$A$36,0)),0))),2))</f>
        <v>—</v>
      </c>
      <c r="M107" s="21" t="str">
        <f t="shared" si="6"/>
        <v>—</v>
      </c>
      <c r="N107" s="21" t="str">
        <f>IF(OR($B107="",$G107="",$D107="Cancelled"),"—",IFERROR(IF(INDEX(Setup!$E$25:$E$36,MATCH($B107,Setup!$A$25:$A$36,0))=0,"—",INDEX(Setup!$E$25:$E$36,MATCH($B107,Setup!$A$25:$A$36,0))),"—"))</f>
        <v>—</v>
      </c>
      <c r="O107" s="21" t="str">
        <f>IF(OR($B107="",$G107="",$D107="Cancelled"),"—",IFERROR(IF(INDEX(Setup!$F$25:$F$36,MATCH($B107,Setup!$A$25:$A$36,0))=0,"—",INDEX(Setup!$F$25:$F$36,MATCH($B107,Setup!$A$25:$A$36,0))),"—"))</f>
        <v>—</v>
      </c>
      <c r="P107" s="21" t="str">
        <f>IF(OR($B107="",$G107="",$D107="Cancelled",$D107="Owner block"),"—",IF(IFERROR(INDEX(Setup!$G$25:$G$36,MATCH($B107,Setup!$A$25:$A$36,0)),0)+IFERROR(INDEX(Setup!$H$25:$H$36,MATCH($B107,Setup!$A$25:$A$36,0)),0)*IF(ISNUMBER($H107),$H107,0)=0,"—",ROUND(IFERROR(INDEX(Setup!$G$25:$G$36,MATCH($B107,Setup!$A$25:$A$36,0)),0)+IFERROR(INDEX(Setup!$H$25:$H$36,MATCH($B107,Setup!$A$25:$A$36,0)),0)*IF(ISNUMBER($H107),$H107,0),2)))</f>
        <v>—</v>
      </c>
      <c r="Q107" s="21" t="str">
        <f t="shared" si="7"/>
        <v>—</v>
      </c>
      <c r="R107" s="21" t="str">
        <f t="shared" si="8"/>
        <v>—</v>
      </c>
      <c r="S107" s="3"/>
      <c r="T107" s="19" t="str">
        <f ca="1">IF(OR(NOT(ISNUMBER($F107)),NOT(ISNUMBER($G107)),NOT(ISNUMBER(Dashboard!$P$2)),NOT(ISNUMBER(Dashboard!$P$3)),$D107="Cancelled",$D107="Owner block"),"—",IF(MAX(0,MIN($G107,Dashboard!$P$3+1)-MAX($F107,Dashboard!$P$2))=0,"—",MAX(0,MIN($G107,Dashboard!$P$3+1)-MAX($F107,Dashboard!$P$2))))</f>
        <v>—</v>
      </c>
      <c r="U107" s="19" t="str">
        <f ca="1">IF(OR(NOT(ISNUMBER($F107)),NOT(ISNUMBER($G107)),NOT(ISNUMBER(Dashboard!$P$2)),NOT(ISNUMBER(Dashboard!$P$3)),$D107&lt;&gt;"Owner block"),"—",IF(MAX(0,MIN($G107,Dashboard!$P$3+1)-MAX($F107,Dashboard!$P$2))=0,"—",MAX(0,MIN($G107,Dashboard!$P$3+1)-MAX($F107,Dashboard!$P$2))))</f>
        <v>—</v>
      </c>
      <c r="V107" s="7" t="str">
        <f>IF($B107="",IF(COUNTA($C107:$G107,$I107:$K107,$S107)=0,"","⚠ no property — not counted"),IF(COUNTIF(Setup!$A$25:$A$36,$B107)=0,"⚠ property not in Setup",IF(AND($F107&lt;&gt;"",NOT(ISNUMBER($F107))),"⚠ check-in is not a real date",IF(AND($G107&lt;&gt;"",NOT(ISNUMBER($G107))),"⚠ check-out is not a real date",IF(AND($J107&lt;&gt;"",NOT(ISNUMBER($J107))),"⚠ booking value is not a number","OK")))))</f>
        <v/>
      </c>
      <c r="W107" s="21" t="str">
        <f t="shared" si="9"/>
        <v>—</v>
      </c>
    </row>
    <row r="108" spans="1:23" x14ac:dyDescent="0.2">
      <c r="A108" s="30">
        <v>104</v>
      </c>
      <c r="B108" s="8"/>
      <c r="C108" s="8"/>
      <c r="D108" s="8"/>
      <c r="E108" s="8"/>
      <c r="F108" s="34"/>
      <c r="G108" s="34"/>
      <c r="H108" s="19" t="str">
        <f t="shared" si="5"/>
        <v>—</v>
      </c>
      <c r="I108" s="35"/>
      <c r="J108" s="11"/>
      <c r="K108" s="36"/>
      <c r="L108" s="21" t="str">
        <f>IF(OR($B108="",NOT(ISNUMBER($J108)),$D108="Cancelled",$D108="Owner block"),"—",ROUND($J108*IF(ISNUMBER($K108),IF($K108&gt;1,$K108/100,$K108),IF(IFERROR(INDEX(Setup!$D$25:$D$36,MATCH($B108,Setup!$A$25:$A$36,0)),0)&gt;1,IFERROR(INDEX(Setup!$D$25:$D$36,MATCH($B108,Setup!$A$25:$A$36,0)),0)/100,IFERROR(INDEX(Setup!$D$25:$D$36,MATCH($B108,Setup!$A$25:$A$36,0)),0))),2))</f>
        <v>—</v>
      </c>
      <c r="M108" s="21" t="str">
        <f t="shared" si="6"/>
        <v>—</v>
      </c>
      <c r="N108" s="21" t="str">
        <f>IF(OR($B108="",$G108="",$D108="Cancelled"),"—",IFERROR(IF(INDEX(Setup!$E$25:$E$36,MATCH($B108,Setup!$A$25:$A$36,0))=0,"—",INDEX(Setup!$E$25:$E$36,MATCH($B108,Setup!$A$25:$A$36,0))),"—"))</f>
        <v>—</v>
      </c>
      <c r="O108" s="21" t="str">
        <f>IF(OR($B108="",$G108="",$D108="Cancelled"),"—",IFERROR(IF(INDEX(Setup!$F$25:$F$36,MATCH($B108,Setup!$A$25:$A$36,0))=0,"—",INDEX(Setup!$F$25:$F$36,MATCH($B108,Setup!$A$25:$A$36,0))),"—"))</f>
        <v>—</v>
      </c>
      <c r="P108" s="21" t="str">
        <f>IF(OR($B108="",$G108="",$D108="Cancelled",$D108="Owner block"),"—",IF(IFERROR(INDEX(Setup!$G$25:$G$36,MATCH($B108,Setup!$A$25:$A$36,0)),0)+IFERROR(INDEX(Setup!$H$25:$H$36,MATCH($B108,Setup!$A$25:$A$36,0)),0)*IF(ISNUMBER($H108),$H108,0)=0,"—",ROUND(IFERROR(INDEX(Setup!$G$25:$G$36,MATCH($B108,Setup!$A$25:$A$36,0)),0)+IFERROR(INDEX(Setup!$H$25:$H$36,MATCH($B108,Setup!$A$25:$A$36,0)),0)*IF(ISNUMBER($H108),$H108,0),2)))</f>
        <v>—</v>
      </c>
      <c r="Q108" s="21" t="str">
        <f t="shared" si="7"/>
        <v>—</v>
      </c>
      <c r="R108" s="21" t="str">
        <f t="shared" si="8"/>
        <v>—</v>
      </c>
      <c r="S108" s="8"/>
      <c r="T108" s="19" t="str">
        <f ca="1">IF(OR(NOT(ISNUMBER($F108)),NOT(ISNUMBER($G108)),NOT(ISNUMBER(Dashboard!$P$2)),NOT(ISNUMBER(Dashboard!$P$3)),$D108="Cancelled",$D108="Owner block"),"—",IF(MAX(0,MIN($G108,Dashboard!$P$3+1)-MAX($F108,Dashboard!$P$2))=0,"—",MAX(0,MIN($G108,Dashboard!$P$3+1)-MAX($F108,Dashboard!$P$2))))</f>
        <v>—</v>
      </c>
      <c r="U108" s="19" t="str">
        <f ca="1">IF(OR(NOT(ISNUMBER($F108)),NOT(ISNUMBER($G108)),NOT(ISNUMBER(Dashboard!$P$2)),NOT(ISNUMBER(Dashboard!$P$3)),$D108&lt;&gt;"Owner block"),"—",IF(MAX(0,MIN($G108,Dashboard!$P$3+1)-MAX($F108,Dashboard!$P$2))=0,"—",MAX(0,MIN($G108,Dashboard!$P$3+1)-MAX($F108,Dashboard!$P$2))))</f>
        <v>—</v>
      </c>
      <c r="V108" s="7" t="str">
        <f>IF($B108="",IF(COUNTA($C108:$G108,$I108:$K108,$S108)=0,"","⚠ no property — not counted"),IF(COUNTIF(Setup!$A$25:$A$36,$B108)=0,"⚠ property not in Setup",IF(AND($F108&lt;&gt;"",NOT(ISNUMBER($F108))),"⚠ check-in is not a real date",IF(AND($G108&lt;&gt;"",NOT(ISNUMBER($G108))),"⚠ check-out is not a real date",IF(AND($J108&lt;&gt;"",NOT(ISNUMBER($J108))),"⚠ booking value is not a number","OK")))))</f>
        <v/>
      </c>
      <c r="W108" s="21" t="str">
        <f t="shared" si="9"/>
        <v>—</v>
      </c>
    </row>
    <row r="109" spans="1:23" x14ac:dyDescent="0.2">
      <c r="A109" s="30">
        <v>105</v>
      </c>
      <c r="B109" s="3"/>
      <c r="C109" s="3"/>
      <c r="D109" s="3"/>
      <c r="E109" s="3"/>
      <c r="F109" s="31"/>
      <c r="G109" s="31"/>
      <c r="H109" s="19" t="str">
        <f t="shared" si="5"/>
        <v>—</v>
      </c>
      <c r="I109" s="32"/>
      <c r="J109" s="6"/>
      <c r="K109" s="33"/>
      <c r="L109" s="21" t="str">
        <f>IF(OR($B109="",NOT(ISNUMBER($J109)),$D109="Cancelled",$D109="Owner block"),"—",ROUND($J109*IF(ISNUMBER($K109),IF($K109&gt;1,$K109/100,$K109),IF(IFERROR(INDEX(Setup!$D$25:$D$36,MATCH($B109,Setup!$A$25:$A$36,0)),0)&gt;1,IFERROR(INDEX(Setup!$D$25:$D$36,MATCH($B109,Setup!$A$25:$A$36,0)),0)/100,IFERROR(INDEX(Setup!$D$25:$D$36,MATCH($B109,Setup!$A$25:$A$36,0)),0))),2))</f>
        <v>—</v>
      </c>
      <c r="M109" s="21" t="str">
        <f t="shared" si="6"/>
        <v>—</v>
      </c>
      <c r="N109" s="21" t="str">
        <f>IF(OR($B109="",$G109="",$D109="Cancelled"),"—",IFERROR(IF(INDEX(Setup!$E$25:$E$36,MATCH($B109,Setup!$A$25:$A$36,0))=0,"—",INDEX(Setup!$E$25:$E$36,MATCH($B109,Setup!$A$25:$A$36,0))),"—"))</f>
        <v>—</v>
      </c>
      <c r="O109" s="21" t="str">
        <f>IF(OR($B109="",$G109="",$D109="Cancelled"),"—",IFERROR(IF(INDEX(Setup!$F$25:$F$36,MATCH($B109,Setup!$A$25:$A$36,0))=0,"—",INDEX(Setup!$F$25:$F$36,MATCH($B109,Setup!$A$25:$A$36,0))),"—"))</f>
        <v>—</v>
      </c>
      <c r="P109" s="21" t="str">
        <f>IF(OR($B109="",$G109="",$D109="Cancelled",$D109="Owner block"),"—",IF(IFERROR(INDEX(Setup!$G$25:$G$36,MATCH($B109,Setup!$A$25:$A$36,0)),0)+IFERROR(INDEX(Setup!$H$25:$H$36,MATCH($B109,Setup!$A$25:$A$36,0)),0)*IF(ISNUMBER($H109),$H109,0)=0,"—",ROUND(IFERROR(INDEX(Setup!$G$25:$G$36,MATCH($B109,Setup!$A$25:$A$36,0)),0)+IFERROR(INDEX(Setup!$H$25:$H$36,MATCH($B109,Setup!$A$25:$A$36,0)),0)*IF(ISNUMBER($H109),$H109,0),2)))</f>
        <v>—</v>
      </c>
      <c r="Q109" s="21" t="str">
        <f t="shared" si="7"/>
        <v>—</v>
      </c>
      <c r="R109" s="21" t="str">
        <f t="shared" si="8"/>
        <v>—</v>
      </c>
      <c r="S109" s="3"/>
      <c r="T109" s="19" t="str">
        <f ca="1">IF(OR(NOT(ISNUMBER($F109)),NOT(ISNUMBER($G109)),NOT(ISNUMBER(Dashboard!$P$2)),NOT(ISNUMBER(Dashboard!$P$3)),$D109="Cancelled",$D109="Owner block"),"—",IF(MAX(0,MIN($G109,Dashboard!$P$3+1)-MAX($F109,Dashboard!$P$2))=0,"—",MAX(0,MIN($G109,Dashboard!$P$3+1)-MAX($F109,Dashboard!$P$2))))</f>
        <v>—</v>
      </c>
      <c r="U109" s="19" t="str">
        <f ca="1">IF(OR(NOT(ISNUMBER($F109)),NOT(ISNUMBER($G109)),NOT(ISNUMBER(Dashboard!$P$2)),NOT(ISNUMBER(Dashboard!$P$3)),$D109&lt;&gt;"Owner block"),"—",IF(MAX(0,MIN($G109,Dashboard!$P$3+1)-MAX($F109,Dashboard!$P$2))=0,"—",MAX(0,MIN($G109,Dashboard!$P$3+1)-MAX($F109,Dashboard!$P$2))))</f>
        <v>—</v>
      </c>
      <c r="V109" s="7" t="str">
        <f>IF($B109="",IF(COUNTA($C109:$G109,$I109:$K109,$S109)=0,"","⚠ no property — not counted"),IF(COUNTIF(Setup!$A$25:$A$36,$B109)=0,"⚠ property not in Setup",IF(AND($F109&lt;&gt;"",NOT(ISNUMBER($F109))),"⚠ check-in is not a real date",IF(AND($G109&lt;&gt;"",NOT(ISNUMBER($G109))),"⚠ check-out is not a real date",IF(AND($J109&lt;&gt;"",NOT(ISNUMBER($J109))),"⚠ booking value is not a number","OK")))))</f>
        <v/>
      </c>
      <c r="W109" s="21" t="str">
        <f t="shared" si="9"/>
        <v>—</v>
      </c>
    </row>
    <row r="110" spans="1:23" x14ac:dyDescent="0.2">
      <c r="A110" s="30">
        <v>106</v>
      </c>
      <c r="B110" s="8"/>
      <c r="C110" s="8"/>
      <c r="D110" s="8"/>
      <c r="E110" s="8"/>
      <c r="F110" s="34"/>
      <c r="G110" s="34"/>
      <c r="H110" s="19" t="str">
        <f t="shared" si="5"/>
        <v>—</v>
      </c>
      <c r="I110" s="35"/>
      <c r="J110" s="11"/>
      <c r="K110" s="36"/>
      <c r="L110" s="21" t="str">
        <f>IF(OR($B110="",NOT(ISNUMBER($J110)),$D110="Cancelled",$D110="Owner block"),"—",ROUND($J110*IF(ISNUMBER($K110),IF($K110&gt;1,$K110/100,$K110),IF(IFERROR(INDEX(Setup!$D$25:$D$36,MATCH($B110,Setup!$A$25:$A$36,0)),0)&gt;1,IFERROR(INDEX(Setup!$D$25:$D$36,MATCH($B110,Setup!$A$25:$A$36,0)),0)/100,IFERROR(INDEX(Setup!$D$25:$D$36,MATCH($B110,Setup!$A$25:$A$36,0)),0))),2))</f>
        <v>—</v>
      </c>
      <c r="M110" s="21" t="str">
        <f t="shared" si="6"/>
        <v>—</v>
      </c>
      <c r="N110" s="21" t="str">
        <f>IF(OR($B110="",$G110="",$D110="Cancelled"),"—",IFERROR(IF(INDEX(Setup!$E$25:$E$36,MATCH($B110,Setup!$A$25:$A$36,0))=0,"—",INDEX(Setup!$E$25:$E$36,MATCH($B110,Setup!$A$25:$A$36,0))),"—"))</f>
        <v>—</v>
      </c>
      <c r="O110" s="21" t="str">
        <f>IF(OR($B110="",$G110="",$D110="Cancelled"),"—",IFERROR(IF(INDEX(Setup!$F$25:$F$36,MATCH($B110,Setup!$A$25:$A$36,0))=0,"—",INDEX(Setup!$F$25:$F$36,MATCH($B110,Setup!$A$25:$A$36,0))),"—"))</f>
        <v>—</v>
      </c>
      <c r="P110" s="21" t="str">
        <f>IF(OR($B110="",$G110="",$D110="Cancelled",$D110="Owner block"),"—",IF(IFERROR(INDEX(Setup!$G$25:$G$36,MATCH($B110,Setup!$A$25:$A$36,0)),0)+IFERROR(INDEX(Setup!$H$25:$H$36,MATCH($B110,Setup!$A$25:$A$36,0)),0)*IF(ISNUMBER($H110),$H110,0)=0,"—",ROUND(IFERROR(INDEX(Setup!$G$25:$G$36,MATCH($B110,Setup!$A$25:$A$36,0)),0)+IFERROR(INDEX(Setup!$H$25:$H$36,MATCH($B110,Setup!$A$25:$A$36,0)),0)*IF(ISNUMBER($H110),$H110,0),2)))</f>
        <v>—</v>
      </c>
      <c r="Q110" s="21" t="str">
        <f t="shared" si="7"/>
        <v>—</v>
      </c>
      <c r="R110" s="21" t="str">
        <f t="shared" si="8"/>
        <v>—</v>
      </c>
      <c r="S110" s="8"/>
      <c r="T110" s="19" t="str">
        <f ca="1">IF(OR(NOT(ISNUMBER($F110)),NOT(ISNUMBER($G110)),NOT(ISNUMBER(Dashboard!$P$2)),NOT(ISNUMBER(Dashboard!$P$3)),$D110="Cancelled",$D110="Owner block"),"—",IF(MAX(0,MIN($G110,Dashboard!$P$3+1)-MAX($F110,Dashboard!$P$2))=0,"—",MAX(0,MIN($G110,Dashboard!$P$3+1)-MAX($F110,Dashboard!$P$2))))</f>
        <v>—</v>
      </c>
      <c r="U110" s="19" t="str">
        <f ca="1">IF(OR(NOT(ISNUMBER($F110)),NOT(ISNUMBER($G110)),NOT(ISNUMBER(Dashboard!$P$2)),NOT(ISNUMBER(Dashboard!$P$3)),$D110&lt;&gt;"Owner block"),"—",IF(MAX(0,MIN($G110,Dashboard!$P$3+1)-MAX($F110,Dashboard!$P$2))=0,"—",MAX(0,MIN($G110,Dashboard!$P$3+1)-MAX($F110,Dashboard!$P$2))))</f>
        <v>—</v>
      </c>
      <c r="V110" s="7" t="str">
        <f>IF($B110="",IF(COUNTA($C110:$G110,$I110:$K110,$S110)=0,"","⚠ no property — not counted"),IF(COUNTIF(Setup!$A$25:$A$36,$B110)=0,"⚠ property not in Setup",IF(AND($F110&lt;&gt;"",NOT(ISNUMBER($F110))),"⚠ check-in is not a real date",IF(AND($G110&lt;&gt;"",NOT(ISNUMBER($G110))),"⚠ check-out is not a real date",IF(AND($J110&lt;&gt;"",NOT(ISNUMBER($J110))),"⚠ booking value is not a number","OK")))))</f>
        <v/>
      </c>
      <c r="W110" s="21" t="str">
        <f t="shared" si="9"/>
        <v>—</v>
      </c>
    </row>
    <row r="111" spans="1:23" x14ac:dyDescent="0.2">
      <c r="A111" s="30">
        <v>107</v>
      </c>
      <c r="B111" s="3"/>
      <c r="C111" s="3"/>
      <c r="D111" s="3"/>
      <c r="E111" s="3"/>
      <c r="F111" s="31"/>
      <c r="G111" s="31"/>
      <c r="H111" s="19" t="str">
        <f t="shared" si="5"/>
        <v>—</v>
      </c>
      <c r="I111" s="32"/>
      <c r="J111" s="6"/>
      <c r="K111" s="33"/>
      <c r="L111" s="21" t="str">
        <f>IF(OR($B111="",NOT(ISNUMBER($J111)),$D111="Cancelled",$D111="Owner block"),"—",ROUND($J111*IF(ISNUMBER($K111),IF($K111&gt;1,$K111/100,$K111),IF(IFERROR(INDEX(Setup!$D$25:$D$36,MATCH($B111,Setup!$A$25:$A$36,0)),0)&gt;1,IFERROR(INDEX(Setup!$D$25:$D$36,MATCH($B111,Setup!$A$25:$A$36,0)),0)/100,IFERROR(INDEX(Setup!$D$25:$D$36,MATCH($B111,Setup!$A$25:$A$36,0)),0))),2))</f>
        <v>—</v>
      </c>
      <c r="M111" s="21" t="str">
        <f t="shared" si="6"/>
        <v>—</v>
      </c>
      <c r="N111" s="21" t="str">
        <f>IF(OR($B111="",$G111="",$D111="Cancelled"),"—",IFERROR(IF(INDEX(Setup!$E$25:$E$36,MATCH($B111,Setup!$A$25:$A$36,0))=0,"—",INDEX(Setup!$E$25:$E$36,MATCH($B111,Setup!$A$25:$A$36,0))),"—"))</f>
        <v>—</v>
      </c>
      <c r="O111" s="21" t="str">
        <f>IF(OR($B111="",$G111="",$D111="Cancelled"),"—",IFERROR(IF(INDEX(Setup!$F$25:$F$36,MATCH($B111,Setup!$A$25:$A$36,0))=0,"—",INDEX(Setup!$F$25:$F$36,MATCH($B111,Setup!$A$25:$A$36,0))),"—"))</f>
        <v>—</v>
      </c>
      <c r="P111" s="21" t="str">
        <f>IF(OR($B111="",$G111="",$D111="Cancelled",$D111="Owner block"),"—",IF(IFERROR(INDEX(Setup!$G$25:$G$36,MATCH($B111,Setup!$A$25:$A$36,0)),0)+IFERROR(INDEX(Setup!$H$25:$H$36,MATCH($B111,Setup!$A$25:$A$36,0)),0)*IF(ISNUMBER($H111),$H111,0)=0,"—",ROUND(IFERROR(INDEX(Setup!$G$25:$G$36,MATCH($B111,Setup!$A$25:$A$36,0)),0)+IFERROR(INDEX(Setup!$H$25:$H$36,MATCH($B111,Setup!$A$25:$A$36,0)),0)*IF(ISNUMBER($H111),$H111,0),2)))</f>
        <v>—</v>
      </c>
      <c r="Q111" s="21" t="str">
        <f t="shared" si="7"/>
        <v>—</v>
      </c>
      <c r="R111" s="21" t="str">
        <f t="shared" si="8"/>
        <v>—</v>
      </c>
      <c r="S111" s="3"/>
      <c r="T111" s="19" t="str">
        <f ca="1">IF(OR(NOT(ISNUMBER($F111)),NOT(ISNUMBER($G111)),NOT(ISNUMBER(Dashboard!$P$2)),NOT(ISNUMBER(Dashboard!$P$3)),$D111="Cancelled",$D111="Owner block"),"—",IF(MAX(0,MIN($G111,Dashboard!$P$3+1)-MAX($F111,Dashboard!$P$2))=0,"—",MAX(0,MIN($G111,Dashboard!$P$3+1)-MAX($F111,Dashboard!$P$2))))</f>
        <v>—</v>
      </c>
      <c r="U111" s="19" t="str">
        <f ca="1">IF(OR(NOT(ISNUMBER($F111)),NOT(ISNUMBER($G111)),NOT(ISNUMBER(Dashboard!$P$2)),NOT(ISNUMBER(Dashboard!$P$3)),$D111&lt;&gt;"Owner block"),"—",IF(MAX(0,MIN($G111,Dashboard!$P$3+1)-MAX($F111,Dashboard!$P$2))=0,"—",MAX(0,MIN($G111,Dashboard!$P$3+1)-MAX($F111,Dashboard!$P$2))))</f>
        <v>—</v>
      </c>
      <c r="V111" s="7" t="str">
        <f>IF($B111="",IF(COUNTA($C111:$G111,$I111:$K111,$S111)=0,"","⚠ no property — not counted"),IF(COUNTIF(Setup!$A$25:$A$36,$B111)=0,"⚠ property not in Setup",IF(AND($F111&lt;&gt;"",NOT(ISNUMBER($F111))),"⚠ check-in is not a real date",IF(AND($G111&lt;&gt;"",NOT(ISNUMBER($G111))),"⚠ check-out is not a real date",IF(AND($J111&lt;&gt;"",NOT(ISNUMBER($J111))),"⚠ booking value is not a number","OK")))))</f>
        <v/>
      </c>
      <c r="W111" s="21" t="str">
        <f t="shared" si="9"/>
        <v>—</v>
      </c>
    </row>
    <row r="112" spans="1:23" x14ac:dyDescent="0.2">
      <c r="A112" s="30">
        <v>108</v>
      </c>
      <c r="B112" s="8"/>
      <c r="C112" s="8"/>
      <c r="D112" s="8"/>
      <c r="E112" s="8"/>
      <c r="F112" s="34"/>
      <c r="G112" s="34"/>
      <c r="H112" s="19" t="str">
        <f t="shared" si="5"/>
        <v>—</v>
      </c>
      <c r="I112" s="35"/>
      <c r="J112" s="11"/>
      <c r="K112" s="36"/>
      <c r="L112" s="21" t="str">
        <f>IF(OR($B112="",NOT(ISNUMBER($J112)),$D112="Cancelled",$D112="Owner block"),"—",ROUND($J112*IF(ISNUMBER($K112),IF($K112&gt;1,$K112/100,$K112),IF(IFERROR(INDEX(Setup!$D$25:$D$36,MATCH($B112,Setup!$A$25:$A$36,0)),0)&gt;1,IFERROR(INDEX(Setup!$D$25:$D$36,MATCH($B112,Setup!$A$25:$A$36,0)),0)/100,IFERROR(INDEX(Setup!$D$25:$D$36,MATCH($B112,Setup!$A$25:$A$36,0)),0))),2))</f>
        <v>—</v>
      </c>
      <c r="M112" s="21" t="str">
        <f t="shared" si="6"/>
        <v>—</v>
      </c>
      <c r="N112" s="21" t="str">
        <f>IF(OR($B112="",$G112="",$D112="Cancelled"),"—",IFERROR(IF(INDEX(Setup!$E$25:$E$36,MATCH($B112,Setup!$A$25:$A$36,0))=0,"—",INDEX(Setup!$E$25:$E$36,MATCH($B112,Setup!$A$25:$A$36,0))),"—"))</f>
        <v>—</v>
      </c>
      <c r="O112" s="21" t="str">
        <f>IF(OR($B112="",$G112="",$D112="Cancelled"),"—",IFERROR(IF(INDEX(Setup!$F$25:$F$36,MATCH($B112,Setup!$A$25:$A$36,0))=0,"—",INDEX(Setup!$F$25:$F$36,MATCH($B112,Setup!$A$25:$A$36,0))),"—"))</f>
        <v>—</v>
      </c>
      <c r="P112" s="21" t="str">
        <f>IF(OR($B112="",$G112="",$D112="Cancelled",$D112="Owner block"),"—",IF(IFERROR(INDEX(Setup!$G$25:$G$36,MATCH($B112,Setup!$A$25:$A$36,0)),0)+IFERROR(INDEX(Setup!$H$25:$H$36,MATCH($B112,Setup!$A$25:$A$36,0)),0)*IF(ISNUMBER($H112),$H112,0)=0,"—",ROUND(IFERROR(INDEX(Setup!$G$25:$G$36,MATCH($B112,Setup!$A$25:$A$36,0)),0)+IFERROR(INDEX(Setup!$H$25:$H$36,MATCH($B112,Setup!$A$25:$A$36,0)),0)*IF(ISNUMBER($H112),$H112,0),2)))</f>
        <v>—</v>
      </c>
      <c r="Q112" s="21" t="str">
        <f t="shared" si="7"/>
        <v>—</v>
      </c>
      <c r="R112" s="21" t="str">
        <f t="shared" si="8"/>
        <v>—</v>
      </c>
      <c r="S112" s="8"/>
      <c r="T112" s="19" t="str">
        <f ca="1">IF(OR(NOT(ISNUMBER($F112)),NOT(ISNUMBER($G112)),NOT(ISNUMBER(Dashboard!$P$2)),NOT(ISNUMBER(Dashboard!$P$3)),$D112="Cancelled",$D112="Owner block"),"—",IF(MAX(0,MIN($G112,Dashboard!$P$3+1)-MAX($F112,Dashboard!$P$2))=0,"—",MAX(0,MIN($G112,Dashboard!$P$3+1)-MAX($F112,Dashboard!$P$2))))</f>
        <v>—</v>
      </c>
      <c r="U112" s="19" t="str">
        <f ca="1">IF(OR(NOT(ISNUMBER($F112)),NOT(ISNUMBER($G112)),NOT(ISNUMBER(Dashboard!$P$2)),NOT(ISNUMBER(Dashboard!$P$3)),$D112&lt;&gt;"Owner block"),"—",IF(MAX(0,MIN($G112,Dashboard!$P$3+1)-MAX($F112,Dashboard!$P$2))=0,"—",MAX(0,MIN($G112,Dashboard!$P$3+1)-MAX($F112,Dashboard!$P$2))))</f>
        <v>—</v>
      </c>
      <c r="V112" s="7" t="str">
        <f>IF($B112="",IF(COUNTA($C112:$G112,$I112:$K112,$S112)=0,"","⚠ no property — not counted"),IF(COUNTIF(Setup!$A$25:$A$36,$B112)=0,"⚠ property not in Setup",IF(AND($F112&lt;&gt;"",NOT(ISNUMBER($F112))),"⚠ check-in is not a real date",IF(AND($G112&lt;&gt;"",NOT(ISNUMBER($G112))),"⚠ check-out is not a real date",IF(AND($J112&lt;&gt;"",NOT(ISNUMBER($J112))),"⚠ booking value is not a number","OK")))))</f>
        <v/>
      </c>
      <c r="W112" s="21" t="str">
        <f t="shared" si="9"/>
        <v>—</v>
      </c>
    </row>
    <row r="113" spans="1:23" x14ac:dyDescent="0.2">
      <c r="A113" s="30">
        <v>109</v>
      </c>
      <c r="B113" s="3"/>
      <c r="C113" s="3"/>
      <c r="D113" s="3"/>
      <c r="E113" s="3"/>
      <c r="F113" s="31"/>
      <c r="G113" s="31"/>
      <c r="H113" s="19" t="str">
        <f t="shared" si="5"/>
        <v>—</v>
      </c>
      <c r="I113" s="32"/>
      <c r="J113" s="6"/>
      <c r="K113" s="33"/>
      <c r="L113" s="21" t="str">
        <f>IF(OR($B113="",NOT(ISNUMBER($J113)),$D113="Cancelled",$D113="Owner block"),"—",ROUND($J113*IF(ISNUMBER($K113),IF($K113&gt;1,$K113/100,$K113),IF(IFERROR(INDEX(Setup!$D$25:$D$36,MATCH($B113,Setup!$A$25:$A$36,0)),0)&gt;1,IFERROR(INDEX(Setup!$D$25:$D$36,MATCH($B113,Setup!$A$25:$A$36,0)),0)/100,IFERROR(INDEX(Setup!$D$25:$D$36,MATCH($B113,Setup!$A$25:$A$36,0)),0))),2))</f>
        <v>—</v>
      </c>
      <c r="M113" s="21" t="str">
        <f t="shared" si="6"/>
        <v>—</v>
      </c>
      <c r="N113" s="21" t="str">
        <f>IF(OR($B113="",$G113="",$D113="Cancelled"),"—",IFERROR(IF(INDEX(Setup!$E$25:$E$36,MATCH($B113,Setup!$A$25:$A$36,0))=0,"—",INDEX(Setup!$E$25:$E$36,MATCH($B113,Setup!$A$25:$A$36,0))),"—"))</f>
        <v>—</v>
      </c>
      <c r="O113" s="21" t="str">
        <f>IF(OR($B113="",$G113="",$D113="Cancelled"),"—",IFERROR(IF(INDEX(Setup!$F$25:$F$36,MATCH($B113,Setup!$A$25:$A$36,0))=0,"—",INDEX(Setup!$F$25:$F$36,MATCH($B113,Setup!$A$25:$A$36,0))),"—"))</f>
        <v>—</v>
      </c>
      <c r="P113" s="21" t="str">
        <f>IF(OR($B113="",$G113="",$D113="Cancelled",$D113="Owner block"),"—",IF(IFERROR(INDEX(Setup!$G$25:$G$36,MATCH($B113,Setup!$A$25:$A$36,0)),0)+IFERROR(INDEX(Setup!$H$25:$H$36,MATCH($B113,Setup!$A$25:$A$36,0)),0)*IF(ISNUMBER($H113),$H113,0)=0,"—",ROUND(IFERROR(INDEX(Setup!$G$25:$G$36,MATCH($B113,Setup!$A$25:$A$36,0)),0)+IFERROR(INDEX(Setup!$H$25:$H$36,MATCH($B113,Setup!$A$25:$A$36,0)),0)*IF(ISNUMBER($H113),$H113,0),2)))</f>
        <v>—</v>
      </c>
      <c r="Q113" s="21" t="str">
        <f t="shared" si="7"/>
        <v>—</v>
      </c>
      <c r="R113" s="21" t="str">
        <f t="shared" si="8"/>
        <v>—</v>
      </c>
      <c r="S113" s="3"/>
      <c r="T113" s="19" t="str">
        <f ca="1">IF(OR(NOT(ISNUMBER($F113)),NOT(ISNUMBER($G113)),NOT(ISNUMBER(Dashboard!$P$2)),NOT(ISNUMBER(Dashboard!$P$3)),$D113="Cancelled",$D113="Owner block"),"—",IF(MAX(0,MIN($G113,Dashboard!$P$3+1)-MAX($F113,Dashboard!$P$2))=0,"—",MAX(0,MIN($G113,Dashboard!$P$3+1)-MAX($F113,Dashboard!$P$2))))</f>
        <v>—</v>
      </c>
      <c r="U113" s="19" t="str">
        <f ca="1">IF(OR(NOT(ISNUMBER($F113)),NOT(ISNUMBER($G113)),NOT(ISNUMBER(Dashboard!$P$2)),NOT(ISNUMBER(Dashboard!$P$3)),$D113&lt;&gt;"Owner block"),"—",IF(MAX(0,MIN($G113,Dashboard!$P$3+1)-MAX($F113,Dashboard!$P$2))=0,"—",MAX(0,MIN($G113,Dashboard!$P$3+1)-MAX($F113,Dashboard!$P$2))))</f>
        <v>—</v>
      </c>
      <c r="V113" s="7" t="str">
        <f>IF($B113="",IF(COUNTA($C113:$G113,$I113:$K113,$S113)=0,"","⚠ no property — not counted"),IF(COUNTIF(Setup!$A$25:$A$36,$B113)=0,"⚠ property not in Setup",IF(AND($F113&lt;&gt;"",NOT(ISNUMBER($F113))),"⚠ check-in is not a real date",IF(AND($G113&lt;&gt;"",NOT(ISNUMBER($G113))),"⚠ check-out is not a real date",IF(AND($J113&lt;&gt;"",NOT(ISNUMBER($J113))),"⚠ booking value is not a number","OK")))))</f>
        <v/>
      </c>
      <c r="W113" s="21" t="str">
        <f t="shared" si="9"/>
        <v>—</v>
      </c>
    </row>
    <row r="114" spans="1:23" x14ac:dyDescent="0.2">
      <c r="A114" s="30">
        <v>110</v>
      </c>
      <c r="B114" s="8"/>
      <c r="C114" s="8"/>
      <c r="D114" s="8"/>
      <c r="E114" s="8"/>
      <c r="F114" s="34"/>
      <c r="G114" s="34"/>
      <c r="H114" s="19" t="str">
        <f t="shared" si="5"/>
        <v>—</v>
      </c>
      <c r="I114" s="35"/>
      <c r="J114" s="11"/>
      <c r="K114" s="36"/>
      <c r="L114" s="21" t="str">
        <f>IF(OR($B114="",NOT(ISNUMBER($J114)),$D114="Cancelled",$D114="Owner block"),"—",ROUND($J114*IF(ISNUMBER($K114),IF($K114&gt;1,$K114/100,$K114),IF(IFERROR(INDEX(Setup!$D$25:$D$36,MATCH($B114,Setup!$A$25:$A$36,0)),0)&gt;1,IFERROR(INDEX(Setup!$D$25:$D$36,MATCH($B114,Setup!$A$25:$A$36,0)),0)/100,IFERROR(INDEX(Setup!$D$25:$D$36,MATCH($B114,Setup!$A$25:$A$36,0)),0))),2))</f>
        <v>—</v>
      </c>
      <c r="M114" s="21" t="str">
        <f t="shared" si="6"/>
        <v>—</v>
      </c>
      <c r="N114" s="21" t="str">
        <f>IF(OR($B114="",$G114="",$D114="Cancelled"),"—",IFERROR(IF(INDEX(Setup!$E$25:$E$36,MATCH($B114,Setup!$A$25:$A$36,0))=0,"—",INDEX(Setup!$E$25:$E$36,MATCH($B114,Setup!$A$25:$A$36,0))),"—"))</f>
        <v>—</v>
      </c>
      <c r="O114" s="21" t="str">
        <f>IF(OR($B114="",$G114="",$D114="Cancelled"),"—",IFERROR(IF(INDEX(Setup!$F$25:$F$36,MATCH($B114,Setup!$A$25:$A$36,0))=0,"—",INDEX(Setup!$F$25:$F$36,MATCH($B114,Setup!$A$25:$A$36,0))),"—"))</f>
        <v>—</v>
      </c>
      <c r="P114" s="21" t="str">
        <f>IF(OR($B114="",$G114="",$D114="Cancelled",$D114="Owner block"),"—",IF(IFERROR(INDEX(Setup!$G$25:$G$36,MATCH($B114,Setup!$A$25:$A$36,0)),0)+IFERROR(INDEX(Setup!$H$25:$H$36,MATCH($B114,Setup!$A$25:$A$36,0)),0)*IF(ISNUMBER($H114),$H114,0)=0,"—",ROUND(IFERROR(INDEX(Setup!$G$25:$G$36,MATCH($B114,Setup!$A$25:$A$36,0)),0)+IFERROR(INDEX(Setup!$H$25:$H$36,MATCH($B114,Setup!$A$25:$A$36,0)),0)*IF(ISNUMBER($H114),$H114,0),2)))</f>
        <v>—</v>
      </c>
      <c r="Q114" s="21" t="str">
        <f t="shared" si="7"/>
        <v>—</v>
      </c>
      <c r="R114" s="21" t="str">
        <f t="shared" si="8"/>
        <v>—</v>
      </c>
      <c r="S114" s="8"/>
      <c r="T114" s="19" t="str">
        <f ca="1">IF(OR(NOT(ISNUMBER($F114)),NOT(ISNUMBER($G114)),NOT(ISNUMBER(Dashboard!$P$2)),NOT(ISNUMBER(Dashboard!$P$3)),$D114="Cancelled",$D114="Owner block"),"—",IF(MAX(0,MIN($G114,Dashboard!$P$3+1)-MAX($F114,Dashboard!$P$2))=0,"—",MAX(0,MIN($G114,Dashboard!$P$3+1)-MAX($F114,Dashboard!$P$2))))</f>
        <v>—</v>
      </c>
      <c r="U114" s="19" t="str">
        <f ca="1">IF(OR(NOT(ISNUMBER($F114)),NOT(ISNUMBER($G114)),NOT(ISNUMBER(Dashboard!$P$2)),NOT(ISNUMBER(Dashboard!$P$3)),$D114&lt;&gt;"Owner block"),"—",IF(MAX(0,MIN($G114,Dashboard!$P$3+1)-MAX($F114,Dashboard!$P$2))=0,"—",MAX(0,MIN($G114,Dashboard!$P$3+1)-MAX($F114,Dashboard!$P$2))))</f>
        <v>—</v>
      </c>
      <c r="V114" s="7" t="str">
        <f>IF($B114="",IF(COUNTA($C114:$G114,$I114:$K114,$S114)=0,"","⚠ no property — not counted"),IF(COUNTIF(Setup!$A$25:$A$36,$B114)=0,"⚠ property not in Setup",IF(AND($F114&lt;&gt;"",NOT(ISNUMBER($F114))),"⚠ check-in is not a real date",IF(AND($G114&lt;&gt;"",NOT(ISNUMBER($G114))),"⚠ check-out is not a real date",IF(AND($J114&lt;&gt;"",NOT(ISNUMBER($J114))),"⚠ booking value is not a number","OK")))))</f>
        <v/>
      </c>
      <c r="W114" s="21" t="str">
        <f t="shared" si="9"/>
        <v>—</v>
      </c>
    </row>
    <row r="115" spans="1:23" x14ac:dyDescent="0.2">
      <c r="A115" s="30">
        <v>111</v>
      </c>
      <c r="B115" s="3"/>
      <c r="C115" s="3"/>
      <c r="D115" s="3"/>
      <c r="E115" s="3"/>
      <c r="F115" s="31"/>
      <c r="G115" s="31"/>
      <c r="H115" s="19" t="str">
        <f t="shared" si="5"/>
        <v>—</v>
      </c>
      <c r="I115" s="32"/>
      <c r="J115" s="6"/>
      <c r="K115" s="33"/>
      <c r="L115" s="21" t="str">
        <f>IF(OR($B115="",NOT(ISNUMBER($J115)),$D115="Cancelled",$D115="Owner block"),"—",ROUND($J115*IF(ISNUMBER($K115),IF($K115&gt;1,$K115/100,$K115),IF(IFERROR(INDEX(Setup!$D$25:$D$36,MATCH($B115,Setup!$A$25:$A$36,0)),0)&gt;1,IFERROR(INDEX(Setup!$D$25:$D$36,MATCH($B115,Setup!$A$25:$A$36,0)),0)/100,IFERROR(INDEX(Setup!$D$25:$D$36,MATCH($B115,Setup!$A$25:$A$36,0)),0))),2))</f>
        <v>—</v>
      </c>
      <c r="M115" s="21" t="str">
        <f t="shared" si="6"/>
        <v>—</v>
      </c>
      <c r="N115" s="21" t="str">
        <f>IF(OR($B115="",$G115="",$D115="Cancelled"),"—",IFERROR(IF(INDEX(Setup!$E$25:$E$36,MATCH($B115,Setup!$A$25:$A$36,0))=0,"—",INDEX(Setup!$E$25:$E$36,MATCH($B115,Setup!$A$25:$A$36,0))),"—"))</f>
        <v>—</v>
      </c>
      <c r="O115" s="21" t="str">
        <f>IF(OR($B115="",$G115="",$D115="Cancelled"),"—",IFERROR(IF(INDEX(Setup!$F$25:$F$36,MATCH($B115,Setup!$A$25:$A$36,0))=0,"—",INDEX(Setup!$F$25:$F$36,MATCH($B115,Setup!$A$25:$A$36,0))),"—"))</f>
        <v>—</v>
      </c>
      <c r="P115" s="21" t="str">
        <f>IF(OR($B115="",$G115="",$D115="Cancelled",$D115="Owner block"),"—",IF(IFERROR(INDEX(Setup!$G$25:$G$36,MATCH($B115,Setup!$A$25:$A$36,0)),0)+IFERROR(INDEX(Setup!$H$25:$H$36,MATCH($B115,Setup!$A$25:$A$36,0)),0)*IF(ISNUMBER($H115),$H115,0)=0,"—",ROUND(IFERROR(INDEX(Setup!$G$25:$G$36,MATCH($B115,Setup!$A$25:$A$36,0)),0)+IFERROR(INDEX(Setup!$H$25:$H$36,MATCH($B115,Setup!$A$25:$A$36,0)),0)*IF(ISNUMBER($H115),$H115,0),2)))</f>
        <v>—</v>
      </c>
      <c r="Q115" s="21" t="str">
        <f t="shared" si="7"/>
        <v>—</v>
      </c>
      <c r="R115" s="21" t="str">
        <f t="shared" si="8"/>
        <v>—</v>
      </c>
      <c r="S115" s="3"/>
      <c r="T115" s="19" t="str">
        <f ca="1">IF(OR(NOT(ISNUMBER($F115)),NOT(ISNUMBER($G115)),NOT(ISNUMBER(Dashboard!$P$2)),NOT(ISNUMBER(Dashboard!$P$3)),$D115="Cancelled",$D115="Owner block"),"—",IF(MAX(0,MIN($G115,Dashboard!$P$3+1)-MAX($F115,Dashboard!$P$2))=0,"—",MAX(0,MIN($G115,Dashboard!$P$3+1)-MAX($F115,Dashboard!$P$2))))</f>
        <v>—</v>
      </c>
      <c r="U115" s="19" t="str">
        <f ca="1">IF(OR(NOT(ISNUMBER($F115)),NOT(ISNUMBER($G115)),NOT(ISNUMBER(Dashboard!$P$2)),NOT(ISNUMBER(Dashboard!$P$3)),$D115&lt;&gt;"Owner block"),"—",IF(MAX(0,MIN($G115,Dashboard!$P$3+1)-MAX($F115,Dashboard!$P$2))=0,"—",MAX(0,MIN($G115,Dashboard!$P$3+1)-MAX($F115,Dashboard!$P$2))))</f>
        <v>—</v>
      </c>
      <c r="V115" s="7" t="str">
        <f>IF($B115="",IF(COUNTA($C115:$G115,$I115:$K115,$S115)=0,"","⚠ no property — not counted"),IF(COUNTIF(Setup!$A$25:$A$36,$B115)=0,"⚠ property not in Setup",IF(AND($F115&lt;&gt;"",NOT(ISNUMBER($F115))),"⚠ check-in is not a real date",IF(AND($G115&lt;&gt;"",NOT(ISNUMBER($G115))),"⚠ check-out is not a real date",IF(AND($J115&lt;&gt;"",NOT(ISNUMBER($J115))),"⚠ booking value is not a number","OK")))))</f>
        <v/>
      </c>
      <c r="W115" s="21" t="str">
        <f t="shared" si="9"/>
        <v>—</v>
      </c>
    </row>
    <row r="116" spans="1:23" x14ac:dyDescent="0.2">
      <c r="A116" s="30">
        <v>112</v>
      </c>
      <c r="B116" s="8"/>
      <c r="C116" s="8"/>
      <c r="D116" s="8"/>
      <c r="E116" s="8"/>
      <c r="F116" s="34"/>
      <c r="G116" s="34"/>
      <c r="H116" s="19" t="str">
        <f t="shared" si="5"/>
        <v>—</v>
      </c>
      <c r="I116" s="35"/>
      <c r="J116" s="11"/>
      <c r="K116" s="36"/>
      <c r="L116" s="21" t="str">
        <f>IF(OR($B116="",NOT(ISNUMBER($J116)),$D116="Cancelled",$D116="Owner block"),"—",ROUND($J116*IF(ISNUMBER($K116),IF($K116&gt;1,$K116/100,$K116),IF(IFERROR(INDEX(Setup!$D$25:$D$36,MATCH($B116,Setup!$A$25:$A$36,0)),0)&gt;1,IFERROR(INDEX(Setup!$D$25:$D$36,MATCH($B116,Setup!$A$25:$A$36,0)),0)/100,IFERROR(INDEX(Setup!$D$25:$D$36,MATCH($B116,Setup!$A$25:$A$36,0)),0))),2))</f>
        <v>—</v>
      </c>
      <c r="M116" s="21" t="str">
        <f t="shared" si="6"/>
        <v>—</v>
      </c>
      <c r="N116" s="21" t="str">
        <f>IF(OR($B116="",$G116="",$D116="Cancelled"),"—",IFERROR(IF(INDEX(Setup!$E$25:$E$36,MATCH($B116,Setup!$A$25:$A$36,0))=0,"—",INDEX(Setup!$E$25:$E$36,MATCH($B116,Setup!$A$25:$A$36,0))),"—"))</f>
        <v>—</v>
      </c>
      <c r="O116" s="21" t="str">
        <f>IF(OR($B116="",$G116="",$D116="Cancelled"),"—",IFERROR(IF(INDEX(Setup!$F$25:$F$36,MATCH($B116,Setup!$A$25:$A$36,0))=0,"—",INDEX(Setup!$F$25:$F$36,MATCH($B116,Setup!$A$25:$A$36,0))),"—"))</f>
        <v>—</v>
      </c>
      <c r="P116" s="21" t="str">
        <f>IF(OR($B116="",$G116="",$D116="Cancelled",$D116="Owner block"),"—",IF(IFERROR(INDEX(Setup!$G$25:$G$36,MATCH($B116,Setup!$A$25:$A$36,0)),0)+IFERROR(INDEX(Setup!$H$25:$H$36,MATCH($B116,Setup!$A$25:$A$36,0)),0)*IF(ISNUMBER($H116),$H116,0)=0,"—",ROUND(IFERROR(INDEX(Setup!$G$25:$G$36,MATCH($B116,Setup!$A$25:$A$36,0)),0)+IFERROR(INDEX(Setup!$H$25:$H$36,MATCH($B116,Setup!$A$25:$A$36,0)),0)*IF(ISNUMBER($H116),$H116,0),2)))</f>
        <v>—</v>
      </c>
      <c r="Q116" s="21" t="str">
        <f t="shared" si="7"/>
        <v>—</v>
      </c>
      <c r="R116" s="21" t="str">
        <f t="shared" si="8"/>
        <v>—</v>
      </c>
      <c r="S116" s="8"/>
      <c r="T116" s="19" t="str">
        <f ca="1">IF(OR(NOT(ISNUMBER($F116)),NOT(ISNUMBER($G116)),NOT(ISNUMBER(Dashboard!$P$2)),NOT(ISNUMBER(Dashboard!$P$3)),$D116="Cancelled",$D116="Owner block"),"—",IF(MAX(0,MIN($G116,Dashboard!$P$3+1)-MAX($F116,Dashboard!$P$2))=0,"—",MAX(0,MIN($G116,Dashboard!$P$3+1)-MAX($F116,Dashboard!$P$2))))</f>
        <v>—</v>
      </c>
      <c r="U116" s="19" t="str">
        <f ca="1">IF(OR(NOT(ISNUMBER($F116)),NOT(ISNUMBER($G116)),NOT(ISNUMBER(Dashboard!$P$2)),NOT(ISNUMBER(Dashboard!$P$3)),$D116&lt;&gt;"Owner block"),"—",IF(MAX(0,MIN($G116,Dashboard!$P$3+1)-MAX($F116,Dashboard!$P$2))=0,"—",MAX(0,MIN($G116,Dashboard!$P$3+1)-MAX($F116,Dashboard!$P$2))))</f>
        <v>—</v>
      </c>
      <c r="V116" s="7" t="str">
        <f>IF($B116="",IF(COUNTA($C116:$G116,$I116:$K116,$S116)=0,"","⚠ no property — not counted"),IF(COUNTIF(Setup!$A$25:$A$36,$B116)=0,"⚠ property not in Setup",IF(AND($F116&lt;&gt;"",NOT(ISNUMBER($F116))),"⚠ check-in is not a real date",IF(AND($G116&lt;&gt;"",NOT(ISNUMBER($G116))),"⚠ check-out is not a real date",IF(AND($J116&lt;&gt;"",NOT(ISNUMBER($J116))),"⚠ booking value is not a number","OK")))))</f>
        <v/>
      </c>
      <c r="W116" s="21" t="str">
        <f t="shared" si="9"/>
        <v>—</v>
      </c>
    </row>
    <row r="117" spans="1:23" x14ac:dyDescent="0.2">
      <c r="A117" s="30">
        <v>113</v>
      </c>
      <c r="B117" s="3"/>
      <c r="C117" s="3"/>
      <c r="D117" s="3"/>
      <c r="E117" s="3"/>
      <c r="F117" s="31"/>
      <c r="G117" s="31"/>
      <c r="H117" s="19" t="str">
        <f t="shared" si="5"/>
        <v>—</v>
      </c>
      <c r="I117" s="32"/>
      <c r="J117" s="6"/>
      <c r="K117" s="33"/>
      <c r="L117" s="21" t="str">
        <f>IF(OR($B117="",NOT(ISNUMBER($J117)),$D117="Cancelled",$D117="Owner block"),"—",ROUND($J117*IF(ISNUMBER($K117),IF($K117&gt;1,$K117/100,$K117),IF(IFERROR(INDEX(Setup!$D$25:$D$36,MATCH($B117,Setup!$A$25:$A$36,0)),0)&gt;1,IFERROR(INDEX(Setup!$D$25:$D$36,MATCH($B117,Setup!$A$25:$A$36,0)),0)/100,IFERROR(INDEX(Setup!$D$25:$D$36,MATCH($B117,Setup!$A$25:$A$36,0)),0))),2))</f>
        <v>—</v>
      </c>
      <c r="M117" s="21" t="str">
        <f t="shared" si="6"/>
        <v>—</v>
      </c>
      <c r="N117" s="21" t="str">
        <f>IF(OR($B117="",$G117="",$D117="Cancelled"),"—",IFERROR(IF(INDEX(Setup!$E$25:$E$36,MATCH($B117,Setup!$A$25:$A$36,0))=0,"—",INDEX(Setup!$E$25:$E$36,MATCH($B117,Setup!$A$25:$A$36,0))),"—"))</f>
        <v>—</v>
      </c>
      <c r="O117" s="21" t="str">
        <f>IF(OR($B117="",$G117="",$D117="Cancelled"),"—",IFERROR(IF(INDEX(Setup!$F$25:$F$36,MATCH($B117,Setup!$A$25:$A$36,0))=0,"—",INDEX(Setup!$F$25:$F$36,MATCH($B117,Setup!$A$25:$A$36,0))),"—"))</f>
        <v>—</v>
      </c>
      <c r="P117" s="21" t="str">
        <f>IF(OR($B117="",$G117="",$D117="Cancelled",$D117="Owner block"),"—",IF(IFERROR(INDEX(Setup!$G$25:$G$36,MATCH($B117,Setup!$A$25:$A$36,0)),0)+IFERROR(INDEX(Setup!$H$25:$H$36,MATCH($B117,Setup!$A$25:$A$36,0)),0)*IF(ISNUMBER($H117),$H117,0)=0,"—",ROUND(IFERROR(INDEX(Setup!$G$25:$G$36,MATCH($B117,Setup!$A$25:$A$36,0)),0)+IFERROR(INDEX(Setup!$H$25:$H$36,MATCH($B117,Setup!$A$25:$A$36,0)),0)*IF(ISNUMBER($H117),$H117,0),2)))</f>
        <v>—</v>
      </c>
      <c r="Q117" s="21" t="str">
        <f t="shared" si="7"/>
        <v>—</v>
      </c>
      <c r="R117" s="21" t="str">
        <f t="shared" si="8"/>
        <v>—</v>
      </c>
      <c r="S117" s="3"/>
      <c r="T117" s="19" t="str">
        <f ca="1">IF(OR(NOT(ISNUMBER($F117)),NOT(ISNUMBER($G117)),NOT(ISNUMBER(Dashboard!$P$2)),NOT(ISNUMBER(Dashboard!$P$3)),$D117="Cancelled",$D117="Owner block"),"—",IF(MAX(0,MIN($G117,Dashboard!$P$3+1)-MAX($F117,Dashboard!$P$2))=0,"—",MAX(0,MIN($G117,Dashboard!$P$3+1)-MAX($F117,Dashboard!$P$2))))</f>
        <v>—</v>
      </c>
      <c r="U117" s="19" t="str">
        <f ca="1">IF(OR(NOT(ISNUMBER($F117)),NOT(ISNUMBER($G117)),NOT(ISNUMBER(Dashboard!$P$2)),NOT(ISNUMBER(Dashboard!$P$3)),$D117&lt;&gt;"Owner block"),"—",IF(MAX(0,MIN($G117,Dashboard!$P$3+1)-MAX($F117,Dashboard!$P$2))=0,"—",MAX(0,MIN($G117,Dashboard!$P$3+1)-MAX($F117,Dashboard!$P$2))))</f>
        <v>—</v>
      </c>
      <c r="V117" s="7" t="str">
        <f>IF($B117="",IF(COUNTA($C117:$G117,$I117:$K117,$S117)=0,"","⚠ no property — not counted"),IF(COUNTIF(Setup!$A$25:$A$36,$B117)=0,"⚠ property not in Setup",IF(AND($F117&lt;&gt;"",NOT(ISNUMBER($F117))),"⚠ check-in is not a real date",IF(AND($G117&lt;&gt;"",NOT(ISNUMBER($G117))),"⚠ check-out is not a real date",IF(AND($J117&lt;&gt;"",NOT(ISNUMBER($J117))),"⚠ booking value is not a number","OK")))))</f>
        <v/>
      </c>
      <c r="W117" s="21" t="str">
        <f t="shared" si="9"/>
        <v>—</v>
      </c>
    </row>
    <row r="118" spans="1:23" x14ac:dyDescent="0.2">
      <c r="A118" s="30">
        <v>114</v>
      </c>
      <c r="B118" s="8"/>
      <c r="C118" s="8"/>
      <c r="D118" s="8"/>
      <c r="E118" s="8"/>
      <c r="F118" s="34"/>
      <c r="G118" s="34"/>
      <c r="H118" s="19" t="str">
        <f t="shared" si="5"/>
        <v>—</v>
      </c>
      <c r="I118" s="35"/>
      <c r="J118" s="11"/>
      <c r="K118" s="36"/>
      <c r="L118" s="21" t="str">
        <f>IF(OR($B118="",NOT(ISNUMBER($J118)),$D118="Cancelled",$D118="Owner block"),"—",ROUND($J118*IF(ISNUMBER($K118),IF($K118&gt;1,$K118/100,$K118),IF(IFERROR(INDEX(Setup!$D$25:$D$36,MATCH($B118,Setup!$A$25:$A$36,0)),0)&gt;1,IFERROR(INDEX(Setup!$D$25:$D$36,MATCH($B118,Setup!$A$25:$A$36,0)),0)/100,IFERROR(INDEX(Setup!$D$25:$D$36,MATCH($B118,Setup!$A$25:$A$36,0)),0))),2))</f>
        <v>—</v>
      </c>
      <c r="M118" s="21" t="str">
        <f t="shared" si="6"/>
        <v>—</v>
      </c>
      <c r="N118" s="21" t="str">
        <f>IF(OR($B118="",$G118="",$D118="Cancelled"),"—",IFERROR(IF(INDEX(Setup!$E$25:$E$36,MATCH($B118,Setup!$A$25:$A$36,0))=0,"—",INDEX(Setup!$E$25:$E$36,MATCH($B118,Setup!$A$25:$A$36,0))),"—"))</f>
        <v>—</v>
      </c>
      <c r="O118" s="21" t="str">
        <f>IF(OR($B118="",$G118="",$D118="Cancelled"),"—",IFERROR(IF(INDEX(Setup!$F$25:$F$36,MATCH($B118,Setup!$A$25:$A$36,0))=0,"—",INDEX(Setup!$F$25:$F$36,MATCH($B118,Setup!$A$25:$A$36,0))),"—"))</f>
        <v>—</v>
      </c>
      <c r="P118" s="21" t="str">
        <f>IF(OR($B118="",$G118="",$D118="Cancelled",$D118="Owner block"),"—",IF(IFERROR(INDEX(Setup!$G$25:$G$36,MATCH($B118,Setup!$A$25:$A$36,0)),0)+IFERROR(INDEX(Setup!$H$25:$H$36,MATCH($B118,Setup!$A$25:$A$36,0)),0)*IF(ISNUMBER($H118),$H118,0)=0,"—",ROUND(IFERROR(INDEX(Setup!$G$25:$G$36,MATCH($B118,Setup!$A$25:$A$36,0)),0)+IFERROR(INDEX(Setup!$H$25:$H$36,MATCH($B118,Setup!$A$25:$A$36,0)),0)*IF(ISNUMBER($H118),$H118,0),2)))</f>
        <v>—</v>
      </c>
      <c r="Q118" s="21" t="str">
        <f t="shared" si="7"/>
        <v>—</v>
      </c>
      <c r="R118" s="21" t="str">
        <f t="shared" si="8"/>
        <v>—</v>
      </c>
      <c r="S118" s="8"/>
      <c r="T118" s="19" t="str">
        <f ca="1">IF(OR(NOT(ISNUMBER($F118)),NOT(ISNUMBER($G118)),NOT(ISNUMBER(Dashboard!$P$2)),NOT(ISNUMBER(Dashboard!$P$3)),$D118="Cancelled",$D118="Owner block"),"—",IF(MAX(0,MIN($G118,Dashboard!$P$3+1)-MAX($F118,Dashboard!$P$2))=0,"—",MAX(0,MIN($G118,Dashboard!$P$3+1)-MAX($F118,Dashboard!$P$2))))</f>
        <v>—</v>
      </c>
      <c r="U118" s="19" t="str">
        <f ca="1">IF(OR(NOT(ISNUMBER($F118)),NOT(ISNUMBER($G118)),NOT(ISNUMBER(Dashboard!$P$2)),NOT(ISNUMBER(Dashboard!$P$3)),$D118&lt;&gt;"Owner block"),"—",IF(MAX(0,MIN($G118,Dashboard!$P$3+1)-MAX($F118,Dashboard!$P$2))=0,"—",MAX(0,MIN($G118,Dashboard!$P$3+1)-MAX($F118,Dashboard!$P$2))))</f>
        <v>—</v>
      </c>
      <c r="V118" s="7" t="str">
        <f>IF($B118="",IF(COUNTA($C118:$G118,$I118:$K118,$S118)=0,"","⚠ no property — not counted"),IF(COUNTIF(Setup!$A$25:$A$36,$B118)=0,"⚠ property not in Setup",IF(AND($F118&lt;&gt;"",NOT(ISNUMBER($F118))),"⚠ check-in is not a real date",IF(AND($G118&lt;&gt;"",NOT(ISNUMBER($G118))),"⚠ check-out is not a real date",IF(AND($J118&lt;&gt;"",NOT(ISNUMBER($J118))),"⚠ booking value is not a number","OK")))))</f>
        <v/>
      </c>
      <c r="W118" s="21" t="str">
        <f t="shared" si="9"/>
        <v>—</v>
      </c>
    </row>
    <row r="119" spans="1:23" x14ac:dyDescent="0.2">
      <c r="A119" s="30">
        <v>115</v>
      </c>
      <c r="B119" s="3"/>
      <c r="C119" s="3"/>
      <c r="D119" s="3"/>
      <c r="E119" s="3"/>
      <c r="F119" s="31"/>
      <c r="G119" s="31"/>
      <c r="H119" s="19" t="str">
        <f t="shared" si="5"/>
        <v>—</v>
      </c>
      <c r="I119" s="32"/>
      <c r="J119" s="6"/>
      <c r="K119" s="33"/>
      <c r="L119" s="21" t="str">
        <f>IF(OR($B119="",NOT(ISNUMBER($J119)),$D119="Cancelled",$D119="Owner block"),"—",ROUND($J119*IF(ISNUMBER($K119),IF($K119&gt;1,$K119/100,$K119),IF(IFERROR(INDEX(Setup!$D$25:$D$36,MATCH($B119,Setup!$A$25:$A$36,0)),0)&gt;1,IFERROR(INDEX(Setup!$D$25:$D$36,MATCH($B119,Setup!$A$25:$A$36,0)),0)/100,IFERROR(INDEX(Setup!$D$25:$D$36,MATCH($B119,Setup!$A$25:$A$36,0)),0))),2))</f>
        <v>—</v>
      </c>
      <c r="M119" s="21" t="str">
        <f t="shared" si="6"/>
        <v>—</v>
      </c>
      <c r="N119" s="21" t="str">
        <f>IF(OR($B119="",$G119="",$D119="Cancelled"),"—",IFERROR(IF(INDEX(Setup!$E$25:$E$36,MATCH($B119,Setup!$A$25:$A$36,0))=0,"—",INDEX(Setup!$E$25:$E$36,MATCH($B119,Setup!$A$25:$A$36,0))),"—"))</f>
        <v>—</v>
      </c>
      <c r="O119" s="21" t="str">
        <f>IF(OR($B119="",$G119="",$D119="Cancelled"),"—",IFERROR(IF(INDEX(Setup!$F$25:$F$36,MATCH($B119,Setup!$A$25:$A$36,0))=0,"—",INDEX(Setup!$F$25:$F$36,MATCH($B119,Setup!$A$25:$A$36,0))),"—"))</f>
        <v>—</v>
      </c>
      <c r="P119" s="21" t="str">
        <f>IF(OR($B119="",$G119="",$D119="Cancelled",$D119="Owner block"),"—",IF(IFERROR(INDEX(Setup!$G$25:$G$36,MATCH($B119,Setup!$A$25:$A$36,0)),0)+IFERROR(INDEX(Setup!$H$25:$H$36,MATCH($B119,Setup!$A$25:$A$36,0)),0)*IF(ISNUMBER($H119),$H119,0)=0,"—",ROUND(IFERROR(INDEX(Setup!$G$25:$G$36,MATCH($B119,Setup!$A$25:$A$36,0)),0)+IFERROR(INDEX(Setup!$H$25:$H$36,MATCH($B119,Setup!$A$25:$A$36,0)),0)*IF(ISNUMBER($H119),$H119,0),2)))</f>
        <v>—</v>
      </c>
      <c r="Q119" s="21" t="str">
        <f t="shared" si="7"/>
        <v>—</v>
      </c>
      <c r="R119" s="21" t="str">
        <f t="shared" si="8"/>
        <v>—</v>
      </c>
      <c r="S119" s="3"/>
      <c r="T119" s="19" t="str">
        <f ca="1">IF(OR(NOT(ISNUMBER($F119)),NOT(ISNUMBER($G119)),NOT(ISNUMBER(Dashboard!$P$2)),NOT(ISNUMBER(Dashboard!$P$3)),$D119="Cancelled",$D119="Owner block"),"—",IF(MAX(0,MIN($G119,Dashboard!$P$3+1)-MAX($F119,Dashboard!$P$2))=0,"—",MAX(0,MIN($G119,Dashboard!$P$3+1)-MAX($F119,Dashboard!$P$2))))</f>
        <v>—</v>
      </c>
      <c r="U119" s="19" t="str">
        <f ca="1">IF(OR(NOT(ISNUMBER($F119)),NOT(ISNUMBER($G119)),NOT(ISNUMBER(Dashboard!$P$2)),NOT(ISNUMBER(Dashboard!$P$3)),$D119&lt;&gt;"Owner block"),"—",IF(MAX(0,MIN($G119,Dashboard!$P$3+1)-MAX($F119,Dashboard!$P$2))=0,"—",MAX(0,MIN($G119,Dashboard!$P$3+1)-MAX($F119,Dashboard!$P$2))))</f>
        <v>—</v>
      </c>
      <c r="V119" s="7" t="str">
        <f>IF($B119="",IF(COUNTA($C119:$G119,$I119:$K119,$S119)=0,"","⚠ no property — not counted"),IF(COUNTIF(Setup!$A$25:$A$36,$B119)=0,"⚠ property not in Setup",IF(AND($F119&lt;&gt;"",NOT(ISNUMBER($F119))),"⚠ check-in is not a real date",IF(AND($G119&lt;&gt;"",NOT(ISNUMBER($G119))),"⚠ check-out is not a real date",IF(AND($J119&lt;&gt;"",NOT(ISNUMBER($J119))),"⚠ booking value is not a number","OK")))))</f>
        <v/>
      </c>
      <c r="W119" s="21" t="str">
        <f t="shared" si="9"/>
        <v>—</v>
      </c>
    </row>
    <row r="120" spans="1:23" x14ac:dyDescent="0.2">
      <c r="A120" s="30">
        <v>116</v>
      </c>
      <c r="B120" s="8"/>
      <c r="C120" s="8"/>
      <c r="D120" s="8"/>
      <c r="E120" s="8"/>
      <c r="F120" s="34"/>
      <c r="G120" s="34"/>
      <c r="H120" s="19" t="str">
        <f t="shared" si="5"/>
        <v>—</v>
      </c>
      <c r="I120" s="35"/>
      <c r="J120" s="11"/>
      <c r="K120" s="36"/>
      <c r="L120" s="21" t="str">
        <f>IF(OR($B120="",NOT(ISNUMBER($J120)),$D120="Cancelled",$D120="Owner block"),"—",ROUND($J120*IF(ISNUMBER($K120),IF($K120&gt;1,$K120/100,$K120),IF(IFERROR(INDEX(Setup!$D$25:$D$36,MATCH($B120,Setup!$A$25:$A$36,0)),0)&gt;1,IFERROR(INDEX(Setup!$D$25:$D$36,MATCH($B120,Setup!$A$25:$A$36,0)),0)/100,IFERROR(INDEX(Setup!$D$25:$D$36,MATCH($B120,Setup!$A$25:$A$36,0)),0))),2))</f>
        <v>—</v>
      </c>
      <c r="M120" s="21" t="str">
        <f t="shared" si="6"/>
        <v>—</v>
      </c>
      <c r="N120" s="21" t="str">
        <f>IF(OR($B120="",$G120="",$D120="Cancelled"),"—",IFERROR(IF(INDEX(Setup!$E$25:$E$36,MATCH($B120,Setup!$A$25:$A$36,0))=0,"—",INDEX(Setup!$E$25:$E$36,MATCH($B120,Setup!$A$25:$A$36,0))),"—"))</f>
        <v>—</v>
      </c>
      <c r="O120" s="21" t="str">
        <f>IF(OR($B120="",$G120="",$D120="Cancelled"),"—",IFERROR(IF(INDEX(Setup!$F$25:$F$36,MATCH($B120,Setup!$A$25:$A$36,0))=0,"—",INDEX(Setup!$F$25:$F$36,MATCH($B120,Setup!$A$25:$A$36,0))),"—"))</f>
        <v>—</v>
      </c>
      <c r="P120" s="21" t="str">
        <f>IF(OR($B120="",$G120="",$D120="Cancelled",$D120="Owner block"),"—",IF(IFERROR(INDEX(Setup!$G$25:$G$36,MATCH($B120,Setup!$A$25:$A$36,0)),0)+IFERROR(INDEX(Setup!$H$25:$H$36,MATCH($B120,Setup!$A$25:$A$36,0)),0)*IF(ISNUMBER($H120),$H120,0)=0,"—",ROUND(IFERROR(INDEX(Setup!$G$25:$G$36,MATCH($B120,Setup!$A$25:$A$36,0)),0)+IFERROR(INDEX(Setup!$H$25:$H$36,MATCH($B120,Setup!$A$25:$A$36,0)),0)*IF(ISNUMBER($H120),$H120,0),2)))</f>
        <v>—</v>
      </c>
      <c r="Q120" s="21" t="str">
        <f t="shared" si="7"/>
        <v>—</v>
      </c>
      <c r="R120" s="21" t="str">
        <f t="shared" si="8"/>
        <v>—</v>
      </c>
      <c r="S120" s="8"/>
      <c r="T120" s="19" t="str">
        <f ca="1">IF(OR(NOT(ISNUMBER($F120)),NOT(ISNUMBER($G120)),NOT(ISNUMBER(Dashboard!$P$2)),NOT(ISNUMBER(Dashboard!$P$3)),$D120="Cancelled",$D120="Owner block"),"—",IF(MAX(0,MIN($G120,Dashboard!$P$3+1)-MAX($F120,Dashboard!$P$2))=0,"—",MAX(0,MIN($G120,Dashboard!$P$3+1)-MAX($F120,Dashboard!$P$2))))</f>
        <v>—</v>
      </c>
      <c r="U120" s="19" t="str">
        <f ca="1">IF(OR(NOT(ISNUMBER($F120)),NOT(ISNUMBER($G120)),NOT(ISNUMBER(Dashboard!$P$2)),NOT(ISNUMBER(Dashboard!$P$3)),$D120&lt;&gt;"Owner block"),"—",IF(MAX(0,MIN($G120,Dashboard!$P$3+1)-MAX($F120,Dashboard!$P$2))=0,"—",MAX(0,MIN($G120,Dashboard!$P$3+1)-MAX($F120,Dashboard!$P$2))))</f>
        <v>—</v>
      </c>
      <c r="V120" s="7" t="str">
        <f>IF($B120="",IF(COUNTA($C120:$G120,$I120:$K120,$S120)=0,"","⚠ no property — not counted"),IF(COUNTIF(Setup!$A$25:$A$36,$B120)=0,"⚠ property not in Setup",IF(AND($F120&lt;&gt;"",NOT(ISNUMBER($F120))),"⚠ check-in is not a real date",IF(AND($G120&lt;&gt;"",NOT(ISNUMBER($G120))),"⚠ check-out is not a real date",IF(AND($J120&lt;&gt;"",NOT(ISNUMBER($J120))),"⚠ booking value is not a number","OK")))))</f>
        <v/>
      </c>
      <c r="W120" s="21" t="str">
        <f t="shared" si="9"/>
        <v>—</v>
      </c>
    </row>
    <row r="121" spans="1:23" x14ac:dyDescent="0.2">
      <c r="A121" s="30">
        <v>117</v>
      </c>
      <c r="B121" s="3"/>
      <c r="C121" s="3"/>
      <c r="D121" s="3"/>
      <c r="E121" s="3"/>
      <c r="F121" s="31"/>
      <c r="G121" s="31"/>
      <c r="H121" s="19" t="str">
        <f t="shared" si="5"/>
        <v>—</v>
      </c>
      <c r="I121" s="32"/>
      <c r="J121" s="6"/>
      <c r="K121" s="33"/>
      <c r="L121" s="21" t="str">
        <f>IF(OR($B121="",NOT(ISNUMBER($J121)),$D121="Cancelled",$D121="Owner block"),"—",ROUND($J121*IF(ISNUMBER($K121),IF($K121&gt;1,$K121/100,$K121),IF(IFERROR(INDEX(Setup!$D$25:$D$36,MATCH($B121,Setup!$A$25:$A$36,0)),0)&gt;1,IFERROR(INDEX(Setup!$D$25:$D$36,MATCH($B121,Setup!$A$25:$A$36,0)),0)/100,IFERROR(INDEX(Setup!$D$25:$D$36,MATCH($B121,Setup!$A$25:$A$36,0)),0))),2))</f>
        <v>—</v>
      </c>
      <c r="M121" s="21" t="str">
        <f t="shared" si="6"/>
        <v>—</v>
      </c>
      <c r="N121" s="21" t="str">
        <f>IF(OR($B121="",$G121="",$D121="Cancelled"),"—",IFERROR(IF(INDEX(Setup!$E$25:$E$36,MATCH($B121,Setup!$A$25:$A$36,0))=0,"—",INDEX(Setup!$E$25:$E$36,MATCH($B121,Setup!$A$25:$A$36,0))),"—"))</f>
        <v>—</v>
      </c>
      <c r="O121" s="21" t="str">
        <f>IF(OR($B121="",$G121="",$D121="Cancelled"),"—",IFERROR(IF(INDEX(Setup!$F$25:$F$36,MATCH($B121,Setup!$A$25:$A$36,0))=0,"—",INDEX(Setup!$F$25:$F$36,MATCH($B121,Setup!$A$25:$A$36,0))),"—"))</f>
        <v>—</v>
      </c>
      <c r="P121" s="21" t="str">
        <f>IF(OR($B121="",$G121="",$D121="Cancelled",$D121="Owner block"),"—",IF(IFERROR(INDEX(Setup!$G$25:$G$36,MATCH($B121,Setup!$A$25:$A$36,0)),0)+IFERROR(INDEX(Setup!$H$25:$H$36,MATCH($B121,Setup!$A$25:$A$36,0)),0)*IF(ISNUMBER($H121),$H121,0)=0,"—",ROUND(IFERROR(INDEX(Setup!$G$25:$G$36,MATCH($B121,Setup!$A$25:$A$36,0)),0)+IFERROR(INDEX(Setup!$H$25:$H$36,MATCH($B121,Setup!$A$25:$A$36,0)),0)*IF(ISNUMBER($H121),$H121,0),2)))</f>
        <v>—</v>
      </c>
      <c r="Q121" s="21" t="str">
        <f t="shared" si="7"/>
        <v>—</v>
      </c>
      <c r="R121" s="21" t="str">
        <f t="shared" si="8"/>
        <v>—</v>
      </c>
      <c r="S121" s="3"/>
      <c r="T121" s="19" t="str">
        <f ca="1">IF(OR(NOT(ISNUMBER($F121)),NOT(ISNUMBER($G121)),NOT(ISNUMBER(Dashboard!$P$2)),NOT(ISNUMBER(Dashboard!$P$3)),$D121="Cancelled",$D121="Owner block"),"—",IF(MAX(0,MIN($G121,Dashboard!$P$3+1)-MAX($F121,Dashboard!$P$2))=0,"—",MAX(0,MIN($G121,Dashboard!$P$3+1)-MAX($F121,Dashboard!$P$2))))</f>
        <v>—</v>
      </c>
      <c r="U121" s="19" t="str">
        <f ca="1">IF(OR(NOT(ISNUMBER($F121)),NOT(ISNUMBER($G121)),NOT(ISNUMBER(Dashboard!$P$2)),NOT(ISNUMBER(Dashboard!$P$3)),$D121&lt;&gt;"Owner block"),"—",IF(MAX(0,MIN($G121,Dashboard!$P$3+1)-MAX($F121,Dashboard!$P$2))=0,"—",MAX(0,MIN($G121,Dashboard!$P$3+1)-MAX($F121,Dashboard!$P$2))))</f>
        <v>—</v>
      </c>
      <c r="V121" s="7" t="str">
        <f>IF($B121="",IF(COUNTA($C121:$G121,$I121:$K121,$S121)=0,"","⚠ no property — not counted"),IF(COUNTIF(Setup!$A$25:$A$36,$B121)=0,"⚠ property not in Setup",IF(AND($F121&lt;&gt;"",NOT(ISNUMBER($F121))),"⚠ check-in is not a real date",IF(AND($G121&lt;&gt;"",NOT(ISNUMBER($G121))),"⚠ check-out is not a real date",IF(AND($J121&lt;&gt;"",NOT(ISNUMBER($J121))),"⚠ booking value is not a number","OK")))))</f>
        <v/>
      </c>
      <c r="W121" s="21" t="str">
        <f t="shared" si="9"/>
        <v>—</v>
      </c>
    </row>
    <row r="122" spans="1:23" x14ac:dyDescent="0.2">
      <c r="A122" s="30">
        <v>118</v>
      </c>
      <c r="B122" s="8"/>
      <c r="C122" s="8"/>
      <c r="D122" s="8"/>
      <c r="E122" s="8"/>
      <c r="F122" s="34"/>
      <c r="G122" s="34"/>
      <c r="H122" s="19" t="str">
        <f t="shared" si="5"/>
        <v>—</v>
      </c>
      <c r="I122" s="35"/>
      <c r="J122" s="11"/>
      <c r="K122" s="36"/>
      <c r="L122" s="21" t="str">
        <f>IF(OR($B122="",NOT(ISNUMBER($J122)),$D122="Cancelled",$D122="Owner block"),"—",ROUND($J122*IF(ISNUMBER($K122),IF($K122&gt;1,$K122/100,$K122),IF(IFERROR(INDEX(Setup!$D$25:$D$36,MATCH($B122,Setup!$A$25:$A$36,0)),0)&gt;1,IFERROR(INDEX(Setup!$D$25:$D$36,MATCH($B122,Setup!$A$25:$A$36,0)),0)/100,IFERROR(INDEX(Setup!$D$25:$D$36,MATCH($B122,Setup!$A$25:$A$36,0)),0))),2))</f>
        <v>—</v>
      </c>
      <c r="M122" s="21" t="str">
        <f t="shared" si="6"/>
        <v>—</v>
      </c>
      <c r="N122" s="21" t="str">
        <f>IF(OR($B122="",$G122="",$D122="Cancelled"),"—",IFERROR(IF(INDEX(Setup!$E$25:$E$36,MATCH($B122,Setup!$A$25:$A$36,0))=0,"—",INDEX(Setup!$E$25:$E$36,MATCH($B122,Setup!$A$25:$A$36,0))),"—"))</f>
        <v>—</v>
      </c>
      <c r="O122" s="21" t="str">
        <f>IF(OR($B122="",$G122="",$D122="Cancelled"),"—",IFERROR(IF(INDEX(Setup!$F$25:$F$36,MATCH($B122,Setup!$A$25:$A$36,0))=0,"—",INDEX(Setup!$F$25:$F$36,MATCH($B122,Setup!$A$25:$A$36,0))),"—"))</f>
        <v>—</v>
      </c>
      <c r="P122" s="21" t="str">
        <f>IF(OR($B122="",$G122="",$D122="Cancelled",$D122="Owner block"),"—",IF(IFERROR(INDEX(Setup!$G$25:$G$36,MATCH($B122,Setup!$A$25:$A$36,0)),0)+IFERROR(INDEX(Setup!$H$25:$H$36,MATCH($B122,Setup!$A$25:$A$36,0)),0)*IF(ISNUMBER($H122),$H122,0)=0,"—",ROUND(IFERROR(INDEX(Setup!$G$25:$G$36,MATCH($B122,Setup!$A$25:$A$36,0)),0)+IFERROR(INDEX(Setup!$H$25:$H$36,MATCH($B122,Setup!$A$25:$A$36,0)),0)*IF(ISNUMBER($H122),$H122,0),2)))</f>
        <v>—</v>
      </c>
      <c r="Q122" s="21" t="str">
        <f t="shared" si="7"/>
        <v>—</v>
      </c>
      <c r="R122" s="21" t="str">
        <f t="shared" si="8"/>
        <v>—</v>
      </c>
      <c r="S122" s="8"/>
      <c r="T122" s="19" t="str">
        <f ca="1">IF(OR(NOT(ISNUMBER($F122)),NOT(ISNUMBER($G122)),NOT(ISNUMBER(Dashboard!$P$2)),NOT(ISNUMBER(Dashboard!$P$3)),$D122="Cancelled",$D122="Owner block"),"—",IF(MAX(0,MIN($G122,Dashboard!$P$3+1)-MAX($F122,Dashboard!$P$2))=0,"—",MAX(0,MIN($G122,Dashboard!$P$3+1)-MAX($F122,Dashboard!$P$2))))</f>
        <v>—</v>
      </c>
      <c r="U122" s="19" t="str">
        <f ca="1">IF(OR(NOT(ISNUMBER($F122)),NOT(ISNUMBER($G122)),NOT(ISNUMBER(Dashboard!$P$2)),NOT(ISNUMBER(Dashboard!$P$3)),$D122&lt;&gt;"Owner block"),"—",IF(MAX(0,MIN($G122,Dashboard!$P$3+1)-MAX($F122,Dashboard!$P$2))=0,"—",MAX(0,MIN($G122,Dashboard!$P$3+1)-MAX($F122,Dashboard!$P$2))))</f>
        <v>—</v>
      </c>
      <c r="V122" s="7" t="str">
        <f>IF($B122="",IF(COUNTA($C122:$G122,$I122:$K122,$S122)=0,"","⚠ no property — not counted"),IF(COUNTIF(Setup!$A$25:$A$36,$B122)=0,"⚠ property not in Setup",IF(AND($F122&lt;&gt;"",NOT(ISNUMBER($F122))),"⚠ check-in is not a real date",IF(AND($G122&lt;&gt;"",NOT(ISNUMBER($G122))),"⚠ check-out is not a real date",IF(AND($J122&lt;&gt;"",NOT(ISNUMBER($J122))),"⚠ booking value is not a number","OK")))))</f>
        <v/>
      </c>
      <c r="W122" s="21" t="str">
        <f t="shared" si="9"/>
        <v>—</v>
      </c>
    </row>
    <row r="123" spans="1:23" x14ac:dyDescent="0.2">
      <c r="A123" s="30">
        <v>119</v>
      </c>
      <c r="B123" s="3"/>
      <c r="C123" s="3"/>
      <c r="D123" s="3"/>
      <c r="E123" s="3"/>
      <c r="F123" s="31"/>
      <c r="G123" s="31"/>
      <c r="H123" s="19" t="str">
        <f t="shared" si="5"/>
        <v>—</v>
      </c>
      <c r="I123" s="32"/>
      <c r="J123" s="6"/>
      <c r="K123" s="33"/>
      <c r="L123" s="21" t="str">
        <f>IF(OR($B123="",NOT(ISNUMBER($J123)),$D123="Cancelled",$D123="Owner block"),"—",ROUND($J123*IF(ISNUMBER($K123),IF($K123&gt;1,$K123/100,$K123),IF(IFERROR(INDEX(Setup!$D$25:$D$36,MATCH($B123,Setup!$A$25:$A$36,0)),0)&gt;1,IFERROR(INDEX(Setup!$D$25:$D$36,MATCH($B123,Setup!$A$25:$A$36,0)),0)/100,IFERROR(INDEX(Setup!$D$25:$D$36,MATCH($B123,Setup!$A$25:$A$36,0)),0))),2))</f>
        <v>—</v>
      </c>
      <c r="M123" s="21" t="str">
        <f t="shared" si="6"/>
        <v>—</v>
      </c>
      <c r="N123" s="21" t="str">
        <f>IF(OR($B123="",$G123="",$D123="Cancelled"),"—",IFERROR(IF(INDEX(Setup!$E$25:$E$36,MATCH($B123,Setup!$A$25:$A$36,0))=0,"—",INDEX(Setup!$E$25:$E$36,MATCH($B123,Setup!$A$25:$A$36,0))),"—"))</f>
        <v>—</v>
      </c>
      <c r="O123" s="21" t="str">
        <f>IF(OR($B123="",$G123="",$D123="Cancelled"),"—",IFERROR(IF(INDEX(Setup!$F$25:$F$36,MATCH($B123,Setup!$A$25:$A$36,0))=0,"—",INDEX(Setup!$F$25:$F$36,MATCH($B123,Setup!$A$25:$A$36,0))),"—"))</f>
        <v>—</v>
      </c>
      <c r="P123" s="21" t="str">
        <f>IF(OR($B123="",$G123="",$D123="Cancelled",$D123="Owner block"),"—",IF(IFERROR(INDEX(Setup!$G$25:$G$36,MATCH($B123,Setup!$A$25:$A$36,0)),0)+IFERROR(INDEX(Setup!$H$25:$H$36,MATCH($B123,Setup!$A$25:$A$36,0)),0)*IF(ISNUMBER($H123),$H123,0)=0,"—",ROUND(IFERROR(INDEX(Setup!$G$25:$G$36,MATCH($B123,Setup!$A$25:$A$36,0)),0)+IFERROR(INDEX(Setup!$H$25:$H$36,MATCH($B123,Setup!$A$25:$A$36,0)),0)*IF(ISNUMBER($H123),$H123,0),2)))</f>
        <v>—</v>
      </c>
      <c r="Q123" s="21" t="str">
        <f t="shared" si="7"/>
        <v>—</v>
      </c>
      <c r="R123" s="21" t="str">
        <f t="shared" si="8"/>
        <v>—</v>
      </c>
      <c r="S123" s="3"/>
      <c r="T123" s="19" t="str">
        <f ca="1">IF(OR(NOT(ISNUMBER($F123)),NOT(ISNUMBER($G123)),NOT(ISNUMBER(Dashboard!$P$2)),NOT(ISNUMBER(Dashboard!$P$3)),$D123="Cancelled",$D123="Owner block"),"—",IF(MAX(0,MIN($G123,Dashboard!$P$3+1)-MAX($F123,Dashboard!$P$2))=0,"—",MAX(0,MIN($G123,Dashboard!$P$3+1)-MAX($F123,Dashboard!$P$2))))</f>
        <v>—</v>
      </c>
      <c r="U123" s="19" t="str">
        <f ca="1">IF(OR(NOT(ISNUMBER($F123)),NOT(ISNUMBER($G123)),NOT(ISNUMBER(Dashboard!$P$2)),NOT(ISNUMBER(Dashboard!$P$3)),$D123&lt;&gt;"Owner block"),"—",IF(MAX(0,MIN($G123,Dashboard!$P$3+1)-MAX($F123,Dashboard!$P$2))=0,"—",MAX(0,MIN($G123,Dashboard!$P$3+1)-MAX($F123,Dashboard!$P$2))))</f>
        <v>—</v>
      </c>
      <c r="V123" s="7" t="str">
        <f>IF($B123="",IF(COUNTA($C123:$G123,$I123:$K123,$S123)=0,"","⚠ no property — not counted"),IF(COUNTIF(Setup!$A$25:$A$36,$B123)=0,"⚠ property not in Setup",IF(AND($F123&lt;&gt;"",NOT(ISNUMBER($F123))),"⚠ check-in is not a real date",IF(AND($G123&lt;&gt;"",NOT(ISNUMBER($G123))),"⚠ check-out is not a real date",IF(AND($J123&lt;&gt;"",NOT(ISNUMBER($J123))),"⚠ booking value is not a number","OK")))))</f>
        <v/>
      </c>
      <c r="W123" s="21" t="str">
        <f t="shared" si="9"/>
        <v>—</v>
      </c>
    </row>
    <row r="124" spans="1:23" x14ac:dyDescent="0.2">
      <c r="A124" s="30">
        <v>120</v>
      </c>
      <c r="B124" s="8"/>
      <c r="C124" s="8"/>
      <c r="D124" s="8"/>
      <c r="E124" s="8"/>
      <c r="F124" s="34"/>
      <c r="G124" s="34"/>
      <c r="H124" s="19" t="str">
        <f t="shared" si="5"/>
        <v>—</v>
      </c>
      <c r="I124" s="35"/>
      <c r="J124" s="11"/>
      <c r="K124" s="36"/>
      <c r="L124" s="21" t="str">
        <f>IF(OR($B124="",NOT(ISNUMBER($J124)),$D124="Cancelled",$D124="Owner block"),"—",ROUND($J124*IF(ISNUMBER($K124),IF($K124&gt;1,$K124/100,$K124),IF(IFERROR(INDEX(Setup!$D$25:$D$36,MATCH($B124,Setup!$A$25:$A$36,0)),0)&gt;1,IFERROR(INDEX(Setup!$D$25:$D$36,MATCH($B124,Setup!$A$25:$A$36,0)),0)/100,IFERROR(INDEX(Setup!$D$25:$D$36,MATCH($B124,Setup!$A$25:$A$36,0)),0))),2))</f>
        <v>—</v>
      </c>
      <c r="M124" s="21" t="str">
        <f t="shared" si="6"/>
        <v>—</v>
      </c>
      <c r="N124" s="21" t="str">
        <f>IF(OR($B124="",$G124="",$D124="Cancelled"),"—",IFERROR(IF(INDEX(Setup!$E$25:$E$36,MATCH($B124,Setup!$A$25:$A$36,0))=0,"—",INDEX(Setup!$E$25:$E$36,MATCH($B124,Setup!$A$25:$A$36,0))),"—"))</f>
        <v>—</v>
      </c>
      <c r="O124" s="21" t="str">
        <f>IF(OR($B124="",$G124="",$D124="Cancelled"),"—",IFERROR(IF(INDEX(Setup!$F$25:$F$36,MATCH($B124,Setup!$A$25:$A$36,0))=0,"—",INDEX(Setup!$F$25:$F$36,MATCH($B124,Setup!$A$25:$A$36,0))),"—"))</f>
        <v>—</v>
      </c>
      <c r="P124" s="21" t="str">
        <f>IF(OR($B124="",$G124="",$D124="Cancelled",$D124="Owner block"),"—",IF(IFERROR(INDEX(Setup!$G$25:$G$36,MATCH($B124,Setup!$A$25:$A$36,0)),0)+IFERROR(INDEX(Setup!$H$25:$H$36,MATCH($B124,Setup!$A$25:$A$36,0)),0)*IF(ISNUMBER($H124),$H124,0)=0,"—",ROUND(IFERROR(INDEX(Setup!$G$25:$G$36,MATCH($B124,Setup!$A$25:$A$36,0)),0)+IFERROR(INDEX(Setup!$H$25:$H$36,MATCH($B124,Setup!$A$25:$A$36,0)),0)*IF(ISNUMBER($H124),$H124,0),2)))</f>
        <v>—</v>
      </c>
      <c r="Q124" s="21" t="str">
        <f t="shared" si="7"/>
        <v>—</v>
      </c>
      <c r="R124" s="21" t="str">
        <f t="shared" si="8"/>
        <v>—</v>
      </c>
      <c r="S124" s="8"/>
      <c r="T124" s="19" t="str">
        <f ca="1">IF(OR(NOT(ISNUMBER($F124)),NOT(ISNUMBER($G124)),NOT(ISNUMBER(Dashboard!$P$2)),NOT(ISNUMBER(Dashboard!$P$3)),$D124="Cancelled",$D124="Owner block"),"—",IF(MAX(0,MIN($G124,Dashboard!$P$3+1)-MAX($F124,Dashboard!$P$2))=0,"—",MAX(0,MIN($G124,Dashboard!$P$3+1)-MAX($F124,Dashboard!$P$2))))</f>
        <v>—</v>
      </c>
      <c r="U124" s="19" t="str">
        <f ca="1">IF(OR(NOT(ISNUMBER($F124)),NOT(ISNUMBER($G124)),NOT(ISNUMBER(Dashboard!$P$2)),NOT(ISNUMBER(Dashboard!$P$3)),$D124&lt;&gt;"Owner block"),"—",IF(MAX(0,MIN($G124,Dashboard!$P$3+1)-MAX($F124,Dashboard!$P$2))=0,"—",MAX(0,MIN($G124,Dashboard!$P$3+1)-MAX($F124,Dashboard!$P$2))))</f>
        <v>—</v>
      </c>
      <c r="V124" s="7" t="str">
        <f>IF($B124="",IF(COUNTA($C124:$G124,$I124:$K124,$S124)=0,"","⚠ no property — not counted"),IF(COUNTIF(Setup!$A$25:$A$36,$B124)=0,"⚠ property not in Setup",IF(AND($F124&lt;&gt;"",NOT(ISNUMBER($F124))),"⚠ check-in is not a real date",IF(AND($G124&lt;&gt;"",NOT(ISNUMBER($G124))),"⚠ check-out is not a real date",IF(AND($J124&lt;&gt;"",NOT(ISNUMBER($J124))),"⚠ booking value is not a number","OK")))))</f>
        <v/>
      </c>
      <c r="W124" s="21" t="str">
        <f t="shared" si="9"/>
        <v>—</v>
      </c>
    </row>
    <row r="125" spans="1:23" x14ac:dyDescent="0.2">
      <c r="A125" s="30">
        <v>121</v>
      </c>
      <c r="B125" s="3"/>
      <c r="C125" s="3"/>
      <c r="D125" s="3"/>
      <c r="E125" s="3"/>
      <c r="F125" s="31"/>
      <c r="G125" s="31"/>
      <c r="H125" s="19" t="str">
        <f t="shared" si="5"/>
        <v>—</v>
      </c>
      <c r="I125" s="32"/>
      <c r="J125" s="6"/>
      <c r="K125" s="33"/>
      <c r="L125" s="21" t="str">
        <f>IF(OR($B125="",NOT(ISNUMBER($J125)),$D125="Cancelled",$D125="Owner block"),"—",ROUND($J125*IF(ISNUMBER($K125),IF($K125&gt;1,$K125/100,$K125),IF(IFERROR(INDEX(Setup!$D$25:$D$36,MATCH($B125,Setup!$A$25:$A$36,0)),0)&gt;1,IFERROR(INDEX(Setup!$D$25:$D$36,MATCH($B125,Setup!$A$25:$A$36,0)),0)/100,IFERROR(INDEX(Setup!$D$25:$D$36,MATCH($B125,Setup!$A$25:$A$36,0)),0))),2))</f>
        <v>—</v>
      </c>
      <c r="M125" s="21" t="str">
        <f t="shared" si="6"/>
        <v>—</v>
      </c>
      <c r="N125" s="21" t="str">
        <f>IF(OR($B125="",$G125="",$D125="Cancelled"),"—",IFERROR(IF(INDEX(Setup!$E$25:$E$36,MATCH($B125,Setup!$A$25:$A$36,0))=0,"—",INDEX(Setup!$E$25:$E$36,MATCH($B125,Setup!$A$25:$A$36,0))),"—"))</f>
        <v>—</v>
      </c>
      <c r="O125" s="21" t="str">
        <f>IF(OR($B125="",$G125="",$D125="Cancelled"),"—",IFERROR(IF(INDEX(Setup!$F$25:$F$36,MATCH($B125,Setup!$A$25:$A$36,0))=0,"—",INDEX(Setup!$F$25:$F$36,MATCH($B125,Setup!$A$25:$A$36,0))),"—"))</f>
        <v>—</v>
      </c>
      <c r="P125" s="21" t="str">
        <f>IF(OR($B125="",$G125="",$D125="Cancelled",$D125="Owner block"),"—",IF(IFERROR(INDEX(Setup!$G$25:$G$36,MATCH($B125,Setup!$A$25:$A$36,0)),0)+IFERROR(INDEX(Setup!$H$25:$H$36,MATCH($B125,Setup!$A$25:$A$36,0)),0)*IF(ISNUMBER($H125),$H125,0)=0,"—",ROUND(IFERROR(INDEX(Setup!$G$25:$G$36,MATCH($B125,Setup!$A$25:$A$36,0)),0)+IFERROR(INDEX(Setup!$H$25:$H$36,MATCH($B125,Setup!$A$25:$A$36,0)),0)*IF(ISNUMBER($H125),$H125,0),2)))</f>
        <v>—</v>
      </c>
      <c r="Q125" s="21" t="str">
        <f t="shared" si="7"/>
        <v>—</v>
      </c>
      <c r="R125" s="21" t="str">
        <f t="shared" si="8"/>
        <v>—</v>
      </c>
      <c r="S125" s="3"/>
      <c r="T125" s="19" t="str">
        <f ca="1">IF(OR(NOT(ISNUMBER($F125)),NOT(ISNUMBER($G125)),NOT(ISNUMBER(Dashboard!$P$2)),NOT(ISNUMBER(Dashboard!$P$3)),$D125="Cancelled",$D125="Owner block"),"—",IF(MAX(0,MIN($G125,Dashboard!$P$3+1)-MAX($F125,Dashboard!$P$2))=0,"—",MAX(0,MIN($G125,Dashboard!$P$3+1)-MAX($F125,Dashboard!$P$2))))</f>
        <v>—</v>
      </c>
      <c r="U125" s="19" t="str">
        <f ca="1">IF(OR(NOT(ISNUMBER($F125)),NOT(ISNUMBER($G125)),NOT(ISNUMBER(Dashboard!$P$2)),NOT(ISNUMBER(Dashboard!$P$3)),$D125&lt;&gt;"Owner block"),"—",IF(MAX(0,MIN($G125,Dashboard!$P$3+1)-MAX($F125,Dashboard!$P$2))=0,"—",MAX(0,MIN($G125,Dashboard!$P$3+1)-MAX($F125,Dashboard!$P$2))))</f>
        <v>—</v>
      </c>
      <c r="V125" s="7" t="str">
        <f>IF($B125="",IF(COUNTA($C125:$G125,$I125:$K125,$S125)=0,"","⚠ no property — not counted"),IF(COUNTIF(Setup!$A$25:$A$36,$B125)=0,"⚠ property not in Setup",IF(AND($F125&lt;&gt;"",NOT(ISNUMBER($F125))),"⚠ check-in is not a real date",IF(AND($G125&lt;&gt;"",NOT(ISNUMBER($G125))),"⚠ check-out is not a real date",IF(AND($J125&lt;&gt;"",NOT(ISNUMBER($J125))),"⚠ booking value is not a number","OK")))))</f>
        <v/>
      </c>
      <c r="W125" s="21" t="str">
        <f t="shared" si="9"/>
        <v>—</v>
      </c>
    </row>
    <row r="126" spans="1:23" x14ac:dyDescent="0.2">
      <c r="A126" s="30">
        <v>122</v>
      </c>
      <c r="B126" s="8"/>
      <c r="C126" s="8"/>
      <c r="D126" s="8"/>
      <c r="E126" s="8"/>
      <c r="F126" s="34"/>
      <c r="G126" s="34"/>
      <c r="H126" s="19" t="str">
        <f t="shared" si="5"/>
        <v>—</v>
      </c>
      <c r="I126" s="35"/>
      <c r="J126" s="11"/>
      <c r="K126" s="36"/>
      <c r="L126" s="21" t="str">
        <f>IF(OR($B126="",NOT(ISNUMBER($J126)),$D126="Cancelled",$D126="Owner block"),"—",ROUND($J126*IF(ISNUMBER($K126),IF($K126&gt;1,$K126/100,$K126),IF(IFERROR(INDEX(Setup!$D$25:$D$36,MATCH($B126,Setup!$A$25:$A$36,0)),0)&gt;1,IFERROR(INDEX(Setup!$D$25:$D$36,MATCH($B126,Setup!$A$25:$A$36,0)),0)/100,IFERROR(INDEX(Setup!$D$25:$D$36,MATCH($B126,Setup!$A$25:$A$36,0)),0))),2))</f>
        <v>—</v>
      </c>
      <c r="M126" s="21" t="str">
        <f t="shared" si="6"/>
        <v>—</v>
      </c>
      <c r="N126" s="21" t="str">
        <f>IF(OR($B126="",$G126="",$D126="Cancelled"),"—",IFERROR(IF(INDEX(Setup!$E$25:$E$36,MATCH($B126,Setup!$A$25:$A$36,0))=0,"—",INDEX(Setup!$E$25:$E$36,MATCH($B126,Setup!$A$25:$A$36,0))),"—"))</f>
        <v>—</v>
      </c>
      <c r="O126" s="21" t="str">
        <f>IF(OR($B126="",$G126="",$D126="Cancelled"),"—",IFERROR(IF(INDEX(Setup!$F$25:$F$36,MATCH($B126,Setup!$A$25:$A$36,0))=0,"—",INDEX(Setup!$F$25:$F$36,MATCH($B126,Setup!$A$25:$A$36,0))),"—"))</f>
        <v>—</v>
      </c>
      <c r="P126" s="21" t="str">
        <f>IF(OR($B126="",$G126="",$D126="Cancelled",$D126="Owner block"),"—",IF(IFERROR(INDEX(Setup!$G$25:$G$36,MATCH($B126,Setup!$A$25:$A$36,0)),0)+IFERROR(INDEX(Setup!$H$25:$H$36,MATCH($B126,Setup!$A$25:$A$36,0)),0)*IF(ISNUMBER($H126),$H126,0)=0,"—",ROUND(IFERROR(INDEX(Setup!$G$25:$G$36,MATCH($B126,Setup!$A$25:$A$36,0)),0)+IFERROR(INDEX(Setup!$H$25:$H$36,MATCH($B126,Setup!$A$25:$A$36,0)),0)*IF(ISNUMBER($H126),$H126,0),2)))</f>
        <v>—</v>
      </c>
      <c r="Q126" s="21" t="str">
        <f t="shared" si="7"/>
        <v>—</v>
      </c>
      <c r="R126" s="21" t="str">
        <f t="shared" si="8"/>
        <v>—</v>
      </c>
      <c r="S126" s="8"/>
      <c r="T126" s="19" t="str">
        <f ca="1">IF(OR(NOT(ISNUMBER($F126)),NOT(ISNUMBER($G126)),NOT(ISNUMBER(Dashboard!$P$2)),NOT(ISNUMBER(Dashboard!$P$3)),$D126="Cancelled",$D126="Owner block"),"—",IF(MAX(0,MIN($G126,Dashboard!$P$3+1)-MAX($F126,Dashboard!$P$2))=0,"—",MAX(0,MIN($G126,Dashboard!$P$3+1)-MAX($F126,Dashboard!$P$2))))</f>
        <v>—</v>
      </c>
      <c r="U126" s="19" t="str">
        <f ca="1">IF(OR(NOT(ISNUMBER($F126)),NOT(ISNUMBER($G126)),NOT(ISNUMBER(Dashboard!$P$2)),NOT(ISNUMBER(Dashboard!$P$3)),$D126&lt;&gt;"Owner block"),"—",IF(MAX(0,MIN($G126,Dashboard!$P$3+1)-MAX($F126,Dashboard!$P$2))=0,"—",MAX(0,MIN($G126,Dashboard!$P$3+1)-MAX($F126,Dashboard!$P$2))))</f>
        <v>—</v>
      </c>
      <c r="V126" s="7" t="str">
        <f>IF($B126="",IF(COUNTA($C126:$G126,$I126:$K126,$S126)=0,"","⚠ no property — not counted"),IF(COUNTIF(Setup!$A$25:$A$36,$B126)=0,"⚠ property not in Setup",IF(AND($F126&lt;&gt;"",NOT(ISNUMBER($F126))),"⚠ check-in is not a real date",IF(AND($G126&lt;&gt;"",NOT(ISNUMBER($G126))),"⚠ check-out is not a real date",IF(AND($J126&lt;&gt;"",NOT(ISNUMBER($J126))),"⚠ booking value is not a number","OK")))))</f>
        <v/>
      </c>
      <c r="W126" s="21" t="str">
        <f t="shared" si="9"/>
        <v>—</v>
      </c>
    </row>
    <row r="127" spans="1:23" x14ac:dyDescent="0.2">
      <c r="A127" s="30">
        <v>123</v>
      </c>
      <c r="B127" s="3"/>
      <c r="C127" s="3"/>
      <c r="D127" s="3"/>
      <c r="E127" s="3"/>
      <c r="F127" s="31"/>
      <c r="G127" s="31"/>
      <c r="H127" s="19" t="str">
        <f t="shared" si="5"/>
        <v>—</v>
      </c>
      <c r="I127" s="32"/>
      <c r="J127" s="6"/>
      <c r="K127" s="33"/>
      <c r="L127" s="21" t="str">
        <f>IF(OR($B127="",NOT(ISNUMBER($J127)),$D127="Cancelled",$D127="Owner block"),"—",ROUND($J127*IF(ISNUMBER($K127),IF($K127&gt;1,$K127/100,$K127),IF(IFERROR(INDEX(Setup!$D$25:$D$36,MATCH($B127,Setup!$A$25:$A$36,0)),0)&gt;1,IFERROR(INDEX(Setup!$D$25:$D$36,MATCH($B127,Setup!$A$25:$A$36,0)),0)/100,IFERROR(INDEX(Setup!$D$25:$D$36,MATCH($B127,Setup!$A$25:$A$36,0)),0))),2))</f>
        <v>—</v>
      </c>
      <c r="M127" s="21" t="str">
        <f t="shared" si="6"/>
        <v>—</v>
      </c>
      <c r="N127" s="21" t="str">
        <f>IF(OR($B127="",$G127="",$D127="Cancelled"),"—",IFERROR(IF(INDEX(Setup!$E$25:$E$36,MATCH($B127,Setup!$A$25:$A$36,0))=0,"—",INDEX(Setup!$E$25:$E$36,MATCH($B127,Setup!$A$25:$A$36,0))),"—"))</f>
        <v>—</v>
      </c>
      <c r="O127" s="21" t="str">
        <f>IF(OR($B127="",$G127="",$D127="Cancelled"),"—",IFERROR(IF(INDEX(Setup!$F$25:$F$36,MATCH($B127,Setup!$A$25:$A$36,0))=0,"—",INDEX(Setup!$F$25:$F$36,MATCH($B127,Setup!$A$25:$A$36,0))),"—"))</f>
        <v>—</v>
      </c>
      <c r="P127" s="21" t="str">
        <f>IF(OR($B127="",$G127="",$D127="Cancelled",$D127="Owner block"),"—",IF(IFERROR(INDEX(Setup!$G$25:$G$36,MATCH($B127,Setup!$A$25:$A$36,0)),0)+IFERROR(INDEX(Setup!$H$25:$H$36,MATCH($B127,Setup!$A$25:$A$36,0)),0)*IF(ISNUMBER($H127),$H127,0)=0,"—",ROUND(IFERROR(INDEX(Setup!$G$25:$G$36,MATCH($B127,Setup!$A$25:$A$36,0)),0)+IFERROR(INDEX(Setup!$H$25:$H$36,MATCH($B127,Setup!$A$25:$A$36,0)),0)*IF(ISNUMBER($H127),$H127,0),2)))</f>
        <v>—</v>
      </c>
      <c r="Q127" s="21" t="str">
        <f t="shared" si="7"/>
        <v>—</v>
      </c>
      <c r="R127" s="21" t="str">
        <f t="shared" si="8"/>
        <v>—</v>
      </c>
      <c r="S127" s="3"/>
      <c r="T127" s="19" t="str">
        <f ca="1">IF(OR(NOT(ISNUMBER($F127)),NOT(ISNUMBER($G127)),NOT(ISNUMBER(Dashboard!$P$2)),NOT(ISNUMBER(Dashboard!$P$3)),$D127="Cancelled",$D127="Owner block"),"—",IF(MAX(0,MIN($G127,Dashboard!$P$3+1)-MAX($F127,Dashboard!$P$2))=0,"—",MAX(0,MIN($G127,Dashboard!$P$3+1)-MAX($F127,Dashboard!$P$2))))</f>
        <v>—</v>
      </c>
      <c r="U127" s="19" t="str">
        <f ca="1">IF(OR(NOT(ISNUMBER($F127)),NOT(ISNUMBER($G127)),NOT(ISNUMBER(Dashboard!$P$2)),NOT(ISNUMBER(Dashboard!$P$3)),$D127&lt;&gt;"Owner block"),"—",IF(MAX(0,MIN($G127,Dashboard!$P$3+1)-MAX($F127,Dashboard!$P$2))=0,"—",MAX(0,MIN($G127,Dashboard!$P$3+1)-MAX($F127,Dashboard!$P$2))))</f>
        <v>—</v>
      </c>
      <c r="V127" s="7" t="str">
        <f>IF($B127="",IF(COUNTA($C127:$G127,$I127:$K127,$S127)=0,"","⚠ no property — not counted"),IF(COUNTIF(Setup!$A$25:$A$36,$B127)=0,"⚠ property not in Setup",IF(AND($F127&lt;&gt;"",NOT(ISNUMBER($F127))),"⚠ check-in is not a real date",IF(AND($G127&lt;&gt;"",NOT(ISNUMBER($G127))),"⚠ check-out is not a real date",IF(AND($J127&lt;&gt;"",NOT(ISNUMBER($J127))),"⚠ booking value is not a number","OK")))))</f>
        <v/>
      </c>
      <c r="W127" s="21" t="str">
        <f t="shared" si="9"/>
        <v>—</v>
      </c>
    </row>
    <row r="128" spans="1:23" x14ac:dyDescent="0.2">
      <c r="A128" s="30">
        <v>124</v>
      </c>
      <c r="B128" s="8"/>
      <c r="C128" s="8"/>
      <c r="D128" s="8"/>
      <c r="E128" s="8"/>
      <c r="F128" s="34"/>
      <c r="G128" s="34"/>
      <c r="H128" s="19" t="str">
        <f t="shared" si="5"/>
        <v>—</v>
      </c>
      <c r="I128" s="35"/>
      <c r="J128" s="11"/>
      <c r="K128" s="36"/>
      <c r="L128" s="21" t="str">
        <f>IF(OR($B128="",NOT(ISNUMBER($J128)),$D128="Cancelled",$D128="Owner block"),"—",ROUND($J128*IF(ISNUMBER($K128),IF($K128&gt;1,$K128/100,$K128),IF(IFERROR(INDEX(Setup!$D$25:$D$36,MATCH($B128,Setup!$A$25:$A$36,0)),0)&gt;1,IFERROR(INDEX(Setup!$D$25:$D$36,MATCH($B128,Setup!$A$25:$A$36,0)),0)/100,IFERROR(INDEX(Setup!$D$25:$D$36,MATCH($B128,Setup!$A$25:$A$36,0)),0))),2))</f>
        <v>—</v>
      </c>
      <c r="M128" s="21" t="str">
        <f t="shared" si="6"/>
        <v>—</v>
      </c>
      <c r="N128" s="21" t="str">
        <f>IF(OR($B128="",$G128="",$D128="Cancelled"),"—",IFERROR(IF(INDEX(Setup!$E$25:$E$36,MATCH($B128,Setup!$A$25:$A$36,0))=0,"—",INDEX(Setup!$E$25:$E$36,MATCH($B128,Setup!$A$25:$A$36,0))),"—"))</f>
        <v>—</v>
      </c>
      <c r="O128" s="21" t="str">
        <f>IF(OR($B128="",$G128="",$D128="Cancelled"),"—",IFERROR(IF(INDEX(Setup!$F$25:$F$36,MATCH($B128,Setup!$A$25:$A$36,0))=0,"—",INDEX(Setup!$F$25:$F$36,MATCH($B128,Setup!$A$25:$A$36,0))),"—"))</f>
        <v>—</v>
      </c>
      <c r="P128" s="21" t="str">
        <f>IF(OR($B128="",$G128="",$D128="Cancelled",$D128="Owner block"),"—",IF(IFERROR(INDEX(Setup!$G$25:$G$36,MATCH($B128,Setup!$A$25:$A$36,0)),0)+IFERROR(INDEX(Setup!$H$25:$H$36,MATCH($B128,Setup!$A$25:$A$36,0)),0)*IF(ISNUMBER($H128),$H128,0)=0,"—",ROUND(IFERROR(INDEX(Setup!$G$25:$G$36,MATCH($B128,Setup!$A$25:$A$36,0)),0)+IFERROR(INDEX(Setup!$H$25:$H$36,MATCH($B128,Setup!$A$25:$A$36,0)),0)*IF(ISNUMBER($H128),$H128,0),2)))</f>
        <v>—</v>
      </c>
      <c r="Q128" s="21" t="str">
        <f t="shared" si="7"/>
        <v>—</v>
      </c>
      <c r="R128" s="21" t="str">
        <f t="shared" si="8"/>
        <v>—</v>
      </c>
      <c r="S128" s="8"/>
      <c r="T128" s="19" t="str">
        <f ca="1">IF(OR(NOT(ISNUMBER($F128)),NOT(ISNUMBER($G128)),NOT(ISNUMBER(Dashboard!$P$2)),NOT(ISNUMBER(Dashboard!$P$3)),$D128="Cancelled",$D128="Owner block"),"—",IF(MAX(0,MIN($G128,Dashboard!$P$3+1)-MAX($F128,Dashboard!$P$2))=0,"—",MAX(0,MIN($G128,Dashboard!$P$3+1)-MAX($F128,Dashboard!$P$2))))</f>
        <v>—</v>
      </c>
      <c r="U128" s="19" t="str">
        <f ca="1">IF(OR(NOT(ISNUMBER($F128)),NOT(ISNUMBER($G128)),NOT(ISNUMBER(Dashboard!$P$2)),NOT(ISNUMBER(Dashboard!$P$3)),$D128&lt;&gt;"Owner block"),"—",IF(MAX(0,MIN($G128,Dashboard!$P$3+1)-MAX($F128,Dashboard!$P$2))=0,"—",MAX(0,MIN($G128,Dashboard!$P$3+1)-MAX($F128,Dashboard!$P$2))))</f>
        <v>—</v>
      </c>
      <c r="V128" s="7" t="str">
        <f>IF($B128="",IF(COUNTA($C128:$G128,$I128:$K128,$S128)=0,"","⚠ no property — not counted"),IF(COUNTIF(Setup!$A$25:$A$36,$B128)=0,"⚠ property not in Setup",IF(AND($F128&lt;&gt;"",NOT(ISNUMBER($F128))),"⚠ check-in is not a real date",IF(AND($G128&lt;&gt;"",NOT(ISNUMBER($G128))),"⚠ check-out is not a real date",IF(AND($J128&lt;&gt;"",NOT(ISNUMBER($J128))),"⚠ booking value is not a number","OK")))))</f>
        <v/>
      </c>
      <c r="W128" s="21" t="str">
        <f t="shared" si="9"/>
        <v>—</v>
      </c>
    </row>
    <row r="129" spans="1:23" x14ac:dyDescent="0.2">
      <c r="A129" s="30">
        <v>125</v>
      </c>
      <c r="B129" s="3"/>
      <c r="C129" s="3"/>
      <c r="D129" s="3"/>
      <c r="E129" s="3"/>
      <c r="F129" s="31"/>
      <c r="G129" s="31"/>
      <c r="H129" s="19" t="str">
        <f t="shared" si="5"/>
        <v>—</v>
      </c>
      <c r="I129" s="32"/>
      <c r="J129" s="6"/>
      <c r="K129" s="33"/>
      <c r="L129" s="21" t="str">
        <f>IF(OR($B129="",NOT(ISNUMBER($J129)),$D129="Cancelled",$D129="Owner block"),"—",ROUND($J129*IF(ISNUMBER($K129),IF($K129&gt;1,$K129/100,$K129),IF(IFERROR(INDEX(Setup!$D$25:$D$36,MATCH($B129,Setup!$A$25:$A$36,0)),0)&gt;1,IFERROR(INDEX(Setup!$D$25:$D$36,MATCH($B129,Setup!$A$25:$A$36,0)),0)/100,IFERROR(INDEX(Setup!$D$25:$D$36,MATCH($B129,Setup!$A$25:$A$36,0)),0))),2))</f>
        <v>—</v>
      </c>
      <c r="M129" s="21" t="str">
        <f t="shared" si="6"/>
        <v>—</v>
      </c>
      <c r="N129" s="21" t="str">
        <f>IF(OR($B129="",$G129="",$D129="Cancelled"),"—",IFERROR(IF(INDEX(Setup!$E$25:$E$36,MATCH($B129,Setup!$A$25:$A$36,0))=0,"—",INDEX(Setup!$E$25:$E$36,MATCH($B129,Setup!$A$25:$A$36,0))),"—"))</f>
        <v>—</v>
      </c>
      <c r="O129" s="21" t="str">
        <f>IF(OR($B129="",$G129="",$D129="Cancelled"),"—",IFERROR(IF(INDEX(Setup!$F$25:$F$36,MATCH($B129,Setup!$A$25:$A$36,0))=0,"—",INDEX(Setup!$F$25:$F$36,MATCH($B129,Setup!$A$25:$A$36,0))),"—"))</f>
        <v>—</v>
      </c>
      <c r="P129" s="21" t="str">
        <f>IF(OR($B129="",$G129="",$D129="Cancelled",$D129="Owner block"),"—",IF(IFERROR(INDEX(Setup!$G$25:$G$36,MATCH($B129,Setup!$A$25:$A$36,0)),0)+IFERROR(INDEX(Setup!$H$25:$H$36,MATCH($B129,Setup!$A$25:$A$36,0)),0)*IF(ISNUMBER($H129),$H129,0)=0,"—",ROUND(IFERROR(INDEX(Setup!$G$25:$G$36,MATCH($B129,Setup!$A$25:$A$36,0)),0)+IFERROR(INDEX(Setup!$H$25:$H$36,MATCH($B129,Setup!$A$25:$A$36,0)),0)*IF(ISNUMBER($H129),$H129,0),2)))</f>
        <v>—</v>
      </c>
      <c r="Q129" s="21" t="str">
        <f t="shared" si="7"/>
        <v>—</v>
      </c>
      <c r="R129" s="21" t="str">
        <f t="shared" si="8"/>
        <v>—</v>
      </c>
      <c r="S129" s="3"/>
      <c r="T129" s="19" t="str">
        <f ca="1">IF(OR(NOT(ISNUMBER($F129)),NOT(ISNUMBER($G129)),NOT(ISNUMBER(Dashboard!$P$2)),NOT(ISNUMBER(Dashboard!$P$3)),$D129="Cancelled",$D129="Owner block"),"—",IF(MAX(0,MIN($G129,Dashboard!$P$3+1)-MAX($F129,Dashboard!$P$2))=0,"—",MAX(0,MIN($G129,Dashboard!$P$3+1)-MAX($F129,Dashboard!$P$2))))</f>
        <v>—</v>
      </c>
      <c r="U129" s="19" t="str">
        <f ca="1">IF(OR(NOT(ISNUMBER($F129)),NOT(ISNUMBER($G129)),NOT(ISNUMBER(Dashboard!$P$2)),NOT(ISNUMBER(Dashboard!$P$3)),$D129&lt;&gt;"Owner block"),"—",IF(MAX(0,MIN($G129,Dashboard!$P$3+1)-MAX($F129,Dashboard!$P$2))=0,"—",MAX(0,MIN($G129,Dashboard!$P$3+1)-MAX($F129,Dashboard!$P$2))))</f>
        <v>—</v>
      </c>
      <c r="V129" s="7" t="str">
        <f>IF($B129="",IF(COUNTA($C129:$G129,$I129:$K129,$S129)=0,"","⚠ no property — not counted"),IF(COUNTIF(Setup!$A$25:$A$36,$B129)=0,"⚠ property not in Setup",IF(AND($F129&lt;&gt;"",NOT(ISNUMBER($F129))),"⚠ check-in is not a real date",IF(AND($G129&lt;&gt;"",NOT(ISNUMBER($G129))),"⚠ check-out is not a real date",IF(AND($J129&lt;&gt;"",NOT(ISNUMBER($J129))),"⚠ booking value is not a number","OK")))))</f>
        <v/>
      </c>
      <c r="W129" s="21" t="str">
        <f t="shared" si="9"/>
        <v>—</v>
      </c>
    </row>
    <row r="130" spans="1:23" x14ac:dyDescent="0.2">
      <c r="A130" s="30">
        <v>126</v>
      </c>
      <c r="B130" s="8"/>
      <c r="C130" s="8"/>
      <c r="D130" s="8"/>
      <c r="E130" s="8"/>
      <c r="F130" s="34"/>
      <c r="G130" s="34"/>
      <c r="H130" s="19" t="str">
        <f t="shared" si="5"/>
        <v>—</v>
      </c>
      <c r="I130" s="35"/>
      <c r="J130" s="11"/>
      <c r="K130" s="36"/>
      <c r="L130" s="21" t="str">
        <f>IF(OR($B130="",NOT(ISNUMBER($J130)),$D130="Cancelled",$D130="Owner block"),"—",ROUND($J130*IF(ISNUMBER($K130),IF($K130&gt;1,$K130/100,$K130),IF(IFERROR(INDEX(Setup!$D$25:$D$36,MATCH($B130,Setup!$A$25:$A$36,0)),0)&gt;1,IFERROR(INDEX(Setup!$D$25:$D$36,MATCH($B130,Setup!$A$25:$A$36,0)),0)/100,IFERROR(INDEX(Setup!$D$25:$D$36,MATCH($B130,Setup!$A$25:$A$36,0)),0))),2))</f>
        <v>—</v>
      </c>
      <c r="M130" s="21" t="str">
        <f t="shared" si="6"/>
        <v>—</v>
      </c>
      <c r="N130" s="21" t="str">
        <f>IF(OR($B130="",$G130="",$D130="Cancelled"),"—",IFERROR(IF(INDEX(Setup!$E$25:$E$36,MATCH($B130,Setup!$A$25:$A$36,0))=0,"—",INDEX(Setup!$E$25:$E$36,MATCH($B130,Setup!$A$25:$A$36,0))),"—"))</f>
        <v>—</v>
      </c>
      <c r="O130" s="21" t="str">
        <f>IF(OR($B130="",$G130="",$D130="Cancelled"),"—",IFERROR(IF(INDEX(Setup!$F$25:$F$36,MATCH($B130,Setup!$A$25:$A$36,0))=0,"—",INDEX(Setup!$F$25:$F$36,MATCH($B130,Setup!$A$25:$A$36,0))),"—"))</f>
        <v>—</v>
      </c>
      <c r="P130" s="21" t="str">
        <f>IF(OR($B130="",$G130="",$D130="Cancelled",$D130="Owner block"),"—",IF(IFERROR(INDEX(Setup!$G$25:$G$36,MATCH($B130,Setup!$A$25:$A$36,0)),0)+IFERROR(INDEX(Setup!$H$25:$H$36,MATCH($B130,Setup!$A$25:$A$36,0)),0)*IF(ISNUMBER($H130),$H130,0)=0,"—",ROUND(IFERROR(INDEX(Setup!$G$25:$G$36,MATCH($B130,Setup!$A$25:$A$36,0)),0)+IFERROR(INDEX(Setup!$H$25:$H$36,MATCH($B130,Setup!$A$25:$A$36,0)),0)*IF(ISNUMBER($H130),$H130,0),2)))</f>
        <v>—</v>
      </c>
      <c r="Q130" s="21" t="str">
        <f t="shared" si="7"/>
        <v>—</v>
      </c>
      <c r="R130" s="21" t="str">
        <f t="shared" si="8"/>
        <v>—</v>
      </c>
      <c r="S130" s="8"/>
      <c r="T130" s="19" t="str">
        <f ca="1">IF(OR(NOT(ISNUMBER($F130)),NOT(ISNUMBER($G130)),NOT(ISNUMBER(Dashboard!$P$2)),NOT(ISNUMBER(Dashboard!$P$3)),$D130="Cancelled",$D130="Owner block"),"—",IF(MAX(0,MIN($G130,Dashboard!$P$3+1)-MAX($F130,Dashboard!$P$2))=0,"—",MAX(0,MIN($G130,Dashboard!$P$3+1)-MAX($F130,Dashboard!$P$2))))</f>
        <v>—</v>
      </c>
      <c r="U130" s="19" t="str">
        <f ca="1">IF(OR(NOT(ISNUMBER($F130)),NOT(ISNUMBER($G130)),NOT(ISNUMBER(Dashboard!$P$2)),NOT(ISNUMBER(Dashboard!$P$3)),$D130&lt;&gt;"Owner block"),"—",IF(MAX(0,MIN($G130,Dashboard!$P$3+1)-MAX($F130,Dashboard!$P$2))=0,"—",MAX(0,MIN($G130,Dashboard!$P$3+1)-MAX($F130,Dashboard!$P$2))))</f>
        <v>—</v>
      </c>
      <c r="V130" s="7" t="str">
        <f>IF($B130="",IF(COUNTA($C130:$G130,$I130:$K130,$S130)=0,"","⚠ no property — not counted"),IF(COUNTIF(Setup!$A$25:$A$36,$B130)=0,"⚠ property not in Setup",IF(AND($F130&lt;&gt;"",NOT(ISNUMBER($F130))),"⚠ check-in is not a real date",IF(AND($G130&lt;&gt;"",NOT(ISNUMBER($G130))),"⚠ check-out is not a real date",IF(AND($J130&lt;&gt;"",NOT(ISNUMBER($J130))),"⚠ booking value is not a number","OK")))))</f>
        <v/>
      </c>
      <c r="W130" s="21" t="str">
        <f t="shared" si="9"/>
        <v>—</v>
      </c>
    </row>
    <row r="131" spans="1:23" x14ac:dyDescent="0.2">
      <c r="A131" s="30">
        <v>127</v>
      </c>
      <c r="B131" s="3"/>
      <c r="C131" s="3"/>
      <c r="D131" s="3"/>
      <c r="E131" s="3"/>
      <c r="F131" s="31"/>
      <c r="G131" s="31"/>
      <c r="H131" s="19" t="str">
        <f t="shared" si="5"/>
        <v>—</v>
      </c>
      <c r="I131" s="32"/>
      <c r="J131" s="6"/>
      <c r="K131" s="33"/>
      <c r="L131" s="21" t="str">
        <f>IF(OR($B131="",NOT(ISNUMBER($J131)),$D131="Cancelled",$D131="Owner block"),"—",ROUND($J131*IF(ISNUMBER($K131),IF($K131&gt;1,$K131/100,$K131),IF(IFERROR(INDEX(Setup!$D$25:$D$36,MATCH($B131,Setup!$A$25:$A$36,0)),0)&gt;1,IFERROR(INDEX(Setup!$D$25:$D$36,MATCH($B131,Setup!$A$25:$A$36,0)),0)/100,IFERROR(INDEX(Setup!$D$25:$D$36,MATCH($B131,Setup!$A$25:$A$36,0)),0))),2))</f>
        <v>—</v>
      </c>
      <c r="M131" s="21" t="str">
        <f t="shared" si="6"/>
        <v>—</v>
      </c>
      <c r="N131" s="21" t="str">
        <f>IF(OR($B131="",$G131="",$D131="Cancelled"),"—",IFERROR(IF(INDEX(Setup!$E$25:$E$36,MATCH($B131,Setup!$A$25:$A$36,0))=0,"—",INDEX(Setup!$E$25:$E$36,MATCH($B131,Setup!$A$25:$A$36,0))),"—"))</f>
        <v>—</v>
      </c>
      <c r="O131" s="21" t="str">
        <f>IF(OR($B131="",$G131="",$D131="Cancelled"),"—",IFERROR(IF(INDEX(Setup!$F$25:$F$36,MATCH($B131,Setup!$A$25:$A$36,0))=0,"—",INDEX(Setup!$F$25:$F$36,MATCH($B131,Setup!$A$25:$A$36,0))),"—"))</f>
        <v>—</v>
      </c>
      <c r="P131" s="21" t="str">
        <f>IF(OR($B131="",$G131="",$D131="Cancelled",$D131="Owner block"),"—",IF(IFERROR(INDEX(Setup!$G$25:$G$36,MATCH($B131,Setup!$A$25:$A$36,0)),0)+IFERROR(INDEX(Setup!$H$25:$H$36,MATCH($B131,Setup!$A$25:$A$36,0)),0)*IF(ISNUMBER($H131),$H131,0)=0,"—",ROUND(IFERROR(INDEX(Setup!$G$25:$G$36,MATCH($B131,Setup!$A$25:$A$36,0)),0)+IFERROR(INDEX(Setup!$H$25:$H$36,MATCH($B131,Setup!$A$25:$A$36,0)),0)*IF(ISNUMBER($H131),$H131,0),2)))</f>
        <v>—</v>
      </c>
      <c r="Q131" s="21" t="str">
        <f t="shared" si="7"/>
        <v>—</v>
      </c>
      <c r="R131" s="21" t="str">
        <f t="shared" si="8"/>
        <v>—</v>
      </c>
      <c r="S131" s="3"/>
      <c r="T131" s="19" t="str">
        <f ca="1">IF(OR(NOT(ISNUMBER($F131)),NOT(ISNUMBER($G131)),NOT(ISNUMBER(Dashboard!$P$2)),NOT(ISNUMBER(Dashboard!$P$3)),$D131="Cancelled",$D131="Owner block"),"—",IF(MAX(0,MIN($G131,Dashboard!$P$3+1)-MAX($F131,Dashboard!$P$2))=0,"—",MAX(0,MIN($G131,Dashboard!$P$3+1)-MAX($F131,Dashboard!$P$2))))</f>
        <v>—</v>
      </c>
      <c r="U131" s="19" t="str">
        <f ca="1">IF(OR(NOT(ISNUMBER($F131)),NOT(ISNUMBER($G131)),NOT(ISNUMBER(Dashboard!$P$2)),NOT(ISNUMBER(Dashboard!$P$3)),$D131&lt;&gt;"Owner block"),"—",IF(MAX(0,MIN($G131,Dashboard!$P$3+1)-MAX($F131,Dashboard!$P$2))=0,"—",MAX(0,MIN($G131,Dashboard!$P$3+1)-MAX($F131,Dashboard!$P$2))))</f>
        <v>—</v>
      </c>
      <c r="V131" s="7" t="str">
        <f>IF($B131="",IF(COUNTA($C131:$G131,$I131:$K131,$S131)=0,"","⚠ no property — not counted"),IF(COUNTIF(Setup!$A$25:$A$36,$B131)=0,"⚠ property not in Setup",IF(AND($F131&lt;&gt;"",NOT(ISNUMBER($F131))),"⚠ check-in is not a real date",IF(AND($G131&lt;&gt;"",NOT(ISNUMBER($G131))),"⚠ check-out is not a real date",IF(AND($J131&lt;&gt;"",NOT(ISNUMBER($J131))),"⚠ booking value is not a number","OK")))))</f>
        <v/>
      </c>
      <c r="W131" s="21" t="str">
        <f t="shared" si="9"/>
        <v>—</v>
      </c>
    </row>
    <row r="132" spans="1:23" x14ac:dyDescent="0.2">
      <c r="A132" s="30">
        <v>128</v>
      </c>
      <c r="B132" s="8"/>
      <c r="C132" s="8"/>
      <c r="D132" s="8"/>
      <c r="E132" s="8"/>
      <c r="F132" s="34"/>
      <c r="G132" s="34"/>
      <c r="H132" s="19" t="str">
        <f t="shared" si="5"/>
        <v>—</v>
      </c>
      <c r="I132" s="35"/>
      <c r="J132" s="11"/>
      <c r="K132" s="36"/>
      <c r="L132" s="21" t="str">
        <f>IF(OR($B132="",NOT(ISNUMBER($J132)),$D132="Cancelled",$D132="Owner block"),"—",ROUND($J132*IF(ISNUMBER($K132),IF($K132&gt;1,$K132/100,$K132),IF(IFERROR(INDEX(Setup!$D$25:$D$36,MATCH($B132,Setup!$A$25:$A$36,0)),0)&gt;1,IFERROR(INDEX(Setup!$D$25:$D$36,MATCH($B132,Setup!$A$25:$A$36,0)),0)/100,IFERROR(INDEX(Setup!$D$25:$D$36,MATCH($B132,Setup!$A$25:$A$36,0)),0))),2))</f>
        <v>—</v>
      </c>
      <c r="M132" s="21" t="str">
        <f t="shared" si="6"/>
        <v>—</v>
      </c>
      <c r="N132" s="21" t="str">
        <f>IF(OR($B132="",$G132="",$D132="Cancelled"),"—",IFERROR(IF(INDEX(Setup!$E$25:$E$36,MATCH($B132,Setup!$A$25:$A$36,0))=0,"—",INDEX(Setup!$E$25:$E$36,MATCH($B132,Setup!$A$25:$A$36,0))),"—"))</f>
        <v>—</v>
      </c>
      <c r="O132" s="21" t="str">
        <f>IF(OR($B132="",$G132="",$D132="Cancelled"),"—",IFERROR(IF(INDEX(Setup!$F$25:$F$36,MATCH($B132,Setup!$A$25:$A$36,0))=0,"—",INDEX(Setup!$F$25:$F$36,MATCH($B132,Setup!$A$25:$A$36,0))),"—"))</f>
        <v>—</v>
      </c>
      <c r="P132" s="21" t="str">
        <f>IF(OR($B132="",$G132="",$D132="Cancelled",$D132="Owner block"),"—",IF(IFERROR(INDEX(Setup!$G$25:$G$36,MATCH($B132,Setup!$A$25:$A$36,0)),0)+IFERROR(INDEX(Setup!$H$25:$H$36,MATCH($B132,Setup!$A$25:$A$36,0)),0)*IF(ISNUMBER($H132),$H132,0)=0,"—",ROUND(IFERROR(INDEX(Setup!$G$25:$G$36,MATCH($B132,Setup!$A$25:$A$36,0)),0)+IFERROR(INDEX(Setup!$H$25:$H$36,MATCH($B132,Setup!$A$25:$A$36,0)),0)*IF(ISNUMBER($H132),$H132,0),2)))</f>
        <v>—</v>
      </c>
      <c r="Q132" s="21" t="str">
        <f t="shared" si="7"/>
        <v>—</v>
      </c>
      <c r="R132" s="21" t="str">
        <f t="shared" si="8"/>
        <v>—</v>
      </c>
      <c r="S132" s="8"/>
      <c r="T132" s="19" t="str">
        <f ca="1">IF(OR(NOT(ISNUMBER($F132)),NOT(ISNUMBER($G132)),NOT(ISNUMBER(Dashboard!$P$2)),NOT(ISNUMBER(Dashboard!$P$3)),$D132="Cancelled",$D132="Owner block"),"—",IF(MAX(0,MIN($G132,Dashboard!$P$3+1)-MAX($F132,Dashboard!$P$2))=0,"—",MAX(0,MIN($G132,Dashboard!$P$3+1)-MAX($F132,Dashboard!$P$2))))</f>
        <v>—</v>
      </c>
      <c r="U132" s="19" t="str">
        <f ca="1">IF(OR(NOT(ISNUMBER($F132)),NOT(ISNUMBER($G132)),NOT(ISNUMBER(Dashboard!$P$2)),NOT(ISNUMBER(Dashboard!$P$3)),$D132&lt;&gt;"Owner block"),"—",IF(MAX(0,MIN($G132,Dashboard!$P$3+1)-MAX($F132,Dashboard!$P$2))=0,"—",MAX(0,MIN($G132,Dashboard!$P$3+1)-MAX($F132,Dashboard!$P$2))))</f>
        <v>—</v>
      </c>
      <c r="V132" s="7" t="str">
        <f>IF($B132="",IF(COUNTA($C132:$G132,$I132:$K132,$S132)=0,"","⚠ no property — not counted"),IF(COUNTIF(Setup!$A$25:$A$36,$B132)=0,"⚠ property not in Setup",IF(AND($F132&lt;&gt;"",NOT(ISNUMBER($F132))),"⚠ check-in is not a real date",IF(AND($G132&lt;&gt;"",NOT(ISNUMBER($G132))),"⚠ check-out is not a real date",IF(AND($J132&lt;&gt;"",NOT(ISNUMBER($J132))),"⚠ booking value is not a number","OK")))))</f>
        <v/>
      </c>
      <c r="W132" s="21" t="str">
        <f t="shared" si="9"/>
        <v>—</v>
      </c>
    </row>
    <row r="133" spans="1:23" x14ac:dyDescent="0.2">
      <c r="A133" s="30">
        <v>129</v>
      </c>
      <c r="B133" s="3"/>
      <c r="C133" s="3"/>
      <c r="D133" s="3"/>
      <c r="E133" s="3"/>
      <c r="F133" s="31"/>
      <c r="G133" s="31"/>
      <c r="H133" s="19" t="str">
        <f t="shared" ref="H133:H196" si="10">IF(OR(NOT(ISNUMBER($F133)),NOT(ISNUMBER($G133))),"—",IF($G133&lt;=$F133,"⚠ check dates",$G133-$F133))</f>
        <v>—</v>
      </c>
      <c r="I133" s="32"/>
      <c r="J133" s="6"/>
      <c r="K133" s="33"/>
      <c r="L133" s="21" t="str">
        <f>IF(OR($B133="",NOT(ISNUMBER($J133)),$D133="Cancelled",$D133="Owner block"),"—",ROUND($J133*IF(ISNUMBER($K133),IF($K133&gt;1,$K133/100,$K133),IF(IFERROR(INDEX(Setup!$D$25:$D$36,MATCH($B133,Setup!$A$25:$A$36,0)),0)&gt;1,IFERROR(INDEX(Setup!$D$25:$D$36,MATCH($B133,Setup!$A$25:$A$36,0)),0)/100,IFERROR(INDEX(Setup!$D$25:$D$36,MATCH($B133,Setup!$A$25:$A$36,0)),0))),2))</f>
        <v>—</v>
      </c>
      <c r="M133" s="21" t="str">
        <f t="shared" ref="M133:M196" si="11">IF(NOT(ISNUMBER($L133)),"—",ROUND($J133-$L133,2))</f>
        <v>—</v>
      </c>
      <c r="N133" s="21" t="str">
        <f>IF(OR($B133="",$G133="",$D133="Cancelled"),"—",IFERROR(IF(INDEX(Setup!$E$25:$E$36,MATCH($B133,Setup!$A$25:$A$36,0))=0,"—",INDEX(Setup!$E$25:$E$36,MATCH($B133,Setup!$A$25:$A$36,0))),"—"))</f>
        <v>—</v>
      </c>
      <c r="O133" s="21" t="str">
        <f>IF(OR($B133="",$G133="",$D133="Cancelled"),"—",IFERROR(IF(INDEX(Setup!$F$25:$F$36,MATCH($B133,Setup!$A$25:$A$36,0))=0,"—",INDEX(Setup!$F$25:$F$36,MATCH($B133,Setup!$A$25:$A$36,0))),"—"))</f>
        <v>—</v>
      </c>
      <c r="P133" s="21" t="str">
        <f>IF(OR($B133="",$G133="",$D133="Cancelled",$D133="Owner block"),"—",IF(IFERROR(INDEX(Setup!$G$25:$G$36,MATCH($B133,Setup!$A$25:$A$36,0)),0)+IFERROR(INDEX(Setup!$H$25:$H$36,MATCH($B133,Setup!$A$25:$A$36,0)),0)*IF(ISNUMBER($H133),$H133,0)=0,"—",ROUND(IFERROR(INDEX(Setup!$G$25:$G$36,MATCH($B133,Setup!$A$25:$A$36,0)),0)+IFERROR(INDEX(Setup!$H$25:$H$36,MATCH($B133,Setup!$A$25:$A$36,0)),0)*IF(ISNUMBER($H133),$H133,0),2)))</f>
        <v>—</v>
      </c>
      <c r="Q133" s="21" t="str">
        <f t="shared" ref="Q133:Q196" si="12">IF(OR($B133="",$D133="Cancelled"),"—",IF(AND(NOT(ISNUMBER($M133)),COUNT($N133:$P133)=0),"—",ROUND(IF(ISNUMBER($M133),$M133,0)-SUM($N133:$P133),2)))</f>
        <v>—</v>
      </c>
      <c r="R133" s="21" t="str">
        <f t="shared" ref="R133:R196" si="13">IF(OR(NOT(ISNUMBER($Q133)),NOT(ISNUMBER($H133)),$H133&lt;=0),"—",ROUND($Q133/$H133,2))</f>
        <v>—</v>
      </c>
      <c r="S133" s="3"/>
      <c r="T133" s="19" t="str">
        <f ca="1">IF(OR(NOT(ISNUMBER($F133)),NOT(ISNUMBER($G133)),NOT(ISNUMBER(Dashboard!$P$2)),NOT(ISNUMBER(Dashboard!$P$3)),$D133="Cancelled",$D133="Owner block"),"—",IF(MAX(0,MIN($G133,Dashboard!$P$3+1)-MAX($F133,Dashboard!$P$2))=0,"—",MAX(0,MIN($G133,Dashboard!$P$3+1)-MAX($F133,Dashboard!$P$2))))</f>
        <v>—</v>
      </c>
      <c r="U133" s="19" t="str">
        <f ca="1">IF(OR(NOT(ISNUMBER($F133)),NOT(ISNUMBER($G133)),NOT(ISNUMBER(Dashboard!$P$2)),NOT(ISNUMBER(Dashboard!$P$3)),$D133&lt;&gt;"Owner block"),"—",IF(MAX(0,MIN($G133,Dashboard!$P$3+1)-MAX($F133,Dashboard!$P$2))=0,"—",MAX(0,MIN($G133,Dashboard!$P$3+1)-MAX($F133,Dashboard!$P$2))))</f>
        <v>—</v>
      </c>
      <c r="V133" s="7" t="str">
        <f>IF($B133="",IF(COUNTA($C133:$G133,$I133:$K133,$S133)=0,"","⚠ no property — not counted"),IF(COUNTIF(Setup!$A$25:$A$36,$B133)=0,"⚠ property not in Setup",IF(AND($F133&lt;&gt;"",NOT(ISNUMBER($F133))),"⚠ check-in is not a real date",IF(AND($G133&lt;&gt;"",NOT(ISNUMBER($G133))),"⚠ check-out is not a real date",IF(AND($J133&lt;&gt;"",NOT(ISNUMBER($J133))),"⚠ booking value is not a number","OK")))))</f>
        <v/>
      </c>
      <c r="W133" s="21" t="str">
        <f t="shared" ref="W133:W196" si="14">IF(OR($B133="",NOT(ISNUMBER($J133)),$D133="Cancelled",$D133="Owner block"),"—",$J133)</f>
        <v>—</v>
      </c>
    </row>
    <row r="134" spans="1:23" x14ac:dyDescent="0.2">
      <c r="A134" s="30">
        <v>130</v>
      </c>
      <c r="B134" s="8"/>
      <c r="C134" s="8"/>
      <c r="D134" s="8"/>
      <c r="E134" s="8"/>
      <c r="F134" s="34"/>
      <c r="G134" s="34"/>
      <c r="H134" s="19" t="str">
        <f t="shared" si="10"/>
        <v>—</v>
      </c>
      <c r="I134" s="35"/>
      <c r="J134" s="11"/>
      <c r="K134" s="36"/>
      <c r="L134" s="21" t="str">
        <f>IF(OR($B134="",NOT(ISNUMBER($J134)),$D134="Cancelled",$D134="Owner block"),"—",ROUND($J134*IF(ISNUMBER($K134),IF($K134&gt;1,$K134/100,$K134),IF(IFERROR(INDEX(Setup!$D$25:$D$36,MATCH($B134,Setup!$A$25:$A$36,0)),0)&gt;1,IFERROR(INDEX(Setup!$D$25:$D$36,MATCH($B134,Setup!$A$25:$A$36,0)),0)/100,IFERROR(INDEX(Setup!$D$25:$D$36,MATCH($B134,Setup!$A$25:$A$36,0)),0))),2))</f>
        <v>—</v>
      </c>
      <c r="M134" s="21" t="str">
        <f t="shared" si="11"/>
        <v>—</v>
      </c>
      <c r="N134" s="21" t="str">
        <f>IF(OR($B134="",$G134="",$D134="Cancelled"),"—",IFERROR(IF(INDEX(Setup!$E$25:$E$36,MATCH($B134,Setup!$A$25:$A$36,0))=0,"—",INDEX(Setup!$E$25:$E$36,MATCH($B134,Setup!$A$25:$A$36,0))),"—"))</f>
        <v>—</v>
      </c>
      <c r="O134" s="21" t="str">
        <f>IF(OR($B134="",$G134="",$D134="Cancelled"),"—",IFERROR(IF(INDEX(Setup!$F$25:$F$36,MATCH($B134,Setup!$A$25:$A$36,0))=0,"—",INDEX(Setup!$F$25:$F$36,MATCH($B134,Setup!$A$25:$A$36,0))),"—"))</f>
        <v>—</v>
      </c>
      <c r="P134" s="21" t="str">
        <f>IF(OR($B134="",$G134="",$D134="Cancelled",$D134="Owner block"),"—",IF(IFERROR(INDEX(Setup!$G$25:$G$36,MATCH($B134,Setup!$A$25:$A$36,0)),0)+IFERROR(INDEX(Setup!$H$25:$H$36,MATCH($B134,Setup!$A$25:$A$36,0)),0)*IF(ISNUMBER($H134),$H134,0)=0,"—",ROUND(IFERROR(INDEX(Setup!$G$25:$G$36,MATCH($B134,Setup!$A$25:$A$36,0)),0)+IFERROR(INDEX(Setup!$H$25:$H$36,MATCH($B134,Setup!$A$25:$A$36,0)),0)*IF(ISNUMBER($H134),$H134,0),2)))</f>
        <v>—</v>
      </c>
      <c r="Q134" s="21" t="str">
        <f t="shared" si="12"/>
        <v>—</v>
      </c>
      <c r="R134" s="21" t="str">
        <f t="shared" si="13"/>
        <v>—</v>
      </c>
      <c r="S134" s="8"/>
      <c r="T134" s="19" t="str">
        <f ca="1">IF(OR(NOT(ISNUMBER($F134)),NOT(ISNUMBER($G134)),NOT(ISNUMBER(Dashboard!$P$2)),NOT(ISNUMBER(Dashboard!$P$3)),$D134="Cancelled",$D134="Owner block"),"—",IF(MAX(0,MIN($G134,Dashboard!$P$3+1)-MAX($F134,Dashboard!$P$2))=0,"—",MAX(0,MIN($G134,Dashboard!$P$3+1)-MAX($F134,Dashboard!$P$2))))</f>
        <v>—</v>
      </c>
      <c r="U134" s="19" t="str">
        <f ca="1">IF(OR(NOT(ISNUMBER($F134)),NOT(ISNUMBER($G134)),NOT(ISNUMBER(Dashboard!$P$2)),NOT(ISNUMBER(Dashboard!$P$3)),$D134&lt;&gt;"Owner block"),"—",IF(MAX(0,MIN($G134,Dashboard!$P$3+1)-MAX($F134,Dashboard!$P$2))=0,"—",MAX(0,MIN($G134,Dashboard!$P$3+1)-MAX($F134,Dashboard!$P$2))))</f>
        <v>—</v>
      </c>
      <c r="V134" s="7" t="str">
        <f>IF($B134="",IF(COUNTA($C134:$G134,$I134:$K134,$S134)=0,"","⚠ no property — not counted"),IF(COUNTIF(Setup!$A$25:$A$36,$B134)=0,"⚠ property not in Setup",IF(AND($F134&lt;&gt;"",NOT(ISNUMBER($F134))),"⚠ check-in is not a real date",IF(AND($G134&lt;&gt;"",NOT(ISNUMBER($G134))),"⚠ check-out is not a real date",IF(AND($J134&lt;&gt;"",NOT(ISNUMBER($J134))),"⚠ booking value is not a number","OK")))))</f>
        <v/>
      </c>
      <c r="W134" s="21" t="str">
        <f t="shared" si="14"/>
        <v>—</v>
      </c>
    </row>
    <row r="135" spans="1:23" x14ac:dyDescent="0.2">
      <c r="A135" s="30">
        <v>131</v>
      </c>
      <c r="B135" s="3"/>
      <c r="C135" s="3"/>
      <c r="D135" s="3"/>
      <c r="E135" s="3"/>
      <c r="F135" s="31"/>
      <c r="G135" s="31"/>
      <c r="H135" s="19" t="str">
        <f t="shared" si="10"/>
        <v>—</v>
      </c>
      <c r="I135" s="32"/>
      <c r="J135" s="6"/>
      <c r="K135" s="33"/>
      <c r="L135" s="21" t="str">
        <f>IF(OR($B135="",NOT(ISNUMBER($J135)),$D135="Cancelled",$D135="Owner block"),"—",ROUND($J135*IF(ISNUMBER($K135),IF($K135&gt;1,$K135/100,$K135),IF(IFERROR(INDEX(Setup!$D$25:$D$36,MATCH($B135,Setup!$A$25:$A$36,0)),0)&gt;1,IFERROR(INDEX(Setup!$D$25:$D$36,MATCH($B135,Setup!$A$25:$A$36,0)),0)/100,IFERROR(INDEX(Setup!$D$25:$D$36,MATCH($B135,Setup!$A$25:$A$36,0)),0))),2))</f>
        <v>—</v>
      </c>
      <c r="M135" s="21" t="str">
        <f t="shared" si="11"/>
        <v>—</v>
      </c>
      <c r="N135" s="21" t="str">
        <f>IF(OR($B135="",$G135="",$D135="Cancelled"),"—",IFERROR(IF(INDEX(Setup!$E$25:$E$36,MATCH($B135,Setup!$A$25:$A$36,0))=0,"—",INDEX(Setup!$E$25:$E$36,MATCH($B135,Setup!$A$25:$A$36,0))),"—"))</f>
        <v>—</v>
      </c>
      <c r="O135" s="21" t="str">
        <f>IF(OR($B135="",$G135="",$D135="Cancelled"),"—",IFERROR(IF(INDEX(Setup!$F$25:$F$36,MATCH($B135,Setup!$A$25:$A$36,0))=0,"—",INDEX(Setup!$F$25:$F$36,MATCH($B135,Setup!$A$25:$A$36,0))),"—"))</f>
        <v>—</v>
      </c>
      <c r="P135" s="21" t="str">
        <f>IF(OR($B135="",$G135="",$D135="Cancelled",$D135="Owner block"),"—",IF(IFERROR(INDEX(Setup!$G$25:$G$36,MATCH($B135,Setup!$A$25:$A$36,0)),0)+IFERROR(INDEX(Setup!$H$25:$H$36,MATCH($B135,Setup!$A$25:$A$36,0)),0)*IF(ISNUMBER($H135),$H135,0)=0,"—",ROUND(IFERROR(INDEX(Setup!$G$25:$G$36,MATCH($B135,Setup!$A$25:$A$36,0)),0)+IFERROR(INDEX(Setup!$H$25:$H$36,MATCH($B135,Setup!$A$25:$A$36,0)),0)*IF(ISNUMBER($H135),$H135,0),2)))</f>
        <v>—</v>
      </c>
      <c r="Q135" s="21" t="str">
        <f t="shared" si="12"/>
        <v>—</v>
      </c>
      <c r="R135" s="21" t="str">
        <f t="shared" si="13"/>
        <v>—</v>
      </c>
      <c r="S135" s="3"/>
      <c r="T135" s="19" t="str">
        <f ca="1">IF(OR(NOT(ISNUMBER($F135)),NOT(ISNUMBER($G135)),NOT(ISNUMBER(Dashboard!$P$2)),NOT(ISNUMBER(Dashboard!$P$3)),$D135="Cancelled",$D135="Owner block"),"—",IF(MAX(0,MIN($G135,Dashboard!$P$3+1)-MAX($F135,Dashboard!$P$2))=0,"—",MAX(0,MIN($G135,Dashboard!$P$3+1)-MAX($F135,Dashboard!$P$2))))</f>
        <v>—</v>
      </c>
      <c r="U135" s="19" t="str">
        <f ca="1">IF(OR(NOT(ISNUMBER($F135)),NOT(ISNUMBER($G135)),NOT(ISNUMBER(Dashboard!$P$2)),NOT(ISNUMBER(Dashboard!$P$3)),$D135&lt;&gt;"Owner block"),"—",IF(MAX(0,MIN($G135,Dashboard!$P$3+1)-MAX($F135,Dashboard!$P$2))=0,"—",MAX(0,MIN($G135,Dashboard!$P$3+1)-MAX($F135,Dashboard!$P$2))))</f>
        <v>—</v>
      </c>
      <c r="V135" s="7" t="str">
        <f>IF($B135="",IF(COUNTA($C135:$G135,$I135:$K135,$S135)=0,"","⚠ no property — not counted"),IF(COUNTIF(Setup!$A$25:$A$36,$B135)=0,"⚠ property not in Setup",IF(AND($F135&lt;&gt;"",NOT(ISNUMBER($F135))),"⚠ check-in is not a real date",IF(AND($G135&lt;&gt;"",NOT(ISNUMBER($G135))),"⚠ check-out is not a real date",IF(AND($J135&lt;&gt;"",NOT(ISNUMBER($J135))),"⚠ booking value is not a number","OK")))))</f>
        <v/>
      </c>
      <c r="W135" s="21" t="str">
        <f t="shared" si="14"/>
        <v>—</v>
      </c>
    </row>
    <row r="136" spans="1:23" x14ac:dyDescent="0.2">
      <c r="A136" s="30">
        <v>132</v>
      </c>
      <c r="B136" s="8"/>
      <c r="C136" s="8"/>
      <c r="D136" s="8"/>
      <c r="E136" s="8"/>
      <c r="F136" s="34"/>
      <c r="G136" s="34"/>
      <c r="H136" s="19" t="str">
        <f t="shared" si="10"/>
        <v>—</v>
      </c>
      <c r="I136" s="35"/>
      <c r="J136" s="11"/>
      <c r="K136" s="36"/>
      <c r="L136" s="21" t="str">
        <f>IF(OR($B136="",NOT(ISNUMBER($J136)),$D136="Cancelled",$D136="Owner block"),"—",ROUND($J136*IF(ISNUMBER($K136),IF($K136&gt;1,$K136/100,$K136),IF(IFERROR(INDEX(Setup!$D$25:$D$36,MATCH($B136,Setup!$A$25:$A$36,0)),0)&gt;1,IFERROR(INDEX(Setup!$D$25:$D$36,MATCH($B136,Setup!$A$25:$A$36,0)),0)/100,IFERROR(INDEX(Setup!$D$25:$D$36,MATCH($B136,Setup!$A$25:$A$36,0)),0))),2))</f>
        <v>—</v>
      </c>
      <c r="M136" s="21" t="str">
        <f t="shared" si="11"/>
        <v>—</v>
      </c>
      <c r="N136" s="21" t="str">
        <f>IF(OR($B136="",$G136="",$D136="Cancelled"),"—",IFERROR(IF(INDEX(Setup!$E$25:$E$36,MATCH($B136,Setup!$A$25:$A$36,0))=0,"—",INDEX(Setup!$E$25:$E$36,MATCH($B136,Setup!$A$25:$A$36,0))),"—"))</f>
        <v>—</v>
      </c>
      <c r="O136" s="21" t="str">
        <f>IF(OR($B136="",$G136="",$D136="Cancelled"),"—",IFERROR(IF(INDEX(Setup!$F$25:$F$36,MATCH($B136,Setup!$A$25:$A$36,0))=0,"—",INDEX(Setup!$F$25:$F$36,MATCH($B136,Setup!$A$25:$A$36,0))),"—"))</f>
        <v>—</v>
      </c>
      <c r="P136" s="21" t="str">
        <f>IF(OR($B136="",$G136="",$D136="Cancelled",$D136="Owner block"),"—",IF(IFERROR(INDEX(Setup!$G$25:$G$36,MATCH($B136,Setup!$A$25:$A$36,0)),0)+IFERROR(INDEX(Setup!$H$25:$H$36,MATCH($B136,Setup!$A$25:$A$36,0)),0)*IF(ISNUMBER($H136),$H136,0)=0,"—",ROUND(IFERROR(INDEX(Setup!$G$25:$G$36,MATCH($B136,Setup!$A$25:$A$36,0)),0)+IFERROR(INDEX(Setup!$H$25:$H$36,MATCH($B136,Setup!$A$25:$A$36,0)),0)*IF(ISNUMBER($H136),$H136,0),2)))</f>
        <v>—</v>
      </c>
      <c r="Q136" s="21" t="str">
        <f t="shared" si="12"/>
        <v>—</v>
      </c>
      <c r="R136" s="21" t="str">
        <f t="shared" si="13"/>
        <v>—</v>
      </c>
      <c r="S136" s="8"/>
      <c r="T136" s="19" t="str">
        <f ca="1">IF(OR(NOT(ISNUMBER($F136)),NOT(ISNUMBER($G136)),NOT(ISNUMBER(Dashboard!$P$2)),NOT(ISNUMBER(Dashboard!$P$3)),$D136="Cancelled",$D136="Owner block"),"—",IF(MAX(0,MIN($G136,Dashboard!$P$3+1)-MAX($F136,Dashboard!$P$2))=0,"—",MAX(0,MIN($G136,Dashboard!$P$3+1)-MAX($F136,Dashboard!$P$2))))</f>
        <v>—</v>
      </c>
      <c r="U136" s="19" t="str">
        <f ca="1">IF(OR(NOT(ISNUMBER($F136)),NOT(ISNUMBER($G136)),NOT(ISNUMBER(Dashboard!$P$2)),NOT(ISNUMBER(Dashboard!$P$3)),$D136&lt;&gt;"Owner block"),"—",IF(MAX(0,MIN($G136,Dashboard!$P$3+1)-MAX($F136,Dashboard!$P$2))=0,"—",MAX(0,MIN($G136,Dashboard!$P$3+1)-MAX($F136,Dashboard!$P$2))))</f>
        <v>—</v>
      </c>
      <c r="V136" s="7" t="str">
        <f>IF($B136="",IF(COUNTA($C136:$G136,$I136:$K136,$S136)=0,"","⚠ no property — not counted"),IF(COUNTIF(Setup!$A$25:$A$36,$B136)=0,"⚠ property not in Setup",IF(AND($F136&lt;&gt;"",NOT(ISNUMBER($F136))),"⚠ check-in is not a real date",IF(AND($G136&lt;&gt;"",NOT(ISNUMBER($G136))),"⚠ check-out is not a real date",IF(AND($J136&lt;&gt;"",NOT(ISNUMBER($J136))),"⚠ booking value is not a number","OK")))))</f>
        <v/>
      </c>
      <c r="W136" s="21" t="str">
        <f t="shared" si="14"/>
        <v>—</v>
      </c>
    </row>
    <row r="137" spans="1:23" x14ac:dyDescent="0.2">
      <c r="A137" s="30">
        <v>133</v>
      </c>
      <c r="B137" s="3"/>
      <c r="C137" s="3"/>
      <c r="D137" s="3"/>
      <c r="E137" s="3"/>
      <c r="F137" s="31"/>
      <c r="G137" s="31"/>
      <c r="H137" s="19" t="str">
        <f t="shared" si="10"/>
        <v>—</v>
      </c>
      <c r="I137" s="32"/>
      <c r="J137" s="6"/>
      <c r="K137" s="33"/>
      <c r="L137" s="21" t="str">
        <f>IF(OR($B137="",NOT(ISNUMBER($J137)),$D137="Cancelled",$D137="Owner block"),"—",ROUND($J137*IF(ISNUMBER($K137),IF($K137&gt;1,$K137/100,$K137),IF(IFERROR(INDEX(Setup!$D$25:$D$36,MATCH($B137,Setup!$A$25:$A$36,0)),0)&gt;1,IFERROR(INDEX(Setup!$D$25:$D$36,MATCH($B137,Setup!$A$25:$A$36,0)),0)/100,IFERROR(INDEX(Setup!$D$25:$D$36,MATCH($B137,Setup!$A$25:$A$36,0)),0))),2))</f>
        <v>—</v>
      </c>
      <c r="M137" s="21" t="str">
        <f t="shared" si="11"/>
        <v>—</v>
      </c>
      <c r="N137" s="21" t="str">
        <f>IF(OR($B137="",$G137="",$D137="Cancelled"),"—",IFERROR(IF(INDEX(Setup!$E$25:$E$36,MATCH($B137,Setup!$A$25:$A$36,0))=0,"—",INDEX(Setup!$E$25:$E$36,MATCH($B137,Setup!$A$25:$A$36,0))),"—"))</f>
        <v>—</v>
      </c>
      <c r="O137" s="21" t="str">
        <f>IF(OR($B137="",$G137="",$D137="Cancelled"),"—",IFERROR(IF(INDEX(Setup!$F$25:$F$36,MATCH($B137,Setup!$A$25:$A$36,0))=0,"—",INDEX(Setup!$F$25:$F$36,MATCH($B137,Setup!$A$25:$A$36,0))),"—"))</f>
        <v>—</v>
      </c>
      <c r="P137" s="21" t="str">
        <f>IF(OR($B137="",$G137="",$D137="Cancelled",$D137="Owner block"),"—",IF(IFERROR(INDEX(Setup!$G$25:$G$36,MATCH($B137,Setup!$A$25:$A$36,0)),0)+IFERROR(INDEX(Setup!$H$25:$H$36,MATCH($B137,Setup!$A$25:$A$36,0)),0)*IF(ISNUMBER($H137),$H137,0)=0,"—",ROUND(IFERROR(INDEX(Setup!$G$25:$G$36,MATCH($B137,Setup!$A$25:$A$36,0)),0)+IFERROR(INDEX(Setup!$H$25:$H$36,MATCH($B137,Setup!$A$25:$A$36,0)),0)*IF(ISNUMBER($H137),$H137,0),2)))</f>
        <v>—</v>
      </c>
      <c r="Q137" s="21" t="str">
        <f t="shared" si="12"/>
        <v>—</v>
      </c>
      <c r="R137" s="21" t="str">
        <f t="shared" si="13"/>
        <v>—</v>
      </c>
      <c r="S137" s="3"/>
      <c r="T137" s="19" t="str">
        <f ca="1">IF(OR(NOT(ISNUMBER($F137)),NOT(ISNUMBER($G137)),NOT(ISNUMBER(Dashboard!$P$2)),NOT(ISNUMBER(Dashboard!$P$3)),$D137="Cancelled",$D137="Owner block"),"—",IF(MAX(0,MIN($G137,Dashboard!$P$3+1)-MAX($F137,Dashboard!$P$2))=0,"—",MAX(0,MIN($G137,Dashboard!$P$3+1)-MAX($F137,Dashboard!$P$2))))</f>
        <v>—</v>
      </c>
      <c r="U137" s="19" t="str">
        <f ca="1">IF(OR(NOT(ISNUMBER($F137)),NOT(ISNUMBER($G137)),NOT(ISNUMBER(Dashboard!$P$2)),NOT(ISNUMBER(Dashboard!$P$3)),$D137&lt;&gt;"Owner block"),"—",IF(MAX(0,MIN($G137,Dashboard!$P$3+1)-MAX($F137,Dashboard!$P$2))=0,"—",MAX(0,MIN($G137,Dashboard!$P$3+1)-MAX($F137,Dashboard!$P$2))))</f>
        <v>—</v>
      </c>
      <c r="V137" s="7" t="str">
        <f>IF($B137="",IF(COUNTA($C137:$G137,$I137:$K137,$S137)=0,"","⚠ no property — not counted"),IF(COUNTIF(Setup!$A$25:$A$36,$B137)=0,"⚠ property not in Setup",IF(AND($F137&lt;&gt;"",NOT(ISNUMBER($F137))),"⚠ check-in is not a real date",IF(AND($G137&lt;&gt;"",NOT(ISNUMBER($G137))),"⚠ check-out is not a real date",IF(AND($J137&lt;&gt;"",NOT(ISNUMBER($J137))),"⚠ booking value is not a number","OK")))))</f>
        <v/>
      </c>
      <c r="W137" s="21" t="str">
        <f t="shared" si="14"/>
        <v>—</v>
      </c>
    </row>
    <row r="138" spans="1:23" x14ac:dyDescent="0.2">
      <c r="A138" s="30">
        <v>134</v>
      </c>
      <c r="B138" s="8"/>
      <c r="C138" s="8"/>
      <c r="D138" s="8"/>
      <c r="E138" s="8"/>
      <c r="F138" s="34"/>
      <c r="G138" s="34"/>
      <c r="H138" s="19" t="str">
        <f t="shared" si="10"/>
        <v>—</v>
      </c>
      <c r="I138" s="35"/>
      <c r="J138" s="11"/>
      <c r="K138" s="36"/>
      <c r="L138" s="21" t="str">
        <f>IF(OR($B138="",NOT(ISNUMBER($J138)),$D138="Cancelled",$D138="Owner block"),"—",ROUND($J138*IF(ISNUMBER($K138),IF($K138&gt;1,$K138/100,$K138),IF(IFERROR(INDEX(Setup!$D$25:$D$36,MATCH($B138,Setup!$A$25:$A$36,0)),0)&gt;1,IFERROR(INDEX(Setup!$D$25:$D$36,MATCH($B138,Setup!$A$25:$A$36,0)),0)/100,IFERROR(INDEX(Setup!$D$25:$D$36,MATCH($B138,Setup!$A$25:$A$36,0)),0))),2))</f>
        <v>—</v>
      </c>
      <c r="M138" s="21" t="str">
        <f t="shared" si="11"/>
        <v>—</v>
      </c>
      <c r="N138" s="21" t="str">
        <f>IF(OR($B138="",$G138="",$D138="Cancelled"),"—",IFERROR(IF(INDEX(Setup!$E$25:$E$36,MATCH($B138,Setup!$A$25:$A$36,0))=0,"—",INDEX(Setup!$E$25:$E$36,MATCH($B138,Setup!$A$25:$A$36,0))),"—"))</f>
        <v>—</v>
      </c>
      <c r="O138" s="21" t="str">
        <f>IF(OR($B138="",$G138="",$D138="Cancelled"),"—",IFERROR(IF(INDEX(Setup!$F$25:$F$36,MATCH($B138,Setup!$A$25:$A$36,0))=0,"—",INDEX(Setup!$F$25:$F$36,MATCH($B138,Setup!$A$25:$A$36,0))),"—"))</f>
        <v>—</v>
      </c>
      <c r="P138" s="21" t="str">
        <f>IF(OR($B138="",$G138="",$D138="Cancelled",$D138="Owner block"),"—",IF(IFERROR(INDEX(Setup!$G$25:$G$36,MATCH($B138,Setup!$A$25:$A$36,0)),0)+IFERROR(INDEX(Setup!$H$25:$H$36,MATCH($B138,Setup!$A$25:$A$36,0)),0)*IF(ISNUMBER($H138),$H138,0)=0,"—",ROUND(IFERROR(INDEX(Setup!$G$25:$G$36,MATCH($B138,Setup!$A$25:$A$36,0)),0)+IFERROR(INDEX(Setup!$H$25:$H$36,MATCH($B138,Setup!$A$25:$A$36,0)),0)*IF(ISNUMBER($H138),$H138,0),2)))</f>
        <v>—</v>
      </c>
      <c r="Q138" s="21" t="str">
        <f t="shared" si="12"/>
        <v>—</v>
      </c>
      <c r="R138" s="21" t="str">
        <f t="shared" si="13"/>
        <v>—</v>
      </c>
      <c r="S138" s="8"/>
      <c r="T138" s="19" t="str">
        <f ca="1">IF(OR(NOT(ISNUMBER($F138)),NOT(ISNUMBER($G138)),NOT(ISNUMBER(Dashboard!$P$2)),NOT(ISNUMBER(Dashboard!$P$3)),$D138="Cancelled",$D138="Owner block"),"—",IF(MAX(0,MIN($G138,Dashboard!$P$3+1)-MAX($F138,Dashboard!$P$2))=0,"—",MAX(0,MIN($G138,Dashboard!$P$3+1)-MAX($F138,Dashboard!$P$2))))</f>
        <v>—</v>
      </c>
      <c r="U138" s="19" t="str">
        <f ca="1">IF(OR(NOT(ISNUMBER($F138)),NOT(ISNUMBER($G138)),NOT(ISNUMBER(Dashboard!$P$2)),NOT(ISNUMBER(Dashboard!$P$3)),$D138&lt;&gt;"Owner block"),"—",IF(MAX(0,MIN($G138,Dashboard!$P$3+1)-MAX($F138,Dashboard!$P$2))=0,"—",MAX(0,MIN($G138,Dashboard!$P$3+1)-MAX($F138,Dashboard!$P$2))))</f>
        <v>—</v>
      </c>
      <c r="V138" s="7" t="str">
        <f>IF($B138="",IF(COUNTA($C138:$G138,$I138:$K138,$S138)=0,"","⚠ no property — not counted"),IF(COUNTIF(Setup!$A$25:$A$36,$B138)=0,"⚠ property not in Setup",IF(AND($F138&lt;&gt;"",NOT(ISNUMBER($F138))),"⚠ check-in is not a real date",IF(AND($G138&lt;&gt;"",NOT(ISNUMBER($G138))),"⚠ check-out is not a real date",IF(AND($J138&lt;&gt;"",NOT(ISNUMBER($J138))),"⚠ booking value is not a number","OK")))))</f>
        <v/>
      </c>
      <c r="W138" s="21" t="str">
        <f t="shared" si="14"/>
        <v>—</v>
      </c>
    </row>
    <row r="139" spans="1:23" x14ac:dyDescent="0.2">
      <c r="A139" s="30">
        <v>135</v>
      </c>
      <c r="B139" s="3"/>
      <c r="C139" s="3"/>
      <c r="D139" s="3"/>
      <c r="E139" s="3"/>
      <c r="F139" s="31"/>
      <c r="G139" s="31"/>
      <c r="H139" s="19" t="str">
        <f t="shared" si="10"/>
        <v>—</v>
      </c>
      <c r="I139" s="32"/>
      <c r="J139" s="6"/>
      <c r="K139" s="33"/>
      <c r="L139" s="21" t="str">
        <f>IF(OR($B139="",NOT(ISNUMBER($J139)),$D139="Cancelled",$D139="Owner block"),"—",ROUND($J139*IF(ISNUMBER($K139),IF($K139&gt;1,$K139/100,$K139),IF(IFERROR(INDEX(Setup!$D$25:$D$36,MATCH($B139,Setup!$A$25:$A$36,0)),0)&gt;1,IFERROR(INDEX(Setup!$D$25:$D$36,MATCH($B139,Setup!$A$25:$A$36,0)),0)/100,IFERROR(INDEX(Setup!$D$25:$D$36,MATCH($B139,Setup!$A$25:$A$36,0)),0))),2))</f>
        <v>—</v>
      </c>
      <c r="M139" s="21" t="str">
        <f t="shared" si="11"/>
        <v>—</v>
      </c>
      <c r="N139" s="21" t="str">
        <f>IF(OR($B139="",$G139="",$D139="Cancelled"),"—",IFERROR(IF(INDEX(Setup!$E$25:$E$36,MATCH($B139,Setup!$A$25:$A$36,0))=0,"—",INDEX(Setup!$E$25:$E$36,MATCH($B139,Setup!$A$25:$A$36,0))),"—"))</f>
        <v>—</v>
      </c>
      <c r="O139" s="21" t="str">
        <f>IF(OR($B139="",$G139="",$D139="Cancelled"),"—",IFERROR(IF(INDEX(Setup!$F$25:$F$36,MATCH($B139,Setup!$A$25:$A$36,0))=0,"—",INDEX(Setup!$F$25:$F$36,MATCH($B139,Setup!$A$25:$A$36,0))),"—"))</f>
        <v>—</v>
      </c>
      <c r="P139" s="21" t="str">
        <f>IF(OR($B139="",$G139="",$D139="Cancelled",$D139="Owner block"),"—",IF(IFERROR(INDEX(Setup!$G$25:$G$36,MATCH($B139,Setup!$A$25:$A$36,0)),0)+IFERROR(INDEX(Setup!$H$25:$H$36,MATCH($B139,Setup!$A$25:$A$36,0)),0)*IF(ISNUMBER($H139),$H139,0)=0,"—",ROUND(IFERROR(INDEX(Setup!$G$25:$G$36,MATCH($B139,Setup!$A$25:$A$36,0)),0)+IFERROR(INDEX(Setup!$H$25:$H$36,MATCH($B139,Setup!$A$25:$A$36,0)),0)*IF(ISNUMBER($H139),$H139,0),2)))</f>
        <v>—</v>
      </c>
      <c r="Q139" s="21" t="str">
        <f t="shared" si="12"/>
        <v>—</v>
      </c>
      <c r="R139" s="21" t="str">
        <f t="shared" si="13"/>
        <v>—</v>
      </c>
      <c r="S139" s="3"/>
      <c r="T139" s="19" t="str">
        <f ca="1">IF(OR(NOT(ISNUMBER($F139)),NOT(ISNUMBER($G139)),NOT(ISNUMBER(Dashboard!$P$2)),NOT(ISNUMBER(Dashboard!$P$3)),$D139="Cancelled",$D139="Owner block"),"—",IF(MAX(0,MIN($G139,Dashboard!$P$3+1)-MAX($F139,Dashboard!$P$2))=0,"—",MAX(0,MIN($G139,Dashboard!$P$3+1)-MAX($F139,Dashboard!$P$2))))</f>
        <v>—</v>
      </c>
      <c r="U139" s="19" t="str">
        <f ca="1">IF(OR(NOT(ISNUMBER($F139)),NOT(ISNUMBER($G139)),NOT(ISNUMBER(Dashboard!$P$2)),NOT(ISNUMBER(Dashboard!$P$3)),$D139&lt;&gt;"Owner block"),"—",IF(MAX(0,MIN($G139,Dashboard!$P$3+1)-MAX($F139,Dashboard!$P$2))=0,"—",MAX(0,MIN($G139,Dashboard!$P$3+1)-MAX($F139,Dashboard!$P$2))))</f>
        <v>—</v>
      </c>
      <c r="V139" s="7" t="str">
        <f>IF($B139="",IF(COUNTA($C139:$G139,$I139:$K139,$S139)=0,"","⚠ no property — not counted"),IF(COUNTIF(Setup!$A$25:$A$36,$B139)=0,"⚠ property not in Setup",IF(AND($F139&lt;&gt;"",NOT(ISNUMBER($F139))),"⚠ check-in is not a real date",IF(AND($G139&lt;&gt;"",NOT(ISNUMBER($G139))),"⚠ check-out is not a real date",IF(AND($J139&lt;&gt;"",NOT(ISNUMBER($J139))),"⚠ booking value is not a number","OK")))))</f>
        <v/>
      </c>
      <c r="W139" s="21" t="str">
        <f t="shared" si="14"/>
        <v>—</v>
      </c>
    </row>
    <row r="140" spans="1:23" x14ac:dyDescent="0.2">
      <c r="A140" s="30">
        <v>136</v>
      </c>
      <c r="B140" s="8"/>
      <c r="C140" s="8"/>
      <c r="D140" s="8"/>
      <c r="E140" s="8"/>
      <c r="F140" s="34"/>
      <c r="G140" s="34"/>
      <c r="H140" s="19" t="str">
        <f t="shared" si="10"/>
        <v>—</v>
      </c>
      <c r="I140" s="35"/>
      <c r="J140" s="11"/>
      <c r="K140" s="36"/>
      <c r="L140" s="21" t="str">
        <f>IF(OR($B140="",NOT(ISNUMBER($J140)),$D140="Cancelled",$D140="Owner block"),"—",ROUND($J140*IF(ISNUMBER($K140),IF($K140&gt;1,$K140/100,$K140),IF(IFERROR(INDEX(Setup!$D$25:$D$36,MATCH($B140,Setup!$A$25:$A$36,0)),0)&gt;1,IFERROR(INDEX(Setup!$D$25:$D$36,MATCH($B140,Setup!$A$25:$A$36,0)),0)/100,IFERROR(INDEX(Setup!$D$25:$D$36,MATCH($B140,Setup!$A$25:$A$36,0)),0))),2))</f>
        <v>—</v>
      </c>
      <c r="M140" s="21" t="str">
        <f t="shared" si="11"/>
        <v>—</v>
      </c>
      <c r="N140" s="21" t="str">
        <f>IF(OR($B140="",$G140="",$D140="Cancelled"),"—",IFERROR(IF(INDEX(Setup!$E$25:$E$36,MATCH($B140,Setup!$A$25:$A$36,0))=0,"—",INDEX(Setup!$E$25:$E$36,MATCH($B140,Setup!$A$25:$A$36,0))),"—"))</f>
        <v>—</v>
      </c>
      <c r="O140" s="21" t="str">
        <f>IF(OR($B140="",$G140="",$D140="Cancelled"),"—",IFERROR(IF(INDEX(Setup!$F$25:$F$36,MATCH($B140,Setup!$A$25:$A$36,0))=0,"—",INDEX(Setup!$F$25:$F$36,MATCH($B140,Setup!$A$25:$A$36,0))),"—"))</f>
        <v>—</v>
      </c>
      <c r="P140" s="21" t="str">
        <f>IF(OR($B140="",$G140="",$D140="Cancelled",$D140="Owner block"),"—",IF(IFERROR(INDEX(Setup!$G$25:$G$36,MATCH($B140,Setup!$A$25:$A$36,0)),0)+IFERROR(INDEX(Setup!$H$25:$H$36,MATCH($B140,Setup!$A$25:$A$36,0)),0)*IF(ISNUMBER($H140),$H140,0)=0,"—",ROUND(IFERROR(INDEX(Setup!$G$25:$G$36,MATCH($B140,Setup!$A$25:$A$36,0)),0)+IFERROR(INDEX(Setup!$H$25:$H$36,MATCH($B140,Setup!$A$25:$A$36,0)),0)*IF(ISNUMBER($H140),$H140,0),2)))</f>
        <v>—</v>
      </c>
      <c r="Q140" s="21" t="str">
        <f t="shared" si="12"/>
        <v>—</v>
      </c>
      <c r="R140" s="21" t="str">
        <f t="shared" si="13"/>
        <v>—</v>
      </c>
      <c r="S140" s="8"/>
      <c r="T140" s="19" t="str">
        <f ca="1">IF(OR(NOT(ISNUMBER($F140)),NOT(ISNUMBER($G140)),NOT(ISNUMBER(Dashboard!$P$2)),NOT(ISNUMBER(Dashboard!$P$3)),$D140="Cancelled",$D140="Owner block"),"—",IF(MAX(0,MIN($G140,Dashboard!$P$3+1)-MAX($F140,Dashboard!$P$2))=0,"—",MAX(0,MIN($G140,Dashboard!$P$3+1)-MAX($F140,Dashboard!$P$2))))</f>
        <v>—</v>
      </c>
      <c r="U140" s="19" t="str">
        <f ca="1">IF(OR(NOT(ISNUMBER($F140)),NOT(ISNUMBER($G140)),NOT(ISNUMBER(Dashboard!$P$2)),NOT(ISNUMBER(Dashboard!$P$3)),$D140&lt;&gt;"Owner block"),"—",IF(MAX(0,MIN($G140,Dashboard!$P$3+1)-MAX($F140,Dashboard!$P$2))=0,"—",MAX(0,MIN($G140,Dashboard!$P$3+1)-MAX($F140,Dashboard!$P$2))))</f>
        <v>—</v>
      </c>
      <c r="V140" s="7" t="str">
        <f>IF($B140="",IF(COUNTA($C140:$G140,$I140:$K140,$S140)=0,"","⚠ no property — not counted"),IF(COUNTIF(Setup!$A$25:$A$36,$B140)=0,"⚠ property not in Setup",IF(AND($F140&lt;&gt;"",NOT(ISNUMBER($F140))),"⚠ check-in is not a real date",IF(AND($G140&lt;&gt;"",NOT(ISNUMBER($G140))),"⚠ check-out is not a real date",IF(AND($J140&lt;&gt;"",NOT(ISNUMBER($J140))),"⚠ booking value is not a number","OK")))))</f>
        <v/>
      </c>
      <c r="W140" s="21" t="str">
        <f t="shared" si="14"/>
        <v>—</v>
      </c>
    </row>
    <row r="141" spans="1:23" x14ac:dyDescent="0.2">
      <c r="A141" s="30">
        <v>137</v>
      </c>
      <c r="B141" s="3"/>
      <c r="C141" s="3"/>
      <c r="D141" s="3"/>
      <c r="E141" s="3"/>
      <c r="F141" s="31"/>
      <c r="G141" s="31"/>
      <c r="H141" s="19" t="str">
        <f t="shared" si="10"/>
        <v>—</v>
      </c>
      <c r="I141" s="32"/>
      <c r="J141" s="6"/>
      <c r="K141" s="33"/>
      <c r="L141" s="21" t="str">
        <f>IF(OR($B141="",NOT(ISNUMBER($J141)),$D141="Cancelled",$D141="Owner block"),"—",ROUND($J141*IF(ISNUMBER($K141),IF($K141&gt;1,$K141/100,$K141),IF(IFERROR(INDEX(Setup!$D$25:$D$36,MATCH($B141,Setup!$A$25:$A$36,0)),0)&gt;1,IFERROR(INDEX(Setup!$D$25:$D$36,MATCH($B141,Setup!$A$25:$A$36,0)),0)/100,IFERROR(INDEX(Setup!$D$25:$D$36,MATCH($B141,Setup!$A$25:$A$36,0)),0))),2))</f>
        <v>—</v>
      </c>
      <c r="M141" s="21" t="str">
        <f t="shared" si="11"/>
        <v>—</v>
      </c>
      <c r="N141" s="21" t="str">
        <f>IF(OR($B141="",$G141="",$D141="Cancelled"),"—",IFERROR(IF(INDEX(Setup!$E$25:$E$36,MATCH($B141,Setup!$A$25:$A$36,0))=0,"—",INDEX(Setup!$E$25:$E$36,MATCH($B141,Setup!$A$25:$A$36,0))),"—"))</f>
        <v>—</v>
      </c>
      <c r="O141" s="21" t="str">
        <f>IF(OR($B141="",$G141="",$D141="Cancelled"),"—",IFERROR(IF(INDEX(Setup!$F$25:$F$36,MATCH($B141,Setup!$A$25:$A$36,0))=0,"—",INDEX(Setup!$F$25:$F$36,MATCH($B141,Setup!$A$25:$A$36,0))),"—"))</f>
        <v>—</v>
      </c>
      <c r="P141" s="21" t="str">
        <f>IF(OR($B141="",$G141="",$D141="Cancelled",$D141="Owner block"),"—",IF(IFERROR(INDEX(Setup!$G$25:$G$36,MATCH($B141,Setup!$A$25:$A$36,0)),0)+IFERROR(INDEX(Setup!$H$25:$H$36,MATCH($B141,Setup!$A$25:$A$36,0)),0)*IF(ISNUMBER($H141),$H141,0)=0,"—",ROUND(IFERROR(INDEX(Setup!$G$25:$G$36,MATCH($B141,Setup!$A$25:$A$36,0)),0)+IFERROR(INDEX(Setup!$H$25:$H$36,MATCH($B141,Setup!$A$25:$A$36,0)),0)*IF(ISNUMBER($H141),$H141,0),2)))</f>
        <v>—</v>
      </c>
      <c r="Q141" s="21" t="str">
        <f t="shared" si="12"/>
        <v>—</v>
      </c>
      <c r="R141" s="21" t="str">
        <f t="shared" si="13"/>
        <v>—</v>
      </c>
      <c r="S141" s="3"/>
      <c r="T141" s="19" t="str">
        <f ca="1">IF(OR(NOT(ISNUMBER($F141)),NOT(ISNUMBER($G141)),NOT(ISNUMBER(Dashboard!$P$2)),NOT(ISNUMBER(Dashboard!$P$3)),$D141="Cancelled",$D141="Owner block"),"—",IF(MAX(0,MIN($G141,Dashboard!$P$3+1)-MAX($F141,Dashboard!$P$2))=0,"—",MAX(0,MIN($G141,Dashboard!$P$3+1)-MAX($F141,Dashboard!$P$2))))</f>
        <v>—</v>
      </c>
      <c r="U141" s="19" t="str">
        <f ca="1">IF(OR(NOT(ISNUMBER($F141)),NOT(ISNUMBER($G141)),NOT(ISNUMBER(Dashboard!$P$2)),NOT(ISNUMBER(Dashboard!$P$3)),$D141&lt;&gt;"Owner block"),"—",IF(MAX(0,MIN($G141,Dashboard!$P$3+1)-MAX($F141,Dashboard!$P$2))=0,"—",MAX(0,MIN($G141,Dashboard!$P$3+1)-MAX($F141,Dashboard!$P$2))))</f>
        <v>—</v>
      </c>
      <c r="V141" s="7" t="str">
        <f>IF($B141="",IF(COUNTA($C141:$G141,$I141:$K141,$S141)=0,"","⚠ no property — not counted"),IF(COUNTIF(Setup!$A$25:$A$36,$B141)=0,"⚠ property not in Setup",IF(AND($F141&lt;&gt;"",NOT(ISNUMBER($F141))),"⚠ check-in is not a real date",IF(AND($G141&lt;&gt;"",NOT(ISNUMBER($G141))),"⚠ check-out is not a real date",IF(AND($J141&lt;&gt;"",NOT(ISNUMBER($J141))),"⚠ booking value is not a number","OK")))))</f>
        <v/>
      </c>
      <c r="W141" s="21" t="str">
        <f t="shared" si="14"/>
        <v>—</v>
      </c>
    </row>
    <row r="142" spans="1:23" x14ac:dyDescent="0.2">
      <c r="A142" s="30">
        <v>138</v>
      </c>
      <c r="B142" s="8"/>
      <c r="C142" s="8"/>
      <c r="D142" s="8"/>
      <c r="E142" s="8"/>
      <c r="F142" s="34"/>
      <c r="G142" s="34"/>
      <c r="H142" s="19" t="str">
        <f t="shared" si="10"/>
        <v>—</v>
      </c>
      <c r="I142" s="35"/>
      <c r="J142" s="11"/>
      <c r="K142" s="36"/>
      <c r="L142" s="21" t="str">
        <f>IF(OR($B142="",NOT(ISNUMBER($J142)),$D142="Cancelled",$D142="Owner block"),"—",ROUND($J142*IF(ISNUMBER($K142),IF($K142&gt;1,$K142/100,$K142),IF(IFERROR(INDEX(Setup!$D$25:$D$36,MATCH($B142,Setup!$A$25:$A$36,0)),0)&gt;1,IFERROR(INDEX(Setup!$D$25:$D$36,MATCH($B142,Setup!$A$25:$A$36,0)),0)/100,IFERROR(INDEX(Setup!$D$25:$D$36,MATCH($B142,Setup!$A$25:$A$36,0)),0))),2))</f>
        <v>—</v>
      </c>
      <c r="M142" s="21" t="str">
        <f t="shared" si="11"/>
        <v>—</v>
      </c>
      <c r="N142" s="21" t="str">
        <f>IF(OR($B142="",$G142="",$D142="Cancelled"),"—",IFERROR(IF(INDEX(Setup!$E$25:$E$36,MATCH($B142,Setup!$A$25:$A$36,0))=0,"—",INDEX(Setup!$E$25:$E$36,MATCH($B142,Setup!$A$25:$A$36,0))),"—"))</f>
        <v>—</v>
      </c>
      <c r="O142" s="21" t="str">
        <f>IF(OR($B142="",$G142="",$D142="Cancelled"),"—",IFERROR(IF(INDEX(Setup!$F$25:$F$36,MATCH($B142,Setup!$A$25:$A$36,0))=0,"—",INDEX(Setup!$F$25:$F$36,MATCH($B142,Setup!$A$25:$A$36,0))),"—"))</f>
        <v>—</v>
      </c>
      <c r="P142" s="21" t="str">
        <f>IF(OR($B142="",$G142="",$D142="Cancelled",$D142="Owner block"),"—",IF(IFERROR(INDEX(Setup!$G$25:$G$36,MATCH($B142,Setup!$A$25:$A$36,0)),0)+IFERROR(INDEX(Setup!$H$25:$H$36,MATCH($B142,Setup!$A$25:$A$36,0)),0)*IF(ISNUMBER($H142),$H142,0)=0,"—",ROUND(IFERROR(INDEX(Setup!$G$25:$G$36,MATCH($B142,Setup!$A$25:$A$36,0)),0)+IFERROR(INDEX(Setup!$H$25:$H$36,MATCH($B142,Setup!$A$25:$A$36,0)),0)*IF(ISNUMBER($H142),$H142,0),2)))</f>
        <v>—</v>
      </c>
      <c r="Q142" s="21" t="str">
        <f t="shared" si="12"/>
        <v>—</v>
      </c>
      <c r="R142" s="21" t="str">
        <f t="shared" si="13"/>
        <v>—</v>
      </c>
      <c r="S142" s="8"/>
      <c r="T142" s="19" t="str">
        <f ca="1">IF(OR(NOT(ISNUMBER($F142)),NOT(ISNUMBER($G142)),NOT(ISNUMBER(Dashboard!$P$2)),NOT(ISNUMBER(Dashboard!$P$3)),$D142="Cancelled",$D142="Owner block"),"—",IF(MAX(0,MIN($G142,Dashboard!$P$3+1)-MAX($F142,Dashboard!$P$2))=0,"—",MAX(0,MIN($G142,Dashboard!$P$3+1)-MAX($F142,Dashboard!$P$2))))</f>
        <v>—</v>
      </c>
      <c r="U142" s="19" t="str">
        <f ca="1">IF(OR(NOT(ISNUMBER($F142)),NOT(ISNUMBER($G142)),NOT(ISNUMBER(Dashboard!$P$2)),NOT(ISNUMBER(Dashboard!$P$3)),$D142&lt;&gt;"Owner block"),"—",IF(MAX(0,MIN($G142,Dashboard!$P$3+1)-MAX($F142,Dashboard!$P$2))=0,"—",MAX(0,MIN($G142,Dashboard!$P$3+1)-MAX($F142,Dashboard!$P$2))))</f>
        <v>—</v>
      </c>
      <c r="V142" s="7" t="str">
        <f>IF($B142="",IF(COUNTA($C142:$G142,$I142:$K142,$S142)=0,"","⚠ no property — not counted"),IF(COUNTIF(Setup!$A$25:$A$36,$B142)=0,"⚠ property not in Setup",IF(AND($F142&lt;&gt;"",NOT(ISNUMBER($F142))),"⚠ check-in is not a real date",IF(AND($G142&lt;&gt;"",NOT(ISNUMBER($G142))),"⚠ check-out is not a real date",IF(AND($J142&lt;&gt;"",NOT(ISNUMBER($J142))),"⚠ booking value is not a number","OK")))))</f>
        <v/>
      </c>
      <c r="W142" s="21" t="str">
        <f t="shared" si="14"/>
        <v>—</v>
      </c>
    </row>
    <row r="143" spans="1:23" x14ac:dyDescent="0.2">
      <c r="A143" s="30">
        <v>139</v>
      </c>
      <c r="B143" s="3"/>
      <c r="C143" s="3"/>
      <c r="D143" s="3"/>
      <c r="E143" s="3"/>
      <c r="F143" s="31"/>
      <c r="G143" s="31"/>
      <c r="H143" s="19" t="str">
        <f t="shared" si="10"/>
        <v>—</v>
      </c>
      <c r="I143" s="32"/>
      <c r="J143" s="6"/>
      <c r="K143" s="33"/>
      <c r="L143" s="21" t="str">
        <f>IF(OR($B143="",NOT(ISNUMBER($J143)),$D143="Cancelled",$D143="Owner block"),"—",ROUND($J143*IF(ISNUMBER($K143),IF($K143&gt;1,$K143/100,$K143),IF(IFERROR(INDEX(Setup!$D$25:$D$36,MATCH($B143,Setup!$A$25:$A$36,0)),0)&gt;1,IFERROR(INDEX(Setup!$D$25:$D$36,MATCH($B143,Setup!$A$25:$A$36,0)),0)/100,IFERROR(INDEX(Setup!$D$25:$D$36,MATCH($B143,Setup!$A$25:$A$36,0)),0))),2))</f>
        <v>—</v>
      </c>
      <c r="M143" s="21" t="str">
        <f t="shared" si="11"/>
        <v>—</v>
      </c>
      <c r="N143" s="21" t="str">
        <f>IF(OR($B143="",$G143="",$D143="Cancelled"),"—",IFERROR(IF(INDEX(Setup!$E$25:$E$36,MATCH($B143,Setup!$A$25:$A$36,0))=0,"—",INDEX(Setup!$E$25:$E$36,MATCH($B143,Setup!$A$25:$A$36,0))),"—"))</f>
        <v>—</v>
      </c>
      <c r="O143" s="21" t="str">
        <f>IF(OR($B143="",$G143="",$D143="Cancelled"),"—",IFERROR(IF(INDEX(Setup!$F$25:$F$36,MATCH($B143,Setup!$A$25:$A$36,0))=0,"—",INDEX(Setup!$F$25:$F$36,MATCH($B143,Setup!$A$25:$A$36,0))),"—"))</f>
        <v>—</v>
      </c>
      <c r="P143" s="21" t="str">
        <f>IF(OR($B143="",$G143="",$D143="Cancelled",$D143="Owner block"),"—",IF(IFERROR(INDEX(Setup!$G$25:$G$36,MATCH($B143,Setup!$A$25:$A$36,0)),0)+IFERROR(INDEX(Setup!$H$25:$H$36,MATCH($B143,Setup!$A$25:$A$36,0)),0)*IF(ISNUMBER($H143),$H143,0)=0,"—",ROUND(IFERROR(INDEX(Setup!$G$25:$G$36,MATCH($B143,Setup!$A$25:$A$36,0)),0)+IFERROR(INDEX(Setup!$H$25:$H$36,MATCH($B143,Setup!$A$25:$A$36,0)),0)*IF(ISNUMBER($H143),$H143,0),2)))</f>
        <v>—</v>
      </c>
      <c r="Q143" s="21" t="str">
        <f t="shared" si="12"/>
        <v>—</v>
      </c>
      <c r="R143" s="21" t="str">
        <f t="shared" si="13"/>
        <v>—</v>
      </c>
      <c r="S143" s="3"/>
      <c r="T143" s="19" t="str">
        <f ca="1">IF(OR(NOT(ISNUMBER($F143)),NOT(ISNUMBER($G143)),NOT(ISNUMBER(Dashboard!$P$2)),NOT(ISNUMBER(Dashboard!$P$3)),$D143="Cancelled",$D143="Owner block"),"—",IF(MAX(0,MIN($G143,Dashboard!$P$3+1)-MAX($F143,Dashboard!$P$2))=0,"—",MAX(0,MIN($G143,Dashboard!$P$3+1)-MAX($F143,Dashboard!$P$2))))</f>
        <v>—</v>
      </c>
      <c r="U143" s="19" t="str">
        <f ca="1">IF(OR(NOT(ISNUMBER($F143)),NOT(ISNUMBER($G143)),NOT(ISNUMBER(Dashboard!$P$2)),NOT(ISNUMBER(Dashboard!$P$3)),$D143&lt;&gt;"Owner block"),"—",IF(MAX(0,MIN($G143,Dashboard!$P$3+1)-MAX($F143,Dashboard!$P$2))=0,"—",MAX(0,MIN($G143,Dashboard!$P$3+1)-MAX($F143,Dashboard!$P$2))))</f>
        <v>—</v>
      </c>
      <c r="V143" s="7" t="str">
        <f>IF($B143="",IF(COUNTA($C143:$G143,$I143:$K143,$S143)=0,"","⚠ no property — not counted"),IF(COUNTIF(Setup!$A$25:$A$36,$B143)=0,"⚠ property not in Setup",IF(AND($F143&lt;&gt;"",NOT(ISNUMBER($F143))),"⚠ check-in is not a real date",IF(AND($G143&lt;&gt;"",NOT(ISNUMBER($G143))),"⚠ check-out is not a real date",IF(AND($J143&lt;&gt;"",NOT(ISNUMBER($J143))),"⚠ booking value is not a number","OK")))))</f>
        <v/>
      </c>
      <c r="W143" s="21" t="str">
        <f t="shared" si="14"/>
        <v>—</v>
      </c>
    </row>
    <row r="144" spans="1:23" x14ac:dyDescent="0.2">
      <c r="A144" s="30">
        <v>140</v>
      </c>
      <c r="B144" s="8"/>
      <c r="C144" s="8"/>
      <c r="D144" s="8"/>
      <c r="E144" s="8"/>
      <c r="F144" s="34"/>
      <c r="G144" s="34"/>
      <c r="H144" s="19" t="str">
        <f t="shared" si="10"/>
        <v>—</v>
      </c>
      <c r="I144" s="35"/>
      <c r="J144" s="11"/>
      <c r="K144" s="36"/>
      <c r="L144" s="21" t="str">
        <f>IF(OR($B144="",NOT(ISNUMBER($J144)),$D144="Cancelled",$D144="Owner block"),"—",ROUND($J144*IF(ISNUMBER($K144),IF($K144&gt;1,$K144/100,$K144),IF(IFERROR(INDEX(Setup!$D$25:$D$36,MATCH($B144,Setup!$A$25:$A$36,0)),0)&gt;1,IFERROR(INDEX(Setup!$D$25:$D$36,MATCH($B144,Setup!$A$25:$A$36,0)),0)/100,IFERROR(INDEX(Setup!$D$25:$D$36,MATCH($B144,Setup!$A$25:$A$36,0)),0))),2))</f>
        <v>—</v>
      </c>
      <c r="M144" s="21" t="str">
        <f t="shared" si="11"/>
        <v>—</v>
      </c>
      <c r="N144" s="21" t="str">
        <f>IF(OR($B144="",$G144="",$D144="Cancelled"),"—",IFERROR(IF(INDEX(Setup!$E$25:$E$36,MATCH($B144,Setup!$A$25:$A$36,0))=0,"—",INDEX(Setup!$E$25:$E$36,MATCH($B144,Setup!$A$25:$A$36,0))),"—"))</f>
        <v>—</v>
      </c>
      <c r="O144" s="21" t="str">
        <f>IF(OR($B144="",$G144="",$D144="Cancelled"),"—",IFERROR(IF(INDEX(Setup!$F$25:$F$36,MATCH($B144,Setup!$A$25:$A$36,0))=0,"—",INDEX(Setup!$F$25:$F$36,MATCH($B144,Setup!$A$25:$A$36,0))),"—"))</f>
        <v>—</v>
      </c>
      <c r="P144" s="21" t="str">
        <f>IF(OR($B144="",$G144="",$D144="Cancelled",$D144="Owner block"),"—",IF(IFERROR(INDEX(Setup!$G$25:$G$36,MATCH($B144,Setup!$A$25:$A$36,0)),0)+IFERROR(INDEX(Setup!$H$25:$H$36,MATCH($B144,Setup!$A$25:$A$36,0)),0)*IF(ISNUMBER($H144),$H144,0)=0,"—",ROUND(IFERROR(INDEX(Setup!$G$25:$G$36,MATCH($B144,Setup!$A$25:$A$36,0)),0)+IFERROR(INDEX(Setup!$H$25:$H$36,MATCH($B144,Setup!$A$25:$A$36,0)),0)*IF(ISNUMBER($H144),$H144,0),2)))</f>
        <v>—</v>
      </c>
      <c r="Q144" s="21" t="str">
        <f t="shared" si="12"/>
        <v>—</v>
      </c>
      <c r="R144" s="21" t="str">
        <f t="shared" si="13"/>
        <v>—</v>
      </c>
      <c r="S144" s="8"/>
      <c r="T144" s="19" t="str">
        <f ca="1">IF(OR(NOT(ISNUMBER($F144)),NOT(ISNUMBER($G144)),NOT(ISNUMBER(Dashboard!$P$2)),NOT(ISNUMBER(Dashboard!$P$3)),$D144="Cancelled",$D144="Owner block"),"—",IF(MAX(0,MIN($G144,Dashboard!$P$3+1)-MAX($F144,Dashboard!$P$2))=0,"—",MAX(0,MIN($G144,Dashboard!$P$3+1)-MAX($F144,Dashboard!$P$2))))</f>
        <v>—</v>
      </c>
      <c r="U144" s="19" t="str">
        <f ca="1">IF(OR(NOT(ISNUMBER($F144)),NOT(ISNUMBER($G144)),NOT(ISNUMBER(Dashboard!$P$2)),NOT(ISNUMBER(Dashboard!$P$3)),$D144&lt;&gt;"Owner block"),"—",IF(MAX(0,MIN($G144,Dashboard!$P$3+1)-MAX($F144,Dashboard!$P$2))=0,"—",MAX(0,MIN($G144,Dashboard!$P$3+1)-MAX($F144,Dashboard!$P$2))))</f>
        <v>—</v>
      </c>
      <c r="V144" s="7" t="str">
        <f>IF($B144="",IF(COUNTA($C144:$G144,$I144:$K144,$S144)=0,"","⚠ no property — not counted"),IF(COUNTIF(Setup!$A$25:$A$36,$B144)=0,"⚠ property not in Setup",IF(AND($F144&lt;&gt;"",NOT(ISNUMBER($F144))),"⚠ check-in is not a real date",IF(AND($G144&lt;&gt;"",NOT(ISNUMBER($G144))),"⚠ check-out is not a real date",IF(AND($J144&lt;&gt;"",NOT(ISNUMBER($J144))),"⚠ booking value is not a number","OK")))))</f>
        <v/>
      </c>
      <c r="W144" s="21" t="str">
        <f t="shared" si="14"/>
        <v>—</v>
      </c>
    </row>
    <row r="145" spans="1:23" x14ac:dyDescent="0.2">
      <c r="A145" s="30">
        <v>141</v>
      </c>
      <c r="B145" s="3"/>
      <c r="C145" s="3"/>
      <c r="D145" s="3"/>
      <c r="E145" s="3"/>
      <c r="F145" s="31"/>
      <c r="G145" s="31"/>
      <c r="H145" s="19" t="str">
        <f t="shared" si="10"/>
        <v>—</v>
      </c>
      <c r="I145" s="32"/>
      <c r="J145" s="6"/>
      <c r="K145" s="33"/>
      <c r="L145" s="21" t="str">
        <f>IF(OR($B145="",NOT(ISNUMBER($J145)),$D145="Cancelled",$D145="Owner block"),"—",ROUND($J145*IF(ISNUMBER($K145),IF($K145&gt;1,$K145/100,$K145),IF(IFERROR(INDEX(Setup!$D$25:$D$36,MATCH($B145,Setup!$A$25:$A$36,0)),0)&gt;1,IFERROR(INDEX(Setup!$D$25:$D$36,MATCH($B145,Setup!$A$25:$A$36,0)),0)/100,IFERROR(INDEX(Setup!$D$25:$D$36,MATCH($B145,Setup!$A$25:$A$36,0)),0))),2))</f>
        <v>—</v>
      </c>
      <c r="M145" s="21" t="str">
        <f t="shared" si="11"/>
        <v>—</v>
      </c>
      <c r="N145" s="21" t="str">
        <f>IF(OR($B145="",$G145="",$D145="Cancelled"),"—",IFERROR(IF(INDEX(Setup!$E$25:$E$36,MATCH($B145,Setup!$A$25:$A$36,0))=0,"—",INDEX(Setup!$E$25:$E$36,MATCH($B145,Setup!$A$25:$A$36,0))),"—"))</f>
        <v>—</v>
      </c>
      <c r="O145" s="21" t="str">
        <f>IF(OR($B145="",$G145="",$D145="Cancelled"),"—",IFERROR(IF(INDEX(Setup!$F$25:$F$36,MATCH($B145,Setup!$A$25:$A$36,0))=0,"—",INDEX(Setup!$F$25:$F$36,MATCH($B145,Setup!$A$25:$A$36,0))),"—"))</f>
        <v>—</v>
      </c>
      <c r="P145" s="21" t="str">
        <f>IF(OR($B145="",$G145="",$D145="Cancelled",$D145="Owner block"),"—",IF(IFERROR(INDEX(Setup!$G$25:$G$36,MATCH($B145,Setup!$A$25:$A$36,0)),0)+IFERROR(INDEX(Setup!$H$25:$H$36,MATCH($B145,Setup!$A$25:$A$36,0)),0)*IF(ISNUMBER($H145),$H145,0)=0,"—",ROUND(IFERROR(INDEX(Setup!$G$25:$G$36,MATCH($B145,Setup!$A$25:$A$36,0)),0)+IFERROR(INDEX(Setup!$H$25:$H$36,MATCH($B145,Setup!$A$25:$A$36,0)),0)*IF(ISNUMBER($H145),$H145,0),2)))</f>
        <v>—</v>
      </c>
      <c r="Q145" s="21" t="str">
        <f t="shared" si="12"/>
        <v>—</v>
      </c>
      <c r="R145" s="21" t="str">
        <f t="shared" si="13"/>
        <v>—</v>
      </c>
      <c r="S145" s="3"/>
      <c r="T145" s="19" t="str">
        <f ca="1">IF(OR(NOT(ISNUMBER($F145)),NOT(ISNUMBER($G145)),NOT(ISNUMBER(Dashboard!$P$2)),NOT(ISNUMBER(Dashboard!$P$3)),$D145="Cancelled",$D145="Owner block"),"—",IF(MAX(0,MIN($G145,Dashboard!$P$3+1)-MAX($F145,Dashboard!$P$2))=0,"—",MAX(0,MIN($G145,Dashboard!$P$3+1)-MAX($F145,Dashboard!$P$2))))</f>
        <v>—</v>
      </c>
      <c r="U145" s="19" t="str">
        <f ca="1">IF(OR(NOT(ISNUMBER($F145)),NOT(ISNUMBER($G145)),NOT(ISNUMBER(Dashboard!$P$2)),NOT(ISNUMBER(Dashboard!$P$3)),$D145&lt;&gt;"Owner block"),"—",IF(MAX(0,MIN($G145,Dashboard!$P$3+1)-MAX($F145,Dashboard!$P$2))=0,"—",MAX(0,MIN($G145,Dashboard!$P$3+1)-MAX($F145,Dashboard!$P$2))))</f>
        <v>—</v>
      </c>
      <c r="V145" s="7" t="str">
        <f>IF($B145="",IF(COUNTA($C145:$G145,$I145:$K145,$S145)=0,"","⚠ no property — not counted"),IF(COUNTIF(Setup!$A$25:$A$36,$B145)=0,"⚠ property not in Setup",IF(AND($F145&lt;&gt;"",NOT(ISNUMBER($F145))),"⚠ check-in is not a real date",IF(AND($G145&lt;&gt;"",NOT(ISNUMBER($G145))),"⚠ check-out is not a real date",IF(AND($J145&lt;&gt;"",NOT(ISNUMBER($J145))),"⚠ booking value is not a number","OK")))))</f>
        <v/>
      </c>
      <c r="W145" s="21" t="str">
        <f t="shared" si="14"/>
        <v>—</v>
      </c>
    </row>
    <row r="146" spans="1:23" x14ac:dyDescent="0.2">
      <c r="A146" s="30">
        <v>142</v>
      </c>
      <c r="B146" s="8"/>
      <c r="C146" s="8"/>
      <c r="D146" s="8"/>
      <c r="E146" s="8"/>
      <c r="F146" s="34"/>
      <c r="G146" s="34"/>
      <c r="H146" s="19" t="str">
        <f t="shared" si="10"/>
        <v>—</v>
      </c>
      <c r="I146" s="35"/>
      <c r="J146" s="11"/>
      <c r="K146" s="36"/>
      <c r="L146" s="21" t="str">
        <f>IF(OR($B146="",NOT(ISNUMBER($J146)),$D146="Cancelled",$D146="Owner block"),"—",ROUND($J146*IF(ISNUMBER($K146),IF($K146&gt;1,$K146/100,$K146),IF(IFERROR(INDEX(Setup!$D$25:$D$36,MATCH($B146,Setup!$A$25:$A$36,0)),0)&gt;1,IFERROR(INDEX(Setup!$D$25:$D$36,MATCH($B146,Setup!$A$25:$A$36,0)),0)/100,IFERROR(INDEX(Setup!$D$25:$D$36,MATCH($B146,Setup!$A$25:$A$36,0)),0))),2))</f>
        <v>—</v>
      </c>
      <c r="M146" s="21" t="str">
        <f t="shared" si="11"/>
        <v>—</v>
      </c>
      <c r="N146" s="21" t="str">
        <f>IF(OR($B146="",$G146="",$D146="Cancelled"),"—",IFERROR(IF(INDEX(Setup!$E$25:$E$36,MATCH($B146,Setup!$A$25:$A$36,0))=0,"—",INDEX(Setup!$E$25:$E$36,MATCH($B146,Setup!$A$25:$A$36,0))),"—"))</f>
        <v>—</v>
      </c>
      <c r="O146" s="21" t="str">
        <f>IF(OR($B146="",$G146="",$D146="Cancelled"),"—",IFERROR(IF(INDEX(Setup!$F$25:$F$36,MATCH($B146,Setup!$A$25:$A$36,0))=0,"—",INDEX(Setup!$F$25:$F$36,MATCH($B146,Setup!$A$25:$A$36,0))),"—"))</f>
        <v>—</v>
      </c>
      <c r="P146" s="21" t="str">
        <f>IF(OR($B146="",$G146="",$D146="Cancelled",$D146="Owner block"),"—",IF(IFERROR(INDEX(Setup!$G$25:$G$36,MATCH($B146,Setup!$A$25:$A$36,0)),0)+IFERROR(INDEX(Setup!$H$25:$H$36,MATCH($B146,Setup!$A$25:$A$36,0)),0)*IF(ISNUMBER($H146),$H146,0)=0,"—",ROUND(IFERROR(INDEX(Setup!$G$25:$G$36,MATCH($B146,Setup!$A$25:$A$36,0)),0)+IFERROR(INDEX(Setup!$H$25:$H$36,MATCH($B146,Setup!$A$25:$A$36,0)),0)*IF(ISNUMBER($H146),$H146,0),2)))</f>
        <v>—</v>
      </c>
      <c r="Q146" s="21" t="str">
        <f t="shared" si="12"/>
        <v>—</v>
      </c>
      <c r="R146" s="21" t="str">
        <f t="shared" si="13"/>
        <v>—</v>
      </c>
      <c r="S146" s="8"/>
      <c r="T146" s="19" t="str">
        <f ca="1">IF(OR(NOT(ISNUMBER($F146)),NOT(ISNUMBER($G146)),NOT(ISNUMBER(Dashboard!$P$2)),NOT(ISNUMBER(Dashboard!$P$3)),$D146="Cancelled",$D146="Owner block"),"—",IF(MAX(0,MIN($G146,Dashboard!$P$3+1)-MAX($F146,Dashboard!$P$2))=0,"—",MAX(0,MIN($G146,Dashboard!$P$3+1)-MAX($F146,Dashboard!$P$2))))</f>
        <v>—</v>
      </c>
      <c r="U146" s="19" t="str">
        <f ca="1">IF(OR(NOT(ISNUMBER($F146)),NOT(ISNUMBER($G146)),NOT(ISNUMBER(Dashboard!$P$2)),NOT(ISNUMBER(Dashboard!$P$3)),$D146&lt;&gt;"Owner block"),"—",IF(MAX(0,MIN($G146,Dashboard!$P$3+1)-MAX($F146,Dashboard!$P$2))=0,"—",MAX(0,MIN($G146,Dashboard!$P$3+1)-MAX($F146,Dashboard!$P$2))))</f>
        <v>—</v>
      </c>
      <c r="V146" s="7" t="str">
        <f>IF($B146="",IF(COUNTA($C146:$G146,$I146:$K146,$S146)=0,"","⚠ no property — not counted"),IF(COUNTIF(Setup!$A$25:$A$36,$B146)=0,"⚠ property not in Setup",IF(AND($F146&lt;&gt;"",NOT(ISNUMBER($F146))),"⚠ check-in is not a real date",IF(AND($G146&lt;&gt;"",NOT(ISNUMBER($G146))),"⚠ check-out is not a real date",IF(AND($J146&lt;&gt;"",NOT(ISNUMBER($J146))),"⚠ booking value is not a number","OK")))))</f>
        <v/>
      </c>
      <c r="W146" s="21" t="str">
        <f t="shared" si="14"/>
        <v>—</v>
      </c>
    </row>
    <row r="147" spans="1:23" x14ac:dyDescent="0.2">
      <c r="A147" s="30">
        <v>143</v>
      </c>
      <c r="B147" s="3"/>
      <c r="C147" s="3"/>
      <c r="D147" s="3"/>
      <c r="E147" s="3"/>
      <c r="F147" s="31"/>
      <c r="G147" s="31"/>
      <c r="H147" s="19" t="str">
        <f t="shared" si="10"/>
        <v>—</v>
      </c>
      <c r="I147" s="32"/>
      <c r="J147" s="6"/>
      <c r="K147" s="33"/>
      <c r="L147" s="21" t="str">
        <f>IF(OR($B147="",NOT(ISNUMBER($J147)),$D147="Cancelled",$D147="Owner block"),"—",ROUND($J147*IF(ISNUMBER($K147),IF($K147&gt;1,$K147/100,$K147),IF(IFERROR(INDEX(Setup!$D$25:$D$36,MATCH($B147,Setup!$A$25:$A$36,0)),0)&gt;1,IFERROR(INDEX(Setup!$D$25:$D$36,MATCH($B147,Setup!$A$25:$A$36,0)),0)/100,IFERROR(INDEX(Setup!$D$25:$D$36,MATCH($B147,Setup!$A$25:$A$36,0)),0))),2))</f>
        <v>—</v>
      </c>
      <c r="M147" s="21" t="str">
        <f t="shared" si="11"/>
        <v>—</v>
      </c>
      <c r="N147" s="21" t="str">
        <f>IF(OR($B147="",$G147="",$D147="Cancelled"),"—",IFERROR(IF(INDEX(Setup!$E$25:$E$36,MATCH($B147,Setup!$A$25:$A$36,0))=0,"—",INDEX(Setup!$E$25:$E$36,MATCH($B147,Setup!$A$25:$A$36,0))),"—"))</f>
        <v>—</v>
      </c>
      <c r="O147" s="21" t="str">
        <f>IF(OR($B147="",$G147="",$D147="Cancelled"),"—",IFERROR(IF(INDEX(Setup!$F$25:$F$36,MATCH($B147,Setup!$A$25:$A$36,0))=0,"—",INDEX(Setup!$F$25:$F$36,MATCH($B147,Setup!$A$25:$A$36,0))),"—"))</f>
        <v>—</v>
      </c>
      <c r="P147" s="21" t="str">
        <f>IF(OR($B147="",$G147="",$D147="Cancelled",$D147="Owner block"),"—",IF(IFERROR(INDEX(Setup!$G$25:$G$36,MATCH($B147,Setup!$A$25:$A$36,0)),0)+IFERROR(INDEX(Setup!$H$25:$H$36,MATCH($B147,Setup!$A$25:$A$36,0)),0)*IF(ISNUMBER($H147),$H147,0)=0,"—",ROUND(IFERROR(INDEX(Setup!$G$25:$G$36,MATCH($B147,Setup!$A$25:$A$36,0)),0)+IFERROR(INDEX(Setup!$H$25:$H$36,MATCH($B147,Setup!$A$25:$A$36,0)),0)*IF(ISNUMBER($H147),$H147,0),2)))</f>
        <v>—</v>
      </c>
      <c r="Q147" s="21" t="str">
        <f t="shared" si="12"/>
        <v>—</v>
      </c>
      <c r="R147" s="21" t="str">
        <f t="shared" si="13"/>
        <v>—</v>
      </c>
      <c r="S147" s="3"/>
      <c r="T147" s="19" t="str">
        <f ca="1">IF(OR(NOT(ISNUMBER($F147)),NOT(ISNUMBER($G147)),NOT(ISNUMBER(Dashboard!$P$2)),NOT(ISNUMBER(Dashboard!$P$3)),$D147="Cancelled",$D147="Owner block"),"—",IF(MAX(0,MIN($G147,Dashboard!$P$3+1)-MAX($F147,Dashboard!$P$2))=0,"—",MAX(0,MIN($G147,Dashboard!$P$3+1)-MAX($F147,Dashboard!$P$2))))</f>
        <v>—</v>
      </c>
      <c r="U147" s="19" t="str">
        <f ca="1">IF(OR(NOT(ISNUMBER($F147)),NOT(ISNUMBER($G147)),NOT(ISNUMBER(Dashboard!$P$2)),NOT(ISNUMBER(Dashboard!$P$3)),$D147&lt;&gt;"Owner block"),"—",IF(MAX(0,MIN($G147,Dashboard!$P$3+1)-MAX($F147,Dashboard!$P$2))=0,"—",MAX(0,MIN($G147,Dashboard!$P$3+1)-MAX($F147,Dashboard!$P$2))))</f>
        <v>—</v>
      </c>
      <c r="V147" s="7" t="str">
        <f>IF($B147="",IF(COUNTA($C147:$G147,$I147:$K147,$S147)=0,"","⚠ no property — not counted"),IF(COUNTIF(Setup!$A$25:$A$36,$B147)=0,"⚠ property not in Setup",IF(AND($F147&lt;&gt;"",NOT(ISNUMBER($F147))),"⚠ check-in is not a real date",IF(AND($G147&lt;&gt;"",NOT(ISNUMBER($G147))),"⚠ check-out is not a real date",IF(AND($J147&lt;&gt;"",NOT(ISNUMBER($J147))),"⚠ booking value is not a number","OK")))))</f>
        <v/>
      </c>
      <c r="W147" s="21" t="str">
        <f t="shared" si="14"/>
        <v>—</v>
      </c>
    </row>
    <row r="148" spans="1:23" x14ac:dyDescent="0.2">
      <c r="A148" s="30">
        <v>144</v>
      </c>
      <c r="B148" s="8"/>
      <c r="C148" s="8"/>
      <c r="D148" s="8"/>
      <c r="E148" s="8"/>
      <c r="F148" s="34"/>
      <c r="G148" s="34"/>
      <c r="H148" s="19" t="str">
        <f t="shared" si="10"/>
        <v>—</v>
      </c>
      <c r="I148" s="35"/>
      <c r="J148" s="11"/>
      <c r="K148" s="36"/>
      <c r="L148" s="21" t="str">
        <f>IF(OR($B148="",NOT(ISNUMBER($J148)),$D148="Cancelled",$D148="Owner block"),"—",ROUND($J148*IF(ISNUMBER($K148),IF($K148&gt;1,$K148/100,$K148),IF(IFERROR(INDEX(Setup!$D$25:$D$36,MATCH($B148,Setup!$A$25:$A$36,0)),0)&gt;1,IFERROR(INDEX(Setup!$D$25:$D$36,MATCH($B148,Setup!$A$25:$A$36,0)),0)/100,IFERROR(INDEX(Setup!$D$25:$D$36,MATCH($B148,Setup!$A$25:$A$36,0)),0))),2))</f>
        <v>—</v>
      </c>
      <c r="M148" s="21" t="str">
        <f t="shared" si="11"/>
        <v>—</v>
      </c>
      <c r="N148" s="21" t="str">
        <f>IF(OR($B148="",$G148="",$D148="Cancelled"),"—",IFERROR(IF(INDEX(Setup!$E$25:$E$36,MATCH($B148,Setup!$A$25:$A$36,0))=0,"—",INDEX(Setup!$E$25:$E$36,MATCH($B148,Setup!$A$25:$A$36,0))),"—"))</f>
        <v>—</v>
      </c>
      <c r="O148" s="21" t="str">
        <f>IF(OR($B148="",$G148="",$D148="Cancelled"),"—",IFERROR(IF(INDEX(Setup!$F$25:$F$36,MATCH($B148,Setup!$A$25:$A$36,0))=0,"—",INDEX(Setup!$F$25:$F$36,MATCH($B148,Setup!$A$25:$A$36,0))),"—"))</f>
        <v>—</v>
      </c>
      <c r="P148" s="21" t="str">
        <f>IF(OR($B148="",$G148="",$D148="Cancelled",$D148="Owner block"),"—",IF(IFERROR(INDEX(Setup!$G$25:$G$36,MATCH($B148,Setup!$A$25:$A$36,0)),0)+IFERROR(INDEX(Setup!$H$25:$H$36,MATCH($B148,Setup!$A$25:$A$36,0)),0)*IF(ISNUMBER($H148),$H148,0)=0,"—",ROUND(IFERROR(INDEX(Setup!$G$25:$G$36,MATCH($B148,Setup!$A$25:$A$36,0)),0)+IFERROR(INDEX(Setup!$H$25:$H$36,MATCH($B148,Setup!$A$25:$A$36,0)),0)*IF(ISNUMBER($H148),$H148,0),2)))</f>
        <v>—</v>
      </c>
      <c r="Q148" s="21" t="str">
        <f t="shared" si="12"/>
        <v>—</v>
      </c>
      <c r="R148" s="21" t="str">
        <f t="shared" si="13"/>
        <v>—</v>
      </c>
      <c r="S148" s="8"/>
      <c r="T148" s="19" t="str">
        <f ca="1">IF(OR(NOT(ISNUMBER($F148)),NOT(ISNUMBER($G148)),NOT(ISNUMBER(Dashboard!$P$2)),NOT(ISNUMBER(Dashboard!$P$3)),$D148="Cancelled",$D148="Owner block"),"—",IF(MAX(0,MIN($G148,Dashboard!$P$3+1)-MAX($F148,Dashboard!$P$2))=0,"—",MAX(0,MIN($G148,Dashboard!$P$3+1)-MAX($F148,Dashboard!$P$2))))</f>
        <v>—</v>
      </c>
      <c r="U148" s="19" t="str">
        <f ca="1">IF(OR(NOT(ISNUMBER($F148)),NOT(ISNUMBER($G148)),NOT(ISNUMBER(Dashboard!$P$2)),NOT(ISNUMBER(Dashboard!$P$3)),$D148&lt;&gt;"Owner block"),"—",IF(MAX(0,MIN($G148,Dashboard!$P$3+1)-MAX($F148,Dashboard!$P$2))=0,"—",MAX(0,MIN($G148,Dashboard!$P$3+1)-MAX($F148,Dashboard!$P$2))))</f>
        <v>—</v>
      </c>
      <c r="V148" s="7" t="str">
        <f>IF($B148="",IF(COUNTA($C148:$G148,$I148:$K148,$S148)=0,"","⚠ no property — not counted"),IF(COUNTIF(Setup!$A$25:$A$36,$B148)=0,"⚠ property not in Setup",IF(AND($F148&lt;&gt;"",NOT(ISNUMBER($F148))),"⚠ check-in is not a real date",IF(AND($G148&lt;&gt;"",NOT(ISNUMBER($G148))),"⚠ check-out is not a real date",IF(AND($J148&lt;&gt;"",NOT(ISNUMBER($J148))),"⚠ booking value is not a number","OK")))))</f>
        <v/>
      </c>
      <c r="W148" s="21" t="str">
        <f t="shared" si="14"/>
        <v>—</v>
      </c>
    </row>
    <row r="149" spans="1:23" x14ac:dyDescent="0.2">
      <c r="A149" s="30">
        <v>145</v>
      </c>
      <c r="B149" s="3"/>
      <c r="C149" s="3"/>
      <c r="D149" s="3"/>
      <c r="E149" s="3"/>
      <c r="F149" s="31"/>
      <c r="G149" s="31"/>
      <c r="H149" s="19" t="str">
        <f t="shared" si="10"/>
        <v>—</v>
      </c>
      <c r="I149" s="32"/>
      <c r="J149" s="6"/>
      <c r="K149" s="33"/>
      <c r="L149" s="21" t="str">
        <f>IF(OR($B149="",NOT(ISNUMBER($J149)),$D149="Cancelled",$D149="Owner block"),"—",ROUND($J149*IF(ISNUMBER($K149),IF($K149&gt;1,$K149/100,$K149),IF(IFERROR(INDEX(Setup!$D$25:$D$36,MATCH($B149,Setup!$A$25:$A$36,0)),0)&gt;1,IFERROR(INDEX(Setup!$D$25:$D$36,MATCH($B149,Setup!$A$25:$A$36,0)),0)/100,IFERROR(INDEX(Setup!$D$25:$D$36,MATCH($B149,Setup!$A$25:$A$36,0)),0))),2))</f>
        <v>—</v>
      </c>
      <c r="M149" s="21" t="str">
        <f t="shared" si="11"/>
        <v>—</v>
      </c>
      <c r="N149" s="21" t="str">
        <f>IF(OR($B149="",$G149="",$D149="Cancelled"),"—",IFERROR(IF(INDEX(Setup!$E$25:$E$36,MATCH($B149,Setup!$A$25:$A$36,0))=0,"—",INDEX(Setup!$E$25:$E$36,MATCH($B149,Setup!$A$25:$A$36,0))),"—"))</f>
        <v>—</v>
      </c>
      <c r="O149" s="21" t="str">
        <f>IF(OR($B149="",$G149="",$D149="Cancelled"),"—",IFERROR(IF(INDEX(Setup!$F$25:$F$36,MATCH($B149,Setup!$A$25:$A$36,0))=0,"—",INDEX(Setup!$F$25:$F$36,MATCH($B149,Setup!$A$25:$A$36,0))),"—"))</f>
        <v>—</v>
      </c>
      <c r="P149" s="21" t="str">
        <f>IF(OR($B149="",$G149="",$D149="Cancelled",$D149="Owner block"),"—",IF(IFERROR(INDEX(Setup!$G$25:$G$36,MATCH($B149,Setup!$A$25:$A$36,0)),0)+IFERROR(INDEX(Setup!$H$25:$H$36,MATCH($B149,Setup!$A$25:$A$36,0)),0)*IF(ISNUMBER($H149),$H149,0)=0,"—",ROUND(IFERROR(INDEX(Setup!$G$25:$G$36,MATCH($B149,Setup!$A$25:$A$36,0)),0)+IFERROR(INDEX(Setup!$H$25:$H$36,MATCH($B149,Setup!$A$25:$A$36,0)),0)*IF(ISNUMBER($H149),$H149,0),2)))</f>
        <v>—</v>
      </c>
      <c r="Q149" s="21" t="str">
        <f t="shared" si="12"/>
        <v>—</v>
      </c>
      <c r="R149" s="21" t="str">
        <f t="shared" si="13"/>
        <v>—</v>
      </c>
      <c r="S149" s="3"/>
      <c r="T149" s="19" t="str">
        <f ca="1">IF(OR(NOT(ISNUMBER($F149)),NOT(ISNUMBER($G149)),NOT(ISNUMBER(Dashboard!$P$2)),NOT(ISNUMBER(Dashboard!$P$3)),$D149="Cancelled",$D149="Owner block"),"—",IF(MAX(0,MIN($G149,Dashboard!$P$3+1)-MAX($F149,Dashboard!$P$2))=0,"—",MAX(0,MIN($G149,Dashboard!$P$3+1)-MAX($F149,Dashboard!$P$2))))</f>
        <v>—</v>
      </c>
      <c r="U149" s="19" t="str">
        <f ca="1">IF(OR(NOT(ISNUMBER($F149)),NOT(ISNUMBER($G149)),NOT(ISNUMBER(Dashboard!$P$2)),NOT(ISNUMBER(Dashboard!$P$3)),$D149&lt;&gt;"Owner block"),"—",IF(MAX(0,MIN($G149,Dashboard!$P$3+1)-MAX($F149,Dashboard!$P$2))=0,"—",MAX(0,MIN($G149,Dashboard!$P$3+1)-MAX($F149,Dashboard!$P$2))))</f>
        <v>—</v>
      </c>
      <c r="V149" s="7" t="str">
        <f>IF($B149="",IF(COUNTA($C149:$G149,$I149:$K149,$S149)=0,"","⚠ no property — not counted"),IF(COUNTIF(Setup!$A$25:$A$36,$B149)=0,"⚠ property not in Setup",IF(AND($F149&lt;&gt;"",NOT(ISNUMBER($F149))),"⚠ check-in is not a real date",IF(AND($G149&lt;&gt;"",NOT(ISNUMBER($G149))),"⚠ check-out is not a real date",IF(AND($J149&lt;&gt;"",NOT(ISNUMBER($J149))),"⚠ booking value is not a number","OK")))))</f>
        <v/>
      </c>
      <c r="W149" s="21" t="str">
        <f t="shared" si="14"/>
        <v>—</v>
      </c>
    </row>
    <row r="150" spans="1:23" x14ac:dyDescent="0.2">
      <c r="A150" s="30">
        <v>146</v>
      </c>
      <c r="B150" s="8"/>
      <c r="C150" s="8"/>
      <c r="D150" s="8"/>
      <c r="E150" s="8"/>
      <c r="F150" s="34"/>
      <c r="G150" s="34"/>
      <c r="H150" s="19" t="str">
        <f t="shared" si="10"/>
        <v>—</v>
      </c>
      <c r="I150" s="35"/>
      <c r="J150" s="11"/>
      <c r="K150" s="36"/>
      <c r="L150" s="21" t="str">
        <f>IF(OR($B150="",NOT(ISNUMBER($J150)),$D150="Cancelled",$D150="Owner block"),"—",ROUND($J150*IF(ISNUMBER($K150),IF($K150&gt;1,$K150/100,$K150),IF(IFERROR(INDEX(Setup!$D$25:$D$36,MATCH($B150,Setup!$A$25:$A$36,0)),0)&gt;1,IFERROR(INDEX(Setup!$D$25:$D$36,MATCH($B150,Setup!$A$25:$A$36,0)),0)/100,IFERROR(INDEX(Setup!$D$25:$D$36,MATCH($B150,Setup!$A$25:$A$36,0)),0))),2))</f>
        <v>—</v>
      </c>
      <c r="M150" s="21" t="str">
        <f t="shared" si="11"/>
        <v>—</v>
      </c>
      <c r="N150" s="21" t="str">
        <f>IF(OR($B150="",$G150="",$D150="Cancelled"),"—",IFERROR(IF(INDEX(Setup!$E$25:$E$36,MATCH($B150,Setup!$A$25:$A$36,0))=0,"—",INDEX(Setup!$E$25:$E$36,MATCH($B150,Setup!$A$25:$A$36,0))),"—"))</f>
        <v>—</v>
      </c>
      <c r="O150" s="21" t="str">
        <f>IF(OR($B150="",$G150="",$D150="Cancelled"),"—",IFERROR(IF(INDEX(Setup!$F$25:$F$36,MATCH($B150,Setup!$A$25:$A$36,0))=0,"—",INDEX(Setup!$F$25:$F$36,MATCH($B150,Setup!$A$25:$A$36,0))),"—"))</f>
        <v>—</v>
      </c>
      <c r="P150" s="21" t="str">
        <f>IF(OR($B150="",$G150="",$D150="Cancelled",$D150="Owner block"),"—",IF(IFERROR(INDEX(Setup!$G$25:$G$36,MATCH($B150,Setup!$A$25:$A$36,0)),0)+IFERROR(INDEX(Setup!$H$25:$H$36,MATCH($B150,Setup!$A$25:$A$36,0)),0)*IF(ISNUMBER($H150),$H150,0)=0,"—",ROUND(IFERROR(INDEX(Setup!$G$25:$G$36,MATCH($B150,Setup!$A$25:$A$36,0)),0)+IFERROR(INDEX(Setup!$H$25:$H$36,MATCH($B150,Setup!$A$25:$A$36,0)),0)*IF(ISNUMBER($H150),$H150,0),2)))</f>
        <v>—</v>
      </c>
      <c r="Q150" s="21" t="str">
        <f t="shared" si="12"/>
        <v>—</v>
      </c>
      <c r="R150" s="21" t="str">
        <f t="shared" si="13"/>
        <v>—</v>
      </c>
      <c r="S150" s="8"/>
      <c r="T150" s="19" t="str">
        <f ca="1">IF(OR(NOT(ISNUMBER($F150)),NOT(ISNUMBER($G150)),NOT(ISNUMBER(Dashboard!$P$2)),NOT(ISNUMBER(Dashboard!$P$3)),$D150="Cancelled",$D150="Owner block"),"—",IF(MAX(0,MIN($G150,Dashboard!$P$3+1)-MAX($F150,Dashboard!$P$2))=0,"—",MAX(0,MIN($G150,Dashboard!$P$3+1)-MAX($F150,Dashboard!$P$2))))</f>
        <v>—</v>
      </c>
      <c r="U150" s="19" t="str">
        <f ca="1">IF(OR(NOT(ISNUMBER($F150)),NOT(ISNUMBER($G150)),NOT(ISNUMBER(Dashboard!$P$2)),NOT(ISNUMBER(Dashboard!$P$3)),$D150&lt;&gt;"Owner block"),"—",IF(MAX(0,MIN($G150,Dashboard!$P$3+1)-MAX($F150,Dashboard!$P$2))=0,"—",MAX(0,MIN($G150,Dashboard!$P$3+1)-MAX($F150,Dashboard!$P$2))))</f>
        <v>—</v>
      </c>
      <c r="V150" s="7" t="str">
        <f>IF($B150="",IF(COUNTA($C150:$G150,$I150:$K150,$S150)=0,"","⚠ no property — not counted"),IF(COUNTIF(Setup!$A$25:$A$36,$B150)=0,"⚠ property not in Setup",IF(AND($F150&lt;&gt;"",NOT(ISNUMBER($F150))),"⚠ check-in is not a real date",IF(AND($G150&lt;&gt;"",NOT(ISNUMBER($G150))),"⚠ check-out is not a real date",IF(AND($J150&lt;&gt;"",NOT(ISNUMBER($J150))),"⚠ booking value is not a number","OK")))))</f>
        <v/>
      </c>
      <c r="W150" s="21" t="str">
        <f t="shared" si="14"/>
        <v>—</v>
      </c>
    </row>
    <row r="151" spans="1:23" x14ac:dyDescent="0.2">
      <c r="A151" s="30">
        <v>147</v>
      </c>
      <c r="B151" s="3"/>
      <c r="C151" s="3"/>
      <c r="D151" s="3"/>
      <c r="E151" s="3"/>
      <c r="F151" s="31"/>
      <c r="G151" s="31"/>
      <c r="H151" s="19" t="str">
        <f t="shared" si="10"/>
        <v>—</v>
      </c>
      <c r="I151" s="32"/>
      <c r="J151" s="6"/>
      <c r="K151" s="33"/>
      <c r="L151" s="21" t="str">
        <f>IF(OR($B151="",NOT(ISNUMBER($J151)),$D151="Cancelled",$D151="Owner block"),"—",ROUND($J151*IF(ISNUMBER($K151),IF($K151&gt;1,$K151/100,$K151),IF(IFERROR(INDEX(Setup!$D$25:$D$36,MATCH($B151,Setup!$A$25:$A$36,0)),0)&gt;1,IFERROR(INDEX(Setup!$D$25:$D$36,MATCH($B151,Setup!$A$25:$A$36,0)),0)/100,IFERROR(INDEX(Setup!$D$25:$D$36,MATCH($B151,Setup!$A$25:$A$36,0)),0))),2))</f>
        <v>—</v>
      </c>
      <c r="M151" s="21" t="str">
        <f t="shared" si="11"/>
        <v>—</v>
      </c>
      <c r="N151" s="21" t="str">
        <f>IF(OR($B151="",$G151="",$D151="Cancelled"),"—",IFERROR(IF(INDEX(Setup!$E$25:$E$36,MATCH($B151,Setup!$A$25:$A$36,0))=0,"—",INDEX(Setup!$E$25:$E$36,MATCH($B151,Setup!$A$25:$A$36,0))),"—"))</f>
        <v>—</v>
      </c>
      <c r="O151" s="21" t="str">
        <f>IF(OR($B151="",$G151="",$D151="Cancelled"),"—",IFERROR(IF(INDEX(Setup!$F$25:$F$36,MATCH($B151,Setup!$A$25:$A$36,0))=0,"—",INDEX(Setup!$F$25:$F$36,MATCH($B151,Setup!$A$25:$A$36,0))),"—"))</f>
        <v>—</v>
      </c>
      <c r="P151" s="21" t="str">
        <f>IF(OR($B151="",$G151="",$D151="Cancelled",$D151="Owner block"),"—",IF(IFERROR(INDEX(Setup!$G$25:$G$36,MATCH($B151,Setup!$A$25:$A$36,0)),0)+IFERROR(INDEX(Setup!$H$25:$H$36,MATCH($B151,Setup!$A$25:$A$36,0)),0)*IF(ISNUMBER($H151),$H151,0)=0,"—",ROUND(IFERROR(INDEX(Setup!$G$25:$G$36,MATCH($B151,Setup!$A$25:$A$36,0)),0)+IFERROR(INDEX(Setup!$H$25:$H$36,MATCH($B151,Setup!$A$25:$A$36,0)),0)*IF(ISNUMBER($H151),$H151,0),2)))</f>
        <v>—</v>
      </c>
      <c r="Q151" s="21" t="str">
        <f t="shared" si="12"/>
        <v>—</v>
      </c>
      <c r="R151" s="21" t="str">
        <f t="shared" si="13"/>
        <v>—</v>
      </c>
      <c r="S151" s="3"/>
      <c r="T151" s="19" t="str">
        <f ca="1">IF(OR(NOT(ISNUMBER($F151)),NOT(ISNUMBER($G151)),NOT(ISNUMBER(Dashboard!$P$2)),NOT(ISNUMBER(Dashboard!$P$3)),$D151="Cancelled",$D151="Owner block"),"—",IF(MAX(0,MIN($G151,Dashboard!$P$3+1)-MAX($F151,Dashboard!$P$2))=0,"—",MAX(0,MIN($G151,Dashboard!$P$3+1)-MAX($F151,Dashboard!$P$2))))</f>
        <v>—</v>
      </c>
      <c r="U151" s="19" t="str">
        <f ca="1">IF(OR(NOT(ISNUMBER($F151)),NOT(ISNUMBER($G151)),NOT(ISNUMBER(Dashboard!$P$2)),NOT(ISNUMBER(Dashboard!$P$3)),$D151&lt;&gt;"Owner block"),"—",IF(MAX(0,MIN($G151,Dashboard!$P$3+1)-MAX($F151,Dashboard!$P$2))=0,"—",MAX(0,MIN($G151,Dashboard!$P$3+1)-MAX($F151,Dashboard!$P$2))))</f>
        <v>—</v>
      </c>
      <c r="V151" s="7" t="str">
        <f>IF($B151="",IF(COUNTA($C151:$G151,$I151:$K151,$S151)=0,"","⚠ no property — not counted"),IF(COUNTIF(Setup!$A$25:$A$36,$B151)=0,"⚠ property not in Setup",IF(AND($F151&lt;&gt;"",NOT(ISNUMBER($F151))),"⚠ check-in is not a real date",IF(AND($G151&lt;&gt;"",NOT(ISNUMBER($G151))),"⚠ check-out is not a real date",IF(AND($J151&lt;&gt;"",NOT(ISNUMBER($J151))),"⚠ booking value is not a number","OK")))))</f>
        <v/>
      </c>
      <c r="W151" s="21" t="str">
        <f t="shared" si="14"/>
        <v>—</v>
      </c>
    </row>
    <row r="152" spans="1:23" x14ac:dyDescent="0.2">
      <c r="A152" s="30">
        <v>148</v>
      </c>
      <c r="B152" s="8"/>
      <c r="C152" s="8"/>
      <c r="D152" s="8"/>
      <c r="E152" s="8"/>
      <c r="F152" s="34"/>
      <c r="G152" s="34"/>
      <c r="H152" s="19" t="str">
        <f t="shared" si="10"/>
        <v>—</v>
      </c>
      <c r="I152" s="35"/>
      <c r="J152" s="11"/>
      <c r="K152" s="36"/>
      <c r="L152" s="21" t="str">
        <f>IF(OR($B152="",NOT(ISNUMBER($J152)),$D152="Cancelled",$D152="Owner block"),"—",ROUND($J152*IF(ISNUMBER($K152),IF($K152&gt;1,$K152/100,$K152),IF(IFERROR(INDEX(Setup!$D$25:$D$36,MATCH($B152,Setup!$A$25:$A$36,0)),0)&gt;1,IFERROR(INDEX(Setup!$D$25:$D$36,MATCH($B152,Setup!$A$25:$A$36,0)),0)/100,IFERROR(INDEX(Setup!$D$25:$D$36,MATCH($B152,Setup!$A$25:$A$36,0)),0))),2))</f>
        <v>—</v>
      </c>
      <c r="M152" s="21" t="str">
        <f t="shared" si="11"/>
        <v>—</v>
      </c>
      <c r="N152" s="21" t="str">
        <f>IF(OR($B152="",$G152="",$D152="Cancelled"),"—",IFERROR(IF(INDEX(Setup!$E$25:$E$36,MATCH($B152,Setup!$A$25:$A$36,0))=0,"—",INDEX(Setup!$E$25:$E$36,MATCH($B152,Setup!$A$25:$A$36,0))),"—"))</f>
        <v>—</v>
      </c>
      <c r="O152" s="21" t="str">
        <f>IF(OR($B152="",$G152="",$D152="Cancelled"),"—",IFERROR(IF(INDEX(Setup!$F$25:$F$36,MATCH($B152,Setup!$A$25:$A$36,0))=0,"—",INDEX(Setup!$F$25:$F$36,MATCH($B152,Setup!$A$25:$A$36,0))),"—"))</f>
        <v>—</v>
      </c>
      <c r="P152" s="21" t="str">
        <f>IF(OR($B152="",$G152="",$D152="Cancelled",$D152="Owner block"),"—",IF(IFERROR(INDEX(Setup!$G$25:$G$36,MATCH($B152,Setup!$A$25:$A$36,0)),0)+IFERROR(INDEX(Setup!$H$25:$H$36,MATCH($B152,Setup!$A$25:$A$36,0)),0)*IF(ISNUMBER($H152),$H152,0)=0,"—",ROUND(IFERROR(INDEX(Setup!$G$25:$G$36,MATCH($B152,Setup!$A$25:$A$36,0)),0)+IFERROR(INDEX(Setup!$H$25:$H$36,MATCH($B152,Setup!$A$25:$A$36,0)),0)*IF(ISNUMBER($H152),$H152,0),2)))</f>
        <v>—</v>
      </c>
      <c r="Q152" s="21" t="str">
        <f t="shared" si="12"/>
        <v>—</v>
      </c>
      <c r="R152" s="21" t="str">
        <f t="shared" si="13"/>
        <v>—</v>
      </c>
      <c r="S152" s="8"/>
      <c r="T152" s="19" t="str">
        <f ca="1">IF(OR(NOT(ISNUMBER($F152)),NOT(ISNUMBER($G152)),NOT(ISNUMBER(Dashboard!$P$2)),NOT(ISNUMBER(Dashboard!$P$3)),$D152="Cancelled",$D152="Owner block"),"—",IF(MAX(0,MIN($G152,Dashboard!$P$3+1)-MAX($F152,Dashboard!$P$2))=0,"—",MAX(0,MIN($G152,Dashboard!$P$3+1)-MAX($F152,Dashboard!$P$2))))</f>
        <v>—</v>
      </c>
      <c r="U152" s="19" t="str">
        <f ca="1">IF(OR(NOT(ISNUMBER($F152)),NOT(ISNUMBER($G152)),NOT(ISNUMBER(Dashboard!$P$2)),NOT(ISNUMBER(Dashboard!$P$3)),$D152&lt;&gt;"Owner block"),"—",IF(MAX(0,MIN($G152,Dashboard!$P$3+1)-MAX($F152,Dashboard!$P$2))=0,"—",MAX(0,MIN($G152,Dashboard!$P$3+1)-MAX($F152,Dashboard!$P$2))))</f>
        <v>—</v>
      </c>
      <c r="V152" s="7" t="str">
        <f>IF($B152="",IF(COUNTA($C152:$G152,$I152:$K152,$S152)=0,"","⚠ no property — not counted"),IF(COUNTIF(Setup!$A$25:$A$36,$B152)=0,"⚠ property not in Setup",IF(AND($F152&lt;&gt;"",NOT(ISNUMBER($F152))),"⚠ check-in is not a real date",IF(AND($G152&lt;&gt;"",NOT(ISNUMBER($G152))),"⚠ check-out is not a real date",IF(AND($J152&lt;&gt;"",NOT(ISNUMBER($J152))),"⚠ booking value is not a number","OK")))))</f>
        <v/>
      </c>
      <c r="W152" s="21" t="str">
        <f t="shared" si="14"/>
        <v>—</v>
      </c>
    </row>
    <row r="153" spans="1:23" x14ac:dyDescent="0.2">
      <c r="A153" s="30">
        <v>149</v>
      </c>
      <c r="B153" s="3"/>
      <c r="C153" s="3"/>
      <c r="D153" s="3"/>
      <c r="E153" s="3"/>
      <c r="F153" s="31"/>
      <c r="G153" s="31"/>
      <c r="H153" s="19" t="str">
        <f t="shared" si="10"/>
        <v>—</v>
      </c>
      <c r="I153" s="32"/>
      <c r="J153" s="6"/>
      <c r="K153" s="33"/>
      <c r="L153" s="21" t="str">
        <f>IF(OR($B153="",NOT(ISNUMBER($J153)),$D153="Cancelled",$D153="Owner block"),"—",ROUND($J153*IF(ISNUMBER($K153),IF($K153&gt;1,$K153/100,$K153),IF(IFERROR(INDEX(Setup!$D$25:$D$36,MATCH($B153,Setup!$A$25:$A$36,0)),0)&gt;1,IFERROR(INDEX(Setup!$D$25:$D$36,MATCH($B153,Setup!$A$25:$A$36,0)),0)/100,IFERROR(INDEX(Setup!$D$25:$D$36,MATCH($B153,Setup!$A$25:$A$36,0)),0))),2))</f>
        <v>—</v>
      </c>
      <c r="M153" s="21" t="str">
        <f t="shared" si="11"/>
        <v>—</v>
      </c>
      <c r="N153" s="21" t="str">
        <f>IF(OR($B153="",$G153="",$D153="Cancelled"),"—",IFERROR(IF(INDEX(Setup!$E$25:$E$36,MATCH($B153,Setup!$A$25:$A$36,0))=0,"—",INDEX(Setup!$E$25:$E$36,MATCH($B153,Setup!$A$25:$A$36,0))),"—"))</f>
        <v>—</v>
      </c>
      <c r="O153" s="21" t="str">
        <f>IF(OR($B153="",$G153="",$D153="Cancelled"),"—",IFERROR(IF(INDEX(Setup!$F$25:$F$36,MATCH($B153,Setup!$A$25:$A$36,0))=0,"—",INDEX(Setup!$F$25:$F$36,MATCH($B153,Setup!$A$25:$A$36,0))),"—"))</f>
        <v>—</v>
      </c>
      <c r="P153" s="21" t="str">
        <f>IF(OR($B153="",$G153="",$D153="Cancelled",$D153="Owner block"),"—",IF(IFERROR(INDEX(Setup!$G$25:$G$36,MATCH($B153,Setup!$A$25:$A$36,0)),0)+IFERROR(INDEX(Setup!$H$25:$H$36,MATCH($B153,Setup!$A$25:$A$36,0)),0)*IF(ISNUMBER($H153),$H153,0)=0,"—",ROUND(IFERROR(INDEX(Setup!$G$25:$G$36,MATCH($B153,Setup!$A$25:$A$36,0)),0)+IFERROR(INDEX(Setup!$H$25:$H$36,MATCH($B153,Setup!$A$25:$A$36,0)),0)*IF(ISNUMBER($H153),$H153,0),2)))</f>
        <v>—</v>
      </c>
      <c r="Q153" s="21" t="str">
        <f t="shared" si="12"/>
        <v>—</v>
      </c>
      <c r="R153" s="21" t="str">
        <f t="shared" si="13"/>
        <v>—</v>
      </c>
      <c r="S153" s="3"/>
      <c r="T153" s="19" t="str">
        <f ca="1">IF(OR(NOT(ISNUMBER($F153)),NOT(ISNUMBER($G153)),NOT(ISNUMBER(Dashboard!$P$2)),NOT(ISNUMBER(Dashboard!$P$3)),$D153="Cancelled",$D153="Owner block"),"—",IF(MAX(0,MIN($G153,Dashboard!$P$3+1)-MAX($F153,Dashboard!$P$2))=0,"—",MAX(0,MIN($G153,Dashboard!$P$3+1)-MAX($F153,Dashboard!$P$2))))</f>
        <v>—</v>
      </c>
      <c r="U153" s="19" t="str">
        <f ca="1">IF(OR(NOT(ISNUMBER($F153)),NOT(ISNUMBER($G153)),NOT(ISNUMBER(Dashboard!$P$2)),NOT(ISNUMBER(Dashboard!$P$3)),$D153&lt;&gt;"Owner block"),"—",IF(MAX(0,MIN($G153,Dashboard!$P$3+1)-MAX($F153,Dashboard!$P$2))=0,"—",MAX(0,MIN($G153,Dashboard!$P$3+1)-MAX($F153,Dashboard!$P$2))))</f>
        <v>—</v>
      </c>
      <c r="V153" s="7" t="str">
        <f>IF($B153="",IF(COUNTA($C153:$G153,$I153:$K153,$S153)=0,"","⚠ no property — not counted"),IF(COUNTIF(Setup!$A$25:$A$36,$B153)=0,"⚠ property not in Setup",IF(AND($F153&lt;&gt;"",NOT(ISNUMBER($F153))),"⚠ check-in is not a real date",IF(AND($G153&lt;&gt;"",NOT(ISNUMBER($G153))),"⚠ check-out is not a real date",IF(AND($J153&lt;&gt;"",NOT(ISNUMBER($J153))),"⚠ booking value is not a number","OK")))))</f>
        <v/>
      </c>
      <c r="W153" s="21" t="str">
        <f t="shared" si="14"/>
        <v>—</v>
      </c>
    </row>
    <row r="154" spans="1:23" x14ac:dyDescent="0.2">
      <c r="A154" s="30">
        <v>150</v>
      </c>
      <c r="B154" s="8"/>
      <c r="C154" s="8"/>
      <c r="D154" s="8"/>
      <c r="E154" s="8"/>
      <c r="F154" s="34"/>
      <c r="G154" s="34"/>
      <c r="H154" s="19" t="str">
        <f t="shared" si="10"/>
        <v>—</v>
      </c>
      <c r="I154" s="35"/>
      <c r="J154" s="11"/>
      <c r="K154" s="36"/>
      <c r="L154" s="21" t="str">
        <f>IF(OR($B154="",NOT(ISNUMBER($J154)),$D154="Cancelled",$D154="Owner block"),"—",ROUND($J154*IF(ISNUMBER($K154),IF($K154&gt;1,$K154/100,$K154),IF(IFERROR(INDEX(Setup!$D$25:$D$36,MATCH($B154,Setup!$A$25:$A$36,0)),0)&gt;1,IFERROR(INDEX(Setup!$D$25:$D$36,MATCH($B154,Setup!$A$25:$A$36,0)),0)/100,IFERROR(INDEX(Setup!$D$25:$D$36,MATCH($B154,Setup!$A$25:$A$36,0)),0))),2))</f>
        <v>—</v>
      </c>
      <c r="M154" s="21" t="str">
        <f t="shared" si="11"/>
        <v>—</v>
      </c>
      <c r="N154" s="21" t="str">
        <f>IF(OR($B154="",$G154="",$D154="Cancelled"),"—",IFERROR(IF(INDEX(Setup!$E$25:$E$36,MATCH($B154,Setup!$A$25:$A$36,0))=0,"—",INDEX(Setup!$E$25:$E$36,MATCH($B154,Setup!$A$25:$A$36,0))),"—"))</f>
        <v>—</v>
      </c>
      <c r="O154" s="21" t="str">
        <f>IF(OR($B154="",$G154="",$D154="Cancelled"),"—",IFERROR(IF(INDEX(Setup!$F$25:$F$36,MATCH($B154,Setup!$A$25:$A$36,0))=0,"—",INDEX(Setup!$F$25:$F$36,MATCH($B154,Setup!$A$25:$A$36,0))),"—"))</f>
        <v>—</v>
      </c>
      <c r="P154" s="21" t="str">
        <f>IF(OR($B154="",$G154="",$D154="Cancelled",$D154="Owner block"),"—",IF(IFERROR(INDEX(Setup!$G$25:$G$36,MATCH($B154,Setup!$A$25:$A$36,0)),0)+IFERROR(INDEX(Setup!$H$25:$H$36,MATCH($B154,Setup!$A$25:$A$36,0)),0)*IF(ISNUMBER($H154),$H154,0)=0,"—",ROUND(IFERROR(INDEX(Setup!$G$25:$G$36,MATCH($B154,Setup!$A$25:$A$36,0)),0)+IFERROR(INDEX(Setup!$H$25:$H$36,MATCH($B154,Setup!$A$25:$A$36,0)),0)*IF(ISNUMBER($H154),$H154,0),2)))</f>
        <v>—</v>
      </c>
      <c r="Q154" s="21" t="str">
        <f t="shared" si="12"/>
        <v>—</v>
      </c>
      <c r="R154" s="21" t="str">
        <f t="shared" si="13"/>
        <v>—</v>
      </c>
      <c r="S154" s="8"/>
      <c r="T154" s="19" t="str">
        <f ca="1">IF(OR(NOT(ISNUMBER($F154)),NOT(ISNUMBER($G154)),NOT(ISNUMBER(Dashboard!$P$2)),NOT(ISNUMBER(Dashboard!$P$3)),$D154="Cancelled",$D154="Owner block"),"—",IF(MAX(0,MIN($G154,Dashboard!$P$3+1)-MAX($F154,Dashboard!$P$2))=0,"—",MAX(0,MIN($G154,Dashboard!$P$3+1)-MAX($F154,Dashboard!$P$2))))</f>
        <v>—</v>
      </c>
      <c r="U154" s="19" t="str">
        <f ca="1">IF(OR(NOT(ISNUMBER($F154)),NOT(ISNUMBER($G154)),NOT(ISNUMBER(Dashboard!$P$2)),NOT(ISNUMBER(Dashboard!$P$3)),$D154&lt;&gt;"Owner block"),"—",IF(MAX(0,MIN($G154,Dashboard!$P$3+1)-MAX($F154,Dashboard!$P$2))=0,"—",MAX(0,MIN($G154,Dashboard!$P$3+1)-MAX($F154,Dashboard!$P$2))))</f>
        <v>—</v>
      </c>
      <c r="V154" s="7" t="str">
        <f>IF($B154="",IF(COUNTA($C154:$G154,$I154:$K154,$S154)=0,"","⚠ no property — not counted"),IF(COUNTIF(Setup!$A$25:$A$36,$B154)=0,"⚠ property not in Setup",IF(AND($F154&lt;&gt;"",NOT(ISNUMBER($F154))),"⚠ check-in is not a real date",IF(AND($G154&lt;&gt;"",NOT(ISNUMBER($G154))),"⚠ check-out is not a real date",IF(AND($J154&lt;&gt;"",NOT(ISNUMBER($J154))),"⚠ booking value is not a number","OK")))))</f>
        <v/>
      </c>
      <c r="W154" s="21" t="str">
        <f t="shared" si="14"/>
        <v>—</v>
      </c>
    </row>
    <row r="155" spans="1:23" x14ac:dyDescent="0.2">
      <c r="A155" s="30">
        <v>151</v>
      </c>
      <c r="B155" s="3"/>
      <c r="C155" s="3"/>
      <c r="D155" s="3"/>
      <c r="E155" s="3"/>
      <c r="F155" s="31"/>
      <c r="G155" s="31"/>
      <c r="H155" s="19" t="str">
        <f t="shared" si="10"/>
        <v>—</v>
      </c>
      <c r="I155" s="32"/>
      <c r="J155" s="6"/>
      <c r="K155" s="33"/>
      <c r="L155" s="21" t="str">
        <f>IF(OR($B155="",NOT(ISNUMBER($J155)),$D155="Cancelled",$D155="Owner block"),"—",ROUND($J155*IF(ISNUMBER($K155),IF($K155&gt;1,$K155/100,$K155),IF(IFERROR(INDEX(Setup!$D$25:$D$36,MATCH($B155,Setup!$A$25:$A$36,0)),0)&gt;1,IFERROR(INDEX(Setup!$D$25:$D$36,MATCH($B155,Setup!$A$25:$A$36,0)),0)/100,IFERROR(INDEX(Setup!$D$25:$D$36,MATCH($B155,Setup!$A$25:$A$36,0)),0))),2))</f>
        <v>—</v>
      </c>
      <c r="M155" s="21" t="str">
        <f t="shared" si="11"/>
        <v>—</v>
      </c>
      <c r="N155" s="21" t="str">
        <f>IF(OR($B155="",$G155="",$D155="Cancelled"),"—",IFERROR(IF(INDEX(Setup!$E$25:$E$36,MATCH($B155,Setup!$A$25:$A$36,0))=0,"—",INDEX(Setup!$E$25:$E$36,MATCH($B155,Setup!$A$25:$A$36,0))),"—"))</f>
        <v>—</v>
      </c>
      <c r="O155" s="21" t="str">
        <f>IF(OR($B155="",$G155="",$D155="Cancelled"),"—",IFERROR(IF(INDEX(Setup!$F$25:$F$36,MATCH($B155,Setup!$A$25:$A$36,0))=0,"—",INDEX(Setup!$F$25:$F$36,MATCH($B155,Setup!$A$25:$A$36,0))),"—"))</f>
        <v>—</v>
      </c>
      <c r="P155" s="21" t="str">
        <f>IF(OR($B155="",$G155="",$D155="Cancelled",$D155="Owner block"),"—",IF(IFERROR(INDEX(Setup!$G$25:$G$36,MATCH($B155,Setup!$A$25:$A$36,0)),0)+IFERROR(INDEX(Setup!$H$25:$H$36,MATCH($B155,Setup!$A$25:$A$36,0)),0)*IF(ISNUMBER($H155),$H155,0)=0,"—",ROUND(IFERROR(INDEX(Setup!$G$25:$G$36,MATCH($B155,Setup!$A$25:$A$36,0)),0)+IFERROR(INDEX(Setup!$H$25:$H$36,MATCH($B155,Setup!$A$25:$A$36,0)),0)*IF(ISNUMBER($H155),$H155,0),2)))</f>
        <v>—</v>
      </c>
      <c r="Q155" s="21" t="str">
        <f t="shared" si="12"/>
        <v>—</v>
      </c>
      <c r="R155" s="21" t="str">
        <f t="shared" si="13"/>
        <v>—</v>
      </c>
      <c r="S155" s="3"/>
      <c r="T155" s="19" t="str">
        <f ca="1">IF(OR(NOT(ISNUMBER($F155)),NOT(ISNUMBER($G155)),NOT(ISNUMBER(Dashboard!$P$2)),NOT(ISNUMBER(Dashboard!$P$3)),$D155="Cancelled",$D155="Owner block"),"—",IF(MAX(0,MIN($G155,Dashboard!$P$3+1)-MAX($F155,Dashboard!$P$2))=0,"—",MAX(0,MIN($G155,Dashboard!$P$3+1)-MAX($F155,Dashboard!$P$2))))</f>
        <v>—</v>
      </c>
      <c r="U155" s="19" t="str">
        <f ca="1">IF(OR(NOT(ISNUMBER($F155)),NOT(ISNUMBER($G155)),NOT(ISNUMBER(Dashboard!$P$2)),NOT(ISNUMBER(Dashboard!$P$3)),$D155&lt;&gt;"Owner block"),"—",IF(MAX(0,MIN($G155,Dashboard!$P$3+1)-MAX($F155,Dashboard!$P$2))=0,"—",MAX(0,MIN($G155,Dashboard!$P$3+1)-MAX($F155,Dashboard!$P$2))))</f>
        <v>—</v>
      </c>
      <c r="V155" s="7" t="str">
        <f>IF($B155="",IF(COUNTA($C155:$G155,$I155:$K155,$S155)=0,"","⚠ no property — not counted"),IF(COUNTIF(Setup!$A$25:$A$36,$B155)=0,"⚠ property not in Setup",IF(AND($F155&lt;&gt;"",NOT(ISNUMBER($F155))),"⚠ check-in is not a real date",IF(AND($G155&lt;&gt;"",NOT(ISNUMBER($G155))),"⚠ check-out is not a real date",IF(AND($J155&lt;&gt;"",NOT(ISNUMBER($J155))),"⚠ booking value is not a number","OK")))))</f>
        <v/>
      </c>
      <c r="W155" s="21" t="str">
        <f t="shared" si="14"/>
        <v>—</v>
      </c>
    </row>
    <row r="156" spans="1:23" x14ac:dyDescent="0.2">
      <c r="A156" s="30">
        <v>152</v>
      </c>
      <c r="B156" s="8"/>
      <c r="C156" s="8"/>
      <c r="D156" s="8"/>
      <c r="E156" s="8"/>
      <c r="F156" s="34"/>
      <c r="G156" s="34"/>
      <c r="H156" s="19" t="str">
        <f t="shared" si="10"/>
        <v>—</v>
      </c>
      <c r="I156" s="35"/>
      <c r="J156" s="11"/>
      <c r="K156" s="36"/>
      <c r="L156" s="21" t="str">
        <f>IF(OR($B156="",NOT(ISNUMBER($J156)),$D156="Cancelled",$D156="Owner block"),"—",ROUND($J156*IF(ISNUMBER($K156),IF($K156&gt;1,$K156/100,$K156),IF(IFERROR(INDEX(Setup!$D$25:$D$36,MATCH($B156,Setup!$A$25:$A$36,0)),0)&gt;1,IFERROR(INDEX(Setup!$D$25:$D$36,MATCH($B156,Setup!$A$25:$A$36,0)),0)/100,IFERROR(INDEX(Setup!$D$25:$D$36,MATCH($B156,Setup!$A$25:$A$36,0)),0))),2))</f>
        <v>—</v>
      </c>
      <c r="M156" s="21" t="str">
        <f t="shared" si="11"/>
        <v>—</v>
      </c>
      <c r="N156" s="21" t="str">
        <f>IF(OR($B156="",$G156="",$D156="Cancelled"),"—",IFERROR(IF(INDEX(Setup!$E$25:$E$36,MATCH($B156,Setup!$A$25:$A$36,0))=0,"—",INDEX(Setup!$E$25:$E$36,MATCH($B156,Setup!$A$25:$A$36,0))),"—"))</f>
        <v>—</v>
      </c>
      <c r="O156" s="21" t="str">
        <f>IF(OR($B156="",$G156="",$D156="Cancelled"),"—",IFERROR(IF(INDEX(Setup!$F$25:$F$36,MATCH($B156,Setup!$A$25:$A$36,0))=0,"—",INDEX(Setup!$F$25:$F$36,MATCH($B156,Setup!$A$25:$A$36,0))),"—"))</f>
        <v>—</v>
      </c>
      <c r="P156" s="21" t="str">
        <f>IF(OR($B156="",$G156="",$D156="Cancelled",$D156="Owner block"),"—",IF(IFERROR(INDEX(Setup!$G$25:$G$36,MATCH($B156,Setup!$A$25:$A$36,0)),0)+IFERROR(INDEX(Setup!$H$25:$H$36,MATCH($B156,Setup!$A$25:$A$36,0)),0)*IF(ISNUMBER($H156),$H156,0)=0,"—",ROUND(IFERROR(INDEX(Setup!$G$25:$G$36,MATCH($B156,Setup!$A$25:$A$36,0)),0)+IFERROR(INDEX(Setup!$H$25:$H$36,MATCH($B156,Setup!$A$25:$A$36,0)),0)*IF(ISNUMBER($H156),$H156,0),2)))</f>
        <v>—</v>
      </c>
      <c r="Q156" s="21" t="str">
        <f t="shared" si="12"/>
        <v>—</v>
      </c>
      <c r="R156" s="21" t="str">
        <f t="shared" si="13"/>
        <v>—</v>
      </c>
      <c r="S156" s="8"/>
      <c r="T156" s="19" t="str">
        <f ca="1">IF(OR(NOT(ISNUMBER($F156)),NOT(ISNUMBER($G156)),NOT(ISNUMBER(Dashboard!$P$2)),NOT(ISNUMBER(Dashboard!$P$3)),$D156="Cancelled",$D156="Owner block"),"—",IF(MAX(0,MIN($G156,Dashboard!$P$3+1)-MAX($F156,Dashboard!$P$2))=0,"—",MAX(0,MIN($G156,Dashboard!$P$3+1)-MAX($F156,Dashboard!$P$2))))</f>
        <v>—</v>
      </c>
      <c r="U156" s="19" t="str">
        <f ca="1">IF(OR(NOT(ISNUMBER($F156)),NOT(ISNUMBER($G156)),NOT(ISNUMBER(Dashboard!$P$2)),NOT(ISNUMBER(Dashboard!$P$3)),$D156&lt;&gt;"Owner block"),"—",IF(MAX(0,MIN($G156,Dashboard!$P$3+1)-MAX($F156,Dashboard!$P$2))=0,"—",MAX(0,MIN($G156,Dashboard!$P$3+1)-MAX($F156,Dashboard!$P$2))))</f>
        <v>—</v>
      </c>
      <c r="V156" s="7" t="str">
        <f>IF($B156="",IF(COUNTA($C156:$G156,$I156:$K156,$S156)=0,"","⚠ no property — not counted"),IF(COUNTIF(Setup!$A$25:$A$36,$B156)=0,"⚠ property not in Setup",IF(AND($F156&lt;&gt;"",NOT(ISNUMBER($F156))),"⚠ check-in is not a real date",IF(AND($G156&lt;&gt;"",NOT(ISNUMBER($G156))),"⚠ check-out is not a real date",IF(AND($J156&lt;&gt;"",NOT(ISNUMBER($J156))),"⚠ booking value is not a number","OK")))))</f>
        <v/>
      </c>
      <c r="W156" s="21" t="str">
        <f t="shared" si="14"/>
        <v>—</v>
      </c>
    </row>
    <row r="157" spans="1:23" x14ac:dyDescent="0.2">
      <c r="A157" s="30">
        <v>153</v>
      </c>
      <c r="B157" s="3"/>
      <c r="C157" s="3"/>
      <c r="D157" s="3"/>
      <c r="E157" s="3"/>
      <c r="F157" s="31"/>
      <c r="G157" s="31"/>
      <c r="H157" s="19" t="str">
        <f t="shared" si="10"/>
        <v>—</v>
      </c>
      <c r="I157" s="32"/>
      <c r="J157" s="6"/>
      <c r="K157" s="33"/>
      <c r="L157" s="21" t="str">
        <f>IF(OR($B157="",NOT(ISNUMBER($J157)),$D157="Cancelled",$D157="Owner block"),"—",ROUND($J157*IF(ISNUMBER($K157),IF($K157&gt;1,$K157/100,$K157),IF(IFERROR(INDEX(Setup!$D$25:$D$36,MATCH($B157,Setup!$A$25:$A$36,0)),0)&gt;1,IFERROR(INDEX(Setup!$D$25:$D$36,MATCH($B157,Setup!$A$25:$A$36,0)),0)/100,IFERROR(INDEX(Setup!$D$25:$D$36,MATCH($B157,Setup!$A$25:$A$36,0)),0))),2))</f>
        <v>—</v>
      </c>
      <c r="M157" s="21" t="str">
        <f t="shared" si="11"/>
        <v>—</v>
      </c>
      <c r="N157" s="21" t="str">
        <f>IF(OR($B157="",$G157="",$D157="Cancelled"),"—",IFERROR(IF(INDEX(Setup!$E$25:$E$36,MATCH($B157,Setup!$A$25:$A$36,0))=0,"—",INDEX(Setup!$E$25:$E$36,MATCH($B157,Setup!$A$25:$A$36,0))),"—"))</f>
        <v>—</v>
      </c>
      <c r="O157" s="21" t="str">
        <f>IF(OR($B157="",$G157="",$D157="Cancelled"),"—",IFERROR(IF(INDEX(Setup!$F$25:$F$36,MATCH($B157,Setup!$A$25:$A$36,0))=0,"—",INDEX(Setup!$F$25:$F$36,MATCH($B157,Setup!$A$25:$A$36,0))),"—"))</f>
        <v>—</v>
      </c>
      <c r="P157" s="21" t="str">
        <f>IF(OR($B157="",$G157="",$D157="Cancelled",$D157="Owner block"),"—",IF(IFERROR(INDEX(Setup!$G$25:$G$36,MATCH($B157,Setup!$A$25:$A$36,0)),0)+IFERROR(INDEX(Setup!$H$25:$H$36,MATCH($B157,Setup!$A$25:$A$36,0)),0)*IF(ISNUMBER($H157),$H157,0)=0,"—",ROUND(IFERROR(INDEX(Setup!$G$25:$G$36,MATCH($B157,Setup!$A$25:$A$36,0)),0)+IFERROR(INDEX(Setup!$H$25:$H$36,MATCH($B157,Setup!$A$25:$A$36,0)),0)*IF(ISNUMBER($H157),$H157,0),2)))</f>
        <v>—</v>
      </c>
      <c r="Q157" s="21" t="str">
        <f t="shared" si="12"/>
        <v>—</v>
      </c>
      <c r="R157" s="21" t="str">
        <f t="shared" si="13"/>
        <v>—</v>
      </c>
      <c r="S157" s="3"/>
      <c r="T157" s="19" t="str">
        <f ca="1">IF(OR(NOT(ISNUMBER($F157)),NOT(ISNUMBER($G157)),NOT(ISNUMBER(Dashboard!$P$2)),NOT(ISNUMBER(Dashboard!$P$3)),$D157="Cancelled",$D157="Owner block"),"—",IF(MAX(0,MIN($G157,Dashboard!$P$3+1)-MAX($F157,Dashboard!$P$2))=0,"—",MAX(0,MIN($G157,Dashboard!$P$3+1)-MAX($F157,Dashboard!$P$2))))</f>
        <v>—</v>
      </c>
      <c r="U157" s="19" t="str">
        <f ca="1">IF(OR(NOT(ISNUMBER($F157)),NOT(ISNUMBER($G157)),NOT(ISNUMBER(Dashboard!$P$2)),NOT(ISNUMBER(Dashboard!$P$3)),$D157&lt;&gt;"Owner block"),"—",IF(MAX(0,MIN($G157,Dashboard!$P$3+1)-MAX($F157,Dashboard!$P$2))=0,"—",MAX(0,MIN($G157,Dashboard!$P$3+1)-MAX($F157,Dashboard!$P$2))))</f>
        <v>—</v>
      </c>
      <c r="V157" s="7" t="str">
        <f>IF($B157="",IF(COUNTA($C157:$G157,$I157:$K157,$S157)=0,"","⚠ no property — not counted"),IF(COUNTIF(Setup!$A$25:$A$36,$B157)=0,"⚠ property not in Setup",IF(AND($F157&lt;&gt;"",NOT(ISNUMBER($F157))),"⚠ check-in is not a real date",IF(AND($G157&lt;&gt;"",NOT(ISNUMBER($G157))),"⚠ check-out is not a real date",IF(AND($J157&lt;&gt;"",NOT(ISNUMBER($J157))),"⚠ booking value is not a number","OK")))))</f>
        <v/>
      </c>
      <c r="W157" s="21" t="str">
        <f t="shared" si="14"/>
        <v>—</v>
      </c>
    </row>
    <row r="158" spans="1:23" x14ac:dyDescent="0.2">
      <c r="A158" s="30">
        <v>154</v>
      </c>
      <c r="B158" s="8"/>
      <c r="C158" s="8"/>
      <c r="D158" s="8"/>
      <c r="E158" s="8"/>
      <c r="F158" s="34"/>
      <c r="G158" s="34"/>
      <c r="H158" s="19" t="str">
        <f t="shared" si="10"/>
        <v>—</v>
      </c>
      <c r="I158" s="35"/>
      <c r="J158" s="11"/>
      <c r="K158" s="36"/>
      <c r="L158" s="21" t="str">
        <f>IF(OR($B158="",NOT(ISNUMBER($J158)),$D158="Cancelled",$D158="Owner block"),"—",ROUND($J158*IF(ISNUMBER($K158),IF($K158&gt;1,$K158/100,$K158),IF(IFERROR(INDEX(Setup!$D$25:$D$36,MATCH($B158,Setup!$A$25:$A$36,0)),0)&gt;1,IFERROR(INDEX(Setup!$D$25:$D$36,MATCH($B158,Setup!$A$25:$A$36,0)),0)/100,IFERROR(INDEX(Setup!$D$25:$D$36,MATCH($B158,Setup!$A$25:$A$36,0)),0))),2))</f>
        <v>—</v>
      </c>
      <c r="M158" s="21" t="str">
        <f t="shared" si="11"/>
        <v>—</v>
      </c>
      <c r="N158" s="21" t="str">
        <f>IF(OR($B158="",$G158="",$D158="Cancelled"),"—",IFERROR(IF(INDEX(Setup!$E$25:$E$36,MATCH($B158,Setup!$A$25:$A$36,0))=0,"—",INDEX(Setup!$E$25:$E$36,MATCH($B158,Setup!$A$25:$A$36,0))),"—"))</f>
        <v>—</v>
      </c>
      <c r="O158" s="21" t="str">
        <f>IF(OR($B158="",$G158="",$D158="Cancelled"),"—",IFERROR(IF(INDEX(Setup!$F$25:$F$36,MATCH($B158,Setup!$A$25:$A$36,0))=0,"—",INDEX(Setup!$F$25:$F$36,MATCH($B158,Setup!$A$25:$A$36,0))),"—"))</f>
        <v>—</v>
      </c>
      <c r="P158" s="21" t="str">
        <f>IF(OR($B158="",$G158="",$D158="Cancelled",$D158="Owner block"),"—",IF(IFERROR(INDEX(Setup!$G$25:$G$36,MATCH($B158,Setup!$A$25:$A$36,0)),0)+IFERROR(INDEX(Setup!$H$25:$H$36,MATCH($B158,Setup!$A$25:$A$36,0)),0)*IF(ISNUMBER($H158),$H158,0)=0,"—",ROUND(IFERROR(INDEX(Setup!$G$25:$G$36,MATCH($B158,Setup!$A$25:$A$36,0)),0)+IFERROR(INDEX(Setup!$H$25:$H$36,MATCH($B158,Setup!$A$25:$A$36,0)),0)*IF(ISNUMBER($H158),$H158,0),2)))</f>
        <v>—</v>
      </c>
      <c r="Q158" s="21" t="str">
        <f t="shared" si="12"/>
        <v>—</v>
      </c>
      <c r="R158" s="21" t="str">
        <f t="shared" si="13"/>
        <v>—</v>
      </c>
      <c r="S158" s="8"/>
      <c r="T158" s="19" t="str">
        <f ca="1">IF(OR(NOT(ISNUMBER($F158)),NOT(ISNUMBER($G158)),NOT(ISNUMBER(Dashboard!$P$2)),NOT(ISNUMBER(Dashboard!$P$3)),$D158="Cancelled",$D158="Owner block"),"—",IF(MAX(0,MIN($G158,Dashboard!$P$3+1)-MAX($F158,Dashboard!$P$2))=0,"—",MAX(0,MIN($G158,Dashboard!$P$3+1)-MAX($F158,Dashboard!$P$2))))</f>
        <v>—</v>
      </c>
      <c r="U158" s="19" t="str">
        <f ca="1">IF(OR(NOT(ISNUMBER($F158)),NOT(ISNUMBER($G158)),NOT(ISNUMBER(Dashboard!$P$2)),NOT(ISNUMBER(Dashboard!$P$3)),$D158&lt;&gt;"Owner block"),"—",IF(MAX(0,MIN($G158,Dashboard!$P$3+1)-MAX($F158,Dashboard!$P$2))=0,"—",MAX(0,MIN($G158,Dashboard!$P$3+1)-MAX($F158,Dashboard!$P$2))))</f>
        <v>—</v>
      </c>
      <c r="V158" s="7" t="str">
        <f>IF($B158="",IF(COUNTA($C158:$G158,$I158:$K158,$S158)=0,"","⚠ no property — not counted"),IF(COUNTIF(Setup!$A$25:$A$36,$B158)=0,"⚠ property not in Setup",IF(AND($F158&lt;&gt;"",NOT(ISNUMBER($F158))),"⚠ check-in is not a real date",IF(AND($G158&lt;&gt;"",NOT(ISNUMBER($G158))),"⚠ check-out is not a real date",IF(AND($J158&lt;&gt;"",NOT(ISNUMBER($J158))),"⚠ booking value is not a number","OK")))))</f>
        <v/>
      </c>
      <c r="W158" s="21" t="str">
        <f t="shared" si="14"/>
        <v>—</v>
      </c>
    </row>
    <row r="159" spans="1:23" x14ac:dyDescent="0.2">
      <c r="A159" s="30">
        <v>155</v>
      </c>
      <c r="B159" s="3"/>
      <c r="C159" s="3"/>
      <c r="D159" s="3"/>
      <c r="E159" s="3"/>
      <c r="F159" s="31"/>
      <c r="G159" s="31"/>
      <c r="H159" s="19" t="str">
        <f t="shared" si="10"/>
        <v>—</v>
      </c>
      <c r="I159" s="32"/>
      <c r="J159" s="6"/>
      <c r="K159" s="33"/>
      <c r="L159" s="21" t="str">
        <f>IF(OR($B159="",NOT(ISNUMBER($J159)),$D159="Cancelled",$D159="Owner block"),"—",ROUND($J159*IF(ISNUMBER($K159),IF($K159&gt;1,$K159/100,$K159),IF(IFERROR(INDEX(Setup!$D$25:$D$36,MATCH($B159,Setup!$A$25:$A$36,0)),0)&gt;1,IFERROR(INDEX(Setup!$D$25:$D$36,MATCH($B159,Setup!$A$25:$A$36,0)),0)/100,IFERROR(INDEX(Setup!$D$25:$D$36,MATCH($B159,Setup!$A$25:$A$36,0)),0))),2))</f>
        <v>—</v>
      </c>
      <c r="M159" s="21" t="str">
        <f t="shared" si="11"/>
        <v>—</v>
      </c>
      <c r="N159" s="21" t="str">
        <f>IF(OR($B159="",$G159="",$D159="Cancelled"),"—",IFERROR(IF(INDEX(Setup!$E$25:$E$36,MATCH($B159,Setup!$A$25:$A$36,0))=0,"—",INDEX(Setup!$E$25:$E$36,MATCH($B159,Setup!$A$25:$A$36,0))),"—"))</f>
        <v>—</v>
      </c>
      <c r="O159" s="21" t="str">
        <f>IF(OR($B159="",$G159="",$D159="Cancelled"),"—",IFERROR(IF(INDEX(Setup!$F$25:$F$36,MATCH($B159,Setup!$A$25:$A$36,0))=0,"—",INDEX(Setup!$F$25:$F$36,MATCH($B159,Setup!$A$25:$A$36,0))),"—"))</f>
        <v>—</v>
      </c>
      <c r="P159" s="21" t="str">
        <f>IF(OR($B159="",$G159="",$D159="Cancelled",$D159="Owner block"),"—",IF(IFERROR(INDEX(Setup!$G$25:$G$36,MATCH($B159,Setup!$A$25:$A$36,0)),0)+IFERROR(INDEX(Setup!$H$25:$H$36,MATCH($B159,Setup!$A$25:$A$36,0)),0)*IF(ISNUMBER($H159),$H159,0)=0,"—",ROUND(IFERROR(INDEX(Setup!$G$25:$G$36,MATCH($B159,Setup!$A$25:$A$36,0)),0)+IFERROR(INDEX(Setup!$H$25:$H$36,MATCH($B159,Setup!$A$25:$A$36,0)),0)*IF(ISNUMBER($H159),$H159,0),2)))</f>
        <v>—</v>
      </c>
      <c r="Q159" s="21" t="str">
        <f t="shared" si="12"/>
        <v>—</v>
      </c>
      <c r="R159" s="21" t="str">
        <f t="shared" si="13"/>
        <v>—</v>
      </c>
      <c r="S159" s="3"/>
      <c r="T159" s="19" t="str">
        <f ca="1">IF(OR(NOT(ISNUMBER($F159)),NOT(ISNUMBER($G159)),NOT(ISNUMBER(Dashboard!$P$2)),NOT(ISNUMBER(Dashboard!$P$3)),$D159="Cancelled",$D159="Owner block"),"—",IF(MAX(0,MIN($G159,Dashboard!$P$3+1)-MAX($F159,Dashboard!$P$2))=0,"—",MAX(0,MIN($G159,Dashboard!$P$3+1)-MAX($F159,Dashboard!$P$2))))</f>
        <v>—</v>
      </c>
      <c r="U159" s="19" t="str">
        <f ca="1">IF(OR(NOT(ISNUMBER($F159)),NOT(ISNUMBER($G159)),NOT(ISNUMBER(Dashboard!$P$2)),NOT(ISNUMBER(Dashboard!$P$3)),$D159&lt;&gt;"Owner block"),"—",IF(MAX(0,MIN($G159,Dashboard!$P$3+1)-MAX($F159,Dashboard!$P$2))=0,"—",MAX(0,MIN($G159,Dashboard!$P$3+1)-MAX($F159,Dashboard!$P$2))))</f>
        <v>—</v>
      </c>
      <c r="V159" s="7" t="str">
        <f>IF($B159="",IF(COUNTA($C159:$G159,$I159:$K159,$S159)=0,"","⚠ no property — not counted"),IF(COUNTIF(Setup!$A$25:$A$36,$B159)=0,"⚠ property not in Setup",IF(AND($F159&lt;&gt;"",NOT(ISNUMBER($F159))),"⚠ check-in is not a real date",IF(AND($G159&lt;&gt;"",NOT(ISNUMBER($G159))),"⚠ check-out is not a real date",IF(AND($J159&lt;&gt;"",NOT(ISNUMBER($J159))),"⚠ booking value is not a number","OK")))))</f>
        <v/>
      </c>
      <c r="W159" s="21" t="str">
        <f t="shared" si="14"/>
        <v>—</v>
      </c>
    </row>
    <row r="160" spans="1:23" x14ac:dyDescent="0.2">
      <c r="A160" s="30">
        <v>156</v>
      </c>
      <c r="B160" s="8"/>
      <c r="C160" s="8"/>
      <c r="D160" s="8"/>
      <c r="E160" s="8"/>
      <c r="F160" s="34"/>
      <c r="G160" s="34"/>
      <c r="H160" s="19" t="str">
        <f t="shared" si="10"/>
        <v>—</v>
      </c>
      <c r="I160" s="35"/>
      <c r="J160" s="11"/>
      <c r="K160" s="36"/>
      <c r="L160" s="21" t="str">
        <f>IF(OR($B160="",NOT(ISNUMBER($J160)),$D160="Cancelled",$D160="Owner block"),"—",ROUND($J160*IF(ISNUMBER($K160),IF($K160&gt;1,$K160/100,$K160),IF(IFERROR(INDEX(Setup!$D$25:$D$36,MATCH($B160,Setup!$A$25:$A$36,0)),0)&gt;1,IFERROR(INDEX(Setup!$D$25:$D$36,MATCH($B160,Setup!$A$25:$A$36,0)),0)/100,IFERROR(INDEX(Setup!$D$25:$D$36,MATCH($B160,Setup!$A$25:$A$36,0)),0))),2))</f>
        <v>—</v>
      </c>
      <c r="M160" s="21" t="str">
        <f t="shared" si="11"/>
        <v>—</v>
      </c>
      <c r="N160" s="21" t="str">
        <f>IF(OR($B160="",$G160="",$D160="Cancelled"),"—",IFERROR(IF(INDEX(Setup!$E$25:$E$36,MATCH($B160,Setup!$A$25:$A$36,0))=0,"—",INDEX(Setup!$E$25:$E$36,MATCH($B160,Setup!$A$25:$A$36,0))),"—"))</f>
        <v>—</v>
      </c>
      <c r="O160" s="21" t="str">
        <f>IF(OR($B160="",$G160="",$D160="Cancelled"),"—",IFERROR(IF(INDEX(Setup!$F$25:$F$36,MATCH($B160,Setup!$A$25:$A$36,0))=0,"—",INDEX(Setup!$F$25:$F$36,MATCH($B160,Setup!$A$25:$A$36,0))),"—"))</f>
        <v>—</v>
      </c>
      <c r="P160" s="21" t="str">
        <f>IF(OR($B160="",$G160="",$D160="Cancelled",$D160="Owner block"),"—",IF(IFERROR(INDEX(Setup!$G$25:$G$36,MATCH($B160,Setup!$A$25:$A$36,0)),0)+IFERROR(INDEX(Setup!$H$25:$H$36,MATCH($B160,Setup!$A$25:$A$36,0)),0)*IF(ISNUMBER($H160),$H160,0)=0,"—",ROUND(IFERROR(INDEX(Setup!$G$25:$G$36,MATCH($B160,Setup!$A$25:$A$36,0)),0)+IFERROR(INDEX(Setup!$H$25:$H$36,MATCH($B160,Setup!$A$25:$A$36,0)),0)*IF(ISNUMBER($H160),$H160,0),2)))</f>
        <v>—</v>
      </c>
      <c r="Q160" s="21" t="str">
        <f t="shared" si="12"/>
        <v>—</v>
      </c>
      <c r="R160" s="21" t="str">
        <f t="shared" si="13"/>
        <v>—</v>
      </c>
      <c r="S160" s="8"/>
      <c r="T160" s="19" t="str">
        <f ca="1">IF(OR(NOT(ISNUMBER($F160)),NOT(ISNUMBER($G160)),NOT(ISNUMBER(Dashboard!$P$2)),NOT(ISNUMBER(Dashboard!$P$3)),$D160="Cancelled",$D160="Owner block"),"—",IF(MAX(0,MIN($G160,Dashboard!$P$3+1)-MAX($F160,Dashboard!$P$2))=0,"—",MAX(0,MIN($G160,Dashboard!$P$3+1)-MAX($F160,Dashboard!$P$2))))</f>
        <v>—</v>
      </c>
      <c r="U160" s="19" t="str">
        <f ca="1">IF(OR(NOT(ISNUMBER($F160)),NOT(ISNUMBER($G160)),NOT(ISNUMBER(Dashboard!$P$2)),NOT(ISNUMBER(Dashboard!$P$3)),$D160&lt;&gt;"Owner block"),"—",IF(MAX(0,MIN($G160,Dashboard!$P$3+1)-MAX($F160,Dashboard!$P$2))=0,"—",MAX(0,MIN($G160,Dashboard!$P$3+1)-MAX($F160,Dashboard!$P$2))))</f>
        <v>—</v>
      </c>
      <c r="V160" s="7" t="str">
        <f>IF($B160="",IF(COUNTA($C160:$G160,$I160:$K160,$S160)=0,"","⚠ no property — not counted"),IF(COUNTIF(Setup!$A$25:$A$36,$B160)=0,"⚠ property not in Setup",IF(AND($F160&lt;&gt;"",NOT(ISNUMBER($F160))),"⚠ check-in is not a real date",IF(AND($G160&lt;&gt;"",NOT(ISNUMBER($G160))),"⚠ check-out is not a real date",IF(AND($J160&lt;&gt;"",NOT(ISNUMBER($J160))),"⚠ booking value is not a number","OK")))))</f>
        <v/>
      </c>
      <c r="W160" s="21" t="str">
        <f t="shared" si="14"/>
        <v>—</v>
      </c>
    </row>
    <row r="161" spans="1:23" x14ac:dyDescent="0.2">
      <c r="A161" s="30">
        <v>157</v>
      </c>
      <c r="B161" s="3"/>
      <c r="C161" s="3"/>
      <c r="D161" s="3"/>
      <c r="E161" s="3"/>
      <c r="F161" s="31"/>
      <c r="G161" s="31"/>
      <c r="H161" s="19" t="str">
        <f t="shared" si="10"/>
        <v>—</v>
      </c>
      <c r="I161" s="32"/>
      <c r="J161" s="6"/>
      <c r="K161" s="33"/>
      <c r="L161" s="21" t="str">
        <f>IF(OR($B161="",NOT(ISNUMBER($J161)),$D161="Cancelled",$D161="Owner block"),"—",ROUND($J161*IF(ISNUMBER($K161),IF($K161&gt;1,$K161/100,$K161),IF(IFERROR(INDEX(Setup!$D$25:$D$36,MATCH($B161,Setup!$A$25:$A$36,0)),0)&gt;1,IFERROR(INDEX(Setup!$D$25:$D$36,MATCH($B161,Setup!$A$25:$A$36,0)),0)/100,IFERROR(INDEX(Setup!$D$25:$D$36,MATCH($B161,Setup!$A$25:$A$36,0)),0))),2))</f>
        <v>—</v>
      </c>
      <c r="M161" s="21" t="str">
        <f t="shared" si="11"/>
        <v>—</v>
      </c>
      <c r="N161" s="21" t="str">
        <f>IF(OR($B161="",$G161="",$D161="Cancelled"),"—",IFERROR(IF(INDEX(Setup!$E$25:$E$36,MATCH($B161,Setup!$A$25:$A$36,0))=0,"—",INDEX(Setup!$E$25:$E$36,MATCH($B161,Setup!$A$25:$A$36,0))),"—"))</f>
        <v>—</v>
      </c>
      <c r="O161" s="21" t="str">
        <f>IF(OR($B161="",$G161="",$D161="Cancelled"),"—",IFERROR(IF(INDEX(Setup!$F$25:$F$36,MATCH($B161,Setup!$A$25:$A$36,0))=0,"—",INDEX(Setup!$F$25:$F$36,MATCH($B161,Setup!$A$25:$A$36,0))),"—"))</f>
        <v>—</v>
      </c>
      <c r="P161" s="21" t="str">
        <f>IF(OR($B161="",$G161="",$D161="Cancelled",$D161="Owner block"),"—",IF(IFERROR(INDEX(Setup!$G$25:$G$36,MATCH($B161,Setup!$A$25:$A$36,0)),0)+IFERROR(INDEX(Setup!$H$25:$H$36,MATCH($B161,Setup!$A$25:$A$36,0)),0)*IF(ISNUMBER($H161),$H161,0)=0,"—",ROUND(IFERROR(INDEX(Setup!$G$25:$G$36,MATCH($B161,Setup!$A$25:$A$36,0)),0)+IFERROR(INDEX(Setup!$H$25:$H$36,MATCH($B161,Setup!$A$25:$A$36,0)),0)*IF(ISNUMBER($H161),$H161,0),2)))</f>
        <v>—</v>
      </c>
      <c r="Q161" s="21" t="str">
        <f t="shared" si="12"/>
        <v>—</v>
      </c>
      <c r="R161" s="21" t="str">
        <f t="shared" si="13"/>
        <v>—</v>
      </c>
      <c r="S161" s="3"/>
      <c r="T161" s="19" t="str">
        <f ca="1">IF(OR(NOT(ISNUMBER($F161)),NOT(ISNUMBER($G161)),NOT(ISNUMBER(Dashboard!$P$2)),NOT(ISNUMBER(Dashboard!$P$3)),$D161="Cancelled",$D161="Owner block"),"—",IF(MAX(0,MIN($G161,Dashboard!$P$3+1)-MAX($F161,Dashboard!$P$2))=0,"—",MAX(0,MIN($G161,Dashboard!$P$3+1)-MAX($F161,Dashboard!$P$2))))</f>
        <v>—</v>
      </c>
      <c r="U161" s="19" t="str">
        <f ca="1">IF(OR(NOT(ISNUMBER($F161)),NOT(ISNUMBER($G161)),NOT(ISNUMBER(Dashboard!$P$2)),NOT(ISNUMBER(Dashboard!$P$3)),$D161&lt;&gt;"Owner block"),"—",IF(MAX(0,MIN($G161,Dashboard!$P$3+1)-MAX($F161,Dashboard!$P$2))=0,"—",MAX(0,MIN($G161,Dashboard!$P$3+1)-MAX($F161,Dashboard!$P$2))))</f>
        <v>—</v>
      </c>
      <c r="V161" s="7" t="str">
        <f>IF($B161="",IF(COUNTA($C161:$G161,$I161:$K161,$S161)=0,"","⚠ no property — not counted"),IF(COUNTIF(Setup!$A$25:$A$36,$B161)=0,"⚠ property not in Setup",IF(AND($F161&lt;&gt;"",NOT(ISNUMBER($F161))),"⚠ check-in is not a real date",IF(AND($G161&lt;&gt;"",NOT(ISNUMBER($G161))),"⚠ check-out is not a real date",IF(AND($J161&lt;&gt;"",NOT(ISNUMBER($J161))),"⚠ booking value is not a number","OK")))))</f>
        <v/>
      </c>
      <c r="W161" s="21" t="str">
        <f t="shared" si="14"/>
        <v>—</v>
      </c>
    </row>
    <row r="162" spans="1:23" x14ac:dyDescent="0.2">
      <c r="A162" s="30">
        <v>158</v>
      </c>
      <c r="B162" s="8"/>
      <c r="C162" s="8"/>
      <c r="D162" s="8"/>
      <c r="E162" s="8"/>
      <c r="F162" s="34"/>
      <c r="G162" s="34"/>
      <c r="H162" s="19" t="str">
        <f t="shared" si="10"/>
        <v>—</v>
      </c>
      <c r="I162" s="35"/>
      <c r="J162" s="11"/>
      <c r="K162" s="36"/>
      <c r="L162" s="21" t="str">
        <f>IF(OR($B162="",NOT(ISNUMBER($J162)),$D162="Cancelled",$D162="Owner block"),"—",ROUND($J162*IF(ISNUMBER($K162),IF($K162&gt;1,$K162/100,$K162),IF(IFERROR(INDEX(Setup!$D$25:$D$36,MATCH($B162,Setup!$A$25:$A$36,0)),0)&gt;1,IFERROR(INDEX(Setup!$D$25:$D$36,MATCH($B162,Setup!$A$25:$A$36,0)),0)/100,IFERROR(INDEX(Setup!$D$25:$D$36,MATCH($B162,Setup!$A$25:$A$36,0)),0))),2))</f>
        <v>—</v>
      </c>
      <c r="M162" s="21" t="str">
        <f t="shared" si="11"/>
        <v>—</v>
      </c>
      <c r="N162" s="21" t="str">
        <f>IF(OR($B162="",$G162="",$D162="Cancelled"),"—",IFERROR(IF(INDEX(Setup!$E$25:$E$36,MATCH($B162,Setup!$A$25:$A$36,0))=0,"—",INDEX(Setup!$E$25:$E$36,MATCH($B162,Setup!$A$25:$A$36,0))),"—"))</f>
        <v>—</v>
      </c>
      <c r="O162" s="21" t="str">
        <f>IF(OR($B162="",$G162="",$D162="Cancelled"),"—",IFERROR(IF(INDEX(Setup!$F$25:$F$36,MATCH($B162,Setup!$A$25:$A$36,0))=0,"—",INDEX(Setup!$F$25:$F$36,MATCH($B162,Setup!$A$25:$A$36,0))),"—"))</f>
        <v>—</v>
      </c>
      <c r="P162" s="21" t="str">
        <f>IF(OR($B162="",$G162="",$D162="Cancelled",$D162="Owner block"),"—",IF(IFERROR(INDEX(Setup!$G$25:$G$36,MATCH($B162,Setup!$A$25:$A$36,0)),0)+IFERROR(INDEX(Setup!$H$25:$H$36,MATCH($B162,Setup!$A$25:$A$36,0)),0)*IF(ISNUMBER($H162),$H162,0)=0,"—",ROUND(IFERROR(INDEX(Setup!$G$25:$G$36,MATCH($B162,Setup!$A$25:$A$36,0)),0)+IFERROR(INDEX(Setup!$H$25:$H$36,MATCH($B162,Setup!$A$25:$A$36,0)),0)*IF(ISNUMBER($H162),$H162,0),2)))</f>
        <v>—</v>
      </c>
      <c r="Q162" s="21" t="str">
        <f t="shared" si="12"/>
        <v>—</v>
      </c>
      <c r="R162" s="21" t="str">
        <f t="shared" si="13"/>
        <v>—</v>
      </c>
      <c r="S162" s="8"/>
      <c r="T162" s="19" t="str">
        <f ca="1">IF(OR(NOT(ISNUMBER($F162)),NOT(ISNUMBER($G162)),NOT(ISNUMBER(Dashboard!$P$2)),NOT(ISNUMBER(Dashboard!$P$3)),$D162="Cancelled",$D162="Owner block"),"—",IF(MAX(0,MIN($G162,Dashboard!$P$3+1)-MAX($F162,Dashboard!$P$2))=0,"—",MAX(0,MIN($G162,Dashboard!$P$3+1)-MAX($F162,Dashboard!$P$2))))</f>
        <v>—</v>
      </c>
      <c r="U162" s="19" t="str">
        <f ca="1">IF(OR(NOT(ISNUMBER($F162)),NOT(ISNUMBER($G162)),NOT(ISNUMBER(Dashboard!$P$2)),NOT(ISNUMBER(Dashboard!$P$3)),$D162&lt;&gt;"Owner block"),"—",IF(MAX(0,MIN($G162,Dashboard!$P$3+1)-MAX($F162,Dashboard!$P$2))=0,"—",MAX(0,MIN($G162,Dashboard!$P$3+1)-MAX($F162,Dashboard!$P$2))))</f>
        <v>—</v>
      </c>
      <c r="V162" s="7" t="str">
        <f>IF($B162="",IF(COUNTA($C162:$G162,$I162:$K162,$S162)=0,"","⚠ no property — not counted"),IF(COUNTIF(Setup!$A$25:$A$36,$B162)=0,"⚠ property not in Setup",IF(AND($F162&lt;&gt;"",NOT(ISNUMBER($F162))),"⚠ check-in is not a real date",IF(AND($G162&lt;&gt;"",NOT(ISNUMBER($G162))),"⚠ check-out is not a real date",IF(AND($J162&lt;&gt;"",NOT(ISNUMBER($J162))),"⚠ booking value is not a number","OK")))))</f>
        <v/>
      </c>
      <c r="W162" s="21" t="str">
        <f t="shared" si="14"/>
        <v>—</v>
      </c>
    </row>
    <row r="163" spans="1:23" x14ac:dyDescent="0.2">
      <c r="A163" s="30">
        <v>159</v>
      </c>
      <c r="B163" s="3"/>
      <c r="C163" s="3"/>
      <c r="D163" s="3"/>
      <c r="E163" s="3"/>
      <c r="F163" s="31"/>
      <c r="G163" s="31"/>
      <c r="H163" s="19" t="str">
        <f t="shared" si="10"/>
        <v>—</v>
      </c>
      <c r="I163" s="32"/>
      <c r="J163" s="6"/>
      <c r="K163" s="33"/>
      <c r="L163" s="21" t="str">
        <f>IF(OR($B163="",NOT(ISNUMBER($J163)),$D163="Cancelled",$D163="Owner block"),"—",ROUND($J163*IF(ISNUMBER($K163),IF($K163&gt;1,$K163/100,$K163),IF(IFERROR(INDEX(Setup!$D$25:$D$36,MATCH($B163,Setup!$A$25:$A$36,0)),0)&gt;1,IFERROR(INDEX(Setup!$D$25:$D$36,MATCH($B163,Setup!$A$25:$A$36,0)),0)/100,IFERROR(INDEX(Setup!$D$25:$D$36,MATCH($B163,Setup!$A$25:$A$36,0)),0))),2))</f>
        <v>—</v>
      </c>
      <c r="M163" s="21" t="str">
        <f t="shared" si="11"/>
        <v>—</v>
      </c>
      <c r="N163" s="21" t="str">
        <f>IF(OR($B163="",$G163="",$D163="Cancelled"),"—",IFERROR(IF(INDEX(Setup!$E$25:$E$36,MATCH($B163,Setup!$A$25:$A$36,0))=0,"—",INDEX(Setup!$E$25:$E$36,MATCH($B163,Setup!$A$25:$A$36,0))),"—"))</f>
        <v>—</v>
      </c>
      <c r="O163" s="21" t="str">
        <f>IF(OR($B163="",$G163="",$D163="Cancelled"),"—",IFERROR(IF(INDEX(Setup!$F$25:$F$36,MATCH($B163,Setup!$A$25:$A$36,0))=0,"—",INDEX(Setup!$F$25:$F$36,MATCH($B163,Setup!$A$25:$A$36,0))),"—"))</f>
        <v>—</v>
      </c>
      <c r="P163" s="21" t="str">
        <f>IF(OR($B163="",$G163="",$D163="Cancelled",$D163="Owner block"),"—",IF(IFERROR(INDEX(Setup!$G$25:$G$36,MATCH($B163,Setup!$A$25:$A$36,0)),0)+IFERROR(INDEX(Setup!$H$25:$H$36,MATCH($B163,Setup!$A$25:$A$36,0)),0)*IF(ISNUMBER($H163),$H163,0)=0,"—",ROUND(IFERROR(INDEX(Setup!$G$25:$G$36,MATCH($B163,Setup!$A$25:$A$36,0)),0)+IFERROR(INDEX(Setup!$H$25:$H$36,MATCH($B163,Setup!$A$25:$A$36,0)),0)*IF(ISNUMBER($H163),$H163,0),2)))</f>
        <v>—</v>
      </c>
      <c r="Q163" s="21" t="str">
        <f t="shared" si="12"/>
        <v>—</v>
      </c>
      <c r="R163" s="21" t="str">
        <f t="shared" si="13"/>
        <v>—</v>
      </c>
      <c r="S163" s="3"/>
      <c r="T163" s="19" t="str">
        <f ca="1">IF(OR(NOT(ISNUMBER($F163)),NOT(ISNUMBER($G163)),NOT(ISNUMBER(Dashboard!$P$2)),NOT(ISNUMBER(Dashboard!$P$3)),$D163="Cancelled",$D163="Owner block"),"—",IF(MAX(0,MIN($G163,Dashboard!$P$3+1)-MAX($F163,Dashboard!$P$2))=0,"—",MAX(0,MIN($G163,Dashboard!$P$3+1)-MAX($F163,Dashboard!$P$2))))</f>
        <v>—</v>
      </c>
      <c r="U163" s="19" t="str">
        <f ca="1">IF(OR(NOT(ISNUMBER($F163)),NOT(ISNUMBER($G163)),NOT(ISNUMBER(Dashboard!$P$2)),NOT(ISNUMBER(Dashboard!$P$3)),$D163&lt;&gt;"Owner block"),"—",IF(MAX(0,MIN($G163,Dashboard!$P$3+1)-MAX($F163,Dashboard!$P$2))=0,"—",MAX(0,MIN($G163,Dashboard!$P$3+1)-MAX($F163,Dashboard!$P$2))))</f>
        <v>—</v>
      </c>
      <c r="V163" s="7" t="str">
        <f>IF($B163="",IF(COUNTA($C163:$G163,$I163:$K163,$S163)=0,"","⚠ no property — not counted"),IF(COUNTIF(Setup!$A$25:$A$36,$B163)=0,"⚠ property not in Setup",IF(AND($F163&lt;&gt;"",NOT(ISNUMBER($F163))),"⚠ check-in is not a real date",IF(AND($G163&lt;&gt;"",NOT(ISNUMBER($G163))),"⚠ check-out is not a real date",IF(AND($J163&lt;&gt;"",NOT(ISNUMBER($J163))),"⚠ booking value is not a number","OK")))))</f>
        <v/>
      </c>
      <c r="W163" s="21" t="str">
        <f t="shared" si="14"/>
        <v>—</v>
      </c>
    </row>
    <row r="164" spans="1:23" x14ac:dyDescent="0.2">
      <c r="A164" s="30">
        <v>160</v>
      </c>
      <c r="B164" s="8"/>
      <c r="C164" s="8"/>
      <c r="D164" s="8"/>
      <c r="E164" s="8"/>
      <c r="F164" s="34"/>
      <c r="G164" s="34"/>
      <c r="H164" s="19" t="str">
        <f t="shared" si="10"/>
        <v>—</v>
      </c>
      <c r="I164" s="35"/>
      <c r="J164" s="11"/>
      <c r="K164" s="36"/>
      <c r="L164" s="21" t="str">
        <f>IF(OR($B164="",NOT(ISNUMBER($J164)),$D164="Cancelled",$D164="Owner block"),"—",ROUND($J164*IF(ISNUMBER($K164),IF($K164&gt;1,$K164/100,$K164),IF(IFERROR(INDEX(Setup!$D$25:$D$36,MATCH($B164,Setup!$A$25:$A$36,0)),0)&gt;1,IFERROR(INDEX(Setup!$D$25:$D$36,MATCH($B164,Setup!$A$25:$A$36,0)),0)/100,IFERROR(INDEX(Setup!$D$25:$D$36,MATCH($B164,Setup!$A$25:$A$36,0)),0))),2))</f>
        <v>—</v>
      </c>
      <c r="M164" s="21" t="str">
        <f t="shared" si="11"/>
        <v>—</v>
      </c>
      <c r="N164" s="21" t="str">
        <f>IF(OR($B164="",$G164="",$D164="Cancelled"),"—",IFERROR(IF(INDEX(Setup!$E$25:$E$36,MATCH($B164,Setup!$A$25:$A$36,0))=0,"—",INDEX(Setup!$E$25:$E$36,MATCH($B164,Setup!$A$25:$A$36,0))),"—"))</f>
        <v>—</v>
      </c>
      <c r="O164" s="21" t="str">
        <f>IF(OR($B164="",$G164="",$D164="Cancelled"),"—",IFERROR(IF(INDEX(Setup!$F$25:$F$36,MATCH($B164,Setup!$A$25:$A$36,0))=0,"—",INDEX(Setup!$F$25:$F$36,MATCH($B164,Setup!$A$25:$A$36,0))),"—"))</f>
        <v>—</v>
      </c>
      <c r="P164" s="21" t="str">
        <f>IF(OR($B164="",$G164="",$D164="Cancelled",$D164="Owner block"),"—",IF(IFERROR(INDEX(Setup!$G$25:$G$36,MATCH($B164,Setup!$A$25:$A$36,0)),0)+IFERROR(INDEX(Setup!$H$25:$H$36,MATCH($B164,Setup!$A$25:$A$36,0)),0)*IF(ISNUMBER($H164),$H164,0)=0,"—",ROUND(IFERROR(INDEX(Setup!$G$25:$G$36,MATCH($B164,Setup!$A$25:$A$36,0)),0)+IFERROR(INDEX(Setup!$H$25:$H$36,MATCH($B164,Setup!$A$25:$A$36,0)),0)*IF(ISNUMBER($H164),$H164,0),2)))</f>
        <v>—</v>
      </c>
      <c r="Q164" s="21" t="str">
        <f t="shared" si="12"/>
        <v>—</v>
      </c>
      <c r="R164" s="21" t="str">
        <f t="shared" si="13"/>
        <v>—</v>
      </c>
      <c r="S164" s="8"/>
      <c r="T164" s="19" t="str">
        <f ca="1">IF(OR(NOT(ISNUMBER($F164)),NOT(ISNUMBER($G164)),NOT(ISNUMBER(Dashboard!$P$2)),NOT(ISNUMBER(Dashboard!$P$3)),$D164="Cancelled",$D164="Owner block"),"—",IF(MAX(0,MIN($G164,Dashboard!$P$3+1)-MAX($F164,Dashboard!$P$2))=0,"—",MAX(0,MIN($G164,Dashboard!$P$3+1)-MAX($F164,Dashboard!$P$2))))</f>
        <v>—</v>
      </c>
      <c r="U164" s="19" t="str">
        <f ca="1">IF(OR(NOT(ISNUMBER($F164)),NOT(ISNUMBER($G164)),NOT(ISNUMBER(Dashboard!$P$2)),NOT(ISNUMBER(Dashboard!$P$3)),$D164&lt;&gt;"Owner block"),"—",IF(MAX(0,MIN($G164,Dashboard!$P$3+1)-MAX($F164,Dashboard!$P$2))=0,"—",MAX(0,MIN($G164,Dashboard!$P$3+1)-MAX($F164,Dashboard!$P$2))))</f>
        <v>—</v>
      </c>
      <c r="V164" s="7" t="str">
        <f>IF($B164="",IF(COUNTA($C164:$G164,$I164:$K164,$S164)=0,"","⚠ no property — not counted"),IF(COUNTIF(Setup!$A$25:$A$36,$B164)=0,"⚠ property not in Setup",IF(AND($F164&lt;&gt;"",NOT(ISNUMBER($F164))),"⚠ check-in is not a real date",IF(AND($G164&lt;&gt;"",NOT(ISNUMBER($G164))),"⚠ check-out is not a real date",IF(AND($J164&lt;&gt;"",NOT(ISNUMBER($J164))),"⚠ booking value is not a number","OK")))))</f>
        <v/>
      </c>
      <c r="W164" s="21" t="str">
        <f t="shared" si="14"/>
        <v>—</v>
      </c>
    </row>
    <row r="165" spans="1:23" x14ac:dyDescent="0.2">
      <c r="A165" s="30">
        <v>161</v>
      </c>
      <c r="B165" s="3"/>
      <c r="C165" s="3"/>
      <c r="D165" s="3"/>
      <c r="E165" s="3"/>
      <c r="F165" s="31"/>
      <c r="G165" s="31"/>
      <c r="H165" s="19" t="str">
        <f t="shared" si="10"/>
        <v>—</v>
      </c>
      <c r="I165" s="32"/>
      <c r="J165" s="6"/>
      <c r="K165" s="33"/>
      <c r="L165" s="21" t="str">
        <f>IF(OR($B165="",NOT(ISNUMBER($J165)),$D165="Cancelled",$D165="Owner block"),"—",ROUND($J165*IF(ISNUMBER($K165),IF($K165&gt;1,$K165/100,$K165),IF(IFERROR(INDEX(Setup!$D$25:$D$36,MATCH($B165,Setup!$A$25:$A$36,0)),0)&gt;1,IFERROR(INDEX(Setup!$D$25:$D$36,MATCH($B165,Setup!$A$25:$A$36,0)),0)/100,IFERROR(INDEX(Setup!$D$25:$D$36,MATCH($B165,Setup!$A$25:$A$36,0)),0))),2))</f>
        <v>—</v>
      </c>
      <c r="M165" s="21" t="str">
        <f t="shared" si="11"/>
        <v>—</v>
      </c>
      <c r="N165" s="21" t="str">
        <f>IF(OR($B165="",$G165="",$D165="Cancelled"),"—",IFERROR(IF(INDEX(Setup!$E$25:$E$36,MATCH($B165,Setup!$A$25:$A$36,0))=0,"—",INDEX(Setup!$E$25:$E$36,MATCH($B165,Setup!$A$25:$A$36,0))),"—"))</f>
        <v>—</v>
      </c>
      <c r="O165" s="21" t="str">
        <f>IF(OR($B165="",$G165="",$D165="Cancelled"),"—",IFERROR(IF(INDEX(Setup!$F$25:$F$36,MATCH($B165,Setup!$A$25:$A$36,0))=0,"—",INDEX(Setup!$F$25:$F$36,MATCH($B165,Setup!$A$25:$A$36,0))),"—"))</f>
        <v>—</v>
      </c>
      <c r="P165" s="21" t="str">
        <f>IF(OR($B165="",$G165="",$D165="Cancelled",$D165="Owner block"),"—",IF(IFERROR(INDEX(Setup!$G$25:$G$36,MATCH($B165,Setup!$A$25:$A$36,0)),0)+IFERROR(INDEX(Setup!$H$25:$H$36,MATCH($B165,Setup!$A$25:$A$36,0)),0)*IF(ISNUMBER($H165),$H165,0)=0,"—",ROUND(IFERROR(INDEX(Setup!$G$25:$G$36,MATCH($B165,Setup!$A$25:$A$36,0)),0)+IFERROR(INDEX(Setup!$H$25:$H$36,MATCH($B165,Setup!$A$25:$A$36,0)),0)*IF(ISNUMBER($H165),$H165,0),2)))</f>
        <v>—</v>
      </c>
      <c r="Q165" s="21" t="str">
        <f t="shared" si="12"/>
        <v>—</v>
      </c>
      <c r="R165" s="21" t="str">
        <f t="shared" si="13"/>
        <v>—</v>
      </c>
      <c r="S165" s="3"/>
      <c r="T165" s="19" t="str">
        <f ca="1">IF(OR(NOT(ISNUMBER($F165)),NOT(ISNUMBER($G165)),NOT(ISNUMBER(Dashboard!$P$2)),NOT(ISNUMBER(Dashboard!$P$3)),$D165="Cancelled",$D165="Owner block"),"—",IF(MAX(0,MIN($G165,Dashboard!$P$3+1)-MAX($F165,Dashboard!$P$2))=0,"—",MAX(0,MIN($G165,Dashboard!$P$3+1)-MAX($F165,Dashboard!$P$2))))</f>
        <v>—</v>
      </c>
      <c r="U165" s="19" t="str">
        <f ca="1">IF(OR(NOT(ISNUMBER($F165)),NOT(ISNUMBER($G165)),NOT(ISNUMBER(Dashboard!$P$2)),NOT(ISNUMBER(Dashboard!$P$3)),$D165&lt;&gt;"Owner block"),"—",IF(MAX(0,MIN($G165,Dashboard!$P$3+1)-MAX($F165,Dashboard!$P$2))=0,"—",MAX(0,MIN($G165,Dashboard!$P$3+1)-MAX($F165,Dashboard!$P$2))))</f>
        <v>—</v>
      </c>
      <c r="V165" s="7" t="str">
        <f>IF($B165="",IF(COUNTA($C165:$G165,$I165:$K165,$S165)=0,"","⚠ no property — not counted"),IF(COUNTIF(Setup!$A$25:$A$36,$B165)=0,"⚠ property not in Setup",IF(AND($F165&lt;&gt;"",NOT(ISNUMBER($F165))),"⚠ check-in is not a real date",IF(AND($G165&lt;&gt;"",NOT(ISNUMBER($G165))),"⚠ check-out is not a real date",IF(AND($J165&lt;&gt;"",NOT(ISNUMBER($J165))),"⚠ booking value is not a number","OK")))))</f>
        <v/>
      </c>
      <c r="W165" s="21" t="str">
        <f t="shared" si="14"/>
        <v>—</v>
      </c>
    </row>
    <row r="166" spans="1:23" x14ac:dyDescent="0.2">
      <c r="A166" s="30">
        <v>162</v>
      </c>
      <c r="B166" s="8"/>
      <c r="C166" s="8"/>
      <c r="D166" s="8"/>
      <c r="E166" s="8"/>
      <c r="F166" s="34"/>
      <c r="G166" s="34"/>
      <c r="H166" s="19" t="str">
        <f t="shared" si="10"/>
        <v>—</v>
      </c>
      <c r="I166" s="35"/>
      <c r="J166" s="11"/>
      <c r="K166" s="36"/>
      <c r="L166" s="21" t="str">
        <f>IF(OR($B166="",NOT(ISNUMBER($J166)),$D166="Cancelled",$D166="Owner block"),"—",ROUND($J166*IF(ISNUMBER($K166),IF($K166&gt;1,$K166/100,$K166),IF(IFERROR(INDEX(Setup!$D$25:$D$36,MATCH($B166,Setup!$A$25:$A$36,0)),0)&gt;1,IFERROR(INDEX(Setup!$D$25:$D$36,MATCH($B166,Setup!$A$25:$A$36,0)),0)/100,IFERROR(INDEX(Setup!$D$25:$D$36,MATCH($B166,Setup!$A$25:$A$36,0)),0))),2))</f>
        <v>—</v>
      </c>
      <c r="M166" s="21" t="str">
        <f t="shared" si="11"/>
        <v>—</v>
      </c>
      <c r="N166" s="21" t="str">
        <f>IF(OR($B166="",$G166="",$D166="Cancelled"),"—",IFERROR(IF(INDEX(Setup!$E$25:$E$36,MATCH($B166,Setup!$A$25:$A$36,0))=0,"—",INDEX(Setup!$E$25:$E$36,MATCH($B166,Setup!$A$25:$A$36,0))),"—"))</f>
        <v>—</v>
      </c>
      <c r="O166" s="21" t="str">
        <f>IF(OR($B166="",$G166="",$D166="Cancelled"),"—",IFERROR(IF(INDEX(Setup!$F$25:$F$36,MATCH($B166,Setup!$A$25:$A$36,0))=0,"—",INDEX(Setup!$F$25:$F$36,MATCH($B166,Setup!$A$25:$A$36,0))),"—"))</f>
        <v>—</v>
      </c>
      <c r="P166" s="21" t="str">
        <f>IF(OR($B166="",$G166="",$D166="Cancelled",$D166="Owner block"),"—",IF(IFERROR(INDEX(Setup!$G$25:$G$36,MATCH($B166,Setup!$A$25:$A$36,0)),0)+IFERROR(INDEX(Setup!$H$25:$H$36,MATCH($B166,Setup!$A$25:$A$36,0)),0)*IF(ISNUMBER($H166),$H166,0)=0,"—",ROUND(IFERROR(INDEX(Setup!$G$25:$G$36,MATCH($B166,Setup!$A$25:$A$36,0)),0)+IFERROR(INDEX(Setup!$H$25:$H$36,MATCH($B166,Setup!$A$25:$A$36,0)),0)*IF(ISNUMBER($H166),$H166,0),2)))</f>
        <v>—</v>
      </c>
      <c r="Q166" s="21" t="str">
        <f t="shared" si="12"/>
        <v>—</v>
      </c>
      <c r="R166" s="21" t="str">
        <f t="shared" si="13"/>
        <v>—</v>
      </c>
      <c r="S166" s="8"/>
      <c r="T166" s="19" t="str">
        <f ca="1">IF(OR(NOT(ISNUMBER($F166)),NOT(ISNUMBER($G166)),NOT(ISNUMBER(Dashboard!$P$2)),NOT(ISNUMBER(Dashboard!$P$3)),$D166="Cancelled",$D166="Owner block"),"—",IF(MAX(0,MIN($G166,Dashboard!$P$3+1)-MAX($F166,Dashboard!$P$2))=0,"—",MAX(0,MIN($G166,Dashboard!$P$3+1)-MAX($F166,Dashboard!$P$2))))</f>
        <v>—</v>
      </c>
      <c r="U166" s="19" t="str">
        <f ca="1">IF(OR(NOT(ISNUMBER($F166)),NOT(ISNUMBER($G166)),NOT(ISNUMBER(Dashboard!$P$2)),NOT(ISNUMBER(Dashboard!$P$3)),$D166&lt;&gt;"Owner block"),"—",IF(MAX(0,MIN($G166,Dashboard!$P$3+1)-MAX($F166,Dashboard!$P$2))=0,"—",MAX(0,MIN($G166,Dashboard!$P$3+1)-MAX($F166,Dashboard!$P$2))))</f>
        <v>—</v>
      </c>
      <c r="V166" s="7" t="str">
        <f>IF($B166="",IF(COUNTA($C166:$G166,$I166:$K166,$S166)=0,"","⚠ no property — not counted"),IF(COUNTIF(Setup!$A$25:$A$36,$B166)=0,"⚠ property not in Setup",IF(AND($F166&lt;&gt;"",NOT(ISNUMBER($F166))),"⚠ check-in is not a real date",IF(AND($G166&lt;&gt;"",NOT(ISNUMBER($G166))),"⚠ check-out is not a real date",IF(AND($J166&lt;&gt;"",NOT(ISNUMBER($J166))),"⚠ booking value is not a number","OK")))))</f>
        <v/>
      </c>
      <c r="W166" s="21" t="str">
        <f t="shared" si="14"/>
        <v>—</v>
      </c>
    </row>
    <row r="167" spans="1:23" x14ac:dyDescent="0.2">
      <c r="A167" s="30">
        <v>163</v>
      </c>
      <c r="B167" s="3"/>
      <c r="C167" s="3"/>
      <c r="D167" s="3"/>
      <c r="E167" s="3"/>
      <c r="F167" s="31"/>
      <c r="G167" s="31"/>
      <c r="H167" s="19" t="str">
        <f t="shared" si="10"/>
        <v>—</v>
      </c>
      <c r="I167" s="32"/>
      <c r="J167" s="6"/>
      <c r="K167" s="33"/>
      <c r="L167" s="21" t="str">
        <f>IF(OR($B167="",NOT(ISNUMBER($J167)),$D167="Cancelled",$D167="Owner block"),"—",ROUND($J167*IF(ISNUMBER($K167),IF($K167&gt;1,$K167/100,$K167),IF(IFERROR(INDEX(Setup!$D$25:$D$36,MATCH($B167,Setup!$A$25:$A$36,0)),0)&gt;1,IFERROR(INDEX(Setup!$D$25:$D$36,MATCH($B167,Setup!$A$25:$A$36,0)),0)/100,IFERROR(INDEX(Setup!$D$25:$D$36,MATCH($B167,Setup!$A$25:$A$36,0)),0))),2))</f>
        <v>—</v>
      </c>
      <c r="M167" s="21" t="str">
        <f t="shared" si="11"/>
        <v>—</v>
      </c>
      <c r="N167" s="21" t="str">
        <f>IF(OR($B167="",$G167="",$D167="Cancelled"),"—",IFERROR(IF(INDEX(Setup!$E$25:$E$36,MATCH($B167,Setup!$A$25:$A$36,0))=0,"—",INDEX(Setup!$E$25:$E$36,MATCH($B167,Setup!$A$25:$A$36,0))),"—"))</f>
        <v>—</v>
      </c>
      <c r="O167" s="21" t="str">
        <f>IF(OR($B167="",$G167="",$D167="Cancelled"),"—",IFERROR(IF(INDEX(Setup!$F$25:$F$36,MATCH($B167,Setup!$A$25:$A$36,0))=0,"—",INDEX(Setup!$F$25:$F$36,MATCH($B167,Setup!$A$25:$A$36,0))),"—"))</f>
        <v>—</v>
      </c>
      <c r="P167" s="21" t="str">
        <f>IF(OR($B167="",$G167="",$D167="Cancelled",$D167="Owner block"),"—",IF(IFERROR(INDEX(Setup!$G$25:$G$36,MATCH($B167,Setup!$A$25:$A$36,0)),0)+IFERROR(INDEX(Setup!$H$25:$H$36,MATCH($B167,Setup!$A$25:$A$36,0)),0)*IF(ISNUMBER($H167),$H167,0)=0,"—",ROUND(IFERROR(INDEX(Setup!$G$25:$G$36,MATCH($B167,Setup!$A$25:$A$36,0)),0)+IFERROR(INDEX(Setup!$H$25:$H$36,MATCH($B167,Setup!$A$25:$A$36,0)),0)*IF(ISNUMBER($H167),$H167,0),2)))</f>
        <v>—</v>
      </c>
      <c r="Q167" s="21" t="str">
        <f t="shared" si="12"/>
        <v>—</v>
      </c>
      <c r="R167" s="21" t="str">
        <f t="shared" si="13"/>
        <v>—</v>
      </c>
      <c r="S167" s="3"/>
      <c r="T167" s="19" t="str">
        <f ca="1">IF(OR(NOT(ISNUMBER($F167)),NOT(ISNUMBER($G167)),NOT(ISNUMBER(Dashboard!$P$2)),NOT(ISNUMBER(Dashboard!$P$3)),$D167="Cancelled",$D167="Owner block"),"—",IF(MAX(0,MIN($G167,Dashboard!$P$3+1)-MAX($F167,Dashboard!$P$2))=0,"—",MAX(0,MIN($G167,Dashboard!$P$3+1)-MAX($F167,Dashboard!$P$2))))</f>
        <v>—</v>
      </c>
      <c r="U167" s="19" t="str">
        <f ca="1">IF(OR(NOT(ISNUMBER($F167)),NOT(ISNUMBER($G167)),NOT(ISNUMBER(Dashboard!$P$2)),NOT(ISNUMBER(Dashboard!$P$3)),$D167&lt;&gt;"Owner block"),"—",IF(MAX(0,MIN($G167,Dashboard!$P$3+1)-MAX($F167,Dashboard!$P$2))=0,"—",MAX(0,MIN($G167,Dashboard!$P$3+1)-MAX($F167,Dashboard!$P$2))))</f>
        <v>—</v>
      </c>
      <c r="V167" s="7" t="str">
        <f>IF($B167="",IF(COUNTA($C167:$G167,$I167:$K167,$S167)=0,"","⚠ no property — not counted"),IF(COUNTIF(Setup!$A$25:$A$36,$B167)=0,"⚠ property not in Setup",IF(AND($F167&lt;&gt;"",NOT(ISNUMBER($F167))),"⚠ check-in is not a real date",IF(AND($G167&lt;&gt;"",NOT(ISNUMBER($G167))),"⚠ check-out is not a real date",IF(AND($J167&lt;&gt;"",NOT(ISNUMBER($J167))),"⚠ booking value is not a number","OK")))))</f>
        <v/>
      </c>
      <c r="W167" s="21" t="str">
        <f t="shared" si="14"/>
        <v>—</v>
      </c>
    </row>
    <row r="168" spans="1:23" x14ac:dyDescent="0.2">
      <c r="A168" s="30">
        <v>164</v>
      </c>
      <c r="B168" s="8"/>
      <c r="C168" s="8"/>
      <c r="D168" s="8"/>
      <c r="E168" s="8"/>
      <c r="F168" s="34"/>
      <c r="G168" s="34"/>
      <c r="H168" s="19" t="str">
        <f t="shared" si="10"/>
        <v>—</v>
      </c>
      <c r="I168" s="35"/>
      <c r="J168" s="11"/>
      <c r="K168" s="36"/>
      <c r="L168" s="21" t="str">
        <f>IF(OR($B168="",NOT(ISNUMBER($J168)),$D168="Cancelled",$D168="Owner block"),"—",ROUND($J168*IF(ISNUMBER($K168),IF($K168&gt;1,$K168/100,$K168),IF(IFERROR(INDEX(Setup!$D$25:$D$36,MATCH($B168,Setup!$A$25:$A$36,0)),0)&gt;1,IFERROR(INDEX(Setup!$D$25:$D$36,MATCH($B168,Setup!$A$25:$A$36,0)),0)/100,IFERROR(INDEX(Setup!$D$25:$D$36,MATCH($B168,Setup!$A$25:$A$36,0)),0))),2))</f>
        <v>—</v>
      </c>
      <c r="M168" s="21" t="str">
        <f t="shared" si="11"/>
        <v>—</v>
      </c>
      <c r="N168" s="21" t="str">
        <f>IF(OR($B168="",$G168="",$D168="Cancelled"),"—",IFERROR(IF(INDEX(Setup!$E$25:$E$36,MATCH($B168,Setup!$A$25:$A$36,0))=0,"—",INDEX(Setup!$E$25:$E$36,MATCH($B168,Setup!$A$25:$A$36,0))),"—"))</f>
        <v>—</v>
      </c>
      <c r="O168" s="21" t="str">
        <f>IF(OR($B168="",$G168="",$D168="Cancelled"),"—",IFERROR(IF(INDEX(Setup!$F$25:$F$36,MATCH($B168,Setup!$A$25:$A$36,0))=0,"—",INDEX(Setup!$F$25:$F$36,MATCH($B168,Setup!$A$25:$A$36,0))),"—"))</f>
        <v>—</v>
      </c>
      <c r="P168" s="21" t="str">
        <f>IF(OR($B168="",$G168="",$D168="Cancelled",$D168="Owner block"),"—",IF(IFERROR(INDEX(Setup!$G$25:$G$36,MATCH($B168,Setup!$A$25:$A$36,0)),0)+IFERROR(INDEX(Setup!$H$25:$H$36,MATCH($B168,Setup!$A$25:$A$36,0)),0)*IF(ISNUMBER($H168),$H168,0)=0,"—",ROUND(IFERROR(INDEX(Setup!$G$25:$G$36,MATCH($B168,Setup!$A$25:$A$36,0)),0)+IFERROR(INDEX(Setup!$H$25:$H$36,MATCH($B168,Setup!$A$25:$A$36,0)),0)*IF(ISNUMBER($H168),$H168,0),2)))</f>
        <v>—</v>
      </c>
      <c r="Q168" s="21" t="str">
        <f t="shared" si="12"/>
        <v>—</v>
      </c>
      <c r="R168" s="21" t="str">
        <f t="shared" si="13"/>
        <v>—</v>
      </c>
      <c r="S168" s="8"/>
      <c r="T168" s="19" t="str">
        <f ca="1">IF(OR(NOT(ISNUMBER($F168)),NOT(ISNUMBER($G168)),NOT(ISNUMBER(Dashboard!$P$2)),NOT(ISNUMBER(Dashboard!$P$3)),$D168="Cancelled",$D168="Owner block"),"—",IF(MAX(0,MIN($G168,Dashboard!$P$3+1)-MAX($F168,Dashboard!$P$2))=0,"—",MAX(0,MIN($G168,Dashboard!$P$3+1)-MAX($F168,Dashboard!$P$2))))</f>
        <v>—</v>
      </c>
      <c r="U168" s="19" t="str">
        <f ca="1">IF(OR(NOT(ISNUMBER($F168)),NOT(ISNUMBER($G168)),NOT(ISNUMBER(Dashboard!$P$2)),NOT(ISNUMBER(Dashboard!$P$3)),$D168&lt;&gt;"Owner block"),"—",IF(MAX(0,MIN($G168,Dashboard!$P$3+1)-MAX($F168,Dashboard!$P$2))=0,"—",MAX(0,MIN($G168,Dashboard!$P$3+1)-MAX($F168,Dashboard!$P$2))))</f>
        <v>—</v>
      </c>
      <c r="V168" s="7" t="str">
        <f>IF($B168="",IF(COUNTA($C168:$G168,$I168:$K168,$S168)=0,"","⚠ no property — not counted"),IF(COUNTIF(Setup!$A$25:$A$36,$B168)=0,"⚠ property not in Setup",IF(AND($F168&lt;&gt;"",NOT(ISNUMBER($F168))),"⚠ check-in is not a real date",IF(AND($G168&lt;&gt;"",NOT(ISNUMBER($G168))),"⚠ check-out is not a real date",IF(AND($J168&lt;&gt;"",NOT(ISNUMBER($J168))),"⚠ booking value is not a number","OK")))))</f>
        <v/>
      </c>
      <c r="W168" s="21" t="str">
        <f t="shared" si="14"/>
        <v>—</v>
      </c>
    </row>
    <row r="169" spans="1:23" x14ac:dyDescent="0.2">
      <c r="A169" s="30">
        <v>165</v>
      </c>
      <c r="B169" s="3"/>
      <c r="C169" s="3"/>
      <c r="D169" s="3"/>
      <c r="E169" s="3"/>
      <c r="F169" s="31"/>
      <c r="G169" s="31"/>
      <c r="H169" s="19" t="str">
        <f t="shared" si="10"/>
        <v>—</v>
      </c>
      <c r="I169" s="32"/>
      <c r="J169" s="6"/>
      <c r="K169" s="33"/>
      <c r="L169" s="21" t="str">
        <f>IF(OR($B169="",NOT(ISNUMBER($J169)),$D169="Cancelled",$D169="Owner block"),"—",ROUND($J169*IF(ISNUMBER($K169),IF($K169&gt;1,$K169/100,$K169),IF(IFERROR(INDEX(Setup!$D$25:$D$36,MATCH($B169,Setup!$A$25:$A$36,0)),0)&gt;1,IFERROR(INDEX(Setup!$D$25:$D$36,MATCH($B169,Setup!$A$25:$A$36,0)),0)/100,IFERROR(INDEX(Setup!$D$25:$D$36,MATCH($B169,Setup!$A$25:$A$36,0)),0))),2))</f>
        <v>—</v>
      </c>
      <c r="M169" s="21" t="str">
        <f t="shared" si="11"/>
        <v>—</v>
      </c>
      <c r="N169" s="21" t="str">
        <f>IF(OR($B169="",$G169="",$D169="Cancelled"),"—",IFERROR(IF(INDEX(Setup!$E$25:$E$36,MATCH($B169,Setup!$A$25:$A$36,0))=0,"—",INDEX(Setup!$E$25:$E$36,MATCH($B169,Setup!$A$25:$A$36,0))),"—"))</f>
        <v>—</v>
      </c>
      <c r="O169" s="21" t="str">
        <f>IF(OR($B169="",$G169="",$D169="Cancelled"),"—",IFERROR(IF(INDEX(Setup!$F$25:$F$36,MATCH($B169,Setup!$A$25:$A$36,0))=0,"—",INDEX(Setup!$F$25:$F$36,MATCH($B169,Setup!$A$25:$A$36,0))),"—"))</f>
        <v>—</v>
      </c>
      <c r="P169" s="21" t="str">
        <f>IF(OR($B169="",$G169="",$D169="Cancelled",$D169="Owner block"),"—",IF(IFERROR(INDEX(Setup!$G$25:$G$36,MATCH($B169,Setup!$A$25:$A$36,0)),0)+IFERROR(INDEX(Setup!$H$25:$H$36,MATCH($B169,Setup!$A$25:$A$36,0)),0)*IF(ISNUMBER($H169),$H169,0)=0,"—",ROUND(IFERROR(INDEX(Setup!$G$25:$G$36,MATCH($B169,Setup!$A$25:$A$36,0)),0)+IFERROR(INDEX(Setup!$H$25:$H$36,MATCH($B169,Setup!$A$25:$A$36,0)),0)*IF(ISNUMBER($H169),$H169,0),2)))</f>
        <v>—</v>
      </c>
      <c r="Q169" s="21" t="str">
        <f t="shared" si="12"/>
        <v>—</v>
      </c>
      <c r="R169" s="21" t="str">
        <f t="shared" si="13"/>
        <v>—</v>
      </c>
      <c r="S169" s="3"/>
      <c r="T169" s="19" t="str">
        <f ca="1">IF(OR(NOT(ISNUMBER($F169)),NOT(ISNUMBER($G169)),NOT(ISNUMBER(Dashboard!$P$2)),NOT(ISNUMBER(Dashboard!$P$3)),$D169="Cancelled",$D169="Owner block"),"—",IF(MAX(0,MIN($G169,Dashboard!$P$3+1)-MAX($F169,Dashboard!$P$2))=0,"—",MAX(0,MIN($G169,Dashboard!$P$3+1)-MAX($F169,Dashboard!$P$2))))</f>
        <v>—</v>
      </c>
      <c r="U169" s="19" t="str">
        <f ca="1">IF(OR(NOT(ISNUMBER($F169)),NOT(ISNUMBER($G169)),NOT(ISNUMBER(Dashboard!$P$2)),NOT(ISNUMBER(Dashboard!$P$3)),$D169&lt;&gt;"Owner block"),"—",IF(MAX(0,MIN($G169,Dashboard!$P$3+1)-MAX($F169,Dashboard!$P$2))=0,"—",MAX(0,MIN($G169,Dashboard!$P$3+1)-MAX($F169,Dashboard!$P$2))))</f>
        <v>—</v>
      </c>
      <c r="V169" s="7" t="str">
        <f>IF($B169="",IF(COUNTA($C169:$G169,$I169:$K169,$S169)=0,"","⚠ no property — not counted"),IF(COUNTIF(Setup!$A$25:$A$36,$B169)=0,"⚠ property not in Setup",IF(AND($F169&lt;&gt;"",NOT(ISNUMBER($F169))),"⚠ check-in is not a real date",IF(AND($G169&lt;&gt;"",NOT(ISNUMBER($G169))),"⚠ check-out is not a real date",IF(AND($J169&lt;&gt;"",NOT(ISNUMBER($J169))),"⚠ booking value is not a number","OK")))))</f>
        <v/>
      </c>
      <c r="W169" s="21" t="str">
        <f t="shared" si="14"/>
        <v>—</v>
      </c>
    </row>
    <row r="170" spans="1:23" x14ac:dyDescent="0.2">
      <c r="A170" s="30">
        <v>166</v>
      </c>
      <c r="B170" s="8"/>
      <c r="C170" s="8"/>
      <c r="D170" s="8"/>
      <c r="E170" s="8"/>
      <c r="F170" s="34"/>
      <c r="G170" s="34"/>
      <c r="H170" s="19" t="str">
        <f t="shared" si="10"/>
        <v>—</v>
      </c>
      <c r="I170" s="35"/>
      <c r="J170" s="11"/>
      <c r="K170" s="36"/>
      <c r="L170" s="21" t="str">
        <f>IF(OR($B170="",NOT(ISNUMBER($J170)),$D170="Cancelled",$D170="Owner block"),"—",ROUND($J170*IF(ISNUMBER($K170),IF($K170&gt;1,$K170/100,$K170),IF(IFERROR(INDEX(Setup!$D$25:$D$36,MATCH($B170,Setup!$A$25:$A$36,0)),0)&gt;1,IFERROR(INDEX(Setup!$D$25:$D$36,MATCH($B170,Setup!$A$25:$A$36,0)),0)/100,IFERROR(INDEX(Setup!$D$25:$D$36,MATCH($B170,Setup!$A$25:$A$36,0)),0))),2))</f>
        <v>—</v>
      </c>
      <c r="M170" s="21" t="str">
        <f t="shared" si="11"/>
        <v>—</v>
      </c>
      <c r="N170" s="21" t="str">
        <f>IF(OR($B170="",$G170="",$D170="Cancelled"),"—",IFERROR(IF(INDEX(Setup!$E$25:$E$36,MATCH($B170,Setup!$A$25:$A$36,0))=0,"—",INDEX(Setup!$E$25:$E$36,MATCH($B170,Setup!$A$25:$A$36,0))),"—"))</f>
        <v>—</v>
      </c>
      <c r="O170" s="21" t="str">
        <f>IF(OR($B170="",$G170="",$D170="Cancelled"),"—",IFERROR(IF(INDEX(Setup!$F$25:$F$36,MATCH($B170,Setup!$A$25:$A$36,0))=0,"—",INDEX(Setup!$F$25:$F$36,MATCH($B170,Setup!$A$25:$A$36,0))),"—"))</f>
        <v>—</v>
      </c>
      <c r="P170" s="21" t="str">
        <f>IF(OR($B170="",$G170="",$D170="Cancelled",$D170="Owner block"),"—",IF(IFERROR(INDEX(Setup!$G$25:$G$36,MATCH($B170,Setup!$A$25:$A$36,0)),0)+IFERROR(INDEX(Setup!$H$25:$H$36,MATCH($B170,Setup!$A$25:$A$36,0)),0)*IF(ISNUMBER($H170),$H170,0)=0,"—",ROUND(IFERROR(INDEX(Setup!$G$25:$G$36,MATCH($B170,Setup!$A$25:$A$36,0)),0)+IFERROR(INDEX(Setup!$H$25:$H$36,MATCH($B170,Setup!$A$25:$A$36,0)),0)*IF(ISNUMBER($H170),$H170,0),2)))</f>
        <v>—</v>
      </c>
      <c r="Q170" s="21" t="str">
        <f t="shared" si="12"/>
        <v>—</v>
      </c>
      <c r="R170" s="21" t="str">
        <f t="shared" si="13"/>
        <v>—</v>
      </c>
      <c r="S170" s="8"/>
      <c r="T170" s="19" t="str">
        <f ca="1">IF(OR(NOT(ISNUMBER($F170)),NOT(ISNUMBER($G170)),NOT(ISNUMBER(Dashboard!$P$2)),NOT(ISNUMBER(Dashboard!$P$3)),$D170="Cancelled",$D170="Owner block"),"—",IF(MAX(0,MIN($G170,Dashboard!$P$3+1)-MAX($F170,Dashboard!$P$2))=0,"—",MAX(0,MIN($G170,Dashboard!$P$3+1)-MAX($F170,Dashboard!$P$2))))</f>
        <v>—</v>
      </c>
      <c r="U170" s="19" t="str">
        <f ca="1">IF(OR(NOT(ISNUMBER($F170)),NOT(ISNUMBER($G170)),NOT(ISNUMBER(Dashboard!$P$2)),NOT(ISNUMBER(Dashboard!$P$3)),$D170&lt;&gt;"Owner block"),"—",IF(MAX(0,MIN($G170,Dashboard!$P$3+1)-MAX($F170,Dashboard!$P$2))=0,"—",MAX(0,MIN($G170,Dashboard!$P$3+1)-MAX($F170,Dashboard!$P$2))))</f>
        <v>—</v>
      </c>
      <c r="V170" s="7" t="str">
        <f>IF($B170="",IF(COUNTA($C170:$G170,$I170:$K170,$S170)=0,"","⚠ no property — not counted"),IF(COUNTIF(Setup!$A$25:$A$36,$B170)=0,"⚠ property not in Setup",IF(AND($F170&lt;&gt;"",NOT(ISNUMBER($F170))),"⚠ check-in is not a real date",IF(AND($G170&lt;&gt;"",NOT(ISNUMBER($G170))),"⚠ check-out is not a real date",IF(AND($J170&lt;&gt;"",NOT(ISNUMBER($J170))),"⚠ booking value is not a number","OK")))))</f>
        <v/>
      </c>
      <c r="W170" s="21" t="str">
        <f t="shared" si="14"/>
        <v>—</v>
      </c>
    </row>
    <row r="171" spans="1:23" x14ac:dyDescent="0.2">
      <c r="A171" s="30">
        <v>167</v>
      </c>
      <c r="B171" s="3"/>
      <c r="C171" s="3"/>
      <c r="D171" s="3"/>
      <c r="E171" s="3"/>
      <c r="F171" s="31"/>
      <c r="G171" s="31"/>
      <c r="H171" s="19" t="str">
        <f t="shared" si="10"/>
        <v>—</v>
      </c>
      <c r="I171" s="32"/>
      <c r="J171" s="6"/>
      <c r="K171" s="33"/>
      <c r="L171" s="21" t="str">
        <f>IF(OR($B171="",NOT(ISNUMBER($J171)),$D171="Cancelled",$D171="Owner block"),"—",ROUND($J171*IF(ISNUMBER($K171),IF($K171&gt;1,$K171/100,$K171),IF(IFERROR(INDEX(Setup!$D$25:$D$36,MATCH($B171,Setup!$A$25:$A$36,0)),0)&gt;1,IFERROR(INDEX(Setup!$D$25:$D$36,MATCH($B171,Setup!$A$25:$A$36,0)),0)/100,IFERROR(INDEX(Setup!$D$25:$D$36,MATCH($B171,Setup!$A$25:$A$36,0)),0))),2))</f>
        <v>—</v>
      </c>
      <c r="M171" s="21" t="str">
        <f t="shared" si="11"/>
        <v>—</v>
      </c>
      <c r="N171" s="21" t="str">
        <f>IF(OR($B171="",$G171="",$D171="Cancelled"),"—",IFERROR(IF(INDEX(Setup!$E$25:$E$36,MATCH($B171,Setup!$A$25:$A$36,0))=0,"—",INDEX(Setup!$E$25:$E$36,MATCH($B171,Setup!$A$25:$A$36,0))),"—"))</f>
        <v>—</v>
      </c>
      <c r="O171" s="21" t="str">
        <f>IF(OR($B171="",$G171="",$D171="Cancelled"),"—",IFERROR(IF(INDEX(Setup!$F$25:$F$36,MATCH($B171,Setup!$A$25:$A$36,0))=0,"—",INDEX(Setup!$F$25:$F$36,MATCH($B171,Setup!$A$25:$A$36,0))),"—"))</f>
        <v>—</v>
      </c>
      <c r="P171" s="21" t="str">
        <f>IF(OR($B171="",$G171="",$D171="Cancelled",$D171="Owner block"),"—",IF(IFERROR(INDEX(Setup!$G$25:$G$36,MATCH($B171,Setup!$A$25:$A$36,0)),0)+IFERROR(INDEX(Setup!$H$25:$H$36,MATCH($B171,Setup!$A$25:$A$36,0)),0)*IF(ISNUMBER($H171),$H171,0)=0,"—",ROUND(IFERROR(INDEX(Setup!$G$25:$G$36,MATCH($B171,Setup!$A$25:$A$36,0)),0)+IFERROR(INDEX(Setup!$H$25:$H$36,MATCH($B171,Setup!$A$25:$A$36,0)),0)*IF(ISNUMBER($H171),$H171,0),2)))</f>
        <v>—</v>
      </c>
      <c r="Q171" s="21" t="str">
        <f t="shared" si="12"/>
        <v>—</v>
      </c>
      <c r="R171" s="21" t="str">
        <f t="shared" si="13"/>
        <v>—</v>
      </c>
      <c r="S171" s="3"/>
      <c r="T171" s="19" t="str">
        <f ca="1">IF(OR(NOT(ISNUMBER($F171)),NOT(ISNUMBER($G171)),NOT(ISNUMBER(Dashboard!$P$2)),NOT(ISNUMBER(Dashboard!$P$3)),$D171="Cancelled",$D171="Owner block"),"—",IF(MAX(0,MIN($G171,Dashboard!$P$3+1)-MAX($F171,Dashboard!$P$2))=0,"—",MAX(0,MIN($G171,Dashboard!$P$3+1)-MAX($F171,Dashboard!$P$2))))</f>
        <v>—</v>
      </c>
      <c r="U171" s="19" t="str">
        <f ca="1">IF(OR(NOT(ISNUMBER($F171)),NOT(ISNUMBER($G171)),NOT(ISNUMBER(Dashboard!$P$2)),NOT(ISNUMBER(Dashboard!$P$3)),$D171&lt;&gt;"Owner block"),"—",IF(MAX(0,MIN($G171,Dashboard!$P$3+1)-MAX($F171,Dashboard!$P$2))=0,"—",MAX(0,MIN($G171,Dashboard!$P$3+1)-MAX($F171,Dashboard!$P$2))))</f>
        <v>—</v>
      </c>
      <c r="V171" s="7" t="str">
        <f>IF($B171="",IF(COUNTA($C171:$G171,$I171:$K171,$S171)=0,"","⚠ no property — not counted"),IF(COUNTIF(Setup!$A$25:$A$36,$B171)=0,"⚠ property not in Setup",IF(AND($F171&lt;&gt;"",NOT(ISNUMBER($F171))),"⚠ check-in is not a real date",IF(AND($G171&lt;&gt;"",NOT(ISNUMBER($G171))),"⚠ check-out is not a real date",IF(AND($J171&lt;&gt;"",NOT(ISNUMBER($J171))),"⚠ booking value is not a number","OK")))))</f>
        <v/>
      </c>
      <c r="W171" s="21" t="str">
        <f t="shared" si="14"/>
        <v>—</v>
      </c>
    </row>
    <row r="172" spans="1:23" x14ac:dyDescent="0.2">
      <c r="A172" s="30">
        <v>168</v>
      </c>
      <c r="B172" s="8"/>
      <c r="C172" s="8"/>
      <c r="D172" s="8"/>
      <c r="E172" s="8"/>
      <c r="F172" s="34"/>
      <c r="G172" s="34"/>
      <c r="H172" s="19" t="str">
        <f t="shared" si="10"/>
        <v>—</v>
      </c>
      <c r="I172" s="35"/>
      <c r="J172" s="11"/>
      <c r="K172" s="36"/>
      <c r="L172" s="21" t="str">
        <f>IF(OR($B172="",NOT(ISNUMBER($J172)),$D172="Cancelled",$D172="Owner block"),"—",ROUND($J172*IF(ISNUMBER($K172),IF($K172&gt;1,$K172/100,$K172),IF(IFERROR(INDEX(Setup!$D$25:$D$36,MATCH($B172,Setup!$A$25:$A$36,0)),0)&gt;1,IFERROR(INDEX(Setup!$D$25:$D$36,MATCH($B172,Setup!$A$25:$A$36,0)),0)/100,IFERROR(INDEX(Setup!$D$25:$D$36,MATCH($B172,Setup!$A$25:$A$36,0)),0))),2))</f>
        <v>—</v>
      </c>
      <c r="M172" s="21" t="str">
        <f t="shared" si="11"/>
        <v>—</v>
      </c>
      <c r="N172" s="21" t="str">
        <f>IF(OR($B172="",$G172="",$D172="Cancelled"),"—",IFERROR(IF(INDEX(Setup!$E$25:$E$36,MATCH($B172,Setup!$A$25:$A$36,0))=0,"—",INDEX(Setup!$E$25:$E$36,MATCH($B172,Setup!$A$25:$A$36,0))),"—"))</f>
        <v>—</v>
      </c>
      <c r="O172" s="21" t="str">
        <f>IF(OR($B172="",$G172="",$D172="Cancelled"),"—",IFERROR(IF(INDEX(Setup!$F$25:$F$36,MATCH($B172,Setup!$A$25:$A$36,0))=0,"—",INDEX(Setup!$F$25:$F$36,MATCH($B172,Setup!$A$25:$A$36,0))),"—"))</f>
        <v>—</v>
      </c>
      <c r="P172" s="21" t="str">
        <f>IF(OR($B172="",$G172="",$D172="Cancelled",$D172="Owner block"),"—",IF(IFERROR(INDEX(Setup!$G$25:$G$36,MATCH($B172,Setup!$A$25:$A$36,0)),0)+IFERROR(INDEX(Setup!$H$25:$H$36,MATCH($B172,Setup!$A$25:$A$36,0)),0)*IF(ISNUMBER($H172),$H172,0)=0,"—",ROUND(IFERROR(INDEX(Setup!$G$25:$G$36,MATCH($B172,Setup!$A$25:$A$36,0)),0)+IFERROR(INDEX(Setup!$H$25:$H$36,MATCH($B172,Setup!$A$25:$A$36,0)),0)*IF(ISNUMBER($H172),$H172,0),2)))</f>
        <v>—</v>
      </c>
      <c r="Q172" s="21" t="str">
        <f t="shared" si="12"/>
        <v>—</v>
      </c>
      <c r="R172" s="21" t="str">
        <f t="shared" si="13"/>
        <v>—</v>
      </c>
      <c r="S172" s="8"/>
      <c r="T172" s="19" t="str">
        <f ca="1">IF(OR(NOT(ISNUMBER($F172)),NOT(ISNUMBER($G172)),NOT(ISNUMBER(Dashboard!$P$2)),NOT(ISNUMBER(Dashboard!$P$3)),$D172="Cancelled",$D172="Owner block"),"—",IF(MAX(0,MIN($G172,Dashboard!$P$3+1)-MAX($F172,Dashboard!$P$2))=0,"—",MAX(0,MIN($G172,Dashboard!$P$3+1)-MAX($F172,Dashboard!$P$2))))</f>
        <v>—</v>
      </c>
      <c r="U172" s="19" t="str">
        <f ca="1">IF(OR(NOT(ISNUMBER($F172)),NOT(ISNUMBER($G172)),NOT(ISNUMBER(Dashboard!$P$2)),NOT(ISNUMBER(Dashboard!$P$3)),$D172&lt;&gt;"Owner block"),"—",IF(MAX(0,MIN($G172,Dashboard!$P$3+1)-MAX($F172,Dashboard!$P$2))=0,"—",MAX(0,MIN($G172,Dashboard!$P$3+1)-MAX($F172,Dashboard!$P$2))))</f>
        <v>—</v>
      </c>
      <c r="V172" s="7" t="str">
        <f>IF($B172="",IF(COUNTA($C172:$G172,$I172:$K172,$S172)=0,"","⚠ no property — not counted"),IF(COUNTIF(Setup!$A$25:$A$36,$B172)=0,"⚠ property not in Setup",IF(AND($F172&lt;&gt;"",NOT(ISNUMBER($F172))),"⚠ check-in is not a real date",IF(AND($G172&lt;&gt;"",NOT(ISNUMBER($G172))),"⚠ check-out is not a real date",IF(AND($J172&lt;&gt;"",NOT(ISNUMBER($J172))),"⚠ booking value is not a number","OK")))))</f>
        <v/>
      </c>
      <c r="W172" s="21" t="str">
        <f t="shared" si="14"/>
        <v>—</v>
      </c>
    </row>
    <row r="173" spans="1:23" x14ac:dyDescent="0.2">
      <c r="A173" s="30">
        <v>169</v>
      </c>
      <c r="B173" s="3"/>
      <c r="C173" s="3"/>
      <c r="D173" s="3"/>
      <c r="E173" s="3"/>
      <c r="F173" s="31"/>
      <c r="G173" s="31"/>
      <c r="H173" s="19" t="str">
        <f t="shared" si="10"/>
        <v>—</v>
      </c>
      <c r="I173" s="32"/>
      <c r="J173" s="6"/>
      <c r="K173" s="33"/>
      <c r="L173" s="21" t="str">
        <f>IF(OR($B173="",NOT(ISNUMBER($J173)),$D173="Cancelled",$D173="Owner block"),"—",ROUND($J173*IF(ISNUMBER($K173),IF($K173&gt;1,$K173/100,$K173),IF(IFERROR(INDEX(Setup!$D$25:$D$36,MATCH($B173,Setup!$A$25:$A$36,0)),0)&gt;1,IFERROR(INDEX(Setup!$D$25:$D$36,MATCH($B173,Setup!$A$25:$A$36,0)),0)/100,IFERROR(INDEX(Setup!$D$25:$D$36,MATCH($B173,Setup!$A$25:$A$36,0)),0))),2))</f>
        <v>—</v>
      </c>
      <c r="M173" s="21" t="str">
        <f t="shared" si="11"/>
        <v>—</v>
      </c>
      <c r="N173" s="21" t="str">
        <f>IF(OR($B173="",$G173="",$D173="Cancelled"),"—",IFERROR(IF(INDEX(Setup!$E$25:$E$36,MATCH($B173,Setup!$A$25:$A$36,0))=0,"—",INDEX(Setup!$E$25:$E$36,MATCH($B173,Setup!$A$25:$A$36,0))),"—"))</f>
        <v>—</v>
      </c>
      <c r="O173" s="21" t="str">
        <f>IF(OR($B173="",$G173="",$D173="Cancelled"),"—",IFERROR(IF(INDEX(Setup!$F$25:$F$36,MATCH($B173,Setup!$A$25:$A$36,0))=0,"—",INDEX(Setup!$F$25:$F$36,MATCH($B173,Setup!$A$25:$A$36,0))),"—"))</f>
        <v>—</v>
      </c>
      <c r="P173" s="21" t="str">
        <f>IF(OR($B173="",$G173="",$D173="Cancelled",$D173="Owner block"),"—",IF(IFERROR(INDEX(Setup!$G$25:$G$36,MATCH($B173,Setup!$A$25:$A$36,0)),0)+IFERROR(INDEX(Setup!$H$25:$H$36,MATCH($B173,Setup!$A$25:$A$36,0)),0)*IF(ISNUMBER($H173),$H173,0)=0,"—",ROUND(IFERROR(INDEX(Setup!$G$25:$G$36,MATCH($B173,Setup!$A$25:$A$36,0)),0)+IFERROR(INDEX(Setup!$H$25:$H$36,MATCH($B173,Setup!$A$25:$A$36,0)),0)*IF(ISNUMBER($H173),$H173,0),2)))</f>
        <v>—</v>
      </c>
      <c r="Q173" s="21" t="str">
        <f t="shared" si="12"/>
        <v>—</v>
      </c>
      <c r="R173" s="21" t="str">
        <f t="shared" si="13"/>
        <v>—</v>
      </c>
      <c r="S173" s="3"/>
      <c r="T173" s="19" t="str">
        <f ca="1">IF(OR(NOT(ISNUMBER($F173)),NOT(ISNUMBER($G173)),NOT(ISNUMBER(Dashboard!$P$2)),NOT(ISNUMBER(Dashboard!$P$3)),$D173="Cancelled",$D173="Owner block"),"—",IF(MAX(0,MIN($G173,Dashboard!$P$3+1)-MAX($F173,Dashboard!$P$2))=0,"—",MAX(0,MIN($G173,Dashboard!$P$3+1)-MAX($F173,Dashboard!$P$2))))</f>
        <v>—</v>
      </c>
      <c r="U173" s="19" t="str">
        <f ca="1">IF(OR(NOT(ISNUMBER($F173)),NOT(ISNUMBER($G173)),NOT(ISNUMBER(Dashboard!$P$2)),NOT(ISNUMBER(Dashboard!$P$3)),$D173&lt;&gt;"Owner block"),"—",IF(MAX(0,MIN($G173,Dashboard!$P$3+1)-MAX($F173,Dashboard!$P$2))=0,"—",MAX(0,MIN($G173,Dashboard!$P$3+1)-MAX($F173,Dashboard!$P$2))))</f>
        <v>—</v>
      </c>
      <c r="V173" s="7" t="str">
        <f>IF($B173="",IF(COUNTA($C173:$G173,$I173:$K173,$S173)=0,"","⚠ no property — not counted"),IF(COUNTIF(Setup!$A$25:$A$36,$B173)=0,"⚠ property not in Setup",IF(AND($F173&lt;&gt;"",NOT(ISNUMBER($F173))),"⚠ check-in is not a real date",IF(AND($G173&lt;&gt;"",NOT(ISNUMBER($G173))),"⚠ check-out is not a real date",IF(AND($J173&lt;&gt;"",NOT(ISNUMBER($J173))),"⚠ booking value is not a number","OK")))))</f>
        <v/>
      </c>
      <c r="W173" s="21" t="str">
        <f t="shared" si="14"/>
        <v>—</v>
      </c>
    </row>
    <row r="174" spans="1:23" x14ac:dyDescent="0.2">
      <c r="A174" s="30">
        <v>170</v>
      </c>
      <c r="B174" s="8"/>
      <c r="C174" s="8"/>
      <c r="D174" s="8"/>
      <c r="E174" s="8"/>
      <c r="F174" s="34"/>
      <c r="G174" s="34"/>
      <c r="H174" s="19" t="str">
        <f t="shared" si="10"/>
        <v>—</v>
      </c>
      <c r="I174" s="35"/>
      <c r="J174" s="11"/>
      <c r="K174" s="36"/>
      <c r="L174" s="21" t="str">
        <f>IF(OR($B174="",NOT(ISNUMBER($J174)),$D174="Cancelled",$D174="Owner block"),"—",ROUND($J174*IF(ISNUMBER($K174),IF($K174&gt;1,$K174/100,$K174),IF(IFERROR(INDEX(Setup!$D$25:$D$36,MATCH($B174,Setup!$A$25:$A$36,0)),0)&gt;1,IFERROR(INDEX(Setup!$D$25:$D$36,MATCH($B174,Setup!$A$25:$A$36,0)),0)/100,IFERROR(INDEX(Setup!$D$25:$D$36,MATCH($B174,Setup!$A$25:$A$36,0)),0))),2))</f>
        <v>—</v>
      </c>
      <c r="M174" s="21" t="str">
        <f t="shared" si="11"/>
        <v>—</v>
      </c>
      <c r="N174" s="21" t="str">
        <f>IF(OR($B174="",$G174="",$D174="Cancelled"),"—",IFERROR(IF(INDEX(Setup!$E$25:$E$36,MATCH($B174,Setup!$A$25:$A$36,0))=0,"—",INDEX(Setup!$E$25:$E$36,MATCH($B174,Setup!$A$25:$A$36,0))),"—"))</f>
        <v>—</v>
      </c>
      <c r="O174" s="21" t="str">
        <f>IF(OR($B174="",$G174="",$D174="Cancelled"),"—",IFERROR(IF(INDEX(Setup!$F$25:$F$36,MATCH($B174,Setup!$A$25:$A$36,0))=0,"—",INDEX(Setup!$F$25:$F$36,MATCH($B174,Setup!$A$25:$A$36,0))),"—"))</f>
        <v>—</v>
      </c>
      <c r="P174" s="21" t="str">
        <f>IF(OR($B174="",$G174="",$D174="Cancelled",$D174="Owner block"),"—",IF(IFERROR(INDEX(Setup!$G$25:$G$36,MATCH($B174,Setup!$A$25:$A$36,0)),0)+IFERROR(INDEX(Setup!$H$25:$H$36,MATCH($B174,Setup!$A$25:$A$36,0)),0)*IF(ISNUMBER($H174),$H174,0)=0,"—",ROUND(IFERROR(INDEX(Setup!$G$25:$G$36,MATCH($B174,Setup!$A$25:$A$36,0)),0)+IFERROR(INDEX(Setup!$H$25:$H$36,MATCH($B174,Setup!$A$25:$A$36,0)),0)*IF(ISNUMBER($H174),$H174,0),2)))</f>
        <v>—</v>
      </c>
      <c r="Q174" s="21" t="str">
        <f t="shared" si="12"/>
        <v>—</v>
      </c>
      <c r="R174" s="21" t="str">
        <f t="shared" si="13"/>
        <v>—</v>
      </c>
      <c r="S174" s="8"/>
      <c r="T174" s="19" t="str">
        <f ca="1">IF(OR(NOT(ISNUMBER($F174)),NOT(ISNUMBER($G174)),NOT(ISNUMBER(Dashboard!$P$2)),NOT(ISNUMBER(Dashboard!$P$3)),$D174="Cancelled",$D174="Owner block"),"—",IF(MAX(0,MIN($G174,Dashboard!$P$3+1)-MAX($F174,Dashboard!$P$2))=0,"—",MAX(0,MIN($G174,Dashboard!$P$3+1)-MAX($F174,Dashboard!$P$2))))</f>
        <v>—</v>
      </c>
      <c r="U174" s="19" t="str">
        <f ca="1">IF(OR(NOT(ISNUMBER($F174)),NOT(ISNUMBER($G174)),NOT(ISNUMBER(Dashboard!$P$2)),NOT(ISNUMBER(Dashboard!$P$3)),$D174&lt;&gt;"Owner block"),"—",IF(MAX(0,MIN($G174,Dashboard!$P$3+1)-MAX($F174,Dashboard!$P$2))=0,"—",MAX(0,MIN($G174,Dashboard!$P$3+1)-MAX($F174,Dashboard!$P$2))))</f>
        <v>—</v>
      </c>
      <c r="V174" s="7" t="str">
        <f>IF($B174="",IF(COUNTA($C174:$G174,$I174:$K174,$S174)=0,"","⚠ no property — not counted"),IF(COUNTIF(Setup!$A$25:$A$36,$B174)=0,"⚠ property not in Setup",IF(AND($F174&lt;&gt;"",NOT(ISNUMBER($F174))),"⚠ check-in is not a real date",IF(AND($G174&lt;&gt;"",NOT(ISNUMBER($G174))),"⚠ check-out is not a real date",IF(AND($J174&lt;&gt;"",NOT(ISNUMBER($J174))),"⚠ booking value is not a number","OK")))))</f>
        <v/>
      </c>
      <c r="W174" s="21" t="str">
        <f t="shared" si="14"/>
        <v>—</v>
      </c>
    </row>
    <row r="175" spans="1:23" x14ac:dyDescent="0.2">
      <c r="A175" s="30">
        <v>171</v>
      </c>
      <c r="B175" s="3"/>
      <c r="C175" s="3"/>
      <c r="D175" s="3"/>
      <c r="E175" s="3"/>
      <c r="F175" s="31"/>
      <c r="G175" s="31"/>
      <c r="H175" s="19" t="str">
        <f t="shared" si="10"/>
        <v>—</v>
      </c>
      <c r="I175" s="32"/>
      <c r="J175" s="6"/>
      <c r="K175" s="33"/>
      <c r="L175" s="21" t="str">
        <f>IF(OR($B175="",NOT(ISNUMBER($J175)),$D175="Cancelled",$D175="Owner block"),"—",ROUND($J175*IF(ISNUMBER($K175),IF($K175&gt;1,$K175/100,$K175),IF(IFERROR(INDEX(Setup!$D$25:$D$36,MATCH($B175,Setup!$A$25:$A$36,0)),0)&gt;1,IFERROR(INDEX(Setup!$D$25:$D$36,MATCH($B175,Setup!$A$25:$A$36,0)),0)/100,IFERROR(INDEX(Setup!$D$25:$D$36,MATCH($B175,Setup!$A$25:$A$36,0)),0))),2))</f>
        <v>—</v>
      </c>
      <c r="M175" s="21" t="str">
        <f t="shared" si="11"/>
        <v>—</v>
      </c>
      <c r="N175" s="21" t="str">
        <f>IF(OR($B175="",$G175="",$D175="Cancelled"),"—",IFERROR(IF(INDEX(Setup!$E$25:$E$36,MATCH($B175,Setup!$A$25:$A$36,0))=0,"—",INDEX(Setup!$E$25:$E$36,MATCH($B175,Setup!$A$25:$A$36,0))),"—"))</f>
        <v>—</v>
      </c>
      <c r="O175" s="21" t="str">
        <f>IF(OR($B175="",$G175="",$D175="Cancelled"),"—",IFERROR(IF(INDEX(Setup!$F$25:$F$36,MATCH($B175,Setup!$A$25:$A$36,0))=0,"—",INDEX(Setup!$F$25:$F$36,MATCH($B175,Setup!$A$25:$A$36,0))),"—"))</f>
        <v>—</v>
      </c>
      <c r="P175" s="21" t="str">
        <f>IF(OR($B175="",$G175="",$D175="Cancelled",$D175="Owner block"),"—",IF(IFERROR(INDEX(Setup!$G$25:$G$36,MATCH($B175,Setup!$A$25:$A$36,0)),0)+IFERROR(INDEX(Setup!$H$25:$H$36,MATCH($B175,Setup!$A$25:$A$36,0)),0)*IF(ISNUMBER($H175),$H175,0)=0,"—",ROUND(IFERROR(INDEX(Setup!$G$25:$G$36,MATCH($B175,Setup!$A$25:$A$36,0)),0)+IFERROR(INDEX(Setup!$H$25:$H$36,MATCH($B175,Setup!$A$25:$A$36,0)),0)*IF(ISNUMBER($H175),$H175,0),2)))</f>
        <v>—</v>
      </c>
      <c r="Q175" s="21" t="str">
        <f t="shared" si="12"/>
        <v>—</v>
      </c>
      <c r="R175" s="21" t="str">
        <f t="shared" si="13"/>
        <v>—</v>
      </c>
      <c r="S175" s="3"/>
      <c r="T175" s="19" t="str">
        <f ca="1">IF(OR(NOT(ISNUMBER($F175)),NOT(ISNUMBER($G175)),NOT(ISNUMBER(Dashboard!$P$2)),NOT(ISNUMBER(Dashboard!$P$3)),$D175="Cancelled",$D175="Owner block"),"—",IF(MAX(0,MIN($G175,Dashboard!$P$3+1)-MAX($F175,Dashboard!$P$2))=0,"—",MAX(0,MIN($G175,Dashboard!$P$3+1)-MAX($F175,Dashboard!$P$2))))</f>
        <v>—</v>
      </c>
      <c r="U175" s="19" t="str">
        <f ca="1">IF(OR(NOT(ISNUMBER($F175)),NOT(ISNUMBER($G175)),NOT(ISNUMBER(Dashboard!$P$2)),NOT(ISNUMBER(Dashboard!$P$3)),$D175&lt;&gt;"Owner block"),"—",IF(MAX(0,MIN($G175,Dashboard!$P$3+1)-MAX($F175,Dashboard!$P$2))=0,"—",MAX(0,MIN($G175,Dashboard!$P$3+1)-MAX($F175,Dashboard!$P$2))))</f>
        <v>—</v>
      </c>
      <c r="V175" s="7" t="str">
        <f>IF($B175="",IF(COUNTA($C175:$G175,$I175:$K175,$S175)=0,"","⚠ no property — not counted"),IF(COUNTIF(Setup!$A$25:$A$36,$B175)=0,"⚠ property not in Setup",IF(AND($F175&lt;&gt;"",NOT(ISNUMBER($F175))),"⚠ check-in is not a real date",IF(AND($G175&lt;&gt;"",NOT(ISNUMBER($G175))),"⚠ check-out is not a real date",IF(AND($J175&lt;&gt;"",NOT(ISNUMBER($J175))),"⚠ booking value is not a number","OK")))))</f>
        <v/>
      </c>
      <c r="W175" s="21" t="str">
        <f t="shared" si="14"/>
        <v>—</v>
      </c>
    </row>
    <row r="176" spans="1:23" x14ac:dyDescent="0.2">
      <c r="A176" s="30">
        <v>172</v>
      </c>
      <c r="B176" s="8"/>
      <c r="C176" s="8"/>
      <c r="D176" s="8"/>
      <c r="E176" s="8"/>
      <c r="F176" s="34"/>
      <c r="G176" s="34"/>
      <c r="H176" s="19" t="str">
        <f t="shared" si="10"/>
        <v>—</v>
      </c>
      <c r="I176" s="35"/>
      <c r="J176" s="11"/>
      <c r="K176" s="36"/>
      <c r="L176" s="21" t="str">
        <f>IF(OR($B176="",NOT(ISNUMBER($J176)),$D176="Cancelled",$D176="Owner block"),"—",ROUND($J176*IF(ISNUMBER($K176),IF($K176&gt;1,$K176/100,$K176),IF(IFERROR(INDEX(Setup!$D$25:$D$36,MATCH($B176,Setup!$A$25:$A$36,0)),0)&gt;1,IFERROR(INDEX(Setup!$D$25:$D$36,MATCH($B176,Setup!$A$25:$A$36,0)),0)/100,IFERROR(INDEX(Setup!$D$25:$D$36,MATCH($B176,Setup!$A$25:$A$36,0)),0))),2))</f>
        <v>—</v>
      </c>
      <c r="M176" s="21" t="str">
        <f t="shared" si="11"/>
        <v>—</v>
      </c>
      <c r="N176" s="21" t="str">
        <f>IF(OR($B176="",$G176="",$D176="Cancelled"),"—",IFERROR(IF(INDEX(Setup!$E$25:$E$36,MATCH($B176,Setup!$A$25:$A$36,0))=0,"—",INDEX(Setup!$E$25:$E$36,MATCH($B176,Setup!$A$25:$A$36,0))),"—"))</f>
        <v>—</v>
      </c>
      <c r="O176" s="21" t="str">
        <f>IF(OR($B176="",$G176="",$D176="Cancelled"),"—",IFERROR(IF(INDEX(Setup!$F$25:$F$36,MATCH($B176,Setup!$A$25:$A$36,0))=0,"—",INDEX(Setup!$F$25:$F$36,MATCH($B176,Setup!$A$25:$A$36,0))),"—"))</f>
        <v>—</v>
      </c>
      <c r="P176" s="21" t="str">
        <f>IF(OR($B176="",$G176="",$D176="Cancelled",$D176="Owner block"),"—",IF(IFERROR(INDEX(Setup!$G$25:$G$36,MATCH($B176,Setup!$A$25:$A$36,0)),0)+IFERROR(INDEX(Setup!$H$25:$H$36,MATCH($B176,Setup!$A$25:$A$36,0)),0)*IF(ISNUMBER($H176),$H176,0)=0,"—",ROUND(IFERROR(INDEX(Setup!$G$25:$G$36,MATCH($B176,Setup!$A$25:$A$36,0)),0)+IFERROR(INDEX(Setup!$H$25:$H$36,MATCH($B176,Setup!$A$25:$A$36,0)),0)*IF(ISNUMBER($H176),$H176,0),2)))</f>
        <v>—</v>
      </c>
      <c r="Q176" s="21" t="str">
        <f t="shared" si="12"/>
        <v>—</v>
      </c>
      <c r="R176" s="21" t="str">
        <f t="shared" si="13"/>
        <v>—</v>
      </c>
      <c r="S176" s="8"/>
      <c r="T176" s="19" t="str">
        <f ca="1">IF(OR(NOT(ISNUMBER($F176)),NOT(ISNUMBER($G176)),NOT(ISNUMBER(Dashboard!$P$2)),NOT(ISNUMBER(Dashboard!$P$3)),$D176="Cancelled",$D176="Owner block"),"—",IF(MAX(0,MIN($G176,Dashboard!$P$3+1)-MAX($F176,Dashboard!$P$2))=0,"—",MAX(0,MIN($G176,Dashboard!$P$3+1)-MAX($F176,Dashboard!$P$2))))</f>
        <v>—</v>
      </c>
      <c r="U176" s="19" t="str">
        <f ca="1">IF(OR(NOT(ISNUMBER($F176)),NOT(ISNUMBER($G176)),NOT(ISNUMBER(Dashboard!$P$2)),NOT(ISNUMBER(Dashboard!$P$3)),$D176&lt;&gt;"Owner block"),"—",IF(MAX(0,MIN($G176,Dashboard!$P$3+1)-MAX($F176,Dashboard!$P$2))=0,"—",MAX(0,MIN($G176,Dashboard!$P$3+1)-MAX($F176,Dashboard!$P$2))))</f>
        <v>—</v>
      </c>
      <c r="V176" s="7" t="str">
        <f>IF($B176="",IF(COUNTA($C176:$G176,$I176:$K176,$S176)=0,"","⚠ no property — not counted"),IF(COUNTIF(Setup!$A$25:$A$36,$B176)=0,"⚠ property not in Setup",IF(AND($F176&lt;&gt;"",NOT(ISNUMBER($F176))),"⚠ check-in is not a real date",IF(AND($G176&lt;&gt;"",NOT(ISNUMBER($G176))),"⚠ check-out is not a real date",IF(AND($J176&lt;&gt;"",NOT(ISNUMBER($J176))),"⚠ booking value is not a number","OK")))))</f>
        <v/>
      </c>
      <c r="W176" s="21" t="str">
        <f t="shared" si="14"/>
        <v>—</v>
      </c>
    </row>
    <row r="177" spans="1:23" x14ac:dyDescent="0.2">
      <c r="A177" s="30">
        <v>173</v>
      </c>
      <c r="B177" s="3"/>
      <c r="C177" s="3"/>
      <c r="D177" s="3"/>
      <c r="E177" s="3"/>
      <c r="F177" s="31"/>
      <c r="G177" s="31"/>
      <c r="H177" s="19" t="str">
        <f t="shared" si="10"/>
        <v>—</v>
      </c>
      <c r="I177" s="32"/>
      <c r="J177" s="6"/>
      <c r="K177" s="33"/>
      <c r="L177" s="21" t="str">
        <f>IF(OR($B177="",NOT(ISNUMBER($J177)),$D177="Cancelled",$D177="Owner block"),"—",ROUND($J177*IF(ISNUMBER($K177),IF($K177&gt;1,$K177/100,$K177),IF(IFERROR(INDEX(Setup!$D$25:$D$36,MATCH($B177,Setup!$A$25:$A$36,0)),0)&gt;1,IFERROR(INDEX(Setup!$D$25:$D$36,MATCH($B177,Setup!$A$25:$A$36,0)),0)/100,IFERROR(INDEX(Setup!$D$25:$D$36,MATCH($B177,Setup!$A$25:$A$36,0)),0))),2))</f>
        <v>—</v>
      </c>
      <c r="M177" s="21" t="str">
        <f t="shared" si="11"/>
        <v>—</v>
      </c>
      <c r="N177" s="21" t="str">
        <f>IF(OR($B177="",$G177="",$D177="Cancelled"),"—",IFERROR(IF(INDEX(Setup!$E$25:$E$36,MATCH($B177,Setup!$A$25:$A$36,0))=0,"—",INDEX(Setup!$E$25:$E$36,MATCH($B177,Setup!$A$25:$A$36,0))),"—"))</f>
        <v>—</v>
      </c>
      <c r="O177" s="21" t="str">
        <f>IF(OR($B177="",$G177="",$D177="Cancelled"),"—",IFERROR(IF(INDEX(Setup!$F$25:$F$36,MATCH($B177,Setup!$A$25:$A$36,0))=0,"—",INDEX(Setup!$F$25:$F$36,MATCH($B177,Setup!$A$25:$A$36,0))),"—"))</f>
        <v>—</v>
      </c>
      <c r="P177" s="21" t="str">
        <f>IF(OR($B177="",$G177="",$D177="Cancelled",$D177="Owner block"),"—",IF(IFERROR(INDEX(Setup!$G$25:$G$36,MATCH($B177,Setup!$A$25:$A$36,0)),0)+IFERROR(INDEX(Setup!$H$25:$H$36,MATCH($B177,Setup!$A$25:$A$36,0)),0)*IF(ISNUMBER($H177),$H177,0)=0,"—",ROUND(IFERROR(INDEX(Setup!$G$25:$G$36,MATCH($B177,Setup!$A$25:$A$36,0)),0)+IFERROR(INDEX(Setup!$H$25:$H$36,MATCH($B177,Setup!$A$25:$A$36,0)),0)*IF(ISNUMBER($H177),$H177,0),2)))</f>
        <v>—</v>
      </c>
      <c r="Q177" s="21" t="str">
        <f t="shared" si="12"/>
        <v>—</v>
      </c>
      <c r="R177" s="21" t="str">
        <f t="shared" si="13"/>
        <v>—</v>
      </c>
      <c r="S177" s="3"/>
      <c r="T177" s="19" t="str">
        <f ca="1">IF(OR(NOT(ISNUMBER($F177)),NOT(ISNUMBER($G177)),NOT(ISNUMBER(Dashboard!$P$2)),NOT(ISNUMBER(Dashboard!$P$3)),$D177="Cancelled",$D177="Owner block"),"—",IF(MAX(0,MIN($G177,Dashboard!$P$3+1)-MAX($F177,Dashboard!$P$2))=0,"—",MAX(0,MIN($G177,Dashboard!$P$3+1)-MAX($F177,Dashboard!$P$2))))</f>
        <v>—</v>
      </c>
      <c r="U177" s="19" t="str">
        <f ca="1">IF(OR(NOT(ISNUMBER($F177)),NOT(ISNUMBER($G177)),NOT(ISNUMBER(Dashboard!$P$2)),NOT(ISNUMBER(Dashboard!$P$3)),$D177&lt;&gt;"Owner block"),"—",IF(MAX(0,MIN($G177,Dashboard!$P$3+1)-MAX($F177,Dashboard!$P$2))=0,"—",MAX(0,MIN($G177,Dashboard!$P$3+1)-MAX($F177,Dashboard!$P$2))))</f>
        <v>—</v>
      </c>
      <c r="V177" s="7" t="str">
        <f>IF($B177="",IF(COUNTA($C177:$G177,$I177:$K177,$S177)=0,"","⚠ no property — not counted"),IF(COUNTIF(Setup!$A$25:$A$36,$B177)=0,"⚠ property not in Setup",IF(AND($F177&lt;&gt;"",NOT(ISNUMBER($F177))),"⚠ check-in is not a real date",IF(AND($G177&lt;&gt;"",NOT(ISNUMBER($G177))),"⚠ check-out is not a real date",IF(AND($J177&lt;&gt;"",NOT(ISNUMBER($J177))),"⚠ booking value is not a number","OK")))))</f>
        <v/>
      </c>
      <c r="W177" s="21" t="str">
        <f t="shared" si="14"/>
        <v>—</v>
      </c>
    </row>
    <row r="178" spans="1:23" x14ac:dyDescent="0.2">
      <c r="A178" s="30">
        <v>174</v>
      </c>
      <c r="B178" s="8"/>
      <c r="C178" s="8"/>
      <c r="D178" s="8"/>
      <c r="E178" s="8"/>
      <c r="F178" s="34"/>
      <c r="G178" s="34"/>
      <c r="H178" s="19" t="str">
        <f t="shared" si="10"/>
        <v>—</v>
      </c>
      <c r="I178" s="35"/>
      <c r="J178" s="11"/>
      <c r="K178" s="36"/>
      <c r="L178" s="21" t="str">
        <f>IF(OR($B178="",NOT(ISNUMBER($J178)),$D178="Cancelled",$D178="Owner block"),"—",ROUND($J178*IF(ISNUMBER($K178),IF($K178&gt;1,$K178/100,$K178),IF(IFERROR(INDEX(Setup!$D$25:$D$36,MATCH($B178,Setup!$A$25:$A$36,0)),0)&gt;1,IFERROR(INDEX(Setup!$D$25:$D$36,MATCH($B178,Setup!$A$25:$A$36,0)),0)/100,IFERROR(INDEX(Setup!$D$25:$D$36,MATCH($B178,Setup!$A$25:$A$36,0)),0))),2))</f>
        <v>—</v>
      </c>
      <c r="M178" s="21" t="str">
        <f t="shared" si="11"/>
        <v>—</v>
      </c>
      <c r="N178" s="21" t="str">
        <f>IF(OR($B178="",$G178="",$D178="Cancelled"),"—",IFERROR(IF(INDEX(Setup!$E$25:$E$36,MATCH($B178,Setup!$A$25:$A$36,0))=0,"—",INDEX(Setup!$E$25:$E$36,MATCH($B178,Setup!$A$25:$A$36,0))),"—"))</f>
        <v>—</v>
      </c>
      <c r="O178" s="21" t="str">
        <f>IF(OR($B178="",$G178="",$D178="Cancelled"),"—",IFERROR(IF(INDEX(Setup!$F$25:$F$36,MATCH($B178,Setup!$A$25:$A$36,0))=0,"—",INDEX(Setup!$F$25:$F$36,MATCH($B178,Setup!$A$25:$A$36,0))),"—"))</f>
        <v>—</v>
      </c>
      <c r="P178" s="21" t="str">
        <f>IF(OR($B178="",$G178="",$D178="Cancelled",$D178="Owner block"),"—",IF(IFERROR(INDEX(Setup!$G$25:$G$36,MATCH($B178,Setup!$A$25:$A$36,0)),0)+IFERROR(INDEX(Setup!$H$25:$H$36,MATCH($B178,Setup!$A$25:$A$36,0)),0)*IF(ISNUMBER($H178),$H178,0)=0,"—",ROUND(IFERROR(INDEX(Setup!$G$25:$G$36,MATCH($B178,Setup!$A$25:$A$36,0)),0)+IFERROR(INDEX(Setup!$H$25:$H$36,MATCH($B178,Setup!$A$25:$A$36,0)),0)*IF(ISNUMBER($H178),$H178,0),2)))</f>
        <v>—</v>
      </c>
      <c r="Q178" s="21" t="str">
        <f t="shared" si="12"/>
        <v>—</v>
      </c>
      <c r="R178" s="21" t="str">
        <f t="shared" si="13"/>
        <v>—</v>
      </c>
      <c r="S178" s="8"/>
      <c r="T178" s="19" t="str">
        <f ca="1">IF(OR(NOT(ISNUMBER($F178)),NOT(ISNUMBER($G178)),NOT(ISNUMBER(Dashboard!$P$2)),NOT(ISNUMBER(Dashboard!$P$3)),$D178="Cancelled",$D178="Owner block"),"—",IF(MAX(0,MIN($G178,Dashboard!$P$3+1)-MAX($F178,Dashboard!$P$2))=0,"—",MAX(0,MIN($G178,Dashboard!$P$3+1)-MAX($F178,Dashboard!$P$2))))</f>
        <v>—</v>
      </c>
      <c r="U178" s="19" t="str">
        <f ca="1">IF(OR(NOT(ISNUMBER($F178)),NOT(ISNUMBER($G178)),NOT(ISNUMBER(Dashboard!$P$2)),NOT(ISNUMBER(Dashboard!$P$3)),$D178&lt;&gt;"Owner block"),"—",IF(MAX(0,MIN($G178,Dashboard!$P$3+1)-MAX($F178,Dashboard!$P$2))=0,"—",MAX(0,MIN($G178,Dashboard!$P$3+1)-MAX($F178,Dashboard!$P$2))))</f>
        <v>—</v>
      </c>
      <c r="V178" s="7" t="str">
        <f>IF($B178="",IF(COUNTA($C178:$G178,$I178:$K178,$S178)=0,"","⚠ no property — not counted"),IF(COUNTIF(Setup!$A$25:$A$36,$B178)=0,"⚠ property not in Setup",IF(AND($F178&lt;&gt;"",NOT(ISNUMBER($F178))),"⚠ check-in is not a real date",IF(AND($G178&lt;&gt;"",NOT(ISNUMBER($G178))),"⚠ check-out is not a real date",IF(AND($J178&lt;&gt;"",NOT(ISNUMBER($J178))),"⚠ booking value is not a number","OK")))))</f>
        <v/>
      </c>
      <c r="W178" s="21" t="str">
        <f t="shared" si="14"/>
        <v>—</v>
      </c>
    </row>
    <row r="179" spans="1:23" x14ac:dyDescent="0.2">
      <c r="A179" s="30">
        <v>175</v>
      </c>
      <c r="B179" s="3"/>
      <c r="C179" s="3"/>
      <c r="D179" s="3"/>
      <c r="E179" s="3"/>
      <c r="F179" s="31"/>
      <c r="G179" s="31"/>
      <c r="H179" s="19" t="str">
        <f t="shared" si="10"/>
        <v>—</v>
      </c>
      <c r="I179" s="32"/>
      <c r="J179" s="6"/>
      <c r="K179" s="33"/>
      <c r="L179" s="21" t="str">
        <f>IF(OR($B179="",NOT(ISNUMBER($J179)),$D179="Cancelled",$D179="Owner block"),"—",ROUND($J179*IF(ISNUMBER($K179),IF($K179&gt;1,$K179/100,$K179),IF(IFERROR(INDEX(Setup!$D$25:$D$36,MATCH($B179,Setup!$A$25:$A$36,0)),0)&gt;1,IFERROR(INDEX(Setup!$D$25:$D$36,MATCH($B179,Setup!$A$25:$A$36,0)),0)/100,IFERROR(INDEX(Setup!$D$25:$D$36,MATCH($B179,Setup!$A$25:$A$36,0)),0))),2))</f>
        <v>—</v>
      </c>
      <c r="M179" s="21" t="str">
        <f t="shared" si="11"/>
        <v>—</v>
      </c>
      <c r="N179" s="21" t="str">
        <f>IF(OR($B179="",$G179="",$D179="Cancelled"),"—",IFERROR(IF(INDEX(Setup!$E$25:$E$36,MATCH($B179,Setup!$A$25:$A$36,0))=0,"—",INDEX(Setup!$E$25:$E$36,MATCH($B179,Setup!$A$25:$A$36,0))),"—"))</f>
        <v>—</v>
      </c>
      <c r="O179" s="21" t="str">
        <f>IF(OR($B179="",$G179="",$D179="Cancelled"),"—",IFERROR(IF(INDEX(Setup!$F$25:$F$36,MATCH($B179,Setup!$A$25:$A$36,0))=0,"—",INDEX(Setup!$F$25:$F$36,MATCH($B179,Setup!$A$25:$A$36,0))),"—"))</f>
        <v>—</v>
      </c>
      <c r="P179" s="21" t="str">
        <f>IF(OR($B179="",$G179="",$D179="Cancelled",$D179="Owner block"),"—",IF(IFERROR(INDEX(Setup!$G$25:$G$36,MATCH($B179,Setup!$A$25:$A$36,0)),0)+IFERROR(INDEX(Setup!$H$25:$H$36,MATCH($B179,Setup!$A$25:$A$36,0)),0)*IF(ISNUMBER($H179),$H179,0)=0,"—",ROUND(IFERROR(INDEX(Setup!$G$25:$G$36,MATCH($B179,Setup!$A$25:$A$36,0)),0)+IFERROR(INDEX(Setup!$H$25:$H$36,MATCH($B179,Setup!$A$25:$A$36,0)),0)*IF(ISNUMBER($H179),$H179,0),2)))</f>
        <v>—</v>
      </c>
      <c r="Q179" s="21" t="str">
        <f t="shared" si="12"/>
        <v>—</v>
      </c>
      <c r="R179" s="21" t="str">
        <f t="shared" si="13"/>
        <v>—</v>
      </c>
      <c r="S179" s="3"/>
      <c r="T179" s="19" t="str">
        <f ca="1">IF(OR(NOT(ISNUMBER($F179)),NOT(ISNUMBER($G179)),NOT(ISNUMBER(Dashboard!$P$2)),NOT(ISNUMBER(Dashboard!$P$3)),$D179="Cancelled",$D179="Owner block"),"—",IF(MAX(0,MIN($G179,Dashboard!$P$3+1)-MAX($F179,Dashboard!$P$2))=0,"—",MAX(0,MIN($G179,Dashboard!$P$3+1)-MAX($F179,Dashboard!$P$2))))</f>
        <v>—</v>
      </c>
      <c r="U179" s="19" t="str">
        <f ca="1">IF(OR(NOT(ISNUMBER($F179)),NOT(ISNUMBER($G179)),NOT(ISNUMBER(Dashboard!$P$2)),NOT(ISNUMBER(Dashboard!$P$3)),$D179&lt;&gt;"Owner block"),"—",IF(MAX(0,MIN($G179,Dashboard!$P$3+1)-MAX($F179,Dashboard!$P$2))=0,"—",MAX(0,MIN($G179,Dashboard!$P$3+1)-MAX($F179,Dashboard!$P$2))))</f>
        <v>—</v>
      </c>
      <c r="V179" s="7" t="str">
        <f>IF($B179="",IF(COUNTA($C179:$G179,$I179:$K179,$S179)=0,"","⚠ no property — not counted"),IF(COUNTIF(Setup!$A$25:$A$36,$B179)=0,"⚠ property not in Setup",IF(AND($F179&lt;&gt;"",NOT(ISNUMBER($F179))),"⚠ check-in is not a real date",IF(AND($G179&lt;&gt;"",NOT(ISNUMBER($G179))),"⚠ check-out is not a real date",IF(AND($J179&lt;&gt;"",NOT(ISNUMBER($J179))),"⚠ booking value is not a number","OK")))))</f>
        <v/>
      </c>
      <c r="W179" s="21" t="str">
        <f t="shared" si="14"/>
        <v>—</v>
      </c>
    </row>
    <row r="180" spans="1:23" x14ac:dyDescent="0.2">
      <c r="A180" s="30">
        <v>176</v>
      </c>
      <c r="B180" s="8"/>
      <c r="C180" s="8"/>
      <c r="D180" s="8"/>
      <c r="E180" s="8"/>
      <c r="F180" s="34"/>
      <c r="G180" s="34"/>
      <c r="H180" s="19" t="str">
        <f t="shared" si="10"/>
        <v>—</v>
      </c>
      <c r="I180" s="35"/>
      <c r="J180" s="11"/>
      <c r="K180" s="36"/>
      <c r="L180" s="21" t="str">
        <f>IF(OR($B180="",NOT(ISNUMBER($J180)),$D180="Cancelled",$D180="Owner block"),"—",ROUND($J180*IF(ISNUMBER($K180),IF($K180&gt;1,$K180/100,$K180),IF(IFERROR(INDEX(Setup!$D$25:$D$36,MATCH($B180,Setup!$A$25:$A$36,0)),0)&gt;1,IFERROR(INDEX(Setup!$D$25:$D$36,MATCH($B180,Setup!$A$25:$A$36,0)),0)/100,IFERROR(INDEX(Setup!$D$25:$D$36,MATCH($B180,Setup!$A$25:$A$36,0)),0))),2))</f>
        <v>—</v>
      </c>
      <c r="M180" s="21" t="str">
        <f t="shared" si="11"/>
        <v>—</v>
      </c>
      <c r="N180" s="21" t="str">
        <f>IF(OR($B180="",$G180="",$D180="Cancelled"),"—",IFERROR(IF(INDEX(Setup!$E$25:$E$36,MATCH($B180,Setup!$A$25:$A$36,0))=0,"—",INDEX(Setup!$E$25:$E$36,MATCH($B180,Setup!$A$25:$A$36,0))),"—"))</f>
        <v>—</v>
      </c>
      <c r="O180" s="21" t="str">
        <f>IF(OR($B180="",$G180="",$D180="Cancelled"),"—",IFERROR(IF(INDEX(Setup!$F$25:$F$36,MATCH($B180,Setup!$A$25:$A$36,0))=0,"—",INDEX(Setup!$F$25:$F$36,MATCH($B180,Setup!$A$25:$A$36,0))),"—"))</f>
        <v>—</v>
      </c>
      <c r="P180" s="21" t="str">
        <f>IF(OR($B180="",$G180="",$D180="Cancelled",$D180="Owner block"),"—",IF(IFERROR(INDEX(Setup!$G$25:$G$36,MATCH($B180,Setup!$A$25:$A$36,0)),0)+IFERROR(INDEX(Setup!$H$25:$H$36,MATCH($B180,Setup!$A$25:$A$36,0)),0)*IF(ISNUMBER($H180),$H180,0)=0,"—",ROUND(IFERROR(INDEX(Setup!$G$25:$G$36,MATCH($B180,Setup!$A$25:$A$36,0)),0)+IFERROR(INDEX(Setup!$H$25:$H$36,MATCH($B180,Setup!$A$25:$A$36,0)),0)*IF(ISNUMBER($H180),$H180,0),2)))</f>
        <v>—</v>
      </c>
      <c r="Q180" s="21" t="str">
        <f t="shared" si="12"/>
        <v>—</v>
      </c>
      <c r="R180" s="21" t="str">
        <f t="shared" si="13"/>
        <v>—</v>
      </c>
      <c r="S180" s="8"/>
      <c r="T180" s="19" t="str">
        <f ca="1">IF(OR(NOT(ISNUMBER($F180)),NOT(ISNUMBER($G180)),NOT(ISNUMBER(Dashboard!$P$2)),NOT(ISNUMBER(Dashboard!$P$3)),$D180="Cancelled",$D180="Owner block"),"—",IF(MAX(0,MIN($G180,Dashboard!$P$3+1)-MAX($F180,Dashboard!$P$2))=0,"—",MAX(0,MIN($G180,Dashboard!$P$3+1)-MAX($F180,Dashboard!$P$2))))</f>
        <v>—</v>
      </c>
      <c r="U180" s="19" t="str">
        <f ca="1">IF(OR(NOT(ISNUMBER($F180)),NOT(ISNUMBER($G180)),NOT(ISNUMBER(Dashboard!$P$2)),NOT(ISNUMBER(Dashboard!$P$3)),$D180&lt;&gt;"Owner block"),"—",IF(MAX(0,MIN($G180,Dashboard!$P$3+1)-MAX($F180,Dashboard!$P$2))=0,"—",MAX(0,MIN($G180,Dashboard!$P$3+1)-MAX($F180,Dashboard!$P$2))))</f>
        <v>—</v>
      </c>
      <c r="V180" s="7" t="str">
        <f>IF($B180="",IF(COUNTA($C180:$G180,$I180:$K180,$S180)=0,"","⚠ no property — not counted"),IF(COUNTIF(Setup!$A$25:$A$36,$B180)=0,"⚠ property not in Setup",IF(AND($F180&lt;&gt;"",NOT(ISNUMBER($F180))),"⚠ check-in is not a real date",IF(AND($G180&lt;&gt;"",NOT(ISNUMBER($G180))),"⚠ check-out is not a real date",IF(AND($J180&lt;&gt;"",NOT(ISNUMBER($J180))),"⚠ booking value is not a number","OK")))))</f>
        <v/>
      </c>
      <c r="W180" s="21" t="str">
        <f t="shared" si="14"/>
        <v>—</v>
      </c>
    </row>
    <row r="181" spans="1:23" x14ac:dyDescent="0.2">
      <c r="A181" s="30">
        <v>177</v>
      </c>
      <c r="B181" s="3"/>
      <c r="C181" s="3"/>
      <c r="D181" s="3"/>
      <c r="E181" s="3"/>
      <c r="F181" s="31"/>
      <c r="G181" s="31"/>
      <c r="H181" s="19" t="str">
        <f t="shared" si="10"/>
        <v>—</v>
      </c>
      <c r="I181" s="32"/>
      <c r="J181" s="6"/>
      <c r="K181" s="33"/>
      <c r="L181" s="21" t="str">
        <f>IF(OR($B181="",NOT(ISNUMBER($J181)),$D181="Cancelled",$D181="Owner block"),"—",ROUND($J181*IF(ISNUMBER($K181),IF($K181&gt;1,$K181/100,$K181),IF(IFERROR(INDEX(Setup!$D$25:$D$36,MATCH($B181,Setup!$A$25:$A$36,0)),0)&gt;1,IFERROR(INDEX(Setup!$D$25:$D$36,MATCH($B181,Setup!$A$25:$A$36,0)),0)/100,IFERROR(INDEX(Setup!$D$25:$D$36,MATCH($B181,Setup!$A$25:$A$36,0)),0))),2))</f>
        <v>—</v>
      </c>
      <c r="M181" s="21" t="str">
        <f t="shared" si="11"/>
        <v>—</v>
      </c>
      <c r="N181" s="21" t="str">
        <f>IF(OR($B181="",$G181="",$D181="Cancelled"),"—",IFERROR(IF(INDEX(Setup!$E$25:$E$36,MATCH($B181,Setup!$A$25:$A$36,0))=0,"—",INDEX(Setup!$E$25:$E$36,MATCH($B181,Setup!$A$25:$A$36,0))),"—"))</f>
        <v>—</v>
      </c>
      <c r="O181" s="21" t="str">
        <f>IF(OR($B181="",$G181="",$D181="Cancelled"),"—",IFERROR(IF(INDEX(Setup!$F$25:$F$36,MATCH($B181,Setup!$A$25:$A$36,0))=0,"—",INDEX(Setup!$F$25:$F$36,MATCH($B181,Setup!$A$25:$A$36,0))),"—"))</f>
        <v>—</v>
      </c>
      <c r="P181" s="21" t="str">
        <f>IF(OR($B181="",$G181="",$D181="Cancelled",$D181="Owner block"),"—",IF(IFERROR(INDEX(Setup!$G$25:$G$36,MATCH($B181,Setup!$A$25:$A$36,0)),0)+IFERROR(INDEX(Setup!$H$25:$H$36,MATCH($B181,Setup!$A$25:$A$36,0)),0)*IF(ISNUMBER($H181),$H181,0)=0,"—",ROUND(IFERROR(INDEX(Setup!$G$25:$G$36,MATCH($B181,Setup!$A$25:$A$36,0)),0)+IFERROR(INDEX(Setup!$H$25:$H$36,MATCH($B181,Setup!$A$25:$A$36,0)),0)*IF(ISNUMBER($H181),$H181,0),2)))</f>
        <v>—</v>
      </c>
      <c r="Q181" s="21" t="str">
        <f t="shared" si="12"/>
        <v>—</v>
      </c>
      <c r="R181" s="21" t="str">
        <f t="shared" si="13"/>
        <v>—</v>
      </c>
      <c r="S181" s="3"/>
      <c r="T181" s="19" t="str">
        <f ca="1">IF(OR(NOT(ISNUMBER($F181)),NOT(ISNUMBER($G181)),NOT(ISNUMBER(Dashboard!$P$2)),NOT(ISNUMBER(Dashboard!$P$3)),$D181="Cancelled",$D181="Owner block"),"—",IF(MAX(0,MIN($G181,Dashboard!$P$3+1)-MAX($F181,Dashboard!$P$2))=0,"—",MAX(0,MIN($G181,Dashboard!$P$3+1)-MAX($F181,Dashboard!$P$2))))</f>
        <v>—</v>
      </c>
      <c r="U181" s="19" t="str">
        <f ca="1">IF(OR(NOT(ISNUMBER($F181)),NOT(ISNUMBER($G181)),NOT(ISNUMBER(Dashboard!$P$2)),NOT(ISNUMBER(Dashboard!$P$3)),$D181&lt;&gt;"Owner block"),"—",IF(MAX(0,MIN($G181,Dashboard!$P$3+1)-MAX($F181,Dashboard!$P$2))=0,"—",MAX(0,MIN($G181,Dashboard!$P$3+1)-MAX($F181,Dashboard!$P$2))))</f>
        <v>—</v>
      </c>
      <c r="V181" s="7" t="str">
        <f>IF($B181="",IF(COUNTA($C181:$G181,$I181:$K181,$S181)=0,"","⚠ no property — not counted"),IF(COUNTIF(Setup!$A$25:$A$36,$B181)=0,"⚠ property not in Setup",IF(AND($F181&lt;&gt;"",NOT(ISNUMBER($F181))),"⚠ check-in is not a real date",IF(AND($G181&lt;&gt;"",NOT(ISNUMBER($G181))),"⚠ check-out is not a real date",IF(AND($J181&lt;&gt;"",NOT(ISNUMBER($J181))),"⚠ booking value is not a number","OK")))))</f>
        <v/>
      </c>
      <c r="W181" s="21" t="str">
        <f t="shared" si="14"/>
        <v>—</v>
      </c>
    </row>
    <row r="182" spans="1:23" x14ac:dyDescent="0.2">
      <c r="A182" s="30">
        <v>178</v>
      </c>
      <c r="B182" s="8"/>
      <c r="C182" s="8"/>
      <c r="D182" s="8"/>
      <c r="E182" s="8"/>
      <c r="F182" s="34"/>
      <c r="G182" s="34"/>
      <c r="H182" s="19" t="str">
        <f t="shared" si="10"/>
        <v>—</v>
      </c>
      <c r="I182" s="35"/>
      <c r="J182" s="11"/>
      <c r="K182" s="36"/>
      <c r="L182" s="21" t="str">
        <f>IF(OR($B182="",NOT(ISNUMBER($J182)),$D182="Cancelled",$D182="Owner block"),"—",ROUND($J182*IF(ISNUMBER($K182),IF($K182&gt;1,$K182/100,$K182),IF(IFERROR(INDEX(Setup!$D$25:$D$36,MATCH($B182,Setup!$A$25:$A$36,0)),0)&gt;1,IFERROR(INDEX(Setup!$D$25:$D$36,MATCH($B182,Setup!$A$25:$A$36,0)),0)/100,IFERROR(INDEX(Setup!$D$25:$D$36,MATCH($B182,Setup!$A$25:$A$36,0)),0))),2))</f>
        <v>—</v>
      </c>
      <c r="M182" s="21" t="str">
        <f t="shared" si="11"/>
        <v>—</v>
      </c>
      <c r="N182" s="21" t="str">
        <f>IF(OR($B182="",$G182="",$D182="Cancelled"),"—",IFERROR(IF(INDEX(Setup!$E$25:$E$36,MATCH($B182,Setup!$A$25:$A$36,0))=0,"—",INDEX(Setup!$E$25:$E$36,MATCH($B182,Setup!$A$25:$A$36,0))),"—"))</f>
        <v>—</v>
      </c>
      <c r="O182" s="21" t="str">
        <f>IF(OR($B182="",$G182="",$D182="Cancelled"),"—",IFERROR(IF(INDEX(Setup!$F$25:$F$36,MATCH($B182,Setup!$A$25:$A$36,0))=0,"—",INDEX(Setup!$F$25:$F$36,MATCH($B182,Setup!$A$25:$A$36,0))),"—"))</f>
        <v>—</v>
      </c>
      <c r="P182" s="21" t="str">
        <f>IF(OR($B182="",$G182="",$D182="Cancelled",$D182="Owner block"),"—",IF(IFERROR(INDEX(Setup!$G$25:$G$36,MATCH($B182,Setup!$A$25:$A$36,0)),0)+IFERROR(INDEX(Setup!$H$25:$H$36,MATCH($B182,Setup!$A$25:$A$36,0)),0)*IF(ISNUMBER($H182),$H182,0)=0,"—",ROUND(IFERROR(INDEX(Setup!$G$25:$G$36,MATCH($B182,Setup!$A$25:$A$36,0)),0)+IFERROR(INDEX(Setup!$H$25:$H$36,MATCH($B182,Setup!$A$25:$A$36,0)),0)*IF(ISNUMBER($H182),$H182,0),2)))</f>
        <v>—</v>
      </c>
      <c r="Q182" s="21" t="str">
        <f t="shared" si="12"/>
        <v>—</v>
      </c>
      <c r="R182" s="21" t="str">
        <f t="shared" si="13"/>
        <v>—</v>
      </c>
      <c r="S182" s="8"/>
      <c r="T182" s="19" t="str">
        <f ca="1">IF(OR(NOT(ISNUMBER($F182)),NOT(ISNUMBER($G182)),NOT(ISNUMBER(Dashboard!$P$2)),NOT(ISNUMBER(Dashboard!$P$3)),$D182="Cancelled",$D182="Owner block"),"—",IF(MAX(0,MIN($G182,Dashboard!$P$3+1)-MAX($F182,Dashboard!$P$2))=0,"—",MAX(0,MIN($G182,Dashboard!$P$3+1)-MAX($F182,Dashboard!$P$2))))</f>
        <v>—</v>
      </c>
      <c r="U182" s="19" t="str">
        <f ca="1">IF(OR(NOT(ISNUMBER($F182)),NOT(ISNUMBER($G182)),NOT(ISNUMBER(Dashboard!$P$2)),NOT(ISNUMBER(Dashboard!$P$3)),$D182&lt;&gt;"Owner block"),"—",IF(MAX(0,MIN($G182,Dashboard!$P$3+1)-MAX($F182,Dashboard!$P$2))=0,"—",MAX(0,MIN($G182,Dashboard!$P$3+1)-MAX($F182,Dashboard!$P$2))))</f>
        <v>—</v>
      </c>
      <c r="V182" s="7" t="str">
        <f>IF($B182="",IF(COUNTA($C182:$G182,$I182:$K182,$S182)=0,"","⚠ no property — not counted"),IF(COUNTIF(Setup!$A$25:$A$36,$B182)=0,"⚠ property not in Setup",IF(AND($F182&lt;&gt;"",NOT(ISNUMBER($F182))),"⚠ check-in is not a real date",IF(AND($G182&lt;&gt;"",NOT(ISNUMBER($G182))),"⚠ check-out is not a real date",IF(AND($J182&lt;&gt;"",NOT(ISNUMBER($J182))),"⚠ booking value is not a number","OK")))))</f>
        <v/>
      </c>
      <c r="W182" s="21" t="str">
        <f t="shared" si="14"/>
        <v>—</v>
      </c>
    </row>
    <row r="183" spans="1:23" x14ac:dyDescent="0.2">
      <c r="A183" s="30">
        <v>179</v>
      </c>
      <c r="B183" s="3"/>
      <c r="C183" s="3"/>
      <c r="D183" s="3"/>
      <c r="E183" s="3"/>
      <c r="F183" s="31"/>
      <c r="G183" s="31"/>
      <c r="H183" s="19" t="str">
        <f t="shared" si="10"/>
        <v>—</v>
      </c>
      <c r="I183" s="32"/>
      <c r="J183" s="6"/>
      <c r="K183" s="33"/>
      <c r="L183" s="21" t="str">
        <f>IF(OR($B183="",NOT(ISNUMBER($J183)),$D183="Cancelled",$D183="Owner block"),"—",ROUND($J183*IF(ISNUMBER($K183),IF($K183&gt;1,$K183/100,$K183),IF(IFERROR(INDEX(Setup!$D$25:$D$36,MATCH($B183,Setup!$A$25:$A$36,0)),0)&gt;1,IFERROR(INDEX(Setup!$D$25:$D$36,MATCH($B183,Setup!$A$25:$A$36,0)),0)/100,IFERROR(INDEX(Setup!$D$25:$D$36,MATCH($B183,Setup!$A$25:$A$36,0)),0))),2))</f>
        <v>—</v>
      </c>
      <c r="M183" s="21" t="str">
        <f t="shared" si="11"/>
        <v>—</v>
      </c>
      <c r="N183" s="21" t="str">
        <f>IF(OR($B183="",$G183="",$D183="Cancelled"),"—",IFERROR(IF(INDEX(Setup!$E$25:$E$36,MATCH($B183,Setup!$A$25:$A$36,0))=0,"—",INDEX(Setup!$E$25:$E$36,MATCH($B183,Setup!$A$25:$A$36,0))),"—"))</f>
        <v>—</v>
      </c>
      <c r="O183" s="21" t="str">
        <f>IF(OR($B183="",$G183="",$D183="Cancelled"),"—",IFERROR(IF(INDEX(Setup!$F$25:$F$36,MATCH($B183,Setup!$A$25:$A$36,0))=0,"—",INDEX(Setup!$F$25:$F$36,MATCH($B183,Setup!$A$25:$A$36,0))),"—"))</f>
        <v>—</v>
      </c>
      <c r="P183" s="21" t="str">
        <f>IF(OR($B183="",$G183="",$D183="Cancelled",$D183="Owner block"),"—",IF(IFERROR(INDEX(Setup!$G$25:$G$36,MATCH($B183,Setup!$A$25:$A$36,0)),0)+IFERROR(INDEX(Setup!$H$25:$H$36,MATCH($B183,Setup!$A$25:$A$36,0)),0)*IF(ISNUMBER($H183),$H183,0)=0,"—",ROUND(IFERROR(INDEX(Setup!$G$25:$G$36,MATCH($B183,Setup!$A$25:$A$36,0)),0)+IFERROR(INDEX(Setup!$H$25:$H$36,MATCH($B183,Setup!$A$25:$A$36,0)),0)*IF(ISNUMBER($H183),$H183,0),2)))</f>
        <v>—</v>
      </c>
      <c r="Q183" s="21" t="str">
        <f t="shared" si="12"/>
        <v>—</v>
      </c>
      <c r="R183" s="21" t="str">
        <f t="shared" si="13"/>
        <v>—</v>
      </c>
      <c r="S183" s="3"/>
      <c r="T183" s="19" t="str">
        <f ca="1">IF(OR(NOT(ISNUMBER($F183)),NOT(ISNUMBER($G183)),NOT(ISNUMBER(Dashboard!$P$2)),NOT(ISNUMBER(Dashboard!$P$3)),$D183="Cancelled",$D183="Owner block"),"—",IF(MAX(0,MIN($G183,Dashboard!$P$3+1)-MAX($F183,Dashboard!$P$2))=0,"—",MAX(0,MIN($G183,Dashboard!$P$3+1)-MAX($F183,Dashboard!$P$2))))</f>
        <v>—</v>
      </c>
      <c r="U183" s="19" t="str">
        <f ca="1">IF(OR(NOT(ISNUMBER($F183)),NOT(ISNUMBER($G183)),NOT(ISNUMBER(Dashboard!$P$2)),NOT(ISNUMBER(Dashboard!$P$3)),$D183&lt;&gt;"Owner block"),"—",IF(MAX(0,MIN($G183,Dashboard!$P$3+1)-MAX($F183,Dashboard!$P$2))=0,"—",MAX(0,MIN($G183,Dashboard!$P$3+1)-MAX($F183,Dashboard!$P$2))))</f>
        <v>—</v>
      </c>
      <c r="V183" s="7" t="str">
        <f>IF($B183="",IF(COUNTA($C183:$G183,$I183:$K183,$S183)=0,"","⚠ no property — not counted"),IF(COUNTIF(Setup!$A$25:$A$36,$B183)=0,"⚠ property not in Setup",IF(AND($F183&lt;&gt;"",NOT(ISNUMBER($F183))),"⚠ check-in is not a real date",IF(AND($G183&lt;&gt;"",NOT(ISNUMBER($G183))),"⚠ check-out is not a real date",IF(AND($J183&lt;&gt;"",NOT(ISNUMBER($J183))),"⚠ booking value is not a number","OK")))))</f>
        <v/>
      </c>
      <c r="W183" s="21" t="str">
        <f t="shared" si="14"/>
        <v>—</v>
      </c>
    </row>
    <row r="184" spans="1:23" x14ac:dyDescent="0.2">
      <c r="A184" s="30">
        <v>180</v>
      </c>
      <c r="B184" s="8"/>
      <c r="C184" s="8"/>
      <c r="D184" s="8"/>
      <c r="E184" s="8"/>
      <c r="F184" s="34"/>
      <c r="G184" s="34"/>
      <c r="H184" s="19" t="str">
        <f t="shared" si="10"/>
        <v>—</v>
      </c>
      <c r="I184" s="35"/>
      <c r="J184" s="11"/>
      <c r="K184" s="36"/>
      <c r="L184" s="21" t="str">
        <f>IF(OR($B184="",NOT(ISNUMBER($J184)),$D184="Cancelled",$D184="Owner block"),"—",ROUND($J184*IF(ISNUMBER($K184),IF($K184&gt;1,$K184/100,$K184),IF(IFERROR(INDEX(Setup!$D$25:$D$36,MATCH($B184,Setup!$A$25:$A$36,0)),0)&gt;1,IFERROR(INDEX(Setup!$D$25:$D$36,MATCH($B184,Setup!$A$25:$A$36,0)),0)/100,IFERROR(INDEX(Setup!$D$25:$D$36,MATCH($B184,Setup!$A$25:$A$36,0)),0))),2))</f>
        <v>—</v>
      </c>
      <c r="M184" s="21" t="str">
        <f t="shared" si="11"/>
        <v>—</v>
      </c>
      <c r="N184" s="21" t="str">
        <f>IF(OR($B184="",$G184="",$D184="Cancelled"),"—",IFERROR(IF(INDEX(Setup!$E$25:$E$36,MATCH($B184,Setup!$A$25:$A$36,0))=0,"—",INDEX(Setup!$E$25:$E$36,MATCH($B184,Setup!$A$25:$A$36,0))),"—"))</f>
        <v>—</v>
      </c>
      <c r="O184" s="21" t="str">
        <f>IF(OR($B184="",$G184="",$D184="Cancelled"),"—",IFERROR(IF(INDEX(Setup!$F$25:$F$36,MATCH($B184,Setup!$A$25:$A$36,0))=0,"—",INDEX(Setup!$F$25:$F$36,MATCH($B184,Setup!$A$25:$A$36,0))),"—"))</f>
        <v>—</v>
      </c>
      <c r="P184" s="21" t="str">
        <f>IF(OR($B184="",$G184="",$D184="Cancelled",$D184="Owner block"),"—",IF(IFERROR(INDEX(Setup!$G$25:$G$36,MATCH($B184,Setup!$A$25:$A$36,0)),0)+IFERROR(INDEX(Setup!$H$25:$H$36,MATCH($B184,Setup!$A$25:$A$36,0)),0)*IF(ISNUMBER($H184),$H184,0)=0,"—",ROUND(IFERROR(INDEX(Setup!$G$25:$G$36,MATCH($B184,Setup!$A$25:$A$36,0)),0)+IFERROR(INDEX(Setup!$H$25:$H$36,MATCH($B184,Setup!$A$25:$A$36,0)),0)*IF(ISNUMBER($H184),$H184,0),2)))</f>
        <v>—</v>
      </c>
      <c r="Q184" s="21" t="str">
        <f t="shared" si="12"/>
        <v>—</v>
      </c>
      <c r="R184" s="21" t="str">
        <f t="shared" si="13"/>
        <v>—</v>
      </c>
      <c r="S184" s="8"/>
      <c r="T184" s="19" t="str">
        <f ca="1">IF(OR(NOT(ISNUMBER($F184)),NOT(ISNUMBER($G184)),NOT(ISNUMBER(Dashboard!$P$2)),NOT(ISNUMBER(Dashboard!$P$3)),$D184="Cancelled",$D184="Owner block"),"—",IF(MAX(0,MIN($G184,Dashboard!$P$3+1)-MAX($F184,Dashboard!$P$2))=0,"—",MAX(0,MIN($G184,Dashboard!$P$3+1)-MAX($F184,Dashboard!$P$2))))</f>
        <v>—</v>
      </c>
      <c r="U184" s="19" t="str">
        <f ca="1">IF(OR(NOT(ISNUMBER($F184)),NOT(ISNUMBER($G184)),NOT(ISNUMBER(Dashboard!$P$2)),NOT(ISNUMBER(Dashboard!$P$3)),$D184&lt;&gt;"Owner block"),"—",IF(MAX(0,MIN($G184,Dashboard!$P$3+1)-MAX($F184,Dashboard!$P$2))=0,"—",MAX(0,MIN($G184,Dashboard!$P$3+1)-MAX($F184,Dashboard!$P$2))))</f>
        <v>—</v>
      </c>
      <c r="V184" s="7" t="str">
        <f>IF($B184="",IF(COUNTA($C184:$G184,$I184:$K184,$S184)=0,"","⚠ no property — not counted"),IF(COUNTIF(Setup!$A$25:$A$36,$B184)=0,"⚠ property not in Setup",IF(AND($F184&lt;&gt;"",NOT(ISNUMBER($F184))),"⚠ check-in is not a real date",IF(AND($G184&lt;&gt;"",NOT(ISNUMBER($G184))),"⚠ check-out is not a real date",IF(AND($J184&lt;&gt;"",NOT(ISNUMBER($J184))),"⚠ booking value is not a number","OK")))))</f>
        <v/>
      </c>
      <c r="W184" s="21" t="str">
        <f t="shared" si="14"/>
        <v>—</v>
      </c>
    </row>
    <row r="185" spans="1:23" x14ac:dyDescent="0.2">
      <c r="A185" s="30">
        <v>181</v>
      </c>
      <c r="B185" s="3"/>
      <c r="C185" s="3"/>
      <c r="D185" s="3"/>
      <c r="E185" s="3"/>
      <c r="F185" s="31"/>
      <c r="G185" s="31"/>
      <c r="H185" s="19" t="str">
        <f t="shared" si="10"/>
        <v>—</v>
      </c>
      <c r="I185" s="32"/>
      <c r="J185" s="6"/>
      <c r="K185" s="33"/>
      <c r="L185" s="21" t="str">
        <f>IF(OR($B185="",NOT(ISNUMBER($J185)),$D185="Cancelled",$D185="Owner block"),"—",ROUND($J185*IF(ISNUMBER($K185),IF($K185&gt;1,$K185/100,$K185),IF(IFERROR(INDEX(Setup!$D$25:$D$36,MATCH($B185,Setup!$A$25:$A$36,0)),0)&gt;1,IFERROR(INDEX(Setup!$D$25:$D$36,MATCH($B185,Setup!$A$25:$A$36,0)),0)/100,IFERROR(INDEX(Setup!$D$25:$D$36,MATCH($B185,Setup!$A$25:$A$36,0)),0))),2))</f>
        <v>—</v>
      </c>
      <c r="M185" s="21" t="str">
        <f t="shared" si="11"/>
        <v>—</v>
      </c>
      <c r="N185" s="21" t="str">
        <f>IF(OR($B185="",$G185="",$D185="Cancelled"),"—",IFERROR(IF(INDEX(Setup!$E$25:$E$36,MATCH($B185,Setup!$A$25:$A$36,0))=0,"—",INDEX(Setup!$E$25:$E$36,MATCH($B185,Setup!$A$25:$A$36,0))),"—"))</f>
        <v>—</v>
      </c>
      <c r="O185" s="21" t="str">
        <f>IF(OR($B185="",$G185="",$D185="Cancelled"),"—",IFERROR(IF(INDEX(Setup!$F$25:$F$36,MATCH($B185,Setup!$A$25:$A$36,0))=0,"—",INDEX(Setup!$F$25:$F$36,MATCH($B185,Setup!$A$25:$A$36,0))),"—"))</f>
        <v>—</v>
      </c>
      <c r="P185" s="21" t="str">
        <f>IF(OR($B185="",$G185="",$D185="Cancelled",$D185="Owner block"),"—",IF(IFERROR(INDEX(Setup!$G$25:$G$36,MATCH($B185,Setup!$A$25:$A$36,0)),0)+IFERROR(INDEX(Setup!$H$25:$H$36,MATCH($B185,Setup!$A$25:$A$36,0)),0)*IF(ISNUMBER($H185),$H185,0)=0,"—",ROUND(IFERROR(INDEX(Setup!$G$25:$G$36,MATCH($B185,Setup!$A$25:$A$36,0)),0)+IFERROR(INDEX(Setup!$H$25:$H$36,MATCH($B185,Setup!$A$25:$A$36,0)),0)*IF(ISNUMBER($H185),$H185,0),2)))</f>
        <v>—</v>
      </c>
      <c r="Q185" s="21" t="str">
        <f t="shared" si="12"/>
        <v>—</v>
      </c>
      <c r="R185" s="21" t="str">
        <f t="shared" si="13"/>
        <v>—</v>
      </c>
      <c r="S185" s="3"/>
      <c r="T185" s="19" t="str">
        <f ca="1">IF(OR(NOT(ISNUMBER($F185)),NOT(ISNUMBER($G185)),NOT(ISNUMBER(Dashboard!$P$2)),NOT(ISNUMBER(Dashboard!$P$3)),$D185="Cancelled",$D185="Owner block"),"—",IF(MAX(0,MIN($G185,Dashboard!$P$3+1)-MAX($F185,Dashboard!$P$2))=0,"—",MAX(0,MIN($G185,Dashboard!$P$3+1)-MAX($F185,Dashboard!$P$2))))</f>
        <v>—</v>
      </c>
      <c r="U185" s="19" t="str">
        <f ca="1">IF(OR(NOT(ISNUMBER($F185)),NOT(ISNUMBER($G185)),NOT(ISNUMBER(Dashboard!$P$2)),NOT(ISNUMBER(Dashboard!$P$3)),$D185&lt;&gt;"Owner block"),"—",IF(MAX(0,MIN($G185,Dashboard!$P$3+1)-MAX($F185,Dashboard!$P$2))=0,"—",MAX(0,MIN($G185,Dashboard!$P$3+1)-MAX($F185,Dashboard!$P$2))))</f>
        <v>—</v>
      </c>
      <c r="V185" s="7" t="str">
        <f>IF($B185="",IF(COUNTA($C185:$G185,$I185:$K185,$S185)=0,"","⚠ no property — not counted"),IF(COUNTIF(Setup!$A$25:$A$36,$B185)=0,"⚠ property not in Setup",IF(AND($F185&lt;&gt;"",NOT(ISNUMBER($F185))),"⚠ check-in is not a real date",IF(AND($G185&lt;&gt;"",NOT(ISNUMBER($G185))),"⚠ check-out is not a real date",IF(AND($J185&lt;&gt;"",NOT(ISNUMBER($J185))),"⚠ booking value is not a number","OK")))))</f>
        <v/>
      </c>
      <c r="W185" s="21" t="str">
        <f t="shared" si="14"/>
        <v>—</v>
      </c>
    </row>
    <row r="186" spans="1:23" x14ac:dyDescent="0.2">
      <c r="A186" s="30">
        <v>182</v>
      </c>
      <c r="B186" s="8"/>
      <c r="C186" s="8"/>
      <c r="D186" s="8"/>
      <c r="E186" s="8"/>
      <c r="F186" s="34"/>
      <c r="G186" s="34"/>
      <c r="H186" s="19" t="str">
        <f t="shared" si="10"/>
        <v>—</v>
      </c>
      <c r="I186" s="35"/>
      <c r="J186" s="11"/>
      <c r="K186" s="36"/>
      <c r="L186" s="21" t="str">
        <f>IF(OR($B186="",NOT(ISNUMBER($J186)),$D186="Cancelled",$D186="Owner block"),"—",ROUND($J186*IF(ISNUMBER($K186),IF($K186&gt;1,$K186/100,$K186),IF(IFERROR(INDEX(Setup!$D$25:$D$36,MATCH($B186,Setup!$A$25:$A$36,0)),0)&gt;1,IFERROR(INDEX(Setup!$D$25:$D$36,MATCH($B186,Setup!$A$25:$A$36,0)),0)/100,IFERROR(INDEX(Setup!$D$25:$D$36,MATCH($B186,Setup!$A$25:$A$36,0)),0))),2))</f>
        <v>—</v>
      </c>
      <c r="M186" s="21" t="str">
        <f t="shared" si="11"/>
        <v>—</v>
      </c>
      <c r="N186" s="21" t="str">
        <f>IF(OR($B186="",$G186="",$D186="Cancelled"),"—",IFERROR(IF(INDEX(Setup!$E$25:$E$36,MATCH($B186,Setup!$A$25:$A$36,0))=0,"—",INDEX(Setup!$E$25:$E$36,MATCH($B186,Setup!$A$25:$A$36,0))),"—"))</f>
        <v>—</v>
      </c>
      <c r="O186" s="21" t="str">
        <f>IF(OR($B186="",$G186="",$D186="Cancelled"),"—",IFERROR(IF(INDEX(Setup!$F$25:$F$36,MATCH($B186,Setup!$A$25:$A$36,0))=0,"—",INDEX(Setup!$F$25:$F$36,MATCH($B186,Setup!$A$25:$A$36,0))),"—"))</f>
        <v>—</v>
      </c>
      <c r="P186" s="21" t="str">
        <f>IF(OR($B186="",$G186="",$D186="Cancelled",$D186="Owner block"),"—",IF(IFERROR(INDEX(Setup!$G$25:$G$36,MATCH($B186,Setup!$A$25:$A$36,0)),0)+IFERROR(INDEX(Setup!$H$25:$H$36,MATCH($B186,Setup!$A$25:$A$36,0)),0)*IF(ISNUMBER($H186),$H186,0)=0,"—",ROUND(IFERROR(INDEX(Setup!$G$25:$G$36,MATCH($B186,Setup!$A$25:$A$36,0)),0)+IFERROR(INDEX(Setup!$H$25:$H$36,MATCH($B186,Setup!$A$25:$A$36,0)),0)*IF(ISNUMBER($H186),$H186,0),2)))</f>
        <v>—</v>
      </c>
      <c r="Q186" s="21" t="str">
        <f t="shared" si="12"/>
        <v>—</v>
      </c>
      <c r="R186" s="21" t="str">
        <f t="shared" si="13"/>
        <v>—</v>
      </c>
      <c r="S186" s="8"/>
      <c r="T186" s="19" t="str">
        <f ca="1">IF(OR(NOT(ISNUMBER($F186)),NOT(ISNUMBER($G186)),NOT(ISNUMBER(Dashboard!$P$2)),NOT(ISNUMBER(Dashboard!$P$3)),$D186="Cancelled",$D186="Owner block"),"—",IF(MAX(0,MIN($G186,Dashboard!$P$3+1)-MAX($F186,Dashboard!$P$2))=0,"—",MAX(0,MIN($G186,Dashboard!$P$3+1)-MAX($F186,Dashboard!$P$2))))</f>
        <v>—</v>
      </c>
      <c r="U186" s="19" t="str">
        <f ca="1">IF(OR(NOT(ISNUMBER($F186)),NOT(ISNUMBER($G186)),NOT(ISNUMBER(Dashboard!$P$2)),NOT(ISNUMBER(Dashboard!$P$3)),$D186&lt;&gt;"Owner block"),"—",IF(MAX(0,MIN($G186,Dashboard!$P$3+1)-MAX($F186,Dashboard!$P$2))=0,"—",MAX(0,MIN($G186,Dashboard!$P$3+1)-MAX($F186,Dashboard!$P$2))))</f>
        <v>—</v>
      </c>
      <c r="V186" s="7" t="str">
        <f>IF($B186="",IF(COUNTA($C186:$G186,$I186:$K186,$S186)=0,"","⚠ no property — not counted"),IF(COUNTIF(Setup!$A$25:$A$36,$B186)=0,"⚠ property not in Setup",IF(AND($F186&lt;&gt;"",NOT(ISNUMBER($F186))),"⚠ check-in is not a real date",IF(AND($G186&lt;&gt;"",NOT(ISNUMBER($G186))),"⚠ check-out is not a real date",IF(AND($J186&lt;&gt;"",NOT(ISNUMBER($J186))),"⚠ booking value is not a number","OK")))))</f>
        <v/>
      </c>
      <c r="W186" s="21" t="str">
        <f t="shared" si="14"/>
        <v>—</v>
      </c>
    </row>
    <row r="187" spans="1:23" x14ac:dyDescent="0.2">
      <c r="A187" s="30">
        <v>183</v>
      </c>
      <c r="B187" s="3"/>
      <c r="C187" s="3"/>
      <c r="D187" s="3"/>
      <c r="E187" s="3"/>
      <c r="F187" s="31"/>
      <c r="G187" s="31"/>
      <c r="H187" s="19" t="str">
        <f t="shared" si="10"/>
        <v>—</v>
      </c>
      <c r="I187" s="32"/>
      <c r="J187" s="6"/>
      <c r="K187" s="33"/>
      <c r="L187" s="21" t="str">
        <f>IF(OR($B187="",NOT(ISNUMBER($J187)),$D187="Cancelled",$D187="Owner block"),"—",ROUND($J187*IF(ISNUMBER($K187),IF($K187&gt;1,$K187/100,$K187),IF(IFERROR(INDEX(Setup!$D$25:$D$36,MATCH($B187,Setup!$A$25:$A$36,0)),0)&gt;1,IFERROR(INDEX(Setup!$D$25:$D$36,MATCH($B187,Setup!$A$25:$A$36,0)),0)/100,IFERROR(INDEX(Setup!$D$25:$D$36,MATCH($B187,Setup!$A$25:$A$36,0)),0))),2))</f>
        <v>—</v>
      </c>
      <c r="M187" s="21" t="str">
        <f t="shared" si="11"/>
        <v>—</v>
      </c>
      <c r="N187" s="21" t="str">
        <f>IF(OR($B187="",$G187="",$D187="Cancelled"),"—",IFERROR(IF(INDEX(Setup!$E$25:$E$36,MATCH($B187,Setup!$A$25:$A$36,0))=0,"—",INDEX(Setup!$E$25:$E$36,MATCH($B187,Setup!$A$25:$A$36,0))),"—"))</f>
        <v>—</v>
      </c>
      <c r="O187" s="21" t="str">
        <f>IF(OR($B187="",$G187="",$D187="Cancelled"),"—",IFERROR(IF(INDEX(Setup!$F$25:$F$36,MATCH($B187,Setup!$A$25:$A$36,0))=0,"—",INDEX(Setup!$F$25:$F$36,MATCH($B187,Setup!$A$25:$A$36,0))),"—"))</f>
        <v>—</v>
      </c>
      <c r="P187" s="21" t="str">
        <f>IF(OR($B187="",$G187="",$D187="Cancelled",$D187="Owner block"),"—",IF(IFERROR(INDEX(Setup!$G$25:$G$36,MATCH($B187,Setup!$A$25:$A$36,0)),0)+IFERROR(INDEX(Setup!$H$25:$H$36,MATCH($B187,Setup!$A$25:$A$36,0)),0)*IF(ISNUMBER($H187),$H187,0)=0,"—",ROUND(IFERROR(INDEX(Setup!$G$25:$G$36,MATCH($B187,Setup!$A$25:$A$36,0)),0)+IFERROR(INDEX(Setup!$H$25:$H$36,MATCH($B187,Setup!$A$25:$A$36,0)),0)*IF(ISNUMBER($H187),$H187,0),2)))</f>
        <v>—</v>
      </c>
      <c r="Q187" s="21" t="str">
        <f t="shared" si="12"/>
        <v>—</v>
      </c>
      <c r="R187" s="21" t="str">
        <f t="shared" si="13"/>
        <v>—</v>
      </c>
      <c r="S187" s="3"/>
      <c r="T187" s="19" t="str">
        <f ca="1">IF(OR(NOT(ISNUMBER($F187)),NOT(ISNUMBER($G187)),NOT(ISNUMBER(Dashboard!$P$2)),NOT(ISNUMBER(Dashboard!$P$3)),$D187="Cancelled",$D187="Owner block"),"—",IF(MAX(0,MIN($G187,Dashboard!$P$3+1)-MAX($F187,Dashboard!$P$2))=0,"—",MAX(0,MIN($G187,Dashboard!$P$3+1)-MAX($F187,Dashboard!$P$2))))</f>
        <v>—</v>
      </c>
      <c r="U187" s="19" t="str">
        <f ca="1">IF(OR(NOT(ISNUMBER($F187)),NOT(ISNUMBER($G187)),NOT(ISNUMBER(Dashboard!$P$2)),NOT(ISNUMBER(Dashboard!$P$3)),$D187&lt;&gt;"Owner block"),"—",IF(MAX(0,MIN($G187,Dashboard!$P$3+1)-MAX($F187,Dashboard!$P$2))=0,"—",MAX(0,MIN($G187,Dashboard!$P$3+1)-MAX($F187,Dashboard!$P$2))))</f>
        <v>—</v>
      </c>
      <c r="V187" s="7" t="str">
        <f>IF($B187="",IF(COUNTA($C187:$G187,$I187:$K187,$S187)=0,"","⚠ no property — not counted"),IF(COUNTIF(Setup!$A$25:$A$36,$B187)=0,"⚠ property not in Setup",IF(AND($F187&lt;&gt;"",NOT(ISNUMBER($F187))),"⚠ check-in is not a real date",IF(AND($G187&lt;&gt;"",NOT(ISNUMBER($G187))),"⚠ check-out is not a real date",IF(AND($J187&lt;&gt;"",NOT(ISNUMBER($J187))),"⚠ booking value is not a number","OK")))))</f>
        <v/>
      </c>
      <c r="W187" s="21" t="str">
        <f t="shared" si="14"/>
        <v>—</v>
      </c>
    </row>
    <row r="188" spans="1:23" x14ac:dyDescent="0.2">
      <c r="A188" s="30">
        <v>184</v>
      </c>
      <c r="B188" s="8"/>
      <c r="C188" s="8"/>
      <c r="D188" s="8"/>
      <c r="E188" s="8"/>
      <c r="F188" s="34"/>
      <c r="G188" s="34"/>
      <c r="H188" s="19" t="str">
        <f t="shared" si="10"/>
        <v>—</v>
      </c>
      <c r="I188" s="35"/>
      <c r="J188" s="11"/>
      <c r="K188" s="36"/>
      <c r="L188" s="21" t="str">
        <f>IF(OR($B188="",NOT(ISNUMBER($J188)),$D188="Cancelled",$D188="Owner block"),"—",ROUND($J188*IF(ISNUMBER($K188),IF($K188&gt;1,$K188/100,$K188),IF(IFERROR(INDEX(Setup!$D$25:$D$36,MATCH($B188,Setup!$A$25:$A$36,0)),0)&gt;1,IFERROR(INDEX(Setup!$D$25:$D$36,MATCH($B188,Setup!$A$25:$A$36,0)),0)/100,IFERROR(INDEX(Setup!$D$25:$D$36,MATCH($B188,Setup!$A$25:$A$36,0)),0))),2))</f>
        <v>—</v>
      </c>
      <c r="M188" s="21" t="str">
        <f t="shared" si="11"/>
        <v>—</v>
      </c>
      <c r="N188" s="21" t="str">
        <f>IF(OR($B188="",$G188="",$D188="Cancelled"),"—",IFERROR(IF(INDEX(Setup!$E$25:$E$36,MATCH($B188,Setup!$A$25:$A$36,0))=0,"—",INDEX(Setup!$E$25:$E$36,MATCH($B188,Setup!$A$25:$A$36,0))),"—"))</f>
        <v>—</v>
      </c>
      <c r="O188" s="21" t="str">
        <f>IF(OR($B188="",$G188="",$D188="Cancelled"),"—",IFERROR(IF(INDEX(Setup!$F$25:$F$36,MATCH($B188,Setup!$A$25:$A$36,0))=0,"—",INDEX(Setup!$F$25:$F$36,MATCH($B188,Setup!$A$25:$A$36,0))),"—"))</f>
        <v>—</v>
      </c>
      <c r="P188" s="21" t="str">
        <f>IF(OR($B188="",$G188="",$D188="Cancelled",$D188="Owner block"),"—",IF(IFERROR(INDEX(Setup!$G$25:$G$36,MATCH($B188,Setup!$A$25:$A$36,0)),0)+IFERROR(INDEX(Setup!$H$25:$H$36,MATCH($B188,Setup!$A$25:$A$36,0)),0)*IF(ISNUMBER($H188),$H188,0)=0,"—",ROUND(IFERROR(INDEX(Setup!$G$25:$G$36,MATCH($B188,Setup!$A$25:$A$36,0)),0)+IFERROR(INDEX(Setup!$H$25:$H$36,MATCH($B188,Setup!$A$25:$A$36,0)),0)*IF(ISNUMBER($H188),$H188,0),2)))</f>
        <v>—</v>
      </c>
      <c r="Q188" s="21" t="str">
        <f t="shared" si="12"/>
        <v>—</v>
      </c>
      <c r="R188" s="21" t="str">
        <f t="shared" si="13"/>
        <v>—</v>
      </c>
      <c r="S188" s="8"/>
      <c r="T188" s="19" t="str">
        <f ca="1">IF(OR(NOT(ISNUMBER($F188)),NOT(ISNUMBER($G188)),NOT(ISNUMBER(Dashboard!$P$2)),NOT(ISNUMBER(Dashboard!$P$3)),$D188="Cancelled",$D188="Owner block"),"—",IF(MAX(0,MIN($G188,Dashboard!$P$3+1)-MAX($F188,Dashboard!$P$2))=0,"—",MAX(0,MIN($G188,Dashboard!$P$3+1)-MAX($F188,Dashboard!$P$2))))</f>
        <v>—</v>
      </c>
      <c r="U188" s="19" t="str">
        <f ca="1">IF(OR(NOT(ISNUMBER($F188)),NOT(ISNUMBER($G188)),NOT(ISNUMBER(Dashboard!$P$2)),NOT(ISNUMBER(Dashboard!$P$3)),$D188&lt;&gt;"Owner block"),"—",IF(MAX(0,MIN($G188,Dashboard!$P$3+1)-MAX($F188,Dashboard!$P$2))=0,"—",MAX(0,MIN($G188,Dashboard!$P$3+1)-MAX($F188,Dashboard!$P$2))))</f>
        <v>—</v>
      </c>
      <c r="V188" s="7" t="str">
        <f>IF($B188="",IF(COUNTA($C188:$G188,$I188:$K188,$S188)=0,"","⚠ no property — not counted"),IF(COUNTIF(Setup!$A$25:$A$36,$B188)=0,"⚠ property not in Setup",IF(AND($F188&lt;&gt;"",NOT(ISNUMBER($F188))),"⚠ check-in is not a real date",IF(AND($G188&lt;&gt;"",NOT(ISNUMBER($G188))),"⚠ check-out is not a real date",IF(AND($J188&lt;&gt;"",NOT(ISNUMBER($J188))),"⚠ booking value is not a number","OK")))))</f>
        <v/>
      </c>
      <c r="W188" s="21" t="str">
        <f t="shared" si="14"/>
        <v>—</v>
      </c>
    </row>
    <row r="189" spans="1:23" x14ac:dyDescent="0.2">
      <c r="A189" s="30">
        <v>185</v>
      </c>
      <c r="B189" s="3"/>
      <c r="C189" s="3"/>
      <c r="D189" s="3"/>
      <c r="E189" s="3"/>
      <c r="F189" s="31"/>
      <c r="G189" s="31"/>
      <c r="H189" s="19" t="str">
        <f t="shared" si="10"/>
        <v>—</v>
      </c>
      <c r="I189" s="32"/>
      <c r="J189" s="6"/>
      <c r="K189" s="33"/>
      <c r="L189" s="21" t="str">
        <f>IF(OR($B189="",NOT(ISNUMBER($J189)),$D189="Cancelled",$D189="Owner block"),"—",ROUND($J189*IF(ISNUMBER($K189),IF($K189&gt;1,$K189/100,$K189),IF(IFERROR(INDEX(Setup!$D$25:$D$36,MATCH($B189,Setup!$A$25:$A$36,0)),0)&gt;1,IFERROR(INDEX(Setup!$D$25:$D$36,MATCH($B189,Setup!$A$25:$A$36,0)),0)/100,IFERROR(INDEX(Setup!$D$25:$D$36,MATCH($B189,Setup!$A$25:$A$36,0)),0))),2))</f>
        <v>—</v>
      </c>
      <c r="M189" s="21" t="str">
        <f t="shared" si="11"/>
        <v>—</v>
      </c>
      <c r="N189" s="21" t="str">
        <f>IF(OR($B189="",$G189="",$D189="Cancelled"),"—",IFERROR(IF(INDEX(Setup!$E$25:$E$36,MATCH($B189,Setup!$A$25:$A$36,0))=0,"—",INDEX(Setup!$E$25:$E$36,MATCH($B189,Setup!$A$25:$A$36,0))),"—"))</f>
        <v>—</v>
      </c>
      <c r="O189" s="21" t="str">
        <f>IF(OR($B189="",$G189="",$D189="Cancelled"),"—",IFERROR(IF(INDEX(Setup!$F$25:$F$36,MATCH($B189,Setup!$A$25:$A$36,0))=0,"—",INDEX(Setup!$F$25:$F$36,MATCH($B189,Setup!$A$25:$A$36,0))),"—"))</f>
        <v>—</v>
      </c>
      <c r="P189" s="21" t="str">
        <f>IF(OR($B189="",$G189="",$D189="Cancelled",$D189="Owner block"),"—",IF(IFERROR(INDEX(Setup!$G$25:$G$36,MATCH($B189,Setup!$A$25:$A$36,0)),0)+IFERROR(INDEX(Setup!$H$25:$H$36,MATCH($B189,Setup!$A$25:$A$36,0)),0)*IF(ISNUMBER($H189),$H189,0)=0,"—",ROUND(IFERROR(INDEX(Setup!$G$25:$G$36,MATCH($B189,Setup!$A$25:$A$36,0)),0)+IFERROR(INDEX(Setup!$H$25:$H$36,MATCH($B189,Setup!$A$25:$A$36,0)),0)*IF(ISNUMBER($H189),$H189,0),2)))</f>
        <v>—</v>
      </c>
      <c r="Q189" s="21" t="str">
        <f t="shared" si="12"/>
        <v>—</v>
      </c>
      <c r="R189" s="21" t="str">
        <f t="shared" si="13"/>
        <v>—</v>
      </c>
      <c r="S189" s="3"/>
      <c r="T189" s="19" t="str">
        <f ca="1">IF(OR(NOT(ISNUMBER($F189)),NOT(ISNUMBER($G189)),NOT(ISNUMBER(Dashboard!$P$2)),NOT(ISNUMBER(Dashboard!$P$3)),$D189="Cancelled",$D189="Owner block"),"—",IF(MAX(0,MIN($G189,Dashboard!$P$3+1)-MAX($F189,Dashboard!$P$2))=0,"—",MAX(0,MIN($G189,Dashboard!$P$3+1)-MAX($F189,Dashboard!$P$2))))</f>
        <v>—</v>
      </c>
      <c r="U189" s="19" t="str">
        <f ca="1">IF(OR(NOT(ISNUMBER($F189)),NOT(ISNUMBER($G189)),NOT(ISNUMBER(Dashboard!$P$2)),NOT(ISNUMBER(Dashboard!$P$3)),$D189&lt;&gt;"Owner block"),"—",IF(MAX(0,MIN($G189,Dashboard!$P$3+1)-MAX($F189,Dashboard!$P$2))=0,"—",MAX(0,MIN($G189,Dashboard!$P$3+1)-MAX($F189,Dashboard!$P$2))))</f>
        <v>—</v>
      </c>
      <c r="V189" s="7" t="str">
        <f>IF($B189="",IF(COUNTA($C189:$G189,$I189:$K189,$S189)=0,"","⚠ no property — not counted"),IF(COUNTIF(Setup!$A$25:$A$36,$B189)=0,"⚠ property not in Setup",IF(AND($F189&lt;&gt;"",NOT(ISNUMBER($F189))),"⚠ check-in is not a real date",IF(AND($G189&lt;&gt;"",NOT(ISNUMBER($G189))),"⚠ check-out is not a real date",IF(AND($J189&lt;&gt;"",NOT(ISNUMBER($J189))),"⚠ booking value is not a number","OK")))))</f>
        <v/>
      </c>
      <c r="W189" s="21" t="str">
        <f t="shared" si="14"/>
        <v>—</v>
      </c>
    </row>
    <row r="190" spans="1:23" x14ac:dyDescent="0.2">
      <c r="A190" s="30">
        <v>186</v>
      </c>
      <c r="B190" s="8"/>
      <c r="C190" s="8"/>
      <c r="D190" s="8"/>
      <c r="E190" s="8"/>
      <c r="F190" s="34"/>
      <c r="G190" s="34"/>
      <c r="H190" s="19" t="str">
        <f t="shared" si="10"/>
        <v>—</v>
      </c>
      <c r="I190" s="35"/>
      <c r="J190" s="11"/>
      <c r="K190" s="36"/>
      <c r="L190" s="21" t="str">
        <f>IF(OR($B190="",NOT(ISNUMBER($J190)),$D190="Cancelled",$D190="Owner block"),"—",ROUND($J190*IF(ISNUMBER($K190),IF($K190&gt;1,$K190/100,$K190),IF(IFERROR(INDEX(Setup!$D$25:$D$36,MATCH($B190,Setup!$A$25:$A$36,0)),0)&gt;1,IFERROR(INDEX(Setup!$D$25:$D$36,MATCH($B190,Setup!$A$25:$A$36,0)),0)/100,IFERROR(INDEX(Setup!$D$25:$D$36,MATCH($B190,Setup!$A$25:$A$36,0)),0))),2))</f>
        <v>—</v>
      </c>
      <c r="M190" s="21" t="str">
        <f t="shared" si="11"/>
        <v>—</v>
      </c>
      <c r="N190" s="21" t="str">
        <f>IF(OR($B190="",$G190="",$D190="Cancelled"),"—",IFERROR(IF(INDEX(Setup!$E$25:$E$36,MATCH($B190,Setup!$A$25:$A$36,0))=0,"—",INDEX(Setup!$E$25:$E$36,MATCH($B190,Setup!$A$25:$A$36,0))),"—"))</f>
        <v>—</v>
      </c>
      <c r="O190" s="21" t="str">
        <f>IF(OR($B190="",$G190="",$D190="Cancelled"),"—",IFERROR(IF(INDEX(Setup!$F$25:$F$36,MATCH($B190,Setup!$A$25:$A$36,0))=0,"—",INDEX(Setup!$F$25:$F$36,MATCH($B190,Setup!$A$25:$A$36,0))),"—"))</f>
        <v>—</v>
      </c>
      <c r="P190" s="21" t="str">
        <f>IF(OR($B190="",$G190="",$D190="Cancelled",$D190="Owner block"),"—",IF(IFERROR(INDEX(Setup!$G$25:$G$36,MATCH($B190,Setup!$A$25:$A$36,0)),0)+IFERROR(INDEX(Setup!$H$25:$H$36,MATCH($B190,Setup!$A$25:$A$36,0)),0)*IF(ISNUMBER($H190),$H190,0)=0,"—",ROUND(IFERROR(INDEX(Setup!$G$25:$G$36,MATCH($B190,Setup!$A$25:$A$36,0)),0)+IFERROR(INDEX(Setup!$H$25:$H$36,MATCH($B190,Setup!$A$25:$A$36,0)),0)*IF(ISNUMBER($H190),$H190,0),2)))</f>
        <v>—</v>
      </c>
      <c r="Q190" s="21" t="str">
        <f t="shared" si="12"/>
        <v>—</v>
      </c>
      <c r="R190" s="21" t="str">
        <f t="shared" si="13"/>
        <v>—</v>
      </c>
      <c r="S190" s="8"/>
      <c r="T190" s="19" t="str">
        <f ca="1">IF(OR(NOT(ISNUMBER($F190)),NOT(ISNUMBER($G190)),NOT(ISNUMBER(Dashboard!$P$2)),NOT(ISNUMBER(Dashboard!$P$3)),$D190="Cancelled",$D190="Owner block"),"—",IF(MAX(0,MIN($G190,Dashboard!$P$3+1)-MAX($F190,Dashboard!$P$2))=0,"—",MAX(0,MIN($G190,Dashboard!$P$3+1)-MAX($F190,Dashboard!$P$2))))</f>
        <v>—</v>
      </c>
      <c r="U190" s="19" t="str">
        <f ca="1">IF(OR(NOT(ISNUMBER($F190)),NOT(ISNUMBER($G190)),NOT(ISNUMBER(Dashboard!$P$2)),NOT(ISNUMBER(Dashboard!$P$3)),$D190&lt;&gt;"Owner block"),"—",IF(MAX(0,MIN($G190,Dashboard!$P$3+1)-MAX($F190,Dashboard!$P$2))=0,"—",MAX(0,MIN($G190,Dashboard!$P$3+1)-MAX($F190,Dashboard!$P$2))))</f>
        <v>—</v>
      </c>
      <c r="V190" s="7" t="str">
        <f>IF($B190="",IF(COUNTA($C190:$G190,$I190:$K190,$S190)=0,"","⚠ no property — not counted"),IF(COUNTIF(Setup!$A$25:$A$36,$B190)=0,"⚠ property not in Setup",IF(AND($F190&lt;&gt;"",NOT(ISNUMBER($F190))),"⚠ check-in is not a real date",IF(AND($G190&lt;&gt;"",NOT(ISNUMBER($G190))),"⚠ check-out is not a real date",IF(AND($J190&lt;&gt;"",NOT(ISNUMBER($J190))),"⚠ booking value is not a number","OK")))))</f>
        <v/>
      </c>
      <c r="W190" s="21" t="str">
        <f t="shared" si="14"/>
        <v>—</v>
      </c>
    </row>
    <row r="191" spans="1:23" x14ac:dyDescent="0.2">
      <c r="A191" s="30">
        <v>187</v>
      </c>
      <c r="B191" s="3"/>
      <c r="C191" s="3"/>
      <c r="D191" s="3"/>
      <c r="E191" s="3"/>
      <c r="F191" s="31"/>
      <c r="G191" s="31"/>
      <c r="H191" s="19" t="str">
        <f t="shared" si="10"/>
        <v>—</v>
      </c>
      <c r="I191" s="32"/>
      <c r="J191" s="6"/>
      <c r="K191" s="33"/>
      <c r="L191" s="21" t="str">
        <f>IF(OR($B191="",NOT(ISNUMBER($J191)),$D191="Cancelled",$D191="Owner block"),"—",ROUND($J191*IF(ISNUMBER($K191),IF($K191&gt;1,$K191/100,$K191),IF(IFERROR(INDEX(Setup!$D$25:$D$36,MATCH($B191,Setup!$A$25:$A$36,0)),0)&gt;1,IFERROR(INDEX(Setup!$D$25:$D$36,MATCH($B191,Setup!$A$25:$A$36,0)),0)/100,IFERROR(INDEX(Setup!$D$25:$D$36,MATCH($B191,Setup!$A$25:$A$36,0)),0))),2))</f>
        <v>—</v>
      </c>
      <c r="M191" s="21" t="str">
        <f t="shared" si="11"/>
        <v>—</v>
      </c>
      <c r="N191" s="21" t="str">
        <f>IF(OR($B191="",$G191="",$D191="Cancelled"),"—",IFERROR(IF(INDEX(Setup!$E$25:$E$36,MATCH($B191,Setup!$A$25:$A$36,0))=0,"—",INDEX(Setup!$E$25:$E$36,MATCH($B191,Setup!$A$25:$A$36,0))),"—"))</f>
        <v>—</v>
      </c>
      <c r="O191" s="21" t="str">
        <f>IF(OR($B191="",$G191="",$D191="Cancelled"),"—",IFERROR(IF(INDEX(Setup!$F$25:$F$36,MATCH($B191,Setup!$A$25:$A$36,0))=0,"—",INDEX(Setup!$F$25:$F$36,MATCH($B191,Setup!$A$25:$A$36,0))),"—"))</f>
        <v>—</v>
      </c>
      <c r="P191" s="21" t="str">
        <f>IF(OR($B191="",$G191="",$D191="Cancelled",$D191="Owner block"),"—",IF(IFERROR(INDEX(Setup!$G$25:$G$36,MATCH($B191,Setup!$A$25:$A$36,0)),0)+IFERROR(INDEX(Setup!$H$25:$H$36,MATCH($B191,Setup!$A$25:$A$36,0)),0)*IF(ISNUMBER($H191),$H191,0)=0,"—",ROUND(IFERROR(INDEX(Setup!$G$25:$G$36,MATCH($B191,Setup!$A$25:$A$36,0)),0)+IFERROR(INDEX(Setup!$H$25:$H$36,MATCH($B191,Setup!$A$25:$A$36,0)),0)*IF(ISNUMBER($H191),$H191,0),2)))</f>
        <v>—</v>
      </c>
      <c r="Q191" s="21" t="str">
        <f t="shared" si="12"/>
        <v>—</v>
      </c>
      <c r="R191" s="21" t="str">
        <f t="shared" si="13"/>
        <v>—</v>
      </c>
      <c r="S191" s="3"/>
      <c r="T191" s="19" t="str">
        <f ca="1">IF(OR(NOT(ISNUMBER($F191)),NOT(ISNUMBER($G191)),NOT(ISNUMBER(Dashboard!$P$2)),NOT(ISNUMBER(Dashboard!$P$3)),$D191="Cancelled",$D191="Owner block"),"—",IF(MAX(0,MIN($G191,Dashboard!$P$3+1)-MAX($F191,Dashboard!$P$2))=0,"—",MAX(0,MIN($G191,Dashboard!$P$3+1)-MAX($F191,Dashboard!$P$2))))</f>
        <v>—</v>
      </c>
      <c r="U191" s="19" t="str">
        <f ca="1">IF(OR(NOT(ISNUMBER($F191)),NOT(ISNUMBER($G191)),NOT(ISNUMBER(Dashboard!$P$2)),NOT(ISNUMBER(Dashboard!$P$3)),$D191&lt;&gt;"Owner block"),"—",IF(MAX(0,MIN($G191,Dashboard!$P$3+1)-MAX($F191,Dashboard!$P$2))=0,"—",MAX(0,MIN($G191,Dashboard!$P$3+1)-MAX($F191,Dashboard!$P$2))))</f>
        <v>—</v>
      </c>
      <c r="V191" s="7" t="str">
        <f>IF($B191="",IF(COUNTA($C191:$G191,$I191:$K191,$S191)=0,"","⚠ no property — not counted"),IF(COUNTIF(Setup!$A$25:$A$36,$B191)=0,"⚠ property not in Setup",IF(AND($F191&lt;&gt;"",NOT(ISNUMBER($F191))),"⚠ check-in is not a real date",IF(AND($G191&lt;&gt;"",NOT(ISNUMBER($G191))),"⚠ check-out is not a real date",IF(AND($J191&lt;&gt;"",NOT(ISNUMBER($J191))),"⚠ booking value is not a number","OK")))))</f>
        <v/>
      </c>
      <c r="W191" s="21" t="str">
        <f t="shared" si="14"/>
        <v>—</v>
      </c>
    </row>
    <row r="192" spans="1:23" x14ac:dyDescent="0.2">
      <c r="A192" s="30">
        <v>188</v>
      </c>
      <c r="B192" s="8"/>
      <c r="C192" s="8"/>
      <c r="D192" s="8"/>
      <c r="E192" s="8"/>
      <c r="F192" s="34"/>
      <c r="G192" s="34"/>
      <c r="H192" s="19" t="str">
        <f t="shared" si="10"/>
        <v>—</v>
      </c>
      <c r="I192" s="35"/>
      <c r="J192" s="11"/>
      <c r="K192" s="36"/>
      <c r="L192" s="21" t="str">
        <f>IF(OR($B192="",NOT(ISNUMBER($J192)),$D192="Cancelled",$D192="Owner block"),"—",ROUND($J192*IF(ISNUMBER($K192),IF($K192&gt;1,$K192/100,$K192),IF(IFERROR(INDEX(Setup!$D$25:$D$36,MATCH($B192,Setup!$A$25:$A$36,0)),0)&gt;1,IFERROR(INDEX(Setup!$D$25:$D$36,MATCH($B192,Setup!$A$25:$A$36,0)),0)/100,IFERROR(INDEX(Setup!$D$25:$D$36,MATCH($B192,Setup!$A$25:$A$36,0)),0))),2))</f>
        <v>—</v>
      </c>
      <c r="M192" s="21" t="str">
        <f t="shared" si="11"/>
        <v>—</v>
      </c>
      <c r="N192" s="21" t="str">
        <f>IF(OR($B192="",$G192="",$D192="Cancelled"),"—",IFERROR(IF(INDEX(Setup!$E$25:$E$36,MATCH($B192,Setup!$A$25:$A$36,0))=0,"—",INDEX(Setup!$E$25:$E$36,MATCH($B192,Setup!$A$25:$A$36,0))),"—"))</f>
        <v>—</v>
      </c>
      <c r="O192" s="21" t="str">
        <f>IF(OR($B192="",$G192="",$D192="Cancelled"),"—",IFERROR(IF(INDEX(Setup!$F$25:$F$36,MATCH($B192,Setup!$A$25:$A$36,0))=0,"—",INDEX(Setup!$F$25:$F$36,MATCH($B192,Setup!$A$25:$A$36,0))),"—"))</f>
        <v>—</v>
      </c>
      <c r="P192" s="21" t="str">
        <f>IF(OR($B192="",$G192="",$D192="Cancelled",$D192="Owner block"),"—",IF(IFERROR(INDEX(Setup!$G$25:$G$36,MATCH($B192,Setup!$A$25:$A$36,0)),0)+IFERROR(INDEX(Setup!$H$25:$H$36,MATCH($B192,Setup!$A$25:$A$36,0)),0)*IF(ISNUMBER($H192),$H192,0)=0,"—",ROUND(IFERROR(INDEX(Setup!$G$25:$G$36,MATCH($B192,Setup!$A$25:$A$36,0)),0)+IFERROR(INDEX(Setup!$H$25:$H$36,MATCH($B192,Setup!$A$25:$A$36,0)),0)*IF(ISNUMBER($H192),$H192,0),2)))</f>
        <v>—</v>
      </c>
      <c r="Q192" s="21" t="str">
        <f t="shared" si="12"/>
        <v>—</v>
      </c>
      <c r="R192" s="21" t="str">
        <f t="shared" si="13"/>
        <v>—</v>
      </c>
      <c r="S192" s="8"/>
      <c r="T192" s="19" t="str">
        <f ca="1">IF(OR(NOT(ISNUMBER($F192)),NOT(ISNUMBER($G192)),NOT(ISNUMBER(Dashboard!$P$2)),NOT(ISNUMBER(Dashboard!$P$3)),$D192="Cancelled",$D192="Owner block"),"—",IF(MAX(0,MIN($G192,Dashboard!$P$3+1)-MAX($F192,Dashboard!$P$2))=0,"—",MAX(0,MIN($G192,Dashboard!$P$3+1)-MAX($F192,Dashboard!$P$2))))</f>
        <v>—</v>
      </c>
      <c r="U192" s="19" t="str">
        <f ca="1">IF(OR(NOT(ISNUMBER($F192)),NOT(ISNUMBER($G192)),NOT(ISNUMBER(Dashboard!$P$2)),NOT(ISNUMBER(Dashboard!$P$3)),$D192&lt;&gt;"Owner block"),"—",IF(MAX(0,MIN($G192,Dashboard!$P$3+1)-MAX($F192,Dashboard!$P$2))=0,"—",MAX(0,MIN($G192,Dashboard!$P$3+1)-MAX($F192,Dashboard!$P$2))))</f>
        <v>—</v>
      </c>
      <c r="V192" s="7" t="str">
        <f>IF($B192="",IF(COUNTA($C192:$G192,$I192:$K192,$S192)=0,"","⚠ no property — not counted"),IF(COUNTIF(Setup!$A$25:$A$36,$B192)=0,"⚠ property not in Setup",IF(AND($F192&lt;&gt;"",NOT(ISNUMBER($F192))),"⚠ check-in is not a real date",IF(AND($G192&lt;&gt;"",NOT(ISNUMBER($G192))),"⚠ check-out is not a real date",IF(AND($J192&lt;&gt;"",NOT(ISNUMBER($J192))),"⚠ booking value is not a number","OK")))))</f>
        <v/>
      </c>
      <c r="W192" s="21" t="str">
        <f t="shared" si="14"/>
        <v>—</v>
      </c>
    </row>
    <row r="193" spans="1:23" x14ac:dyDescent="0.2">
      <c r="A193" s="30">
        <v>189</v>
      </c>
      <c r="B193" s="3"/>
      <c r="C193" s="3"/>
      <c r="D193" s="3"/>
      <c r="E193" s="3"/>
      <c r="F193" s="31"/>
      <c r="G193" s="31"/>
      <c r="H193" s="19" t="str">
        <f t="shared" si="10"/>
        <v>—</v>
      </c>
      <c r="I193" s="32"/>
      <c r="J193" s="6"/>
      <c r="K193" s="33"/>
      <c r="L193" s="21" t="str">
        <f>IF(OR($B193="",NOT(ISNUMBER($J193)),$D193="Cancelled",$D193="Owner block"),"—",ROUND($J193*IF(ISNUMBER($K193),IF($K193&gt;1,$K193/100,$K193),IF(IFERROR(INDEX(Setup!$D$25:$D$36,MATCH($B193,Setup!$A$25:$A$36,0)),0)&gt;1,IFERROR(INDEX(Setup!$D$25:$D$36,MATCH($B193,Setup!$A$25:$A$36,0)),0)/100,IFERROR(INDEX(Setup!$D$25:$D$36,MATCH($B193,Setup!$A$25:$A$36,0)),0))),2))</f>
        <v>—</v>
      </c>
      <c r="M193" s="21" t="str">
        <f t="shared" si="11"/>
        <v>—</v>
      </c>
      <c r="N193" s="21" t="str">
        <f>IF(OR($B193="",$G193="",$D193="Cancelled"),"—",IFERROR(IF(INDEX(Setup!$E$25:$E$36,MATCH($B193,Setup!$A$25:$A$36,0))=0,"—",INDEX(Setup!$E$25:$E$36,MATCH($B193,Setup!$A$25:$A$36,0))),"—"))</f>
        <v>—</v>
      </c>
      <c r="O193" s="21" t="str">
        <f>IF(OR($B193="",$G193="",$D193="Cancelled"),"—",IFERROR(IF(INDEX(Setup!$F$25:$F$36,MATCH($B193,Setup!$A$25:$A$36,0))=0,"—",INDEX(Setup!$F$25:$F$36,MATCH($B193,Setup!$A$25:$A$36,0))),"—"))</f>
        <v>—</v>
      </c>
      <c r="P193" s="21" t="str">
        <f>IF(OR($B193="",$G193="",$D193="Cancelled",$D193="Owner block"),"—",IF(IFERROR(INDEX(Setup!$G$25:$G$36,MATCH($B193,Setup!$A$25:$A$36,0)),0)+IFERROR(INDEX(Setup!$H$25:$H$36,MATCH($B193,Setup!$A$25:$A$36,0)),0)*IF(ISNUMBER($H193),$H193,0)=0,"—",ROUND(IFERROR(INDEX(Setup!$G$25:$G$36,MATCH($B193,Setup!$A$25:$A$36,0)),0)+IFERROR(INDEX(Setup!$H$25:$H$36,MATCH($B193,Setup!$A$25:$A$36,0)),0)*IF(ISNUMBER($H193),$H193,0),2)))</f>
        <v>—</v>
      </c>
      <c r="Q193" s="21" t="str">
        <f t="shared" si="12"/>
        <v>—</v>
      </c>
      <c r="R193" s="21" t="str">
        <f t="shared" si="13"/>
        <v>—</v>
      </c>
      <c r="S193" s="3"/>
      <c r="T193" s="19" t="str">
        <f ca="1">IF(OR(NOT(ISNUMBER($F193)),NOT(ISNUMBER($G193)),NOT(ISNUMBER(Dashboard!$P$2)),NOT(ISNUMBER(Dashboard!$P$3)),$D193="Cancelled",$D193="Owner block"),"—",IF(MAX(0,MIN($G193,Dashboard!$P$3+1)-MAX($F193,Dashboard!$P$2))=0,"—",MAX(0,MIN($G193,Dashboard!$P$3+1)-MAX($F193,Dashboard!$P$2))))</f>
        <v>—</v>
      </c>
      <c r="U193" s="19" t="str">
        <f ca="1">IF(OR(NOT(ISNUMBER($F193)),NOT(ISNUMBER($G193)),NOT(ISNUMBER(Dashboard!$P$2)),NOT(ISNUMBER(Dashboard!$P$3)),$D193&lt;&gt;"Owner block"),"—",IF(MAX(0,MIN($G193,Dashboard!$P$3+1)-MAX($F193,Dashboard!$P$2))=0,"—",MAX(0,MIN($G193,Dashboard!$P$3+1)-MAX($F193,Dashboard!$P$2))))</f>
        <v>—</v>
      </c>
      <c r="V193" s="7" t="str">
        <f>IF($B193="",IF(COUNTA($C193:$G193,$I193:$K193,$S193)=0,"","⚠ no property — not counted"),IF(COUNTIF(Setup!$A$25:$A$36,$B193)=0,"⚠ property not in Setup",IF(AND($F193&lt;&gt;"",NOT(ISNUMBER($F193))),"⚠ check-in is not a real date",IF(AND($G193&lt;&gt;"",NOT(ISNUMBER($G193))),"⚠ check-out is not a real date",IF(AND($J193&lt;&gt;"",NOT(ISNUMBER($J193))),"⚠ booking value is not a number","OK")))))</f>
        <v/>
      </c>
      <c r="W193" s="21" t="str">
        <f t="shared" si="14"/>
        <v>—</v>
      </c>
    </row>
    <row r="194" spans="1:23" x14ac:dyDescent="0.2">
      <c r="A194" s="30">
        <v>190</v>
      </c>
      <c r="B194" s="8"/>
      <c r="C194" s="8"/>
      <c r="D194" s="8"/>
      <c r="E194" s="8"/>
      <c r="F194" s="34"/>
      <c r="G194" s="34"/>
      <c r="H194" s="19" t="str">
        <f t="shared" si="10"/>
        <v>—</v>
      </c>
      <c r="I194" s="35"/>
      <c r="J194" s="11"/>
      <c r="K194" s="36"/>
      <c r="L194" s="21" t="str">
        <f>IF(OR($B194="",NOT(ISNUMBER($J194)),$D194="Cancelled",$D194="Owner block"),"—",ROUND($J194*IF(ISNUMBER($K194),IF($K194&gt;1,$K194/100,$K194),IF(IFERROR(INDEX(Setup!$D$25:$D$36,MATCH($B194,Setup!$A$25:$A$36,0)),0)&gt;1,IFERROR(INDEX(Setup!$D$25:$D$36,MATCH($B194,Setup!$A$25:$A$36,0)),0)/100,IFERROR(INDEX(Setup!$D$25:$D$36,MATCH($B194,Setup!$A$25:$A$36,0)),0))),2))</f>
        <v>—</v>
      </c>
      <c r="M194" s="21" t="str">
        <f t="shared" si="11"/>
        <v>—</v>
      </c>
      <c r="N194" s="21" t="str">
        <f>IF(OR($B194="",$G194="",$D194="Cancelled"),"—",IFERROR(IF(INDEX(Setup!$E$25:$E$36,MATCH($B194,Setup!$A$25:$A$36,0))=0,"—",INDEX(Setup!$E$25:$E$36,MATCH($B194,Setup!$A$25:$A$36,0))),"—"))</f>
        <v>—</v>
      </c>
      <c r="O194" s="21" t="str">
        <f>IF(OR($B194="",$G194="",$D194="Cancelled"),"—",IFERROR(IF(INDEX(Setup!$F$25:$F$36,MATCH($B194,Setup!$A$25:$A$36,0))=0,"—",INDEX(Setup!$F$25:$F$36,MATCH($B194,Setup!$A$25:$A$36,0))),"—"))</f>
        <v>—</v>
      </c>
      <c r="P194" s="21" t="str">
        <f>IF(OR($B194="",$G194="",$D194="Cancelled",$D194="Owner block"),"—",IF(IFERROR(INDEX(Setup!$G$25:$G$36,MATCH($B194,Setup!$A$25:$A$36,0)),0)+IFERROR(INDEX(Setup!$H$25:$H$36,MATCH($B194,Setup!$A$25:$A$36,0)),0)*IF(ISNUMBER($H194),$H194,0)=0,"—",ROUND(IFERROR(INDEX(Setup!$G$25:$G$36,MATCH($B194,Setup!$A$25:$A$36,0)),0)+IFERROR(INDEX(Setup!$H$25:$H$36,MATCH($B194,Setup!$A$25:$A$36,0)),0)*IF(ISNUMBER($H194),$H194,0),2)))</f>
        <v>—</v>
      </c>
      <c r="Q194" s="21" t="str">
        <f t="shared" si="12"/>
        <v>—</v>
      </c>
      <c r="R194" s="21" t="str">
        <f t="shared" si="13"/>
        <v>—</v>
      </c>
      <c r="S194" s="8"/>
      <c r="T194" s="19" t="str">
        <f ca="1">IF(OR(NOT(ISNUMBER($F194)),NOT(ISNUMBER($G194)),NOT(ISNUMBER(Dashboard!$P$2)),NOT(ISNUMBER(Dashboard!$P$3)),$D194="Cancelled",$D194="Owner block"),"—",IF(MAX(0,MIN($G194,Dashboard!$P$3+1)-MAX($F194,Dashboard!$P$2))=0,"—",MAX(0,MIN($G194,Dashboard!$P$3+1)-MAX($F194,Dashboard!$P$2))))</f>
        <v>—</v>
      </c>
      <c r="U194" s="19" t="str">
        <f ca="1">IF(OR(NOT(ISNUMBER($F194)),NOT(ISNUMBER($G194)),NOT(ISNUMBER(Dashboard!$P$2)),NOT(ISNUMBER(Dashboard!$P$3)),$D194&lt;&gt;"Owner block"),"—",IF(MAX(0,MIN($G194,Dashboard!$P$3+1)-MAX($F194,Dashboard!$P$2))=0,"—",MAX(0,MIN($G194,Dashboard!$P$3+1)-MAX($F194,Dashboard!$P$2))))</f>
        <v>—</v>
      </c>
      <c r="V194" s="7" t="str">
        <f>IF($B194="",IF(COUNTA($C194:$G194,$I194:$K194,$S194)=0,"","⚠ no property — not counted"),IF(COUNTIF(Setup!$A$25:$A$36,$B194)=0,"⚠ property not in Setup",IF(AND($F194&lt;&gt;"",NOT(ISNUMBER($F194))),"⚠ check-in is not a real date",IF(AND($G194&lt;&gt;"",NOT(ISNUMBER($G194))),"⚠ check-out is not a real date",IF(AND($J194&lt;&gt;"",NOT(ISNUMBER($J194))),"⚠ booking value is not a number","OK")))))</f>
        <v/>
      </c>
      <c r="W194" s="21" t="str">
        <f t="shared" si="14"/>
        <v>—</v>
      </c>
    </row>
    <row r="195" spans="1:23" x14ac:dyDescent="0.2">
      <c r="A195" s="30">
        <v>191</v>
      </c>
      <c r="B195" s="3"/>
      <c r="C195" s="3"/>
      <c r="D195" s="3"/>
      <c r="E195" s="3"/>
      <c r="F195" s="31"/>
      <c r="G195" s="31"/>
      <c r="H195" s="19" t="str">
        <f t="shared" si="10"/>
        <v>—</v>
      </c>
      <c r="I195" s="32"/>
      <c r="J195" s="6"/>
      <c r="K195" s="33"/>
      <c r="L195" s="21" t="str">
        <f>IF(OR($B195="",NOT(ISNUMBER($J195)),$D195="Cancelled",$D195="Owner block"),"—",ROUND($J195*IF(ISNUMBER($K195),IF($K195&gt;1,$K195/100,$K195),IF(IFERROR(INDEX(Setup!$D$25:$D$36,MATCH($B195,Setup!$A$25:$A$36,0)),0)&gt;1,IFERROR(INDEX(Setup!$D$25:$D$36,MATCH($B195,Setup!$A$25:$A$36,0)),0)/100,IFERROR(INDEX(Setup!$D$25:$D$36,MATCH($B195,Setup!$A$25:$A$36,0)),0))),2))</f>
        <v>—</v>
      </c>
      <c r="M195" s="21" t="str">
        <f t="shared" si="11"/>
        <v>—</v>
      </c>
      <c r="N195" s="21" t="str">
        <f>IF(OR($B195="",$G195="",$D195="Cancelled"),"—",IFERROR(IF(INDEX(Setup!$E$25:$E$36,MATCH($B195,Setup!$A$25:$A$36,0))=0,"—",INDEX(Setup!$E$25:$E$36,MATCH($B195,Setup!$A$25:$A$36,0))),"—"))</f>
        <v>—</v>
      </c>
      <c r="O195" s="21" t="str">
        <f>IF(OR($B195="",$G195="",$D195="Cancelled"),"—",IFERROR(IF(INDEX(Setup!$F$25:$F$36,MATCH($B195,Setup!$A$25:$A$36,0))=0,"—",INDEX(Setup!$F$25:$F$36,MATCH($B195,Setup!$A$25:$A$36,0))),"—"))</f>
        <v>—</v>
      </c>
      <c r="P195" s="21" t="str">
        <f>IF(OR($B195="",$G195="",$D195="Cancelled",$D195="Owner block"),"—",IF(IFERROR(INDEX(Setup!$G$25:$G$36,MATCH($B195,Setup!$A$25:$A$36,0)),0)+IFERROR(INDEX(Setup!$H$25:$H$36,MATCH($B195,Setup!$A$25:$A$36,0)),0)*IF(ISNUMBER($H195),$H195,0)=0,"—",ROUND(IFERROR(INDEX(Setup!$G$25:$G$36,MATCH($B195,Setup!$A$25:$A$36,0)),0)+IFERROR(INDEX(Setup!$H$25:$H$36,MATCH($B195,Setup!$A$25:$A$36,0)),0)*IF(ISNUMBER($H195),$H195,0),2)))</f>
        <v>—</v>
      </c>
      <c r="Q195" s="21" t="str">
        <f t="shared" si="12"/>
        <v>—</v>
      </c>
      <c r="R195" s="21" t="str">
        <f t="shared" si="13"/>
        <v>—</v>
      </c>
      <c r="S195" s="3"/>
      <c r="T195" s="19" t="str">
        <f ca="1">IF(OR(NOT(ISNUMBER($F195)),NOT(ISNUMBER($G195)),NOT(ISNUMBER(Dashboard!$P$2)),NOT(ISNUMBER(Dashboard!$P$3)),$D195="Cancelled",$D195="Owner block"),"—",IF(MAX(0,MIN($G195,Dashboard!$P$3+1)-MAX($F195,Dashboard!$P$2))=0,"—",MAX(0,MIN($G195,Dashboard!$P$3+1)-MAX($F195,Dashboard!$P$2))))</f>
        <v>—</v>
      </c>
      <c r="U195" s="19" t="str">
        <f ca="1">IF(OR(NOT(ISNUMBER($F195)),NOT(ISNUMBER($G195)),NOT(ISNUMBER(Dashboard!$P$2)),NOT(ISNUMBER(Dashboard!$P$3)),$D195&lt;&gt;"Owner block"),"—",IF(MAX(0,MIN($G195,Dashboard!$P$3+1)-MAX($F195,Dashboard!$P$2))=0,"—",MAX(0,MIN($G195,Dashboard!$P$3+1)-MAX($F195,Dashboard!$P$2))))</f>
        <v>—</v>
      </c>
      <c r="V195" s="7" t="str">
        <f>IF($B195="",IF(COUNTA($C195:$G195,$I195:$K195,$S195)=0,"","⚠ no property — not counted"),IF(COUNTIF(Setup!$A$25:$A$36,$B195)=0,"⚠ property not in Setup",IF(AND($F195&lt;&gt;"",NOT(ISNUMBER($F195))),"⚠ check-in is not a real date",IF(AND($G195&lt;&gt;"",NOT(ISNUMBER($G195))),"⚠ check-out is not a real date",IF(AND($J195&lt;&gt;"",NOT(ISNUMBER($J195))),"⚠ booking value is not a number","OK")))))</f>
        <v/>
      </c>
      <c r="W195" s="21" t="str">
        <f t="shared" si="14"/>
        <v>—</v>
      </c>
    </row>
    <row r="196" spans="1:23" x14ac:dyDescent="0.2">
      <c r="A196" s="30">
        <v>192</v>
      </c>
      <c r="B196" s="8"/>
      <c r="C196" s="8"/>
      <c r="D196" s="8"/>
      <c r="E196" s="8"/>
      <c r="F196" s="34"/>
      <c r="G196" s="34"/>
      <c r="H196" s="19" t="str">
        <f t="shared" si="10"/>
        <v>—</v>
      </c>
      <c r="I196" s="35"/>
      <c r="J196" s="11"/>
      <c r="K196" s="36"/>
      <c r="L196" s="21" t="str">
        <f>IF(OR($B196="",NOT(ISNUMBER($J196)),$D196="Cancelled",$D196="Owner block"),"—",ROUND($J196*IF(ISNUMBER($K196),IF($K196&gt;1,$K196/100,$K196),IF(IFERROR(INDEX(Setup!$D$25:$D$36,MATCH($B196,Setup!$A$25:$A$36,0)),0)&gt;1,IFERROR(INDEX(Setup!$D$25:$D$36,MATCH($B196,Setup!$A$25:$A$36,0)),0)/100,IFERROR(INDEX(Setup!$D$25:$D$36,MATCH($B196,Setup!$A$25:$A$36,0)),0))),2))</f>
        <v>—</v>
      </c>
      <c r="M196" s="21" t="str">
        <f t="shared" si="11"/>
        <v>—</v>
      </c>
      <c r="N196" s="21" t="str">
        <f>IF(OR($B196="",$G196="",$D196="Cancelled"),"—",IFERROR(IF(INDEX(Setup!$E$25:$E$36,MATCH($B196,Setup!$A$25:$A$36,0))=0,"—",INDEX(Setup!$E$25:$E$36,MATCH($B196,Setup!$A$25:$A$36,0))),"—"))</f>
        <v>—</v>
      </c>
      <c r="O196" s="21" t="str">
        <f>IF(OR($B196="",$G196="",$D196="Cancelled"),"—",IFERROR(IF(INDEX(Setup!$F$25:$F$36,MATCH($B196,Setup!$A$25:$A$36,0))=0,"—",INDEX(Setup!$F$25:$F$36,MATCH($B196,Setup!$A$25:$A$36,0))),"—"))</f>
        <v>—</v>
      </c>
      <c r="P196" s="21" t="str">
        <f>IF(OR($B196="",$G196="",$D196="Cancelled",$D196="Owner block"),"—",IF(IFERROR(INDEX(Setup!$G$25:$G$36,MATCH($B196,Setup!$A$25:$A$36,0)),0)+IFERROR(INDEX(Setup!$H$25:$H$36,MATCH($B196,Setup!$A$25:$A$36,0)),0)*IF(ISNUMBER($H196),$H196,0)=0,"—",ROUND(IFERROR(INDEX(Setup!$G$25:$G$36,MATCH($B196,Setup!$A$25:$A$36,0)),0)+IFERROR(INDEX(Setup!$H$25:$H$36,MATCH($B196,Setup!$A$25:$A$36,0)),0)*IF(ISNUMBER($H196),$H196,0),2)))</f>
        <v>—</v>
      </c>
      <c r="Q196" s="21" t="str">
        <f t="shared" si="12"/>
        <v>—</v>
      </c>
      <c r="R196" s="21" t="str">
        <f t="shared" si="13"/>
        <v>—</v>
      </c>
      <c r="S196" s="8"/>
      <c r="T196" s="19" t="str">
        <f ca="1">IF(OR(NOT(ISNUMBER($F196)),NOT(ISNUMBER($G196)),NOT(ISNUMBER(Dashboard!$P$2)),NOT(ISNUMBER(Dashboard!$P$3)),$D196="Cancelled",$D196="Owner block"),"—",IF(MAX(0,MIN($G196,Dashboard!$P$3+1)-MAX($F196,Dashboard!$P$2))=0,"—",MAX(0,MIN($G196,Dashboard!$P$3+1)-MAX($F196,Dashboard!$P$2))))</f>
        <v>—</v>
      </c>
      <c r="U196" s="19" t="str">
        <f ca="1">IF(OR(NOT(ISNUMBER($F196)),NOT(ISNUMBER($G196)),NOT(ISNUMBER(Dashboard!$P$2)),NOT(ISNUMBER(Dashboard!$P$3)),$D196&lt;&gt;"Owner block"),"—",IF(MAX(0,MIN($G196,Dashboard!$P$3+1)-MAX($F196,Dashboard!$P$2))=0,"—",MAX(0,MIN($G196,Dashboard!$P$3+1)-MAX($F196,Dashboard!$P$2))))</f>
        <v>—</v>
      </c>
      <c r="V196" s="7" t="str">
        <f>IF($B196="",IF(COUNTA($C196:$G196,$I196:$K196,$S196)=0,"","⚠ no property — not counted"),IF(COUNTIF(Setup!$A$25:$A$36,$B196)=0,"⚠ property not in Setup",IF(AND($F196&lt;&gt;"",NOT(ISNUMBER($F196))),"⚠ check-in is not a real date",IF(AND($G196&lt;&gt;"",NOT(ISNUMBER($G196))),"⚠ check-out is not a real date",IF(AND($J196&lt;&gt;"",NOT(ISNUMBER($J196))),"⚠ booking value is not a number","OK")))))</f>
        <v/>
      </c>
      <c r="W196" s="21" t="str">
        <f t="shared" si="14"/>
        <v>—</v>
      </c>
    </row>
    <row r="197" spans="1:23" x14ac:dyDescent="0.2">
      <c r="A197" s="30">
        <v>193</v>
      </c>
      <c r="B197" s="3"/>
      <c r="C197" s="3"/>
      <c r="D197" s="3"/>
      <c r="E197" s="3"/>
      <c r="F197" s="31"/>
      <c r="G197" s="31"/>
      <c r="H197" s="19" t="str">
        <f t="shared" ref="H197:H260" si="15">IF(OR(NOT(ISNUMBER($F197)),NOT(ISNUMBER($G197))),"—",IF($G197&lt;=$F197,"⚠ check dates",$G197-$F197))</f>
        <v>—</v>
      </c>
      <c r="I197" s="32"/>
      <c r="J197" s="6"/>
      <c r="K197" s="33"/>
      <c r="L197" s="21" t="str">
        <f>IF(OR($B197="",NOT(ISNUMBER($J197)),$D197="Cancelled",$D197="Owner block"),"—",ROUND($J197*IF(ISNUMBER($K197),IF($K197&gt;1,$K197/100,$K197),IF(IFERROR(INDEX(Setup!$D$25:$D$36,MATCH($B197,Setup!$A$25:$A$36,0)),0)&gt;1,IFERROR(INDEX(Setup!$D$25:$D$36,MATCH($B197,Setup!$A$25:$A$36,0)),0)/100,IFERROR(INDEX(Setup!$D$25:$D$36,MATCH($B197,Setup!$A$25:$A$36,0)),0))),2))</f>
        <v>—</v>
      </c>
      <c r="M197" s="21" t="str">
        <f t="shared" ref="M197:M260" si="16">IF(NOT(ISNUMBER($L197)),"—",ROUND($J197-$L197,2))</f>
        <v>—</v>
      </c>
      <c r="N197" s="21" t="str">
        <f>IF(OR($B197="",$G197="",$D197="Cancelled"),"—",IFERROR(IF(INDEX(Setup!$E$25:$E$36,MATCH($B197,Setup!$A$25:$A$36,0))=0,"—",INDEX(Setup!$E$25:$E$36,MATCH($B197,Setup!$A$25:$A$36,0))),"—"))</f>
        <v>—</v>
      </c>
      <c r="O197" s="21" t="str">
        <f>IF(OR($B197="",$G197="",$D197="Cancelled"),"—",IFERROR(IF(INDEX(Setup!$F$25:$F$36,MATCH($B197,Setup!$A$25:$A$36,0))=0,"—",INDEX(Setup!$F$25:$F$36,MATCH($B197,Setup!$A$25:$A$36,0))),"—"))</f>
        <v>—</v>
      </c>
      <c r="P197" s="21" t="str">
        <f>IF(OR($B197="",$G197="",$D197="Cancelled",$D197="Owner block"),"—",IF(IFERROR(INDEX(Setup!$G$25:$G$36,MATCH($B197,Setup!$A$25:$A$36,0)),0)+IFERROR(INDEX(Setup!$H$25:$H$36,MATCH($B197,Setup!$A$25:$A$36,0)),0)*IF(ISNUMBER($H197),$H197,0)=0,"—",ROUND(IFERROR(INDEX(Setup!$G$25:$G$36,MATCH($B197,Setup!$A$25:$A$36,0)),0)+IFERROR(INDEX(Setup!$H$25:$H$36,MATCH($B197,Setup!$A$25:$A$36,0)),0)*IF(ISNUMBER($H197),$H197,0),2)))</f>
        <v>—</v>
      </c>
      <c r="Q197" s="21" t="str">
        <f t="shared" ref="Q197:Q260" si="17">IF(OR($B197="",$D197="Cancelled"),"—",IF(AND(NOT(ISNUMBER($M197)),COUNT($N197:$P197)=0),"—",ROUND(IF(ISNUMBER($M197),$M197,0)-SUM($N197:$P197),2)))</f>
        <v>—</v>
      </c>
      <c r="R197" s="21" t="str">
        <f t="shared" ref="R197:R260" si="18">IF(OR(NOT(ISNUMBER($Q197)),NOT(ISNUMBER($H197)),$H197&lt;=0),"—",ROUND($Q197/$H197,2))</f>
        <v>—</v>
      </c>
      <c r="S197" s="3"/>
      <c r="T197" s="19" t="str">
        <f ca="1">IF(OR(NOT(ISNUMBER($F197)),NOT(ISNUMBER($G197)),NOT(ISNUMBER(Dashboard!$P$2)),NOT(ISNUMBER(Dashboard!$P$3)),$D197="Cancelled",$D197="Owner block"),"—",IF(MAX(0,MIN($G197,Dashboard!$P$3+1)-MAX($F197,Dashboard!$P$2))=0,"—",MAX(0,MIN($G197,Dashboard!$P$3+1)-MAX($F197,Dashboard!$P$2))))</f>
        <v>—</v>
      </c>
      <c r="U197" s="19" t="str">
        <f ca="1">IF(OR(NOT(ISNUMBER($F197)),NOT(ISNUMBER($G197)),NOT(ISNUMBER(Dashboard!$P$2)),NOT(ISNUMBER(Dashboard!$P$3)),$D197&lt;&gt;"Owner block"),"—",IF(MAX(0,MIN($G197,Dashboard!$P$3+1)-MAX($F197,Dashboard!$P$2))=0,"—",MAX(0,MIN($G197,Dashboard!$P$3+1)-MAX($F197,Dashboard!$P$2))))</f>
        <v>—</v>
      </c>
      <c r="V197" s="7" t="str">
        <f>IF($B197="",IF(COUNTA($C197:$G197,$I197:$K197,$S197)=0,"","⚠ no property — not counted"),IF(COUNTIF(Setup!$A$25:$A$36,$B197)=0,"⚠ property not in Setup",IF(AND($F197&lt;&gt;"",NOT(ISNUMBER($F197))),"⚠ check-in is not a real date",IF(AND($G197&lt;&gt;"",NOT(ISNUMBER($G197))),"⚠ check-out is not a real date",IF(AND($J197&lt;&gt;"",NOT(ISNUMBER($J197))),"⚠ booking value is not a number","OK")))))</f>
        <v/>
      </c>
      <c r="W197" s="21" t="str">
        <f t="shared" ref="W197:W260" si="19">IF(OR($B197="",NOT(ISNUMBER($J197)),$D197="Cancelled",$D197="Owner block"),"—",$J197)</f>
        <v>—</v>
      </c>
    </row>
    <row r="198" spans="1:23" x14ac:dyDescent="0.2">
      <c r="A198" s="30">
        <v>194</v>
      </c>
      <c r="B198" s="8"/>
      <c r="C198" s="8"/>
      <c r="D198" s="8"/>
      <c r="E198" s="8"/>
      <c r="F198" s="34"/>
      <c r="G198" s="34"/>
      <c r="H198" s="19" t="str">
        <f t="shared" si="15"/>
        <v>—</v>
      </c>
      <c r="I198" s="35"/>
      <c r="J198" s="11"/>
      <c r="K198" s="36"/>
      <c r="L198" s="21" t="str">
        <f>IF(OR($B198="",NOT(ISNUMBER($J198)),$D198="Cancelled",$D198="Owner block"),"—",ROUND($J198*IF(ISNUMBER($K198),IF($K198&gt;1,$K198/100,$K198),IF(IFERROR(INDEX(Setup!$D$25:$D$36,MATCH($B198,Setup!$A$25:$A$36,0)),0)&gt;1,IFERROR(INDEX(Setup!$D$25:$D$36,MATCH($B198,Setup!$A$25:$A$36,0)),0)/100,IFERROR(INDEX(Setup!$D$25:$D$36,MATCH($B198,Setup!$A$25:$A$36,0)),0))),2))</f>
        <v>—</v>
      </c>
      <c r="M198" s="21" t="str">
        <f t="shared" si="16"/>
        <v>—</v>
      </c>
      <c r="N198" s="21" t="str">
        <f>IF(OR($B198="",$G198="",$D198="Cancelled"),"—",IFERROR(IF(INDEX(Setup!$E$25:$E$36,MATCH($B198,Setup!$A$25:$A$36,0))=0,"—",INDEX(Setup!$E$25:$E$36,MATCH($B198,Setup!$A$25:$A$36,0))),"—"))</f>
        <v>—</v>
      </c>
      <c r="O198" s="21" t="str">
        <f>IF(OR($B198="",$G198="",$D198="Cancelled"),"—",IFERROR(IF(INDEX(Setup!$F$25:$F$36,MATCH($B198,Setup!$A$25:$A$36,0))=0,"—",INDEX(Setup!$F$25:$F$36,MATCH($B198,Setup!$A$25:$A$36,0))),"—"))</f>
        <v>—</v>
      </c>
      <c r="P198" s="21" t="str">
        <f>IF(OR($B198="",$G198="",$D198="Cancelled",$D198="Owner block"),"—",IF(IFERROR(INDEX(Setup!$G$25:$G$36,MATCH($B198,Setup!$A$25:$A$36,0)),0)+IFERROR(INDEX(Setup!$H$25:$H$36,MATCH($B198,Setup!$A$25:$A$36,0)),0)*IF(ISNUMBER($H198),$H198,0)=0,"—",ROUND(IFERROR(INDEX(Setup!$G$25:$G$36,MATCH($B198,Setup!$A$25:$A$36,0)),0)+IFERROR(INDEX(Setup!$H$25:$H$36,MATCH($B198,Setup!$A$25:$A$36,0)),0)*IF(ISNUMBER($H198),$H198,0),2)))</f>
        <v>—</v>
      </c>
      <c r="Q198" s="21" t="str">
        <f t="shared" si="17"/>
        <v>—</v>
      </c>
      <c r="R198" s="21" t="str">
        <f t="shared" si="18"/>
        <v>—</v>
      </c>
      <c r="S198" s="8"/>
      <c r="T198" s="19" t="str">
        <f ca="1">IF(OR(NOT(ISNUMBER($F198)),NOT(ISNUMBER($G198)),NOT(ISNUMBER(Dashboard!$P$2)),NOT(ISNUMBER(Dashboard!$P$3)),$D198="Cancelled",$D198="Owner block"),"—",IF(MAX(0,MIN($G198,Dashboard!$P$3+1)-MAX($F198,Dashboard!$P$2))=0,"—",MAX(0,MIN($G198,Dashboard!$P$3+1)-MAX($F198,Dashboard!$P$2))))</f>
        <v>—</v>
      </c>
      <c r="U198" s="19" t="str">
        <f ca="1">IF(OR(NOT(ISNUMBER($F198)),NOT(ISNUMBER($G198)),NOT(ISNUMBER(Dashboard!$P$2)),NOT(ISNUMBER(Dashboard!$P$3)),$D198&lt;&gt;"Owner block"),"—",IF(MAX(0,MIN($G198,Dashboard!$P$3+1)-MAX($F198,Dashboard!$P$2))=0,"—",MAX(0,MIN($G198,Dashboard!$P$3+1)-MAX($F198,Dashboard!$P$2))))</f>
        <v>—</v>
      </c>
      <c r="V198" s="7" t="str">
        <f>IF($B198="",IF(COUNTA($C198:$G198,$I198:$K198,$S198)=0,"","⚠ no property — not counted"),IF(COUNTIF(Setup!$A$25:$A$36,$B198)=0,"⚠ property not in Setup",IF(AND($F198&lt;&gt;"",NOT(ISNUMBER($F198))),"⚠ check-in is not a real date",IF(AND($G198&lt;&gt;"",NOT(ISNUMBER($G198))),"⚠ check-out is not a real date",IF(AND($J198&lt;&gt;"",NOT(ISNUMBER($J198))),"⚠ booking value is not a number","OK")))))</f>
        <v/>
      </c>
      <c r="W198" s="21" t="str">
        <f t="shared" si="19"/>
        <v>—</v>
      </c>
    </row>
    <row r="199" spans="1:23" x14ac:dyDescent="0.2">
      <c r="A199" s="30">
        <v>195</v>
      </c>
      <c r="B199" s="3"/>
      <c r="C199" s="3"/>
      <c r="D199" s="3"/>
      <c r="E199" s="3"/>
      <c r="F199" s="31"/>
      <c r="G199" s="31"/>
      <c r="H199" s="19" t="str">
        <f t="shared" si="15"/>
        <v>—</v>
      </c>
      <c r="I199" s="32"/>
      <c r="J199" s="6"/>
      <c r="K199" s="33"/>
      <c r="L199" s="21" t="str">
        <f>IF(OR($B199="",NOT(ISNUMBER($J199)),$D199="Cancelled",$D199="Owner block"),"—",ROUND($J199*IF(ISNUMBER($K199),IF($K199&gt;1,$K199/100,$K199),IF(IFERROR(INDEX(Setup!$D$25:$D$36,MATCH($B199,Setup!$A$25:$A$36,0)),0)&gt;1,IFERROR(INDEX(Setup!$D$25:$D$36,MATCH($B199,Setup!$A$25:$A$36,0)),0)/100,IFERROR(INDEX(Setup!$D$25:$D$36,MATCH($B199,Setup!$A$25:$A$36,0)),0))),2))</f>
        <v>—</v>
      </c>
      <c r="M199" s="21" t="str">
        <f t="shared" si="16"/>
        <v>—</v>
      </c>
      <c r="N199" s="21" t="str">
        <f>IF(OR($B199="",$G199="",$D199="Cancelled"),"—",IFERROR(IF(INDEX(Setup!$E$25:$E$36,MATCH($B199,Setup!$A$25:$A$36,0))=0,"—",INDEX(Setup!$E$25:$E$36,MATCH($B199,Setup!$A$25:$A$36,0))),"—"))</f>
        <v>—</v>
      </c>
      <c r="O199" s="21" t="str">
        <f>IF(OR($B199="",$G199="",$D199="Cancelled"),"—",IFERROR(IF(INDEX(Setup!$F$25:$F$36,MATCH($B199,Setup!$A$25:$A$36,0))=0,"—",INDEX(Setup!$F$25:$F$36,MATCH($B199,Setup!$A$25:$A$36,0))),"—"))</f>
        <v>—</v>
      </c>
      <c r="P199" s="21" t="str">
        <f>IF(OR($B199="",$G199="",$D199="Cancelled",$D199="Owner block"),"—",IF(IFERROR(INDEX(Setup!$G$25:$G$36,MATCH($B199,Setup!$A$25:$A$36,0)),0)+IFERROR(INDEX(Setup!$H$25:$H$36,MATCH($B199,Setup!$A$25:$A$36,0)),0)*IF(ISNUMBER($H199),$H199,0)=0,"—",ROUND(IFERROR(INDEX(Setup!$G$25:$G$36,MATCH($B199,Setup!$A$25:$A$36,0)),0)+IFERROR(INDEX(Setup!$H$25:$H$36,MATCH($B199,Setup!$A$25:$A$36,0)),0)*IF(ISNUMBER($H199),$H199,0),2)))</f>
        <v>—</v>
      </c>
      <c r="Q199" s="21" t="str">
        <f t="shared" si="17"/>
        <v>—</v>
      </c>
      <c r="R199" s="21" t="str">
        <f t="shared" si="18"/>
        <v>—</v>
      </c>
      <c r="S199" s="3"/>
      <c r="T199" s="19" t="str">
        <f ca="1">IF(OR(NOT(ISNUMBER($F199)),NOT(ISNUMBER($G199)),NOT(ISNUMBER(Dashboard!$P$2)),NOT(ISNUMBER(Dashboard!$P$3)),$D199="Cancelled",$D199="Owner block"),"—",IF(MAX(0,MIN($G199,Dashboard!$P$3+1)-MAX($F199,Dashboard!$P$2))=0,"—",MAX(0,MIN($G199,Dashboard!$P$3+1)-MAX($F199,Dashboard!$P$2))))</f>
        <v>—</v>
      </c>
      <c r="U199" s="19" t="str">
        <f ca="1">IF(OR(NOT(ISNUMBER($F199)),NOT(ISNUMBER($G199)),NOT(ISNUMBER(Dashboard!$P$2)),NOT(ISNUMBER(Dashboard!$P$3)),$D199&lt;&gt;"Owner block"),"—",IF(MAX(0,MIN($G199,Dashboard!$P$3+1)-MAX($F199,Dashboard!$P$2))=0,"—",MAX(0,MIN($G199,Dashboard!$P$3+1)-MAX($F199,Dashboard!$P$2))))</f>
        <v>—</v>
      </c>
      <c r="V199" s="7" t="str">
        <f>IF($B199="",IF(COUNTA($C199:$G199,$I199:$K199,$S199)=0,"","⚠ no property — not counted"),IF(COUNTIF(Setup!$A$25:$A$36,$B199)=0,"⚠ property not in Setup",IF(AND($F199&lt;&gt;"",NOT(ISNUMBER($F199))),"⚠ check-in is not a real date",IF(AND($G199&lt;&gt;"",NOT(ISNUMBER($G199))),"⚠ check-out is not a real date",IF(AND($J199&lt;&gt;"",NOT(ISNUMBER($J199))),"⚠ booking value is not a number","OK")))))</f>
        <v/>
      </c>
      <c r="W199" s="21" t="str">
        <f t="shared" si="19"/>
        <v>—</v>
      </c>
    </row>
    <row r="200" spans="1:23" x14ac:dyDescent="0.2">
      <c r="A200" s="30">
        <v>196</v>
      </c>
      <c r="B200" s="8"/>
      <c r="C200" s="8"/>
      <c r="D200" s="8"/>
      <c r="E200" s="8"/>
      <c r="F200" s="34"/>
      <c r="G200" s="34"/>
      <c r="H200" s="19" t="str">
        <f t="shared" si="15"/>
        <v>—</v>
      </c>
      <c r="I200" s="35"/>
      <c r="J200" s="11"/>
      <c r="K200" s="36"/>
      <c r="L200" s="21" t="str">
        <f>IF(OR($B200="",NOT(ISNUMBER($J200)),$D200="Cancelled",$D200="Owner block"),"—",ROUND($J200*IF(ISNUMBER($K200),IF($K200&gt;1,$K200/100,$K200),IF(IFERROR(INDEX(Setup!$D$25:$D$36,MATCH($B200,Setup!$A$25:$A$36,0)),0)&gt;1,IFERROR(INDEX(Setup!$D$25:$D$36,MATCH($B200,Setup!$A$25:$A$36,0)),0)/100,IFERROR(INDEX(Setup!$D$25:$D$36,MATCH($B200,Setup!$A$25:$A$36,0)),0))),2))</f>
        <v>—</v>
      </c>
      <c r="M200" s="21" t="str">
        <f t="shared" si="16"/>
        <v>—</v>
      </c>
      <c r="N200" s="21" t="str">
        <f>IF(OR($B200="",$G200="",$D200="Cancelled"),"—",IFERROR(IF(INDEX(Setup!$E$25:$E$36,MATCH($B200,Setup!$A$25:$A$36,0))=0,"—",INDEX(Setup!$E$25:$E$36,MATCH($B200,Setup!$A$25:$A$36,0))),"—"))</f>
        <v>—</v>
      </c>
      <c r="O200" s="21" t="str">
        <f>IF(OR($B200="",$G200="",$D200="Cancelled"),"—",IFERROR(IF(INDEX(Setup!$F$25:$F$36,MATCH($B200,Setup!$A$25:$A$36,0))=0,"—",INDEX(Setup!$F$25:$F$36,MATCH($B200,Setup!$A$25:$A$36,0))),"—"))</f>
        <v>—</v>
      </c>
      <c r="P200" s="21" t="str">
        <f>IF(OR($B200="",$G200="",$D200="Cancelled",$D200="Owner block"),"—",IF(IFERROR(INDEX(Setup!$G$25:$G$36,MATCH($B200,Setup!$A$25:$A$36,0)),0)+IFERROR(INDEX(Setup!$H$25:$H$36,MATCH($B200,Setup!$A$25:$A$36,0)),0)*IF(ISNUMBER($H200),$H200,0)=0,"—",ROUND(IFERROR(INDEX(Setup!$G$25:$G$36,MATCH($B200,Setup!$A$25:$A$36,0)),0)+IFERROR(INDEX(Setup!$H$25:$H$36,MATCH($B200,Setup!$A$25:$A$36,0)),0)*IF(ISNUMBER($H200),$H200,0),2)))</f>
        <v>—</v>
      </c>
      <c r="Q200" s="21" t="str">
        <f t="shared" si="17"/>
        <v>—</v>
      </c>
      <c r="R200" s="21" t="str">
        <f t="shared" si="18"/>
        <v>—</v>
      </c>
      <c r="S200" s="8"/>
      <c r="T200" s="19" t="str">
        <f ca="1">IF(OR(NOT(ISNUMBER($F200)),NOT(ISNUMBER($G200)),NOT(ISNUMBER(Dashboard!$P$2)),NOT(ISNUMBER(Dashboard!$P$3)),$D200="Cancelled",$D200="Owner block"),"—",IF(MAX(0,MIN($G200,Dashboard!$P$3+1)-MAX($F200,Dashboard!$P$2))=0,"—",MAX(0,MIN($G200,Dashboard!$P$3+1)-MAX($F200,Dashboard!$P$2))))</f>
        <v>—</v>
      </c>
      <c r="U200" s="19" t="str">
        <f ca="1">IF(OR(NOT(ISNUMBER($F200)),NOT(ISNUMBER($G200)),NOT(ISNUMBER(Dashboard!$P$2)),NOT(ISNUMBER(Dashboard!$P$3)),$D200&lt;&gt;"Owner block"),"—",IF(MAX(0,MIN($G200,Dashboard!$P$3+1)-MAX($F200,Dashboard!$P$2))=0,"—",MAX(0,MIN($G200,Dashboard!$P$3+1)-MAX($F200,Dashboard!$P$2))))</f>
        <v>—</v>
      </c>
      <c r="V200" s="7" t="str">
        <f>IF($B200="",IF(COUNTA($C200:$G200,$I200:$K200,$S200)=0,"","⚠ no property — not counted"),IF(COUNTIF(Setup!$A$25:$A$36,$B200)=0,"⚠ property not in Setup",IF(AND($F200&lt;&gt;"",NOT(ISNUMBER($F200))),"⚠ check-in is not a real date",IF(AND($G200&lt;&gt;"",NOT(ISNUMBER($G200))),"⚠ check-out is not a real date",IF(AND($J200&lt;&gt;"",NOT(ISNUMBER($J200))),"⚠ booking value is not a number","OK")))))</f>
        <v/>
      </c>
      <c r="W200" s="21" t="str">
        <f t="shared" si="19"/>
        <v>—</v>
      </c>
    </row>
    <row r="201" spans="1:23" x14ac:dyDescent="0.2">
      <c r="A201" s="30">
        <v>197</v>
      </c>
      <c r="B201" s="3"/>
      <c r="C201" s="3"/>
      <c r="D201" s="3"/>
      <c r="E201" s="3"/>
      <c r="F201" s="31"/>
      <c r="G201" s="31"/>
      <c r="H201" s="19" t="str">
        <f t="shared" si="15"/>
        <v>—</v>
      </c>
      <c r="I201" s="32"/>
      <c r="J201" s="6"/>
      <c r="K201" s="33"/>
      <c r="L201" s="21" t="str">
        <f>IF(OR($B201="",NOT(ISNUMBER($J201)),$D201="Cancelled",$D201="Owner block"),"—",ROUND($J201*IF(ISNUMBER($K201),IF($K201&gt;1,$K201/100,$K201),IF(IFERROR(INDEX(Setup!$D$25:$D$36,MATCH($B201,Setup!$A$25:$A$36,0)),0)&gt;1,IFERROR(INDEX(Setup!$D$25:$D$36,MATCH($B201,Setup!$A$25:$A$36,0)),0)/100,IFERROR(INDEX(Setup!$D$25:$D$36,MATCH($B201,Setup!$A$25:$A$36,0)),0))),2))</f>
        <v>—</v>
      </c>
      <c r="M201" s="21" t="str">
        <f t="shared" si="16"/>
        <v>—</v>
      </c>
      <c r="N201" s="21" t="str">
        <f>IF(OR($B201="",$G201="",$D201="Cancelled"),"—",IFERROR(IF(INDEX(Setup!$E$25:$E$36,MATCH($B201,Setup!$A$25:$A$36,0))=0,"—",INDEX(Setup!$E$25:$E$36,MATCH($B201,Setup!$A$25:$A$36,0))),"—"))</f>
        <v>—</v>
      </c>
      <c r="O201" s="21" t="str">
        <f>IF(OR($B201="",$G201="",$D201="Cancelled"),"—",IFERROR(IF(INDEX(Setup!$F$25:$F$36,MATCH($B201,Setup!$A$25:$A$36,0))=0,"—",INDEX(Setup!$F$25:$F$36,MATCH($B201,Setup!$A$25:$A$36,0))),"—"))</f>
        <v>—</v>
      </c>
      <c r="P201" s="21" t="str">
        <f>IF(OR($B201="",$G201="",$D201="Cancelled",$D201="Owner block"),"—",IF(IFERROR(INDEX(Setup!$G$25:$G$36,MATCH($B201,Setup!$A$25:$A$36,0)),0)+IFERROR(INDEX(Setup!$H$25:$H$36,MATCH($B201,Setup!$A$25:$A$36,0)),0)*IF(ISNUMBER($H201),$H201,0)=0,"—",ROUND(IFERROR(INDEX(Setup!$G$25:$G$36,MATCH($B201,Setup!$A$25:$A$36,0)),0)+IFERROR(INDEX(Setup!$H$25:$H$36,MATCH($B201,Setup!$A$25:$A$36,0)),0)*IF(ISNUMBER($H201),$H201,0),2)))</f>
        <v>—</v>
      </c>
      <c r="Q201" s="21" t="str">
        <f t="shared" si="17"/>
        <v>—</v>
      </c>
      <c r="R201" s="21" t="str">
        <f t="shared" si="18"/>
        <v>—</v>
      </c>
      <c r="S201" s="3"/>
      <c r="T201" s="19" t="str">
        <f ca="1">IF(OR(NOT(ISNUMBER($F201)),NOT(ISNUMBER($G201)),NOT(ISNUMBER(Dashboard!$P$2)),NOT(ISNUMBER(Dashboard!$P$3)),$D201="Cancelled",$D201="Owner block"),"—",IF(MAX(0,MIN($G201,Dashboard!$P$3+1)-MAX($F201,Dashboard!$P$2))=0,"—",MAX(0,MIN($G201,Dashboard!$P$3+1)-MAX($F201,Dashboard!$P$2))))</f>
        <v>—</v>
      </c>
      <c r="U201" s="19" t="str">
        <f ca="1">IF(OR(NOT(ISNUMBER($F201)),NOT(ISNUMBER($G201)),NOT(ISNUMBER(Dashboard!$P$2)),NOT(ISNUMBER(Dashboard!$P$3)),$D201&lt;&gt;"Owner block"),"—",IF(MAX(0,MIN($G201,Dashboard!$P$3+1)-MAX($F201,Dashboard!$P$2))=0,"—",MAX(0,MIN($G201,Dashboard!$P$3+1)-MAX($F201,Dashboard!$P$2))))</f>
        <v>—</v>
      </c>
      <c r="V201" s="7" t="str">
        <f>IF($B201="",IF(COUNTA($C201:$G201,$I201:$K201,$S201)=0,"","⚠ no property — not counted"),IF(COUNTIF(Setup!$A$25:$A$36,$B201)=0,"⚠ property not in Setup",IF(AND($F201&lt;&gt;"",NOT(ISNUMBER($F201))),"⚠ check-in is not a real date",IF(AND($G201&lt;&gt;"",NOT(ISNUMBER($G201))),"⚠ check-out is not a real date",IF(AND($J201&lt;&gt;"",NOT(ISNUMBER($J201))),"⚠ booking value is not a number","OK")))))</f>
        <v/>
      </c>
      <c r="W201" s="21" t="str">
        <f t="shared" si="19"/>
        <v>—</v>
      </c>
    </row>
    <row r="202" spans="1:23" x14ac:dyDescent="0.2">
      <c r="A202" s="30">
        <v>198</v>
      </c>
      <c r="B202" s="8"/>
      <c r="C202" s="8"/>
      <c r="D202" s="8"/>
      <c r="E202" s="8"/>
      <c r="F202" s="34"/>
      <c r="G202" s="34"/>
      <c r="H202" s="19" t="str">
        <f t="shared" si="15"/>
        <v>—</v>
      </c>
      <c r="I202" s="35"/>
      <c r="J202" s="11"/>
      <c r="K202" s="36"/>
      <c r="L202" s="21" t="str">
        <f>IF(OR($B202="",NOT(ISNUMBER($J202)),$D202="Cancelled",$D202="Owner block"),"—",ROUND($J202*IF(ISNUMBER($K202),IF($K202&gt;1,$K202/100,$K202),IF(IFERROR(INDEX(Setup!$D$25:$D$36,MATCH($B202,Setup!$A$25:$A$36,0)),0)&gt;1,IFERROR(INDEX(Setup!$D$25:$D$36,MATCH($B202,Setup!$A$25:$A$36,0)),0)/100,IFERROR(INDEX(Setup!$D$25:$D$36,MATCH($B202,Setup!$A$25:$A$36,0)),0))),2))</f>
        <v>—</v>
      </c>
      <c r="M202" s="21" t="str">
        <f t="shared" si="16"/>
        <v>—</v>
      </c>
      <c r="N202" s="21" t="str">
        <f>IF(OR($B202="",$G202="",$D202="Cancelled"),"—",IFERROR(IF(INDEX(Setup!$E$25:$E$36,MATCH($B202,Setup!$A$25:$A$36,0))=0,"—",INDEX(Setup!$E$25:$E$36,MATCH($B202,Setup!$A$25:$A$36,0))),"—"))</f>
        <v>—</v>
      </c>
      <c r="O202" s="21" t="str">
        <f>IF(OR($B202="",$G202="",$D202="Cancelled"),"—",IFERROR(IF(INDEX(Setup!$F$25:$F$36,MATCH($B202,Setup!$A$25:$A$36,0))=0,"—",INDEX(Setup!$F$25:$F$36,MATCH($B202,Setup!$A$25:$A$36,0))),"—"))</f>
        <v>—</v>
      </c>
      <c r="P202" s="21" t="str">
        <f>IF(OR($B202="",$G202="",$D202="Cancelled",$D202="Owner block"),"—",IF(IFERROR(INDEX(Setup!$G$25:$G$36,MATCH($B202,Setup!$A$25:$A$36,0)),0)+IFERROR(INDEX(Setup!$H$25:$H$36,MATCH($B202,Setup!$A$25:$A$36,0)),0)*IF(ISNUMBER($H202),$H202,0)=0,"—",ROUND(IFERROR(INDEX(Setup!$G$25:$G$36,MATCH($B202,Setup!$A$25:$A$36,0)),0)+IFERROR(INDEX(Setup!$H$25:$H$36,MATCH($B202,Setup!$A$25:$A$36,0)),0)*IF(ISNUMBER($H202),$H202,0),2)))</f>
        <v>—</v>
      </c>
      <c r="Q202" s="21" t="str">
        <f t="shared" si="17"/>
        <v>—</v>
      </c>
      <c r="R202" s="21" t="str">
        <f t="shared" si="18"/>
        <v>—</v>
      </c>
      <c r="S202" s="8"/>
      <c r="T202" s="19" t="str">
        <f ca="1">IF(OR(NOT(ISNUMBER($F202)),NOT(ISNUMBER($G202)),NOT(ISNUMBER(Dashboard!$P$2)),NOT(ISNUMBER(Dashboard!$P$3)),$D202="Cancelled",$D202="Owner block"),"—",IF(MAX(0,MIN($G202,Dashboard!$P$3+1)-MAX($F202,Dashboard!$P$2))=0,"—",MAX(0,MIN($G202,Dashboard!$P$3+1)-MAX($F202,Dashboard!$P$2))))</f>
        <v>—</v>
      </c>
      <c r="U202" s="19" t="str">
        <f ca="1">IF(OR(NOT(ISNUMBER($F202)),NOT(ISNUMBER($G202)),NOT(ISNUMBER(Dashboard!$P$2)),NOT(ISNUMBER(Dashboard!$P$3)),$D202&lt;&gt;"Owner block"),"—",IF(MAX(0,MIN($G202,Dashboard!$P$3+1)-MAX($F202,Dashboard!$P$2))=0,"—",MAX(0,MIN($G202,Dashboard!$P$3+1)-MAX($F202,Dashboard!$P$2))))</f>
        <v>—</v>
      </c>
      <c r="V202" s="7" t="str">
        <f>IF($B202="",IF(COUNTA($C202:$G202,$I202:$K202,$S202)=0,"","⚠ no property — not counted"),IF(COUNTIF(Setup!$A$25:$A$36,$B202)=0,"⚠ property not in Setup",IF(AND($F202&lt;&gt;"",NOT(ISNUMBER($F202))),"⚠ check-in is not a real date",IF(AND($G202&lt;&gt;"",NOT(ISNUMBER($G202))),"⚠ check-out is not a real date",IF(AND($J202&lt;&gt;"",NOT(ISNUMBER($J202))),"⚠ booking value is not a number","OK")))))</f>
        <v/>
      </c>
      <c r="W202" s="21" t="str">
        <f t="shared" si="19"/>
        <v>—</v>
      </c>
    </row>
    <row r="203" spans="1:23" x14ac:dyDescent="0.2">
      <c r="A203" s="30">
        <v>199</v>
      </c>
      <c r="B203" s="3"/>
      <c r="C203" s="3"/>
      <c r="D203" s="3"/>
      <c r="E203" s="3"/>
      <c r="F203" s="31"/>
      <c r="G203" s="31"/>
      <c r="H203" s="19" t="str">
        <f t="shared" si="15"/>
        <v>—</v>
      </c>
      <c r="I203" s="32"/>
      <c r="J203" s="6"/>
      <c r="K203" s="33"/>
      <c r="L203" s="21" t="str">
        <f>IF(OR($B203="",NOT(ISNUMBER($J203)),$D203="Cancelled",$D203="Owner block"),"—",ROUND($J203*IF(ISNUMBER($K203),IF($K203&gt;1,$K203/100,$K203),IF(IFERROR(INDEX(Setup!$D$25:$D$36,MATCH($B203,Setup!$A$25:$A$36,0)),0)&gt;1,IFERROR(INDEX(Setup!$D$25:$D$36,MATCH($B203,Setup!$A$25:$A$36,0)),0)/100,IFERROR(INDEX(Setup!$D$25:$D$36,MATCH($B203,Setup!$A$25:$A$36,0)),0))),2))</f>
        <v>—</v>
      </c>
      <c r="M203" s="21" t="str">
        <f t="shared" si="16"/>
        <v>—</v>
      </c>
      <c r="N203" s="21" t="str">
        <f>IF(OR($B203="",$G203="",$D203="Cancelled"),"—",IFERROR(IF(INDEX(Setup!$E$25:$E$36,MATCH($B203,Setup!$A$25:$A$36,0))=0,"—",INDEX(Setup!$E$25:$E$36,MATCH($B203,Setup!$A$25:$A$36,0))),"—"))</f>
        <v>—</v>
      </c>
      <c r="O203" s="21" t="str">
        <f>IF(OR($B203="",$G203="",$D203="Cancelled"),"—",IFERROR(IF(INDEX(Setup!$F$25:$F$36,MATCH($B203,Setup!$A$25:$A$36,0))=0,"—",INDEX(Setup!$F$25:$F$36,MATCH($B203,Setup!$A$25:$A$36,0))),"—"))</f>
        <v>—</v>
      </c>
      <c r="P203" s="21" t="str">
        <f>IF(OR($B203="",$G203="",$D203="Cancelled",$D203="Owner block"),"—",IF(IFERROR(INDEX(Setup!$G$25:$G$36,MATCH($B203,Setup!$A$25:$A$36,0)),0)+IFERROR(INDEX(Setup!$H$25:$H$36,MATCH($B203,Setup!$A$25:$A$36,0)),0)*IF(ISNUMBER($H203),$H203,0)=0,"—",ROUND(IFERROR(INDEX(Setup!$G$25:$G$36,MATCH($B203,Setup!$A$25:$A$36,0)),0)+IFERROR(INDEX(Setup!$H$25:$H$36,MATCH($B203,Setup!$A$25:$A$36,0)),0)*IF(ISNUMBER($H203),$H203,0),2)))</f>
        <v>—</v>
      </c>
      <c r="Q203" s="21" t="str">
        <f t="shared" si="17"/>
        <v>—</v>
      </c>
      <c r="R203" s="21" t="str">
        <f t="shared" si="18"/>
        <v>—</v>
      </c>
      <c r="S203" s="3"/>
      <c r="T203" s="19" t="str">
        <f ca="1">IF(OR(NOT(ISNUMBER($F203)),NOT(ISNUMBER($G203)),NOT(ISNUMBER(Dashboard!$P$2)),NOT(ISNUMBER(Dashboard!$P$3)),$D203="Cancelled",$D203="Owner block"),"—",IF(MAX(0,MIN($G203,Dashboard!$P$3+1)-MAX($F203,Dashboard!$P$2))=0,"—",MAX(0,MIN($G203,Dashboard!$P$3+1)-MAX($F203,Dashboard!$P$2))))</f>
        <v>—</v>
      </c>
      <c r="U203" s="19" t="str">
        <f ca="1">IF(OR(NOT(ISNUMBER($F203)),NOT(ISNUMBER($G203)),NOT(ISNUMBER(Dashboard!$P$2)),NOT(ISNUMBER(Dashboard!$P$3)),$D203&lt;&gt;"Owner block"),"—",IF(MAX(0,MIN($G203,Dashboard!$P$3+1)-MAX($F203,Dashboard!$P$2))=0,"—",MAX(0,MIN($G203,Dashboard!$P$3+1)-MAX($F203,Dashboard!$P$2))))</f>
        <v>—</v>
      </c>
      <c r="V203" s="7" t="str">
        <f>IF($B203="",IF(COUNTA($C203:$G203,$I203:$K203,$S203)=0,"","⚠ no property — not counted"),IF(COUNTIF(Setup!$A$25:$A$36,$B203)=0,"⚠ property not in Setup",IF(AND($F203&lt;&gt;"",NOT(ISNUMBER($F203))),"⚠ check-in is not a real date",IF(AND($G203&lt;&gt;"",NOT(ISNUMBER($G203))),"⚠ check-out is not a real date",IF(AND($J203&lt;&gt;"",NOT(ISNUMBER($J203))),"⚠ booking value is not a number","OK")))))</f>
        <v/>
      </c>
      <c r="W203" s="21" t="str">
        <f t="shared" si="19"/>
        <v>—</v>
      </c>
    </row>
    <row r="204" spans="1:23" x14ac:dyDescent="0.2">
      <c r="A204" s="30">
        <v>200</v>
      </c>
      <c r="B204" s="8"/>
      <c r="C204" s="8"/>
      <c r="D204" s="8"/>
      <c r="E204" s="8"/>
      <c r="F204" s="34"/>
      <c r="G204" s="34"/>
      <c r="H204" s="19" t="str">
        <f t="shared" si="15"/>
        <v>—</v>
      </c>
      <c r="I204" s="35"/>
      <c r="J204" s="11"/>
      <c r="K204" s="36"/>
      <c r="L204" s="21" t="str">
        <f>IF(OR($B204="",NOT(ISNUMBER($J204)),$D204="Cancelled",$D204="Owner block"),"—",ROUND($J204*IF(ISNUMBER($K204),IF($K204&gt;1,$K204/100,$K204),IF(IFERROR(INDEX(Setup!$D$25:$D$36,MATCH($B204,Setup!$A$25:$A$36,0)),0)&gt;1,IFERROR(INDEX(Setup!$D$25:$D$36,MATCH($B204,Setup!$A$25:$A$36,0)),0)/100,IFERROR(INDEX(Setup!$D$25:$D$36,MATCH($B204,Setup!$A$25:$A$36,0)),0))),2))</f>
        <v>—</v>
      </c>
      <c r="M204" s="21" t="str">
        <f t="shared" si="16"/>
        <v>—</v>
      </c>
      <c r="N204" s="21" t="str">
        <f>IF(OR($B204="",$G204="",$D204="Cancelled"),"—",IFERROR(IF(INDEX(Setup!$E$25:$E$36,MATCH($B204,Setup!$A$25:$A$36,0))=0,"—",INDEX(Setup!$E$25:$E$36,MATCH($B204,Setup!$A$25:$A$36,0))),"—"))</f>
        <v>—</v>
      </c>
      <c r="O204" s="21" t="str">
        <f>IF(OR($B204="",$G204="",$D204="Cancelled"),"—",IFERROR(IF(INDEX(Setup!$F$25:$F$36,MATCH($B204,Setup!$A$25:$A$36,0))=0,"—",INDEX(Setup!$F$25:$F$36,MATCH($B204,Setup!$A$25:$A$36,0))),"—"))</f>
        <v>—</v>
      </c>
      <c r="P204" s="21" t="str">
        <f>IF(OR($B204="",$G204="",$D204="Cancelled",$D204="Owner block"),"—",IF(IFERROR(INDEX(Setup!$G$25:$G$36,MATCH($B204,Setup!$A$25:$A$36,0)),0)+IFERROR(INDEX(Setup!$H$25:$H$36,MATCH($B204,Setup!$A$25:$A$36,0)),0)*IF(ISNUMBER($H204),$H204,0)=0,"—",ROUND(IFERROR(INDEX(Setup!$G$25:$G$36,MATCH($B204,Setup!$A$25:$A$36,0)),0)+IFERROR(INDEX(Setup!$H$25:$H$36,MATCH($B204,Setup!$A$25:$A$36,0)),0)*IF(ISNUMBER($H204),$H204,0),2)))</f>
        <v>—</v>
      </c>
      <c r="Q204" s="21" t="str">
        <f t="shared" si="17"/>
        <v>—</v>
      </c>
      <c r="R204" s="21" t="str">
        <f t="shared" si="18"/>
        <v>—</v>
      </c>
      <c r="S204" s="8"/>
      <c r="T204" s="19" t="str">
        <f ca="1">IF(OR(NOT(ISNUMBER($F204)),NOT(ISNUMBER($G204)),NOT(ISNUMBER(Dashboard!$P$2)),NOT(ISNUMBER(Dashboard!$P$3)),$D204="Cancelled",$D204="Owner block"),"—",IF(MAX(0,MIN($G204,Dashboard!$P$3+1)-MAX($F204,Dashboard!$P$2))=0,"—",MAX(0,MIN($G204,Dashboard!$P$3+1)-MAX($F204,Dashboard!$P$2))))</f>
        <v>—</v>
      </c>
      <c r="U204" s="19" t="str">
        <f ca="1">IF(OR(NOT(ISNUMBER($F204)),NOT(ISNUMBER($G204)),NOT(ISNUMBER(Dashboard!$P$2)),NOT(ISNUMBER(Dashboard!$P$3)),$D204&lt;&gt;"Owner block"),"—",IF(MAX(0,MIN($G204,Dashboard!$P$3+1)-MAX($F204,Dashboard!$P$2))=0,"—",MAX(0,MIN($G204,Dashboard!$P$3+1)-MAX($F204,Dashboard!$P$2))))</f>
        <v>—</v>
      </c>
      <c r="V204" s="7" t="str">
        <f>IF($B204="",IF(COUNTA($C204:$G204,$I204:$K204,$S204)=0,"","⚠ no property — not counted"),IF(COUNTIF(Setup!$A$25:$A$36,$B204)=0,"⚠ property not in Setup",IF(AND($F204&lt;&gt;"",NOT(ISNUMBER($F204))),"⚠ check-in is not a real date",IF(AND($G204&lt;&gt;"",NOT(ISNUMBER($G204))),"⚠ check-out is not a real date",IF(AND($J204&lt;&gt;"",NOT(ISNUMBER($J204))),"⚠ booking value is not a number","OK")))))</f>
        <v/>
      </c>
      <c r="W204" s="21" t="str">
        <f t="shared" si="19"/>
        <v>—</v>
      </c>
    </row>
    <row r="205" spans="1:23" x14ac:dyDescent="0.2">
      <c r="A205" s="30">
        <v>201</v>
      </c>
      <c r="B205" s="3"/>
      <c r="C205" s="3"/>
      <c r="D205" s="3"/>
      <c r="E205" s="3"/>
      <c r="F205" s="31"/>
      <c r="G205" s="31"/>
      <c r="H205" s="19" t="str">
        <f t="shared" si="15"/>
        <v>—</v>
      </c>
      <c r="I205" s="32"/>
      <c r="J205" s="6"/>
      <c r="K205" s="33"/>
      <c r="L205" s="21" t="str">
        <f>IF(OR($B205="",NOT(ISNUMBER($J205)),$D205="Cancelled",$D205="Owner block"),"—",ROUND($J205*IF(ISNUMBER($K205),IF($K205&gt;1,$K205/100,$K205),IF(IFERROR(INDEX(Setup!$D$25:$D$36,MATCH($B205,Setup!$A$25:$A$36,0)),0)&gt;1,IFERROR(INDEX(Setup!$D$25:$D$36,MATCH($B205,Setup!$A$25:$A$36,0)),0)/100,IFERROR(INDEX(Setup!$D$25:$D$36,MATCH($B205,Setup!$A$25:$A$36,0)),0))),2))</f>
        <v>—</v>
      </c>
      <c r="M205" s="21" t="str">
        <f t="shared" si="16"/>
        <v>—</v>
      </c>
      <c r="N205" s="21" t="str">
        <f>IF(OR($B205="",$G205="",$D205="Cancelled"),"—",IFERROR(IF(INDEX(Setup!$E$25:$E$36,MATCH($B205,Setup!$A$25:$A$36,0))=0,"—",INDEX(Setup!$E$25:$E$36,MATCH($B205,Setup!$A$25:$A$36,0))),"—"))</f>
        <v>—</v>
      </c>
      <c r="O205" s="21" t="str">
        <f>IF(OR($B205="",$G205="",$D205="Cancelled"),"—",IFERROR(IF(INDEX(Setup!$F$25:$F$36,MATCH($B205,Setup!$A$25:$A$36,0))=0,"—",INDEX(Setup!$F$25:$F$36,MATCH($B205,Setup!$A$25:$A$36,0))),"—"))</f>
        <v>—</v>
      </c>
      <c r="P205" s="21" t="str">
        <f>IF(OR($B205="",$G205="",$D205="Cancelled",$D205="Owner block"),"—",IF(IFERROR(INDEX(Setup!$G$25:$G$36,MATCH($B205,Setup!$A$25:$A$36,0)),0)+IFERROR(INDEX(Setup!$H$25:$H$36,MATCH($B205,Setup!$A$25:$A$36,0)),0)*IF(ISNUMBER($H205),$H205,0)=0,"—",ROUND(IFERROR(INDEX(Setup!$G$25:$G$36,MATCH($B205,Setup!$A$25:$A$36,0)),0)+IFERROR(INDEX(Setup!$H$25:$H$36,MATCH($B205,Setup!$A$25:$A$36,0)),0)*IF(ISNUMBER($H205),$H205,0),2)))</f>
        <v>—</v>
      </c>
      <c r="Q205" s="21" t="str">
        <f t="shared" si="17"/>
        <v>—</v>
      </c>
      <c r="R205" s="21" t="str">
        <f t="shared" si="18"/>
        <v>—</v>
      </c>
      <c r="S205" s="3"/>
      <c r="T205" s="19" t="str">
        <f ca="1">IF(OR(NOT(ISNUMBER($F205)),NOT(ISNUMBER($G205)),NOT(ISNUMBER(Dashboard!$P$2)),NOT(ISNUMBER(Dashboard!$P$3)),$D205="Cancelled",$D205="Owner block"),"—",IF(MAX(0,MIN($G205,Dashboard!$P$3+1)-MAX($F205,Dashboard!$P$2))=0,"—",MAX(0,MIN($G205,Dashboard!$P$3+1)-MAX($F205,Dashboard!$P$2))))</f>
        <v>—</v>
      </c>
      <c r="U205" s="19" t="str">
        <f ca="1">IF(OR(NOT(ISNUMBER($F205)),NOT(ISNUMBER($G205)),NOT(ISNUMBER(Dashboard!$P$2)),NOT(ISNUMBER(Dashboard!$P$3)),$D205&lt;&gt;"Owner block"),"—",IF(MAX(0,MIN($G205,Dashboard!$P$3+1)-MAX($F205,Dashboard!$P$2))=0,"—",MAX(0,MIN($G205,Dashboard!$P$3+1)-MAX($F205,Dashboard!$P$2))))</f>
        <v>—</v>
      </c>
      <c r="V205" s="7" t="str">
        <f>IF($B205="",IF(COUNTA($C205:$G205,$I205:$K205,$S205)=0,"","⚠ no property — not counted"),IF(COUNTIF(Setup!$A$25:$A$36,$B205)=0,"⚠ property not in Setup",IF(AND($F205&lt;&gt;"",NOT(ISNUMBER($F205))),"⚠ check-in is not a real date",IF(AND($G205&lt;&gt;"",NOT(ISNUMBER($G205))),"⚠ check-out is not a real date",IF(AND($J205&lt;&gt;"",NOT(ISNUMBER($J205))),"⚠ booking value is not a number","OK")))))</f>
        <v/>
      </c>
      <c r="W205" s="21" t="str">
        <f t="shared" si="19"/>
        <v>—</v>
      </c>
    </row>
    <row r="206" spans="1:23" x14ac:dyDescent="0.2">
      <c r="A206" s="30">
        <v>202</v>
      </c>
      <c r="B206" s="8"/>
      <c r="C206" s="8"/>
      <c r="D206" s="8"/>
      <c r="E206" s="8"/>
      <c r="F206" s="34"/>
      <c r="G206" s="34"/>
      <c r="H206" s="19" t="str">
        <f t="shared" si="15"/>
        <v>—</v>
      </c>
      <c r="I206" s="35"/>
      <c r="J206" s="11"/>
      <c r="K206" s="36"/>
      <c r="L206" s="21" t="str">
        <f>IF(OR($B206="",NOT(ISNUMBER($J206)),$D206="Cancelled",$D206="Owner block"),"—",ROUND($J206*IF(ISNUMBER($K206),IF($K206&gt;1,$K206/100,$K206),IF(IFERROR(INDEX(Setup!$D$25:$D$36,MATCH($B206,Setup!$A$25:$A$36,0)),0)&gt;1,IFERROR(INDEX(Setup!$D$25:$D$36,MATCH($B206,Setup!$A$25:$A$36,0)),0)/100,IFERROR(INDEX(Setup!$D$25:$D$36,MATCH($B206,Setup!$A$25:$A$36,0)),0))),2))</f>
        <v>—</v>
      </c>
      <c r="M206" s="21" t="str">
        <f t="shared" si="16"/>
        <v>—</v>
      </c>
      <c r="N206" s="21" t="str">
        <f>IF(OR($B206="",$G206="",$D206="Cancelled"),"—",IFERROR(IF(INDEX(Setup!$E$25:$E$36,MATCH($B206,Setup!$A$25:$A$36,0))=0,"—",INDEX(Setup!$E$25:$E$36,MATCH($B206,Setup!$A$25:$A$36,0))),"—"))</f>
        <v>—</v>
      </c>
      <c r="O206" s="21" t="str">
        <f>IF(OR($B206="",$G206="",$D206="Cancelled"),"—",IFERROR(IF(INDEX(Setup!$F$25:$F$36,MATCH($B206,Setup!$A$25:$A$36,0))=0,"—",INDEX(Setup!$F$25:$F$36,MATCH($B206,Setup!$A$25:$A$36,0))),"—"))</f>
        <v>—</v>
      </c>
      <c r="P206" s="21" t="str">
        <f>IF(OR($B206="",$G206="",$D206="Cancelled",$D206="Owner block"),"—",IF(IFERROR(INDEX(Setup!$G$25:$G$36,MATCH($B206,Setup!$A$25:$A$36,0)),0)+IFERROR(INDEX(Setup!$H$25:$H$36,MATCH($B206,Setup!$A$25:$A$36,0)),0)*IF(ISNUMBER($H206),$H206,0)=0,"—",ROUND(IFERROR(INDEX(Setup!$G$25:$G$36,MATCH($B206,Setup!$A$25:$A$36,0)),0)+IFERROR(INDEX(Setup!$H$25:$H$36,MATCH($B206,Setup!$A$25:$A$36,0)),0)*IF(ISNUMBER($H206),$H206,0),2)))</f>
        <v>—</v>
      </c>
      <c r="Q206" s="21" t="str">
        <f t="shared" si="17"/>
        <v>—</v>
      </c>
      <c r="R206" s="21" t="str">
        <f t="shared" si="18"/>
        <v>—</v>
      </c>
      <c r="S206" s="8"/>
      <c r="T206" s="19" t="str">
        <f ca="1">IF(OR(NOT(ISNUMBER($F206)),NOT(ISNUMBER($G206)),NOT(ISNUMBER(Dashboard!$P$2)),NOT(ISNUMBER(Dashboard!$P$3)),$D206="Cancelled",$D206="Owner block"),"—",IF(MAX(0,MIN($G206,Dashboard!$P$3+1)-MAX($F206,Dashboard!$P$2))=0,"—",MAX(0,MIN($G206,Dashboard!$P$3+1)-MAX($F206,Dashboard!$P$2))))</f>
        <v>—</v>
      </c>
      <c r="U206" s="19" t="str">
        <f ca="1">IF(OR(NOT(ISNUMBER($F206)),NOT(ISNUMBER($G206)),NOT(ISNUMBER(Dashboard!$P$2)),NOT(ISNUMBER(Dashboard!$P$3)),$D206&lt;&gt;"Owner block"),"—",IF(MAX(0,MIN($G206,Dashboard!$P$3+1)-MAX($F206,Dashboard!$P$2))=0,"—",MAX(0,MIN($G206,Dashboard!$P$3+1)-MAX($F206,Dashboard!$P$2))))</f>
        <v>—</v>
      </c>
      <c r="V206" s="7" t="str">
        <f>IF($B206="",IF(COUNTA($C206:$G206,$I206:$K206,$S206)=0,"","⚠ no property — not counted"),IF(COUNTIF(Setup!$A$25:$A$36,$B206)=0,"⚠ property not in Setup",IF(AND($F206&lt;&gt;"",NOT(ISNUMBER($F206))),"⚠ check-in is not a real date",IF(AND($G206&lt;&gt;"",NOT(ISNUMBER($G206))),"⚠ check-out is not a real date",IF(AND($J206&lt;&gt;"",NOT(ISNUMBER($J206))),"⚠ booking value is not a number","OK")))))</f>
        <v/>
      </c>
      <c r="W206" s="21" t="str">
        <f t="shared" si="19"/>
        <v>—</v>
      </c>
    </row>
    <row r="207" spans="1:23" x14ac:dyDescent="0.2">
      <c r="A207" s="30">
        <v>203</v>
      </c>
      <c r="B207" s="3"/>
      <c r="C207" s="3"/>
      <c r="D207" s="3"/>
      <c r="E207" s="3"/>
      <c r="F207" s="31"/>
      <c r="G207" s="31"/>
      <c r="H207" s="19" t="str">
        <f t="shared" si="15"/>
        <v>—</v>
      </c>
      <c r="I207" s="32"/>
      <c r="J207" s="6"/>
      <c r="K207" s="33"/>
      <c r="L207" s="21" t="str">
        <f>IF(OR($B207="",NOT(ISNUMBER($J207)),$D207="Cancelled",$D207="Owner block"),"—",ROUND($J207*IF(ISNUMBER($K207),IF($K207&gt;1,$K207/100,$K207),IF(IFERROR(INDEX(Setup!$D$25:$D$36,MATCH($B207,Setup!$A$25:$A$36,0)),0)&gt;1,IFERROR(INDEX(Setup!$D$25:$D$36,MATCH($B207,Setup!$A$25:$A$36,0)),0)/100,IFERROR(INDEX(Setup!$D$25:$D$36,MATCH($B207,Setup!$A$25:$A$36,0)),0))),2))</f>
        <v>—</v>
      </c>
      <c r="M207" s="21" t="str">
        <f t="shared" si="16"/>
        <v>—</v>
      </c>
      <c r="N207" s="21" t="str">
        <f>IF(OR($B207="",$G207="",$D207="Cancelled"),"—",IFERROR(IF(INDEX(Setup!$E$25:$E$36,MATCH($B207,Setup!$A$25:$A$36,0))=0,"—",INDEX(Setup!$E$25:$E$36,MATCH($B207,Setup!$A$25:$A$36,0))),"—"))</f>
        <v>—</v>
      </c>
      <c r="O207" s="21" t="str">
        <f>IF(OR($B207="",$G207="",$D207="Cancelled"),"—",IFERROR(IF(INDEX(Setup!$F$25:$F$36,MATCH($B207,Setup!$A$25:$A$36,0))=0,"—",INDEX(Setup!$F$25:$F$36,MATCH($B207,Setup!$A$25:$A$36,0))),"—"))</f>
        <v>—</v>
      </c>
      <c r="P207" s="21" t="str">
        <f>IF(OR($B207="",$G207="",$D207="Cancelled",$D207="Owner block"),"—",IF(IFERROR(INDEX(Setup!$G$25:$G$36,MATCH($B207,Setup!$A$25:$A$36,0)),0)+IFERROR(INDEX(Setup!$H$25:$H$36,MATCH($B207,Setup!$A$25:$A$36,0)),0)*IF(ISNUMBER($H207),$H207,0)=0,"—",ROUND(IFERROR(INDEX(Setup!$G$25:$G$36,MATCH($B207,Setup!$A$25:$A$36,0)),0)+IFERROR(INDEX(Setup!$H$25:$H$36,MATCH($B207,Setup!$A$25:$A$36,0)),0)*IF(ISNUMBER($H207),$H207,0),2)))</f>
        <v>—</v>
      </c>
      <c r="Q207" s="21" t="str">
        <f t="shared" si="17"/>
        <v>—</v>
      </c>
      <c r="R207" s="21" t="str">
        <f t="shared" si="18"/>
        <v>—</v>
      </c>
      <c r="S207" s="3"/>
      <c r="T207" s="19" t="str">
        <f ca="1">IF(OR(NOT(ISNUMBER($F207)),NOT(ISNUMBER($G207)),NOT(ISNUMBER(Dashboard!$P$2)),NOT(ISNUMBER(Dashboard!$P$3)),$D207="Cancelled",$D207="Owner block"),"—",IF(MAX(0,MIN($G207,Dashboard!$P$3+1)-MAX($F207,Dashboard!$P$2))=0,"—",MAX(0,MIN($G207,Dashboard!$P$3+1)-MAX($F207,Dashboard!$P$2))))</f>
        <v>—</v>
      </c>
      <c r="U207" s="19" t="str">
        <f ca="1">IF(OR(NOT(ISNUMBER($F207)),NOT(ISNUMBER($G207)),NOT(ISNUMBER(Dashboard!$P$2)),NOT(ISNUMBER(Dashboard!$P$3)),$D207&lt;&gt;"Owner block"),"—",IF(MAX(0,MIN($G207,Dashboard!$P$3+1)-MAX($F207,Dashboard!$P$2))=0,"—",MAX(0,MIN($G207,Dashboard!$P$3+1)-MAX($F207,Dashboard!$P$2))))</f>
        <v>—</v>
      </c>
      <c r="V207" s="7" t="str">
        <f>IF($B207="",IF(COUNTA($C207:$G207,$I207:$K207,$S207)=0,"","⚠ no property — not counted"),IF(COUNTIF(Setup!$A$25:$A$36,$B207)=0,"⚠ property not in Setup",IF(AND($F207&lt;&gt;"",NOT(ISNUMBER($F207))),"⚠ check-in is not a real date",IF(AND($G207&lt;&gt;"",NOT(ISNUMBER($G207))),"⚠ check-out is not a real date",IF(AND($J207&lt;&gt;"",NOT(ISNUMBER($J207))),"⚠ booking value is not a number","OK")))))</f>
        <v/>
      </c>
      <c r="W207" s="21" t="str">
        <f t="shared" si="19"/>
        <v>—</v>
      </c>
    </row>
    <row r="208" spans="1:23" x14ac:dyDescent="0.2">
      <c r="A208" s="30">
        <v>204</v>
      </c>
      <c r="B208" s="8"/>
      <c r="C208" s="8"/>
      <c r="D208" s="8"/>
      <c r="E208" s="8"/>
      <c r="F208" s="34"/>
      <c r="G208" s="34"/>
      <c r="H208" s="19" t="str">
        <f t="shared" si="15"/>
        <v>—</v>
      </c>
      <c r="I208" s="35"/>
      <c r="J208" s="11"/>
      <c r="K208" s="36"/>
      <c r="L208" s="21" t="str">
        <f>IF(OR($B208="",NOT(ISNUMBER($J208)),$D208="Cancelled",$D208="Owner block"),"—",ROUND($J208*IF(ISNUMBER($K208),IF($K208&gt;1,$K208/100,$K208),IF(IFERROR(INDEX(Setup!$D$25:$D$36,MATCH($B208,Setup!$A$25:$A$36,0)),0)&gt;1,IFERROR(INDEX(Setup!$D$25:$D$36,MATCH($B208,Setup!$A$25:$A$36,0)),0)/100,IFERROR(INDEX(Setup!$D$25:$D$36,MATCH($B208,Setup!$A$25:$A$36,0)),0))),2))</f>
        <v>—</v>
      </c>
      <c r="M208" s="21" t="str">
        <f t="shared" si="16"/>
        <v>—</v>
      </c>
      <c r="N208" s="21" t="str">
        <f>IF(OR($B208="",$G208="",$D208="Cancelled"),"—",IFERROR(IF(INDEX(Setup!$E$25:$E$36,MATCH($B208,Setup!$A$25:$A$36,0))=0,"—",INDEX(Setup!$E$25:$E$36,MATCH($B208,Setup!$A$25:$A$36,0))),"—"))</f>
        <v>—</v>
      </c>
      <c r="O208" s="21" t="str">
        <f>IF(OR($B208="",$G208="",$D208="Cancelled"),"—",IFERROR(IF(INDEX(Setup!$F$25:$F$36,MATCH($B208,Setup!$A$25:$A$36,0))=0,"—",INDEX(Setup!$F$25:$F$36,MATCH($B208,Setup!$A$25:$A$36,0))),"—"))</f>
        <v>—</v>
      </c>
      <c r="P208" s="21" t="str">
        <f>IF(OR($B208="",$G208="",$D208="Cancelled",$D208="Owner block"),"—",IF(IFERROR(INDEX(Setup!$G$25:$G$36,MATCH($B208,Setup!$A$25:$A$36,0)),0)+IFERROR(INDEX(Setup!$H$25:$H$36,MATCH($B208,Setup!$A$25:$A$36,0)),0)*IF(ISNUMBER($H208),$H208,0)=0,"—",ROUND(IFERROR(INDEX(Setup!$G$25:$G$36,MATCH($B208,Setup!$A$25:$A$36,0)),0)+IFERROR(INDEX(Setup!$H$25:$H$36,MATCH($B208,Setup!$A$25:$A$36,0)),0)*IF(ISNUMBER($H208),$H208,0),2)))</f>
        <v>—</v>
      </c>
      <c r="Q208" s="21" t="str">
        <f t="shared" si="17"/>
        <v>—</v>
      </c>
      <c r="R208" s="21" t="str">
        <f t="shared" si="18"/>
        <v>—</v>
      </c>
      <c r="S208" s="8"/>
      <c r="T208" s="19" t="str">
        <f ca="1">IF(OR(NOT(ISNUMBER($F208)),NOT(ISNUMBER($G208)),NOT(ISNUMBER(Dashboard!$P$2)),NOT(ISNUMBER(Dashboard!$P$3)),$D208="Cancelled",$D208="Owner block"),"—",IF(MAX(0,MIN($G208,Dashboard!$P$3+1)-MAX($F208,Dashboard!$P$2))=0,"—",MAX(0,MIN($G208,Dashboard!$P$3+1)-MAX($F208,Dashboard!$P$2))))</f>
        <v>—</v>
      </c>
      <c r="U208" s="19" t="str">
        <f ca="1">IF(OR(NOT(ISNUMBER($F208)),NOT(ISNUMBER($G208)),NOT(ISNUMBER(Dashboard!$P$2)),NOT(ISNUMBER(Dashboard!$P$3)),$D208&lt;&gt;"Owner block"),"—",IF(MAX(0,MIN($G208,Dashboard!$P$3+1)-MAX($F208,Dashboard!$P$2))=0,"—",MAX(0,MIN($G208,Dashboard!$P$3+1)-MAX($F208,Dashboard!$P$2))))</f>
        <v>—</v>
      </c>
      <c r="V208" s="7" t="str">
        <f>IF($B208="",IF(COUNTA($C208:$G208,$I208:$K208,$S208)=0,"","⚠ no property — not counted"),IF(COUNTIF(Setup!$A$25:$A$36,$B208)=0,"⚠ property not in Setup",IF(AND($F208&lt;&gt;"",NOT(ISNUMBER($F208))),"⚠ check-in is not a real date",IF(AND($G208&lt;&gt;"",NOT(ISNUMBER($G208))),"⚠ check-out is not a real date",IF(AND($J208&lt;&gt;"",NOT(ISNUMBER($J208))),"⚠ booking value is not a number","OK")))))</f>
        <v/>
      </c>
      <c r="W208" s="21" t="str">
        <f t="shared" si="19"/>
        <v>—</v>
      </c>
    </row>
    <row r="209" spans="1:23" x14ac:dyDescent="0.2">
      <c r="A209" s="30">
        <v>205</v>
      </c>
      <c r="B209" s="3"/>
      <c r="C209" s="3"/>
      <c r="D209" s="3"/>
      <c r="E209" s="3"/>
      <c r="F209" s="31"/>
      <c r="G209" s="31"/>
      <c r="H209" s="19" t="str">
        <f t="shared" si="15"/>
        <v>—</v>
      </c>
      <c r="I209" s="32"/>
      <c r="J209" s="6"/>
      <c r="K209" s="33"/>
      <c r="L209" s="21" t="str">
        <f>IF(OR($B209="",NOT(ISNUMBER($J209)),$D209="Cancelled",$D209="Owner block"),"—",ROUND($J209*IF(ISNUMBER($K209),IF($K209&gt;1,$K209/100,$K209),IF(IFERROR(INDEX(Setup!$D$25:$D$36,MATCH($B209,Setup!$A$25:$A$36,0)),0)&gt;1,IFERROR(INDEX(Setup!$D$25:$D$36,MATCH($B209,Setup!$A$25:$A$36,0)),0)/100,IFERROR(INDEX(Setup!$D$25:$D$36,MATCH($B209,Setup!$A$25:$A$36,0)),0))),2))</f>
        <v>—</v>
      </c>
      <c r="M209" s="21" t="str">
        <f t="shared" si="16"/>
        <v>—</v>
      </c>
      <c r="N209" s="21" t="str">
        <f>IF(OR($B209="",$G209="",$D209="Cancelled"),"—",IFERROR(IF(INDEX(Setup!$E$25:$E$36,MATCH($B209,Setup!$A$25:$A$36,0))=0,"—",INDEX(Setup!$E$25:$E$36,MATCH($B209,Setup!$A$25:$A$36,0))),"—"))</f>
        <v>—</v>
      </c>
      <c r="O209" s="21" t="str">
        <f>IF(OR($B209="",$G209="",$D209="Cancelled"),"—",IFERROR(IF(INDEX(Setup!$F$25:$F$36,MATCH($B209,Setup!$A$25:$A$36,0))=0,"—",INDEX(Setup!$F$25:$F$36,MATCH($B209,Setup!$A$25:$A$36,0))),"—"))</f>
        <v>—</v>
      </c>
      <c r="P209" s="21" t="str">
        <f>IF(OR($B209="",$G209="",$D209="Cancelled",$D209="Owner block"),"—",IF(IFERROR(INDEX(Setup!$G$25:$G$36,MATCH($B209,Setup!$A$25:$A$36,0)),0)+IFERROR(INDEX(Setup!$H$25:$H$36,MATCH($B209,Setup!$A$25:$A$36,0)),0)*IF(ISNUMBER($H209),$H209,0)=0,"—",ROUND(IFERROR(INDEX(Setup!$G$25:$G$36,MATCH($B209,Setup!$A$25:$A$36,0)),0)+IFERROR(INDEX(Setup!$H$25:$H$36,MATCH($B209,Setup!$A$25:$A$36,0)),0)*IF(ISNUMBER($H209),$H209,0),2)))</f>
        <v>—</v>
      </c>
      <c r="Q209" s="21" t="str">
        <f t="shared" si="17"/>
        <v>—</v>
      </c>
      <c r="R209" s="21" t="str">
        <f t="shared" si="18"/>
        <v>—</v>
      </c>
      <c r="S209" s="3"/>
      <c r="T209" s="19" t="str">
        <f ca="1">IF(OR(NOT(ISNUMBER($F209)),NOT(ISNUMBER($G209)),NOT(ISNUMBER(Dashboard!$P$2)),NOT(ISNUMBER(Dashboard!$P$3)),$D209="Cancelled",$D209="Owner block"),"—",IF(MAX(0,MIN($G209,Dashboard!$P$3+1)-MAX($F209,Dashboard!$P$2))=0,"—",MAX(0,MIN($G209,Dashboard!$P$3+1)-MAX($F209,Dashboard!$P$2))))</f>
        <v>—</v>
      </c>
      <c r="U209" s="19" t="str">
        <f ca="1">IF(OR(NOT(ISNUMBER($F209)),NOT(ISNUMBER($G209)),NOT(ISNUMBER(Dashboard!$P$2)),NOT(ISNUMBER(Dashboard!$P$3)),$D209&lt;&gt;"Owner block"),"—",IF(MAX(0,MIN($G209,Dashboard!$P$3+1)-MAX($F209,Dashboard!$P$2))=0,"—",MAX(0,MIN($G209,Dashboard!$P$3+1)-MAX($F209,Dashboard!$P$2))))</f>
        <v>—</v>
      </c>
      <c r="V209" s="7" t="str">
        <f>IF($B209="",IF(COUNTA($C209:$G209,$I209:$K209,$S209)=0,"","⚠ no property — not counted"),IF(COUNTIF(Setup!$A$25:$A$36,$B209)=0,"⚠ property not in Setup",IF(AND($F209&lt;&gt;"",NOT(ISNUMBER($F209))),"⚠ check-in is not a real date",IF(AND($G209&lt;&gt;"",NOT(ISNUMBER($G209))),"⚠ check-out is not a real date",IF(AND($J209&lt;&gt;"",NOT(ISNUMBER($J209))),"⚠ booking value is not a number","OK")))))</f>
        <v/>
      </c>
      <c r="W209" s="21" t="str">
        <f t="shared" si="19"/>
        <v>—</v>
      </c>
    </row>
    <row r="210" spans="1:23" x14ac:dyDescent="0.2">
      <c r="A210" s="30">
        <v>206</v>
      </c>
      <c r="B210" s="8"/>
      <c r="C210" s="8"/>
      <c r="D210" s="8"/>
      <c r="E210" s="8"/>
      <c r="F210" s="34"/>
      <c r="G210" s="34"/>
      <c r="H210" s="19" t="str">
        <f t="shared" si="15"/>
        <v>—</v>
      </c>
      <c r="I210" s="35"/>
      <c r="J210" s="11"/>
      <c r="K210" s="36"/>
      <c r="L210" s="21" t="str">
        <f>IF(OR($B210="",NOT(ISNUMBER($J210)),$D210="Cancelled",$D210="Owner block"),"—",ROUND($J210*IF(ISNUMBER($K210),IF($K210&gt;1,$K210/100,$K210),IF(IFERROR(INDEX(Setup!$D$25:$D$36,MATCH($B210,Setup!$A$25:$A$36,0)),0)&gt;1,IFERROR(INDEX(Setup!$D$25:$D$36,MATCH($B210,Setup!$A$25:$A$36,0)),0)/100,IFERROR(INDEX(Setup!$D$25:$D$36,MATCH($B210,Setup!$A$25:$A$36,0)),0))),2))</f>
        <v>—</v>
      </c>
      <c r="M210" s="21" t="str">
        <f t="shared" si="16"/>
        <v>—</v>
      </c>
      <c r="N210" s="21" t="str">
        <f>IF(OR($B210="",$G210="",$D210="Cancelled"),"—",IFERROR(IF(INDEX(Setup!$E$25:$E$36,MATCH($B210,Setup!$A$25:$A$36,0))=0,"—",INDEX(Setup!$E$25:$E$36,MATCH($B210,Setup!$A$25:$A$36,0))),"—"))</f>
        <v>—</v>
      </c>
      <c r="O210" s="21" t="str">
        <f>IF(OR($B210="",$G210="",$D210="Cancelled"),"—",IFERROR(IF(INDEX(Setup!$F$25:$F$36,MATCH($B210,Setup!$A$25:$A$36,0))=0,"—",INDEX(Setup!$F$25:$F$36,MATCH($B210,Setup!$A$25:$A$36,0))),"—"))</f>
        <v>—</v>
      </c>
      <c r="P210" s="21" t="str">
        <f>IF(OR($B210="",$G210="",$D210="Cancelled",$D210="Owner block"),"—",IF(IFERROR(INDEX(Setup!$G$25:$G$36,MATCH($B210,Setup!$A$25:$A$36,0)),0)+IFERROR(INDEX(Setup!$H$25:$H$36,MATCH($B210,Setup!$A$25:$A$36,0)),0)*IF(ISNUMBER($H210),$H210,0)=0,"—",ROUND(IFERROR(INDEX(Setup!$G$25:$G$36,MATCH($B210,Setup!$A$25:$A$36,0)),0)+IFERROR(INDEX(Setup!$H$25:$H$36,MATCH($B210,Setup!$A$25:$A$36,0)),0)*IF(ISNUMBER($H210),$H210,0),2)))</f>
        <v>—</v>
      </c>
      <c r="Q210" s="21" t="str">
        <f t="shared" si="17"/>
        <v>—</v>
      </c>
      <c r="R210" s="21" t="str">
        <f t="shared" si="18"/>
        <v>—</v>
      </c>
      <c r="S210" s="8"/>
      <c r="T210" s="19" t="str">
        <f ca="1">IF(OR(NOT(ISNUMBER($F210)),NOT(ISNUMBER($G210)),NOT(ISNUMBER(Dashboard!$P$2)),NOT(ISNUMBER(Dashboard!$P$3)),$D210="Cancelled",$D210="Owner block"),"—",IF(MAX(0,MIN($G210,Dashboard!$P$3+1)-MAX($F210,Dashboard!$P$2))=0,"—",MAX(0,MIN($G210,Dashboard!$P$3+1)-MAX($F210,Dashboard!$P$2))))</f>
        <v>—</v>
      </c>
      <c r="U210" s="19" t="str">
        <f ca="1">IF(OR(NOT(ISNUMBER($F210)),NOT(ISNUMBER($G210)),NOT(ISNUMBER(Dashboard!$P$2)),NOT(ISNUMBER(Dashboard!$P$3)),$D210&lt;&gt;"Owner block"),"—",IF(MAX(0,MIN($G210,Dashboard!$P$3+1)-MAX($F210,Dashboard!$P$2))=0,"—",MAX(0,MIN($G210,Dashboard!$P$3+1)-MAX($F210,Dashboard!$P$2))))</f>
        <v>—</v>
      </c>
      <c r="V210" s="7" t="str">
        <f>IF($B210="",IF(COUNTA($C210:$G210,$I210:$K210,$S210)=0,"","⚠ no property — not counted"),IF(COUNTIF(Setup!$A$25:$A$36,$B210)=0,"⚠ property not in Setup",IF(AND($F210&lt;&gt;"",NOT(ISNUMBER($F210))),"⚠ check-in is not a real date",IF(AND($G210&lt;&gt;"",NOT(ISNUMBER($G210))),"⚠ check-out is not a real date",IF(AND($J210&lt;&gt;"",NOT(ISNUMBER($J210))),"⚠ booking value is not a number","OK")))))</f>
        <v/>
      </c>
      <c r="W210" s="21" t="str">
        <f t="shared" si="19"/>
        <v>—</v>
      </c>
    </row>
    <row r="211" spans="1:23" x14ac:dyDescent="0.2">
      <c r="A211" s="30">
        <v>207</v>
      </c>
      <c r="B211" s="3"/>
      <c r="C211" s="3"/>
      <c r="D211" s="3"/>
      <c r="E211" s="3"/>
      <c r="F211" s="31"/>
      <c r="G211" s="31"/>
      <c r="H211" s="19" t="str">
        <f t="shared" si="15"/>
        <v>—</v>
      </c>
      <c r="I211" s="32"/>
      <c r="J211" s="6"/>
      <c r="K211" s="33"/>
      <c r="L211" s="21" t="str">
        <f>IF(OR($B211="",NOT(ISNUMBER($J211)),$D211="Cancelled",$D211="Owner block"),"—",ROUND($J211*IF(ISNUMBER($K211),IF($K211&gt;1,$K211/100,$K211),IF(IFERROR(INDEX(Setup!$D$25:$D$36,MATCH($B211,Setup!$A$25:$A$36,0)),0)&gt;1,IFERROR(INDEX(Setup!$D$25:$D$36,MATCH($B211,Setup!$A$25:$A$36,0)),0)/100,IFERROR(INDEX(Setup!$D$25:$D$36,MATCH($B211,Setup!$A$25:$A$36,0)),0))),2))</f>
        <v>—</v>
      </c>
      <c r="M211" s="21" t="str">
        <f t="shared" si="16"/>
        <v>—</v>
      </c>
      <c r="N211" s="21" t="str">
        <f>IF(OR($B211="",$G211="",$D211="Cancelled"),"—",IFERROR(IF(INDEX(Setup!$E$25:$E$36,MATCH($B211,Setup!$A$25:$A$36,0))=0,"—",INDEX(Setup!$E$25:$E$36,MATCH($B211,Setup!$A$25:$A$36,0))),"—"))</f>
        <v>—</v>
      </c>
      <c r="O211" s="21" t="str">
        <f>IF(OR($B211="",$G211="",$D211="Cancelled"),"—",IFERROR(IF(INDEX(Setup!$F$25:$F$36,MATCH($B211,Setup!$A$25:$A$36,0))=0,"—",INDEX(Setup!$F$25:$F$36,MATCH($B211,Setup!$A$25:$A$36,0))),"—"))</f>
        <v>—</v>
      </c>
      <c r="P211" s="21" t="str">
        <f>IF(OR($B211="",$G211="",$D211="Cancelled",$D211="Owner block"),"—",IF(IFERROR(INDEX(Setup!$G$25:$G$36,MATCH($B211,Setup!$A$25:$A$36,0)),0)+IFERROR(INDEX(Setup!$H$25:$H$36,MATCH($B211,Setup!$A$25:$A$36,0)),0)*IF(ISNUMBER($H211),$H211,0)=0,"—",ROUND(IFERROR(INDEX(Setup!$G$25:$G$36,MATCH($B211,Setup!$A$25:$A$36,0)),0)+IFERROR(INDEX(Setup!$H$25:$H$36,MATCH($B211,Setup!$A$25:$A$36,0)),0)*IF(ISNUMBER($H211),$H211,0),2)))</f>
        <v>—</v>
      </c>
      <c r="Q211" s="21" t="str">
        <f t="shared" si="17"/>
        <v>—</v>
      </c>
      <c r="R211" s="21" t="str">
        <f t="shared" si="18"/>
        <v>—</v>
      </c>
      <c r="S211" s="3"/>
      <c r="T211" s="19" t="str">
        <f ca="1">IF(OR(NOT(ISNUMBER($F211)),NOT(ISNUMBER($G211)),NOT(ISNUMBER(Dashboard!$P$2)),NOT(ISNUMBER(Dashboard!$P$3)),$D211="Cancelled",$D211="Owner block"),"—",IF(MAX(0,MIN($G211,Dashboard!$P$3+1)-MAX($F211,Dashboard!$P$2))=0,"—",MAX(0,MIN($G211,Dashboard!$P$3+1)-MAX($F211,Dashboard!$P$2))))</f>
        <v>—</v>
      </c>
      <c r="U211" s="19" t="str">
        <f ca="1">IF(OR(NOT(ISNUMBER($F211)),NOT(ISNUMBER($G211)),NOT(ISNUMBER(Dashboard!$P$2)),NOT(ISNUMBER(Dashboard!$P$3)),$D211&lt;&gt;"Owner block"),"—",IF(MAX(0,MIN($G211,Dashboard!$P$3+1)-MAX($F211,Dashboard!$P$2))=0,"—",MAX(0,MIN($G211,Dashboard!$P$3+1)-MAX($F211,Dashboard!$P$2))))</f>
        <v>—</v>
      </c>
      <c r="V211" s="7" t="str">
        <f>IF($B211="",IF(COUNTA($C211:$G211,$I211:$K211,$S211)=0,"","⚠ no property — not counted"),IF(COUNTIF(Setup!$A$25:$A$36,$B211)=0,"⚠ property not in Setup",IF(AND($F211&lt;&gt;"",NOT(ISNUMBER($F211))),"⚠ check-in is not a real date",IF(AND($G211&lt;&gt;"",NOT(ISNUMBER($G211))),"⚠ check-out is not a real date",IF(AND($J211&lt;&gt;"",NOT(ISNUMBER($J211))),"⚠ booking value is not a number","OK")))))</f>
        <v/>
      </c>
      <c r="W211" s="21" t="str">
        <f t="shared" si="19"/>
        <v>—</v>
      </c>
    </row>
    <row r="212" spans="1:23" x14ac:dyDescent="0.2">
      <c r="A212" s="30">
        <v>208</v>
      </c>
      <c r="B212" s="8"/>
      <c r="C212" s="8"/>
      <c r="D212" s="8"/>
      <c r="E212" s="8"/>
      <c r="F212" s="34"/>
      <c r="G212" s="34"/>
      <c r="H212" s="19" t="str">
        <f t="shared" si="15"/>
        <v>—</v>
      </c>
      <c r="I212" s="35"/>
      <c r="J212" s="11"/>
      <c r="K212" s="36"/>
      <c r="L212" s="21" t="str">
        <f>IF(OR($B212="",NOT(ISNUMBER($J212)),$D212="Cancelled",$D212="Owner block"),"—",ROUND($J212*IF(ISNUMBER($K212),IF($K212&gt;1,$K212/100,$K212),IF(IFERROR(INDEX(Setup!$D$25:$D$36,MATCH($B212,Setup!$A$25:$A$36,0)),0)&gt;1,IFERROR(INDEX(Setup!$D$25:$D$36,MATCH($B212,Setup!$A$25:$A$36,0)),0)/100,IFERROR(INDEX(Setup!$D$25:$D$36,MATCH($B212,Setup!$A$25:$A$36,0)),0))),2))</f>
        <v>—</v>
      </c>
      <c r="M212" s="21" t="str">
        <f t="shared" si="16"/>
        <v>—</v>
      </c>
      <c r="N212" s="21" t="str">
        <f>IF(OR($B212="",$G212="",$D212="Cancelled"),"—",IFERROR(IF(INDEX(Setup!$E$25:$E$36,MATCH($B212,Setup!$A$25:$A$36,0))=0,"—",INDEX(Setup!$E$25:$E$36,MATCH($B212,Setup!$A$25:$A$36,0))),"—"))</f>
        <v>—</v>
      </c>
      <c r="O212" s="21" t="str">
        <f>IF(OR($B212="",$G212="",$D212="Cancelled"),"—",IFERROR(IF(INDEX(Setup!$F$25:$F$36,MATCH($B212,Setup!$A$25:$A$36,0))=0,"—",INDEX(Setup!$F$25:$F$36,MATCH($B212,Setup!$A$25:$A$36,0))),"—"))</f>
        <v>—</v>
      </c>
      <c r="P212" s="21" t="str">
        <f>IF(OR($B212="",$G212="",$D212="Cancelled",$D212="Owner block"),"—",IF(IFERROR(INDEX(Setup!$G$25:$G$36,MATCH($B212,Setup!$A$25:$A$36,0)),0)+IFERROR(INDEX(Setup!$H$25:$H$36,MATCH($B212,Setup!$A$25:$A$36,0)),0)*IF(ISNUMBER($H212),$H212,0)=0,"—",ROUND(IFERROR(INDEX(Setup!$G$25:$G$36,MATCH($B212,Setup!$A$25:$A$36,0)),0)+IFERROR(INDEX(Setup!$H$25:$H$36,MATCH($B212,Setup!$A$25:$A$36,0)),0)*IF(ISNUMBER($H212),$H212,0),2)))</f>
        <v>—</v>
      </c>
      <c r="Q212" s="21" t="str">
        <f t="shared" si="17"/>
        <v>—</v>
      </c>
      <c r="R212" s="21" t="str">
        <f t="shared" si="18"/>
        <v>—</v>
      </c>
      <c r="S212" s="8"/>
      <c r="T212" s="19" t="str">
        <f ca="1">IF(OR(NOT(ISNUMBER($F212)),NOT(ISNUMBER($G212)),NOT(ISNUMBER(Dashboard!$P$2)),NOT(ISNUMBER(Dashboard!$P$3)),$D212="Cancelled",$D212="Owner block"),"—",IF(MAX(0,MIN($G212,Dashboard!$P$3+1)-MAX($F212,Dashboard!$P$2))=0,"—",MAX(0,MIN($G212,Dashboard!$P$3+1)-MAX($F212,Dashboard!$P$2))))</f>
        <v>—</v>
      </c>
      <c r="U212" s="19" t="str">
        <f ca="1">IF(OR(NOT(ISNUMBER($F212)),NOT(ISNUMBER($G212)),NOT(ISNUMBER(Dashboard!$P$2)),NOT(ISNUMBER(Dashboard!$P$3)),$D212&lt;&gt;"Owner block"),"—",IF(MAX(0,MIN($G212,Dashboard!$P$3+1)-MAX($F212,Dashboard!$P$2))=0,"—",MAX(0,MIN($G212,Dashboard!$P$3+1)-MAX($F212,Dashboard!$P$2))))</f>
        <v>—</v>
      </c>
      <c r="V212" s="7" t="str">
        <f>IF($B212="",IF(COUNTA($C212:$G212,$I212:$K212,$S212)=0,"","⚠ no property — not counted"),IF(COUNTIF(Setup!$A$25:$A$36,$B212)=0,"⚠ property not in Setup",IF(AND($F212&lt;&gt;"",NOT(ISNUMBER($F212))),"⚠ check-in is not a real date",IF(AND($G212&lt;&gt;"",NOT(ISNUMBER($G212))),"⚠ check-out is not a real date",IF(AND($J212&lt;&gt;"",NOT(ISNUMBER($J212))),"⚠ booking value is not a number","OK")))))</f>
        <v/>
      </c>
      <c r="W212" s="21" t="str">
        <f t="shared" si="19"/>
        <v>—</v>
      </c>
    </row>
    <row r="213" spans="1:23" x14ac:dyDescent="0.2">
      <c r="A213" s="30">
        <v>209</v>
      </c>
      <c r="B213" s="3"/>
      <c r="C213" s="3"/>
      <c r="D213" s="3"/>
      <c r="E213" s="3"/>
      <c r="F213" s="31"/>
      <c r="G213" s="31"/>
      <c r="H213" s="19" t="str">
        <f t="shared" si="15"/>
        <v>—</v>
      </c>
      <c r="I213" s="32"/>
      <c r="J213" s="6"/>
      <c r="K213" s="33"/>
      <c r="L213" s="21" t="str">
        <f>IF(OR($B213="",NOT(ISNUMBER($J213)),$D213="Cancelled",$D213="Owner block"),"—",ROUND($J213*IF(ISNUMBER($K213),IF($K213&gt;1,$K213/100,$K213),IF(IFERROR(INDEX(Setup!$D$25:$D$36,MATCH($B213,Setup!$A$25:$A$36,0)),0)&gt;1,IFERROR(INDEX(Setup!$D$25:$D$36,MATCH($B213,Setup!$A$25:$A$36,0)),0)/100,IFERROR(INDEX(Setup!$D$25:$D$36,MATCH($B213,Setup!$A$25:$A$36,0)),0))),2))</f>
        <v>—</v>
      </c>
      <c r="M213" s="21" t="str">
        <f t="shared" si="16"/>
        <v>—</v>
      </c>
      <c r="N213" s="21" t="str">
        <f>IF(OR($B213="",$G213="",$D213="Cancelled"),"—",IFERROR(IF(INDEX(Setup!$E$25:$E$36,MATCH($B213,Setup!$A$25:$A$36,0))=0,"—",INDEX(Setup!$E$25:$E$36,MATCH($B213,Setup!$A$25:$A$36,0))),"—"))</f>
        <v>—</v>
      </c>
      <c r="O213" s="21" t="str">
        <f>IF(OR($B213="",$G213="",$D213="Cancelled"),"—",IFERROR(IF(INDEX(Setup!$F$25:$F$36,MATCH($B213,Setup!$A$25:$A$36,0))=0,"—",INDEX(Setup!$F$25:$F$36,MATCH($B213,Setup!$A$25:$A$36,0))),"—"))</f>
        <v>—</v>
      </c>
      <c r="P213" s="21" t="str">
        <f>IF(OR($B213="",$G213="",$D213="Cancelled",$D213="Owner block"),"—",IF(IFERROR(INDEX(Setup!$G$25:$G$36,MATCH($B213,Setup!$A$25:$A$36,0)),0)+IFERROR(INDEX(Setup!$H$25:$H$36,MATCH($B213,Setup!$A$25:$A$36,0)),0)*IF(ISNUMBER($H213),$H213,0)=0,"—",ROUND(IFERROR(INDEX(Setup!$G$25:$G$36,MATCH($B213,Setup!$A$25:$A$36,0)),0)+IFERROR(INDEX(Setup!$H$25:$H$36,MATCH($B213,Setup!$A$25:$A$36,0)),0)*IF(ISNUMBER($H213),$H213,0),2)))</f>
        <v>—</v>
      </c>
      <c r="Q213" s="21" t="str">
        <f t="shared" si="17"/>
        <v>—</v>
      </c>
      <c r="R213" s="21" t="str">
        <f t="shared" si="18"/>
        <v>—</v>
      </c>
      <c r="S213" s="3"/>
      <c r="T213" s="19" t="str">
        <f ca="1">IF(OR(NOT(ISNUMBER($F213)),NOT(ISNUMBER($G213)),NOT(ISNUMBER(Dashboard!$P$2)),NOT(ISNUMBER(Dashboard!$P$3)),$D213="Cancelled",$D213="Owner block"),"—",IF(MAX(0,MIN($G213,Dashboard!$P$3+1)-MAX($F213,Dashboard!$P$2))=0,"—",MAX(0,MIN($G213,Dashboard!$P$3+1)-MAX($F213,Dashboard!$P$2))))</f>
        <v>—</v>
      </c>
      <c r="U213" s="19" t="str">
        <f ca="1">IF(OR(NOT(ISNUMBER($F213)),NOT(ISNUMBER($G213)),NOT(ISNUMBER(Dashboard!$P$2)),NOT(ISNUMBER(Dashboard!$P$3)),$D213&lt;&gt;"Owner block"),"—",IF(MAX(0,MIN($G213,Dashboard!$P$3+1)-MAX($F213,Dashboard!$P$2))=0,"—",MAX(0,MIN($G213,Dashboard!$P$3+1)-MAX($F213,Dashboard!$P$2))))</f>
        <v>—</v>
      </c>
      <c r="V213" s="7" t="str">
        <f>IF($B213="",IF(COUNTA($C213:$G213,$I213:$K213,$S213)=0,"","⚠ no property — not counted"),IF(COUNTIF(Setup!$A$25:$A$36,$B213)=0,"⚠ property not in Setup",IF(AND($F213&lt;&gt;"",NOT(ISNUMBER($F213))),"⚠ check-in is not a real date",IF(AND($G213&lt;&gt;"",NOT(ISNUMBER($G213))),"⚠ check-out is not a real date",IF(AND($J213&lt;&gt;"",NOT(ISNUMBER($J213))),"⚠ booking value is not a number","OK")))))</f>
        <v/>
      </c>
      <c r="W213" s="21" t="str">
        <f t="shared" si="19"/>
        <v>—</v>
      </c>
    </row>
    <row r="214" spans="1:23" x14ac:dyDescent="0.2">
      <c r="A214" s="30">
        <v>210</v>
      </c>
      <c r="B214" s="8"/>
      <c r="C214" s="8"/>
      <c r="D214" s="8"/>
      <c r="E214" s="8"/>
      <c r="F214" s="34"/>
      <c r="G214" s="34"/>
      <c r="H214" s="19" t="str">
        <f t="shared" si="15"/>
        <v>—</v>
      </c>
      <c r="I214" s="35"/>
      <c r="J214" s="11"/>
      <c r="K214" s="36"/>
      <c r="L214" s="21" t="str">
        <f>IF(OR($B214="",NOT(ISNUMBER($J214)),$D214="Cancelled",$D214="Owner block"),"—",ROUND($J214*IF(ISNUMBER($K214),IF($K214&gt;1,$K214/100,$K214),IF(IFERROR(INDEX(Setup!$D$25:$D$36,MATCH($B214,Setup!$A$25:$A$36,0)),0)&gt;1,IFERROR(INDEX(Setup!$D$25:$D$36,MATCH($B214,Setup!$A$25:$A$36,0)),0)/100,IFERROR(INDEX(Setup!$D$25:$D$36,MATCH($B214,Setup!$A$25:$A$36,0)),0))),2))</f>
        <v>—</v>
      </c>
      <c r="M214" s="21" t="str">
        <f t="shared" si="16"/>
        <v>—</v>
      </c>
      <c r="N214" s="21" t="str">
        <f>IF(OR($B214="",$G214="",$D214="Cancelled"),"—",IFERROR(IF(INDEX(Setup!$E$25:$E$36,MATCH($B214,Setup!$A$25:$A$36,0))=0,"—",INDEX(Setup!$E$25:$E$36,MATCH($B214,Setup!$A$25:$A$36,0))),"—"))</f>
        <v>—</v>
      </c>
      <c r="O214" s="21" t="str">
        <f>IF(OR($B214="",$G214="",$D214="Cancelled"),"—",IFERROR(IF(INDEX(Setup!$F$25:$F$36,MATCH($B214,Setup!$A$25:$A$36,0))=0,"—",INDEX(Setup!$F$25:$F$36,MATCH($B214,Setup!$A$25:$A$36,0))),"—"))</f>
        <v>—</v>
      </c>
      <c r="P214" s="21" t="str">
        <f>IF(OR($B214="",$G214="",$D214="Cancelled",$D214="Owner block"),"—",IF(IFERROR(INDEX(Setup!$G$25:$G$36,MATCH($B214,Setup!$A$25:$A$36,0)),0)+IFERROR(INDEX(Setup!$H$25:$H$36,MATCH($B214,Setup!$A$25:$A$36,0)),0)*IF(ISNUMBER($H214),$H214,0)=0,"—",ROUND(IFERROR(INDEX(Setup!$G$25:$G$36,MATCH($B214,Setup!$A$25:$A$36,0)),0)+IFERROR(INDEX(Setup!$H$25:$H$36,MATCH($B214,Setup!$A$25:$A$36,0)),0)*IF(ISNUMBER($H214),$H214,0),2)))</f>
        <v>—</v>
      </c>
      <c r="Q214" s="21" t="str">
        <f t="shared" si="17"/>
        <v>—</v>
      </c>
      <c r="R214" s="21" t="str">
        <f t="shared" si="18"/>
        <v>—</v>
      </c>
      <c r="S214" s="8"/>
      <c r="T214" s="19" t="str">
        <f ca="1">IF(OR(NOT(ISNUMBER($F214)),NOT(ISNUMBER($G214)),NOT(ISNUMBER(Dashboard!$P$2)),NOT(ISNUMBER(Dashboard!$P$3)),$D214="Cancelled",$D214="Owner block"),"—",IF(MAX(0,MIN($G214,Dashboard!$P$3+1)-MAX($F214,Dashboard!$P$2))=0,"—",MAX(0,MIN($G214,Dashboard!$P$3+1)-MAX($F214,Dashboard!$P$2))))</f>
        <v>—</v>
      </c>
      <c r="U214" s="19" t="str">
        <f ca="1">IF(OR(NOT(ISNUMBER($F214)),NOT(ISNUMBER($G214)),NOT(ISNUMBER(Dashboard!$P$2)),NOT(ISNUMBER(Dashboard!$P$3)),$D214&lt;&gt;"Owner block"),"—",IF(MAX(0,MIN($G214,Dashboard!$P$3+1)-MAX($F214,Dashboard!$P$2))=0,"—",MAX(0,MIN($G214,Dashboard!$P$3+1)-MAX($F214,Dashboard!$P$2))))</f>
        <v>—</v>
      </c>
      <c r="V214" s="7" t="str">
        <f>IF($B214="",IF(COUNTA($C214:$G214,$I214:$K214,$S214)=0,"","⚠ no property — not counted"),IF(COUNTIF(Setup!$A$25:$A$36,$B214)=0,"⚠ property not in Setup",IF(AND($F214&lt;&gt;"",NOT(ISNUMBER($F214))),"⚠ check-in is not a real date",IF(AND($G214&lt;&gt;"",NOT(ISNUMBER($G214))),"⚠ check-out is not a real date",IF(AND($J214&lt;&gt;"",NOT(ISNUMBER($J214))),"⚠ booking value is not a number","OK")))))</f>
        <v/>
      </c>
      <c r="W214" s="21" t="str">
        <f t="shared" si="19"/>
        <v>—</v>
      </c>
    </row>
    <row r="215" spans="1:23" x14ac:dyDescent="0.2">
      <c r="A215" s="30">
        <v>211</v>
      </c>
      <c r="B215" s="3"/>
      <c r="C215" s="3"/>
      <c r="D215" s="3"/>
      <c r="E215" s="3"/>
      <c r="F215" s="31"/>
      <c r="G215" s="31"/>
      <c r="H215" s="19" t="str">
        <f t="shared" si="15"/>
        <v>—</v>
      </c>
      <c r="I215" s="32"/>
      <c r="J215" s="6"/>
      <c r="K215" s="33"/>
      <c r="L215" s="21" t="str">
        <f>IF(OR($B215="",NOT(ISNUMBER($J215)),$D215="Cancelled",$D215="Owner block"),"—",ROUND($J215*IF(ISNUMBER($K215),IF($K215&gt;1,$K215/100,$K215),IF(IFERROR(INDEX(Setup!$D$25:$D$36,MATCH($B215,Setup!$A$25:$A$36,0)),0)&gt;1,IFERROR(INDEX(Setup!$D$25:$D$36,MATCH($B215,Setup!$A$25:$A$36,0)),0)/100,IFERROR(INDEX(Setup!$D$25:$D$36,MATCH($B215,Setup!$A$25:$A$36,0)),0))),2))</f>
        <v>—</v>
      </c>
      <c r="M215" s="21" t="str">
        <f t="shared" si="16"/>
        <v>—</v>
      </c>
      <c r="N215" s="21" t="str">
        <f>IF(OR($B215="",$G215="",$D215="Cancelled"),"—",IFERROR(IF(INDEX(Setup!$E$25:$E$36,MATCH($B215,Setup!$A$25:$A$36,0))=0,"—",INDEX(Setup!$E$25:$E$36,MATCH($B215,Setup!$A$25:$A$36,0))),"—"))</f>
        <v>—</v>
      </c>
      <c r="O215" s="21" t="str">
        <f>IF(OR($B215="",$G215="",$D215="Cancelled"),"—",IFERROR(IF(INDEX(Setup!$F$25:$F$36,MATCH($B215,Setup!$A$25:$A$36,0))=0,"—",INDEX(Setup!$F$25:$F$36,MATCH($B215,Setup!$A$25:$A$36,0))),"—"))</f>
        <v>—</v>
      </c>
      <c r="P215" s="21" t="str">
        <f>IF(OR($B215="",$G215="",$D215="Cancelled",$D215="Owner block"),"—",IF(IFERROR(INDEX(Setup!$G$25:$G$36,MATCH($B215,Setup!$A$25:$A$36,0)),0)+IFERROR(INDEX(Setup!$H$25:$H$36,MATCH($B215,Setup!$A$25:$A$36,0)),0)*IF(ISNUMBER($H215),$H215,0)=0,"—",ROUND(IFERROR(INDEX(Setup!$G$25:$G$36,MATCH($B215,Setup!$A$25:$A$36,0)),0)+IFERROR(INDEX(Setup!$H$25:$H$36,MATCH($B215,Setup!$A$25:$A$36,0)),0)*IF(ISNUMBER($H215),$H215,0),2)))</f>
        <v>—</v>
      </c>
      <c r="Q215" s="21" t="str">
        <f t="shared" si="17"/>
        <v>—</v>
      </c>
      <c r="R215" s="21" t="str">
        <f t="shared" si="18"/>
        <v>—</v>
      </c>
      <c r="S215" s="3"/>
      <c r="T215" s="19" t="str">
        <f ca="1">IF(OR(NOT(ISNUMBER($F215)),NOT(ISNUMBER($G215)),NOT(ISNUMBER(Dashboard!$P$2)),NOT(ISNUMBER(Dashboard!$P$3)),$D215="Cancelled",$D215="Owner block"),"—",IF(MAX(0,MIN($G215,Dashboard!$P$3+1)-MAX($F215,Dashboard!$P$2))=0,"—",MAX(0,MIN($G215,Dashboard!$P$3+1)-MAX($F215,Dashboard!$P$2))))</f>
        <v>—</v>
      </c>
      <c r="U215" s="19" t="str">
        <f ca="1">IF(OR(NOT(ISNUMBER($F215)),NOT(ISNUMBER($G215)),NOT(ISNUMBER(Dashboard!$P$2)),NOT(ISNUMBER(Dashboard!$P$3)),$D215&lt;&gt;"Owner block"),"—",IF(MAX(0,MIN($G215,Dashboard!$P$3+1)-MAX($F215,Dashboard!$P$2))=0,"—",MAX(0,MIN($G215,Dashboard!$P$3+1)-MAX($F215,Dashboard!$P$2))))</f>
        <v>—</v>
      </c>
      <c r="V215" s="7" t="str">
        <f>IF($B215="",IF(COUNTA($C215:$G215,$I215:$K215,$S215)=0,"","⚠ no property — not counted"),IF(COUNTIF(Setup!$A$25:$A$36,$B215)=0,"⚠ property not in Setup",IF(AND($F215&lt;&gt;"",NOT(ISNUMBER($F215))),"⚠ check-in is not a real date",IF(AND($G215&lt;&gt;"",NOT(ISNUMBER($G215))),"⚠ check-out is not a real date",IF(AND($J215&lt;&gt;"",NOT(ISNUMBER($J215))),"⚠ booking value is not a number","OK")))))</f>
        <v/>
      </c>
      <c r="W215" s="21" t="str">
        <f t="shared" si="19"/>
        <v>—</v>
      </c>
    </row>
    <row r="216" spans="1:23" x14ac:dyDescent="0.2">
      <c r="A216" s="30">
        <v>212</v>
      </c>
      <c r="B216" s="8"/>
      <c r="C216" s="8"/>
      <c r="D216" s="8"/>
      <c r="E216" s="8"/>
      <c r="F216" s="34"/>
      <c r="G216" s="34"/>
      <c r="H216" s="19" t="str">
        <f t="shared" si="15"/>
        <v>—</v>
      </c>
      <c r="I216" s="35"/>
      <c r="J216" s="11"/>
      <c r="K216" s="36"/>
      <c r="L216" s="21" t="str">
        <f>IF(OR($B216="",NOT(ISNUMBER($J216)),$D216="Cancelled",$D216="Owner block"),"—",ROUND($J216*IF(ISNUMBER($K216),IF($K216&gt;1,$K216/100,$K216),IF(IFERROR(INDEX(Setup!$D$25:$D$36,MATCH($B216,Setup!$A$25:$A$36,0)),0)&gt;1,IFERROR(INDEX(Setup!$D$25:$D$36,MATCH($B216,Setup!$A$25:$A$36,0)),0)/100,IFERROR(INDEX(Setup!$D$25:$D$36,MATCH($B216,Setup!$A$25:$A$36,0)),0))),2))</f>
        <v>—</v>
      </c>
      <c r="M216" s="21" t="str">
        <f t="shared" si="16"/>
        <v>—</v>
      </c>
      <c r="N216" s="21" t="str">
        <f>IF(OR($B216="",$G216="",$D216="Cancelled"),"—",IFERROR(IF(INDEX(Setup!$E$25:$E$36,MATCH($B216,Setup!$A$25:$A$36,0))=0,"—",INDEX(Setup!$E$25:$E$36,MATCH($B216,Setup!$A$25:$A$36,0))),"—"))</f>
        <v>—</v>
      </c>
      <c r="O216" s="21" t="str">
        <f>IF(OR($B216="",$G216="",$D216="Cancelled"),"—",IFERROR(IF(INDEX(Setup!$F$25:$F$36,MATCH($B216,Setup!$A$25:$A$36,0))=0,"—",INDEX(Setup!$F$25:$F$36,MATCH($B216,Setup!$A$25:$A$36,0))),"—"))</f>
        <v>—</v>
      </c>
      <c r="P216" s="21" t="str">
        <f>IF(OR($B216="",$G216="",$D216="Cancelled",$D216="Owner block"),"—",IF(IFERROR(INDEX(Setup!$G$25:$G$36,MATCH($B216,Setup!$A$25:$A$36,0)),0)+IFERROR(INDEX(Setup!$H$25:$H$36,MATCH($B216,Setup!$A$25:$A$36,0)),0)*IF(ISNUMBER($H216),$H216,0)=0,"—",ROUND(IFERROR(INDEX(Setup!$G$25:$G$36,MATCH($B216,Setup!$A$25:$A$36,0)),0)+IFERROR(INDEX(Setup!$H$25:$H$36,MATCH($B216,Setup!$A$25:$A$36,0)),0)*IF(ISNUMBER($H216),$H216,0),2)))</f>
        <v>—</v>
      </c>
      <c r="Q216" s="21" t="str">
        <f t="shared" si="17"/>
        <v>—</v>
      </c>
      <c r="R216" s="21" t="str">
        <f t="shared" si="18"/>
        <v>—</v>
      </c>
      <c r="S216" s="8"/>
      <c r="T216" s="19" t="str">
        <f ca="1">IF(OR(NOT(ISNUMBER($F216)),NOT(ISNUMBER($G216)),NOT(ISNUMBER(Dashboard!$P$2)),NOT(ISNUMBER(Dashboard!$P$3)),$D216="Cancelled",$D216="Owner block"),"—",IF(MAX(0,MIN($G216,Dashboard!$P$3+1)-MAX($F216,Dashboard!$P$2))=0,"—",MAX(0,MIN($G216,Dashboard!$P$3+1)-MAX($F216,Dashboard!$P$2))))</f>
        <v>—</v>
      </c>
      <c r="U216" s="19" t="str">
        <f ca="1">IF(OR(NOT(ISNUMBER($F216)),NOT(ISNUMBER($G216)),NOT(ISNUMBER(Dashboard!$P$2)),NOT(ISNUMBER(Dashboard!$P$3)),$D216&lt;&gt;"Owner block"),"—",IF(MAX(0,MIN($G216,Dashboard!$P$3+1)-MAX($F216,Dashboard!$P$2))=0,"—",MAX(0,MIN($G216,Dashboard!$P$3+1)-MAX($F216,Dashboard!$P$2))))</f>
        <v>—</v>
      </c>
      <c r="V216" s="7" t="str">
        <f>IF($B216="",IF(COUNTA($C216:$G216,$I216:$K216,$S216)=0,"","⚠ no property — not counted"),IF(COUNTIF(Setup!$A$25:$A$36,$B216)=0,"⚠ property not in Setup",IF(AND($F216&lt;&gt;"",NOT(ISNUMBER($F216))),"⚠ check-in is not a real date",IF(AND($G216&lt;&gt;"",NOT(ISNUMBER($G216))),"⚠ check-out is not a real date",IF(AND($J216&lt;&gt;"",NOT(ISNUMBER($J216))),"⚠ booking value is not a number","OK")))))</f>
        <v/>
      </c>
      <c r="W216" s="21" t="str">
        <f t="shared" si="19"/>
        <v>—</v>
      </c>
    </row>
    <row r="217" spans="1:23" x14ac:dyDescent="0.2">
      <c r="A217" s="30">
        <v>213</v>
      </c>
      <c r="B217" s="3"/>
      <c r="C217" s="3"/>
      <c r="D217" s="3"/>
      <c r="E217" s="3"/>
      <c r="F217" s="31"/>
      <c r="G217" s="31"/>
      <c r="H217" s="19" t="str">
        <f t="shared" si="15"/>
        <v>—</v>
      </c>
      <c r="I217" s="32"/>
      <c r="J217" s="6"/>
      <c r="K217" s="33"/>
      <c r="L217" s="21" t="str">
        <f>IF(OR($B217="",NOT(ISNUMBER($J217)),$D217="Cancelled",$D217="Owner block"),"—",ROUND($J217*IF(ISNUMBER($K217),IF($K217&gt;1,$K217/100,$K217),IF(IFERROR(INDEX(Setup!$D$25:$D$36,MATCH($B217,Setup!$A$25:$A$36,0)),0)&gt;1,IFERROR(INDEX(Setup!$D$25:$D$36,MATCH($B217,Setup!$A$25:$A$36,0)),0)/100,IFERROR(INDEX(Setup!$D$25:$D$36,MATCH($B217,Setup!$A$25:$A$36,0)),0))),2))</f>
        <v>—</v>
      </c>
      <c r="M217" s="21" t="str">
        <f t="shared" si="16"/>
        <v>—</v>
      </c>
      <c r="N217" s="21" t="str">
        <f>IF(OR($B217="",$G217="",$D217="Cancelled"),"—",IFERROR(IF(INDEX(Setup!$E$25:$E$36,MATCH($B217,Setup!$A$25:$A$36,0))=0,"—",INDEX(Setup!$E$25:$E$36,MATCH($B217,Setup!$A$25:$A$36,0))),"—"))</f>
        <v>—</v>
      </c>
      <c r="O217" s="21" t="str">
        <f>IF(OR($B217="",$G217="",$D217="Cancelled"),"—",IFERROR(IF(INDEX(Setup!$F$25:$F$36,MATCH($B217,Setup!$A$25:$A$36,0))=0,"—",INDEX(Setup!$F$25:$F$36,MATCH($B217,Setup!$A$25:$A$36,0))),"—"))</f>
        <v>—</v>
      </c>
      <c r="P217" s="21" t="str">
        <f>IF(OR($B217="",$G217="",$D217="Cancelled",$D217="Owner block"),"—",IF(IFERROR(INDEX(Setup!$G$25:$G$36,MATCH($B217,Setup!$A$25:$A$36,0)),0)+IFERROR(INDEX(Setup!$H$25:$H$36,MATCH($B217,Setup!$A$25:$A$36,0)),0)*IF(ISNUMBER($H217),$H217,0)=0,"—",ROUND(IFERROR(INDEX(Setup!$G$25:$G$36,MATCH($B217,Setup!$A$25:$A$36,0)),0)+IFERROR(INDEX(Setup!$H$25:$H$36,MATCH($B217,Setup!$A$25:$A$36,0)),0)*IF(ISNUMBER($H217),$H217,0),2)))</f>
        <v>—</v>
      </c>
      <c r="Q217" s="21" t="str">
        <f t="shared" si="17"/>
        <v>—</v>
      </c>
      <c r="R217" s="21" t="str">
        <f t="shared" si="18"/>
        <v>—</v>
      </c>
      <c r="S217" s="3"/>
      <c r="T217" s="19" t="str">
        <f ca="1">IF(OR(NOT(ISNUMBER($F217)),NOT(ISNUMBER($G217)),NOT(ISNUMBER(Dashboard!$P$2)),NOT(ISNUMBER(Dashboard!$P$3)),$D217="Cancelled",$D217="Owner block"),"—",IF(MAX(0,MIN($G217,Dashboard!$P$3+1)-MAX($F217,Dashboard!$P$2))=0,"—",MAX(0,MIN($G217,Dashboard!$P$3+1)-MAX($F217,Dashboard!$P$2))))</f>
        <v>—</v>
      </c>
      <c r="U217" s="19" t="str">
        <f ca="1">IF(OR(NOT(ISNUMBER($F217)),NOT(ISNUMBER($G217)),NOT(ISNUMBER(Dashboard!$P$2)),NOT(ISNUMBER(Dashboard!$P$3)),$D217&lt;&gt;"Owner block"),"—",IF(MAX(0,MIN($G217,Dashboard!$P$3+1)-MAX($F217,Dashboard!$P$2))=0,"—",MAX(0,MIN($G217,Dashboard!$P$3+1)-MAX($F217,Dashboard!$P$2))))</f>
        <v>—</v>
      </c>
      <c r="V217" s="7" t="str">
        <f>IF($B217="",IF(COUNTA($C217:$G217,$I217:$K217,$S217)=0,"","⚠ no property — not counted"),IF(COUNTIF(Setup!$A$25:$A$36,$B217)=0,"⚠ property not in Setup",IF(AND($F217&lt;&gt;"",NOT(ISNUMBER($F217))),"⚠ check-in is not a real date",IF(AND($G217&lt;&gt;"",NOT(ISNUMBER($G217))),"⚠ check-out is not a real date",IF(AND($J217&lt;&gt;"",NOT(ISNUMBER($J217))),"⚠ booking value is not a number","OK")))))</f>
        <v/>
      </c>
      <c r="W217" s="21" t="str">
        <f t="shared" si="19"/>
        <v>—</v>
      </c>
    </row>
    <row r="218" spans="1:23" x14ac:dyDescent="0.2">
      <c r="A218" s="30">
        <v>214</v>
      </c>
      <c r="B218" s="8"/>
      <c r="C218" s="8"/>
      <c r="D218" s="8"/>
      <c r="E218" s="8"/>
      <c r="F218" s="34"/>
      <c r="G218" s="34"/>
      <c r="H218" s="19" t="str">
        <f t="shared" si="15"/>
        <v>—</v>
      </c>
      <c r="I218" s="35"/>
      <c r="J218" s="11"/>
      <c r="K218" s="36"/>
      <c r="L218" s="21" t="str">
        <f>IF(OR($B218="",NOT(ISNUMBER($J218)),$D218="Cancelled",$D218="Owner block"),"—",ROUND($J218*IF(ISNUMBER($K218),IF($K218&gt;1,$K218/100,$K218),IF(IFERROR(INDEX(Setup!$D$25:$D$36,MATCH($B218,Setup!$A$25:$A$36,0)),0)&gt;1,IFERROR(INDEX(Setup!$D$25:$D$36,MATCH($B218,Setup!$A$25:$A$36,0)),0)/100,IFERROR(INDEX(Setup!$D$25:$D$36,MATCH($B218,Setup!$A$25:$A$36,0)),0))),2))</f>
        <v>—</v>
      </c>
      <c r="M218" s="21" t="str">
        <f t="shared" si="16"/>
        <v>—</v>
      </c>
      <c r="N218" s="21" t="str">
        <f>IF(OR($B218="",$G218="",$D218="Cancelled"),"—",IFERROR(IF(INDEX(Setup!$E$25:$E$36,MATCH($B218,Setup!$A$25:$A$36,0))=0,"—",INDEX(Setup!$E$25:$E$36,MATCH($B218,Setup!$A$25:$A$36,0))),"—"))</f>
        <v>—</v>
      </c>
      <c r="O218" s="21" t="str">
        <f>IF(OR($B218="",$G218="",$D218="Cancelled"),"—",IFERROR(IF(INDEX(Setup!$F$25:$F$36,MATCH($B218,Setup!$A$25:$A$36,0))=0,"—",INDEX(Setup!$F$25:$F$36,MATCH($B218,Setup!$A$25:$A$36,0))),"—"))</f>
        <v>—</v>
      </c>
      <c r="P218" s="21" t="str">
        <f>IF(OR($B218="",$G218="",$D218="Cancelled",$D218="Owner block"),"—",IF(IFERROR(INDEX(Setup!$G$25:$G$36,MATCH($B218,Setup!$A$25:$A$36,0)),0)+IFERROR(INDEX(Setup!$H$25:$H$36,MATCH($B218,Setup!$A$25:$A$36,0)),0)*IF(ISNUMBER($H218),$H218,0)=0,"—",ROUND(IFERROR(INDEX(Setup!$G$25:$G$36,MATCH($B218,Setup!$A$25:$A$36,0)),0)+IFERROR(INDEX(Setup!$H$25:$H$36,MATCH($B218,Setup!$A$25:$A$36,0)),0)*IF(ISNUMBER($H218),$H218,0),2)))</f>
        <v>—</v>
      </c>
      <c r="Q218" s="21" t="str">
        <f t="shared" si="17"/>
        <v>—</v>
      </c>
      <c r="R218" s="21" t="str">
        <f t="shared" si="18"/>
        <v>—</v>
      </c>
      <c r="S218" s="8"/>
      <c r="T218" s="19" t="str">
        <f ca="1">IF(OR(NOT(ISNUMBER($F218)),NOT(ISNUMBER($G218)),NOT(ISNUMBER(Dashboard!$P$2)),NOT(ISNUMBER(Dashboard!$P$3)),$D218="Cancelled",$D218="Owner block"),"—",IF(MAX(0,MIN($G218,Dashboard!$P$3+1)-MAX($F218,Dashboard!$P$2))=0,"—",MAX(0,MIN($G218,Dashboard!$P$3+1)-MAX($F218,Dashboard!$P$2))))</f>
        <v>—</v>
      </c>
      <c r="U218" s="19" t="str">
        <f ca="1">IF(OR(NOT(ISNUMBER($F218)),NOT(ISNUMBER($G218)),NOT(ISNUMBER(Dashboard!$P$2)),NOT(ISNUMBER(Dashboard!$P$3)),$D218&lt;&gt;"Owner block"),"—",IF(MAX(0,MIN($G218,Dashboard!$P$3+1)-MAX($F218,Dashboard!$P$2))=0,"—",MAX(0,MIN($G218,Dashboard!$P$3+1)-MAX($F218,Dashboard!$P$2))))</f>
        <v>—</v>
      </c>
      <c r="V218" s="7" t="str">
        <f>IF($B218="",IF(COUNTA($C218:$G218,$I218:$K218,$S218)=0,"","⚠ no property — not counted"),IF(COUNTIF(Setup!$A$25:$A$36,$B218)=0,"⚠ property not in Setup",IF(AND($F218&lt;&gt;"",NOT(ISNUMBER($F218))),"⚠ check-in is not a real date",IF(AND($G218&lt;&gt;"",NOT(ISNUMBER($G218))),"⚠ check-out is not a real date",IF(AND($J218&lt;&gt;"",NOT(ISNUMBER($J218))),"⚠ booking value is not a number","OK")))))</f>
        <v/>
      </c>
      <c r="W218" s="21" t="str">
        <f t="shared" si="19"/>
        <v>—</v>
      </c>
    </row>
    <row r="219" spans="1:23" x14ac:dyDescent="0.2">
      <c r="A219" s="30">
        <v>215</v>
      </c>
      <c r="B219" s="3"/>
      <c r="C219" s="3"/>
      <c r="D219" s="3"/>
      <c r="E219" s="3"/>
      <c r="F219" s="31"/>
      <c r="G219" s="31"/>
      <c r="H219" s="19" t="str">
        <f t="shared" si="15"/>
        <v>—</v>
      </c>
      <c r="I219" s="32"/>
      <c r="J219" s="6"/>
      <c r="K219" s="33"/>
      <c r="L219" s="21" t="str">
        <f>IF(OR($B219="",NOT(ISNUMBER($J219)),$D219="Cancelled",$D219="Owner block"),"—",ROUND($J219*IF(ISNUMBER($K219),IF($K219&gt;1,$K219/100,$K219),IF(IFERROR(INDEX(Setup!$D$25:$D$36,MATCH($B219,Setup!$A$25:$A$36,0)),0)&gt;1,IFERROR(INDEX(Setup!$D$25:$D$36,MATCH($B219,Setup!$A$25:$A$36,0)),0)/100,IFERROR(INDEX(Setup!$D$25:$D$36,MATCH($B219,Setup!$A$25:$A$36,0)),0))),2))</f>
        <v>—</v>
      </c>
      <c r="M219" s="21" t="str">
        <f t="shared" si="16"/>
        <v>—</v>
      </c>
      <c r="N219" s="21" t="str">
        <f>IF(OR($B219="",$G219="",$D219="Cancelled"),"—",IFERROR(IF(INDEX(Setup!$E$25:$E$36,MATCH($B219,Setup!$A$25:$A$36,0))=0,"—",INDEX(Setup!$E$25:$E$36,MATCH($B219,Setup!$A$25:$A$36,0))),"—"))</f>
        <v>—</v>
      </c>
      <c r="O219" s="21" t="str">
        <f>IF(OR($B219="",$G219="",$D219="Cancelled"),"—",IFERROR(IF(INDEX(Setup!$F$25:$F$36,MATCH($B219,Setup!$A$25:$A$36,0))=0,"—",INDEX(Setup!$F$25:$F$36,MATCH($B219,Setup!$A$25:$A$36,0))),"—"))</f>
        <v>—</v>
      </c>
      <c r="P219" s="21" t="str">
        <f>IF(OR($B219="",$G219="",$D219="Cancelled",$D219="Owner block"),"—",IF(IFERROR(INDEX(Setup!$G$25:$G$36,MATCH($B219,Setup!$A$25:$A$36,0)),0)+IFERROR(INDEX(Setup!$H$25:$H$36,MATCH($B219,Setup!$A$25:$A$36,0)),0)*IF(ISNUMBER($H219),$H219,0)=0,"—",ROUND(IFERROR(INDEX(Setup!$G$25:$G$36,MATCH($B219,Setup!$A$25:$A$36,0)),0)+IFERROR(INDEX(Setup!$H$25:$H$36,MATCH($B219,Setup!$A$25:$A$36,0)),0)*IF(ISNUMBER($H219),$H219,0),2)))</f>
        <v>—</v>
      </c>
      <c r="Q219" s="21" t="str">
        <f t="shared" si="17"/>
        <v>—</v>
      </c>
      <c r="R219" s="21" t="str">
        <f t="shared" si="18"/>
        <v>—</v>
      </c>
      <c r="S219" s="3"/>
      <c r="T219" s="19" t="str">
        <f ca="1">IF(OR(NOT(ISNUMBER($F219)),NOT(ISNUMBER($G219)),NOT(ISNUMBER(Dashboard!$P$2)),NOT(ISNUMBER(Dashboard!$P$3)),$D219="Cancelled",$D219="Owner block"),"—",IF(MAX(0,MIN($G219,Dashboard!$P$3+1)-MAX($F219,Dashboard!$P$2))=0,"—",MAX(0,MIN($G219,Dashboard!$P$3+1)-MAX($F219,Dashboard!$P$2))))</f>
        <v>—</v>
      </c>
      <c r="U219" s="19" t="str">
        <f ca="1">IF(OR(NOT(ISNUMBER($F219)),NOT(ISNUMBER($G219)),NOT(ISNUMBER(Dashboard!$P$2)),NOT(ISNUMBER(Dashboard!$P$3)),$D219&lt;&gt;"Owner block"),"—",IF(MAX(0,MIN($G219,Dashboard!$P$3+1)-MAX($F219,Dashboard!$P$2))=0,"—",MAX(0,MIN($G219,Dashboard!$P$3+1)-MAX($F219,Dashboard!$P$2))))</f>
        <v>—</v>
      </c>
      <c r="V219" s="7" t="str">
        <f>IF($B219="",IF(COUNTA($C219:$G219,$I219:$K219,$S219)=0,"","⚠ no property — not counted"),IF(COUNTIF(Setup!$A$25:$A$36,$B219)=0,"⚠ property not in Setup",IF(AND($F219&lt;&gt;"",NOT(ISNUMBER($F219))),"⚠ check-in is not a real date",IF(AND($G219&lt;&gt;"",NOT(ISNUMBER($G219))),"⚠ check-out is not a real date",IF(AND($J219&lt;&gt;"",NOT(ISNUMBER($J219))),"⚠ booking value is not a number","OK")))))</f>
        <v/>
      </c>
      <c r="W219" s="21" t="str">
        <f t="shared" si="19"/>
        <v>—</v>
      </c>
    </row>
    <row r="220" spans="1:23" x14ac:dyDescent="0.2">
      <c r="A220" s="30">
        <v>216</v>
      </c>
      <c r="B220" s="8"/>
      <c r="C220" s="8"/>
      <c r="D220" s="8"/>
      <c r="E220" s="8"/>
      <c r="F220" s="34"/>
      <c r="G220" s="34"/>
      <c r="H220" s="19" t="str">
        <f t="shared" si="15"/>
        <v>—</v>
      </c>
      <c r="I220" s="35"/>
      <c r="J220" s="11"/>
      <c r="K220" s="36"/>
      <c r="L220" s="21" t="str">
        <f>IF(OR($B220="",NOT(ISNUMBER($J220)),$D220="Cancelled",$D220="Owner block"),"—",ROUND($J220*IF(ISNUMBER($K220),IF($K220&gt;1,$K220/100,$K220),IF(IFERROR(INDEX(Setup!$D$25:$D$36,MATCH($B220,Setup!$A$25:$A$36,0)),0)&gt;1,IFERROR(INDEX(Setup!$D$25:$D$36,MATCH($B220,Setup!$A$25:$A$36,0)),0)/100,IFERROR(INDEX(Setup!$D$25:$D$36,MATCH($B220,Setup!$A$25:$A$36,0)),0))),2))</f>
        <v>—</v>
      </c>
      <c r="M220" s="21" t="str">
        <f t="shared" si="16"/>
        <v>—</v>
      </c>
      <c r="N220" s="21" t="str">
        <f>IF(OR($B220="",$G220="",$D220="Cancelled"),"—",IFERROR(IF(INDEX(Setup!$E$25:$E$36,MATCH($B220,Setup!$A$25:$A$36,0))=0,"—",INDEX(Setup!$E$25:$E$36,MATCH($B220,Setup!$A$25:$A$36,0))),"—"))</f>
        <v>—</v>
      </c>
      <c r="O220" s="21" t="str">
        <f>IF(OR($B220="",$G220="",$D220="Cancelled"),"—",IFERROR(IF(INDEX(Setup!$F$25:$F$36,MATCH($B220,Setup!$A$25:$A$36,0))=0,"—",INDEX(Setup!$F$25:$F$36,MATCH($B220,Setup!$A$25:$A$36,0))),"—"))</f>
        <v>—</v>
      </c>
      <c r="P220" s="21" t="str">
        <f>IF(OR($B220="",$G220="",$D220="Cancelled",$D220="Owner block"),"—",IF(IFERROR(INDEX(Setup!$G$25:$G$36,MATCH($B220,Setup!$A$25:$A$36,0)),0)+IFERROR(INDEX(Setup!$H$25:$H$36,MATCH($B220,Setup!$A$25:$A$36,0)),0)*IF(ISNUMBER($H220),$H220,0)=0,"—",ROUND(IFERROR(INDEX(Setup!$G$25:$G$36,MATCH($B220,Setup!$A$25:$A$36,0)),0)+IFERROR(INDEX(Setup!$H$25:$H$36,MATCH($B220,Setup!$A$25:$A$36,0)),0)*IF(ISNUMBER($H220),$H220,0),2)))</f>
        <v>—</v>
      </c>
      <c r="Q220" s="21" t="str">
        <f t="shared" si="17"/>
        <v>—</v>
      </c>
      <c r="R220" s="21" t="str">
        <f t="shared" si="18"/>
        <v>—</v>
      </c>
      <c r="S220" s="8"/>
      <c r="T220" s="19" t="str">
        <f ca="1">IF(OR(NOT(ISNUMBER($F220)),NOT(ISNUMBER($G220)),NOT(ISNUMBER(Dashboard!$P$2)),NOT(ISNUMBER(Dashboard!$P$3)),$D220="Cancelled",$D220="Owner block"),"—",IF(MAX(0,MIN($G220,Dashboard!$P$3+1)-MAX($F220,Dashboard!$P$2))=0,"—",MAX(0,MIN($G220,Dashboard!$P$3+1)-MAX($F220,Dashboard!$P$2))))</f>
        <v>—</v>
      </c>
      <c r="U220" s="19" t="str">
        <f ca="1">IF(OR(NOT(ISNUMBER($F220)),NOT(ISNUMBER($G220)),NOT(ISNUMBER(Dashboard!$P$2)),NOT(ISNUMBER(Dashboard!$P$3)),$D220&lt;&gt;"Owner block"),"—",IF(MAX(0,MIN($G220,Dashboard!$P$3+1)-MAX($F220,Dashboard!$P$2))=0,"—",MAX(0,MIN($G220,Dashboard!$P$3+1)-MAX($F220,Dashboard!$P$2))))</f>
        <v>—</v>
      </c>
      <c r="V220" s="7" t="str">
        <f>IF($B220="",IF(COUNTA($C220:$G220,$I220:$K220,$S220)=0,"","⚠ no property — not counted"),IF(COUNTIF(Setup!$A$25:$A$36,$B220)=0,"⚠ property not in Setup",IF(AND($F220&lt;&gt;"",NOT(ISNUMBER($F220))),"⚠ check-in is not a real date",IF(AND($G220&lt;&gt;"",NOT(ISNUMBER($G220))),"⚠ check-out is not a real date",IF(AND($J220&lt;&gt;"",NOT(ISNUMBER($J220))),"⚠ booking value is not a number","OK")))))</f>
        <v/>
      </c>
      <c r="W220" s="21" t="str">
        <f t="shared" si="19"/>
        <v>—</v>
      </c>
    </row>
    <row r="221" spans="1:23" x14ac:dyDescent="0.2">
      <c r="A221" s="30">
        <v>217</v>
      </c>
      <c r="B221" s="3"/>
      <c r="C221" s="3"/>
      <c r="D221" s="3"/>
      <c r="E221" s="3"/>
      <c r="F221" s="31"/>
      <c r="G221" s="31"/>
      <c r="H221" s="19" t="str">
        <f t="shared" si="15"/>
        <v>—</v>
      </c>
      <c r="I221" s="32"/>
      <c r="J221" s="6"/>
      <c r="K221" s="33"/>
      <c r="L221" s="21" t="str">
        <f>IF(OR($B221="",NOT(ISNUMBER($J221)),$D221="Cancelled",$D221="Owner block"),"—",ROUND($J221*IF(ISNUMBER($K221),IF($K221&gt;1,$K221/100,$K221),IF(IFERROR(INDEX(Setup!$D$25:$D$36,MATCH($B221,Setup!$A$25:$A$36,0)),0)&gt;1,IFERROR(INDEX(Setup!$D$25:$D$36,MATCH($B221,Setup!$A$25:$A$36,0)),0)/100,IFERROR(INDEX(Setup!$D$25:$D$36,MATCH($B221,Setup!$A$25:$A$36,0)),0))),2))</f>
        <v>—</v>
      </c>
      <c r="M221" s="21" t="str">
        <f t="shared" si="16"/>
        <v>—</v>
      </c>
      <c r="N221" s="21" t="str">
        <f>IF(OR($B221="",$G221="",$D221="Cancelled"),"—",IFERROR(IF(INDEX(Setup!$E$25:$E$36,MATCH($B221,Setup!$A$25:$A$36,0))=0,"—",INDEX(Setup!$E$25:$E$36,MATCH($B221,Setup!$A$25:$A$36,0))),"—"))</f>
        <v>—</v>
      </c>
      <c r="O221" s="21" t="str">
        <f>IF(OR($B221="",$G221="",$D221="Cancelled"),"—",IFERROR(IF(INDEX(Setup!$F$25:$F$36,MATCH($B221,Setup!$A$25:$A$36,0))=0,"—",INDEX(Setup!$F$25:$F$36,MATCH($B221,Setup!$A$25:$A$36,0))),"—"))</f>
        <v>—</v>
      </c>
      <c r="P221" s="21" t="str">
        <f>IF(OR($B221="",$G221="",$D221="Cancelled",$D221="Owner block"),"—",IF(IFERROR(INDEX(Setup!$G$25:$G$36,MATCH($B221,Setup!$A$25:$A$36,0)),0)+IFERROR(INDEX(Setup!$H$25:$H$36,MATCH($B221,Setup!$A$25:$A$36,0)),0)*IF(ISNUMBER($H221),$H221,0)=0,"—",ROUND(IFERROR(INDEX(Setup!$G$25:$G$36,MATCH($B221,Setup!$A$25:$A$36,0)),0)+IFERROR(INDEX(Setup!$H$25:$H$36,MATCH($B221,Setup!$A$25:$A$36,0)),0)*IF(ISNUMBER($H221),$H221,0),2)))</f>
        <v>—</v>
      </c>
      <c r="Q221" s="21" t="str">
        <f t="shared" si="17"/>
        <v>—</v>
      </c>
      <c r="R221" s="21" t="str">
        <f t="shared" si="18"/>
        <v>—</v>
      </c>
      <c r="S221" s="3"/>
      <c r="T221" s="19" t="str">
        <f ca="1">IF(OR(NOT(ISNUMBER($F221)),NOT(ISNUMBER($G221)),NOT(ISNUMBER(Dashboard!$P$2)),NOT(ISNUMBER(Dashboard!$P$3)),$D221="Cancelled",$D221="Owner block"),"—",IF(MAX(0,MIN($G221,Dashboard!$P$3+1)-MAX($F221,Dashboard!$P$2))=0,"—",MAX(0,MIN($G221,Dashboard!$P$3+1)-MAX($F221,Dashboard!$P$2))))</f>
        <v>—</v>
      </c>
      <c r="U221" s="19" t="str">
        <f ca="1">IF(OR(NOT(ISNUMBER($F221)),NOT(ISNUMBER($G221)),NOT(ISNUMBER(Dashboard!$P$2)),NOT(ISNUMBER(Dashboard!$P$3)),$D221&lt;&gt;"Owner block"),"—",IF(MAX(0,MIN($G221,Dashboard!$P$3+1)-MAX($F221,Dashboard!$P$2))=0,"—",MAX(0,MIN($G221,Dashboard!$P$3+1)-MAX($F221,Dashboard!$P$2))))</f>
        <v>—</v>
      </c>
      <c r="V221" s="7" t="str">
        <f>IF($B221="",IF(COUNTA($C221:$G221,$I221:$K221,$S221)=0,"","⚠ no property — not counted"),IF(COUNTIF(Setup!$A$25:$A$36,$B221)=0,"⚠ property not in Setup",IF(AND($F221&lt;&gt;"",NOT(ISNUMBER($F221))),"⚠ check-in is not a real date",IF(AND($G221&lt;&gt;"",NOT(ISNUMBER($G221))),"⚠ check-out is not a real date",IF(AND($J221&lt;&gt;"",NOT(ISNUMBER($J221))),"⚠ booking value is not a number","OK")))))</f>
        <v/>
      </c>
      <c r="W221" s="21" t="str">
        <f t="shared" si="19"/>
        <v>—</v>
      </c>
    </row>
    <row r="222" spans="1:23" x14ac:dyDescent="0.2">
      <c r="A222" s="30">
        <v>218</v>
      </c>
      <c r="B222" s="8"/>
      <c r="C222" s="8"/>
      <c r="D222" s="8"/>
      <c r="E222" s="8"/>
      <c r="F222" s="34"/>
      <c r="G222" s="34"/>
      <c r="H222" s="19" t="str">
        <f t="shared" si="15"/>
        <v>—</v>
      </c>
      <c r="I222" s="35"/>
      <c r="J222" s="11"/>
      <c r="K222" s="36"/>
      <c r="L222" s="21" t="str">
        <f>IF(OR($B222="",NOT(ISNUMBER($J222)),$D222="Cancelled",$D222="Owner block"),"—",ROUND($J222*IF(ISNUMBER($K222),IF($K222&gt;1,$K222/100,$K222),IF(IFERROR(INDEX(Setup!$D$25:$D$36,MATCH($B222,Setup!$A$25:$A$36,0)),0)&gt;1,IFERROR(INDEX(Setup!$D$25:$D$36,MATCH($B222,Setup!$A$25:$A$36,0)),0)/100,IFERROR(INDEX(Setup!$D$25:$D$36,MATCH($B222,Setup!$A$25:$A$36,0)),0))),2))</f>
        <v>—</v>
      </c>
      <c r="M222" s="21" t="str">
        <f t="shared" si="16"/>
        <v>—</v>
      </c>
      <c r="N222" s="21" t="str">
        <f>IF(OR($B222="",$G222="",$D222="Cancelled"),"—",IFERROR(IF(INDEX(Setup!$E$25:$E$36,MATCH($B222,Setup!$A$25:$A$36,0))=0,"—",INDEX(Setup!$E$25:$E$36,MATCH($B222,Setup!$A$25:$A$36,0))),"—"))</f>
        <v>—</v>
      </c>
      <c r="O222" s="21" t="str">
        <f>IF(OR($B222="",$G222="",$D222="Cancelled"),"—",IFERROR(IF(INDEX(Setup!$F$25:$F$36,MATCH($B222,Setup!$A$25:$A$36,0))=0,"—",INDEX(Setup!$F$25:$F$36,MATCH($B222,Setup!$A$25:$A$36,0))),"—"))</f>
        <v>—</v>
      </c>
      <c r="P222" s="21" t="str">
        <f>IF(OR($B222="",$G222="",$D222="Cancelled",$D222="Owner block"),"—",IF(IFERROR(INDEX(Setup!$G$25:$G$36,MATCH($B222,Setup!$A$25:$A$36,0)),0)+IFERROR(INDEX(Setup!$H$25:$H$36,MATCH($B222,Setup!$A$25:$A$36,0)),0)*IF(ISNUMBER($H222),$H222,0)=0,"—",ROUND(IFERROR(INDEX(Setup!$G$25:$G$36,MATCH($B222,Setup!$A$25:$A$36,0)),0)+IFERROR(INDEX(Setup!$H$25:$H$36,MATCH($B222,Setup!$A$25:$A$36,0)),0)*IF(ISNUMBER($H222),$H222,0),2)))</f>
        <v>—</v>
      </c>
      <c r="Q222" s="21" t="str">
        <f t="shared" si="17"/>
        <v>—</v>
      </c>
      <c r="R222" s="21" t="str">
        <f t="shared" si="18"/>
        <v>—</v>
      </c>
      <c r="S222" s="8"/>
      <c r="T222" s="19" t="str">
        <f ca="1">IF(OR(NOT(ISNUMBER($F222)),NOT(ISNUMBER($G222)),NOT(ISNUMBER(Dashboard!$P$2)),NOT(ISNUMBER(Dashboard!$P$3)),$D222="Cancelled",$D222="Owner block"),"—",IF(MAX(0,MIN($G222,Dashboard!$P$3+1)-MAX($F222,Dashboard!$P$2))=0,"—",MAX(0,MIN($G222,Dashboard!$P$3+1)-MAX($F222,Dashboard!$P$2))))</f>
        <v>—</v>
      </c>
      <c r="U222" s="19" t="str">
        <f ca="1">IF(OR(NOT(ISNUMBER($F222)),NOT(ISNUMBER($G222)),NOT(ISNUMBER(Dashboard!$P$2)),NOT(ISNUMBER(Dashboard!$P$3)),$D222&lt;&gt;"Owner block"),"—",IF(MAX(0,MIN($G222,Dashboard!$P$3+1)-MAX($F222,Dashboard!$P$2))=0,"—",MAX(0,MIN($G222,Dashboard!$P$3+1)-MAX($F222,Dashboard!$P$2))))</f>
        <v>—</v>
      </c>
      <c r="V222" s="7" t="str">
        <f>IF($B222="",IF(COUNTA($C222:$G222,$I222:$K222,$S222)=0,"","⚠ no property — not counted"),IF(COUNTIF(Setup!$A$25:$A$36,$B222)=0,"⚠ property not in Setup",IF(AND($F222&lt;&gt;"",NOT(ISNUMBER($F222))),"⚠ check-in is not a real date",IF(AND($G222&lt;&gt;"",NOT(ISNUMBER($G222))),"⚠ check-out is not a real date",IF(AND($J222&lt;&gt;"",NOT(ISNUMBER($J222))),"⚠ booking value is not a number","OK")))))</f>
        <v/>
      </c>
      <c r="W222" s="21" t="str">
        <f t="shared" si="19"/>
        <v>—</v>
      </c>
    </row>
    <row r="223" spans="1:23" x14ac:dyDescent="0.2">
      <c r="A223" s="30">
        <v>219</v>
      </c>
      <c r="B223" s="3"/>
      <c r="C223" s="3"/>
      <c r="D223" s="3"/>
      <c r="E223" s="3"/>
      <c r="F223" s="31"/>
      <c r="G223" s="31"/>
      <c r="H223" s="19" t="str">
        <f t="shared" si="15"/>
        <v>—</v>
      </c>
      <c r="I223" s="32"/>
      <c r="J223" s="6"/>
      <c r="K223" s="33"/>
      <c r="L223" s="21" t="str">
        <f>IF(OR($B223="",NOT(ISNUMBER($J223)),$D223="Cancelled",$D223="Owner block"),"—",ROUND($J223*IF(ISNUMBER($K223),IF($K223&gt;1,$K223/100,$K223),IF(IFERROR(INDEX(Setup!$D$25:$D$36,MATCH($B223,Setup!$A$25:$A$36,0)),0)&gt;1,IFERROR(INDEX(Setup!$D$25:$D$36,MATCH($B223,Setup!$A$25:$A$36,0)),0)/100,IFERROR(INDEX(Setup!$D$25:$D$36,MATCH($B223,Setup!$A$25:$A$36,0)),0))),2))</f>
        <v>—</v>
      </c>
      <c r="M223" s="21" t="str">
        <f t="shared" si="16"/>
        <v>—</v>
      </c>
      <c r="N223" s="21" t="str">
        <f>IF(OR($B223="",$G223="",$D223="Cancelled"),"—",IFERROR(IF(INDEX(Setup!$E$25:$E$36,MATCH($B223,Setup!$A$25:$A$36,0))=0,"—",INDEX(Setup!$E$25:$E$36,MATCH($B223,Setup!$A$25:$A$36,0))),"—"))</f>
        <v>—</v>
      </c>
      <c r="O223" s="21" t="str">
        <f>IF(OR($B223="",$G223="",$D223="Cancelled"),"—",IFERROR(IF(INDEX(Setup!$F$25:$F$36,MATCH($B223,Setup!$A$25:$A$36,0))=0,"—",INDEX(Setup!$F$25:$F$36,MATCH($B223,Setup!$A$25:$A$36,0))),"—"))</f>
        <v>—</v>
      </c>
      <c r="P223" s="21" t="str">
        <f>IF(OR($B223="",$G223="",$D223="Cancelled",$D223="Owner block"),"—",IF(IFERROR(INDEX(Setup!$G$25:$G$36,MATCH($B223,Setup!$A$25:$A$36,0)),0)+IFERROR(INDEX(Setup!$H$25:$H$36,MATCH($B223,Setup!$A$25:$A$36,0)),0)*IF(ISNUMBER($H223),$H223,0)=0,"—",ROUND(IFERROR(INDEX(Setup!$G$25:$G$36,MATCH($B223,Setup!$A$25:$A$36,0)),0)+IFERROR(INDEX(Setup!$H$25:$H$36,MATCH($B223,Setup!$A$25:$A$36,0)),0)*IF(ISNUMBER($H223),$H223,0),2)))</f>
        <v>—</v>
      </c>
      <c r="Q223" s="21" t="str">
        <f t="shared" si="17"/>
        <v>—</v>
      </c>
      <c r="R223" s="21" t="str">
        <f t="shared" si="18"/>
        <v>—</v>
      </c>
      <c r="S223" s="3"/>
      <c r="T223" s="19" t="str">
        <f ca="1">IF(OR(NOT(ISNUMBER($F223)),NOT(ISNUMBER($G223)),NOT(ISNUMBER(Dashboard!$P$2)),NOT(ISNUMBER(Dashboard!$P$3)),$D223="Cancelled",$D223="Owner block"),"—",IF(MAX(0,MIN($G223,Dashboard!$P$3+1)-MAX($F223,Dashboard!$P$2))=0,"—",MAX(0,MIN($G223,Dashboard!$P$3+1)-MAX($F223,Dashboard!$P$2))))</f>
        <v>—</v>
      </c>
      <c r="U223" s="19" t="str">
        <f ca="1">IF(OR(NOT(ISNUMBER($F223)),NOT(ISNUMBER($G223)),NOT(ISNUMBER(Dashboard!$P$2)),NOT(ISNUMBER(Dashboard!$P$3)),$D223&lt;&gt;"Owner block"),"—",IF(MAX(0,MIN($G223,Dashboard!$P$3+1)-MAX($F223,Dashboard!$P$2))=0,"—",MAX(0,MIN($G223,Dashboard!$P$3+1)-MAX($F223,Dashboard!$P$2))))</f>
        <v>—</v>
      </c>
      <c r="V223" s="7" t="str">
        <f>IF($B223="",IF(COUNTA($C223:$G223,$I223:$K223,$S223)=0,"","⚠ no property — not counted"),IF(COUNTIF(Setup!$A$25:$A$36,$B223)=0,"⚠ property not in Setup",IF(AND($F223&lt;&gt;"",NOT(ISNUMBER($F223))),"⚠ check-in is not a real date",IF(AND($G223&lt;&gt;"",NOT(ISNUMBER($G223))),"⚠ check-out is not a real date",IF(AND($J223&lt;&gt;"",NOT(ISNUMBER($J223))),"⚠ booking value is not a number","OK")))))</f>
        <v/>
      </c>
      <c r="W223" s="21" t="str">
        <f t="shared" si="19"/>
        <v>—</v>
      </c>
    </row>
    <row r="224" spans="1:23" x14ac:dyDescent="0.2">
      <c r="A224" s="30">
        <v>220</v>
      </c>
      <c r="B224" s="8"/>
      <c r="C224" s="8"/>
      <c r="D224" s="8"/>
      <c r="E224" s="8"/>
      <c r="F224" s="34"/>
      <c r="G224" s="34"/>
      <c r="H224" s="19" t="str">
        <f t="shared" si="15"/>
        <v>—</v>
      </c>
      <c r="I224" s="35"/>
      <c r="J224" s="11"/>
      <c r="K224" s="36"/>
      <c r="L224" s="21" t="str">
        <f>IF(OR($B224="",NOT(ISNUMBER($J224)),$D224="Cancelled",$D224="Owner block"),"—",ROUND($J224*IF(ISNUMBER($K224),IF($K224&gt;1,$K224/100,$K224),IF(IFERROR(INDEX(Setup!$D$25:$D$36,MATCH($B224,Setup!$A$25:$A$36,0)),0)&gt;1,IFERROR(INDEX(Setup!$D$25:$D$36,MATCH($B224,Setup!$A$25:$A$36,0)),0)/100,IFERROR(INDEX(Setup!$D$25:$D$36,MATCH($B224,Setup!$A$25:$A$36,0)),0))),2))</f>
        <v>—</v>
      </c>
      <c r="M224" s="21" t="str">
        <f t="shared" si="16"/>
        <v>—</v>
      </c>
      <c r="N224" s="21" t="str">
        <f>IF(OR($B224="",$G224="",$D224="Cancelled"),"—",IFERROR(IF(INDEX(Setup!$E$25:$E$36,MATCH($B224,Setup!$A$25:$A$36,0))=0,"—",INDEX(Setup!$E$25:$E$36,MATCH($B224,Setup!$A$25:$A$36,0))),"—"))</f>
        <v>—</v>
      </c>
      <c r="O224" s="21" t="str">
        <f>IF(OR($B224="",$G224="",$D224="Cancelled"),"—",IFERROR(IF(INDEX(Setup!$F$25:$F$36,MATCH($B224,Setup!$A$25:$A$36,0))=0,"—",INDEX(Setup!$F$25:$F$36,MATCH($B224,Setup!$A$25:$A$36,0))),"—"))</f>
        <v>—</v>
      </c>
      <c r="P224" s="21" t="str">
        <f>IF(OR($B224="",$G224="",$D224="Cancelled",$D224="Owner block"),"—",IF(IFERROR(INDEX(Setup!$G$25:$G$36,MATCH($B224,Setup!$A$25:$A$36,0)),0)+IFERROR(INDEX(Setup!$H$25:$H$36,MATCH($B224,Setup!$A$25:$A$36,0)),0)*IF(ISNUMBER($H224),$H224,0)=0,"—",ROUND(IFERROR(INDEX(Setup!$G$25:$G$36,MATCH($B224,Setup!$A$25:$A$36,0)),0)+IFERROR(INDEX(Setup!$H$25:$H$36,MATCH($B224,Setup!$A$25:$A$36,0)),0)*IF(ISNUMBER($H224),$H224,0),2)))</f>
        <v>—</v>
      </c>
      <c r="Q224" s="21" t="str">
        <f t="shared" si="17"/>
        <v>—</v>
      </c>
      <c r="R224" s="21" t="str">
        <f t="shared" si="18"/>
        <v>—</v>
      </c>
      <c r="S224" s="8"/>
      <c r="T224" s="19" t="str">
        <f ca="1">IF(OR(NOT(ISNUMBER($F224)),NOT(ISNUMBER($G224)),NOT(ISNUMBER(Dashboard!$P$2)),NOT(ISNUMBER(Dashboard!$P$3)),$D224="Cancelled",$D224="Owner block"),"—",IF(MAX(0,MIN($G224,Dashboard!$P$3+1)-MAX($F224,Dashboard!$P$2))=0,"—",MAX(0,MIN($G224,Dashboard!$P$3+1)-MAX($F224,Dashboard!$P$2))))</f>
        <v>—</v>
      </c>
      <c r="U224" s="19" t="str">
        <f ca="1">IF(OR(NOT(ISNUMBER($F224)),NOT(ISNUMBER($G224)),NOT(ISNUMBER(Dashboard!$P$2)),NOT(ISNUMBER(Dashboard!$P$3)),$D224&lt;&gt;"Owner block"),"—",IF(MAX(0,MIN($G224,Dashboard!$P$3+1)-MAX($F224,Dashboard!$P$2))=0,"—",MAX(0,MIN($G224,Dashboard!$P$3+1)-MAX($F224,Dashboard!$P$2))))</f>
        <v>—</v>
      </c>
      <c r="V224" s="7" t="str">
        <f>IF($B224="",IF(COUNTA($C224:$G224,$I224:$K224,$S224)=0,"","⚠ no property — not counted"),IF(COUNTIF(Setup!$A$25:$A$36,$B224)=0,"⚠ property not in Setup",IF(AND($F224&lt;&gt;"",NOT(ISNUMBER($F224))),"⚠ check-in is not a real date",IF(AND($G224&lt;&gt;"",NOT(ISNUMBER($G224))),"⚠ check-out is not a real date",IF(AND($J224&lt;&gt;"",NOT(ISNUMBER($J224))),"⚠ booking value is not a number","OK")))))</f>
        <v/>
      </c>
      <c r="W224" s="21" t="str">
        <f t="shared" si="19"/>
        <v>—</v>
      </c>
    </row>
    <row r="225" spans="1:23" x14ac:dyDescent="0.2">
      <c r="A225" s="30">
        <v>221</v>
      </c>
      <c r="B225" s="3"/>
      <c r="C225" s="3"/>
      <c r="D225" s="3"/>
      <c r="E225" s="3"/>
      <c r="F225" s="31"/>
      <c r="G225" s="31"/>
      <c r="H225" s="19" t="str">
        <f t="shared" si="15"/>
        <v>—</v>
      </c>
      <c r="I225" s="32"/>
      <c r="J225" s="6"/>
      <c r="K225" s="33"/>
      <c r="L225" s="21" t="str">
        <f>IF(OR($B225="",NOT(ISNUMBER($J225)),$D225="Cancelled",$D225="Owner block"),"—",ROUND($J225*IF(ISNUMBER($K225),IF($K225&gt;1,$K225/100,$K225),IF(IFERROR(INDEX(Setup!$D$25:$D$36,MATCH($B225,Setup!$A$25:$A$36,0)),0)&gt;1,IFERROR(INDEX(Setup!$D$25:$D$36,MATCH($B225,Setup!$A$25:$A$36,0)),0)/100,IFERROR(INDEX(Setup!$D$25:$D$36,MATCH($B225,Setup!$A$25:$A$36,0)),0))),2))</f>
        <v>—</v>
      </c>
      <c r="M225" s="21" t="str">
        <f t="shared" si="16"/>
        <v>—</v>
      </c>
      <c r="N225" s="21" t="str">
        <f>IF(OR($B225="",$G225="",$D225="Cancelled"),"—",IFERROR(IF(INDEX(Setup!$E$25:$E$36,MATCH($B225,Setup!$A$25:$A$36,0))=0,"—",INDEX(Setup!$E$25:$E$36,MATCH($B225,Setup!$A$25:$A$36,0))),"—"))</f>
        <v>—</v>
      </c>
      <c r="O225" s="21" t="str">
        <f>IF(OR($B225="",$G225="",$D225="Cancelled"),"—",IFERROR(IF(INDEX(Setup!$F$25:$F$36,MATCH($B225,Setup!$A$25:$A$36,0))=0,"—",INDEX(Setup!$F$25:$F$36,MATCH($B225,Setup!$A$25:$A$36,0))),"—"))</f>
        <v>—</v>
      </c>
      <c r="P225" s="21" t="str">
        <f>IF(OR($B225="",$G225="",$D225="Cancelled",$D225="Owner block"),"—",IF(IFERROR(INDEX(Setup!$G$25:$G$36,MATCH($B225,Setup!$A$25:$A$36,0)),0)+IFERROR(INDEX(Setup!$H$25:$H$36,MATCH($B225,Setup!$A$25:$A$36,0)),0)*IF(ISNUMBER($H225),$H225,0)=0,"—",ROUND(IFERROR(INDEX(Setup!$G$25:$G$36,MATCH($B225,Setup!$A$25:$A$36,0)),0)+IFERROR(INDEX(Setup!$H$25:$H$36,MATCH($B225,Setup!$A$25:$A$36,0)),0)*IF(ISNUMBER($H225),$H225,0),2)))</f>
        <v>—</v>
      </c>
      <c r="Q225" s="21" t="str">
        <f t="shared" si="17"/>
        <v>—</v>
      </c>
      <c r="R225" s="21" t="str">
        <f t="shared" si="18"/>
        <v>—</v>
      </c>
      <c r="S225" s="3"/>
      <c r="T225" s="19" t="str">
        <f ca="1">IF(OR(NOT(ISNUMBER($F225)),NOT(ISNUMBER($G225)),NOT(ISNUMBER(Dashboard!$P$2)),NOT(ISNUMBER(Dashboard!$P$3)),$D225="Cancelled",$D225="Owner block"),"—",IF(MAX(0,MIN($G225,Dashboard!$P$3+1)-MAX($F225,Dashboard!$P$2))=0,"—",MAX(0,MIN($G225,Dashboard!$P$3+1)-MAX($F225,Dashboard!$P$2))))</f>
        <v>—</v>
      </c>
      <c r="U225" s="19" t="str">
        <f ca="1">IF(OR(NOT(ISNUMBER($F225)),NOT(ISNUMBER($G225)),NOT(ISNUMBER(Dashboard!$P$2)),NOT(ISNUMBER(Dashboard!$P$3)),$D225&lt;&gt;"Owner block"),"—",IF(MAX(0,MIN($G225,Dashboard!$P$3+1)-MAX($F225,Dashboard!$P$2))=0,"—",MAX(0,MIN($G225,Dashboard!$P$3+1)-MAX($F225,Dashboard!$P$2))))</f>
        <v>—</v>
      </c>
      <c r="V225" s="7" t="str">
        <f>IF($B225="",IF(COUNTA($C225:$G225,$I225:$K225,$S225)=0,"","⚠ no property — not counted"),IF(COUNTIF(Setup!$A$25:$A$36,$B225)=0,"⚠ property not in Setup",IF(AND($F225&lt;&gt;"",NOT(ISNUMBER($F225))),"⚠ check-in is not a real date",IF(AND($G225&lt;&gt;"",NOT(ISNUMBER($G225))),"⚠ check-out is not a real date",IF(AND($J225&lt;&gt;"",NOT(ISNUMBER($J225))),"⚠ booking value is not a number","OK")))))</f>
        <v/>
      </c>
      <c r="W225" s="21" t="str">
        <f t="shared" si="19"/>
        <v>—</v>
      </c>
    </row>
    <row r="226" spans="1:23" x14ac:dyDescent="0.2">
      <c r="A226" s="30">
        <v>222</v>
      </c>
      <c r="B226" s="8"/>
      <c r="C226" s="8"/>
      <c r="D226" s="8"/>
      <c r="E226" s="8"/>
      <c r="F226" s="34"/>
      <c r="G226" s="34"/>
      <c r="H226" s="19" t="str">
        <f t="shared" si="15"/>
        <v>—</v>
      </c>
      <c r="I226" s="35"/>
      <c r="J226" s="11"/>
      <c r="K226" s="36"/>
      <c r="L226" s="21" t="str">
        <f>IF(OR($B226="",NOT(ISNUMBER($J226)),$D226="Cancelled",$D226="Owner block"),"—",ROUND($J226*IF(ISNUMBER($K226),IF($K226&gt;1,$K226/100,$K226),IF(IFERROR(INDEX(Setup!$D$25:$D$36,MATCH($B226,Setup!$A$25:$A$36,0)),0)&gt;1,IFERROR(INDEX(Setup!$D$25:$D$36,MATCH($B226,Setup!$A$25:$A$36,0)),0)/100,IFERROR(INDEX(Setup!$D$25:$D$36,MATCH($B226,Setup!$A$25:$A$36,0)),0))),2))</f>
        <v>—</v>
      </c>
      <c r="M226" s="21" t="str">
        <f t="shared" si="16"/>
        <v>—</v>
      </c>
      <c r="N226" s="21" t="str">
        <f>IF(OR($B226="",$G226="",$D226="Cancelled"),"—",IFERROR(IF(INDEX(Setup!$E$25:$E$36,MATCH($B226,Setup!$A$25:$A$36,0))=0,"—",INDEX(Setup!$E$25:$E$36,MATCH($B226,Setup!$A$25:$A$36,0))),"—"))</f>
        <v>—</v>
      </c>
      <c r="O226" s="21" t="str">
        <f>IF(OR($B226="",$G226="",$D226="Cancelled"),"—",IFERROR(IF(INDEX(Setup!$F$25:$F$36,MATCH($B226,Setup!$A$25:$A$36,0))=0,"—",INDEX(Setup!$F$25:$F$36,MATCH($B226,Setup!$A$25:$A$36,0))),"—"))</f>
        <v>—</v>
      </c>
      <c r="P226" s="21" t="str">
        <f>IF(OR($B226="",$G226="",$D226="Cancelled",$D226="Owner block"),"—",IF(IFERROR(INDEX(Setup!$G$25:$G$36,MATCH($B226,Setup!$A$25:$A$36,0)),0)+IFERROR(INDEX(Setup!$H$25:$H$36,MATCH($B226,Setup!$A$25:$A$36,0)),0)*IF(ISNUMBER($H226),$H226,0)=0,"—",ROUND(IFERROR(INDEX(Setup!$G$25:$G$36,MATCH($B226,Setup!$A$25:$A$36,0)),0)+IFERROR(INDEX(Setup!$H$25:$H$36,MATCH($B226,Setup!$A$25:$A$36,0)),0)*IF(ISNUMBER($H226),$H226,0),2)))</f>
        <v>—</v>
      </c>
      <c r="Q226" s="21" t="str">
        <f t="shared" si="17"/>
        <v>—</v>
      </c>
      <c r="R226" s="21" t="str">
        <f t="shared" si="18"/>
        <v>—</v>
      </c>
      <c r="S226" s="8"/>
      <c r="T226" s="19" t="str">
        <f ca="1">IF(OR(NOT(ISNUMBER($F226)),NOT(ISNUMBER($G226)),NOT(ISNUMBER(Dashboard!$P$2)),NOT(ISNUMBER(Dashboard!$P$3)),$D226="Cancelled",$D226="Owner block"),"—",IF(MAX(0,MIN($G226,Dashboard!$P$3+1)-MAX($F226,Dashboard!$P$2))=0,"—",MAX(0,MIN($G226,Dashboard!$P$3+1)-MAX($F226,Dashboard!$P$2))))</f>
        <v>—</v>
      </c>
      <c r="U226" s="19" t="str">
        <f ca="1">IF(OR(NOT(ISNUMBER($F226)),NOT(ISNUMBER($G226)),NOT(ISNUMBER(Dashboard!$P$2)),NOT(ISNUMBER(Dashboard!$P$3)),$D226&lt;&gt;"Owner block"),"—",IF(MAX(0,MIN($G226,Dashboard!$P$3+1)-MAX($F226,Dashboard!$P$2))=0,"—",MAX(0,MIN($G226,Dashboard!$P$3+1)-MAX($F226,Dashboard!$P$2))))</f>
        <v>—</v>
      </c>
      <c r="V226" s="7" t="str">
        <f>IF($B226="",IF(COUNTA($C226:$G226,$I226:$K226,$S226)=0,"","⚠ no property — not counted"),IF(COUNTIF(Setup!$A$25:$A$36,$B226)=0,"⚠ property not in Setup",IF(AND($F226&lt;&gt;"",NOT(ISNUMBER($F226))),"⚠ check-in is not a real date",IF(AND($G226&lt;&gt;"",NOT(ISNUMBER($G226))),"⚠ check-out is not a real date",IF(AND($J226&lt;&gt;"",NOT(ISNUMBER($J226))),"⚠ booking value is not a number","OK")))))</f>
        <v/>
      </c>
      <c r="W226" s="21" t="str">
        <f t="shared" si="19"/>
        <v>—</v>
      </c>
    </row>
    <row r="227" spans="1:23" x14ac:dyDescent="0.2">
      <c r="A227" s="30">
        <v>223</v>
      </c>
      <c r="B227" s="3"/>
      <c r="C227" s="3"/>
      <c r="D227" s="3"/>
      <c r="E227" s="3"/>
      <c r="F227" s="31"/>
      <c r="G227" s="31"/>
      <c r="H227" s="19" t="str">
        <f t="shared" si="15"/>
        <v>—</v>
      </c>
      <c r="I227" s="32"/>
      <c r="J227" s="6"/>
      <c r="K227" s="33"/>
      <c r="L227" s="21" t="str">
        <f>IF(OR($B227="",NOT(ISNUMBER($J227)),$D227="Cancelled",$D227="Owner block"),"—",ROUND($J227*IF(ISNUMBER($K227),IF($K227&gt;1,$K227/100,$K227),IF(IFERROR(INDEX(Setup!$D$25:$D$36,MATCH($B227,Setup!$A$25:$A$36,0)),0)&gt;1,IFERROR(INDEX(Setup!$D$25:$D$36,MATCH($B227,Setup!$A$25:$A$36,0)),0)/100,IFERROR(INDEX(Setup!$D$25:$D$36,MATCH($B227,Setup!$A$25:$A$36,0)),0))),2))</f>
        <v>—</v>
      </c>
      <c r="M227" s="21" t="str">
        <f t="shared" si="16"/>
        <v>—</v>
      </c>
      <c r="N227" s="21" t="str">
        <f>IF(OR($B227="",$G227="",$D227="Cancelled"),"—",IFERROR(IF(INDEX(Setup!$E$25:$E$36,MATCH($B227,Setup!$A$25:$A$36,0))=0,"—",INDEX(Setup!$E$25:$E$36,MATCH($B227,Setup!$A$25:$A$36,0))),"—"))</f>
        <v>—</v>
      </c>
      <c r="O227" s="21" t="str">
        <f>IF(OR($B227="",$G227="",$D227="Cancelled"),"—",IFERROR(IF(INDEX(Setup!$F$25:$F$36,MATCH($B227,Setup!$A$25:$A$36,0))=0,"—",INDEX(Setup!$F$25:$F$36,MATCH($B227,Setup!$A$25:$A$36,0))),"—"))</f>
        <v>—</v>
      </c>
      <c r="P227" s="21" t="str">
        <f>IF(OR($B227="",$G227="",$D227="Cancelled",$D227="Owner block"),"—",IF(IFERROR(INDEX(Setup!$G$25:$G$36,MATCH($B227,Setup!$A$25:$A$36,0)),0)+IFERROR(INDEX(Setup!$H$25:$H$36,MATCH($B227,Setup!$A$25:$A$36,0)),0)*IF(ISNUMBER($H227),$H227,0)=0,"—",ROUND(IFERROR(INDEX(Setup!$G$25:$G$36,MATCH($B227,Setup!$A$25:$A$36,0)),0)+IFERROR(INDEX(Setup!$H$25:$H$36,MATCH($B227,Setup!$A$25:$A$36,0)),0)*IF(ISNUMBER($H227),$H227,0),2)))</f>
        <v>—</v>
      </c>
      <c r="Q227" s="21" t="str">
        <f t="shared" si="17"/>
        <v>—</v>
      </c>
      <c r="R227" s="21" t="str">
        <f t="shared" si="18"/>
        <v>—</v>
      </c>
      <c r="S227" s="3"/>
      <c r="T227" s="19" t="str">
        <f ca="1">IF(OR(NOT(ISNUMBER($F227)),NOT(ISNUMBER($G227)),NOT(ISNUMBER(Dashboard!$P$2)),NOT(ISNUMBER(Dashboard!$P$3)),$D227="Cancelled",$D227="Owner block"),"—",IF(MAX(0,MIN($G227,Dashboard!$P$3+1)-MAX($F227,Dashboard!$P$2))=0,"—",MAX(0,MIN($G227,Dashboard!$P$3+1)-MAX($F227,Dashboard!$P$2))))</f>
        <v>—</v>
      </c>
      <c r="U227" s="19" t="str">
        <f ca="1">IF(OR(NOT(ISNUMBER($F227)),NOT(ISNUMBER($G227)),NOT(ISNUMBER(Dashboard!$P$2)),NOT(ISNUMBER(Dashboard!$P$3)),$D227&lt;&gt;"Owner block"),"—",IF(MAX(0,MIN($G227,Dashboard!$P$3+1)-MAX($F227,Dashboard!$P$2))=0,"—",MAX(0,MIN($G227,Dashboard!$P$3+1)-MAX($F227,Dashboard!$P$2))))</f>
        <v>—</v>
      </c>
      <c r="V227" s="7" t="str">
        <f>IF($B227="",IF(COUNTA($C227:$G227,$I227:$K227,$S227)=0,"","⚠ no property — not counted"),IF(COUNTIF(Setup!$A$25:$A$36,$B227)=0,"⚠ property not in Setup",IF(AND($F227&lt;&gt;"",NOT(ISNUMBER($F227))),"⚠ check-in is not a real date",IF(AND($G227&lt;&gt;"",NOT(ISNUMBER($G227))),"⚠ check-out is not a real date",IF(AND($J227&lt;&gt;"",NOT(ISNUMBER($J227))),"⚠ booking value is not a number","OK")))))</f>
        <v/>
      </c>
      <c r="W227" s="21" t="str">
        <f t="shared" si="19"/>
        <v>—</v>
      </c>
    </row>
    <row r="228" spans="1:23" x14ac:dyDescent="0.2">
      <c r="A228" s="30">
        <v>224</v>
      </c>
      <c r="B228" s="8"/>
      <c r="C228" s="8"/>
      <c r="D228" s="8"/>
      <c r="E228" s="8"/>
      <c r="F228" s="34"/>
      <c r="G228" s="34"/>
      <c r="H228" s="19" t="str">
        <f t="shared" si="15"/>
        <v>—</v>
      </c>
      <c r="I228" s="35"/>
      <c r="J228" s="11"/>
      <c r="K228" s="36"/>
      <c r="L228" s="21" t="str">
        <f>IF(OR($B228="",NOT(ISNUMBER($J228)),$D228="Cancelled",$D228="Owner block"),"—",ROUND($J228*IF(ISNUMBER($K228),IF($K228&gt;1,$K228/100,$K228),IF(IFERROR(INDEX(Setup!$D$25:$D$36,MATCH($B228,Setup!$A$25:$A$36,0)),0)&gt;1,IFERROR(INDEX(Setup!$D$25:$D$36,MATCH($B228,Setup!$A$25:$A$36,0)),0)/100,IFERROR(INDEX(Setup!$D$25:$D$36,MATCH($B228,Setup!$A$25:$A$36,0)),0))),2))</f>
        <v>—</v>
      </c>
      <c r="M228" s="21" t="str">
        <f t="shared" si="16"/>
        <v>—</v>
      </c>
      <c r="N228" s="21" t="str">
        <f>IF(OR($B228="",$G228="",$D228="Cancelled"),"—",IFERROR(IF(INDEX(Setup!$E$25:$E$36,MATCH($B228,Setup!$A$25:$A$36,0))=0,"—",INDEX(Setup!$E$25:$E$36,MATCH($B228,Setup!$A$25:$A$36,0))),"—"))</f>
        <v>—</v>
      </c>
      <c r="O228" s="21" t="str">
        <f>IF(OR($B228="",$G228="",$D228="Cancelled"),"—",IFERROR(IF(INDEX(Setup!$F$25:$F$36,MATCH($B228,Setup!$A$25:$A$36,0))=0,"—",INDEX(Setup!$F$25:$F$36,MATCH($B228,Setup!$A$25:$A$36,0))),"—"))</f>
        <v>—</v>
      </c>
      <c r="P228" s="21" t="str">
        <f>IF(OR($B228="",$G228="",$D228="Cancelled",$D228="Owner block"),"—",IF(IFERROR(INDEX(Setup!$G$25:$G$36,MATCH($B228,Setup!$A$25:$A$36,0)),0)+IFERROR(INDEX(Setup!$H$25:$H$36,MATCH($B228,Setup!$A$25:$A$36,0)),0)*IF(ISNUMBER($H228),$H228,0)=0,"—",ROUND(IFERROR(INDEX(Setup!$G$25:$G$36,MATCH($B228,Setup!$A$25:$A$36,0)),0)+IFERROR(INDEX(Setup!$H$25:$H$36,MATCH($B228,Setup!$A$25:$A$36,0)),0)*IF(ISNUMBER($H228),$H228,0),2)))</f>
        <v>—</v>
      </c>
      <c r="Q228" s="21" t="str">
        <f t="shared" si="17"/>
        <v>—</v>
      </c>
      <c r="R228" s="21" t="str">
        <f t="shared" si="18"/>
        <v>—</v>
      </c>
      <c r="S228" s="8"/>
      <c r="T228" s="19" t="str">
        <f ca="1">IF(OR(NOT(ISNUMBER($F228)),NOT(ISNUMBER($G228)),NOT(ISNUMBER(Dashboard!$P$2)),NOT(ISNUMBER(Dashboard!$P$3)),$D228="Cancelled",$D228="Owner block"),"—",IF(MAX(0,MIN($G228,Dashboard!$P$3+1)-MAX($F228,Dashboard!$P$2))=0,"—",MAX(0,MIN($G228,Dashboard!$P$3+1)-MAX($F228,Dashboard!$P$2))))</f>
        <v>—</v>
      </c>
      <c r="U228" s="19" t="str">
        <f ca="1">IF(OR(NOT(ISNUMBER($F228)),NOT(ISNUMBER($G228)),NOT(ISNUMBER(Dashboard!$P$2)),NOT(ISNUMBER(Dashboard!$P$3)),$D228&lt;&gt;"Owner block"),"—",IF(MAX(0,MIN($G228,Dashboard!$P$3+1)-MAX($F228,Dashboard!$P$2))=0,"—",MAX(0,MIN($G228,Dashboard!$P$3+1)-MAX($F228,Dashboard!$P$2))))</f>
        <v>—</v>
      </c>
      <c r="V228" s="7" t="str">
        <f>IF($B228="",IF(COUNTA($C228:$G228,$I228:$K228,$S228)=0,"","⚠ no property — not counted"),IF(COUNTIF(Setup!$A$25:$A$36,$B228)=0,"⚠ property not in Setup",IF(AND($F228&lt;&gt;"",NOT(ISNUMBER($F228))),"⚠ check-in is not a real date",IF(AND($G228&lt;&gt;"",NOT(ISNUMBER($G228))),"⚠ check-out is not a real date",IF(AND($J228&lt;&gt;"",NOT(ISNUMBER($J228))),"⚠ booking value is not a number","OK")))))</f>
        <v/>
      </c>
      <c r="W228" s="21" t="str">
        <f t="shared" si="19"/>
        <v>—</v>
      </c>
    </row>
    <row r="229" spans="1:23" x14ac:dyDescent="0.2">
      <c r="A229" s="30">
        <v>225</v>
      </c>
      <c r="B229" s="3"/>
      <c r="C229" s="3"/>
      <c r="D229" s="3"/>
      <c r="E229" s="3"/>
      <c r="F229" s="31"/>
      <c r="G229" s="31"/>
      <c r="H229" s="19" t="str">
        <f t="shared" si="15"/>
        <v>—</v>
      </c>
      <c r="I229" s="32"/>
      <c r="J229" s="6"/>
      <c r="K229" s="33"/>
      <c r="L229" s="21" t="str">
        <f>IF(OR($B229="",NOT(ISNUMBER($J229)),$D229="Cancelled",$D229="Owner block"),"—",ROUND($J229*IF(ISNUMBER($K229),IF($K229&gt;1,$K229/100,$K229),IF(IFERROR(INDEX(Setup!$D$25:$D$36,MATCH($B229,Setup!$A$25:$A$36,0)),0)&gt;1,IFERROR(INDEX(Setup!$D$25:$D$36,MATCH($B229,Setup!$A$25:$A$36,0)),0)/100,IFERROR(INDEX(Setup!$D$25:$D$36,MATCH($B229,Setup!$A$25:$A$36,0)),0))),2))</f>
        <v>—</v>
      </c>
      <c r="M229" s="21" t="str">
        <f t="shared" si="16"/>
        <v>—</v>
      </c>
      <c r="N229" s="21" t="str">
        <f>IF(OR($B229="",$G229="",$D229="Cancelled"),"—",IFERROR(IF(INDEX(Setup!$E$25:$E$36,MATCH($B229,Setup!$A$25:$A$36,0))=0,"—",INDEX(Setup!$E$25:$E$36,MATCH($B229,Setup!$A$25:$A$36,0))),"—"))</f>
        <v>—</v>
      </c>
      <c r="O229" s="21" t="str">
        <f>IF(OR($B229="",$G229="",$D229="Cancelled"),"—",IFERROR(IF(INDEX(Setup!$F$25:$F$36,MATCH($B229,Setup!$A$25:$A$36,0))=0,"—",INDEX(Setup!$F$25:$F$36,MATCH($B229,Setup!$A$25:$A$36,0))),"—"))</f>
        <v>—</v>
      </c>
      <c r="P229" s="21" t="str">
        <f>IF(OR($B229="",$G229="",$D229="Cancelled",$D229="Owner block"),"—",IF(IFERROR(INDEX(Setup!$G$25:$G$36,MATCH($B229,Setup!$A$25:$A$36,0)),0)+IFERROR(INDEX(Setup!$H$25:$H$36,MATCH($B229,Setup!$A$25:$A$36,0)),0)*IF(ISNUMBER($H229),$H229,0)=0,"—",ROUND(IFERROR(INDEX(Setup!$G$25:$G$36,MATCH($B229,Setup!$A$25:$A$36,0)),0)+IFERROR(INDEX(Setup!$H$25:$H$36,MATCH($B229,Setup!$A$25:$A$36,0)),0)*IF(ISNUMBER($H229),$H229,0),2)))</f>
        <v>—</v>
      </c>
      <c r="Q229" s="21" t="str">
        <f t="shared" si="17"/>
        <v>—</v>
      </c>
      <c r="R229" s="21" t="str">
        <f t="shared" si="18"/>
        <v>—</v>
      </c>
      <c r="S229" s="3"/>
      <c r="T229" s="19" t="str">
        <f ca="1">IF(OR(NOT(ISNUMBER($F229)),NOT(ISNUMBER($G229)),NOT(ISNUMBER(Dashboard!$P$2)),NOT(ISNUMBER(Dashboard!$P$3)),$D229="Cancelled",$D229="Owner block"),"—",IF(MAX(0,MIN($G229,Dashboard!$P$3+1)-MAX($F229,Dashboard!$P$2))=0,"—",MAX(0,MIN($G229,Dashboard!$P$3+1)-MAX($F229,Dashboard!$P$2))))</f>
        <v>—</v>
      </c>
      <c r="U229" s="19" t="str">
        <f ca="1">IF(OR(NOT(ISNUMBER($F229)),NOT(ISNUMBER($G229)),NOT(ISNUMBER(Dashboard!$P$2)),NOT(ISNUMBER(Dashboard!$P$3)),$D229&lt;&gt;"Owner block"),"—",IF(MAX(0,MIN($G229,Dashboard!$P$3+1)-MAX($F229,Dashboard!$P$2))=0,"—",MAX(0,MIN($G229,Dashboard!$P$3+1)-MAX($F229,Dashboard!$P$2))))</f>
        <v>—</v>
      </c>
      <c r="V229" s="7" t="str">
        <f>IF($B229="",IF(COUNTA($C229:$G229,$I229:$K229,$S229)=0,"","⚠ no property — not counted"),IF(COUNTIF(Setup!$A$25:$A$36,$B229)=0,"⚠ property not in Setup",IF(AND($F229&lt;&gt;"",NOT(ISNUMBER($F229))),"⚠ check-in is not a real date",IF(AND($G229&lt;&gt;"",NOT(ISNUMBER($G229))),"⚠ check-out is not a real date",IF(AND($J229&lt;&gt;"",NOT(ISNUMBER($J229))),"⚠ booking value is not a number","OK")))))</f>
        <v/>
      </c>
      <c r="W229" s="21" t="str">
        <f t="shared" si="19"/>
        <v>—</v>
      </c>
    </row>
    <row r="230" spans="1:23" x14ac:dyDescent="0.2">
      <c r="A230" s="30">
        <v>226</v>
      </c>
      <c r="B230" s="8"/>
      <c r="C230" s="8"/>
      <c r="D230" s="8"/>
      <c r="E230" s="8"/>
      <c r="F230" s="34"/>
      <c r="G230" s="34"/>
      <c r="H230" s="19" t="str">
        <f t="shared" si="15"/>
        <v>—</v>
      </c>
      <c r="I230" s="35"/>
      <c r="J230" s="11"/>
      <c r="K230" s="36"/>
      <c r="L230" s="21" t="str">
        <f>IF(OR($B230="",NOT(ISNUMBER($J230)),$D230="Cancelled",$D230="Owner block"),"—",ROUND($J230*IF(ISNUMBER($K230),IF($K230&gt;1,$K230/100,$K230),IF(IFERROR(INDEX(Setup!$D$25:$D$36,MATCH($B230,Setup!$A$25:$A$36,0)),0)&gt;1,IFERROR(INDEX(Setup!$D$25:$D$36,MATCH($B230,Setup!$A$25:$A$36,0)),0)/100,IFERROR(INDEX(Setup!$D$25:$D$36,MATCH($B230,Setup!$A$25:$A$36,0)),0))),2))</f>
        <v>—</v>
      </c>
      <c r="M230" s="21" t="str">
        <f t="shared" si="16"/>
        <v>—</v>
      </c>
      <c r="N230" s="21" t="str">
        <f>IF(OR($B230="",$G230="",$D230="Cancelled"),"—",IFERROR(IF(INDEX(Setup!$E$25:$E$36,MATCH($B230,Setup!$A$25:$A$36,0))=0,"—",INDEX(Setup!$E$25:$E$36,MATCH($B230,Setup!$A$25:$A$36,0))),"—"))</f>
        <v>—</v>
      </c>
      <c r="O230" s="21" t="str">
        <f>IF(OR($B230="",$G230="",$D230="Cancelled"),"—",IFERROR(IF(INDEX(Setup!$F$25:$F$36,MATCH($B230,Setup!$A$25:$A$36,0))=0,"—",INDEX(Setup!$F$25:$F$36,MATCH($B230,Setup!$A$25:$A$36,0))),"—"))</f>
        <v>—</v>
      </c>
      <c r="P230" s="21" t="str">
        <f>IF(OR($B230="",$G230="",$D230="Cancelled",$D230="Owner block"),"—",IF(IFERROR(INDEX(Setup!$G$25:$G$36,MATCH($B230,Setup!$A$25:$A$36,0)),0)+IFERROR(INDEX(Setup!$H$25:$H$36,MATCH($B230,Setup!$A$25:$A$36,0)),0)*IF(ISNUMBER($H230),$H230,0)=0,"—",ROUND(IFERROR(INDEX(Setup!$G$25:$G$36,MATCH($B230,Setup!$A$25:$A$36,0)),0)+IFERROR(INDEX(Setup!$H$25:$H$36,MATCH($B230,Setup!$A$25:$A$36,0)),0)*IF(ISNUMBER($H230),$H230,0),2)))</f>
        <v>—</v>
      </c>
      <c r="Q230" s="21" t="str">
        <f t="shared" si="17"/>
        <v>—</v>
      </c>
      <c r="R230" s="21" t="str">
        <f t="shared" si="18"/>
        <v>—</v>
      </c>
      <c r="S230" s="8"/>
      <c r="T230" s="19" t="str">
        <f ca="1">IF(OR(NOT(ISNUMBER($F230)),NOT(ISNUMBER($G230)),NOT(ISNUMBER(Dashboard!$P$2)),NOT(ISNUMBER(Dashboard!$P$3)),$D230="Cancelled",$D230="Owner block"),"—",IF(MAX(0,MIN($G230,Dashboard!$P$3+1)-MAX($F230,Dashboard!$P$2))=0,"—",MAX(0,MIN($G230,Dashboard!$P$3+1)-MAX($F230,Dashboard!$P$2))))</f>
        <v>—</v>
      </c>
      <c r="U230" s="19" t="str">
        <f ca="1">IF(OR(NOT(ISNUMBER($F230)),NOT(ISNUMBER($G230)),NOT(ISNUMBER(Dashboard!$P$2)),NOT(ISNUMBER(Dashboard!$P$3)),$D230&lt;&gt;"Owner block"),"—",IF(MAX(0,MIN($G230,Dashboard!$P$3+1)-MAX($F230,Dashboard!$P$2))=0,"—",MAX(0,MIN($G230,Dashboard!$P$3+1)-MAX($F230,Dashboard!$P$2))))</f>
        <v>—</v>
      </c>
      <c r="V230" s="7" t="str">
        <f>IF($B230="",IF(COUNTA($C230:$G230,$I230:$K230,$S230)=0,"","⚠ no property — not counted"),IF(COUNTIF(Setup!$A$25:$A$36,$B230)=0,"⚠ property not in Setup",IF(AND($F230&lt;&gt;"",NOT(ISNUMBER($F230))),"⚠ check-in is not a real date",IF(AND($G230&lt;&gt;"",NOT(ISNUMBER($G230))),"⚠ check-out is not a real date",IF(AND($J230&lt;&gt;"",NOT(ISNUMBER($J230))),"⚠ booking value is not a number","OK")))))</f>
        <v/>
      </c>
      <c r="W230" s="21" t="str">
        <f t="shared" si="19"/>
        <v>—</v>
      </c>
    </row>
    <row r="231" spans="1:23" x14ac:dyDescent="0.2">
      <c r="A231" s="30">
        <v>227</v>
      </c>
      <c r="B231" s="3"/>
      <c r="C231" s="3"/>
      <c r="D231" s="3"/>
      <c r="E231" s="3"/>
      <c r="F231" s="31"/>
      <c r="G231" s="31"/>
      <c r="H231" s="19" t="str">
        <f t="shared" si="15"/>
        <v>—</v>
      </c>
      <c r="I231" s="32"/>
      <c r="J231" s="6"/>
      <c r="K231" s="33"/>
      <c r="L231" s="21" t="str">
        <f>IF(OR($B231="",NOT(ISNUMBER($J231)),$D231="Cancelled",$D231="Owner block"),"—",ROUND($J231*IF(ISNUMBER($K231),IF($K231&gt;1,$K231/100,$K231),IF(IFERROR(INDEX(Setup!$D$25:$D$36,MATCH($B231,Setup!$A$25:$A$36,0)),0)&gt;1,IFERROR(INDEX(Setup!$D$25:$D$36,MATCH($B231,Setup!$A$25:$A$36,0)),0)/100,IFERROR(INDEX(Setup!$D$25:$D$36,MATCH($B231,Setup!$A$25:$A$36,0)),0))),2))</f>
        <v>—</v>
      </c>
      <c r="M231" s="21" t="str">
        <f t="shared" si="16"/>
        <v>—</v>
      </c>
      <c r="N231" s="21" t="str">
        <f>IF(OR($B231="",$G231="",$D231="Cancelled"),"—",IFERROR(IF(INDEX(Setup!$E$25:$E$36,MATCH($B231,Setup!$A$25:$A$36,0))=0,"—",INDEX(Setup!$E$25:$E$36,MATCH($B231,Setup!$A$25:$A$36,0))),"—"))</f>
        <v>—</v>
      </c>
      <c r="O231" s="21" t="str">
        <f>IF(OR($B231="",$G231="",$D231="Cancelled"),"—",IFERROR(IF(INDEX(Setup!$F$25:$F$36,MATCH($B231,Setup!$A$25:$A$36,0))=0,"—",INDEX(Setup!$F$25:$F$36,MATCH($B231,Setup!$A$25:$A$36,0))),"—"))</f>
        <v>—</v>
      </c>
      <c r="P231" s="21" t="str">
        <f>IF(OR($B231="",$G231="",$D231="Cancelled",$D231="Owner block"),"—",IF(IFERROR(INDEX(Setup!$G$25:$G$36,MATCH($B231,Setup!$A$25:$A$36,0)),0)+IFERROR(INDEX(Setup!$H$25:$H$36,MATCH($B231,Setup!$A$25:$A$36,0)),0)*IF(ISNUMBER($H231),$H231,0)=0,"—",ROUND(IFERROR(INDEX(Setup!$G$25:$G$36,MATCH($B231,Setup!$A$25:$A$36,0)),0)+IFERROR(INDEX(Setup!$H$25:$H$36,MATCH($B231,Setup!$A$25:$A$36,0)),0)*IF(ISNUMBER($H231),$H231,0),2)))</f>
        <v>—</v>
      </c>
      <c r="Q231" s="21" t="str">
        <f t="shared" si="17"/>
        <v>—</v>
      </c>
      <c r="R231" s="21" t="str">
        <f t="shared" si="18"/>
        <v>—</v>
      </c>
      <c r="S231" s="3"/>
      <c r="T231" s="19" t="str">
        <f ca="1">IF(OR(NOT(ISNUMBER($F231)),NOT(ISNUMBER($G231)),NOT(ISNUMBER(Dashboard!$P$2)),NOT(ISNUMBER(Dashboard!$P$3)),$D231="Cancelled",$D231="Owner block"),"—",IF(MAX(0,MIN($G231,Dashboard!$P$3+1)-MAX($F231,Dashboard!$P$2))=0,"—",MAX(0,MIN($G231,Dashboard!$P$3+1)-MAX($F231,Dashboard!$P$2))))</f>
        <v>—</v>
      </c>
      <c r="U231" s="19" t="str">
        <f ca="1">IF(OR(NOT(ISNUMBER($F231)),NOT(ISNUMBER($G231)),NOT(ISNUMBER(Dashboard!$P$2)),NOT(ISNUMBER(Dashboard!$P$3)),$D231&lt;&gt;"Owner block"),"—",IF(MAX(0,MIN($G231,Dashboard!$P$3+1)-MAX($F231,Dashboard!$P$2))=0,"—",MAX(0,MIN($G231,Dashboard!$P$3+1)-MAX($F231,Dashboard!$P$2))))</f>
        <v>—</v>
      </c>
      <c r="V231" s="7" t="str">
        <f>IF($B231="",IF(COUNTA($C231:$G231,$I231:$K231,$S231)=0,"","⚠ no property — not counted"),IF(COUNTIF(Setup!$A$25:$A$36,$B231)=0,"⚠ property not in Setup",IF(AND($F231&lt;&gt;"",NOT(ISNUMBER($F231))),"⚠ check-in is not a real date",IF(AND($G231&lt;&gt;"",NOT(ISNUMBER($G231))),"⚠ check-out is not a real date",IF(AND($J231&lt;&gt;"",NOT(ISNUMBER($J231))),"⚠ booking value is not a number","OK")))))</f>
        <v/>
      </c>
      <c r="W231" s="21" t="str">
        <f t="shared" si="19"/>
        <v>—</v>
      </c>
    </row>
    <row r="232" spans="1:23" x14ac:dyDescent="0.2">
      <c r="A232" s="30">
        <v>228</v>
      </c>
      <c r="B232" s="8"/>
      <c r="C232" s="8"/>
      <c r="D232" s="8"/>
      <c r="E232" s="8"/>
      <c r="F232" s="34"/>
      <c r="G232" s="34"/>
      <c r="H232" s="19" t="str">
        <f t="shared" si="15"/>
        <v>—</v>
      </c>
      <c r="I232" s="35"/>
      <c r="J232" s="11"/>
      <c r="K232" s="36"/>
      <c r="L232" s="21" t="str">
        <f>IF(OR($B232="",NOT(ISNUMBER($J232)),$D232="Cancelled",$D232="Owner block"),"—",ROUND($J232*IF(ISNUMBER($K232),IF($K232&gt;1,$K232/100,$K232),IF(IFERROR(INDEX(Setup!$D$25:$D$36,MATCH($B232,Setup!$A$25:$A$36,0)),0)&gt;1,IFERROR(INDEX(Setup!$D$25:$D$36,MATCH($B232,Setup!$A$25:$A$36,0)),0)/100,IFERROR(INDEX(Setup!$D$25:$D$36,MATCH($B232,Setup!$A$25:$A$36,0)),0))),2))</f>
        <v>—</v>
      </c>
      <c r="M232" s="21" t="str">
        <f t="shared" si="16"/>
        <v>—</v>
      </c>
      <c r="N232" s="21" t="str">
        <f>IF(OR($B232="",$G232="",$D232="Cancelled"),"—",IFERROR(IF(INDEX(Setup!$E$25:$E$36,MATCH($B232,Setup!$A$25:$A$36,0))=0,"—",INDEX(Setup!$E$25:$E$36,MATCH($B232,Setup!$A$25:$A$36,0))),"—"))</f>
        <v>—</v>
      </c>
      <c r="O232" s="21" t="str">
        <f>IF(OR($B232="",$G232="",$D232="Cancelled"),"—",IFERROR(IF(INDEX(Setup!$F$25:$F$36,MATCH($B232,Setup!$A$25:$A$36,0))=0,"—",INDEX(Setup!$F$25:$F$36,MATCH($B232,Setup!$A$25:$A$36,0))),"—"))</f>
        <v>—</v>
      </c>
      <c r="P232" s="21" t="str">
        <f>IF(OR($B232="",$G232="",$D232="Cancelled",$D232="Owner block"),"—",IF(IFERROR(INDEX(Setup!$G$25:$G$36,MATCH($B232,Setup!$A$25:$A$36,0)),0)+IFERROR(INDEX(Setup!$H$25:$H$36,MATCH($B232,Setup!$A$25:$A$36,0)),0)*IF(ISNUMBER($H232),$H232,0)=0,"—",ROUND(IFERROR(INDEX(Setup!$G$25:$G$36,MATCH($B232,Setup!$A$25:$A$36,0)),0)+IFERROR(INDEX(Setup!$H$25:$H$36,MATCH($B232,Setup!$A$25:$A$36,0)),0)*IF(ISNUMBER($H232),$H232,0),2)))</f>
        <v>—</v>
      </c>
      <c r="Q232" s="21" t="str">
        <f t="shared" si="17"/>
        <v>—</v>
      </c>
      <c r="R232" s="21" t="str">
        <f t="shared" si="18"/>
        <v>—</v>
      </c>
      <c r="S232" s="8"/>
      <c r="T232" s="19" t="str">
        <f ca="1">IF(OR(NOT(ISNUMBER($F232)),NOT(ISNUMBER($G232)),NOT(ISNUMBER(Dashboard!$P$2)),NOT(ISNUMBER(Dashboard!$P$3)),$D232="Cancelled",$D232="Owner block"),"—",IF(MAX(0,MIN($G232,Dashboard!$P$3+1)-MAX($F232,Dashboard!$P$2))=0,"—",MAX(0,MIN($G232,Dashboard!$P$3+1)-MAX($F232,Dashboard!$P$2))))</f>
        <v>—</v>
      </c>
      <c r="U232" s="19" t="str">
        <f ca="1">IF(OR(NOT(ISNUMBER($F232)),NOT(ISNUMBER($G232)),NOT(ISNUMBER(Dashboard!$P$2)),NOT(ISNUMBER(Dashboard!$P$3)),$D232&lt;&gt;"Owner block"),"—",IF(MAX(0,MIN($G232,Dashboard!$P$3+1)-MAX($F232,Dashboard!$P$2))=0,"—",MAX(0,MIN($G232,Dashboard!$P$3+1)-MAX($F232,Dashboard!$P$2))))</f>
        <v>—</v>
      </c>
      <c r="V232" s="7" t="str">
        <f>IF($B232="",IF(COUNTA($C232:$G232,$I232:$K232,$S232)=0,"","⚠ no property — not counted"),IF(COUNTIF(Setup!$A$25:$A$36,$B232)=0,"⚠ property not in Setup",IF(AND($F232&lt;&gt;"",NOT(ISNUMBER($F232))),"⚠ check-in is not a real date",IF(AND($G232&lt;&gt;"",NOT(ISNUMBER($G232))),"⚠ check-out is not a real date",IF(AND($J232&lt;&gt;"",NOT(ISNUMBER($J232))),"⚠ booking value is not a number","OK")))))</f>
        <v/>
      </c>
      <c r="W232" s="21" t="str">
        <f t="shared" si="19"/>
        <v>—</v>
      </c>
    </row>
    <row r="233" spans="1:23" x14ac:dyDescent="0.2">
      <c r="A233" s="30">
        <v>229</v>
      </c>
      <c r="B233" s="3"/>
      <c r="C233" s="3"/>
      <c r="D233" s="3"/>
      <c r="E233" s="3"/>
      <c r="F233" s="31"/>
      <c r="G233" s="31"/>
      <c r="H233" s="19" t="str">
        <f t="shared" si="15"/>
        <v>—</v>
      </c>
      <c r="I233" s="32"/>
      <c r="J233" s="6"/>
      <c r="K233" s="33"/>
      <c r="L233" s="21" t="str">
        <f>IF(OR($B233="",NOT(ISNUMBER($J233)),$D233="Cancelled",$D233="Owner block"),"—",ROUND($J233*IF(ISNUMBER($K233),IF($K233&gt;1,$K233/100,$K233),IF(IFERROR(INDEX(Setup!$D$25:$D$36,MATCH($B233,Setup!$A$25:$A$36,0)),0)&gt;1,IFERROR(INDEX(Setup!$D$25:$D$36,MATCH($B233,Setup!$A$25:$A$36,0)),0)/100,IFERROR(INDEX(Setup!$D$25:$D$36,MATCH($B233,Setup!$A$25:$A$36,0)),0))),2))</f>
        <v>—</v>
      </c>
      <c r="M233" s="21" t="str">
        <f t="shared" si="16"/>
        <v>—</v>
      </c>
      <c r="N233" s="21" t="str">
        <f>IF(OR($B233="",$G233="",$D233="Cancelled"),"—",IFERROR(IF(INDEX(Setup!$E$25:$E$36,MATCH($B233,Setup!$A$25:$A$36,0))=0,"—",INDEX(Setup!$E$25:$E$36,MATCH($B233,Setup!$A$25:$A$36,0))),"—"))</f>
        <v>—</v>
      </c>
      <c r="O233" s="21" t="str">
        <f>IF(OR($B233="",$G233="",$D233="Cancelled"),"—",IFERROR(IF(INDEX(Setup!$F$25:$F$36,MATCH($B233,Setup!$A$25:$A$36,0))=0,"—",INDEX(Setup!$F$25:$F$36,MATCH($B233,Setup!$A$25:$A$36,0))),"—"))</f>
        <v>—</v>
      </c>
      <c r="P233" s="21" t="str">
        <f>IF(OR($B233="",$G233="",$D233="Cancelled",$D233="Owner block"),"—",IF(IFERROR(INDEX(Setup!$G$25:$G$36,MATCH($B233,Setup!$A$25:$A$36,0)),0)+IFERROR(INDEX(Setup!$H$25:$H$36,MATCH($B233,Setup!$A$25:$A$36,0)),0)*IF(ISNUMBER($H233),$H233,0)=0,"—",ROUND(IFERROR(INDEX(Setup!$G$25:$G$36,MATCH($B233,Setup!$A$25:$A$36,0)),0)+IFERROR(INDEX(Setup!$H$25:$H$36,MATCH($B233,Setup!$A$25:$A$36,0)),0)*IF(ISNUMBER($H233),$H233,0),2)))</f>
        <v>—</v>
      </c>
      <c r="Q233" s="21" t="str">
        <f t="shared" si="17"/>
        <v>—</v>
      </c>
      <c r="R233" s="21" t="str">
        <f t="shared" si="18"/>
        <v>—</v>
      </c>
      <c r="S233" s="3"/>
      <c r="T233" s="19" t="str">
        <f ca="1">IF(OR(NOT(ISNUMBER($F233)),NOT(ISNUMBER($G233)),NOT(ISNUMBER(Dashboard!$P$2)),NOT(ISNUMBER(Dashboard!$P$3)),$D233="Cancelled",$D233="Owner block"),"—",IF(MAX(0,MIN($G233,Dashboard!$P$3+1)-MAX($F233,Dashboard!$P$2))=0,"—",MAX(0,MIN($G233,Dashboard!$P$3+1)-MAX($F233,Dashboard!$P$2))))</f>
        <v>—</v>
      </c>
      <c r="U233" s="19" t="str">
        <f ca="1">IF(OR(NOT(ISNUMBER($F233)),NOT(ISNUMBER($G233)),NOT(ISNUMBER(Dashboard!$P$2)),NOT(ISNUMBER(Dashboard!$P$3)),$D233&lt;&gt;"Owner block"),"—",IF(MAX(0,MIN($G233,Dashboard!$P$3+1)-MAX($F233,Dashboard!$P$2))=0,"—",MAX(0,MIN($G233,Dashboard!$P$3+1)-MAX($F233,Dashboard!$P$2))))</f>
        <v>—</v>
      </c>
      <c r="V233" s="7" t="str">
        <f>IF($B233="",IF(COUNTA($C233:$G233,$I233:$K233,$S233)=0,"","⚠ no property — not counted"),IF(COUNTIF(Setup!$A$25:$A$36,$B233)=0,"⚠ property not in Setup",IF(AND($F233&lt;&gt;"",NOT(ISNUMBER($F233))),"⚠ check-in is not a real date",IF(AND($G233&lt;&gt;"",NOT(ISNUMBER($G233))),"⚠ check-out is not a real date",IF(AND($J233&lt;&gt;"",NOT(ISNUMBER($J233))),"⚠ booking value is not a number","OK")))))</f>
        <v/>
      </c>
      <c r="W233" s="21" t="str">
        <f t="shared" si="19"/>
        <v>—</v>
      </c>
    </row>
    <row r="234" spans="1:23" x14ac:dyDescent="0.2">
      <c r="A234" s="30">
        <v>230</v>
      </c>
      <c r="B234" s="8"/>
      <c r="C234" s="8"/>
      <c r="D234" s="8"/>
      <c r="E234" s="8"/>
      <c r="F234" s="34"/>
      <c r="G234" s="34"/>
      <c r="H234" s="19" t="str">
        <f t="shared" si="15"/>
        <v>—</v>
      </c>
      <c r="I234" s="35"/>
      <c r="J234" s="11"/>
      <c r="K234" s="36"/>
      <c r="L234" s="21" t="str">
        <f>IF(OR($B234="",NOT(ISNUMBER($J234)),$D234="Cancelled",$D234="Owner block"),"—",ROUND($J234*IF(ISNUMBER($K234),IF($K234&gt;1,$K234/100,$K234),IF(IFERROR(INDEX(Setup!$D$25:$D$36,MATCH($B234,Setup!$A$25:$A$36,0)),0)&gt;1,IFERROR(INDEX(Setup!$D$25:$D$36,MATCH($B234,Setup!$A$25:$A$36,0)),0)/100,IFERROR(INDEX(Setup!$D$25:$D$36,MATCH($B234,Setup!$A$25:$A$36,0)),0))),2))</f>
        <v>—</v>
      </c>
      <c r="M234" s="21" t="str">
        <f t="shared" si="16"/>
        <v>—</v>
      </c>
      <c r="N234" s="21" t="str">
        <f>IF(OR($B234="",$G234="",$D234="Cancelled"),"—",IFERROR(IF(INDEX(Setup!$E$25:$E$36,MATCH($B234,Setup!$A$25:$A$36,0))=0,"—",INDEX(Setup!$E$25:$E$36,MATCH($B234,Setup!$A$25:$A$36,0))),"—"))</f>
        <v>—</v>
      </c>
      <c r="O234" s="21" t="str">
        <f>IF(OR($B234="",$G234="",$D234="Cancelled"),"—",IFERROR(IF(INDEX(Setup!$F$25:$F$36,MATCH($B234,Setup!$A$25:$A$36,0))=0,"—",INDEX(Setup!$F$25:$F$36,MATCH($B234,Setup!$A$25:$A$36,0))),"—"))</f>
        <v>—</v>
      </c>
      <c r="P234" s="21" t="str">
        <f>IF(OR($B234="",$G234="",$D234="Cancelled",$D234="Owner block"),"—",IF(IFERROR(INDEX(Setup!$G$25:$G$36,MATCH($B234,Setup!$A$25:$A$36,0)),0)+IFERROR(INDEX(Setup!$H$25:$H$36,MATCH($B234,Setup!$A$25:$A$36,0)),0)*IF(ISNUMBER($H234),$H234,0)=0,"—",ROUND(IFERROR(INDEX(Setup!$G$25:$G$36,MATCH($B234,Setup!$A$25:$A$36,0)),0)+IFERROR(INDEX(Setup!$H$25:$H$36,MATCH($B234,Setup!$A$25:$A$36,0)),0)*IF(ISNUMBER($H234),$H234,0),2)))</f>
        <v>—</v>
      </c>
      <c r="Q234" s="21" t="str">
        <f t="shared" si="17"/>
        <v>—</v>
      </c>
      <c r="R234" s="21" t="str">
        <f t="shared" si="18"/>
        <v>—</v>
      </c>
      <c r="S234" s="8"/>
      <c r="T234" s="19" t="str">
        <f ca="1">IF(OR(NOT(ISNUMBER($F234)),NOT(ISNUMBER($G234)),NOT(ISNUMBER(Dashboard!$P$2)),NOT(ISNUMBER(Dashboard!$P$3)),$D234="Cancelled",$D234="Owner block"),"—",IF(MAX(0,MIN($G234,Dashboard!$P$3+1)-MAX($F234,Dashboard!$P$2))=0,"—",MAX(0,MIN($G234,Dashboard!$P$3+1)-MAX($F234,Dashboard!$P$2))))</f>
        <v>—</v>
      </c>
      <c r="U234" s="19" t="str">
        <f ca="1">IF(OR(NOT(ISNUMBER($F234)),NOT(ISNUMBER($G234)),NOT(ISNUMBER(Dashboard!$P$2)),NOT(ISNUMBER(Dashboard!$P$3)),$D234&lt;&gt;"Owner block"),"—",IF(MAX(0,MIN($G234,Dashboard!$P$3+1)-MAX($F234,Dashboard!$P$2))=0,"—",MAX(0,MIN($G234,Dashboard!$P$3+1)-MAX($F234,Dashboard!$P$2))))</f>
        <v>—</v>
      </c>
      <c r="V234" s="7" t="str">
        <f>IF($B234="",IF(COUNTA($C234:$G234,$I234:$K234,$S234)=0,"","⚠ no property — not counted"),IF(COUNTIF(Setup!$A$25:$A$36,$B234)=0,"⚠ property not in Setup",IF(AND($F234&lt;&gt;"",NOT(ISNUMBER($F234))),"⚠ check-in is not a real date",IF(AND($G234&lt;&gt;"",NOT(ISNUMBER($G234))),"⚠ check-out is not a real date",IF(AND($J234&lt;&gt;"",NOT(ISNUMBER($J234))),"⚠ booking value is not a number","OK")))))</f>
        <v/>
      </c>
      <c r="W234" s="21" t="str">
        <f t="shared" si="19"/>
        <v>—</v>
      </c>
    </row>
    <row r="235" spans="1:23" x14ac:dyDescent="0.2">
      <c r="A235" s="30">
        <v>231</v>
      </c>
      <c r="B235" s="3"/>
      <c r="C235" s="3"/>
      <c r="D235" s="3"/>
      <c r="E235" s="3"/>
      <c r="F235" s="31"/>
      <c r="G235" s="31"/>
      <c r="H235" s="19" t="str">
        <f t="shared" si="15"/>
        <v>—</v>
      </c>
      <c r="I235" s="32"/>
      <c r="J235" s="6"/>
      <c r="K235" s="33"/>
      <c r="L235" s="21" t="str">
        <f>IF(OR($B235="",NOT(ISNUMBER($J235)),$D235="Cancelled",$D235="Owner block"),"—",ROUND($J235*IF(ISNUMBER($K235),IF($K235&gt;1,$K235/100,$K235),IF(IFERROR(INDEX(Setup!$D$25:$D$36,MATCH($B235,Setup!$A$25:$A$36,0)),0)&gt;1,IFERROR(INDEX(Setup!$D$25:$D$36,MATCH($B235,Setup!$A$25:$A$36,0)),0)/100,IFERROR(INDEX(Setup!$D$25:$D$36,MATCH($B235,Setup!$A$25:$A$36,0)),0))),2))</f>
        <v>—</v>
      </c>
      <c r="M235" s="21" t="str">
        <f t="shared" si="16"/>
        <v>—</v>
      </c>
      <c r="N235" s="21" t="str">
        <f>IF(OR($B235="",$G235="",$D235="Cancelled"),"—",IFERROR(IF(INDEX(Setup!$E$25:$E$36,MATCH($B235,Setup!$A$25:$A$36,0))=0,"—",INDEX(Setup!$E$25:$E$36,MATCH($B235,Setup!$A$25:$A$36,0))),"—"))</f>
        <v>—</v>
      </c>
      <c r="O235" s="21" t="str">
        <f>IF(OR($B235="",$G235="",$D235="Cancelled"),"—",IFERROR(IF(INDEX(Setup!$F$25:$F$36,MATCH($B235,Setup!$A$25:$A$36,0))=0,"—",INDEX(Setup!$F$25:$F$36,MATCH($B235,Setup!$A$25:$A$36,0))),"—"))</f>
        <v>—</v>
      </c>
      <c r="P235" s="21" t="str">
        <f>IF(OR($B235="",$G235="",$D235="Cancelled",$D235="Owner block"),"—",IF(IFERROR(INDEX(Setup!$G$25:$G$36,MATCH($B235,Setup!$A$25:$A$36,0)),0)+IFERROR(INDEX(Setup!$H$25:$H$36,MATCH($B235,Setup!$A$25:$A$36,0)),0)*IF(ISNUMBER($H235),$H235,0)=0,"—",ROUND(IFERROR(INDEX(Setup!$G$25:$G$36,MATCH($B235,Setup!$A$25:$A$36,0)),0)+IFERROR(INDEX(Setup!$H$25:$H$36,MATCH($B235,Setup!$A$25:$A$36,0)),0)*IF(ISNUMBER($H235),$H235,0),2)))</f>
        <v>—</v>
      </c>
      <c r="Q235" s="21" t="str">
        <f t="shared" si="17"/>
        <v>—</v>
      </c>
      <c r="R235" s="21" t="str">
        <f t="shared" si="18"/>
        <v>—</v>
      </c>
      <c r="S235" s="3"/>
      <c r="T235" s="19" t="str">
        <f ca="1">IF(OR(NOT(ISNUMBER($F235)),NOT(ISNUMBER($G235)),NOT(ISNUMBER(Dashboard!$P$2)),NOT(ISNUMBER(Dashboard!$P$3)),$D235="Cancelled",$D235="Owner block"),"—",IF(MAX(0,MIN($G235,Dashboard!$P$3+1)-MAX($F235,Dashboard!$P$2))=0,"—",MAX(0,MIN($G235,Dashboard!$P$3+1)-MAX($F235,Dashboard!$P$2))))</f>
        <v>—</v>
      </c>
      <c r="U235" s="19" t="str">
        <f ca="1">IF(OR(NOT(ISNUMBER($F235)),NOT(ISNUMBER($G235)),NOT(ISNUMBER(Dashboard!$P$2)),NOT(ISNUMBER(Dashboard!$P$3)),$D235&lt;&gt;"Owner block"),"—",IF(MAX(0,MIN($G235,Dashboard!$P$3+1)-MAX($F235,Dashboard!$P$2))=0,"—",MAX(0,MIN($G235,Dashboard!$P$3+1)-MAX($F235,Dashboard!$P$2))))</f>
        <v>—</v>
      </c>
      <c r="V235" s="7" t="str">
        <f>IF($B235="",IF(COUNTA($C235:$G235,$I235:$K235,$S235)=0,"","⚠ no property — not counted"),IF(COUNTIF(Setup!$A$25:$A$36,$B235)=0,"⚠ property not in Setup",IF(AND($F235&lt;&gt;"",NOT(ISNUMBER($F235))),"⚠ check-in is not a real date",IF(AND($G235&lt;&gt;"",NOT(ISNUMBER($G235))),"⚠ check-out is not a real date",IF(AND($J235&lt;&gt;"",NOT(ISNUMBER($J235))),"⚠ booking value is not a number","OK")))))</f>
        <v/>
      </c>
      <c r="W235" s="21" t="str">
        <f t="shared" si="19"/>
        <v>—</v>
      </c>
    </row>
    <row r="236" spans="1:23" x14ac:dyDescent="0.2">
      <c r="A236" s="30">
        <v>232</v>
      </c>
      <c r="B236" s="8"/>
      <c r="C236" s="8"/>
      <c r="D236" s="8"/>
      <c r="E236" s="8"/>
      <c r="F236" s="34"/>
      <c r="G236" s="34"/>
      <c r="H236" s="19" t="str">
        <f t="shared" si="15"/>
        <v>—</v>
      </c>
      <c r="I236" s="35"/>
      <c r="J236" s="11"/>
      <c r="K236" s="36"/>
      <c r="L236" s="21" t="str">
        <f>IF(OR($B236="",NOT(ISNUMBER($J236)),$D236="Cancelled",$D236="Owner block"),"—",ROUND($J236*IF(ISNUMBER($K236),IF($K236&gt;1,$K236/100,$K236),IF(IFERROR(INDEX(Setup!$D$25:$D$36,MATCH($B236,Setup!$A$25:$A$36,0)),0)&gt;1,IFERROR(INDEX(Setup!$D$25:$D$36,MATCH($B236,Setup!$A$25:$A$36,0)),0)/100,IFERROR(INDEX(Setup!$D$25:$D$36,MATCH($B236,Setup!$A$25:$A$36,0)),0))),2))</f>
        <v>—</v>
      </c>
      <c r="M236" s="21" t="str">
        <f t="shared" si="16"/>
        <v>—</v>
      </c>
      <c r="N236" s="21" t="str">
        <f>IF(OR($B236="",$G236="",$D236="Cancelled"),"—",IFERROR(IF(INDEX(Setup!$E$25:$E$36,MATCH($B236,Setup!$A$25:$A$36,0))=0,"—",INDEX(Setup!$E$25:$E$36,MATCH($B236,Setup!$A$25:$A$36,0))),"—"))</f>
        <v>—</v>
      </c>
      <c r="O236" s="21" t="str">
        <f>IF(OR($B236="",$G236="",$D236="Cancelled"),"—",IFERROR(IF(INDEX(Setup!$F$25:$F$36,MATCH($B236,Setup!$A$25:$A$36,0))=0,"—",INDEX(Setup!$F$25:$F$36,MATCH($B236,Setup!$A$25:$A$36,0))),"—"))</f>
        <v>—</v>
      </c>
      <c r="P236" s="21" t="str">
        <f>IF(OR($B236="",$G236="",$D236="Cancelled",$D236="Owner block"),"—",IF(IFERROR(INDEX(Setup!$G$25:$G$36,MATCH($B236,Setup!$A$25:$A$36,0)),0)+IFERROR(INDEX(Setup!$H$25:$H$36,MATCH($B236,Setup!$A$25:$A$36,0)),0)*IF(ISNUMBER($H236),$H236,0)=0,"—",ROUND(IFERROR(INDEX(Setup!$G$25:$G$36,MATCH($B236,Setup!$A$25:$A$36,0)),0)+IFERROR(INDEX(Setup!$H$25:$H$36,MATCH($B236,Setup!$A$25:$A$36,0)),0)*IF(ISNUMBER($H236),$H236,0),2)))</f>
        <v>—</v>
      </c>
      <c r="Q236" s="21" t="str">
        <f t="shared" si="17"/>
        <v>—</v>
      </c>
      <c r="R236" s="21" t="str">
        <f t="shared" si="18"/>
        <v>—</v>
      </c>
      <c r="S236" s="8"/>
      <c r="T236" s="19" t="str">
        <f ca="1">IF(OR(NOT(ISNUMBER($F236)),NOT(ISNUMBER($G236)),NOT(ISNUMBER(Dashboard!$P$2)),NOT(ISNUMBER(Dashboard!$P$3)),$D236="Cancelled",$D236="Owner block"),"—",IF(MAX(0,MIN($G236,Dashboard!$P$3+1)-MAX($F236,Dashboard!$P$2))=0,"—",MAX(0,MIN($G236,Dashboard!$P$3+1)-MAX($F236,Dashboard!$P$2))))</f>
        <v>—</v>
      </c>
      <c r="U236" s="19" t="str">
        <f ca="1">IF(OR(NOT(ISNUMBER($F236)),NOT(ISNUMBER($G236)),NOT(ISNUMBER(Dashboard!$P$2)),NOT(ISNUMBER(Dashboard!$P$3)),$D236&lt;&gt;"Owner block"),"—",IF(MAX(0,MIN($G236,Dashboard!$P$3+1)-MAX($F236,Dashboard!$P$2))=0,"—",MAX(0,MIN($G236,Dashboard!$P$3+1)-MAX($F236,Dashboard!$P$2))))</f>
        <v>—</v>
      </c>
      <c r="V236" s="7" t="str">
        <f>IF($B236="",IF(COUNTA($C236:$G236,$I236:$K236,$S236)=0,"","⚠ no property — not counted"),IF(COUNTIF(Setup!$A$25:$A$36,$B236)=0,"⚠ property not in Setup",IF(AND($F236&lt;&gt;"",NOT(ISNUMBER($F236))),"⚠ check-in is not a real date",IF(AND($G236&lt;&gt;"",NOT(ISNUMBER($G236))),"⚠ check-out is not a real date",IF(AND($J236&lt;&gt;"",NOT(ISNUMBER($J236))),"⚠ booking value is not a number","OK")))))</f>
        <v/>
      </c>
      <c r="W236" s="21" t="str">
        <f t="shared" si="19"/>
        <v>—</v>
      </c>
    </row>
    <row r="237" spans="1:23" x14ac:dyDescent="0.2">
      <c r="A237" s="30">
        <v>233</v>
      </c>
      <c r="B237" s="3"/>
      <c r="C237" s="3"/>
      <c r="D237" s="3"/>
      <c r="E237" s="3"/>
      <c r="F237" s="31"/>
      <c r="G237" s="31"/>
      <c r="H237" s="19" t="str">
        <f t="shared" si="15"/>
        <v>—</v>
      </c>
      <c r="I237" s="32"/>
      <c r="J237" s="6"/>
      <c r="K237" s="33"/>
      <c r="L237" s="21" t="str">
        <f>IF(OR($B237="",NOT(ISNUMBER($J237)),$D237="Cancelled",$D237="Owner block"),"—",ROUND($J237*IF(ISNUMBER($K237),IF($K237&gt;1,$K237/100,$K237),IF(IFERROR(INDEX(Setup!$D$25:$D$36,MATCH($B237,Setup!$A$25:$A$36,0)),0)&gt;1,IFERROR(INDEX(Setup!$D$25:$D$36,MATCH($B237,Setup!$A$25:$A$36,0)),0)/100,IFERROR(INDEX(Setup!$D$25:$D$36,MATCH($B237,Setup!$A$25:$A$36,0)),0))),2))</f>
        <v>—</v>
      </c>
      <c r="M237" s="21" t="str">
        <f t="shared" si="16"/>
        <v>—</v>
      </c>
      <c r="N237" s="21" t="str">
        <f>IF(OR($B237="",$G237="",$D237="Cancelled"),"—",IFERROR(IF(INDEX(Setup!$E$25:$E$36,MATCH($B237,Setup!$A$25:$A$36,0))=0,"—",INDEX(Setup!$E$25:$E$36,MATCH($B237,Setup!$A$25:$A$36,0))),"—"))</f>
        <v>—</v>
      </c>
      <c r="O237" s="21" t="str">
        <f>IF(OR($B237="",$G237="",$D237="Cancelled"),"—",IFERROR(IF(INDEX(Setup!$F$25:$F$36,MATCH($B237,Setup!$A$25:$A$36,0))=0,"—",INDEX(Setup!$F$25:$F$36,MATCH($B237,Setup!$A$25:$A$36,0))),"—"))</f>
        <v>—</v>
      </c>
      <c r="P237" s="21" t="str">
        <f>IF(OR($B237="",$G237="",$D237="Cancelled",$D237="Owner block"),"—",IF(IFERROR(INDEX(Setup!$G$25:$G$36,MATCH($B237,Setup!$A$25:$A$36,0)),0)+IFERROR(INDEX(Setup!$H$25:$H$36,MATCH($B237,Setup!$A$25:$A$36,0)),0)*IF(ISNUMBER($H237),$H237,0)=0,"—",ROUND(IFERROR(INDEX(Setup!$G$25:$G$36,MATCH($B237,Setup!$A$25:$A$36,0)),0)+IFERROR(INDEX(Setup!$H$25:$H$36,MATCH($B237,Setup!$A$25:$A$36,0)),0)*IF(ISNUMBER($H237),$H237,0),2)))</f>
        <v>—</v>
      </c>
      <c r="Q237" s="21" t="str">
        <f t="shared" si="17"/>
        <v>—</v>
      </c>
      <c r="R237" s="21" t="str">
        <f t="shared" si="18"/>
        <v>—</v>
      </c>
      <c r="S237" s="3"/>
      <c r="T237" s="19" t="str">
        <f ca="1">IF(OR(NOT(ISNUMBER($F237)),NOT(ISNUMBER($G237)),NOT(ISNUMBER(Dashboard!$P$2)),NOT(ISNUMBER(Dashboard!$P$3)),$D237="Cancelled",$D237="Owner block"),"—",IF(MAX(0,MIN($G237,Dashboard!$P$3+1)-MAX($F237,Dashboard!$P$2))=0,"—",MAX(0,MIN($G237,Dashboard!$P$3+1)-MAX($F237,Dashboard!$P$2))))</f>
        <v>—</v>
      </c>
      <c r="U237" s="19" t="str">
        <f ca="1">IF(OR(NOT(ISNUMBER($F237)),NOT(ISNUMBER($G237)),NOT(ISNUMBER(Dashboard!$P$2)),NOT(ISNUMBER(Dashboard!$P$3)),$D237&lt;&gt;"Owner block"),"—",IF(MAX(0,MIN($G237,Dashboard!$P$3+1)-MAX($F237,Dashboard!$P$2))=0,"—",MAX(0,MIN($G237,Dashboard!$P$3+1)-MAX($F237,Dashboard!$P$2))))</f>
        <v>—</v>
      </c>
      <c r="V237" s="7" t="str">
        <f>IF($B237="",IF(COUNTA($C237:$G237,$I237:$K237,$S237)=0,"","⚠ no property — not counted"),IF(COUNTIF(Setup!$A$25:$A$36,$B237)=0,"⚠ property not in Setup",IF(AND($F237&lt;&gt;"",NOT(ISNUMBER($F237))),"⚠ check-in is not a real date",IF(AND($G237&lt;&gt;"",NOT(ISNUMBER($G237))),"⚠ check-out is not a real date",IF(AND($J237&lt;&gt;"",NOT(ISNUMBER($J237))),"⚠ booking value is not a number","OK")))))</f>
        <v/>
      </c>
      <c r="W237" s="21" t="str">
        <f t="shared" si="19"/>
        <v>—</v>
      </c>
    </row>
    <row r="238" spans="1:23" x14ac:dyDescent="0.2">
      <c r="A238" s="30">
        <v>234</v>
      </c>
      <c r="B238" s="8"/>
      <c r="C238" s="8"/>
      <c r="D238" s="8"/>
      <c r="E238" s="8"/>
      <c r="F238" s="34"/>
      <c r="G238" s="34"/>
      <c r="H238" s="19" t="str">
        <f t="shared" si="15"/>
        <v>—</v>
      </c>
      <c r="I238" s="35"/>
      <c r="J238" s="11"/>
      <c r="K238" s="36"/>
      <c r="L238" s="21" t="str">
        <f>IF(OR($B238="",NOT(ISNUMBER($J238)),$D238="Cancelled",$D238="Owner block"),"—",ROUND($J238*IF(ISNUMBER($K238),IF($K238&gt;1,$K238/100,$K238),IF(IFERROR(INDEX(Setup!$D$25:$D$36,MATCH($B238,Setup!$A$25:$A$36,0)),0)&gt;1,IFERROR(INDEX(Setup!$D$25:$D$36,MATCH($B238,Setup!$A$25:$A$36,0)),0)/100,IFERROR(INDEX(Setup!$D$25:$D$36,MATCH($B238,Setup!$A$25:$A$36,0)),0))),2))</f>
        <v>—</v>
      </c>
      <c r="M238" s="21" t="str">
        <f t="shared" si="16"/>
        <v>—</v>
      </c>
      <c r="N238" s="21" t="str">
        <f>IF(OR($B238="",$G238="",$D238="Cancelled"),"—",IFERROR(IF(INDEX(Setup!$E$25:$E$36,MATCH($B238,Setup!$A$25:$A$36,0))=0,"—",INDEX(Setup!$E$25:$E$36,MATCH($B238,Setup!$A$25:$A$36,0))),"—"))</f>
        <v>—</v>
      </c>
      <c r="O238" s="21" t="str">
        <f>IF(OR($B238="",$G238="",$D238="Cancelled"),"—",IFERROR(IF(INDEX(Setup!$F$25:$F$36,MATCH($B238,Setup!$A$25:$A$36,0))=0,"—",INDEX(Setup!$F$25:$F$36,MATCH($B238,Setup!$A$25:$A$36,0))),"—"))</f>
        <v>—</v>
      </c>
      <c r="P238" s="21" t="str">
        <f>IF(OR($B238="",$G238="",$D238="Cancelled",$D238="Owner block"),"—",IF(IFERROR(INDEX(Setup!$G$25:$G$36,MATCH($B238,Setup!$A$25:$A$36,0)),0)+IFERROR(INDEX(Setup!$H$25:$H$36,MATCH($B238,Setup!$A$25:$A$36,0)),0)*IF(ISNUMBER($H238),$H238,0)=0,"—",ROUND(IFERROR(INDEX(Setup!$G$25:$G$36,MATCH($B238,Setup!$A$25:$A$36,0)),0)+IFERROR(INDEX(Setup!$H$25:$H$36,MATCH($B238,Setup!$A$25:$A$36,0)),0)*IF(ISNUMBER($H238),$H238,0),2)))</f>
        <v>—</v>
      </c>
      <c r="Q238" s="21" t="str">
        <f t="shared" si="17"/>
        <v>—</v>
      </c>
      <c r="R238" s="21" t="str">
        <f t="shared" si="18"/>
        <v>—</v>
      </c>
      <c r="S238" s="8"/>
      <c r="T238" s="19" t="str">
        <f ca="1">IF(OR(NOT(ISNUMBER($F238)),NOT(ISNUMBER($G238)),NOT(ISNUMBER(Dashboard!$P$2)),NOT(ISNUMBER(Dashboard!$P$3)),$D238="Cancelled",$D238="Owner block"),"—",IF(MAX(0,MIN($G238,Dashboard!$P$3+1)-MAX($F238,Dashboard!$P$2))=0,"—",MAX(0,MIN($G238,Dashboard!$P$3+1)-MAX($F238,Dashboard!$P$2))))</f>
        <v>—</v>
      </c>
      <c r="U238" s="19" t="str">
        <f ca="1">IF(OR(NOT(ISNUMBER($F238)),NOT(ISNUMBER($G238)),NOT(ISNUMBER(Dashboard!$P$2)),NOT(ISNUMBER(Dashboard!$P$3)),$D238&lt;&gt;"Owner block"),"—",IF(MAX(0,MIN($G238,Dashboard!$P$3+1)-MAX($F238,Dashboard!$P$2))=0,"—",MAX(0,MIN($G238,Dashboard!$P$3+1)-MAX($F238,Dashboard!$P$2))))</f>
        <v>—</v>
      </c>
      <c r="V238" s="7" t="str">
        <f>IF($B238="",IF(COUNTA($C238:$G238,$I238:$K238,$S238)=0,"","⚠ no property — not counted"),IF(COUNTIF(Setup!$A$25:$A$36,$B238)=0,"⚠ property not in Setup",IF(AND($F238&lt;&gt;"",NOT(ISNUMBER($F238))),"⚠ check-in is not a real date",IF(AND($G238&lt;&gt;"",NOT(ISNUMBER($G238))),"⚠ check-out is not a real date",IF(AND($J238&lt;&gt;"",NOT(ISNUMBER($J238))),"⚠ booking value is not a number","OK")))))</f>
        <v/>
      </c>
      <c r="W238" s="21" t="str">
        <f t="shared" si="19"/>
        <v>—</v>
      </c>
    </row>
    <row r="239" spans="1:23" x14ac:dyDescent="0.2">
      <c r="A239" s="30">
        <v>235</v>
      </c>
      <c r="B239" s="3"/>
      <c r="C239" s="3"/>
      <c r="D239" s="3"/>
      <c r="E239" s="3"/>
      <c r="F239" s="31"/>
      <c r="G239" s="31"/>
      <c r="H239" s="19" t="str">
        <f t="shared" si="15"/>
        <v>—</v>
      </c>
      <c r="I239" s="32"/>
      <c r="J239" s="6"/>
      <c r="K239" s="33"/>
      <c r="L239" s="21" t="str">
        <f>IF(OR($B239="",NOT(ISNUMBER($J239)),$D239="Cancelled",$D239="Owner block"),"—",ROUND($J239*IF(ISNUMBER($K239),IF($K239&gt;1,$K239/100,$K239),IF(IFERROR(INDEX(Setup!$D$25:$D$36,MATCH($B239,Setup!$A$25:$A$36,0)),0)&gt;1,IFERROR(INDEX(Setup!$D$25:$D$36,MATCH($B239,Setup!$A$25:$A$36,0)),0)/100,IFERROR(INDEX(Setup!$D$25:$D$36,MATCH($B239,Setup!$A$25:$A$36,0)),0))),2))</f>
        <v>—</v>
      </c>
      <c r="M239" s="21" t="str">
        <f t="shared" si="16"/>
        <v>—</v>
      </c>
      <c r="N239" s="21" t="str">
        <f>IF(OR($B239="",$G239="",$D239="Cancelled"),"—",IFERROR(IF(INDEX(Setup!$E$25:$E$36,MATCH($B239,Setup!$A$25:$A$36,0))=0,"—",INDEX(Setup!$E$25:$E$36,MATCH($B239,Setup!$A$25:$A$36,0))),"—"))</f>
        <v>—</v>
      </c>
      <c r="O239" s="21" t="str">
        <f>IF(OR($B239="",$G239="",$D239="Cancelled"),"—",IFERROR(IF(INDEX(Setup!$F$25:$F$36,MATCH($B239,Setup!$A$25:$A$36,0))=0,"—",INDEX(Setup!$F$25:$F$36,MATCH($B239,Setup!$A$25:$A$36,0))),"—"))</f>
        <v>—</v>
      </c>
      <c r="P239" s="21" t="str">
        <f>IF(OR($B239="",$G239="",$D239="Cancelled",$D239="Owner block"),"—",IF(IFERROR(INDEX(Setup!$G$25:$G$36,MATCH($B239,Setup!$A$25:$A$36,0)),0)+IFERROR(INDEX(Setup!$H$25:$H$36,MATCH($B239,Setup!$A$25:$A$36,0)),0)*IF(ISNUMBER($H239),$H239,0)=0,"—",ROUND(IFERROR(INDEX(Setup!$G$25:$G$36,MATCH($B239,Setup!$A$25:$A$36,0)),0)+IFERROR(INDEX(Setup!$H$25:$H$36,MATCH($B239,Setup!$A$25:$A$36,0)),0)*IF(ISNUMBER($H239),$H239,0),2)))</f>
        <v>—</v>
      </c>
      <c r="Q239" s="21" t="str">
        <f t="shared" si="17"/>
        <v>—</v>
      </c>
      <c r="R239" s="21" t="str">
        <f t="shared" si="18"/>
        <v>—</v>
      </c>
      <c r="S239" s="3"/>
      <c r="T239" s="19" t="str">
        <f ca="1">IF(OR(NOT(ISNUMBER($F239)),NOT(ISNUMBER($G239)),NOT(ISNUMBER(Dashboard!$P$2)),NOT(ISNUMBER(Dashboard!$P$3)),$D239="Cancelled",$D239="Owner block"),"—",IF(MAX(0,MIN($G239,Dashboard!$P$3+1)-MAX($F239,Dashboard!$P$2))=0,"—",MAX(0,MIN($G239,Dashboard!$P$3+1)-MAX($F239,Dashboard!$P$2))))</f>
        <v>—</v>
      </c>
      <c r="U239" s="19" t="str">
        <f ca="1">IF(OR(NOT(ISNUMBER($F239)),NOT(ISNUMBER($G239)),NOT(ISNUMBER(Dashboard!$P$2)),NOT(ISNUMBER(Dashboard!$P$3)),$D239&lt;&gt;"Owner block"),"—",IF(MAX(0,MIN($G239,Dashboard!$P$3+1)-MAX($F239,Dashboard!$P$2))=0,"—",MAX(0,MIN($G239,Dashboard!$P$3+1)-MAX($F239,Dashboard!$P$2))))</f>
        <v>—</v>
      </c>
      <c r="V239" s="7" t="str">
        <f>IF($B239="",IF(COUNTA($C239:$G239,$I239:$K239,$S239)=0,"","⚠ no property — not counted"),IF(COUNTIF(Setup!$A$25:$A$36,$B239)=0,"⚠ property not in Setup",IF(AND($F239&lt;&gt;"",NOT(ISNUMBER($F239))),"⚠ check-in is not a real date",IF(AND($G239&lt;&gt;"",NOT(ISNUMBER($G239))),"⚠ check-out is not a real date",IF(AND($J239&lt;&gt;"",NOT(ISNUMBER($J239))),"⚠ booking value is not a number","OK")))))</f>
        <v/>
      </c>
      <c r="W239" s="21" t="str">
        <f t="shared" si="19"/>
        <v>—</v>
      </c>
    </row>
    <row r="240" spans="1:23" x14ac:dyDescent="0.2">
      <c r="A240" s="30">
        <v>236</v>
      </c>
      <c r="B240" s="8"/>
      <c r="C240" s="8"/>
      <c r="D240" s="8"/>
      <c r="E240" s="8"/>
      <c r="F240" s="34"/>
      <c r="G240" s="34"/>
      <c r="H240" s="19" t="str">
        <f t="shared" si="15"/>
        <v>—</v>
      </c>
      <c r="I240" s="35"/>
      <c r="J240" s="11"/>
      <c r="K240" s="36"/>
      <c r="L240" s="21" t="str">
        <f>IF(OR($B240="",NOT(ISNUMBER($J240)),$D240="Cancelled",$D240="Owner block"),"—",ROUND($J240*IF(ISNUMBER($K240),IF($K240&gt;1,$K240/100,$K240),IF(IFERROR(INDEX(Setup!$D$25:$D$36,MATCH($B240,Setup!$A$25:$A$36,0)),0)&gt;1,IFERROR(INDEX(Setup!$D$25:$D$36,MATCH($B240,Setup!$A$25:$A$36,0)),0)/100,IFERROR(INDEX(Setup!$D$25:$D$36,MATCH($B240,Setup!$A$25:$A$36,0)),0))),2))</f>
        <v>—</v>
      </c>
      <c r="M240" s="21" t="str">
        <f t="shared" si="16"/>
        <v>—</v>
      </c>
      <c r="N240" s="21" t="str">
        <f>IF(OR($B240="",$G240="",$D240="Cancelled"),"—",IFERROR(IF(INDEX(Setup!$E$25:$E$36,MATCH($B240,Setup!$A$25:$A$36,0))=0,"—",INDEX(Setup!$E$25:$E$36,MATCH($B240,Setup!$A$25:$A$36,0))),"—"))</f>
        <v>—</v>
      </c>
      <c r="O240" s="21" t="str">
        <f>IF(OR($B240="",$G240="",$D240="Cancelled"),"—",IFERROR(IF(INDEX(Setup!$F$25:$F$36,MATCH($B240,Setup!$A$25:$A$36,0))=0,"—",INDEX(Setup!$F$25:$F$36,MATCH($B240,Setup!$A$25:$A$36,0))),"—"))</f>
        <v>—</v>
      </c>
      <c r="P240" s="21" t="str">
        <f>IF(OR($B240="",$G240="",$D240="Cancelled",$D240="Owner block"),"—",IF(IFERROR(INDEX(Setup!$G$25:$G$36,MATCH($B240,Setup!$A$25:$A$36,0)),0)+IFERROR(INDEX(Setup!$H$25:$H$36,MATCH($B240,Setup!$A$25:$A$36,0)),0)*IF(ISNUMBER($H240),$H240,0)=0,"—",ROUND(IFERROR(INDEX(Setup!$G$25:$G$36,MATCH($B240,Setup!$A$25:$A$36,0)),0)+IFERROR(INDEX(Setup!$H$25:$H$36,MATCH($B240,Setup!$A$25:$A$36,0)),0)*IF(ISNUMBER($H240),$H240,0),2)))</f>
        <v>—</v>
      </c>
      <c r="Q240" s="21" t="str">
        <f t="shared" si="17"/>
        <v>—</v>
      </c>
      <c r="R240" s="21" t="str">
        <f t="shared" si="18"/>
        <v>—</v>
      </c>
      <c r="S240" s="8"/>
      <c r="T240" s="19" t="str">
        <f ca="1">IF(OR(NOT(ISNUMBER($F240)),NOT(ISNUMBER($G240)),NOT(ISNUMBER(Dashboard!$P$2)),NOT(ISNUMBER(Dashboard!$P$3)),$D240="Cancelled",$D240="Owner block"),"—",IF(MAX(0,MIN($G240,Dashboard!$P$3+1)-MAX($F240,Dashboard!$P$2))=0,"—",MAX(0,MIN($G240,Dashboard!$P$3+1)-MAX($F240,Dashboard!$P$2))))</f>
        <v>—</v>
      </c>
      <c r="U240" s="19" t="str">
        <f ca="1">IF(OR(NOT(ISNUMBER($F240)),NOT(ISNUMBER($G240)),NOT(ISNUMBER(Dashboard!$P$2)),NOT(ISNUMBER(Dashboard!$P$3)),$D240&lt;&gt;"Owner block"),"—",IF(MAX(0,MIN($G240,Dashboard!$P$3+1)-MAX($F240,Dashboard!$P$2))=0,"—",MAX(0,MIN($G240,Dashboard!$P$3+1)-MAX($F240,Dashboard!$P$2))))</f>
        <v>—</v>
      </c>
      <c r="V240" s="7" t="str">
        <f>IF($B240="",IF(COUNTA($C240:$G240,$I240:$K240,$S240)=0,"","⚠ no property — not counted"),IF(COUNTIF(Setup!$A$25:$A$36,$B240)=0,"⚠ property not in Setup",IF(AND($F240&lt;&gt;"",NOT(ISNUMBER($F240))),"⚠ check-in is not a real date",IF(AND($G240&lt;&gt;"",NOT(ISNUMBER($G240))),"⚠ check-out is not a real date",IF(AND($J240&lt;&gt;"",NOT(ISNUMBER($J240))),"⚠ booking value is not a number","OK")))))</f>
        <v/>
      </c>
      <c r="W240" s="21" t="str">
        <f t="shared" si="19"/>
        <v>—</v>
      </c>
    </row>
    <row r="241" spans="1:23" x14ac:dyDescent="0.2">
      <c r="A241" s="30">
        <v>237</v>
      </c>
      <c r="B241" s="3"/>
      <c r="C241" s="3"/>
      <c r="D241" s="3"/>
      <c r="E241" s="3"/>
      <c r="F241" s="31"/>
      <c r="G241" s="31"/>
      <c r="H241" s="19" t="str">
        <f t="shared" si="15"/>
        <v>—</v>
      </c>
      <c r="I241" s="32"/>
      <c r="J241" s="6"/>
      <c r="K241" s="33"/>
      <c r="L241" s="21" t="str">
        <f>IF(OR($B241="",NOT(ISNUMBER($J241)),$D241="Cancelled",$D241="Owner block"),"—",ROUND($J241*IF(ISNUMBER($K241),IF($K241&gt;1,$K241/100,$K241),IF(IFERROR(INDEX(Setup!$D$25:$D$36,MATCH($B241,Setup!$A$25:$A$36,0)),0)&gt;1,IFERROR(INDEX(Setup!$D$25:$D$36,MATCH($B241,Setup!$A$25:$A$36,0)),0)/100,IFERROR(INDEX(Setup!$D$25:$D$36,MATCH($B241,Setup!$A$25:$A$36,0)),0))),2))</f>
        <v>—</v>
      </c>
      <c r="M241" s="21" t="str">
        <f t="shared" si="16"/>
        <v>—</v>
      </c>
      <c r="N241" s="21" t="str">
        <f>IF(OR($B241="",$G241="",$D241="Cancelled"),"—",IFERROR(IF(INDEX(Setup!$E$25:$E$36,MATCH($B241,Setup!$A$25:$A$36,0))=0,"—",INDEX(Setup!$E$25:$E$36,MATCH($B241,Setup!$A$25:$A$36,0))),"—"))</f>
        <v>—</v>
      </c>
      <c r="O241" s="21" t="str">
        <f>IF(OR($B241="",$G241="",$D241="Cancelled"),"—",IFERROR(IF(INDEX(Setup!$F$25:$F$36,MATCH($B241,Setup!$A$25:$A$36,0))=0,"—",INDEX(Setup!$F$25:$F$36,MATCH($B241,Setup!$A$25:$A$36,0))),"—"))</f>
        <v>—</v>
      </c>
      <c r="P241" s="21" t="str">
        <f>IF(OR($B241="",$G241="",$D241="Cancelled",$D241="Owner block"),"—",IF(IFERROR(INDEX(Setup!$G$25:$G$36,MATCH($B241,Setup!$A$25:$A$36,0)),0)+IFERROR(INDEX(Setup!$H$25:$H$36,MATCH($B241,Setup!$A$25:$A$36,0)),0)*IF(ISNUMBER($H241),$H241,0)=0,"—",ROUND(IFERROR(INDEX(Setup!$G$25:$G$36,MATCH($B241,Setup!$A$25:$A$36,0)),0)+IFERROR(INDEX(Setup!$H$25:$H$36,MATCH($B241,Setup!$A$25:$A$36,0)),0)*IF(ISNUMBER($H241),$H241,0),2)))</f>
        <v>—</v>
      </c>
      <c r="Q241" s="21" t="str">
        <f t="shared" si="17"/>
        <v>—</v>
      </c>
      <c r="R241" s="21" t="str">
        <f t="shared" si="18"/>
        <v>—</v>
      </c>
      <c r="S241" s="3"/>
      <c r="T241" s="19" t="str">
        <f ca="1">IF(OR(NOT(ISNUMBER($F241)),NOT(ISNUMBER($G241)),NOT(ISNUMBER(Dashboard!$P$2)),NOT(ISNUMBER(Dashboard!$P$3)),$D241="Cancelled",$D241="Owner block"),"—",IF(MAX(0,MIN($G241,Dashboard!$P$3+1)-MAX($F241,Dashboard!$P$2))=0,"—",MAX(0,MIN($G241,Dashboard!$P$3+1)-MAX($F241,Dashboard!$P$2))))</f>
        <v>—</v>
      </c>
      <c r="U241" s="19" t="str">
        <f ca="1">IF(OR(NOT(ISNUMBER($F241)),NOT(ISNUMBER($G241)),NOT(ISNUMBER(Dashboard!$P$2)),NOT(ISNUMBER(Dashboard!$P$3)),$D241&lt;&gt;"Owner block"),"—",IF(MAX(0,MIN($G241,Dashboard!$P$3+1)-MAX($F241,Dashboard!$P$2))=0,"—",MAX(0,MIN($G241,Dashboard!$P$3+1)-MAX($F241,Dashboard!$P$2))))</f>
        <v>—</v>
      </c>
      <c r="V241" s="7" t="str">
        <f>IF($B241="",IF(COUNTA($C241:$G241,$I241:$K241,$S241)=0,"","⚠ no property — not counted"),IF(COUNTIF(Setup!$A$25:$A$36,$B241)=0,"⚠ property not in Setup",IF(AND($F241&lt;&gt;"",NOT(ISNUMBER($F241))),"⚠ check-in is not a real date",IF(AND($G241&lt;&gt;"",NOT(ISNUMBER($G241))),"⚠ check-out is not a real date",IF(AND($J241&lt;&gt;"",NOT(ISNUMBER($J241))),"⚠ booking value is not a number","OK")))))</f>
        <v/>
      </c>
      <c r="W241" s="21" t="str">
        <f t="shared" si="19"/>
        <v>—</v>
      </c>
    </row>
    <row r="242" spans="1:23" x14ac:dyDescent="0.2">
      <c r="A242" s="30">
        <v>238</v>
      </c>
      <c r="B242" s="8"/>
      <c r="C242" s="8"/>
      <c r="D242" s="8"/>
      <c r="E242" s="8"/>
      <c r="F242" s="34"/>
      <c r="G242" s="34"/>
      <c r="H242" s="19" t="str">
        <f t="shared" si="15"/>
        <v>—</v>
      </c>
      <c r="I242" s="35"/>
      <c r="J242" s="11"/>
      <c r="K242" s="36"/>
      <c r="L242" s="21" t="str">
        <f>IF(OR($B242="",NOT(ISNUMBER($J242)),$D242="Cancelled",$D242="Owner block"),"—",ROUND($J242*IF(ISNUMBER($K242),IF($K242&gt;1,$K242/100,$K242),IF(IFERROR(INDEX(Setup!$D$25:$D$36,MATCH($B242,Setup!$A$25:$A$36,0)),0)&gt;1,IFERROR(INDEX(Setup!$D$25:$D$36,MATCH($B242,Setup!$A$25:$A$36,0)),0)/100,IFERROR(INDEX(Setup!$D$25:$D$36,MATCH($B242,Setup!$A$25:$A$36,0)),0))),2))</f>
        <v>—</v>
      </c>
      <c r="M242" s="21" t="str">
        <f t="shared" si="16"/>
        <v>—</v>
      </c>
      <c r="N242" s="21" t="str">
        <f>IF(OR($B242="",$G242="",$D242="Cancelled"),"—",IFERROR(IF(INDEX(Setup!$E$25:$E$36,MATCH($B242,Setup!$A$25:$A$36,0))=0,"—",INDEX(Setup!$E$25:$E$36,MATCH($B242,Setup!$A$25:$A$36,0))),"—"))</f>
        <v>—</v>
      </c>
      <c r="O242" s="21" t="str">
        <f>IF(OR($B242="",$G242="",$D242="Cancelled"),"—",IFERROR(IF(INDEX(Setup!$F$25:$F$36,MATCH($B242,Setup!$A$25:$A$36,0))=0,"—",INDEX(Setup!$F$25:$F$36,MATCH($B242,Setup!$A$25:$A$36,0))),"—"))</f>
        <v>—</v>
      </c>
      <c r="P242" s="21" t="str">
        <f>IF(OR($B242="",$G242="",$D242="Cancelled",$D242="Owner block"),"—",IF(IFERROR(INDEX(Setup!$G$25:$G$36,MATCH($B242,Setup!$A$25:$A$36,0)),0)+IFERROR(INDEX(Setup!$H$25:$H$36,MATCH($B242,Setup!$A$25:$A$36,0)),0)*IF(ISNUMBER($H242),$H242,0)=0,"—",ROUND(IFERROR(INDEX(Setup!$G$25:$G$36,MATCH($B242,Setup!$A$25:$A$36,0)),0)+IFERROR(INDEX(Setup!$H$25:$H$36,MATCH($B242,Setup!$A$25:$A$36,0)),0)*IF(ISNUMBER($H242),$H242,0),2)))</f>
        <v>—</v>
      </c>
      <c r="Q242" s="21" t="str">
        <f t="shared" si="17"/>
        <v>—</v>
      </c>
      <c r="R242" s="21" t="str">
        <f t="shared" si="18"/>
        <v>—</v>
      </c>
      <c r="S242" s="8"/>
      <c r="T242" s="19" t="str">
        <f ca="1">IF(OR(NOT(ISNUMBER($F242)),NOT(ISNUMBER($G242)),NOT(ISNUMBER(Dashboard!$P$2)),NOT(ISNUMBER(Dashboard!$P$3)),$D242="Cancelled",$D242="Owner block"),"—",IF(MAX(0,MIN($G242,Dashboard!$P$3+1)-MAX($F242,Dashboard!$P$2))=0,"—",MAX(0,MIN($G242,Dashboard!$P$3+1)-MAX($F242,Dashboard!$P$2))))</f>
        <v>—</v>
      </c>
      <c r="U242" s="19" t="str">
        <f ca="1">IF(OR(NOT(ISNUMBER($F242)),NOT(ISNUMBER($G242)),NOT(ISNUMBER(Dashboard!$P$2)),NOT(ISNUMBER(Dashboard!$P$3)),$D242&lt;&gt;"Owner block"),"—",IF(MAX(0,MIN($G242,Dashboard!$P$3+1)-MAX($F242,Dashboard!$P$2))=0,"—",MAX(0,MIN($G242,Dashboard!$P$3+1)-MAX($F242,Dashboard!$P$2))))</f>
        <v>—</v>
      </c>
      <c r="V242" s="7" t="str">
        <f>IF($B242="",IF(COUNTA($C242:$G242,$I242:$K242,$S242)=0,"","⚠ no property — not counted"),IF(COUNTIF(Setup!$A$25:$A$36,$B242)=0,"⚠ property not in Setup",IF(AND($F242&lt;&gt;"",NOT(ISNUMBER($F242))),"⚠ check-in is not a real date",IF(AND($G242&lt;&gt;"",NOT(ISNUMBER($G242))),"⚠ check-out is not a real date",IF(AND($J242&lt;&gt;"",NOT(ISNUMBER($J242))),"⚠ booking value is not a number","OK")))))</f>
        <v/>
      </c>
      <c r="W242" s="21" t="str">
        <f t="shared" si="19"/>
        <v>—</v>
      </c>
    </row>
    <row r="243" spans="1:23" x14ac:dyDescent="0.2">
      <c r="A243" s="30">
        <v>239</v>
      </c>
      <c r="B243" s="3"/>
      <c r="C243" s="3"/>
      <c r="D243" s="3"/>
      <c r="E243" s="3"/>
      <c r="F243" s="31"/>
      <c r="G243" s="31"/>
      <c r="H243" s="19" t="str">
        <f t="shared" si="15"/>
        <v>—</v>
      </c>
      <c r="I243" s="32"/>
      <c r="J243" s="6"/>
      <c r="K243" s="33"/>
      <c r="L243" s="21" t="str">
        <f>IF(OR($B243="",NOT(ISNUMBER($J243)),$D243="Cancelled",$D243="Owner block"),"—",ROUND($J243*IF(ISNUMBER($K243),IF($K243&gt;1,$K243/100,$K243),IF(IFERROR(INDEX(Setup!$D$25:$D$36,MATCH($B243,Setup!$A$25:$A$36,0)),0)&gt;1,IFERROR(INDEX(Setup!$D$25:$D$36,MATCH($B243,Setup!$A$25:$A$36,0)),0)/100,IFERROR(INDEX(Setup!$D$25:$D$36,MATCH($B243,Setup!$A$25:$A$36,0)),0))),2))</f>
        <v>—</v>
      </c>
      <c r="M243" s="21" t="str">
        <f t="shared" si="16"/>
        <v>—</v>
      </c>
      <c r="N243" s="21" t="str">
        <f>IF(OR($B243="",$G243="",$D243="Cancelled"),"—",IFERROR(IF(INDEX(Setup!$E$25:$E$36,MATCH($B243,Setup!$A$25:$A$36,0))=0,"—",INDEX(Setup!$E$25:$E$36,MATCH($B243,Setup!$A$25:$A$36,0))),"—"))</f>
        <v>—</v>
      </c>
      <c r="O243" s="21" t="str">
        <f>IF(OR($B243="",$G243="",$D243="Cancelled"),"—",IFERROR(IF(INDEX(Setup!$F$25:$F$36,MATCH($B243,Setup!$A$25:$A$36,0))=0,"—",INDEX(Setup!$F$25:$F$36,MATCH($B243,Setup!$A$25:$A$36,0))),"—"))</f>
        <v>—</v>
      </c>
      <c r="P243" s="21" t="str">
        <f>IF(OR($B243="",$G243="",$D243="Cancelled",$D243="Owner block"),"—",IF(IFERROR(INDEX(Setup!$G$25:$G$36,MATCH($B243,Setup!$A$25:$A$36,0)),0)+IFERROR(INDEX(Setup!$H$25:$H$36,MATCH($B243,Setup!$A$25:$A$36,0)),0)*IF(ISNUMBER($H243),$H243,0)=0,"—",ROUND(IFERROR(INDEX(Setup!$G$25:$G$36,MATCH($B243,Setup!$A$25:$A$36,0)),0)+IFERROR(INDEX(Setup!$H$25:$H$36,MATCH($B243,Setup!$A$25:$A$36,0)),0)*IF(ISNUMBER($H243),$H243,0),2)))</f>
        <v>—</v>
      </c>
      <c r="Q243" s="21" t="str">
        <f t="shared" si="17"/>
        <v>—</v>
      </c>
      <c r="R243" s="21" t="str">
        <f t="shared" si="18"/>
        <v>—</v>
      </c>
      <c r="S243" s="3"/>
      <c r="T243" s="19" t="str">
        <f ca="1">IF(OR(NOT(ISNUMBER($F243)),NOT(ISNUMBER($G243)),NOT(ISNUMBER(Dashboard!$P$2)),NOT(ISNUMBER(Dashboard!$P$3)),$D243="Cancelled",$D243="Owner block"),"—",IF(MAX(0,MIN($G243,Dashboard!$P$3+1)-MAX($F243,Dashboard!$P$2))=0,"—",MAX(0,MIN($G243,Dashboard!$P$3+1)-MAX($F243,Dashboard!$P$2))))</f>
        <v>—</v>
      </c>
      <c r="U243" s="19" t="str">
        <f ca="1">IF(OR(NOT(ISNUMBER($F243)),NOT(ISNUMBER($G243)),NOT(ISNUMBER(Dashboard!$P$2)),NOT(ISNUMBER(Dashboard!$P$3)),$D243&lt;&gt;"Owner block"),"—",IF(MAX(0,MIN($G243,Dashboard!$P$3+1)-MAX($F243,Dashboard!$P$2))=0,"—",MAX(0,MIN($G243,Dashboard!$P$3+1)-MAX($F243,Dashboard!$P$2))))</f>
        <v>—</v>
      </c>
      <c r="V243" s="7" t="str">
        <f>IF($B243="",IF(COUNTA($C243:$G243,$I243:$K243,$S243)=0,"","⚠ no property — not counted"),IF(COUNTIF(Setup!$A$25:$A$36,$B243)=0,"⚠ property not in Setup",IF(AND($F243&lt;&gt;"",NOT(ISNUMBER($F243))),"⚠ check-in is not a real date",IF(AND($G243&lt;&gt;"",NOT(ISNUMBER($G243))),"⚠ check-out is not a real date",IF(AND($J243&lt;&gt;"",NOT(ISNUMBER($J243))),"⚠ booking value is not a number","OK")))))</f>
        <v/>
      </c>
      <c r="W243" s="21" t="str">
        <f t="shared" si="19"/>
        <v>—</v>
      </c>
    </row>
    <row r="244" spans="1:23" x14ac:dyDescent="0.2">
      <c r="A244" s="30">
        <v>240</v>
      </c>
      <c r="B244" s="8"/>
      <c r="C244" s="8"/>
      <c r="D244" s="8"/>
      <c r="E244" s="8"/>
      <c r="F244" s="34"/>
      <c r="G244" s="34"/>
      <c r="H244" s="19" t="str">
        <f t="shared" si="15"/>
        <v>—</v>
      </c>
      <c r="I244" s="35"/>
      <c r="J244" s="11"/>
      <c r="K244" s="36"/>
      <c r="L244" s="21" t="str">
        <f>IF(OR($B244="",NOT(ISNUMBER($J244)),$D244="Cancelled",$D244="Owner block"),"—",ROUND($J244*IF(ISNUMBER($K244),IF($K244&gt;1,$K244/100,$K244),IF(IFERROR(INDEX(Setup!$D$25:$D$36,MATCH($B244,Setup!$A$25:$A$36,0)),0)&gt;1,IFERROR(INDEX(Setup!$D$25:$D$36,MATCH($B244,Setup!$A$25:$A$36,0)),0)/100,IFERROR(INDEX(Setup!$D$25:$D$36,MATCH($B244,Setup!$A$25:$A$36,0)),0))),2))</f>
        <v>—</v>
      </c>
      <c r="M244" s="21" t="str">
        <f t="shared" si="16"/>
        <v>—</v>
      </c>
      <c r="N244" s="21" t="str">
        <f>IF(OR($B244="",$G244="",$D244="Cancelled"),"—",IFERROR(IF(INDEX(Setup!$E$25:$E$36,MATCH($B244,Setup!$A$25:$A$36,0))=0,"—",INDEX(Setup!$E$25:$E$36,MATCH($B244,Setup!$A$25:$A$36,0))),"—"))</f>
        <v>—</v>
      </c>
      <c r="O244" s="21" t="str">
        <f>IF(OR($B244="",$G244="",$D244="Cancelled"),"—",IFERROR(IF(INDEX(Setup!$F$25:$F$36,MATCH($B244,Setup!$A$25:$A$36,0))=0,"—",INDEX(Setup!$F$25:$F$36,MATCH($B244,Setup!$A$25:$A$36,0))),"—"))</f>
        <v>—</v>
      </c>
      <c r="P244" s="21" t="str">
        <f>IF(OR($B244="",$G244="",$D244="Cancelled",$D244="Owner block"),"—",IF(IFERROR(INDEX(Setup!$G$25:$G$36,MATCH($B244,Setup!$A$25:$A$36,0)),0)+IFERROR(INDEX(Setup!$H$25:$H$36,MATCH($B244,Setup!$A$25:$A$36,0)),0)*IF(ISNUMBER($H244),$H244,0)=0,"—",ROUND(IFERROR(INDEX(Setup!$G$25:$G$36,MATCH($B244,Setup!$A$25:$A$36,0)),0)+IFERROR(INDEX(Setup!$H$25:$H$36,MATCH($B244,Setup!$A$25:$A$36,0)),0)*IF(ISNUMBER($H244),$H244,0),2)))</f>
        <v>—</v>
      </c>
      <c r="Q244" s="21" t="str">
        <f t="shared" si="17"/>
        <v>—</v>
      </c>
      <c r="R244" s="21" t="str">
        <f t="shared" si="18"/>
        <v>—</v>
      </c>
      <c r="S244" s="8"/>
      <c r="T244" s="19" t="str">
        <f ca="1">IF(OR(NOT(ISNUMBER($F244)),NOT(ISNUMBER($G244)),NOT(ISNUMBER(Dashboard!$P$2)),NOT(ISNUMBER(Dashboard!$P$3)),$D244="Cancelled",$D244="Owner block"),"—",IF(MAX(0,MIN($G244,Dashboard!$P$3+1)-MAX($F244,Dashboard!$P$2))=0,"—",MAX(0,MIN($G244,Dashboard!$P$3+1)-MAX($F244,Dashboard!$P$2))))</f>
        <v>—</v>
      </c>
      <c r="U244" s="19" t="str">
        <f ca="1">IF(OR(NOT(ISNUMBER($F244)),NOT(ISNUMBER($G244)),NOT(ISNUMBER(Dashboard!$P$2)),NOT(ISNUMBER(Dashboard!$P$3)),$D244&lt;&gt;"Owner block"),"—",IF(MAX(0,MIN($G244,Dashboard!$P$3+1)-MAX($F244,Dashboard!$P$2))=0,"—",MAX(0,MIN($G244,Dashboard!$P$3+1)-MAX($F244,Dashboard!$P$2))))</f>
        <v>—</v>
      </c>
      <c r="V244" s="7" t="str">
        <f>IF($B244="",IF(COUNTA($C244:$G244,$I244:$K244,$S244)=0,"","⚠ no property — not counted"),IF(COUNTIF(Setup!$A$25:$A$36,$B244)=0,"⚠ property not in Setup",IF(AND($F244&lt;&gt;"",NOT(ISNUMBER($F244))),"⚠ check-in is not a real date",IF(AND($G244&lt;&gt;"",NOT(ISNUMBER($G244))),"⚠ check-out is not a real date",IF(AND($J244&lt;&gt;"",NOT(ISNUMBER($J244))),"⚠ booking value is not a number","OK")))))</f>
        <v/>
      </c>
      <c r="W244" s="21" t="str">
        <f t="shared" si="19"/>
        <v>—</v>
      </c>
    </row>
    <row r="245" spans="1:23" x14ac:dyDescent="0.2">
      <c r="A245" s="30">
        <v>241</v>
      </c>
      <c r="B245" s="3"/>
      <c r="C245" s="3"/>
      <c r="D245" s="3"/>
      <c r="E245" s="3"/>
      <c r="F245" s="31"/>
      <c r="G245" s="31"/>
      <c r="H245" s="19" t="str">
        <f t="shared" si="15"/>
        <v>—</v>
      </c>
      <c r="I245" s="32"/>
      <c r="J245" s="6"/>
      <c r="K245" s="33"/>
      <c r="L245" s="21" t="str">
        <f>IF(OR($B245="",NOT(ISNUMBER($J245)),$D245="Cancelled",$D245="Owner block"),"—",ROUND($J245*IF(ISNUMBER($K245),IF($K245&gt;1,$K245/100,$K245),IF(IFERROR(INDEX(Setup!$D$25:$D$36,MATCH($B245,Setup!$A$25:$A$36,0)),0)&gt;1,IFERROR(INDEX(Setup!$D$25:$D$36,MATCH($B245,Setup!$A$25:$A$36,0)),0)/100,IFERROR(INDEX(Setup!$D$25:$D$36,MATCH($B245,Setup!$A$25:$A$36,0)),0))),2))</f>
        <v>—</v>
      </c>
      <c r="M245" s="21" t="str">
        <f t="shared" si="16"/>
        <v>—</v>
      </c>
      <c r="N245" s="21" t="str">
        <f>IF(OR($B245="",$G245="",$D245="Cancelled"),"—",IFERROR(IF(INDEX(Setup!$E$25:$E$36,MATCH($B245,Setup!$A$25:$A$36,0))=0,"—",INDEX(Setup!$E$25:$E$36,MATCH($B245,Setup!$A$25:$A$36,0))),"—"))</f>
        <v>—</v>
      </c>
      <c r="O245" s="21" t="str">
        <f>IF(OR($B245="",$G245="",$D245="Cancelled"),"—",IFERROR(IF(INDEX(Setup!$F$25:$F$36,MATCH($B245,Setup!$A$25:$A$36,0))=0,"—",INDEX(Setup!$F$25:$F$36,MATCH($B245,Setup!$A$25:$A$36,0))),"—"))</f>
        <v>—</v>
      </c>
      <c r="P245" s="21" t="str">
        <f>IF(OR($B245="",$G245="",$D245="Cancelled",$D245="Owner block"),"—",IF(IFERROR(INDEX(Setup!$G$25:$G$36,MATCH($B245,Setup!$A$25:$A$36,0)),0)+IFERROR(INDEX(Setup!$H$25:$H$36,MATCH($B245,Setup!$A$25:$A$36,0)),0)*IF(ISNUMBER($H245),$H245,0)=0,"—",ROUND(IFERROR(INDEX(Setup!$G$25:$G$36,MATCH($B245,Setup!$A$25:$A$36,0)),0)+IFERROR(INDEX(Setup!$H$25:$H$36,MATCH($B245,Setup!$A$25:$A$36,0)),0)*IF(ISNUMBER($H245),$H245,0),2)))</f>
        <v>—</v>
      </c>
      <c r="Q245" s="21" t="str">
        <f t="shared" si="17"/>
        <v>—</v>
      </c>
      <c r="R245" s="21" t="str">
        <f t="shared" si="18"/>
        <v>—</v>
      </c>
      <c r="S245" s="3"/>
      <c r="T245" s="19" t="str">
        <f ca="1">IF(OR(NOT(ISNUMBER($F245)),NOT(ISNUMBER($G245)),NOT(ISNUMBER(Dashboard!$P$2)),NOT(ISNUMBER(Dashboard!$P$3)),$D245="Cancelled",$D245="Owner block"),"—",IF(MAX(0,MIN($G245,Dashboard!$P$3+1)-MAX($F245,Dashboard!$P$2))=0,"—",MAX(0,MIN($G245,Dashboard!$P$3+1)-MAX($F245,Dashboard!$P$2))))</f>
        <v>—</v>
      </c>
      <c r="U245" s="19" t="str">
        <f ca="1">IF(OR(NOT(ISNUMBER($F245)),NOT(ISNUMBER($G245)),NOT(ISNUMBER(Dashboard!$P$2)),NOT(ISNUMBER(Dashboard!$P$3)),$D245&lt;&gt;"Owner block"),"—",IF(MAX(0,MIN($G245,Dashboard!$P$3+1)-MAX($F245,Dashboard!$P$2))=0,"—",MAX(0,MIN($G245,Dashboard!$P$3+1)-MAX($F245,Dashboard!$P$2))))</f>
        <v>—</v>
      </c>
      <c r="V245" s="7" t="str">
        <f>IF($B245="",IF(COUNTA($C245:$G245,$I245:$K245,$S245)=0,"","⚠ no property — not counted"),IF(COUNTIF(Setup!$A$25:$A$36,$B245)=0,"⚠ property not in Setup",IF(AND($F245&lt;&gt;"",NOT(ISNUMBER($F245))),"⚠ check-in is not a real date",IF(AND($G245&lt;&gt;"",NOT(ISNUMBER($G245))),"⚠ check-out is not a real date",IF(AND($J245&lt;&gt;"",NOT(ISNUMBER($J245))),"⚠ booking value is not a number","OK")))))</f>
        <v/>
      </c>
      <c r="W245" s="21" t="str">
        <f t="shared" si="19"/>
        <v>—</v>
      </c>
    </row>
    <row r="246" spans="1:23" x14ac:dyDescent="0.2">
      <c r="A246" s="30">
        <v>242</v>
      </c>
      <c r="B246" s="8"/>
      <c r="C246" s="8"/>
      <c r="D246" s="8"/>
      <c r="E246" s="8"/>
      <c r="F246" s="34"/>
      <c r="G246" s="34"/>
      <c r="H246" s="19" t="str">
        <f t="shared" si="15"/>
        <v>—</v>
      </c>
      <c r="I246" s="35"/>
      <c r="J246" s="11"/>
      <c r="K246" s="36"/>
      <c r="L246" s="21" t="str">
        <f>IF(OR($B246="",NOT(ISNUMBER($J246)),$D246="Cancelled",$D246="Owner block"),"—",ROUND($J246*IF(ISNUMBER($K246),IF($K246&gt;1,$K246/100,$K246),IF(IFERROR(INDEX(Setup!$D$25:$D$36,MATCH($B246,Setup!$A$25:$A$36,0)),0)&gt;1,IFERROR(INDEX(Setup!$D$25:$D$36,MATCH($B246,Setup!$A$25:$A$36,0)),0)/100,IFERROR(INDEX(Setup!$D$25:$D$36,MATCH($B246,Setup!$A$25:$A$36,0)),0))),2))</f>
        <v>—</v>
      </c>
      <c r="M246" s="21" t="str">
        <f t="shared" si="16"/>
        <v>—</v>
      </c>
      <c r="N246" s="21" t="str">
        <f>IF(OR($B246="",$G246="",$D246="Cancelled"),"—",IFERROR(IF(INDEX(Setup!$E$25:$E$36,MATCH($B246,Setup!$A$25:$A$36,0))=0,"—",INDEX(Setup!$E$25:$E$36,MATCH($B246,Setup!$A$25:$A$36,0))),"—"))</f>
        <v>—</v>
      </c>
      <c r="O246" s="21" t="str">
        <f>IF(OR($B246="",$G246="",$D246="Cancelled"),"—",IFERROR(IF(INDEX(Setup!$F$25:$F$36,MATCH($B246,Setup!$A$25:$A$36,0))=0,"—",INDEX(Setup!$F$25:$F$36,MATCH($B246,Setup!$A$25:$A$36,0))),"—"))</f>
        <v>—</v>
      </c>
      <c r="P246" s="21" t="str">
        <f>IF(OR($B246="",$G246="",$D246="Cancelled",$D246="Owner block"),"—",IF(IFERROR(INDEX(Setup!$G$25:$G$36,MATCH($B246,Setup!$A$25:$A$36,0)),0)+IFERROR(INDEX(Setup!$H$25:$H$36,MATCH($B246,Setup!$A$25:$A$36,0)),0)*IF(ISNUMBER($H246),$H246,0)=0,"—",ROUND(IFERROR(INDEX(Setup!$G$25:$G$36,MATCH($B246,Setup!$A$25:$A$36,0)),0)+IFERROR(INDEX(Setup!$H$25:$H$36,MATCH($B246,Setup!$A$25:$A$36,0)),0)*IF(ISNUMBER($H246),$H246,0),2)))</f>
        <v>—</v>
      </c>
      <c r="Q246" s="21" t="str">
        <f t="shared" si="17"/>
        <v>—</v>
      </c>
      <c r="R246" s="21" t="str">
        <f t="shared" si="18"/>
        <v>—</v>
      </c>
      <c r="S246" s="8"/>
      <c r="T246" s="19" t="str">
        <f ca="1">IF(OR(NOT(ISNUMBER($F246)),NOT(ISNUMBER($G246)),NOT(ISNUMBER(Dashboard!$P$2)),NOT(ISNUMBER(Dashboard!$P$3)),$D246="Cancelled",$D246="Owner block"),"—",IF(MAX(0,MIN($G246,Dashboard!$P$3+1)-MAX($F246,Dashboard!$P$2))=0,"—",MAX(0,MIN($G246,Dashboard!$P$3+1)-MAX($F246,Dashboard!$P$2))))</f>
        <v>—</v>
      </c>
      <c r="U246" s="19" t="str">
        <f ca="1">IF(OR(NOT(ISNUMBER($F246)),NOT(ISNUMBER($G246)),NOT(ISNUMBER(Dashboard!$P$2)),NOT(ISNUMBER(Dashboard!$P$3)),$D246&lt;&gt;"Owner block"),"—",IF(MAX(0,MIN($G246,Dashboard!$P$3+1)-MAX($F246,Dashboard!$P$2))=0,"—",MAX(0,MIN($G246,Dashboard!$P$3+1)-MAX($F246,Dashboard!$P$2))))</f>
        <v>—</v>
      </c>
      <c r="V246" s="7" t="str">
        <f>IF($B246="",IF(COUNTA($C246:$G246,$I246:$K246,$S246)=0,"","⚠ no property — not counted"),IF(COUNTIF(Setup!$A$25:$A$36,$B246)=0,"⚠ property not in Setup",IF(AND($F246&lt;&gt;"",NOT(ISNUMBER($F246))),"⚠ check-in is not a real date",IF(AND($G246&lt;&gt;"",NOT(ISNUMBER($G246))),"⚠ check-out is not a real date",IF(AND($J246&lt;&gt;"",NOT(ISNUMBER($J246))),"⚠ booking value is not a number","OK")))))</f>
        <v/>
      </c>
      <c r="W246" s="21" t="str">
        <f t="shared" si="19"/>
        <v>—</v>
      </c>
    </row>
    <row r="247" spans="1:23" x14ac:dyDescent="0.2">
      <c r="A247" s="30">
        <v>243</v>
      </c>
      <c r="B247" s="3"/>
      <c r="C247" s="3"/>
      <c r="D247" s="3"/>
      <c r="E247" s="3"/>
      <c r="F247" s="31"/>
      <c r="G247" s="31"/>
      <c r="H247" s="19" t="str">
        <f t="shared" si="15"/>
        <v>—</v>
      </c>
      <c r="I247" s="32"/>
      <c r="J247" s="6"/>
      <c r="K247" s="33"/>
      <c r="L247" s="21" t="str">
        <f>IF(OR($B247="",NOT(ISNUMBER($J247)),$D247="Cancelled",$D247="Owner block"),"—",ROUND($J247*IF(ISNUMBER($K247),IF($K247&gt;1,$K247/100,$K247),IF(IFERROR(INDEX(Setup!$D$25:$D$36,MATCH($B247,Setup!$A$25:$A$36,0)),0)&gt;1,IFERROR(INDEX(Setup!$D$25:$D$36,MATCH($B247,Setup!$A$25:$A$36,0)),0)/100,IFERROR(INDEX(Setup!$D$25:$D$36,MATCH($B247,Setup!$A$25:$A$36,0)),0))),2))</f>
        <v>—</v>
      </c>
      <c r="M247" s="21" t="str">
        <f t="shared" si="16"/>
        <v>—</v>
      </c>
      <c r="N247" s="21" t="str">
        <f>IF(OR($B247="",$G247="",$D247="Cancelled"),"—",IFERROR(IF(INDEX(Setup!$E$25:$E$36,MATCH($B247,Setup!$A$25:$A$36,0))=0,"—",INDEX(Setup!$E$25:$E$36,MATCH($B247,Setup!$A$25:$A$36,0))),"—"))</f>
        <v>—</v>
      </c>
      <c r="O247" s="21" t="str">
        <f>IF(OR($B247="",$G247="",$D247="Cancelled"),"—",IFERROR(IF(INDEX(Setup!$F$25:$F$36,MATCH($B247,Setup!$A$25:$A$36,0))=0,"—",INDEX(Setup!$F$25:$F$36,MATCH($B247,Setup!$A$25:$A$36,0))),"—"))</f>
        <v>—</v>
      </c>
      <c r="P247" s="21" t="str">
        <f>IF(OR($B247="",$G247="",$D247="Cancelled",$D247="Owner block"),"—",IF(IFERROR(INDEX(Setup!$G$25:$G$36,MATCH($B247,Setup!$A$25:$A$36,0)),0)+IFERROR(INDEX(Setup!$H$25:$H$36,MATCH($B247,Setup!$A$25:$A$36,0)),0)*IF(ISNUMBER($H247),$H247,0)=0,"—",ROUND(IFERROR(INDEX(Setup!$G$25:$G$36,MATCH($B247,Setup!$A$25:$A$36,0)),0)+IFERROR(INDEX(Setup!$H$25:$H$36,MATCH($B247,Setup!$A$25:$A$36,0)),0)*IF(ISNUMBER($H247),$H247,0),2)))</f>
        <v>—</v>
      </c>
      <c r="Q247" s="21" t="str">
        <f t="shared" si="17"/>
        <v>—</v>
      </c>
      <c r="R247" s="21" t="str">
        <f t="shared" si="18"/>
        <v>—</v>
      </c>
      <c r="S247" s="3"/>
      <c r="T247" s="19" t="str">
        <f ca="1">IF(OR(NOT(ISNUMBER($F247)),NOT(ISNUMBER($G247)),NOT(ISNUMBER(Dashboard!$P$2)),NOT(ISNUMBER(Dashboard!$P$3)),$D247="Cancelled",$D247="Owner block"),"—",IF(MAX(0,MIN($G247,Dashboard!$P$3+1)-MAX($F247,Dashboard!$P$2))=0,"—",MAX(0,MIN($G247,Dashboard!$P$3+1)-MAX($F247,Dashboard!$P$2))))</f>
        <v>—</v>
      </c>
      <c r="U247" s="19" t="str">
        <f ca="1">IF(OR(NOT(ISNUMBER($F247)),NOT(ISNUMBER($G247)),NOT(ISNUMBER(Dashboard!$P$2)),NOT(ISNUMBER(Dashboard!$P$3)),$D247&lt;&gt;"Owner block"),"—",IF(MAX(0,MIN($G247,Dashboard!$P$3+1)-MAX($F247,Dashboard!$P$2))=0,"—",MAX(0,MIN($G247,Dashboard!$P$3+1)-MAX($F247,Dashboard!$P$2))))</f>
        <v>—</v>
      </c>
      <c r="V247" s="7" t="str">
        <f>IF($B247="",IF(COUNTA($C247:$G247,$I247:$K247,$S247)=0,"","⚠ no property — not counted"),IF(COUNTIF(Setup!$A$25:$A$36,$B247)=0,"⚠ property not in Setup",IF(AND($F247&lt;&gt;"",NOT(ISNUMBER($F247))),"⚠ check-in is not a real date",IF(AND($G247&lt;&gt;"",NOT(ISNUMBER($G247))),"⚠ check-out is not a real date",IF(AND($J247&lt;&gt;"",NOT(ISNUMBER($J247))),"⚠ booking value is not a number","OK")))))</f>
        <v/>
      </c>
      <c r="W247" s="21" t="str">
        <f t="shared" si="19"/>
        <v>—</v>
      </c>
    </row>
    <row r="248" spans="1:23" x14ac:dyDescent="0.2">
      <c r="A248" s="30">
        <v>244</v>
      </c>
      <c r="B248" s="8"/>
      <c r="C248" s="8"/>
      <c r="D248" s="8"/>
      <c r="E248" s="8"/>
      <c r="F248" s="34"/>
      <c r="G248" s="34"/>
      <c r="H248" s="19" t="str">
        <f t="shared" si="15"/>
        <v>—</v>
      </c>
      <c r="I248" s="35"/>
      <c r="J248" s="11"/>
      <c r="K248" s="36"/>
      <c r="L248" s="21" t="str">
        <f>IF(OR($B248="",NOT(ISNUMBER($J248)),$D248="Cancelled",$D248="Owner block"),"—",ROUND($J248*IF(ISNUMBER($K248),IF($K248&gt;1,$K248/100,$K248),IF(IFERROR(INDEX(Setup!$D$25:$D$36,MATCH($B248,Setup!$A$25:$A$36,0)),0)&gt;1,IFERROR(INDEX(Setup!$D$25:$D$36,MATCH($B248,Setup!$A$25:$A$36,0)),0)/100,IFERROR(INDEX(Setup!$D$25:$D$36,MATCH($B248,Setup!$A$25:$A$36,0)),0))),2))</f>
        <v>—</v>
      </c>
      <c r="M248" s="21" t="str">
        <f t="shared" si="16"/>
        <v>—</v>
      </c>
      <c r="N248" s="21" t="str">
        <f>IF(OR($B248="",$G248="",$D248="Cancelled"),"—",IFERROR(IF(INDEX(Setup!$E$25:$E$36,MATCH($B248,Setup!$A$25:$A$36,0))=0,"—",INDEX(Setup!$E$25:$E$36,MATCH($B248,Setup!$A$25:$A$36,0))),"—"))</f>
        <v>—</v>
      </c>
      <c r="O248" s="21" t="str">
        <f>IF(OR($B248="",$G248="",$D248="Cancelled"),"—",IFERROR(IF(INDEX(Setup!$F$25:$F$36,MATCH($B248,Setup!$A$25:$A$36,0))=0,"—",INDEX(Setup!$F$25:$F$36,MATCH($B248,Setup!$A$25:$A$36,0))),"—"))</f>
        <v>—</v>
      </c>
      <c r="P248" s="21" t="str">
        <f>IF(OR($B248="",$G248="",$D248="Cancelled",$D248="Owner block"),"—",IF(IFERROR(INDEX(Setup!$G$25:$G$36,MATCH($B248,Setup!$A$25:$A$36,0)),0)+IFERROR(INDEX(Setup!$H$25:$H$36,MATCH($B248,Setup!$A$25:$A$36,0)),0)*IF(ISNUMBER($H248),$H248,0)=0,"—",ROUND(IFERROR(INDEX(Setup!$G$25:$G$36,MATCH($B248,Setup!$A$25:$A$36,0)),0)+IFERROR(INDEX(Setup!$H$25:$H$36,MATCH($B248,Setup!$A$25:$A$36,0)),0)*IF(ISNUMBER($H248),$H248,0),2)))</f>
        <v>—</v>
      </c>
      <c r="Q248" s="21" t="str">
        <f t="shared" si="17"/>
        <v>—</v>
      </c>
      <c r="R248" s="21" t="str">
        <f t="shared" si="18"/>
        <v>—</v>
      </c>
      <c r="S248" s="8"/>
      <c r="T248" s="19" t="str">
        <f ca="1">IF(OR(NOT(ISNUMBER($F248)),NOT(ISNUMBER($G248)),NOT(ISNUMBER(Dashboard!$P$2)),NOT(ISNUMBER(Dashboard!$P$3)),$D248="Cancelled",$D248="Owner block"),"—",IF(MAX(0,MIN($G248,Dashboard!$P$3+1)-MAX($F248,Dashboard!$P$2))=0,"—",MAX(0,MIN($G248,Dashboard!$P$3+1)-MAX($F248,Dashboard!$P$2))))</f>
        <v>—</v>
      </c>
      <c r="U248" s="19" t="str">
        <f ca="1">IF(OR(NOT(ISNUMBER($F248)),NOT(ISNUMBER($G248)),NOT(ISNUMBER(Dashboard!$P$2)),NOT(ISNUMBER(Dashboard!$P$3)),$D248&lt;&gt;"Owner block"),"—",IF(MAX(0,MIN($G248,Dashboard!$P$3+1)-MAX($F248,Dashboard!$P$2))=0,"—",MAX(0,MIN($G248,Dashboard!$P$3+1)-MAX($F248,Dashboard!$P$2))))</f>
        <v>—</v>
      </c>
      <c r="V248" s="7" t="str">
        <f>IF($B248="",IF(COUNTA($C248:$G248,$I248:$K248,$S248)=0,"","⚠ no property — not counted"),IF(COUNTIF(Setup!$A$25:$A$36,$B248)=0,"⚠ property not in Setup",IF(AND($F248&lt;&gt;"",NOT(ISNUMBER($F248))),"⚠ check-in is not a real date",IF(AND($G248&lt;&gt;"",NOT(ISNUMBER($G248))),"⚠ check-out is not a real date",IF(AND($J248&lt;&gt;"",NOT(ISNUMBER($J248))),"⚠ booking value is not a number","OK")))))</f>
        <v/>
      </c>
      <c r="W248" s="21" t="str">
        <f t="shared" si="19"/>
        <v>—</v>
      </c>
    </row>
    <row r="249" spans="1:23" x14ac:dyDescent="0.2">
      <c r="A249" s="30">
        <v>245</v>
      </c>
      <c r="B249" s="3"/>
      <c r="C249" s="3"/>
      <c r="D249" s="3"/>
      <c r="E249" s="3"/>
      <c r="F249" s="31"/>
      <c r="G249" s="31"/>
      <c r="H249" s="19" t="str">
        <f t="shared" si="15"/>
        <v>—</v>
      </c>
      <c r="I249" s="32"/>
      <c r="J249" s="6"/>
      <c r="K249" s="33"/>
      <c r="L249" s="21" t="str">
        <f>IF(OR($B249="",NOT(ISNUMBER($J249)),$D249="Cancelled",$D249="Owner block"),"—",ROUND($J249*IF(ISNUMBER($K249),IF($K249&gt;1,$K249/100,$K249),IF(IFERROR(INDEX(Setup!$D$25:$D$36,MATCH($B249,Setup!$A$25:$A$36,0)),0)&gt;1,IFERROR(INDEX(Setup!$D$25:$D$36,MATCH($B249,Setup!$A$25:$A$36,0)),0)/100,IFERROR(INDEX(Setup!$D$25:$D$36,MATCH($B249,Setup!$A$25:$A$36,0)),0))),2))</f>
        <v>—</v>
      </c>
      <c r="M249" s="21" t="str">
        <f t="shared" si="16"/>
        <v>—</v>
      </c>
      <c r="N249" s="21" t="str">
        <f>IF(OR($B249="",$G249="",$D249="Cancelled"),"—",IFERROR(IF(INDEX(Setup!$E$25:$E$36,MATCH($B249,Setup!$A$25:$A$36,0))=0,"—",INDEX(Setup!$E$25:$E$36,MATCH($B249,Setup!$A$25:$A$36,0))),"—"))</f>
        <v>—</v>
      </c>
      <c r="O249" s="21" t="str">
        <f>IF(OR($B249="",$G249="",$D249="Cancelled"),"—",IFERROR(IF(INDEX(Setup!$F$25:$F$36,MATCH($B249,Setup!$A$25:$A$36,0))=0,"—",INDEX(Setup!$F$25:$F$36,MATCH($B249,Setup!$A$25:$A$36,0))),"—"))</f>
        <v>—</v>
      </c>
      <c r="P249" s="21" t="str">
        <f>IF(OR($B249="",$G249="",$D249="Cancelled",$D249="Owner block"),"—",IF(IFERROR(INDEX(Setup!$G$25:$G$36,MATCH($B249,Setup!$A$25:$A$36,0)),0)+IFERROR(INDEX(Setup!$H$25:$H$36,MATCH($B249,Setup!$A$25:$A$36,0)),0)*IF(ISNUMBER($H249),$H249,0)=0,"—",ROUND(IFERROR(INDEX(Setup!$G$25:$G$36,MATCH($B249,Setup!$A$25:$A$36,0)),0)+IFERROR(INDEX(Setup!$H$25:$H$36,MATCH($B249,Setup!$A$25:$A$36,0)),0)*IF(ISNUMBER($H249),$H249,0),2)))</f>
        <v>—</v>
      </c>
      <c r="Q249" s="21" t="str">
        <f t="shared" si="17"/>
        <v>—</v>
      </c>
      <c r="R249" s="21" t="str">
        <f t="shared" si="18"/>
        <v>—</v>
      </c>
      <c r="S249" s="3"/>
      <c r="T249" s="19" t="str">
        <f ca="1">IF(OR(NOT(ISNUMBER($F249)),NOT(ISNUMBER($G249)),NOT(ISNUMBER(Dashboard!$P$2)),NOT(ISNUMBER(Dashboard!$P$3)),$D249="Cancelled",$D249="Owner block"),"—",IF(MAX(0,MIN($G249,Dashboard!$P$3+1)-MAX($F249,Dashboard!$P$2))=0,"—",MAX(0,MIN($G249,Dashboard!$P$3+1)-MAX($F249,Dashboard!$P$2))))</f>
        <v>—</v>
      </c>
      <c r="U249" s="19" t="str">
        <f ca="1">IF(OR(NOT(ISNUMBER($F249)),NOT(ISNUMBER($G249)),NOT(ISNUMBER(Dashboard!$P$2)),NOT(ISNUMBER(Dashboard!$P$3)),$D249&lt;&gt;"Owner block"),"—",IF(MAX(0,MIN($G249,Dashboard!$P$3+1)-MAX($F249,Dashboard!$P$2))=0,"—",MAX(0,MIN($G249,Dashboard!$P$3+1)-MAX($F249,Dashboard!$P$2))))</f>
        <v>—</v>
      </c>
      <c r="V249" s="7" t="str">
        <f>IF($B249="",IF(COUNTA($C249:$G249,$I249:$K249,$S249)=0,"","⚠ no property — not counted"),IF(COUNTIF(Setup!$A$25:$A$36,$B249)=0,"⚠ property not in Setup",IF(AND($F249&lt;&gt;"",NOT(ISNUMBER($F249))),"⚠ check-in is not a real date",IF(AND($G249&lt;&gt;"",NOT(ISNUMBER($G249))),"⚠ check-out is not a real date",IF(AND($J249&lt;&gt;"",NOT(ISNUMBER($J249))),"⚠ booking value is not a number","OK")))))</f>
        <v/>
      </c>
      <c r="W249" s="21" t="str">
        <f t="shared" si="19"/>
        <v>—</v>
      </c>
    </row>
    <row r="250" spans="1:23" x14ac:dyDescent="0.2">
      <c r="A250" s="30">
        <v>246</v>
      </c>
      <c r="B250" s="8"/>
      <c r="C250" s="8"/>
      <c r="D250" s="8"/>
      <c r="E250" s="8"/>
      <c r="F250" s="34"/>
      <c r="G250" s="34"/>
      <c r="H250" s="19" t="str">
        <f t="shared" si="15"/>
        <v>—</v>
      </c>
      <c r="I250" s="35"/>
      <c r="J250" s="11"/>
      <c r="K250" s="36"/>
      <c r="L250" s="21" t="str">
        <f>IF(OR($B250="",NOT(ISNUMBER($J250)),$D250="Cancelled",$D250="Owner block"),"—",ROUND($J250*IF(ISNUMBER($K250),IF($K250&gt;1,$K250/100,$K250),IF(IFERROR(INDEX(Setup!$D$25:$D$36,MATCH($B250,Setup!$A$25:$A$36,0)),0)&gt;1,IFERROR(INDEX(Setup!$D$25:$D$36,MATCH($B250,Setup!$A$25:$A$36,0)),0)/100,IFERROR(INDEX(Setup!$D$25:$D$36,MATCH($B250,Setup!$A$25:$A$36,0)),0))),2))</f>
        <v>—</v>
      </c>
      <c r="M250" s="21" t="str">
        <f t="shared" si="16"/>
        <v>—</v>
      </c>
      <c r="N250" s="21" t="str">
        <f>IF(OR($B250="",$G250="",$D250="Cancelled"),"—",IFERROR(IF(INDEX(Setup!$E$25:$E$36,MATCH($B250,Setup!$A$25:$A$36,0))=0,"—",INDEX(Setup!$E$25:$E$36,MATCH($B250,Setup!$A$25:$A$36,0))),"—"))</f>
        <v>—</v>
      </c>
      <c r="O250" s="21" t="str">
        <f>IF(OR($B250="",$G250="",$D250="Cancelled"),"—",IFERROR(IF(INDEX(Setup!$F$25:$F$36,MATCH($B250,Setup!$A$25:$A$36,0))=0,"—",INDEX(Setup!$F$25:$F$36,MATCH($B250,Setup!$A$25:$A$36,0))),"—"))</f>
        <v>—</v>
      </c>
      <c r="P250" s="21" t="str">
        <f>IF(OR($B250="",$G250="",$D250="Cancelled",$D250="Owner block"),"—",IF(IFERROR(INDEX(Setup!$G$25:$G$36,MATCH($B250,Setup!$A$25:$A$36,0)),0)+IFERROR(INDEX(Setup!$H$25:$H$36,MATCH($B250,Setup!$A$25:$A$36,0)),0)*IF(ISNUMBER($H250),$H250,0)=0,"—",ROUND(IFERROR(INDEX(Setup!$G$25:$G$36,MATCH($B250,Setup!$A$25:$A$36,0)),0)+IFERROR(INDEX(Setup!$H$25:$H$36,MATCH($B250,Setup!$A$25:$A$36,0)),0)*IF(ISNUMBER($H250),$H250,0),2)))</f>
        <v>—</v>
      </c>
      <c r="Q250" s="21" t="str">
        <f t="shared" si="17"/>
        <v>—</v>
      </c>
      <c r="R250" s="21" t="str">
        <f t="shared" si="18"/>
        <v>—</v>
      </c>
      <c r="S250" s="8"/>
      <c r="T250" s="19" t="str">
        <f ca="1">IF(OR(NOT(ISNUMBER($F250)),NOT(ISNUMBER($G250)),NOT(ISNUMBER(Dashboard!$P$2)),NOT(ISNUMBER(Dashboard!$P$3)),$D250="Cancelled",$D250="Owner block"),"—",IF(MAX(0,MIN($G250,Dashboard!$P$3+1)-MAX($F250,Dashboard!$P$2))=0,"—",MAX(0,MIN($G250,Dashboard!$P$3+1)-MAX($F250,Dashboard!$P$2))))</f>
        <v>—</v>
      </c>
      <c r="U250" s="19" t="str">
        <f ca="1">IF(OR(NOT(ISNUMBER($F250)),NOT(ISNUMBER($G250)),NOT(ISNUMBER(Dashboard!$P$2)),NOT(ISNUMBER(Dashboard!$P$3)),$D250&lt;&gt;"Owner block"),"—",IF(MAX(0,MIN($G250,Dashboard!$P$3+1)-MAX($F250,Dashboard!$P$2))=0,"—",MAX(0,MIN($G250,Dashboard!$P$3+1)-MAX($F250,Dashboard!$P$2))))</f>
        <v>—</v>
      </c>
      <c r="V250" s="7" t="str">
        <f>IF($B250="",IF(COUNTA($C250:$G250,$I250:$K250,$S250)=0,"","⚠ no property — not counted"),IF(COUNTIF(Setup!$A$25:$A$36,$B250)=0,"⚠ property not in Setup",IF(AND($F250&lt;&gt;"",NOT(ISNUMBER($F250))),"⚠ check-in is not a real date",IF(AND($G250&lt;&gt;"",NOT(ISNUMBER($G250))),"⚠ check-out is not a real date",IF(AND($J250&lt;&gt;"",NOT(ISNUMBER($J250))),"⚠ booking value is not a number","OK")))))</f>
        <v/>
      </c>
      <c r="W250" s="21" t="str">
        <f t="shared" si="19"/>
        <v>—</v>
      </c>
    </row>
    <row r="251" spans="1:23" x14ac:dyDescent="0.2">
      <c r="A251" s="30">
        <v>247</v>
      </c>
      <c r="B251" s="3"/>
      <c r="C251" s="3"/>
      <c r="D251" s="3"/>
      <c r="E251" s="3"/>
      <c r="F251" s="31"/>
      <c r="G251" s="31"/>
      <c r="H251" s="19" t="str">
        <f t="shared" si="15"/>
        <v>—</v>
      </c>
      <c r="I251" s="32"/>
      <c r="J251" s="6"/>
      <c r="K251" s="33"/>
      <c r="L251" s="21" t="str">
        <f>IF(OR($B251="",NOT(ISNUMBER($J251)),$D251="Cancelled",$D251="Owner block"),"—",ROUND($J251*IF(ISNUMBER($K251),IF($K251&gt;1,$K251/100,$K251),IF(IFERROR(INDEX(Setup!$D$25:$D$36,MATCH($B251,Setup!$A$25:$A$36,0)),0)&gt;1,IFERROR(INDEX(Setup!$D$25:$D$36,MATCH($B251,Setup!$A$25:$A$36,0)),0)/100,IFERROR(INDEX(Setup!$D$25:$D$36,MATCH($B251,Setup!$A$25:$A$36,0)),0))),2))</f>
        <v>—</v>
      </c>
      <c r="M251" s="21" t="str">
        <f t="shared" si="16"/>
        <v>—</v>
      </c>
      <c r="N251" s="21" t="str">
        <f>IF(OR($B251="",$G251="",$D251="Cancelled"),"—",IFERROR(IF(INDEX(Setup!$E$25:$E$36,MATCH($B251,Setup!$A$25:$A$36,0))=0,"—",INDEX(Setup!$E$25:$E$36,MATCH($B251,Setup!$A$25:$A$36,0))),"—"))</f>
        <v>—</v>
      </c>
      <c r="O251" s="21" t="str">
        <f>IF(OR($B251="",$G251="",$D251="Cancelled"),"—",IFERROR(IF(INDEX(Setup!$F$25:$F$36,MATCH($B251,Setup!$A$25:$A$36,0))=0,"—",INDEX(Setup!$F$25:$F$36,MATCH($B251,Setup!$A$25:$A$36,0))),"—"))</f>
        <v>—</v>
      </c>
      <c r="P251" s="21" t="str">
        <f>IF(OR($B251="",$G251="",$D251="Cancelled",$D251="Owner block"),"—",IF(IFERROR(INDEX(Setup!$G$25:$G$36,MATCH($B251,Setup!$A$25:$A$36,0)),0)+IFERROR(INDEX(Setup!$H$25:$H$36,MATCH($B251,Setup!$A$25:$A$36,0)),0)*IF(ISNUMBER($H251),$H251,0)=0,"—",ROUND(IFERROR(INDEX(Setup!$G$25:$G$36,MATCH($B251,Setup!$A$25:$A$36,0)),0)+IFERROR(INDEX(Setup!$H$25:$H$36,MATCH($B251,Setup!$A$25:$A$36,0)),0)*IF(ISNUMBER($H251),$H251,0),2)))</f>
        <v>—</v>
      </c>
      <c r="Q251" s="21" t="str">
        <f t="shared" si="17"/>
        <v>—</v>
      </c>
      <c r="R251" s="21" t="str">
        <f t="shared" si="18"/>
        <v>—</v>
      </c>
      <c r="S251" s="3"/>
      <c r="T251" s="19" t="str">
        <f ca="1">IF(OR(NOT(ISNUMBER($F251)),NOT(ISNUMBER($G251)),NOT(ISNUMBER(Dashboard!$P$2)),NOT(ISNUMBER(Dashboard!$P$3)),$D251="Cancelled",$D251="Owner block"),"—",IF(MAX(0,MIN($G251,Dashboard!$P$3+1)-MAX($F251,Dashboard!$P$2))=0,"—",MAX(0,MIN($G251,Dashboard!$P$3+1)-MAX($F251,Dashboard!$P$2))))</f>
        <v>—</v>
      </c>
      <c r="U251" s="19" t="str">
        <f ca="1">IF(OR(NOT(ISNUMBER($F251)),NOT(ISNUMBER($G251)),NOT(ISNUMBER(Dashboard!$P$2)),NOT(ISNUMBER(Dashboard!$P$3)),$D251&lt;&gt;"Owner block"),"—",IF(MAX(0,MIN($G251,Dashboard!$P$3+1)-MAX($F251,Dashboard!$P$2))=0,"—",MAX(0,MIN($G251,Dashboard!$P$3+1)-MAX($F251,Dashboard!$P$2))))</f>
        <v>—</v>
      </c>
      <c r="V251" s="7" t="str">
        <f>IF($B251="",IF(COUNTA($C251:$G251,$I251:$K251,$S251)=0,"","⚠ no property — not counted"),IF(COUNTIF(Setup!$A$25:$A$36,$B251)=0,"⚠ property not in Setup",IF(AND($F251&lt;&gt;"",NOT(ISNUMBER($F251))),"⚠ check-in is not a real date",IF(AND($G251&lt;&gt;"",NOT(ISNUMBER($G251))),"⚠ check-out is not a real date",IF(AND($J251&lt;&gt;"",NOT(ISNUMBER($J251))),"⚠ booking value is not a number","OK")))))</f>
        <v/>
      </c>
      <c r="W251" s="21" t="str">
        <f t="shared" si="19"/>
        <v>—</v>
      </c>
    </row>
    <row r="252" spans="1:23" x14ac:dyDescent="0.2">
      <c r="A252" s="30">
        <v>248</v>
      </c>
      <c r="B252" s="8"/>
      <c r="C252" s="8"/>
      <c r="D252" s="8"/>
      <c r="E252" s="8"/>
      <c r="F252" s="34"/>
      <c r="G252" s="34"/>
      <c r="H252" s="19" t="str">
        <f t="shared" si="15"/>
        <v>—</v>
      </c>
      <c r="I252" s="35"/>
      <c r="J252" s="11"/>
      <c r="K252" s="36"/>
      <c r="L252" s="21" t="str">
        <f>IF(OR($B252="",NOT(ISNUMBER($J252)),$D252="Cancelled",$D252="Owner block"),"—",ROUND($J252*IF(ISNUMBER($K252),IF($K252&gt;1,$K252/100,$K252),IF(IFERROR(INDEX(Setup!$D$25:$D$36,MATCH($B252,Setup!$A$25:$A$36,0)),0)&gt;1,IFERROR(INDEX(Setup!$D$25:$D$36,MATCH($B252,Setup!$A$25:$A$36,0)),0)/100,IFERROR(INDEX(Setup!$D$25:$D$36,MATCH($B252,Setup!$A$25:$A$36,0)),0))),2))</f>
        <v>—</v>
      </c>
      <c r="M252" s="21" t="str">
        <f t="shared" si="16"/>
        <v>—</v>
      </c>
      <c r="N252" s="21" t="str">
        <f>IF(OR($B252="",$G252="",$D252="Cancelled"),"—",IFERROR(IF(INDEX(Setup!$E$25:$E$36,MATCH($B252,Setup!$A$25:$A$36,0))=0,"—",INDEX(Setup!$E$25:$E$36,MATCH($B252,Setup!$A$25:$A$36,0))),"—"))</f>
        <v>—</v>
      </c>
      <c r="O252" s="21" t="str">
        <f>IF(OR($B252="",$G252="",$D252="Cancelled"),"—",IFERROR(IF(INDEX(Setup!$F$25:$F$36,MATCH($B252,Setup!$A$25:$A$36,0))=0,"—",INDEX(Setup!$F$25:$F$36,MATCH($B252,Setup!$A$25:$A$36,0))),"—"))</f>
        <v>—</v>
      </c>
      <c r="P252" s="21" t="str">
        <f>IF(OR($B252="",$G252="",$D252="Cancelled",$D252="Owner block"),"—",IF(IFERROR(INDEX(Setup!$G$25:$G$36,MATCH($B252,Setup!$A$25:$A$36,0)),0)+IFERROR(INDEX(Setup!$H$25:$H$36,MATCH($B252,Setup!$A$25:$A$36,0)),0)*IF(ISNUMBER($H252),$H252,0)=0,"—",ROUND(IFERROR(INDEX(Setup!$G$25:$G$36,MATCH($B252,Setup!$A$25:$A$36,0)),0)+IFERROR(INDEX(Setup!$H$25:$H$36,MATCH($B252,Setup!$A$25:$A$36,0)),0)*IF(ISNUMBER($H252),$H252,0),2)))</f>
        <v>—</v>
      </c>
      <c r="Q252" s="21" t="str">
        <f t="shared" si="17"/>
        <v>—</v>
      </c>
      <c r="R252" s="21" t="str">
        <f t="shared" si="18"/>
        <v>—</v>
      </c>
      <c r="S252" s="8"/>
      <c r="T252" s="19" t="str">
        <f ca="1">IF(OR(NOT(ISNUMBER($F252)),NOT(ISNUMBER($G252)),NOT(ISNUMBER(Dashboard!$P$2)),NOT(ISNUMBER(Dashboard!$P$3)),$D252="Cancelled",$D252="Owner block"),"—",IF(MAX(0,MIN($G252,Dashboard!$P$3+1)-MAX($F252,Dashboard!$P$2))=0,"—",MAX(0,MIN($G252,Dashboard!$P$3+1)-MAX($F252,Dashboard!$P$2))))</f>
        <v>—</v>
      </c>
      <c r="U252" s="19" t="str">
        <f ca="1">IF(OR(NOT(ISNUMBER($F252)),NOT(ISNUMBER($G252)),NOT(ISNUMBER(Dashboard!$P$2)),NOT(ISNUMBER(Dashboard!$P$3)),$D252&lt;&gt;"Owner block"),"—",IF(MAX(0,MIN($G252,Dashboard!$P$3+1)-MAX($F252,Dashboard!$P$2))=0,"—",MAX(0,MIN($G252,Dashboard!$P$3+1)-MAX($F252,Dashboard!$P$2))))</f>
        <v>—</v>
      </c>
      <c r="V252" s="7" t="str">
        <f>IF($B252="",IF(COUNTA($C252:$G252,$I252:$K252,$S252)=0,"","⚠ no property — not counted"),IF(COUNTIF(Setup!$A$25:$A$36,$B252)=0,"⚠ property not in Setup",IF(AND($F252&lt;&gt;"",NOT(ISNUMBER($F252))),"⚠ check-in is not a real date",IF(AND($G252&lt;&gt;"",NOT(ISNUMBER($G252))),"⚠ check-out is not a real date",IF(AND($J252&lt;&gt;"",NOT(ISNUMBER($J252))),"⚠ booking value is not a number","OK")))))</f>
        <v/>
      </c>
      <c r="W252" s="21" t="str">
        <f t="shared" si="19"/>
        <v>—</v>
      </c>
    </row>
    <row r="253" spans="1:23" x14ac:dyDescent="0.2">
      <c r="A253" s="30">
        <v>249</v>
      </c>
      <c r="B253" s="3"/>
      <c r="C253" s="3"/>
      <c r="D253" s="3"/>
      <c r="E253" s="3"/>
      <c r="F253" s="31"/>
      <c r="G253" s="31"/>
      <c r="H253" s="19" t="str">
        <f t="shared" si="15"/>
        <v>—</v>
      </c>
      <c r="I253" s="32"/>
      <c r="J253" s="6"/>
      <c r="K253" s="33"/>
      <c r="L253" s="21" t="str">
        <f>IF(OR($B253="",NOT(ISNUMBER($J253)),$D253="Cancelled",$D253="Owner block"),"—",ROUND($J253*IF(ISNUMBER($K253),IF($K253&gt;1,$K253/100,$K253),IF(IFERROR(INDEX(Setup!$D$25:$D$36,MATCH($B253,Setup!$A$25:$A$36,0)),0)&gt;1,IFERROR(INDEX(Setup!$D$25:$D$36,MATCH($B253,Setup!$A$25:$A$36,0)),0)/100,IFERROR(INDEX(Setup!$D$25:$D$36,MATCH($B253,Setup!$A$25:$A$36,0)),0))),2))</f>
        <v>—</v>
      </c>
      <c r="M253" s="21" t="str">
        <f t="shared" si="16"/>
        <v>—</v>
      </c>
      <c r="N253" s="21" t="str">
        <f>IF(OR($B253="",$G253="",$D253="Cancelled"),"—",IFERROR(IF(INDEX(Setup!$E$25:$E$36,MATCH($B253,Setup!$A$25:$A$36,0))=0,"—",INDEX(Setup!$E$25:$E$36,MATCH($B253,Setup!$A$25:$A$36,0))),"—"))</f>
        <v>—</v>
      </c>
      <c r="O253" s="21" t="str">
        <f>IF(OR($B253="",$G253="",$D253="Cancelled"),"—",IFERROR(IF(INDEX(Setup!$F$25:$F$36,MATCH($B253,Setup!$A$25:$A$36,0))=0,"—",INDEX(Setup!$F$25:$F$36,MATCH($B253,Setup!$A$25:$A$36,0))),"—"))</f>
        <v>—</v>
      </c>
      <c r="P253" s="21" t="str">
        <f>IF(OR($B253="",$G253="",$D253="Cancelled",$D253="Owner block"),"—",IF(IFERROR(INDEX(Setup!$G$25:$G$36,MATCH($B253,Setup!$A$25:$A$36,0)),0)+IFERROR(INDEX(Setup!$H$25:$H$36,MATCH($B253,Setup!$A$25:$A$36,0)),0)*IF(ISNUMBER($H253),$H253,0)=0,"—",ROUND(IFERROR(INDEX(Setup!$G$25:$G$36,MATCH($B253,Setup!$A$25:$A$36,0)),0)+IFERROR(INDEX(Setup!$H$25:$H$36,MATCH($B253,Setup!$A$25:$A$36,0)),0)*IF(ISNUMBER($H253),$H253,0),2)))</f>
        <v>—</v>
      </c>
      <c r="Q253" s="21" t="str">
        <f t="shared" si="17"/>
        <v>—</v>
      </c>
      <c r="R253" s="21" t="str">
        <f t="shared" si="18"/>
        <v>—</v>
      </c>
      <c r="S253" s="3"/>
      <c r="T253" s="19" t="str">
        <f ca="1">IF(OR(NOT(ISNUMBER($F253)),NOT(ISNUMBER($G253)),NOT(ISNUMBER(Dashboard!$P$2)),NOT(ISNUMBER(Dashboard!$P$3)),$D253="Cancelled",$D253="Owner block"),"—",IF(MAX(0,MIN($G253,Dashboard!$P$3+1)-MAX($F253,Dashboard!$P$2))=0,"—",MAX(0,MIN($G253,Dashboard!$P$3+1)-MAX($F253,Dashboard!$P$2))))</f>
        <v>—</v>
      </c>
      <c r="U253" s="19" t="str">
        <f ca="1">IF(OR(NOT(ISNUMBER($F253)),NOT(ISNUMBER($G253)),NOT(ISNUMBER(Dashboard!$P$2)),NOT(ISNUMBER(Dashboard!$P$3)),$D253&lt;&gt;"Owner block"),"—",IF(MAX(0,MIN($G253,Dashboard!$P$3+1)-MAX($F253,Dashboard!$P$2))=0,"—",MAX(0,MIN($G253,Dashboard!$P$3+1)-MAX($F253,Dashboard!$P$2))))</f>
        <v>—</v>
      </c>
      <c r="V253" s="7" t="str">
        <f>IF($B253="",IF(COUNTA($C253:$G253,$I253:$K253,$S253)=0,"","⚠ no property — not counted"),IF(COUNTIF(Setup!$A$25:$A$36,$B253)=0,"⚠ property not in Setup",IF(AND($F253&lt;&gt;"",NOT(ISNUMBER($F253))),"⚠ check-in is not a real date",IF(AND($G253&lt;&gt;"",NOT(ISNUMBER($G253))),"⚠ check-out is not a real date",IF(AND($J253&lt;&gt;"",NOT(ISNUMBER($J253))),"⚠ booking value is not a number","OK")))))</f>
        <v/>
      </c>
      <c r="W253" s="21" t="str">
        <f t="shared" si="19"/>
        <v>—</v>
      </c>
    </row>
    <row r="254" spans="1:23" x14ac:dyDescent="0.2">
      <c r="A254" s="30">
        <v>250</v>
      </c>
      <c r="B254" s="8"/>
      <c r="C254" s="8"/>
      <c r="D254" s="8"/>
      <c r="E254" s="8"/>
      <c r="F254" s="34"/>
      <c r="G254" s="34"/>
      <c r="H254" s="19" t="str">
        <f t="shared" si="15"/>
        <v>—</v>
      </c>
      <c r="I254" s="35"/>
      <c r="J254" s="11"/>
      <c r="K254" s="36"/>
      <c r="L254" s="21" t="str">
        <f>IF(OR($B254="",NOT(ISNUMBER($J254)),$D254="Cancelled",$D254="Owner block"),"—",ROUND($J254*IF(ISNUMBER($K254),IF($K254&gt;1,$K254/100,$K254),IF(IFERROR(INDEX(Setup!$D$25:$D$36,MATCH($B254,Setup!$A$25:$A$36,0)),0)&gt;1,IFERROR(INDEX(Setup!$D$25:$D$36,MATCH($B254,Setup!$A$25:$A$36,0)),0)/100,IFERROR(INDEX(Setup!$D$25:$D$36,MATCH($B254,Setup!$A$25:$A$36,0)),0))),2))</f>
        <v>—</v>
      </c>
      <c r="M254" s="21" t="str">
        <f t="shared" si="16"/>
        <v>—</v>
      </c>
      <c r="N254" s="21" t="str">
        <f>IF(OR($B254="",$G254="",$D254="Cancelled"),"—",IFERROR(IF(INDEX(Setup!$E$25:$E$36,MATCH($B254,Setup!$A$25:$A$36,0))=0,"—",INDEX(Setup!$E$25:$E$36,MATCH($B254,Setup!$A$25:$A$36,0))),"—"))</f>
        <v>—</v>
      </c>
      <c r="O254" s="21" t="str">
        <f>IF(OR($B254="",$G254="",$D254="Cancelled"),"—",IFERROR(IF(INDEX(Setup!$F$25:$F$36,MATCH($B254,Setup!$A$25:$A$36,0))=0,"—",INDEX(Setup!$F$25:$F$36,MATCH($B254,Setup!$A$25:$A$36,0))),"—"))</f>
        <v>—</v>
      </c>
      <c r="P254" s="21" t="str">
        <f>IF(OR($B254="",$G254="",$D254="Cancelled",$D254="Owner block"),"—",IF(IFERROR(INDEX(Setup!$G$25:$G$36,MATCH($B254,Setup!$A$25:$A$36,0)),0)+IFERROR(INDEX(Setup!$H$25:$H$36,MATCH($B254,Setup!$A$25:$A$36,0)),0)*IF(ISNUMBER($H254),$H254,0)=0,"—",ROUND(IFERROR(INDEX(Setup!$G$25:$G$36,MATCH($B254,Setup!$A$25:$A$36,0)),0)+IFERROR(INDEX(Setup!$H$25:$H$36,MATCH($B254,Setup!$A$25:$A$36,0)),0)*IF(ISNUMBER($H254),$H254,0),2)))</f>
        <v>—</v>
      </c>
      <c r="Q254" s="21" t="str">
        <f t="shared" si="17"/>
        <v>—</v>
      </c>
      <c r="R254" s="21" t="str">
        <f t="shared" si="18"/>
        <v>—</v>
      </c>
      <c r="S254" s="8"/>
      <c r="T254" s="19" t="str">
        <f ca="1">IF(OR(NOT(ISNUMBER($F254)),NOT(ISNUMBER($G254)),NOT(ISNUMBER(Dashboard!$P$2)),NOT(ISNUMBER(Dashboard!$P$3)),$D254="Cancelled",$D254="Owner block"),"—",IF(MAX(0,MIN($G254,Dashboard!$P$3+1)-MAX($F254,Dashboard!$P$2))=0,"—",MAX(0,MIN($G254,Dashboard!$P$3+1)-MAX($F254,Dashboard!$P$2))))</f>
        <v>—</v>
      </c>
      <c r="U254" s="19" t="str">
        <f ca="1">IF(OR(NOT(ISNUMBER($F254)),NOT(ISNUMBER($G254)),NOT(ISNUMBER(Dashboard!$P$2)),NOT(ISNUMBER(Dashboard!$P$3)),$D254&lt;&gt;"Owner block"),"—",IF(MAX(0,MIN($G254,Dashboard!$P$3+1)-MAX($F254,Dashboard!$P$2))=0,"—",MAX(0,MIN($G254,Dashboard!$P$3+1)-MAX($F254,Dashboard!$P$2))))</f>
        <v>—</v>
      </c>
      <c r="V254" s="7" t="str">
        <f>IF($B254="",IF(COUNTA($C254:$G254,$I254:$K254,$S254)=0,"","⚠ no property — not counted"),IF(COUNTIF(Setup!$A$25:$A$36,$B254)=0,"⚠ property not in Setup",IF(AND($F254&lt;&gt;"",NOT(ISNUMBER($F254))),"⚠ check-in is not a real date",IF(AND($G254&lt;&gt;"",NOT(ISNUMBER($G254))),"⚠ check-out is not a real date",IF(AND($J254&lt;&gt;"",NOT(ISNUMBER($J254))),"⚠ booking value is not a number","OK")))))</f>
        <v/>
      </c>
      <c r="W254" s="21" t="str">
        <f t="shared" si="19"/>
        <v>—</v>
      </c>
    </row>
    <row r="255" spans="1:23" x14ac:dyDescent="0.2">
      <c r="A255" s="30">
        <v>251</v>
      </c>
      <c r="B255" s="3"/>
      <c r="C255" s="3"/>
      <c r="D255" s="3"/>
      <c r="E255" s="3"/>
      <c r="F255" s="31"/>
      <c r="G255" s="31"/>
      <c r="H255" s="19" t="str">
        <f t="shared" si="15"/>
        <v>—</v>
      </c>
      <c r="I255" s="32"/>
      <c r="J255" s="6"/>
      <c r="K255" s="33"/>
      <c r="L255" s="21" t="str">
        <f>IF(OR($B255="",NOT(ISNUMBER($J255)),$D255="Cancelled",$D255="Owner block"),"—",ROUND($J255*IF(ISNUMBER($K255),IF($K255&gt;1,$K255/100,$K255),IF(IFERROR(INDEX(Setup!$D$25:$D$36,MATCH($B255,Setup!$A$25:$A$36,0)),0)&gt;1,IFERROR(INDEX(Setup!$D$25:$D$36,MATCH($B255,Setup!$A$25:$A$36,0)),0)/100,IFERROR(INDEX(Setup!$D$25:$D$36,MATCH($B255,Setup!$A$25:$A$36,0)),0))),2))</f>
        <v>—</v>
      </c>
      <c r="M255" s="21" t="str">
        <f t="shared" si="16"/>
        <v>—</v>
      </c>
      <c r="N255" s="21" t="str">
        <f>IF(OR($B255="",$G255="",$D255="Cancelled"),"—",IFERROR(IF(INDEX(Setup!$E$25:$E$36,MATCH($B255,Setup!$A$25:$A$36,0))=0,"—",INDEX(Setup!$E$25:$E$36,MATCH($B255,Setup!$A$25:$A$36,0))),"—"))</f>
        <v>—</v>
      </c>
      <c r="O255" s="21" t="str">
        <f>IF(OR($B255="",$G255="",$D255="Cancelled"),"—",IFERROR(IF(INDEX(Setup!$F$25:$F$36,MATCH($B255,Setup!$A$25:$A$36,0))=0,"—",INDEX(Setup!$F$25:$F$36,MATCH($B255,Setup!$A$25:$A$36,0))),"—"))</f>
        <v>—</v>
      </c>
      <c r="P255" s="21" t="str">
        <f>IF(OR($B255="",$G255="",$D255="Cancelled",$D255="Owner block"),"—",IF(IFERROR(INDEX(Setup!$G$25:$G$36,MATCH($B255,Setup!$A$25:$A$36,0)),0)+IFERROR(INDEX(Setup!$H$25:$H$36,MATCH($B255,Setup!$A$25:$A$36,0)),0)*IF(ISNUMBER($H255),$H255,0)=0,"—",ROUND(IFERROR(INDEX(Setup!$G$25:$G$36,MATCH($B255,Setup!$A$25:$A$36,0)),0)+IFERROR(INDEX(Setup!$H$25:$H$36,MATCH($B255,Setup!$A$25:$A$36,0)),0)*IF(ISNUMBER($H255),$H255,0),2)))</f>
        <v>—</v>
      </c>
      <c r="Q255" s="21" t="str">
        <f t="shared" si="17"/>
        <v>—</v>
      </c>
      <c r="R255" s="21" t="str">
        <f t="shared" si="18"/>
        <v>—</v>
      </c>
      <c r="S255" s="3"/>
      <c r="T255" s="19" t="str">
        <f ca="1">IF(OR(NOT(ISNUMBER($F255)),NOT(ISNUMBER($G255)),NOT(ISNUMBER(Dashboard!$P$2)),NOT(ISNUMBER(Dashboard!$P$3)),$D255="Cancelled",$D255="Owner block"),"—",IF(MAX(0,MIN($G255,Dashboard!$P$3+1)-MAX($F255,Dashboard!$P$2))=0,"—",MAX(0,MIN($G255,Dashboard!$P$3+1)-MAX($F255,Dashboard!$P$2))))</f>
        <v>—</v>
      </c>
      <c r="U255" s="19" t="str">
        <f ca="1">IF(OR(NOT(ISNUMBER($F255)),NOT(ISNUMBER($G255)),NOT(ISNUMBER(Dashboard!$P$2)),NOT(ISNUMBER(Dashboard!$P$3)),$D255&lt;&gt;"Owner block"),"—",IF(MAX(0,MIN($G255,Dashboard!$P$3+1)-MAX($F255,Dashboard!$P$2))=0,"—",MAX(0,MIN($G255,Dashboard!$P$3+1)-MAX($F255,Dashboard!$P$2))))</f>
        <v>—</v>
      </c>
      <c r="V255" s="7" t="str">
        <f>IF($B255="",IF(COUNTA($C255:$G255,$I255:$K255,$S255)=0,"","⚠ no property — not counted"),IF(COUNTIF(Setup!$A$25:$A$36,$B255)=0,"⚠ property not in Setup",IF(AND($F255&lt;&gt;"",NOT(ISNUMBER($F255))),"⚠ check-in is not a real date",IF(AND($G255&lt;&gt;"",NOT(ISNUMBER($G255))),"⚠ check-out is not a real date",IF(AND($J255&lt;&gt;"",NOT(ISNUMBER($J255))),"⚠ booking value is not a number","OK")))))</f>
        <v/>
      </c>
      <c r="W255" s="21" t="str">
        <f t="shared" si="19"/>
        <v>—</v>
      </c>
    </row>
    <row r="256" spans="1:23" x14ac:dyDescent="0.2">
      <c r="A256" s="30">
        <v>252</v>
      </c>
      <c r="B256" s="8"/>
      <c r="C256" s="8"/>
      <c r="D256" s="8"/>
      <c r="E256" s="8"/>
      <c r="F256" s="34"/>
      <c r="G256" s="34"/>
      <c r="H256" s="19" t="str">
        <f t="shared" si="15"/>
        <v>—</v>
      </c>
      <c r="I256" s="35"/>
      <c r="J256" s="11"/>
      <c r="K256" s="36"/>
      <c r="L256" s="21" t="str">
        <f>IF(OR($B256="",NOT(ISNUMBER($J256)),$D256="Cancelled",$D256="Owner block"),"—",ROUND($J256*IF(ISNUMBER($K256),IF($K256&gt;1,$K256/100,$K256),IF(IFERROR(INDEX(Setup!$D$25:$D$36,MATCH($B256,Setup!$A$25:$A$36,0)),0)&gt;1,IFERROR(INDEX(Setup!$D$25:$D$36,MATCH($B256,Setup!$A$25:$A$36,0)),0)/100,IFERROR(INDEX(Setup!$D$25:$D$36,MATCH($B256,Setup!$A$25:$A$36,0)),0))),2))</f>
        <v>—</v>
      </c>
      <c r="M256" s="21" t="str">
        <f t="shared" si="16"/>
        <v>—</v>
      </c>
      <c r="N256" s="21" t="str">
        <f>IF(OR($B256="",$G256="",$D256="Cancelled"),"—",IFERROR(IF(INDEX(Setup!$E$25:$E$36,MATCH($B256,Setup!$A$25:$A$36,0))=0,"—",INDEX(Setup!$E$25:$E$36,MATCH($B256,Setup!$A$25:$A$36,0))),"—"))</f>
        <v>—</v>
      </c>
      <c r="O256" s="21" t="str">
        <f>IF(OR($B256="",$G256="",$D256="Cancelled"),"—",IFERROR(IF(INDEX(Setup!$F$25:$F$36,MATCH($B256,Setup!$A$25:$A$36,0))=0,"—",INDEX(Setup!$F$25:$F$36,MATCH($B256,Setup!$A$25:$A$36,0))),"—"))</f>
        <v>—</v>
      </c>
      <c r="P256" s="21" t="str">
        <f>IF(OR($B256="",$G256="",$D256="Cancelled",$D256="Owner block"),"—",IF(IFERROR(INDEX(Setup!$G$25:$G$36,MATCH($B256,Setup!$A$25:$A$36,0)),0)+IFERROR(INDEX(Setup!$H$25:$H$36,MATCH($B256,Setup!$A$25:$A$36,0)),0)*IF(ISNUMBER($H256),$H256,0)=0,"—",ROUND(IFERROR(INDEX(Setup!$G$25:$G$36,MATCH($B256,Setup!$A$25:$A$36,0)),0)+IFERROR(INDEX(Setup!$H$25:$H$36,MATCH($B256,Setup!$A$25:$A$36,0)),0)*IF(ISNUMBER($H256),$H256,0),2)))</f>
        <v>—</v>
      </c>
      <c r="Q256" s="21" t="str">
        <f t="shared" si="17"/>
        <v>—</v>
      </c>
      <c r="R256" s="21" t="str">
        <f t="shared" si="18"/>
        <v>—</v>
      </c>
      <c r="S256" s="8"/>
      <c r="T256" s="19" t="str">
        <f ca="1">IF(OR(NOT(ISNUMBER($F256)),NOT(ISNUMBER($G256)),NOT(ISNUMBER(Dashboard!$P$2)),NOT(ISNUMBER(Dashboard!$P$3)),$D256="Cancelled",$D256="Owner block"),"—",IF(MAX(0,MIN($G256,Dashboard!$P$3+1)-MAX($F256,Dashboard!$P$2))=0,"—",MAX(0,MIN($G256,Dashboard!$P$3+1)-MAX($F256,Dashboard!$P$2))))</f>
        <v>—</v>
      </c>
      <c r="U256" s="19" t="str">
        <f ca="1">IF(OR(NOT(ISNUMBER($F256)),NOT(ISNUMBER($G256)),NOT(ISNUMBER(Dashboard!$P$2)),NOT(ISNUMBER(Dashboard!$P$3)),$D256&lt;&gt;"Owner block"),"—",IF(MAX(0,MIN($G256,Dashboard!$P$3+1)-MAX($F256,Dashboard!$P$2))=0,"—",MAX(0,MIN($G256,Dashboard!$P$3+1)-MAX($F256,Dashboard!$P$2))))</f>
        <v>—</v>
      </c>
      <c r="V256" s="7" t="str">
        <f>IF($B256="",IF(COUNTA($C256:$G256,$I256:$K256,$S256)=0,"","⚠ no property — not counted"),IF(COUNTIF(Setup!$A$25:$A$36,$B256)=0,"⚠ property not in Setup",IF(AND($F256&lt;&gt;"",NOT(ISNUMBER($F256))),"⚠ check-in is not a real date",IF(AND($G256&lt;&gt;"",NOT(ISNUMBER($G256))),"⚠ check-out is not a real date",IF(AND($J256&lt;&gt;"",NOT(ISNUMBER($J256))),"⚠ booking value is not a number","OK")))))</f>
        <v/>
      </c>
      <c r="W256" s="21" t="str">
        <f t="shared" si="19"/>
        <v>—</v>
      </c>
    </row>
    <row r="257" spans="1:23" x14ac:dyDescent="0.2">
      <c r="A257" s="30">
        <v>253</v>
      </c>
      <c r="B257" s="3"/>
      <c r="C257" s="3"/>
      <c r="D257" s="3"/>
      <c r="E257" s="3"/>
      <c r="F257" s="31"/>
      <c r="G257" s="31"/>
      <c r="H257" s="19" t="str">
        <f t="shared" si="15"/>
        <v>—</v>
      </c>
      <c r="I257" s="32"/>
      <c r="J257" s="6"/>
      <c r="K257" s="33"/>
      <c r="L257" s="21" t="str">
        <f>IF(OR($B257="",NOT(ISNUMBER($J257)),$D257="Cancelled",$D257="Owner block"),"—",ROUND($J257*IF(ISNUMBER($K257),IF($K257&gt;1,$K257/100,$K257),IF(IFERROR(INDEX(Setup!$D$25:$D$36,MATCH($B257,Setup!$A$25:$A$36,0)),0)&gt;1,IFERROR(INDEX(Setup!$D$25:$D$36,MATCH($B257,Setup!$A$25:$A$36,0)),0)/100,IFERROR(INDEX(Setup!$D$25:$D$36,MATCH($B257,Setup!$A$25:$A$36,0)),0))),2))</f>
        <v>—</v>
      </c>
      <c r="M257" s="21" t="str">
        <f t="shared" si="16"/>
        <v>—</v>
      </c>
      <c r="N257" s="21" t="str">
        <f>IF(OR($B257="",$G257="",$D257="Cancelled"),"—",IFERROR(IF(INDEX(Setup!$E$25:$E$36,MATCH($B257,Setup!$A$25:$A$36,0))=0,"—",INDEX(Setup!$E$25:$E$36,MATCH($B257,Setup!$A$25:$A$36,0))),"—"))</f>
        <v>—</v>
      </c>
      <c r="O257" s="21" t="str">
        <f>IF(OR($B257="",$G257="",$D257="Cancelled"),"—",IFERROR(IF(INDEX(Setup!$F$25:$F$36,MATCH($B257,Setup!$A$25:$A$36,0))=0,"—",INDEX(Setup!$F$25:$F$36,MATCH($B257,Setup!$A$25:$A$36,0))),"—"))</f>
        <v>—</v>
      </c>
      <c r="P257" s="21" t="str">
        <f>IF(OR($B257="",$G257="",$D257="Cancelled",$D257="Owner block"),"—",IF(IFERROR(INDEX(Setup!$G$25:$G$36,MATCH($B257,Setup!$A$25:$A$36,0)),0)+IFERROR(INDEX(Setup!$H$25:$H$36,MATCH($B257,Setup!$A$25:$A$36,0)),0)*IF(ISNUMBER($H257),$H257,0)=0,"—",ROUND(IFERROR(INDEX(Setup!$G$25:$G$36,MATCH($B257,Setup!$A$25:$A$36,0)),0)+IFERROR(INDEX(Setup!$H$25:$H$36,MATCH($B257,Setup!$A$25:$A$36,0)),0)*IF(ISNUMBER($H257),$H257,0),2)))</f>
        <v>—</v>
      </c>
      <c r="Q257" s="21" t="str">
        <f t="shared" si="17"/>
        <v>—</v>
      </c>
      <c r="R257" s="21" t="str">
        <f t="shared" si="18"/>
        <v>—</v>
      </c>
      <c r="S257" s="3"/>
      <c r="T257" s="19" t="str">
        <f ca="1">IF(OR(NOT(ISNUMBER($F257)),NOT(ISNUMBER($G257)),NOT(ISNUMBER(Dashboard!$P$2)),NOT(ISNUMBER(Dashboard!$P$3)),$D257="Cancelled",$D257="Owner block"),"—",IF(MAX(0,MIN($G257,Dashboard!$P$3+1)-MAX($F257,Dashboard!$P$2))=0,"—",MAX(0,MIN($G257,Dashboard!$P$3+1)-MAX($F257,Dashboard!$P$2))))</f>
        <v>—</v>
      </c>
      <c r="U257" s="19" t="str">
        <f ca="1">IF(OR(NOT(ISNUMBER($F257)),NOT(ISNUMBER($G257)),NOT(ISNUMBER(Dashboard!$P$2)),NOT(ISNUMBER(Dashboard!$P$3)),$D257&lt;&gt;"Owner block"),"—",IF(MAX(0,MIN($G257,Dashboard!$P$3+1)-MAX($F257,Dashboard!$P$2))=0,"—",MAX(0,MIN($G257,Dashboard!$P$3+1)-MAX($F257,Dashboard!$P$2))))</f>
        <v>—</v>
      </c>
      <c r="V257" s="7" t="str">
        <f>IF($B257="",IF(COUNTA($C257:$G257,$I257:$K257,$S257)=0,"","⚠ no property — not counted"),IF(COUNTIF(Setup!$A$25:$A$36,$B257)=0,"⚠ property not in Setup",IF(AND($F257&lt;&gt;"",NOT(ISNUMBER($F257))),"⚠ check-in is not a real date",IF(AND($G257&lt;&gt;"",NOT(ISNUMBER($G257))),"⚠ check-out is not a real date",IF(AND($J257&lt;&gt;"",NOT(ISNUMBER($J257))),"⚠ booking value is not a number","OK")))))</f>
        <v/>
      </c>
      <c r="W257" s="21" t="str">
        <f t="shared" si="19"/>
        <v>—</v>
      </c>
    </row>
    <row r="258" spans="1:23" x14ac:dyDescent="0.2">
      <c r="A258" s="30">
        <v>254</v>
      </c>
      <c r="B258" s="8"/>
      <c r="C258" s="8"/>
      <c r="D258" s="8"/>
      <c r="E258" s="8"/>
      <c r="F258" s="34"/>
      <c r="G258" s="34"/>
      <c r="H258" s="19" t="str">
        <f t="shared" si="15"/>
        <v>—</v>
      </c>
      <c r="I258" s="35"/>
      <c r="J258" s="11"/>
      <c r="K258" s="36"/>
      <c r="L258" s="21" t="str">
        <f>IF(OR($B258="",NOT(ISNUMBER($J258)),$D258="Cancelled",$D258="Owner block"),"—",ROUND($J258*IF(ISNUMBER($K258),IF($K258&gt;1,$K258/100,$K258),IF(IFERROR(INDEX(Setup!$D$25:$D$36,MATCH($B258,Setup!$A$25:$A$36,0)),0)&gt;1,IFERROR(INDEX(Setup!$D$25:$D$36,MATCH($B258,Setup!$A$25:$A$36,0)),0)/100,IFERROR(INDEX(Setup!$D$25:$D$36,MATCH($B258,Setup!$A$25:$A$36,0)),0))),2))</f>
        <v>—</v>
      </c>
      <c r="M258" s="21" t="str">
        <f t="shared" si="16"/>
        <v>—</v>
      </c>
      <c r="N258" s="21" t="str">
        <f>IF(OR($B258="",$G258="",$D258="Cancelled"),"—",IFERROR(IF(INDEX(Setup!$E$25:$E$36,MATCH($B258,Setup!$A$25:$A$36,0))=0,"—",INDEX(Setup!$E$25:$E$36,MATCH($B258,Setup!$A$25:$A$36,0))),"—"))</f>
        <v>—</v>
      </c>
      <c r="O258" s="21" t="str">
        <f>IF(OR($B258="",$G258="",$D258="Cancelled"),"—",IFERROR(IF(INDEX(Setup!$F$25:$F$36,MATCH($B258,Setup!$A$25:$A$36,0))=0,"—",INDEX(Setup!$F$25:$F$36,MATCH($B258,Setup!$A$25:$A$36,0))),"—"))</f>
        <v>—</v>
      </c>
      <c r="P258" s="21" t="str">
        <f>IF(OR($B258="",$G258="",$D258="Cancelled",$D258="Owner block"),"—",IF(IFERROR(INDEX(Setup!$G$25:$G$36,MATCH($B258,Setup!$A$25:$A$36,0)),0)+IFERROR(INDEX(Setup!$H$25:$H$36,MATCH($B258,Setup!$A$25:$A$36,0)),0)*IF(ISNUMBER($H258),$H258,0)=0,"—",ROUND(IFERROR(INDEX(Setup!$G$25:$G$36,MATCH($B258,Setup!$A$25:$A$36,0)),0)+IFERROR(INDEX(Setup!$H$25:$H$36,MATCH($B258,Setup!$A$25:$A$36,0)),0)*IF(ISNUMBER($H258),$H258,0),2)))</f>
        <v>—</v>
      </c>
      <c r="Q258" s="21" t="str">
        <f t="shared" si="17"/>
        <v>—</v>
      </c>
      <c r="R258" s="21" t="str">
        <f t="shared" si="18"/>
        <v>—</v>
      </c>
      <c r="S258" s="8"/>
      <c r="T258" s="19" t="str">
        <f ca="1">IF(OR(NOT(ISNUMBER($F258)),NOT(ISNUMBER($G258)),NOT(ISNUMBER(Dashboard!$P$2)),NOT(ISNUMBER(Dashboard!$P$3)),$D258="Cancelled",$D258="Owner block"),"—",IF(MAX(0,MIN($G258,Dashboard!$P$3+1)-MAX($F258,Dashboard!$P$2))=0,"—",MAX(0,MIN($G258,Dashboard!$P$3+1)-MAX($F258,Dashboard!$P$2))))</f>
        <v>—</v>
      </c>
      <c r="U258" s="19" t="str">
        <f ca="1">IF(OR(NOT(ISNUMBER($F258)),NOT(ISNUMBER($G258)),NOT(ISNUMBER(Dashboard!$P$2)),NOT(ISNUMBER(Dashboard!$P$3)),$D258&lt;&gt;"Owner block"),"—",IF(MAX(0,MIN($G258,Dashboard!$P$3+1)-MAX($F258,Dashboard!$P$2))=0,"—",MAX(0,MIN($G258,Dashboard!$P$3+1)-MAX($F258,Dashboard!$P$2))))</f>
        <v>—</v>
      </c>
      <c r="V258" s="7" t="str">
        <f>IF($B258="",IF(COUNTA($C258:$G258,$I258:$K258,$S258)=0,"","⚠ no property — not counted"),IF(COUNTIF(Setup!$A$25:$A$36,$B258)=0,"⚠ property not in Setup",IF(AND($F258&lt;&gt;"",NOT(ISNUMBER($F258))),"⚠ check-in is not a real date",IF(AND($G258&lt;&gt;"",NOT(ISNUMBER($G258))),"⚠ check-out is not a real date",IF(AND($J258&lt;&gt;"",NOT(ISNUMBER($J258))),"⚠ booking value is not a number","OK")))))</f>
        <v/>
      </c>
      <c r="W258" s="21" t="str">
        <f t="shared" si="19"/>
        <v>—</v>
      </c>
    </row>
    <row r="259" spans="1:23" x14ac:dyDescent="0.2">
      <c r="A259" s="30">
        <v>255</v>
      </c>
      <c r="B259" s="3"/>
      <c r="C259" s="3"/>
      <c r="D259" s="3"/>
      <c r="E259" s="3"/>
      <c r="F259" s="31"/>
      <c r="G259" s="31"/>
      <c r="H259" s="19" t="str">
        <f t="shared" si="15"/>
        <v>—</v>
      </c>
      <c r="I259" s="32"/>
      <c r="J259" s="6"/>
      <c r="K259" s="33"/>
      <c r="L259" s="21" t="str">
        <f>IF(OR($B259="",NOT(ISNUMBER($J259)),$D259="Cancelled",$D259="Owner block"),"—",ROUND($J259*IF(ISNUMBER($K259),IF($K259&gt;1,$K259/100,$K259),IF(IFERROR(INDEX(Setup!$D$25:$D$36,MATCH($B259,Setup!$A$25:$A$36,0)),0)&gt;1,IFERROR(INDEX(Setup!$D$25:$D$36,MATCH($B259,Setup!$A$25:$A$36,0)),0)/100,IFERROR(INDEX(Setup!$D$25:$D$36,MATCH($B259,Setup!$A$25:$A$36,0)),0))),2))</f>
        <v>—</v>
      </c>
      <c r="M259" s="21" t="str">
        <f t="shared" si="16"/>
        <v>—</v>
      </c>
      <c r="N259" s="21" t="str">
        <f>IF(OR($B259="",$G259="",$D259="Cancelled"),"—",IFERROR(IF(INDEX(Setup!$E$25:$E$36,MATCH($B259,Setup!$A$25:$A$36,0))=0,"—",INDEX(Setup!$E$25:$E$36,MATCH($B259,Setup!$A$25:$A$36,0))),"—"))</f>
        <v>—</v>
      </c>
      <c r="O259" s="21" t="str">
        <f>IF(OR($B259="",$G259="",$D259="Cancelled"),"—",IFERROR(IF(INDEX(Setup!$F$25:$F$36,MATCH($B259,Setup!$A$25:$A$36,0))=0,"—",INDEX(Setup!$F$25:$F$36,MATCH($B259,Setup!$A$25:$A$36,0))),"—"))</f>
        <v>—</v>
      </c>
      <c r="P259" s="21" t="str">
        <f>IF(OR($B259="",$G259="",$D259="Cancelled",$D259="Owner block"),"—",IF(IFERROR(INDEX(Setup!$G$25:$G$36,MATCH($B259,Setup!$A$25:$A$36,0)),0)+IFERROR(INDEX(Setup!$H$25:$H$36,MATCH($B259,Setup!$A$25:$A$36,0)),0)*IF(ISNUMBER($H259),$H259,0)=0,"—",ROUND(IFERROR(INDEX(Setup!$G$25:$G$36,MATCH($B259,Setup!$A$25:$A$36,0)),0)+IFERROR(INDEX(Setup!$H$25:$H$36,MATCH($B259,Setup!$A$25:$A$36,0)),0)*IF(ISNUMBER($H259),$H259,0),2)))</f>
        <v>—</v>
      </c>
      <c r="Q259" s="21" t="str">
        <f t="shared" si="17"/>
        <v>—</v>
      </c>
      <c r="R259" s="21" t="str">
        <f t="shared" si="18"/>
        <v>—</v>
      </c>
      <c r="S259" s="3"/>
      <c r="T259" s="19" t="str">
        <f ca="1">IF(OR(NOT(ISNUMBER($F259)),NOT(ISNUMBER($G259)),NOT(ISNUMBER(Dashboard!$P$2)),NOT(ISNUMBER(Dashboard!$P$3)),$D259="Cancelled",$D259="Owner block"),"—",IF(MAX(0,MIN($G259,Dashboard!$P$3+1)-MAX($F259,Dashboard!$P$2))=0,"—",MAX(0,MIN($G259,Dashboard!$P$3+1)-MAX($F259,Dashboard!$P$2))))</f>
        <v>—</v>
      </c>
      <c r="U259" s="19" t="str">
        <f ca="1">IF(OR(NOT(ISNUMBER($F259)),NOT(ISNUMBER($G259)),NOT(ISNUMBER(Dashboard!$P$2)),NOT(ISNUMBER(Dashboard!$P$3)),$D259&lt;&gt;"Owner block"),"—",IF(MAX(0,MIN($G259,Dashboard!$P$3+1)-MAX($F259,Dashboard!$P$2))=0,"—",MAX(0,MIN($G259,Dashboard!$P$3+1)-MAX($F259,Dashboard!$P$2))))</f>
        <v>—</v>
      </c>
      <c r="V259" s="7" t="str">
        <f>IF($B259="",IF(COUNTA($C259:$G259,$I259:$K259,$S259)=0,"","⚠ no property — not counted"),IF(COUNTIF(Setup!$A$25:$A$36,$B259)=0,"⚠ property not in Setup",IF(AND($F259&lt;&gt;"",NOT(ISNUMBER($F259))),"⚠ check-in is not a real date",IF(AND($G259&lt;&gt;"",NOT(ISNUMBER($G259))),"⚠ check-out is not a real date",IF(AND($J259&lt;&gt;"",NOT(ISNUMBER($J259))),"⚠ booking value is not a number","OK")))))</f>
        <v/>
      </c>
      <c r="W259" s="21" t="str">
        <f t="shared" si="19"/>
        <v>—</v>
      </c>
    </row>
    <row r="260" spans="1:23" x14ac:dyDescent="0.2">
      <c r="A260" s="30">
        <v>256</v>
      </c>
      <c r="B260" s="8"/>
      <c r="C260" s="8"/>
      <c r="D260" s="8"/>
      <c r="E260" s="8"/>
      <c r="F260" s="34"/>
      <c r="G260" s="34"/>
      <c r="H260" s="19" t="str">
        <f t="shared" si="15"/>
        <v>—</v>
      </c>
      <c r="I260" s="35"/>
      <c r="J260" s="11"/>
      <c r="K260" s="36"/>
      <c r="L260" s="21" t="str">
        <f>IF(OR($B260="",NOT(ISNUMBER($J260)),$D260="Cancelled",$D260="Owner block"),"—",ROUND($J260*IF(ISNUMBER($K260),IF($K260&gt;1,$K260/100,$K260),IF(IFERROR(INDEX(Setup!$D$25:$D$36,MATCH($B260,Setup!$A$25:$A$36,0)),0)&gt;1,IFERROR(INDEX(Setup!$D$25:$D$36,MATCH($B260,Setup!$A$25:$A$36,0)),0)/100,IFERROR(INDEX(Setup!$D$25:$D$36,MATCH($B260,Setup!$A$25:$A$36,0)),0))),2))</f>
        <v>—</v>
      </c>
      <c r="M260" s="21" t="str">
        <f t="shared" si="16"/>
        <v>—</v>
      </c>
      <c r="N260" s="21" t="str">
        <f>IF(OR($B260="",$G260="",$D260="Cancelled"),"—",IFERROR(IF(INDEX(Setup!$E$25:$E$36,MATCH($B260,Setup!$A$25:$A$36,0))=0,"—",INDEX(Setup!$E$25:$E$36,MATCH($B260,Setup!$A$25:$A$36,0))),"—"))</f>
        <v>—</v>
      </c>
      <c r="O260" s="21" t="str">
        <f>IF(OR($B260="",$G260="",$D260="Cancelled"),"—",IFERROR(IF(INDEX(Setup!$F$25:$F$36,MATCH($B260,Setup!$A$25:$A$36,0))=0,"—",INDEX(Setup!$F$25:$F$36,MATCH($B260,Setup!$A$25:$A$36,0))),"—"))</f>
        <v>—</v>
      </c>
      <c r="P260" s="21" t="str">
        <f>IF(OR($B260="",$G260="",$D260="Cancelled",$D260="Owner block"),"—",IF(IFERROR(INDEX(Setup!$G$25:$G$36,MATCH($B260,Setup!$A$25:$A$36,0)),0)+IFERROR(INDEX(Setup!$H$25:$H$36,MATCH($B260,Setup!$A$25:$A$36,0)),0)*IF(ISNUMBER($H260),$H260,0)=0,"—",ROUND(IFERROR(INDEX(Setup!$G$25:$G$36,MATCH($B260,Setup!$A$25:$A$36,0)),0)+IFERROR(INDEX(Setup!$H$25:$H$36,MATCH($B260,Setup!$A$25:$A$36,0)),0)*IF(ISNUMBER($H260),$H260,0),2)))</f>
        <v>—</v>
      </c>
      <c r="Q260" s="21" t="str">
        <f t="shared" si="17"/>
        <v>—</v>
      </c>
      <c r="R260" s="21" t="str">
        <f t="shared" si="18"/>
        <v>—</v>
      </c>
      <c r="S260" s="8"/>
      <c r="T260" s="19" t="str">
        <f ca="1">IF(OR(NOT(ISNUMBER($F260)),NOT(ISNUMBER($G260)),NOT(ISNUMBER(Dashboard!$P$2)),NOT(ISNUMBER(Dashboard!$P$3)),$D260="Cancelled",$D260="Owner block"),"—",IF(MAX(0,MIN($G260,Dashboard!$P$3+1)-MAX($F260,Dashboard!$P$2))=0,"—",MAX(0,MIN($G260,Dashboard!$P$3+1)-MAX($F260,Dashboard!$P$2))))</f>
        <v>—</v>
      </c>
      <c r="U260" s="19" t="str">
        <f ca="1">IF(OR(NOT(ISNUMBER($F260)),NOT(ISNUMBER($G260)),NOT(ISNUMBER(Dashboard!$P$2)),NOT(ISNUMBER(Dashboard!$P$3)),$D260&lt;&gt;"Owner block"),"—",IF(MAX(0,MIN($G260,Dashboard!$P$3+1)-MAX($F260,Dashboard!$P$2))=0,"—",MAX(0,MIN($G260,Dashboard!$P$3+1)-MAX($F260,Dashboard!$P$2))))</f>
        <v>—</v>
      </c>
      <c r="V260" s="7" t="str">
        <f>IF($B260="",IF(COUNTA($C260:$G260,$I260:$K260,$S260)=0,"","⚠ no property — not counted"),IF(COUNTIF(Setup!$A$25:$A$36,$B260)=0,"⚠ property not in Setup",IF(AND($F260&lt;&gt;"",NOT(ISNUMBER($F260))),"⚠ check-in is not a real date",IF(AND($G260&lt;&gt;"",NOT(ISNUMBER($G260))),"⚠ check-out is not a real date",IF(AND($J260&lt;&gt;"",NOT(ISNUMBER($J260))),"⚠ booking value is not a number","OK")))))</f>
        <v/>
      </c>
      <c r="W260" s="21" t="str">
        <f t="shared" si="19"/>
        <v>—</v>
      </c>
    </row>
    <row r="261" spans="1:23" x14ac:dyDescent="0.2">
      <c r="A261" s="30">
        <v>257</v>
      </c>
      <c r="B261" s="3"/>
      <c r="C261" s="3"/>
      <c r="D261" s="3"/>
      <c r="E261" s="3"/>
      <c r="F261" s="31"/>
      <c r="G261" s="31"/>
      <c r="H261" s="19" t="str">
        <f t="shared" ref="H261:H304" si="20">IF(OR(NOT(ISNUMBER($F261)),NOT(ISNUMBER($G261))),"—",IF($G261&lt;=$F261,"⚠ check dates",$G261-$F261))</f>
        <v>—</v>
      </c>
      <c r="I261" s="32"/>
      <c r="J261" s="6"/>
      <c r="K261" s="33"/>
      <c r="L261" s="21" t="str">
        <f>IF(OR($B261="",NOT(ISNUMBER($J261)),$D261="Cancelled",$D261="Owner block"),"—",ROUND($J261*IF(ISNUMBER($K261),IF($K261&gt;1,$K261/100,$K261),IF(IFERROR(INDEX(Setup!$D$25:$D$36,MATCH($B261,Setup!$A$25:$A$36,0)),0)&gt;1,IFERROR(INDEX(Setup!$D$25:$D$36,MATCH($B261,Setup!$A$25:$A$36,0)),0)/100,IFERROR(INDEX(Setup!$D$25:$D$36,MATCH($B261,Setup!$A$25:$A$36,0)),0))),2))</f>
        <v>—</v>
      </c>
      <c r="M261" s="21" t="str">
        <f t="shared" ref="M261:M304" si="21">IF(NOT(ISNUMBER($L261)),"—",ROUND($J261-$L261,2))</f>
        <v>—</v>
      </c>
      <c r="N261" s="21" t="str">
        <f>IF(OR($B261="",$G261="",$D261="Cancelled"),"—",IFERROR(IF(INDEX(Setup!$E$25:$E$36,MATCH($B261,Setup!$A$25:$A$36,0))=0,"—",INDEX(Setup!$E$25:$E$36,MATCH($B261,Setup!$A$25:$A$36,0))),"—"))</f>
        <v>—</v>
      </c>
      <c r="O261" s="21" t="str">
        <f>IF(OR($B261="",$G261="",$D261="Cancelled"),"—",IFERROR(IF(INDEX(Setup!$F$25:$F$36,MATCH($B261,Setup!$A$25:$A$36,0))=0,"—",INDEX(Setup!$F$25:$F$36,MATCH($B261,Setup!$A$25:$A$36,0))),"—"))</f>
        <v>—</v>
      </c>
      <c r="P261" s="21" t="str">
        <f>IF(OR($B261="",$G261="",$D261="Cancelled",$D261="Owner block"),"—",IF(IFERROR(INDEX(Setup!$G$25:$G$36,MATCH($B261,Setup!$A$25:$A$36,0)),0)+IFERROR(INDEX(Setup!$H$25:$H$36,MATCH($B261,Setup!$A$25:$A$36,0)),0)*IF(ISNUMBER($H261),$H261,0)=0,"—",ROUND(IFERROR(INDEX(Setup!$G$25:$G$36,MATCH($B261,Setup!$A$25:$A$36,0)),0)+IFERROR(INDEX(Setup!$H$25:$H$36,MATCH($B261,Setup!$A$25:$A$36,0)),0)*IF(ISNUMBER($H261),$H261,0),2)))</f>
        <v>—</v>
      </c>
      <c r="Q261" s="21" t="str">
        <f t="shared" ref="Q261:Q304" si="22">IF(OR($B261="",$D261="Cancelled"),"—",IF(AND(NOT(ISNUMBER($M261)),COUNT($N261:$P261)=0),"—",ROUND(IF(ISNUMBER($M261),$M261,0)-SUM($N261:$P261),2)))</f>
        <v>—</v>
      </c>
      <c r="R261" s="21" t="str">
        <f t="shared" ref="R261:R304" si="23">IF(OR(NOT(ISNUMBER($Q261)),NOT(ISNUMBER($H261)),$H261&lt;=0),"—",ROUND($Q261/$H261,2))</f>
        <v>—</v>
      </c>
      <c r="S261" s="3"/>
      <c r="T261" s="19" t="str">
        <f ca="1">IF(OR(NOT(ISNUMBER($F261)),NOT(ISNUMBER($G261)),NOT(ISNUMBER(Dashboard!$P$2)),NOT(ISNUMBER(Dashboard!$P$3)),$D261="Cancelled",$D261="Owner block"),"—",IF(MAX(0,MIN($G261,Dashboard!$P$3+1)-MAX($F261,Dashboard!$P$2))=0,"—",MAX(0,MIN($G261,Dashboard!$P$3+1)-MAX($F261,Dashboard!$P$2))))</f>
        <v>—</v>
      </c>
      <c r="U261" s="19" t="str">
        <f ca="1">IF(OR(NOT(ISNUMBER($F261)),NOT(ISNUMBER($G261)),NOT(ISNUMBER(Dashboard!$P$2)),NOT(ISNUMBER(Dashboard!$P$3)),$D261&lt;&gt;"Owner block"),"—",IF(MAX(0,MIN($G261,Dashboard!$P$3+1)-MAX($F261,Dashboard!$P$2))=0,"—",MAX(0,MIN($G261,Dashboard!$P$3+1)-MAX($F261,Dashboard!$P$2))))</f>
        <v>—</v>
      </c>
      <c r="V261" s="7" t="str">
        <f>IF($B261="",IF(COUNTA($C261:$G261,$I261:$K261,$S261)=0,"","⚠ no property — not counted"),IF(COUNTIF(Setup!$A$25:$A$36,$B261)=0,"⚠ property not in Setup",IF(AND($F261&lt;&gt;"",NOT(ISNUMBER($F261))),"⚠ check-in is not a real date",IF(AND($G261&lt;&gt;"",NOT(ISNUMBER($G261))),"⚠ check-out is not a real date",IF(AND($J261&lt;&gt;"",NOT(ISNUMBER($J261))),"⚠ booking value is not a number","OK")))))</f>
        <v/>
      </c>
      <c r="W261" s="21" t="str">
        <f t="shared" ref="W261:W304" si="24">IF(OR($B261="",NOT(ISNUMBER($J261)),$D261="Cancelled",$D261="Owner block"),"—",$J261)</f>
        <v>—</v>
      </c>
    </row>
    <row r="262" spans="1:23" x14ac:dyDescent="0.2">
      <c r="A262" s="30">
        <v>258</v>
      </c>
      <c r="B262" s="8"/>
      <c r="C262" s="8"/>
      <c r="D262" s="8"/>
      <c r="E262" s="8"/>
      <c r="F262" s="34"/>
      <c r="G262" s="34"/>
      <c r="H262" s="19" t="str">
        <f t="shared" si="20"/>
        <v>—</v>
      </c>
      <c r="I262" s="35"/>
      <c r="J262" s="11"/>
      <c r="K262" s="36"/>
      <c r="L262" s="21" t="str">
        <f>IF(OR($B262="",NOT(ISNUMBER($J262)),$D262="Cancelled",$D262="Owner block"),"—",ROUND($J262*IF(ISNUMBER($K262),IF($K262&gt;1,$K262/100,$K262),IF(IFERROR(INDEX(Setup!$D$25:$D$36,MATCH($B262,Setup!$A$25:$A$36,0)),0)&gt;1,IFERROR(INDEX(Setup!$D$25:$D$36,MATCH($B262,Setup!$A$25:$A$36,0)),0)/100,IFERROR(INDEX(Setup!$D$25:$D$36,MATCH($B262,Setup!$A$25:$A$36,0)),0))),2))</f>
        <v>—</v>
      </c>
      <c r="M262" s="21" t="str">
        <f t="shared" si="21"/>
        <v>—</v>
      </c>
      <c r="N262" s="21" t="str">
        <f>IF(OR($B262="",$G262="",$D262="Cancelled"),"—",IFERROR(IF(INDEX(Setup!$E$25:$E$36,MATCH($B262,Setup!$A$25:$A$36,0))=0,"—",INDEX(Setup!$E$25:$E$36,MATCH($B262,Setup!$A$25:$A$36,0))),"—"))</f>
        <v>—</v>
      </c>
      <c r="O262" s="21" t="str">
        <f>IF(OR($B262="",$G262="",$D262="Cancelled"),"—",IFERROR(IF(INDEX(Setup!$F$25:$F$36,MATCH($B262,Setup!$A$25:$A$36,0))=0,"—",INDEX(Setup!$F$25:$F$36,MATCH($B262,Setup!$A$25:$A$36,0))),"—"))</f>
        <v>—</v>
      </c>
      <c r="P262" s="21" t="str">
        <f>IF(OR($B262="",$G262="",$D262="Cancelled",$D262="Owner block"),"—",IF(IFERROR(INDEX(Setup!$G$25:$G$36,MATCH($B262,Setup!$A$25:$A$36,0)),0)+IFERROR(INDEX(Setup!$H$25:$H$36,MATCH($B262,Setup!$A$25:$A$36,0)),0)*IF(ISNUMBER($H262),$H262,0)=0,"—",ROUND(IFERROR(INDEX(Setup!$G$25:$G$36,MATCH($B262,Setup!$A$25:$A$36,0)),0)+IFERROR(INDEX(Setup!$H$25:$H$36,MATCH($B262,Setup!$A$25:$A$36,0)),0)*IF(ISNUMBER($H262),$H262,0),2)))</f>
        <v>—</v>
      </c>
      <c r="Q262" s="21" t="str">
        <f t="shared" si="22"/>
        <v>—</v>
      </c>
      <c r="R262" s="21" t="str">
        <f t="shared" si="23"/>
        <v>—</v>
      </c>
      <c r="S262" s="8"/>
      <c r="T262" s="19" t="str">
        <f ca="1">IF(OR(NOT(ISNUMBER($F262)),NOT(ISNUMBER($G262)),NOT(ISNUMBER(Dashboard!$P$2)),NOT(ISNUMBER(Dashboard!$P$3)),$D262="Cancelled",$D262="Owner block"),"—",IF(MAX(0,MIN($G262,Dashboard!$P$3+1)-MAX($F262,Dashboard!$P$2))=0,"—",MAX(0,MIN($G262,Dashboard!$P$3+1)-MAX($F262,Dashboard!$P$2))))</f>
        <v>—</v>
      </c>
      <c r="U262" s="19" t="str">
        <f ca="1">IF(OR(NOT(ISNUMBER($F262)),NOT(ISNUMBER($G262)),NOT(ISNUMBER(Dashboard!$P$2)),NOT(ISNUMBER(Dashboard!$P$3)),$D262&lt;&gt;"Owner block"),"—",IF(MAX(0,MIN($G262,Dashboard!$P$3+1)-MAX($F262,Dashboard!$P$2))=0,"—",MAX(0,MIN($G262,Dashboard!$P$3+1)-MAX($F262,Dashboard!$P$2))))</f>
        <v>—</v>
      </c>
      <c r="V262" s="7" t="str">
        <f>IF($B262="",IF(COUNTA($C262:$G262,$I262:$K262,$S262)=0,"","⚠ no property — not counted"),IF(COUNTIF(Setup!$A$25:$A$36,$B262)=0,"⚠ property not in Setup",IF(AND($F262&lt;&gt;"",NOT(ISNUMBER($F262))),"⚠ check-in is not a real date",IF(AND($G262&lt;&gt;"",NOT(ISNUMBER($G262))),"⚠ check-out is not a real date",IF(AND($J262&lt;&gt;"",NOT(ISNUMBER($J262))),"⚠ booking value is not a number","OK")))))</f>
        <v/>
      </c>
      <c r="W262" s="21" t="str">
        <f t="shared" si="24"/>
        <v>—</v>
      </c>
    </row>
    <row r="263" spans="1:23" x14ac:dyDescent="0.2">
      <c r="A263" s="30">
        <v>259</v>
      </c>
      <c r="B263" s="3"/>
      <c r="C263" s="3"/>
      <c r="D263" s="3"/>
      <c r="E263" s="3"/>
      <c r="F263" s="31"/>
      <c r="G263" s="31"/>
      <c r="H263" s="19" t="str">
        <f t="shared" si="20"/>
        <v>—</v>
      </c>
      <c r="I263" s="32"/>
      <c r="J263" s="6"/>
      <c r="K263" s="33"/>
      <c r="L263" s="21" t="str">
        <f>IF(OR($B263="",NOT(ISNUMBER($J263)),$D263="Cancelled",$D263="Owner block"),"—",ROUND($J263*IF(ISNUMBER($K263),IF($K263&gt;1,$K263/100,$K263),IF(IFERROR(INDEX(Setup!$D$25:$D$36,MATCH($B263,Setup!$A$25:$A$36,0)),0)&gt;1,IFERROR(INDEX(Setup!$D$25:$D$36,MATCH($B263,Setup!$A$25:$A$36,0)),0)/100,IFERROR(INDEX(Setup!$D$25:$D$36,MATCH($B263,Setup!$A$25:$A$36,0)),0))),2))</f>
        <v>—</v>
      </c>
      <c r="M263" s="21" t="str">
        <f t="shared" si="21"/>
        <v>—</v>
      </c>
      <c r="N263" s="21" t="str">
        <f>IF(OR($B263="",$G263="",$D263="Cancelled"),"—",IFERROR(IF(INDEX(Setup!$E$25:$E$36,MATCH($B263,Setup!$A$25:$A$36,0))=0,"—",INDEX(Setup!$E$25:$E$36,MATCH($B263,Setup!$A$25:$A$36,0))),"—"))</f>
        <v>—</v>
      </c>
      <c r="O263" s="21" t="str">
        <f>IF(OR($B263="",$G263="",$D263="Cancelled"),"—",IFERROR(IF(INDEX(Setup!$F$25:$F$36,MATCH($B263,Setup!$A$25:$A$36,0))=0,"—",INDEX(Setup!$F$25:$F$36,MATCH($B263,Setup!$A$25:$A$36,0))),"—"))</f>
        <v>—</v>
      </c>
      <c r="P263" s="21" t="str">
        <f>IF(OR($B263="",$G263="",$D263="Cancelled",$D263="Owner block"),"—",IF(IFERROR(INDEX(Setup!$G$25:$G$36,MATCH($B263,Setup!$A$25:$A$36,0)),0)+IFERROR(INDEX(Setup!$H$25:$H$36,MATCH($B263,Setup!$A$25:$A$36,0)),0)*IF(ISNUMBER($H263),$H263,0)=0,"—",ROUND(IFERROR(INDEX(Setup!$G$25:$G$36,MATCH($B263,Setup!$A$25:$A$36,0)),0)+IFERROR(INDEX(Setup!$H$25:$H$36,MATCH($B263,Setup!$A$25:$A$36,0)),0)*IF(ISNUMBER($H263),$H263,0),2)))</f>
        <v>—</v>
      </c>
      <c r="Q263" s="21" t="str">
        <f t="shared" si="22"/>
        <v>—</v>
      </c>
      <c r="R263" s="21" t="str">
        <f t="shared" si="23"/>
        <v>—</v>
      </c>
      <c r="S263" s="3"/>
      <c r="T263" s="19" t="str">
        <f ca="1">IF(OR(NOT(ISNUMBER($F263)),NOT(ISNUMBER($G263)),NOT(ISNUMBER(Dashboard!$P$2)),NOT(ISNUMBER(Dashboard!$P$3)),$D263="Cancelled",$D263="Owner block"),"—",IF(MAX(0,MIN($G263,Dashboard!$P$3+1)-MAX($F263,Dashboard!$P$2))=0,"—",MAX(0,MIN($G263,Dashboard!$P$3+1)-MAX($F263,Dashboard!$P$2))))</f>
        <v>—</v>
      </c>
      <c r="U263" s="19" t="str">
        <f ca="1">IF(OR(NOT(ISNUMBER($F263)),NOT(ISNUMBER($G263)),NOT(ISNUMBER(Dashboard!$P$2)),NOT(ISNUMBER(Dashboard!$P$3)),$D263&lt;&gt;"Owner block"),"—",IF(MAX(0,MIN($G263,Dashboard!$P$3+1)-MAX($F263,Dashboard!$P$2))=0,"—",MAX(0,MIN($G263,Dashboard!$P$3+1)-MAX($F263,Dashboard!$P$2))))</f>
        <v>—</v>
      </c>
      <c r="V263" s="7" t="str">
        <f>IF($B263="",IF(COUNTA($C263:$G263,$I263:$K263,$S263)=0,"","⚠ no property — not counted"),IF(COUNTIF(Setup!$A$25:$A$36,$B263)=0,"⚠ property not in Setup",IF(AND($F263&lt;&gt;"",NOT(ISNUMBER($F263))),"⚠ check-in is not a real date",IF(AND($G263&lt;&gt;"",NOT(ISNUMBER($G263))),"⚠ check-out is not a real date",IF(AND($J263&lt;&gt;"",NOT(ISNUMBER($J263))),"⚠ booking value is not a number","OK")))))</f>
        <v/>
      </c>
      <c r="W263" s="21" t="str">
        <f t="shared" si="24"/>
        <v>—</v>
      </c>
    </row>
    <row r="264" spans="1:23" x14ac:dyDescent="0.2">
      <c r="A264" s="30">
        <v>260</v>
      </c>
      <c r="B264" s="8"/>
      <c r="C264" s="8"/>
      <c r="D264" s="8"/>
      <c r="E264" s="8"/>
      <c r="F264" s="34"/>
      <c r="G264" s="34"/>
      <c r="H264" s="19" t="str">
        <f t="shared" si="20"/>
        <v>—</v>
      </c>
      <c r="I264" s="35"/>
      <c r="J264" s="11"/>
      <c r="K264" s="36"/>
      <c r="L264" s="21" t="str">
        <f>IF(OR($B264="",NOT(ISNUMBER($J264)),$D264="Cancelled",$D264="Owner block"),"—",ROUND($J264*IF(ISNUMBER($K264),IF($K264&gt;1,$K264/100,$K264),IF(IFERROR(INDEX(Setup!$D$25:$D$36,MATCH($B264,Setup!$A$25:$A$36,0)),0)&gt;1,IFERROR(INDEX(Setup!$D$25:$D$36,MATCH($B264,Setup!$A$25:$A$36,0)),0)/100,IFERROR(INDEX(Setup!$D$25:$D$36,MATCH($B264,Setup!$A$25:$A$36,0)),0))),2))</f>
        <v>—</v>
      </c>
      <c r="M264" s="21" t="str">
        <f t="shared" si="21"/>
        <v>—</v>
      </c>
      <c r="N264" s="21" t="str">
        <f>IF(OR($B264="",$G264="",$D264="Cancelled"),"—",IFERROR(IF(INDEX(Setup!$E$25:$E$36,MATCH($B264,Setup!$A$25:$A$36,0))=0,"—",INDEX(Setup!$E$25:$E$36,MATCH($B264,Setup!$A$25:$A$36,0))),"—"))</f>
        <v>—</v>
      </c>
      <c r="O264" s="21" t="str">
        <f>IF(OR($B264="",$G264="",$D264="Cancelled"),"—",IFERROR(IF(INDEX(Setup!$F$25:$F$36,MATCH($B264,Setup!$A$25:$A$36,0))=0,"—",INDEX(Setup!$F$25:$F$36,MATCH($B264,Setup!$A$25:$A$36,0))),"—"))</f>
        <v>—</v>
      </c>
      <c r="P264" s="21" t="str">
        <f>IF(OR($B264="",$G264="",$D264="Cancelled",$D264="Owner block"),"—",IF(IFERROR(INDEX(Setup!$G$25:$G$36,MATCH($B264,Setup!$A$25:$A$36,0)),0)+IFERROR(INDEX(Setup!$H$25:$H$36,MATCH($B264,Setup!$A$25:$A$36,0)),0)*IF(ISNUMBER($H264),$H264,0)=0,"—",ROUND(IFERROR(INDEX(Setup!$G$25:$G$36,MATCH($B264,Setup!$A$25:$A$36,0)),0)+IFERROR(INDEX(Setup!$H$25:$H$36,MATCH($B264,Setup!$A$25:$A$36,0)),0)*IF(ISNUMBER($H264),$H264,0),2)))</f>
        <v>—</v>
      </c>
      <c r="Q264" s="21" t="str">
        <f t="shared" si="22"/>
        <v>—</v>
      </c>
      <c r="R264" s="21" t="str">
        <f t="shared" si="23"/>
        <v>—</v>
      </c>
      <c r="S264" s="8"/>
      <c r="T264" s="19" t="str">
        <f ca="1">IF(OR(NOT(ISNUMBER($F264)),NOT(ISNUMBER($G264)),NOT(ISNUMBER(Dashboard!$P$2)),NOT(ISNUMBER(Dashboard!$P$3)),$D264="Cancelled",$D264="Owner block"),"—",IF(MAX(0,MIN($G264,Dashboard!$P$3+1)-MAX($F264,Dashboard!$P$2))=0,"—",MAX(0,MIN($G264,Dashboard!$P$3+1)-MAX($F264,Dashboard!$P$2))))</f>
        <v>—</v>
      </c>
      <c r="U264" s="19" t="str">
        <f ca="1">IF(OR(NOT(ISNUMBER($F264)),NOT(ISNUMBER($G264)),NOT(ISNUMBER(Dashboard!$P$2)),NOT(ISNUMBER(Dashboard!$P$3)),$D264&lt;&gt;"Owner block"),"—",IF(MAX(0,MIN($G264,Dashboard!$P$3+1)-MAX($F264,Dashboard!$P$2))=0,"—",MAX(0,MIN($G264,Dashboard!$P$3+1)-MAX($F264,Dashboard!$P$2))))</f>
        <v>—</v>
      </c>
      <c r="V264" s="7" t="str">
        <f>IF($B264="",IF(COUNTA($C264:$G264,$I264:$K264,$S264)=0,"","⚠ no property — not counted"),IF(COUNTIF(Setup!$A$25:$A$36,$B264)=0,"⚠ property not in Setup",IF(AND($F264&lt;&gt;"",NOT(ISNUMBER($F264))),"⚠ check-in is not a real date",IF(AND($G264&lt;&gt;"",NOT(ISNUMBER($G264))),"⚠ check-out is not a real date",IF(AND($J264&lt;&gt;"",NOT(ISNUMBER($J264))),"⚠ booking value is not a number","OK")))))</f>
        <v/>
      </c>
      <c r="W264" s="21" t="str">
        <f t="shared" si="24"/>
        <v>—</v>
      </c>
    </row>
    <row r="265" spans="1:23" x14ac:dyDescent="0.2">
      <c r="A265" s="30">
        <v>261</v>
      </c>
      <c r="B265" s="3"/>
      <c r="C265" s="3"/>
      <c r="D265" s="3"/>
      <c r="E265" s="3"/>
      <c r="F265" s="31"/>
      <c r="G265" s="31"/>
      <c r="H265" s="19" t="str">
        <f t="shared" si="20"/>
        <v>—</v>
      </c>
      <c r="I265" s="32"/>
      <c r="J265" s="6"/>
      <c r="K265" s="33"/>
      <c r="L265" s="21" t="str">
        <f>IF(OR($B265="",NOT(ISNUMBER($J265)),$D265="Cancelled",$D265="Owner block"),"—",ROUND($J265*IF(ISNUMBER($K265),IF($K265&gt;1,$K265/100,$K265),IF(IFERROR(INDEX(Setup!$D$25:$D$36,MATCH($B265,Setup!$A$25:$A$36,0)),0)&gt;1,IFERROR(INDEX(Setup!$D$25:$D$36,MATCH($B265,Setup!$A$25:$A$36,0)),0)/100,IFERROR(INDEX(Setup!$D$25:$D$36,MATCH($B265,Setup!$A$25:$A$36,0)),0))),2))</f>
        <v>—</v>
      </c>
      <c r="M265" s="21" t="str">
        <f t="shared" si="21"/>
        <v>—</v>
      </c>
      <c r="N265" s="21" t="str">
        <f>IF(OR($B265="",$G265="",$D265="Cancelled"),"—",IFERROR(IF(INDEX(Setup!$E$25:$E$36,MATCH($B265,Setup!$A$25:$A$36,0))=0,"—",INDEX(Setup!$E$25:$E$36,MATCH($B265,Setup!$A$25:$A$36,0))),"—"))</f>
        <v>—</v>
      </c>
      <c r="O265" s="21" t="str">
        <f>IF(OR($B265="",$G265="",$D265="Cancelled"),"—",IFERROR(IF(INDEX(Setup!$F$25:$F$36,MATCH($B265,Setup!$A$25:$A$36,0))=0,"—",INDEX(Setup!$F$25:$F$36,MATCH($B265,Setup!$A$25:$A$36,0))),"—"))</f>
        <v>—</v>
      </c>
      <c r="P265" s="21" t="str">
        <f>IF(OR($B265="",$G265="",$D265="Cancelled",$D265="Owner block"),"—",IF(IFERROR(INDEX(Setup!$G$25:$G$36,MATCH($B265,Setup!$A$25:$A$36,0)),0)+IFERROR(INDEX(Setup!$H$25:$H$36,MATCH($B265,Setup!$A$25:$A$36,0)),0)*IF(ISNUMBER($H265),$H265,0)=0,"—",ROUND(IFERROR(INDEX(Setup!$G$25:$G$36,MATCH($B265,Setup!$A$25:$A$36,0)),0)+IFERROR(INDEX(Setup!$H$25:$H$36,MATCH($B265,Setup!$A$25:$A$36,0)),0)*IF(ISNUMBER($H265),$H265,0),2)))</f>
        <v>—</v>
      </c>
      <c r="Q265" s="21" t="str">
        <f t="shared" si="22"/>
        <v>—</v>
      </c>
      <c r="R265" s="21" t="str">
        <f t="shared" si="23"/>
        <v>—</v>
      </c>
      <c r="S265" s="3"/>
      <c r="T265" s="19" t="str">
        <f ca="1">IF(OR(NOT(ISNUMBER($F265)),NOT(ISNUMBER($G265)),NOT(ISNUMBER(Dashboard!$P$2)),NOT(ISNUMBER(Dashboard!$P$3)),$D265="Cancelled",$D265="Owner block"),"—",IF(MAX(0,MIN($G265,Dashboard!$P$3+1)-MAX($F265,Dashboard!$P$2))=0,"—",MAX(0,MIN($G265,Dashboard!$P$3+1)-MAX($F265,Dashboard!$P$2))))</f>
        <v>—</v>
      </c>
      <c r="U265" s="19" t="str">
        <f ca="1">IF(OR(NOT(ISNUMBER($F265)),NOT(ISNUMBER($G265)),NOT(ISNUMBER(Dashboard!$P$2)),NOT(ISNUMBER(Dashboard!$P$3)),$D265&lt;&gt;"Owner block"),"—",IF(MAX(0,MIN($G265,Dashboard!$P$3+1)-MAX($F265,Dashboard!$P$2))=0,"—",MAX(0,MIN($G265,Dashboard!$P$3+1)-MAX($F265,Dashboard!$P$2))))</f>
        <v>—</v>
      </c>
      <c r="V265" s="7" t="str">
        <f>IF($B265="",IF(COUNTA($C265:$G265,$I265:$K265,$S265)=0,"","⚠ no property — not counted"),IF(COUNTIF(Setup!$A$25:$A$36,$B265)=0,"⚠ property not in Setup",IF(AND($F265&lt;&gt;"",NOT(ISNUMBER($F265))),"⚠ check-in is not a real date",IF(AND($G265&lt;&gt;"",NOT(ISNUMBER($G265))),"⚠ check-out is not a real date",IF(AND($J265&lt;&gt;"",NOT(ISNUMBER($J265))),"⚠ booking value is not a number","OK")))))</f>
        <v/>
      </c>
      <c r="W265" s="21" t="str">
        <f t="shared" si="24"/>
        <v>—</v>
      </c>
    </row>
    <row r="266" spans="1:23" x14ac:dyDescent="0.2">
      <c r="A266" s="30">
        <v>262</v>
      </c>
      <c r="B266" s="8"/>
      <c r="C266" s="8"/>
      <c r="D266" s="8"/>
      <c r="E266" s="8"/>
      <c r="F266" s="34"/>
      <c r="G266" s="34"/>
      <c r="H266" s="19" t="str">
        <f t="shared" si="20"/>
        <v>—</v>
      </c>
      <c r="I266" s="35"/>
      <c r="J266" s="11"/>
      <c r="K266" s="36"/>
      <c r="L266" s="21" t="str">
        <f>IF(OR($B266="",NOT(ISNUMBER($J266)),$D266="Cancelled",$D266="Owner block"),"—",ROUND($J266*IF(ISNUMBER($K266),IF($K266&gt;1,$K266/100,$K266),IF(IFERROR(INDEX(Setup!$D$25:$D$36,MATCH($B266,Setup!$A$25:$A$36,0)),0)&gt;1,IFERROR(INDEX(Setup!$D$25:$D$36,MATCH($B266,Setup!$A$25:$A$36,0)),0)/100,IFERROR(INDEX(Setup!$D$25:$D$36,MATCH($B266,Setup!$A$25:$A$36,0)),0))),2))</f>
        <v>—</v>
      </c>
      <c r="M266" s="21" t="str">
        <f t="shared" si="21"/>
        <v>—</v>
      </c>
      <c r="N266" s="21" t="str">
        <f>IF(OR($B266="",$G266="",$D266="Cancelled"),"—",IFERROR(IF(INDEX(Setup!$E$25:$E$36,MATCH($B266,Setup!$A$25:$A$36,0))=0,"—",INDEX(Setup!$E$25:$E$36,MATCH($B266,Setup!$A$25:$A$36,0))),"—"))</f>
        <v>—</v>
      </c>
      <c r="O266" s="21" t="str">
        <f>IF(OR($B266="",$G266="",$D266="Cancelled"),"—",IFERROR(IF(INDEX(Setup!$F$25:$F$36,MATCH($B266,Setup!$A$25:$A$36,0))=0,"—",INDEX(Setup!$F$25:$F$36,MATCH($B266,Setup!$A$25:$A$36,0))),"—"))</f>
        <v>—</v>
      </c>
      <c r="P266" s="21" t="str">
        <f>IF(OR($B266="",$G266="",$D266="Cancelled",$D266="Owner block"),"—",IF(IFERROR(INDEX(Setup!$G$25:$G$36,MATCH($B266,Setup!$A$25:$A$36,0)),0)+IFERROR(INDEX(Setup!$H$25:$H$36,MATCH($B266,Setup!$A$25:$A$36,0)),0)*IF(ISNUMBER($H266),$H266,0)=0,"—",ROUND(IFERROR(INDEX(Setup!$G$25:$G$36,MATCH($B266,Setup!$A$25:$A$36,0)),0)+IFERROR(INDEX(Setup!$H$25:$H$36,MATCH($B266,Setup!$A$25:$A$36,0)),0)*IF(ISNUMBER($H266),$H266,0),2)))</f>
        <v>—</v>
      </c>
      <c r="Q266" s="21" t="str">
        <f t="shared" si="22"/>
        <v>—</v>
      </c>
      <c r="R266" s="21" t="str">
        <f t="shared" si="23"/>
        <v>—</v>
      </c>
      <c r="S266" s="8"/>
      <c r="T266" s="19" t="str">
        <f ca="1">IF(OR(NOT(ISNUMBER($F266)),NOT(ISNUMBER($G266)),NOT(ISNUMBER(Dashboard!$P$2)),NOT(ISNUMBER(Dashboard!$P$3)),$D266="Cancelled",$D266="Owner block"),"—",IF(MAX(0,MIN($G266,Dashboard!$P$3+1)-MAX($F266,Dashboard!$P$2))=0,"—",MAX(0,MIN($G266,Dashboard!$P$3+1)-MAX($F266,Dashboard!$P$2))))</f>
        <v>—</v>
      </c>
      <c r="U266" s="19" t="str">
        <f ca="1">IF(OR(NOT(ISNUMBER($F266)),NOT(ISNUMBER($G266)),NOT(ISNUMBER(Dashboard!$P$2)),NOT(ISNUMBER(Dashboard!$P$3)),$D266&lt;&gt;"Owner block"),"—",IF(MAX(0,MIN($G266,Dashboard!$P$3+1)-MAX($F266,Dashboard!$P$2))=0,"—",MAX(0,MIN($G266,Dashboard!$P$3+1)-MAX($F266,Dashboard!$P$2))))</f>
        <v>—</v>
      </c>
      <c r="V266" s="7" t="str">
        <f>IF($B266="",IF(COUNTA($C266:$G266,$I266:$K266,$S266)=0,"","⚠ no property — not counted"),IF(COUNTIF(Setup!$A$25:$A$36,$B266)=0,"⚠ property not in Setup",IF(AND($F266&lt;&gt;"",NOT(ISNUMBER($F266))),"⚠ check-in is not a real date",IF(AND($G266&lt;&gt;"",NOT(ISNUMBER($G266))),"⚠ check-out is not a real date",IF(AND($J266&lt;&gt;"",NOT(ISNUMBER($J266))),"⚠ booking value is not a number","OK")))))</f>
        <v/>
      </c>
      <c r="W266" s="21" t="str">
        <f t="shared" si="24"/>
        <v>—</v>
      </c>
    </row>
    <row r="267" spans="1:23" x14ac:dyDescent="0.2">
      <c r="A267" s="30">
        <v>263</v>
      </c>
      <c r="B267" s="3"/>
      <c r="C267" s="3"/>
      <c r="D267" s="3"/>
      <c r="E267" s="3"/>
      <c r="F267" s="31"/>
      <c r="G267" s="31"/>
      <c r="H267" s="19" t="str">
        <f t="shared" si="20"/>
        <v>—</v>
      </c>
      <c r="I267" s="32"/>
      <c r="J267" s="6"/>
      <c r="K267" s="33"/>
      <c r="L267" s="21" t="str">
        <f>IF(OR($B267="",NOT(ISNUMBER($J267)),$D267="Cancelled",$D267="Owner block"),"—",ROUND($J267*IF(ISNUMBER($K267),IF($K267&gt;1,$K267/100,$K267),IF(IFERROR(INDEX(Setup!$D$25:$D$36,MATCH($B267,Setup!$A$25:$A$36,0)),0)&gt;1,IFERROR(INDEX(Setup!$D$25:$D$36,MATCH($B267,Setup!$A$25:$A$36,0)),0)/100,IFERROR(INDEX(Setup!$D$25:$D$36,MATCH($B267,Setup!$A$25:$A$36,0)),0))),2))</f>
        <v>—</v>
      </c>
      <c r="M267" s="21" t="str">
        <f t="shared" si="21"/>
        <v>—</v>
      </c>
      <c r="N267" s="21" t="str">
        <f>IF(OR($B267="",$G267="",$D267="Cancelled"),"—",IFERROR(IF(INDEX(Setup!$E$25:$E$36,MATCH($B267,Setup!$A$25:$A$36,0))=0,"—",INDEX(Setup!$E$25:$E$36,MATCH($B267,Setup!$A$25:$A$36,0))),"—"))</f>
        <v>—</v>
      </c>
      <c r="O267" s="21" t="str">
        <f>IF(OR($B267="",$G267="",$D267="Cancelled"),"—",IFERROR(IF(INDEX(Setup!$F$25:$F$36,MATCH($B267,Setup!$A$25:$A$36,0))=0,"—",INDEX(Setup!$F$25:$F$36,MATCH($B267,Setup!$A$25:$A$36,0))),"—"))</f>
        <v>—</v>
      </c>
      <c r="P267" s="21" t="str">
        <f>IF(OR($B267="",$G267="",$D267="Cancelled",$D267="Owner block"),"—",IF(IFERROR(INDEX(Setup!$G$25:$G$36,MATCH($B267,Setup!$A$25:$A$36,0)),0)+IFERROR(INDEX(Setup!$H$25:$H$36,MATCH($B267,Setup!$A$25:$A$36,0)),0)*IF(ISNUMBER($H267),$H267,0)=0,"—",ROUND(IFERROR(INDEX(Setup!$G$25:$G$36,MATCH($B267,Setup!$A$25:$A$36,0)),0)+IFERROR(INDEX(Setup!$H$25:$H$36,MATCH($B267,Setup!$A$25:$A$36,0)),0)*IF(ISNUMBER($H267),$H267,0),2)))</f>
        <v>—</v>
      </c>
      <c r="Q267" s="21" t="str">
        <f t="shared" si="22"/>
        <v>—</v>
      </c>
      <c r="R267" s="21" t="str">
        <f t="shared" si="23"/>
        <v>—</v>
      </c>
      <c r="S267" s="3"/>
      <c r="T267" s="19" t="str">
        <f ca="1">IF(OR(NOT(ISNUMBER($F267)),NOT(ISNUMBER($G267)),NOT(ISNUMBER(Dashboard!$P$2)),NOT(ISNUMBER(Dashboard!$P$3)),$D267="Cancelled",$D267="Owner block"),"—",IF(MAX(0,MIN($G267,Dashboard!$P$3+1)-MAX($F267,Dashboard!$P$2))=0,"—",MAX(0,MIN($G267,Dashboard!$P$3+1)-MAX($F267,Dashboard!$P$2))))</f>
        <v>—</v>
      </c>
      <c r="U267" s="19" t="str">
        <f ca="1">IF(OR(NOT(ISNUMBER($F267)),NOT(ISNUMBER($G267)),NOT(ISNUMBER(Dashboard!$P$2)),NOT(ISNUMBER(Dashboard!$P$3)),$D267&lt;&gt;"Owner block"),"—",IF(MAX(0,MIN($G267,Dashboard!$P$3+1)-MAX($F267,Dashboard!$P$2))=0,"—",MAX(0,MIN($G267,Dashboard!$P$3+1)-MAX($F267,Dashboard!$P$2))))</f>
        <v>—</v>
      </c>
      <c r="V267" s="7" t="str">
        <f>IF($B267="",IF(COUNTA($C267:$G267,$I267:$K267,$S267)=0,"","⚠ no property — not counted"),IF(COUNTIF(Setup!$A$25:$A$36,$B267)=0,"⚠ property not in Setup",IF(AND($F267&lt;&gt;"",NOT(ISNUMBER($F267))),"⚠ check-in is not a real date",IF(AND($G267&lt;&gt;"",NOT(ISNUMBER($G267))),"⚠ check-out is not a real date",IF(AND($J267&lt;&gt;"",NOT(ISNUMBER($J267))),"⚠ booking value is not a number","OK")))))</f>
        <v/>
      </c>
      <c r="W267" s="21" t="str">
        <f t="shared" si="24"/>
        <v>—</v>
      </c>
    </row>
    <row r="268" spans="1:23" x14ac:dyDescent="0.2">
      <c r="A268" s="30">
        <v>264</v>
      </c>
      <c r="B268" s="8"/>
      <c r="C268" s="8"/>
      <c r="D268" s="8"/>
      <c r="E268" s="8"/>
      <c r="F268" s="34"/>
      <c r="G268" s="34"/>
      <c r="H268" s="19" t="str">
        <f t="shared" si="20"/>
        <v>—</v>
      </c>
      <c r="I268" s="35"/>
      <c r="J268" s="11"/>
      <c r="K268" s="36"/>
      <c r="L268" s="21" t="str">
        <f>IF(OR($B268="",NOT(ISNUMBER($J268)),$D268="Cancelled",$D268="Owner block"),"—",ROUND($J268*IF(ISNUMBER($K268),IF($K268&gt;1,$K268/100,$K268),IF(IFERROR(INDEX(Setup!$D$25:$D$36,MATCH($B268,Setup!$A$25:$A$36,0)),0)&gt;1,IFERROR(INDEX(Setup!$D$25:$D$36,MATCH($B268,Setup!$A$25:$A$36,0)),0)/100,IFERROR(INDEX(Setup!$D$25:$D$36,MATCH($B268,Setup!$A$25:$A$36,0)),0))),2))</f>
        <v>—</v>
      </c>
      <c r="M268" s="21" t="str">
        <f t="shared" si="21"/>
        <v>—</v>
      </c>
      <c r="N268" s="21" t="str">
        <f>IF(OR($B268="",$G268="",$D268="Cancelled"),"—",IFERROR(IF(INDEX(Setup!$E$25:$E$36,MATCH($B268,Setup!$A$25:$A$36,0))=0,"—",INDEX(Setup!$E$25:$E$36,MATCH($B268,Setup!$A$25:$A$36,0))),"—"))</f>
        <v>—</v>
      </c>
      <c r="O268" s="21" t="str">
        <f>IF(OR($B268="",$G268="",$D268="Cancelled"),"—",IFERROR(IF(INDEX(Setup!$F$25:$F$36,MATCH($B268,Setup!$A$25:$A$36,0))=0,"—",INDEX(Setup!$F$25:$F$36,MATCH($B268,Setup!$A$25:$A$36,0))),"—"))</f>
        <v>—</v>
      </c>
      <c r="P268" s="21" t="str">
        <f>IF(OR($B268="",$G268="",$D268="Cancelled",$D268="Owner block"),"—",IF(IFERROR(INDEX(Setup!$G$25:$G$36,MATCH($B268,Setup!$A$25:$A$36,0)),0)+IFERROR(INDEX(Setup!$H$25:$H$36,MATCH($B268,Setup!$A$25:$A$36,0)),0)*IF(ISNUMBER($H268),$H268,0)=0,"—",ROUND(IFERROR(INDEX(Setup!$G$25:$G$36,MATCH($B268,Setup!$A$25:$A$36,0)),0)+IFERROR(INDEX(Setup!$H$25:$H$36,MATCH($B268,Setup!$A$25:$A$36,0)),0)*IF(ISNUMBER($H268),$H268,0),2)))</f>
        <v>—</v>
      </c>
      <c r="Q268" s="21" t="str">
        <f t="shared" si="22"/>
        <v>—</v>
      </c>
      <c r="R268" s="21" t="str">
        <f t="shared" si="23"/>
        <v>—</v>
      </c>
      <c r="S268" s="8"/>
      <c r="T268" s="19" t="str">
        <f ca="1">IF(OR(NOT(ISNUMBER($F268)),NOT(ISNUMBER($G268)),NOT(ISNUMBER(Dashboard!$P$2)),NOT(ISNUMBER(Dashboard!$P$3)),$D268="Cancelled",$D268="Owner block"),"—",IF(MAX(0,MIN($G268,Dashboard!$P$3+1)-MAX($F268,Dashboard!$P$2))=0,"—",MAX(0,MIN($G268,Dashboard!$P$3+1)-MAX($F268,Dashboard!$P$2))))</f>
        <v>—</v>
      </c>
      <c r="U268" s="19" t="str">
        <f ca="1">IF(OR(NOT(ISNUMBER($F268)),NOT(ISNUMBER($G268)),NOT(ISNUMBER(Dashboard!$P$2)),NOT(ISNUMBER(Dashboard!$P$3)),$D268&lt;&gt;"Owner block"),"—",IF(MAX(0,MIN($G268,Dashboard!$P$3+1)-MAX($F268,Dashboard!$P$2))=0,"—",MAX(0,MIN($G268,Dashboard!$P$3+1)-MAX($F268,Dashboard!$P$2))))</f>
        <v>—</v>
      </c>
      <c r="V268" s="7" t="str">
        <f>IF($B268="",IF(COUNTA($C268:$G268,$I268:$K268,$S268)=0,"","⚠ no property — not counted"),IF(COUNTIF(Setup!$A$25:$A$36,$B268)=0,"⚠ property not in Setup",IF(AND($F268&lt;&gt;"",NOT(ISNUMBER($F268))),"⚠ check-in is not a real date",IF(AND($G268&lt;&gt;"",NOT(ISNUMBER($G268))),"⚠ check-out is not a real date",IF(AND($J268&lt;&gt;"",NOT(ISNUMBER($J268))),"⚠ booking value is not a number","OK")))))</f>
        <v/>
      </c>
      <c r="W268" s="21" t="str">
        <f t="shared" si="24"/>
        <v>—</v>
      </c>
    </row>
    <row r="269" spans="1:23" x14ac:dyDescent="0.2">
      <c r="A269" s="30">
        <v>265</v>
      </c>
      <c r="B269" s="3"/>
      <c r="C269" s="3"/>
      <c r="D269" s="3"/>
      <c r="E269" s="3"/>
      <c r="F269" s="31"/>
      <c r="G269" s="31"/>
      <c r="H269" s="19" t="str">
        <f t="shared" si="20"/>
        <v>—</v>
      </c>
      <c r="I269" s="32"/>
      <c r="J269" s="6"/>
      <c r="K269" s="33"/>
      <c r="L269" s="21" t="str">
        <f>IF(OR($B269="",NOT(ISNUMBER($J269)),$D269="Cancelled",$D269="Owner block"),"—",ROUND($J269*IF(ISNUMBER($K269),IF($K269&gt;1,$K269/100,$K269),IF(IFERROR(INDEX(Setup!$D$25:$D$36,MATCH($B269,Setup!$A$25:$A$36,0)),0)&gt;1,IFERROR(INDEX(Setup!$D$25:$D$36,MATCH($B269,Setup!$A$25:$A$36,0)),0)/100,IFERROR(INDEX(Setup!$D$25:$D$36,MATCH($B269,Setup!$A$25:$A$36,0)),0))),2))</f>
        <v>—</v>
      </c>
      <c r="M269" s="21" t="str">
        <f t="shared" si="21"/>
        <v>—</v>
      </c>
      <c r="N269" s="21" t="str">
        <f>IF(OR($B269="",$G269="",$D269="Cancelled"),"—",IFERROR(IF(INDEX(Setup!$E$25:$E$36,MATCH($B269,Setup!$A$25:$A$36,0))=0,"—",INDEX(Setup!$E$25:$E$36,MATCH($B269,Setup!$A$25:$A$36,0))),"—"))</f>
        <v>—</v>
      </c>
      <c r="O269" s="21" t="str">
        <f>IF(OR($B269="",$G269="",$D269="Cancelled"),"—",IFERROR(IF(INDEX(Setup!$F$25:$F$36,MATCH($B269,Setup!$A$25:$A$36,0))=0,"—",INDEX(Setup!$F$25:$F$36,MATCH($B269,Setup!$A$25:$A$36,0))),"—"))</f>
        <v>—</v>
      </c>
      <c r="P269" s="21" t="str">
        <f>IF(OR($B269="",$G269="",$D269="Cancelled",$D269="Owner block"),"—",IF(IFERROR(INDEX(Setup!$G$25:$G$36,MATCH($B269,Setup!$A$25:$A$36,0)),0)+IFERROR(INDEX(Setup!$H$25:$H$36,MATCH($B269,Setup!$A$25:$A$36,0)),0)*IF(ISNUMBER($H269),$H269,0)=0,"—",ROUND(IFERROR(INDEX(Setup!$G$25:$G$36,MATCH($B269,Setup!$A$25:$A$36,0)),0)+IFERROR(INDEX(Setup!$H$25:$H$36,MATCH($B269,Setup!$A$25:$A$36,0)),0)*IF(ISNUMBER($H269),$H269,0),2)))</f>
        <v>—</v>
      </c>
      <c r="Q269" s="21" t="str">
        <f t="shared" si="22"/>
        <v>—</v>
      </c>
      <c r="R269" s="21" t="str">
        <f t="shared" si="23"/>
        <v>—</v>
      </c>
      <c r="S269" s="3"/>
      <c r="T269" s="19" t="str">
        <f ca="1">IF(OR(NOT(ISNUMBER($F269)),NOT(ISNUMBER($G269)),NOT(ISNUMBER(Dashboard!$P$2)),NOT(ISNUMBER(Dashboard!$P$3)),$D269="Cancelled",$D269="Owner block"),"—",IF(MAX(0,MIN($G269,Dashboard!$P$3+1)-MAX($F269,Dashboard!$P$2))=0,"—",MAX(0,MIN($G269,Dashboard!$P$3+1)-MAX($F269,Dashboard!$P$2))))</f>
        <v>—</v>
      </c>
      <c r="U269" s="19" t="str">
        <f ca="1">IF(OR(NOT(ISNUMBER($F269)),NOT(ISNUMBER($G269)),NOT(ISNUMBER(Dashboard!$P$2)),NOT(ISNUMBER(Dashboard!$P$3)),$D269&lt;&gt;"Owner block"),"—",IF(MAX(0,MIN($G269,Dashboard!$P$3+1)-MAX($F269,Dashboard!$P$2))=0,"—",MAX(0,MIN($G269,Dashboard!$P$3+1)-MAX($F269,Dashboard!$P$2))))</f>
        <v>—</v>
      </c>
      <c r="V269" s="7" t="str">
        <f>IF($B269="",IF(COUNTA($C269:$G269,$I269:$K269,$S269)=0,"","⚠ no property — not counted"),IF(COUNTIF(Setup!$A$25:$A$36,$B269)=0,"⚠ property not in Setup",IF(AND($F269&lt;&gt;"",NOT(ISNUMBER($F269))),"⚠ check-in is not a real date",IF(AND($G269&lt;&gt;"",NOT(ISNUMBER($G269))),"⚠ check-out is not a real date",IF(AND($J269&lt;&gt;"",NOT(ISNUMBER($J269))),"⚠ booking value is not a number","OK")))))</f>
        <v/>
      </c>
      <c r="W269" s="21" t="str">
        <f t="shared" si="24"/>
        <v>—</v>
      </c>
    </row>
    <row r="270" spans="1:23" x14ac:dyDescent="0.2">
      <c r="A270" s="30">
        <v>266</v>
      </c>
      <c r="B270" s="8"/>
      <c r="C270" s="8"/>
      <c r="D270" s="8"/>
      <c r="E270" s="8"/>
      <c r="F270" s="34"/>
      <c r="G270" s="34"/>
      <c r="H270" s="19" t="str">
        <f t="shared" si="20"/>
        <v>—</v>
      </c>
      <c r="I270" s="35"/>
      <c r="J270" s="11"/>
      <c r="K270" s="36"/>
      <c r="L270" s="21" t="str">
        <f>IF(OR($B270="",NOT(ISNUMBER($J270)),$D270="Cancelled",$D270="Owner block"),"—",ROUND($J270*IF(ISNUMBER($K270),IF($K270&gt;1,$K270/100,$K270),IF(IFERROR(INDEX(Setup!$D$25:$D$36,MATCH($B270,Setup!$A$25:$A$36,0)),0)&gt;1,IFERROR(INDEX(Setup!$D$25:$D$36,MATCH($B270,Setup!$A$25:$A$36,0)),0)/100,IFERROR(INDEX(Setup!$D$25:$D$36,MATCH($B270,Setup!$A$25:$A$36,0)),0))),2))</f>
        <v>—</v>
      </c>
      <c r="M270" s="21" t="str">
        <f t="shared" si="21"/>
        <v>—</v>
      </c>
      <c r="N270" s="21" t="str">
        <f>IF(OR($B270="",$G270="",$D270="Cancelled"),"—",IFERROR(IF(INDEX(Setup!$E$25:$E$36,MATCH($B270,Setup!$A$25:$A$36,0))=0,"—",INDEX(Setup!$E$25:$E$36,MATCH($B270,Setup!$A$25:$A$36,0))),"—"))</f>
        <v>—</v>
      </c>
      <c r="O270" s="21" t="str">
        <f>IF(OR($B270="",$G270="",$D270="Cancelled"),"—",IFERROR(IF(INDEX(Setup!$F$25:$F$36,MATCH($B270,Setup!$A$25:$A$36,0))=0,"—",INDEX(Setup!$F$25:$F$36,MATCH($B270,Setup!$A$25:$A$36,0))),"—"))</f>
        <v>—</v>
      </c>
      <c r="P270" s="21" t="str">
        <f>IF(OR($B270="",$G270="",$D270="Cancelled",$D270="Owner block"),"—",IF(IFERROR(INDEX(Setup!$G$25:$G$36,MATCH($B270,Setup!$A$25:$A$36,0)),0)+IFERROR(INDEX(Setup!$H$25:$H$36,MATCH($B270,Setup!$A$25:$A$36,0)),0)*IF(ISNUMBER($H270),$H270,0)=0,"—",ROUND(IFERROR(INDEX(Setup!$G$25:$G$36,MATCH($B270,Setup!$A$25:$A$36,0)),0)+IFERROR(INDEX(Setup!$H$25:$H$36,MATCH($B270,Setup!$A$25:$A$36,0)),0)*IF(ISNUMBER($H270),$H270,0),2)))</f>
        <v>—</v>
      </c>
      <c r="Q270" s="21" t="str">
        <f t="shared" si="22"/>
        <v>—</v>
      </c>
      <c r="R270" s="21" t="str">
        <f t="shared" si="23"/>
        <v>—</v>
      </c>
      <c r="S270" s="8"/>
      <c r="T270" s="19" t="str">
        <f ca="1">IF(OR(NOT(ISNUMBER($F270)),NOT(ISNUMBER($G270)),NOT(ISNUMBER(Dashboard!$P$2)),NOT(ISNUMBER(Dashboard!$P$3)),$D270="Cancelled",$D270="Owner block"),"—",IF(MAX(0,MIN($G270,Dashboard!$P$3+1)-MAX($F270,Dashboard!$P$2))=0,"—",MAX(0,MIN($G270,Dashboard!$P$3+1)-MAX($F270,Dashboard!$P$2))))</f>
        <v>—</v>
      </c>
      <c r="U270" s="19" t="str">
        <f ca="1">IF(OR(NOT(ISNUMBER($F270)),NOT(ISNUMBER($G270)),NOT(ISNUMBER(Dashboard!$P$2)),NOT(ISNUMBER(Dashboard!$P$3)),$D270&lt;&gt;"Owner block"),"—",IF(MAX(0,MIN($G270,Dashboard!$P$3+1)-MAX($F270,Dashboard!$P$2))=0,"—",MAX(0,MIN($G270,Dashboard!$P$3+1)-MAX($F270,Dashboard!$P$2))))</f>
        <v>—</v>
      </c>
      <c r="V270" s="7" t="str">
        <f>IF($B270="",IF(COUNTA($C270:$G270,$I270:$K270,$S270)=0,"","⚠ no property — not counted"),IF(COUNTIF(Setup!$A$25:$A$36,$B270)=0,"⚠ property not in Setup",IF(AND($F270&lt;&gt;"",NOT(ISNUMBER($F270))),"⚠ check-in is not a real date",IF(AND($G270&lt;&gt;"",NOT(ISNUMBER($G270))),"⚠ check-out is not a real date",IF(AND($J270&lt;&gt;"",NOT(ISNUMBER($J270))),"⚠ booking value is not a number","OK")))))</f>
        <v/>
      </c>
      <c r="W270" s="21" t="str">
        <f t="shared" si="24"/>
        <v>—</v>
      </c>
    </row>
    <row r="271" spans="1:23" x14ac:dyDescent="0.2">
      <c r="A271" s="30">
        <v>267</v>
      </c>
      <c r="B271" s="3"/>
      <c r="C271" s="3"/>
      <c r="D271" s="3"/>
      <c r="E271" s="3"/>
      <c r="F271" s="31"/>
      <c r="G271" s="31"/>
      <c r="H271" s="19" t="str">
        <f t="shared" si="20"/>
        <v>—</v>
      </c>
      <c r="I271" s="32"/>
      <c r="J271" s="6"/>
      <c r="K271" s="33"/>
      <c r="L271" s="21" t="str">
        <f>IF(OR($B271="",NOT(ISNUMBER($J271)),$D271="Cancelled",$D271="Owner block"),"—",ROUND($J271*IF(ISNUMBER($K271),IF($K271&gt;1,$K271/100,$K271),IF(IFERROR(INDEX(Setup!$D$25:$D$36,MATCH($B271,Setup!$A$25:$A$36,0)),0)&gt;1,IFERROR(INDEX(Setup!$D$25:$D$36,MATCH($B271,Setup!$A$25:$A$36,0)),0)/100,IFERROR(INDEX(Setup!$D$25:$D$36,MATCH($B271,Setup!$A$25:$A$36,0)),0))),2))</f>
        <v>—</v>
      </c>
      <c r="M271" s="21" t="str">
        <f t="shared" si="21"/>
        <v>—</v>
      </c>
      <c r="N271" s="21" t="str">
        <f>IF(OR($B271="",$G271="",$D271="Cancelled"),"—",IFERROR(IF(INDEX(Setup!$E$25:$E$36,MATCH($B271,Setup!$A$25:$A$36,0))=0,"—",INDEX(Setup!$E$25:$E$36,MATCH($B271,Setup!$A$25:$A$36,0))),"—"))</f>
        <v>—</v>
      </c>
      <c r="O271" s="21" t="str">
        <f>IF(OR($B271="",$G271="",$D271="Cancelled"),"—",IFERROR(IF(INDEX(Setup!$F$25:$F$36,MATCH($B271,Setup!$A$25:$A$36,0))=0,"—",INDEX(Setup!$F$25:$F$36,MATCH($B271,Setup!$A$25:$A$36,0))),"—"))</f>
        <v>—</v>
      </c>
      <c r="P271" s="21" t="str">
        <f>IF(OR($B271="",$G271="",$D271="Cancelled",$D271="Owner block"),"—",IF(IFERROR(INDEX(Setup!$G$25:$G$36,MATCH($B271,Setup!$A$25:$A$36,0)),0)+IFERROR(INDEX(Setup!$H$25:$H$36,MATCH($B271,Setup!$A$25:$A$36,0)),0)*IF(ISNUMBER($H271),$H271,0)=0,"—",ROUND(IFERROR(INDEX(Setup!$G$25:$G$36,MATCH($B271,Setup!$A$25:$A$36,0)),0)+IFERROR(INDEX(Setup!$H$25:$H$36,MATCH($B271,Setup!$A$25:$A$36,0)),0)*IF(ISNUMBER($H271),$H271,0),2)))</f>
        <v>—</v>
      </c>
      <c r="Q271" s="21" t="str">
        <f t="shared" si="22"/>
        <v>—</v>
      </c>
      <c r="R271" s="21" t="str">
        <f t="shared" si="23"/>
        <v>—</v>
      </c>
      <c r="S271" s="3"/>
      <c r="T271" s="19" t="str">
        <f ca="1">IF(OR(NOT(ISNUMBER($F271)),NOT(ISNUMBER($G271)),NOT(ISNUMBER(Dashboard!$P$2)),NOT(ISNUMBER(Dashboard!$P$3)),$D271="Cancelled",$D271="Owner block"),"—",IF(MAX(0,MIN($G271,Dashboard!$P$3+1)-MAX($F271,Dashboard!$P$2))=0,"—",MAX(0,MIN($G271,Dashboard!$P$3+1)-MAX($F271,Dashboard!$P$2))))</f>
        <v>—</v>
      </c>
      <c r="U271" s="19" t="str">
        <f ca="1">IF(OR(NOT(ISNUMBER($F271)),NOT(ISNUMBER($G271)),NOT(ISNUMBER(Dashboard!$P$2)),NOT(ISNUMBER(Dashboard!$P$3)),$D271&lt;&gt;"Owner block"),"—",IF(MAX(0,MIN($G271,Dashboard!$P$3+1)-MAX($F271,Dashboard!$P$2))=0,"—",MAX(0,MIN($G271,Dashboard!$P$3+1)-MAX($F271,Dashboard!$P$2))))</f>
        <v>—</v>
      </c>
      <c r="V271" s="7" t="str">
        <f>IF($B271="",IF(COUNTA($C271:$G271,$I271:$K271,$S271)=0,"","⚠ no property — not counted"),IF(COUNTIF(Setup!$A$25:$A$36,$B271)=0,"⚠ property not in Setup",IF(AND($F271&lt;&gt;"",NOT(ISNUMBER($F271))),"⚠ check-in is not a real date",IF(AND($G271&lt;&gt;"",NOT(ISNUMBER($G271))),"⚠ check-out is not a real date",IF(AND($J271&lt;&gt;"",NOT(ISNUMBER($J271))),"⚠ booking value is not a number","OK")))))</f>
        <v/>
      </c>
      <c r="W271" s="21" t="str">
        <f t="shared" si="24"/>
        <v>—</v>
      </c>
    </row>
    <row r="272" spans="1:23" x14ac:dyDescent="0.2">
      <c r="A272" s="30">
        <v>268</v>
      </c>
      <c r="B272" s="8"/>
      <c r="C272" s="8"/>
      <c r="D272" s="8"/>
      <c r="E272" s="8"/>
      <c r="F272" s="34"/>
      <c r="G272" s="34"/>
      <c r="H272" s="19" t="str">
        <f t="shared" si="20"/>
        <v>—</v>
      </c>
      <c r="I272" s="35"/>
      <c r="J272" s="11"/>
      <c r="K272" s="36"/>
      <c r="L272" s="21" t="str">
        <f>IF(OR($B272="",NOT(ISNUMBER($J272)),$D272="Cancelled",$D272="Owner block"),"—",ROUND($J272*IF(ISNUMBER($K272),IF($K272&gt;1,$K272/100,$K272),IF(IFERROR(INDEX(Setup!$D$25:$D$36,MATCH($B272,Setup!$A$25:$A$36,0)),0)&gt;1,IFERROR(INDEX(Setup!$D$25:$D$36,MATCH($B272,Setup!$A$25:$A$36,0)),0)/100,IFERROR(INDEX(Setup!$D$25:$D$36,MATCH($B272,Setup!$A$25:$A$36,0)),0))),2))</f>
        <v>—</v>
      </c>
      <c r="M272" s="21" t="str">
        <f t="shared" si="21"/>
        <v>—</v>
      </c>
      <c r="N272" s="21" t="str">
        <f>IF(OR($B272="",$G272="",$D272="Cancelled"),"—",IFERROR(IF(INDEX(Setup!$E$25:$E$36,MATCH($B272,Setup!$A$25:$A$36,0))=0,"—",INDEX(Setup!$E$25:$E$36,MATCH($B272,Setup!$A$25:$A$36,0))),"—"))</f>
        <v>—</v>
      </c>
      <c r="O272" s="21" t="str">
        <f>IF(OR($B272="",$G272="",$D272="Cancelled"),"—",IFERROR(IF(INDEX(Setup!$F$25:$F$36,MATCH($B272,Setup!$A$25:$A$36,0))=0,"—",INDEX(Setup!$F$25:$F$36,MATCH($B272,Setup!$A$25:$A$36,0))),"—"))</f>
        <v>—</v>
      </c>
      <c r="P272" s="21" t="str">
        <f>IF(OR($B272="",$G272="",$D272="Cancelled",$D272="Owner block"),"—",IF(IFERROR(INDEX(Setup!$G$25:$G$36,MATCH($B272,Setup!$A$25:$A$36,0)),0)+IFERROR(INDEX(Setup!$H$25:$H$36,MATCH($B272,Setup!$A$25:$A$36,0)),0)*IF(ISNUMBER($H272),$H272,0)=0,"—",ROUND(IFERROR(INDEX(Setup!$G$25:$G$36,MATCH($B272,Setup!$A$25:$A$36,0)),0)+IFERROR(INDEX(Setup!$H$25:$H$36,MATCH($B272,Setup!$A$25:$A$36,0)),0)*IF(ISNUMBER($H272),$H272,0),2)))</f>
        <v>—</v>
      </c>
      <c r="Q272" s="21" t="str">
        <f t="shared" si="22"/>
        <v>—</v>
      </c>
      <c r="R272" s="21" t="str">
        <f t="shared" si="23"/>
        <v>—</v>
      </c>
      <c r="S272" s="8"/>
      <c r="T272" s="19" t="str">
        <f ca="1">IF(OR(NOT(ISNUMBER($F272)),NOT(ISNUMBER($G272)),NOT(ISNUMBER(Dashboard!$P$2)),NOT(ISNUMBER(Dashboard!$P$3)),$D272="Cancelled",$D272="Owner block"),"—",IF(MAX(0,MIN($G272,Dashboard!$P$3+1)-MAX($F272,Dashboard!$P$2))=0,"—",MAX(0,MIN($G272,Dashboard!$P$3+1)-MAX($F272,Dashboard!$P$2))))</f>
        <v>—</v>
      </c>
      <c r="U272" s="19" t="str">
        <f ca="1">IF(OR(NOT(ISNUMBER($F272)),NOT(ISNUMBER($G272)),NOT(ISNUMBER(Dashboard!$P$2)),NOT(ISNUMBER(Dashboard!$P$3)),$D272&lt;&gt;"Owner block"),"—",IF(MAX(0,MIN($G272,Dashboard!$P$3+1)-MAX($F272,Dashboard!$P$2))=0,"—",MAX(0,MIN($G272,Dashboard!$P$3+1)-MAX($F272,Dashboard!$P$2))))</f>
        <v>—</v>
      </c>
      <c r="V272" s="7" t="str">
        <f>IF($B272="",IF(COUNTA($C272:$G272,$I272:$K272,$S272)=0,"","⚠ no property — not counted"),IF(COUNTIF(Setup!$A$25:$A$36,$B272)=0,"⚠ property not in Setup",IF(AND($F272&lt;&gt;"",NOT(ISNUMBER($F272))),"⚠ check-in is not a real date",IF(AND($G272&lt;&gt;"",NOT(ISNUMBER($G272))),"⚠ check-out is not a real date",IF(AND($J272&lt;&gt;"",NOT(ISNUMBER($J272))),"⚠ booking value is not a number","OK")))))</f>
        <v/>
      </c>
      <c r="W272" s="21" t="str">
        <f t="shared" si="24"/>
        <v>—</v>
      </c>
    </row>
    <row r="273" spans="1:23" x14ac:dyDescent="0.2">
      <c r="A273" s="30">
        <v>269</v>
      </c>
      <c r="B273" s="3"/>
      <c r="C273" s="3"/>
      <c r="D273" s="3"/>
      <c r="E273" s="3"/>
      <c r="F273" s="31"/>
      <c r="G273" s="31"/>
      <c r="H273" s="19" t="str">
        <f t="shared" si="20"/>
        <v>—</v>
      </c>
      <c r="I273" s="32"/>
      <c r="J273" s="6"/>
      <c r="K273" s="33"/>
      <c r="L273" s="21" t="str">
        <f>IF(OR($B273="",NOT(ISNUMBER($J273)),$D273="Cancelled",$D273="Owner block"),"—",ROUND($J273*IF(ISNUMBER($K273),IF($K273&gt;1,$K273/100,$K273),IF(IFERROR(INDEX(Setup!$D$25:$D$36,MATCH($B273,Setup!$A$25:$A$36,0)),0)&gt;1,IFERROR(INDEX(Setup!$D$25:$D$36,MATCH($B273,Setup!$A$25:$A$36,0)),0)/100,IFERROR(INDEX(Setup!$D$25:$D$36,MATCH($B273,Setup!$A$25:$A$36,0)),0))),2))</f>
        <v>—</v>
      </c>
      <c r="M273" s="21" t="str">
        <f t="shared" si="21"/>
        <v>—</v>
      </c>
      <c r="N273" s="21" t="str">
        <f>IF(OR($B273="",$G273="",$D273="Cancelled"),"—",IFERROR(IF(INDEX(Setup!$E$25:$E$36,MATCH($B273,Setup!$A$25:$A$36,0))=0,"—",INDEX(Setup!$E$25:$E$36,MATCH($B273,Setup!$A$25:$A$36,0))),"—"))</f>
        <v>—</v>
      </c>
      <c r="O273" s="21" t="str">
        <f>IF(OR($B273="",$G273="",$D273="Cancelled"),"—",IFERROR(IF(INDEX(Setup!$F$25:$F$36,MATCH($B273,Setup!$A$25:$A$36,0))=0,"—",INDEX(Setup!$F$25:$F$36,MATCH($B273,Setup!$A$25:$A$36,0))),"—"))</f>
        <v>—</v>
      </c>
      <c r="P273" s="21" t="str">
        <f>IF(OR($B273="",$G273="",$D273="Cancelled",$D273="Owner block"),"—",IF(IFERROR(INDEX(Setup!$G$25:$G$36,MATCH($B273,Setup!$A$25:$A$36,0)),0)+IFERROR(INDEX(Setup!$H$25:$H$36,MATCH($B273,Setup!$A$25:$A$36,0)),0)*IF(ISNUMBER($H273),$H273,0)=0,"—",ROUND(IFERROR(INDEX(Setup!$G$25:$G$36,MATCH($B273,Setup!$A$25:$A$36,0)),0)+IFERROR(INDEX(Setup!$H$25:$H$36,MATCH($B273,Setup!$A$25:$A$36,0)),0)*IF(ISNUMBER($H273),$H273,0),2)))</f>
        <v>—</v>
      </c>
      <c r="Q273" s="21" t="str">
        <f t="shared" si="22"/>
        <v>—</v>
      </c>
      <c r="R273" s="21" t="str">
        <f t="shared" si="23"/>
        <v>—</v>
      </c>
      <c r="S273" s="3"/>
      <c r="T273" s="19" t="str">
        <f ca="1">IF(OR(NOT(ISNUMBER($F273)),NOT(ISNUMBER($G273)),NOT(ISNUMBER(Dashboard!$P$2)),NOT(ISNUMBER(Dashboard!$P$3)),$D273="Cancelled",$D273="Owner block"),"—",IF(MAX(0,MIN($G273,Dashboard!$P$3+1)-MAX($F273,Dashboard!$P$2))=0,"—",MAX(0,MIN($G273,Dashboard!$P$3+1)-MAX($F273,Dashboard!$P$2))))</f>
        <v>—</v>
      </c>
      <c r="U273" s="19" t="str">
        <f ca="1">IF(OR(NOT(ISNUMBER($F273)),NOT(ISNUMBER($G273)),NOT(ISNUMBER(Dashboard!$P$2)),NOT(ISNUMBER(Dashboard!$P$3)),$D273&lt;&gt;"Owner block"),"—",IF(MAX(0,MIN($G273,Dashboard!$P$3+1)-MAX($F273,Dashboard!$P$2))=0,"—",MAX(0,MIN($G273,Dashboard!$P$3+1)-MAX($F273,Dashboard!$P$2))))</f>
        <v>—</v>
      </c>
      <c r="V273" s="7" t="str">
        <f>IF($B273="",IF(COUNTA($C273:$G273,$I273:$K273,$S273)=0,"","⚠ no property — not counted"),IF(COUNTIF(Setup!$A$25:$A$36,$B273)=0,"⚠ property not in Setup",IF(AND($F273&lt;&gt;"",NOT(ISNUMBER($F273))),"⚠ check-in is not a real date",IF(AND($G273&lt;&gt;"",NOT(ISNUMBER($G273))),"⚠ check-out is not a real date",IF(AND($J273&lt;&gt;"",NOT(ISNUMBER($J273))),"⚠ booking value is not a number","OK")))))</f>
        <v/>
      </c>
      <c r="W273" s="21" t="str">
        <f t="shared" si="24"/>
        <v>—</v>
      </c>
    </row>
    <row r="274" spans="1:23" x14ac:dyDescent="0.2">
      <c r="A274" s="30">
        <v>270</v>
      </c>
      <c r="B274" s="8"/>
      <c r="C274" s="8"/>
      <c r="D274" s="8"/>
      <c r="E274" s="8"/>
      <c r="F274" s="34"/>
      <c r="G274" s="34"/>
      <c r="H274" s="19" t="str">
        <f t="shared" si="20"/>
        <v>—</v>
      </c>
      <c r="I274" s="35"/>
      <c r="J274" s="11"/>
      <c r="K274" s="36"/>
      <c r="L274" s="21" t="str">
        <f>IF(OR($B274="",NOT(ISNUMBER($J274)),$D274="Cancelled",$D274="Owner block"),"—",ROUND($J274*IF(ISNUMBER($K274),IF($K274&gt;1,$K274/100,$K274),IF(IFERROR(INDEX(Setup!$D$25:$D$36,MATCH($B274,Setup!$A$25:$A$36,0)),0)&gt;1,IFERROR(INDEX(Setup!$D$25:$D$36,MATCH($B274,Setup!$A$25:$A$36,0)),0)/100,IFERROR(INDEX(Setup!$D$25:$D$36,MATCH($B274,Setup!$A$25:$A$36,0)),0))),2))</f>
        <v>—</v>
      </c>
      <c r="M274" s="21" t="str">
        <f t="shared" si="21"/>
        <v>—</v>
      </c>
      <c r="N274" s="21" t="str">
        <f>IF(OR($B274="",$G274="",$D274="Cancelled"),"—",IFERROR(IF(INDEX(Setup!$E$25:$E$36,MATCH($B274,Setup!$A$25:$A$36,0))=0,"—",INDEX(Setup!$E$25:$E$36,MATCH($B274,Setup!$A$25:$A$36,0))),"—"))</f>
        <v>—</v>
      </c>
      <c r="O274" s="21" t="str">
        <f>IF(OR($B274="",$G274="",$D274="Cancelled"),"—",IFERROR(IF(INDEX(Setup!$F$25:$F$36,MATCH($B274,Setup!$A$25:$A$36,0))=0,"—",INDEX(Setup!$F$25:$F$36,MATCH($B274,Setup!$A$25:$A$36,0))),"—"))</f>
        <v>—</v>
      </c>
      <c r="P274" s="21" t="str">
        <f>IF(OR($B274="",$G274="",$D274="Cancelled",$D274="Owner block"),"—",IF(IFERROR(INDEX(Setup!$G$25:$G$36,MATCH($B274,Setup!$A$25:$A$36,0)),0)+IFERROR(INDEX(Setup!$H$25:$H$36,MATCH($B274,Setup!$A$25:$A$36,0)),0)*IF(ISNUMBER($H274),$H274,0)=0,"—",ROUND(IFERROR(INDEX(Setup!$G$25:$G$36,MATCH($B274,Setup!$A$25:$A$36,0)),0)+IFERROR(INDEX(Setup!$H$25:$H$36,MATCH($B274,Setup!$A$25:$A$36,0)),0)*IF(ISNUMBER($H274),$H274,0),2)))</f>
        <v>—</v>
      </c>
      <c r="Q274" s="21" t="str">
        <f t="shared" si="22"/>
        <v>—</v>
      </c>
      <c r="R274" s="21" t="str">
        <f t="shared" si="23"/>
        <v>—</v>
      </c>
      <c r="S274" s="8"/>
      <c r="T274" s="19" t="str">
        <f ca="1">IF(OR(NOT(ISNUMBER($F274)),NOT(ISNUMBER($G274)),NOT(ISNUMBER(Dashboard!$P$2)),NOT(ISNUMBER(Dashboard!$P$3)),$D274="Cancelled",$D274="Owner block"),"—",IF(MAX(0,MIN($G274,Dashboard!$P$3+1)-MAX($F274,Dashboard!$P$2))=0,"—",MAX(0,MIN($G274,Dashboard!$P$3+1)-MAX($F274,Dashboard!$P$2))))</f>
        <v>—</v>
      </c>
      <c r="U274" s="19" t="str">
        <f ca="1">IF(OR(NOT(ISNUMBER($F274)),NOT(ISNUMBER($G274)),NOT(ISNUMBER(Dashboard!$P$2)),NOT(ISNUMBER(Dashboard!$P$3)),$D274&lt;&gt;"Owner block"),"—",IF(MAX(0,MIN($G274,Dashboard!$P$3+1)-MAX($F274,Dashboard!$P$2))=0,"—",MAX(0,MIN($G274,Dashboard!$P$3+1)-MAX($F274,Dashboard!$P$2))))</f>
        <v>—</v>
      </c>
      <c r="V274" s="7" t="str">
        <f>IF($B274="",IF(COUNTA($C274:$G274,$I274:$K274,$S274)=0,"","⚠ no property — not counted"),IF(COUNTIF(Setup!$A$25:$A$36,$B274)=0,"⚠ property not in Setup",IF(AND($F274&lt;&gt;"",NOT(ISNUMBER($F274))),"⚠ check-in is not a real date",IF(AND($G274&lt;&gt;"",NOT(ISNUMBER($G274))),"⚠ check-out is not a real date",IF(AND($J274&lt;&gt;"",NOT(ISNUMBER($J274))),"⚠ booking value is not a number","OK")))))</f>
        <v/>
      </c>
      <c r="W274" s="21" t="str">
        <f t="shared" si="24"/>
        <v>—</v>
      </c>
    </row>
    <row r="275" spans="1:23" x14ac:dyDescent="0.2">
      <c r="A275" s="30">
        <v>271</v>
      </c>
      <c r="B275" s="3"/>
      <c r="C275" s="3"/>
      <c r="D275" s="3"/>
      <c r="E275" s="3"/>
      <c r="F275" s="31"/>
      <c r="G275" s="31"/>
      <c r="H275" s="19" t="str">
        <f t="shared" si="20"/>
        <v>—</v>
      </c>
      <c r="I275" s="32"/>
      <c r="J275" s="6"/>
      <c r="K275" s="33"/>
      <c r="L275" s="21" t="str">
        <f>IF(OR($B275="",NOT(ISNUMBER($J275)),$D275="Cancelled",$D275="Owner block"),"—",ROUND($J275*IF(ISNUMBER($K275),IF($K275&gt;1,$K275/100,$K275),IF(IFERROR(INDEX(Setup!$D$25:$D$36,MATCH($B275,Setup!$A$25:$A$36,0)),0)&gt;1,IFERROR(INDEX(Setup!$D$25:$D$36,MATCH($B275,Setup!$A$25:$A$36,0)),0)/100,IFERROR(INDEX(Setup!$D$25:$D$36,MATCH($B275,Setup!$A$25:$A$36,0)),0))),2))</f>
        <v>—</v>
      </c>
      <c r="M275" s="21" t="str">
        <f t="shared" si="21"/>
        <v>—</v>
      </c>
      <c r="N275" s="21" t="str">
        <f>IF(OR($B275="",$G275="",$D275="Cancelled"),"—",IFERROR(IF(INDEX(Setup!$E$25:$E$36,MATCH($B275,Setup!$A$25:$A$36,0))=0,"—",INDEX(Setup!$E$25:$E$36,MATCH($B275,Setup!$A$25:$A$36,0))),"—"))</f>
        <v>—</v>
      </c>
      <c r="O275" s="21" t="str">
        <f>IF(OR($B275="",$G275="",$D275="Cancelled"),"—",IFERROR(IF(INDEX(Setup!$F$25:$F$36,MATCH($B275,Setup!$A$25:$A$36,0))=0,"—",INDEX(Setup!$F$25:$F$36,MATCH($B275,Setup!$A$25:$A$36,0))),"—"))</f>
        <v>—</v>
      </c>
      <c r="P275" s="21" t="str">
        <f>IF(OR($B275="",$G275="",$D275="Cancelled",$D275="Owner block"),"—",IF(IFERROR(INDEX(Setup!$G$25:$G$36,MATCH($B275,Setup!$A$25:$A$36,0)),0)+IFERROR(INDEX(Setup!$H$25:$H$36,MATCH($B275,Setup!$A$25:$A$36,0)),0)*IF(ISNUMBER($H275),$H275,0)=0,"—",ROUND(IFERROR(INDEX(Setup!$G$25:$G$36,MATCH($B275,Setup!$A$25:$A$36,0)),0)+IFERROR(INDEX(Setup!$H$25:$H$36,MATCH($B275,Setup!$A$25:$A$36,0)),0)*IF(ISNUMBER($H275),$H275,0),2)))</f>
        <v>—</v>
      </c>
      <c r="Q275" s="21" t="str">
        <f t="shared" si="22"/>
        <v>—</v>
      </c>
      <c r="R275" s="21" t="str">
        <f t="shared" si="23"/>
        <v>—</v>
      </c>
      <c r="S275" s="3"/>
      <c r="T275" s="19" t="str">
        <f ca="1">IF(OR(NOT(ISNUMBER($F275)),NOT(ISNUMBER($G275)),NOT(ISNUMBER(Dashboard!$P$2)),NOT(ISNUMBER(Dashboard!$P$3)),$D275="Cancelled",$D275="Owner block"),"—",IF(MAX(0,MIN($G275,Dashboard!$P$3+1)-MAX($F275,Dashboard!$P$2))=0,"—",MAX(0,MIN($G275,Dashboard!$P$3+1)-MAX($F275,Dashboard!$P$2))))</f>
        <v>—</v>
      </c>
      <c r="U275" s="19" t="str">
        <f ca="1">IF(OR(NOT(ISNUMBER($F275)),NOT(ISNUMBER($G275)),NOT(ISNUMBER(Dashboard!$P$2)),NOT(ISNUMBER(Dashboard!$P$3)),$D275&lt;&gt;"Owner block"),"—",IF(MAX(0,MIN($G275,Dashboard!$P$3+1)-MAX($F275,Dashboard!$P$2))=0,"—",MAX(0,MIN($G275,Dashboard!$P$3+1)-MAX($F275,Dashboard!$P$2))))</f>
        <v>—</v>
      </c>
      <c r="V275" s="7" t="str">
        <f>IF($B275="",IF(COUNTA($C275:$G275,$I275:$K275,$S275)=0,"","⚠ no property — not counted"),IF(COUNTIF(Setup!$A$25:$A$36,$B275)=0,"⚠ property not in Setup",IF(AND($F275&lt;&gt;"",NOT(ISNUMBER($F275))),"⚠ check-in is not a real date",IF(AND($G275&lt;&gt;"",NOT(ISNUMBER($G275))),"⚠ check-out is not a real date",IF(AND($J275&lt;&gt;"",NOT(ISNUMBER($J275))),"⚠ booking value is not a number","OK")))))</f>
        <v/>
      </c>
      <c r="W275" s="21" t="str">
        <f t="shared" si="24"/>
        <v>—</v>
      </c>
    </row>
    <row r="276" spans="1:23" x14ac:dyDescent="0.2">
      <c r="A276" s="30">
        <v>272</v>
      </c>
      <c r="B276" s="8"/>
      <c r="C276" s="8"/>
      <c r="D276" s="8"/>
      <c r="E276" s="8"/>
      <c r="F276" s="34"/>
      <c r="G276" s="34"/>
      <c r="H276" s="19" t="str">
        <f t="shared" si="20"/>
        <v>—</v>
      </c>
      <c r="I276" s="35"/>
      <c r="J276" s="11"/>
      <c r="K276" s="36"/>
      <c r="L276" s="21" t="str">
        <f>IF(OR($B276="",NOT(ISNUMBER($J276)),$D276="Cancelled",$D276="Owner block"),"—",ROUND($J276*IF(ISNUMBER($K276),IF($K276&gt;1,$K276/100,$K276),IF(IFERROR(INDEX(Setup!$D$25:$D$36,MATCH($B276,Setup!$A$25:$A$36,0)),0)&gt;1,IFERROR(INDEX(Setup!$D$25:$D$36,MATCH($B276,Setup!$A$25:$A$36,0)),0)/100,IFERROR(INDEX(Setup!$D$25:$D$36,MATCH($B276,Setup!$A$25:$A$36,0)),0))),2))</f>
        <v>—</v>
      </c>
      <c r="M276" s="21" t="str">
        <f t="shared" si="21"/>
        <v>—</v>
      </c>
      <c r="N276" s="21" t="str">
        <f>IF(OR($B276="",$G276="",$D276="Cancelled"),"—",IFERROR(IF(INDEX(Setup!$E$25:$E$36,MATCH($B276,Setup!$A$25:$A$36,0))=0,"—",INDEX(Setup!$E$25:$E$36,MATCH($B276,Setup!$A$25:$A$36,0))),"—"))</f>
        <v>—</v>
      </c>
      <c r="O276" s="21" t="str">
        <f>IF(OR($B276="",$G276="",$D276="Cancelled"),"—",IFERROR(IF(INDEX(Setup!$F$25:$F$36,MATCH($B276,Setup!$A$25:$A$36,0))=0,"—",INDEX(Setup!$F$25:$F$36,MATCH($B276,Setup!$A$25:$A$36,0))),"—"))</f>
        <v>—</v>
      </c>
      <c r="P276" s="21" t="str">
        <f>IF(OR($B276="",$G276="",$D276="Cancelled",$D276="Owner block"),"—",IF(IFERROR(INDEX(Setup!$G$25:$G$36,MATCH($B276,Setup!$A$25:$A$36,0)),0)+IFERROR(INDEX(Setup!$H$25:$H$36,MATCH($B276,Setup!$A$25:$A$36,0)),0)*IF(ISNUMBER($H276),$H276,0)=0,"—",ROUND(IFERROR(INDEX(Setup!$G$25:$G$36,MATCH($B276,Setup!$A$25:$A$36,0)),0)+IFERROR(INDEX(Setup!$H$25:$H$36,MATCH($B276,Setup!$A$25:$A$36,0)),0)*IF(ISNUMBER($H276),$H276,0),2)))</f>
        <v>—</v>
      </c>
      <c r="Q276" s="21" t="str">
        <f t="shared" si="22"/>
        <v>—</v>
      </c>
      <c r="R276" s="21" t="str">
        <f t="shared" si="23"/>
        <v>—</v>
      </c>
      <c r="S276" s="8"/>
      <c r="T276" s="19" t="str">
        <f ca="1">IF(OR(NOT(ISNUMBER($F276)),NOT(ISNUMBER($G276)),NOT(ISNUMBER(Dashboard!$P$2)),NOT(ISNUMBER(Dashboard!$P$3)),$D276="Cancelled",$D276="Owner block"),"—",IF(MAX(0,MIN($G276,Dashboard!$P$3+1)-MAX($F276,Dashboard!$P$2))=0,"—",MAX(0,MIN($G276,Dashboard!$P$3+1)-MAX($F276,Dashboard!$P$2))))</f>
        <v>—</v>
      </c>
      <c r="U276" s="19" t="str">
        <f ca="1">IF(OR(NOT(ISNUMBER($F276)),NOT(ISNUMBER($G276)),NOT(ISNUMBER(Dashboard!$P$2)),NOT(ISNUMBER(Dashboard!$P$3)),$D276&lt;&gt;"Owner block"),"—",IF(MAX(0,MIN($G276,Dashboard!$P$3+1)-MAX($F276,Dashboard!$P$2))=0,"—",MAX(0,MIN($G276,Dashboard!$P$3+1)-MAX($F276,Dashboard!$P$2))))</f>
        <v>—</v>
      </c>
      <c r="V276" s="7" t="str">
        <f>IF($B276="",IF(COUNTA($C276:$G276,$I276:$K276,$S276)=0,"","⚠ no property — not counted"),IF(COUNTIF(Setup!$A$25:$A$36,$B276)=0,"⚠ property not in Setup",IF(AND($F276&lt;&gt;"",NOT(ISNUMBER($F276))),"⚠ check-in is not a real date",IF(AND($G276&lt;&gt;"",NOT(ISNUMBER($G276))),"⚠ check-out is not a real date",IF(AND($J276&lt;&gt;"",NOT(ISNUMBER($J276))),"⚠ booking value is not a number","OK")))))</f>
        <v/>
      </c>
      <c r="W276" s="21" t="str">
        <f t="shared" si="24"/>
        <v>—</v>
      </c>
    </row>
    <row r="277" spans="1:23" x14ac:dyDescent="0.2">
      <c r="A277" s="30">
        <v>273</v>
      </c>
      <c r="B277" s="3"/>
      <c r="C277" s="3"/>
      <c r="D277" s="3"/>
      <c r="E277" s="3"/>
      <c r="F277" s="31"/>
      <c r="G277" s="31"/>
      <c r="H277" s="19" t="str">
        <f t="shared" si="20"/>
        <v>—</v>
      </c>
      <c r="I277" s="32"/>
      <c r="J277" s="6"/>
      <c r="K277" s="33"/>
      <c r="L277" s="21" t="str">
        <f>IF(OR($B277="",NOT(ISNUMBER($J277)),$D277="Cancelled",$D277="Owner block"),"—",ROUND($J277*IF(ISNUMBER($K277),IF($K277&gt;1,$K277/100,$K277),IF(IFERROR(INDEX(Setup!$D$25:$D$36,MATCH($B277,Setup!$A$25:$A$36,0)),0)&gt;1,IFERROR(INDEX(Setup!$D$25:$D$36,MATCH($B277,Setup!$A$25:$A$36,0)),0)/100,IFERROR(INDEX(Setup!$D$25:$D$36,MATCH($B277,Setup!$A$25:$A$36,0)),0))),2))</f>
        <v>—</v>
      </c>
      <c r="M277" s="21" t="str">
        <f t="shared" si="21"/>
        <v>—</v>
      </c>
      <c r="N277" s="21" t="str">
        <f>IF(OR($B277="",$G277="",$D277="Cancelled"),"—",IFERROR(IF(INDEX(Setup!$E$25:$E$36,MATCH($B277,Setup!$A$25:$A$36,0))=0,"—",INDEX(Setup!$E$25:$E$36,MATCH($B277,Setup!$A$25:$A$36,0))),"—"))</f>
        <v>—</v>
      </c>
      <c r="O277" s="21" t="str">
        <f>IF(OR($B277="",$G277="",$D277="Cancelled"),"—",IFERROR(IF(INDEX(Setup!$F$25:$F$36,MATCH($B277,Setup!$A$25:$A$36,0))=0,"—",INDEX(Setup!$F$25:$F$36,MATCH($B277,Setup!$A$25:$A$36,0))),"—"))</f>
        <v>—</v>
      </c>
      <c r="P277" s="21" t="str">
        <f>IF(OR($B277="",$G277="",$D277="Cancelled",$D277="Owner block"),"—",IF(IFERROR(INDEX(Setup!$G$25:$G$36,MATCH($B277,Setup!$A$25:$A$36,0)),0)+IFERROR(INDEX(Setup!$H$25:$H$36,MATCH($B277,Setup!$A$25:$A$36,0)),0)*IF(ISNUMBER($H277),$H277,0)=0,"—",ROUND(IFERROR(INDEX(Setup!$G$25:$G$36,MATCH($B277,Setup!$A$25:$A$36,0)),0)+IFERROR(INDEX(Setup!$H$25:$H$36,MATCH($B277,Setup!$A$25:$A$36,0)),0)*IF(ISNUMBER($H277),$H277,0),2)))</f>
        <v>—</v>
      </c>
      <c r="Q277" s="21" t="str">
        <f t="shared" si="22"/>
        <v>—</v>
      </c>
      <c r="R277" s="21" t="str">
        <f t="shared" si="23"/>
        <v>—</v>
      </c>
      <c r="S277" s="3"/>
      <c r="T277" s="19" t="str">
        <f ca="1">IF(OR(NOT(ISNUMBER($F277)),NOT(ISNUMBER($G277)),NOT(ISNUMBER(Dashboard!$P$2)),NOT(ISNUMBER(Dashboard!$P$3)),$D277="Cancelled",$D277="Owner block"),"—",IF(MAX(0,MIN($G277,Dashboard!$P$3+1)-MAX($F277,Dashboard!$P$2))=0,"—",MAX(0,MIN($G277,Dashboard!$P$3+1)-MAX($F277,Dashboard!$P$2))))</f>
        <v>—</v>
      </c>
      <c r="U277" s="19" t="str">
        <f ca="1">IF(OR(NOT(ISNUMBER($F277)),NOT(ISNUMBER($G277)),NOT(ISNUMBER(Dashboard!$P$2)),NOT(ISNUMBER(Dashboard!$P$3)),$D277&lt;&gt;"Owner block"),"—",IF(MAX(0,MIN($G277,Dashboard!$P$3+1)-MAX($F277,Dashboard!$P$2))=0,"—",MAX(0,MIN($G277,Dashboard!$P$3+1)-MAX($F277,Dashboard!$P$2))))</f>
        <v>—</v>
      </c>
      <c r="V277" s="7" t="str">
        <f>IF($B277="",IF(COUNTA($C277:$G277,$I277:$K277,$S277)=0,"","⚠ no property — not counted"),IF(COUNTIF(Setup!$A$25:$A$36,$B277)=0,"⚠ property not in Setup",IF(AND($F277&lt;&gt;"",NOT(ISNUMBER($F277))),"⚠ check-in is not a real date",IF(AND($G277&lt;&gt;"",NOT(ISNUMBER($G277))),"⚠ check-out is not a real date",IF(AND($J277&lt;&gt;"",NOT(ISNUMBER($J277))),"⚠ booking value is not a number","OK")))))</f>
        <v/>
      </c>
      <c r="W277" s="21" t="str">
        <f t="shared" si="24"/>
        <v>—</v>
      </c>
    </row>
    <row r="278" spans="1:23" x14ac:dyDescent="0.2">
      <c r="A278" s="30">
        <v>274</v>
      </c>
      <c r="B278" s="8"/>
      <c r="C278" s="8"/>
      <c r="D278" s="8"/>
      <c r="E278" s="8"/>
      <c r="F278" s="34"/>
      <c r="G278" s="34"/>
      <c r="H278" s="19" t="str">
        <f t="shared" si="20"/>
        <v>—</v>
      </c>
      <c r="I278" s="35"/>
      <c r="J278" s="11"/>
      <c r="K278" s="36"/>
      <c r="L278" s="21" t="str">
        <f>IF(OR($B278="",NOT(ISNUMBER($J278)),$D278="Cancelled",$D278="Owner block"),"—",ROUND($J278*IF(ISNUMBER($K278),IF($K278&gt;1,$K278/100,$K278),IF(IFERROR(INDEX(Setup!$D$25:$D$36,MATCH($B278,Setup!$A$25:$A$36,0)),0)&gt;1,IFERROR(INDEX(Setup!$D$25:$D$36,MATCH($B278,Setup!$A$25:$A$36,0)),0)/100,IFERROR(INDEX(Setup!$D$25:$D$36,MATCH($B278,Setup!$A$25:$A$36,0)),0))),2))</f>
        <v>—</v>
      </c>
      <c r="M278" s="21" t="str">
        <f t="shared" si="21"/>
        <v>—</v>
      </c>
      <c r="N278" s="21" t="str">
        <f>IF(OR($B278="",$G278="",$D278="Cancelled"),"—",IFERROR(IF(INDEX(Setup!$E$25:$E$36,MATCH($B278,Setup!$A$25:$A$36,0))=0,"—",INDEX(Setup!$E$25:$E$36,MATCH($B278,Setup!$A$25:$A$36,0))),"—"))</f>
        <v>—</v>
      </c>
      <c r="O278" s="21" t="str">
        <f>IF(OR($B278="",$G278="",$D278="Cancelled"),"—",IFERROR(IF(INDEX(Setup!$F$25:$F$36,MATCH($B278,Setup!$A$25:$A$36,0))=0,"—",INDEX(Setup!$F$25:$F$36,MATCH($B278,Setup!$A$25:$A$36,0))),"—"))</f>
        <v>—</v>
      </c>
      <c r="P278" s="21" t="str">
        <f>IF(OR($B278="",$G278="",$D278="Cancelled",$D278="Owner block"),"—",IF(IFERROR(INDEX(Setup!$G$25:$G$36,MATCH($B278,Setup!$A$25:$A$36,0)),0)+IFERROR(INDEX(Setup!$H$25:$H$36,MATCH($B278,Setup!$A$25:$A$36,0)),0)*IF(ISNUMBER($H278),$H278,0)=0,"—",ROUND(IFERROR(INDEX(Setup!$G$25:$G$36,MATCH($B278,Setup!$A$25:$A$36,0)),0)+IFERROR(INDEX(Setup!$H$25:$H$36,MATCH($B278,Setup!$A$25:$A$36,0)),0)*IF(ISNUMBER($H278),$H278,0),2)))</f>
        <v>—</v>
      </c>
      <c r="Q278" s="21" t="str">
        <f t="shared" si="22"/>
        <v>—</v>
      </c>
      <c r="R278" s="21" t="str">
        <f t="shared" si="23"/>
        <v>—</v>
      </c>
      <c r="S278" s="8"/>
      <c r="T278" s="19" t="str">
        <f ca="1">IF(OR(NOT(ISNUMBER($F278)),NOT(ISNUMBER($G278)),NOT(ISNUMBER(Dashboard!$P$2)),NOT(ISNUMBER(Dashboard!$P$3)),$D278="Cancelled",$D278="Owner block"),"—",IF(MAX(0,MIN($G278,Dashboard!$P$3+1)-MAX($F278,Dashboard!$P$2))=0,"—",MAX(0,MIN($G278,Dashboard!$P$3+1)-MAX($F278,Dashboard!$P$2))))</f>
        <v>—</v>
      </c>
      <c r="U278" s="19" t="str">
        <f ca="1">IF(OR(NOT(ISNUMBER($F278)),NOT(ISNUMBER($G278)),NOT(ISNUMBER(Dashboard!$P$2)),NOT(ISNUMBER(Dashboard!$P$3)),$D278&lt;&gt;"Owner block"),"—",IF(MAX(0,MIN($G278,Dashboard!$P$3+1)-MAX($F278,Dashboard!$P$2))=0,"—",MAX(0,MIN($G278,Dashboard!$P$3+1)-MAX($F278,Dashboard!$P$2))))</f>
        <v>—</v>
      </c>
      <c r="V278" s="7" t="str">
        <f>IF($B278="",IF(COUNTA($C278:$G278,$I278:$K278,$S278)=0,"","⚠ no property — not counted"),IF(COUNTIF(Setup!$A$25:$A$36,$B278)=0,"⚠ property not in Setup",IF(AND($F278&lt;&gt;"",NOT(ISNUMBER($F278))),"⚠ check-in is not a real date",IF(AND($G278&lt;&gt;"",NOT(ISNUMBER($G278))),"⚠ check-out is not a real date",IF(AND($J278&lt;&gt;"",NOT(ISNUMBER($J278))),"⚠ booking value is not a number","OK")))))</f>
        <v/>
      </c>
      <c r="W278" s="21" t="str">
        <f t="shared" si="24"/>
        <v>—</v>
      </c>
    </row>
    <row r="279" spans="1:23" x14ac:dyDescent="0.2">
      <c r="A279" s="30">
        <v>275</v>
      </c>
      <c r="B279" s="3"/>
      <c r="C279" s="3"/>
      <c r="D279" s="3"/>
      <c r="E279" s="3"/>
      <c r="F279" s="31"/>
      <c r="G279" s="31"/>
      <c r="H279" s="19" t="str">
        <f t="shared" si="20"/>
        <v>—</v>
      </c>
      <c r="I279" s="32"/>
      <c r="J279" s="6"/>
      <c r="K279" s="33"/>
      <c r="L279" s="21" t="str">
        <f>IF(OR($B279="",NOT(ISNUMBER($J279)),$D279="Cancelled",$D279="Owner block"),"—",ROUND($J279*IF(ISNUMBER($K279),IF($K279&gt;1,$K279/100,$K279),IF(IFERROR(INDEX(Setup!$D$25:$D$36,MATCH($B279,Setup!$A$25:$A$36,0)),0)&gt;1,IFERROR(INDEX(Setup!$D$25:$D$36,MATCH($B279,Setup!$A$25:$A$36,0)),0)/100,IFERROR(INDEX(Setup!$D$25:$D$36,MATCH($B279,Setup!$A$25:$A$36,0)),0))),2))</f>
        <v>—</v>
      </c>
      <c r="M279" s="21" t="str">
        <f t="shared" si="21"/>
        <v>—</v>
      </c>
      <c r="N279" s="21" t="str">
        <f>IF(OR($B279="",$G279="",$D279="Cancelled"),"—",IFERROR(IF(INDEX(Setup!$E$25:$E$36,MATCH($B279,Setup!$A$25:$A$36,0))=0,"—",INDEX(Setup!$E$25:$E$36,MATCH($B279,Setup!$A$25:$A$36,0))),"—"))</f>
        <v>—</v>
      </c>
      <c r="O279" s="21" t="str">
        <f>IF(OR($B279="",$G279="",$D279="Cancelled"),"—",IFERROR(IF(INDEX(Setup!$F$25:$F$36,MATCH($B279,Setup!$A$25:$A$36,0))=0,"—",INDEX(Setup!$F$25:$F$36,MATCH($B279,Setup!$A$25:$A$36,0))),"—"))</f>
        <v>—</v>
      </c>
      <c r="P279" s="21" t="str">
        <f>IF(OR($B279="",$G279="",$D279="Cancelled",$D279="Owner block"),"—",IF(IFERROR(INDEX(Setup!$G$25:$G$36,MATCH($B279,Setup!$A$25:$A$36,0)),0)+IFERROR(INDEX(Setup!$H$25:$H$36,MATCH($B279,Setup!$A$25:$A$36,0)),0)*IF(ISNUMBER($H279),$H279,0)=0,"—",ROUND(IFERROR(INDEX(Setup!$G$25:$G$36,MATCH($B279,Setup!$A$25:$A$36,0)),0)+IFERROR(INDEX(Setup!$H$25:$H$36,MATCH($B279,Setup!$A$25:$A$36,0)),0)*IF(ISNUMBER($H279),$H279,0),2)))</f>
        <v>—</v>
      </c>
      <c r="Q279" s="21" t="str">
        <f t="shared" si="22"/>
        <v>—</v>
      </c>
      <c r="R279" s="21" t="str">
        <f t="shared" si="23"/>
        <v>—</v>
      </c>
      <c r="S279" s="3"/>
      <c r="T279" s="19" t="str">
        <f ca="1">IF(OR(NOT(ISNUMBER($F279)),NOT(ISNUMBER($G279)),NOT(ISNUMBER(Dashboard!$P$2)),NOT(ISNUMBER(Dashboard!$P$3)),$D279="Cancelled",$D279="Owner block"),"—",IF(MAX(0,MIN($G279,Dashboard!$P$3+1)-MAX($F279,Dashboard!$P$2))=0,"—",MAX(0,MIN($G279,Dashboard!$P$3+1)-MAX($F279,Dashboard!$P$2))))</f>
        <v>—</v>
      </c>
      <c r="U279" s="19" t="str">
        <f ca="1">IF(OR(NOT(ISNUMBER($F279)),NOT(ISNUMBER($G279)),NOT(ISNUMBER(Dashboard!$P$2)),NOT(ISNUMBER(Dashboard!$P$3)),$D279&lt;&gt;"Owner block"),"—",IF(MAX(0,MIN($G279,Dashboard!$P$3+1)-MAX($F279,Dashboard!$P$2))=0,"—",MAX(0,MIN($G279,Dashboard!$P$3+1)-MAX($F279,Dashboard!$P$2))))</f>
        <v>—</v>
      </c>
      <c r="V279" s="7" t="str">
        <f>IF($B279="",IF(COUNTA($C279:$G279,$I279:$K279,$S279)=0,"","⚠ no property — not counted"),IF(COUNTIF(Setup!$A$25:$A$36,$B279)=0,"⚠ property not in Setup",IF(AND($F279&lt;&gt;"",NOT(ISNUMBER($F279))),"⚠ check-in is not a real date",IF(AND($G279&lt;&gt;"",NOT(ISNUMBER($G279))),"⚠ check-out is not a real date",IF(AND($J279&lt;&gt;"",NOT(ISNUMBER($J279))),"⚠ booking value is not a number","OK")))))</f>
        <v/>
      </c>
      <c r="W279" s="21" t="str">
        <f t="shared" si="24"/>
        <v>—</v>
      </c>
    </row>
    <row r="280" spans="1:23" x14ac:dyDescent="0.2">
      <c r="A280" s="30">
        <v>276</v>
      </c>
      <c r="B280" s="8"/>
      <c r="C280" s="8"/>
      <c r="D280" s="8"/>
      <c r="E280" s="8"/>
      <c r="F280" s="34"/>
      <c r="G280" s="34"/>
      <c r="H280" s="19" t="str">
        <f t="shared" si="20"/>
        <v>—</v>
      </c>
      <c r="I280" s="35"/>
      <c r="J280" s="11"/>
      <c r="K280" s="36"/>
      <c r="L280" s="21" t="str">
        <f>IF(OR($B280="",NOT(ISNUMBER($J280)),$D280="Cancelled",$D280="Owner block"),"—",ROUND($J280*IF(ISNUMBER($K280),IF($K280&gt;1,$K280/100,$K280),IF(IFERROR(INDEX(Setup!$D$25:$D$36,MATCH($B280,Setup!$A$25:$A$36,0)),0)&gt;1,IFERROR(INDEX(Setup!$D$25:$D$36,MATCH($B280,Setup!$A$25:$A$36,0)),0)/100,IFERROR(INDEX(Setup!$D$25:$D$36,MATCH($B280,Setup!$A$25:$A$36,0)),0))),2))</f>
        <v>—</v>
      </c>
      <c r="M280" s="21" t="str">
        <f t="shared" si="21"/>
        <v>—</v>
      </c>
      <c r="N280" s="21" t="str">
        <f>IF(OR($B280="",$G280="",$D280="Cancelled"),"—",IFERROR(IF(INDEX(Setup!$E$25:$E$36,MATCH($B280,Setup!$A$25:$A$36,0))=0,"—",INDEX(Setup!$E$25:$E$36,MATCH($B280,Setup!$A$25:$A$36,0))),"—"))</f>
        <v>—</v>
      </c>
      <c r="O280" s="21" t="str">
        <f>IF(OR($B280="",$G280="",$D280="Cancelled"),"—",IFERROR(IF(INDEX(Setup!$F$25:$F$36,MATCH($B280,Setup!$A$25:$A$36,0))=0,"—",INDEX(Setup!$F$25:$F$36,MATCH($B280,Setup!$A$25:$A$36,0))),"—"))</f>
        <v>—</v>
      </c>
      <c r="P280" s="21" t="str">
        <f>IF(OR($B280="",$G280="",$D280="Cancelled",$D280="Owner block"),"—",IF(IFERROR(INDEX(Setup!$G$25:$G$36,MATCH($B280,Setup!$A$25:$A$36,0)),0)+IFERROR(INDEX(Setup!$H$25:$H$36,MATCH($B280,Setup!$A$25:$A$36,0)),0)*IF(ISNUMBER($H280),$H280,0)=0,"—",ROUND(IFERROR(INDEX(Setup!$G$25:$G$36,MATCH($B280,Setup!$A$25:$A$36,0)),0)+IFERROR(INDEX(Setup!$H$25:$H$36,MATCH($B280,Setup!$A$25:$A$36,0)),0)*IF(ISNUMBER($H280),$H280,0),2)))</f>
        <v>—</v>
      </c>
      <c r="Q280" s="21" t="str">
        <f t="shared" si="22"/>
        <v>—</v>
      </c>
      <c r="R280" s="21" t="str">
        <f t="shared" si="23"/>
        <v>—</v>
      </c>
      <c r="S280" s="8"/>
      <c r="T280" s="19" t="str">
        <f ca="1">IF(OR(NOT(ISNUMBER($F280)),NOT(ISNUMBER($G280)),NOT(ISNUMBER(Dashboard!$P$2)),NOT(ISNUMBER(Dashboard!$P$3)),$D280="Cancelled",$D280="Owner block"),"—",IF(MAX(0,MIN($G280,Dashboard!$P$3+1)-MAX($F280,Dashboard!$P$2))=0,"—",MAX(0,MIN($G280,Dashboard!$P$3+1)-MAX($F280,Dashboard!$P$2))))</f>
        <v>—</v>
      </c>
      <c r="U280" s="19" t="str">
        <f ca="1">IF(OR(NOT(ISNUMBER($F280)),NOT(ISNUMBER($G280)),NOT(ISNUMBER(Dashboard!$P$2)),NOT(ISNUMBER(Dashboard!$P$3)),$D280&lt;&gt;"Owner block"),"—",IF(MAX(0,MIN($G280,Dashboard!$P$3+1)-MAX($F280,Dashboard!$P$2))=0,"—",MAX(0,MIN($G280,Dashboard!$P$3+1)-MAX($F280,Dashboard!$P$2))))</f>
        <v>—</v>
      </c>
      <c r="V280" s="7" t="str">
        <f>IF($B280="",IF(COUNTA($C280:$G280,$I280:$K280,$S280)=0,"","⚠ no property — not counted"),IF(COUNTIF(Setup!$A$25:$A$36,$B280)=0,"⚠ property not in Setup",IF(AND($F280&lt;&gt;"",NOT(ISNUMBER($F280))),"⚠ check-in is not a real date",IF(AND($G280&lt;&gt;"",NOT(ISNUMBER($G280))),"⚠ check-out is not a real date",IF(AND($J280&lt;&gt;"",NOT(ISNUMBER($J280))),"⚠ booking value is not a number","OK")))))</f>
        <v/>
      </c>
      <c r="W280" s="21" t="str">
        <f t="shared" si="24"/>
        <v>—</v>
      </c>
    </row>
    <row r="281" spans="1:23" x14ac:dyDescent="0.2">
      <c r="A281" s="30">
        <v>277</v>
      </c>
      <c r="B281" s="3"/>
      <c r="C281" s="3"/>
      <c r="D281" s="3"/>
      <c r="E281" s="3"/>
      <c r="F281" s="31"/>
      <c r="G281" s="31"/>
      <c r="H281" s="19" t="str">
        <f t="shared" si="20"/>
        <v>—</v>
      </c>
      <c r="I281" s="32"/>
      <c r="J281" s="6"/>
      <c r="K281" s="33"/>
      <c r="L281" s="21" t="str">
        <f>IF(OR($B281="",NOT(ISNUMBER($J281)),$D281="Cancelled",$D281="Owner block"),"—",ROUND($J281*IF(ISNUMBER($K281),IF($K281&gt;1,$K281/100,$K281),IF(IFERROR(INDEX(Setup!$D$25:$D$36,MATCH($B281,Setup!$A$25:$A$36,0)),0)&gt;1,IFERROR(INDEX(Setup!$D$25:$D$36,MATCH($B281,Setup!$A$25:$A$36,0)),0)/100,IFERROR(INDEX(Setup!$D$25:$D$36,MATCH($B281,Setup!$A$25:$A$36,0)),0))),2))</f>
        <v>—</v>
      </c>
      <c r="M281" s="21" t="str">
        <f t="shared" si="21"/>
        <v>—</v>
      </c>
      <c r="N281" s="21" t="str">
        <f>IF(OR($B281="",$G281="",$D281="Cancelled"),"—",IFERROR(IF(INDEX(Setup!$E$25:$E$36,MATCH($B281,Setup!$A$25:$A$36,0))=0,"—",INDEX(Setup!$E$25:$E$36,MATCH($B281,Setup!$A$25:$A$36,0))),"—"))</f>
        <v>—</v>
      </c>
      <c r="O281" s="21" t="str">
        <f>IF(OR($B281="",$G281="",$D281="Cancelled"),"—",IFERROR(IF(INDEX(Setup!$F$25:$F$36,MATCH($B281,Setup!$A$25:$A$36,0))=0,"—",INDEX(Setup!$F$25:$F$36,MATCH($B281,Setup!$A$25:$A$36,0))),"—"))</f>
        <v>—</v>
      </c>
      <c r="P281" s="21" t="str">
        <f>IF(OR($B281="",$G281="",$D281="Cancelled",$D281="Owner block"),"—",IF(IFERROR(INDEX(Setup!$G$25:$G$36,MATCH($B281,Setup!$A$25:$A$36,0)),0)+IFERROR(INDEX(Setup!$H$25:$H$36,MATCH($B281,Setup!$A$25:$A$36,0)),0)*IF(ISNUMBER($H281),$H281,0)=0,"—",ROUND(IFERROR(INDEX(Setup!$G$25:$G$36,MATCH($B281,Setup!$A$25:$A$36,0)),0)+IFERROR(INDEX(Setup!$H$25:$H$36,MATCH($B281,Setup!$A$25:$A$36,0)),0)*IF(ISNUMBER($H281),$H281,0),2)))</f>
        <v>—</v>
      </c>
      <c r="Q281" s="21" t="str">
        <f t="shared" si="22"/>
        <v>—</v>
      </c>
      <c r="R281" s="21" t="str">
        <f t="shared" si="23"/>
        <v>—</v>
      </c>
      <c r="S281" s="3"/>
      <c r="T281" s="19" t="str">
        <f ca="1">IF(OR(NOT(ISNUMBER($F281)),NOT(ISNUMBER($G281)),NOT(ISNUMBER(Dashboard!$P$2)),NOT(ISNUMBER(Dashboard!$P$3)),$D281="Cancelled",$D281="Owner block"),"—",IF(MAX(0,MIN($G281,Dashboard!$P$3+1)-MAX($F281,Dashboard!$P$2))=0,"—",MAX(0,MIN($G281,Dashboard!$P$3+1)-MAX($F281,Dashboard!$P$2))))</f>
        <v>—</v>
      </c>
      <c r="U281" s="19" t="str">
        <f ca="1">IF(OR(NOT(ISNUMBER($F281)),NOT(ISNUMBER($G281)),NOT(ISNUMBER(Dashboard!$P$2)),NOT(ISNUMBER(Dashboard!$P$3)),$D281&lt;&gt;"Owner block"),"—",IF(MAX(0,MIN($G281,Dashboard!$P$3+1)-MAX($F281,Dashboard!$P$2))=0,"—",MAX(0,MIN($G281,Dashboard!$P$3+1)-MAX($F281,Dashboard!$P$2))))</f>
        <v>—</v>
      </c>
      <c r="V281" s="7" t="str">
        <f>IF($B281="",IF(COUNTA($C281:$G281,$I281:$K281,$S281)=0,"","⚠ no property — not counted"),IF(COUNTIF(Setup!$A$25:$A$36,$B281)=0,"⚠ property not in Setup",IF(AND($F281&lt;&gt;"",NOT(ISNUMBER($F281))),"⚠ check-in is not a real date",IF(AND($G281&lt;&gt;"",NOT(ISNUMBER($G281))),"⚠ check-out is not a real date",IF(AND($J281&lt;&gt;"",NOT(ISNUMBER($J281))),"⚠ booking value is not a number","OK")))))</f>
        <v/>
      </c>
      <c r="W281" s="21" t="str">
        <f t="shared" si="24"/>
        <v>—</v>
      </c>
    </row>
    <row r="282" spans="1:23" x14ac:dyDescent="0.2">
      <c r="A282" s="30">
        <v>278</v>
      </c>
      <c r="B282" s="8"/>
      <c r="C282" s="8"/>
      <c r="D282" s="8"/>
      <c r="E282" s="8"/>
      <c r="F282" s="34"/>
      <c r="G282" s="34"/>
      <c r="H282" s="19" t="str">
        <f t="shared" si="20"/>
        <v>—</v>
      </c>
      <c r="I282" s="35"/>
      <c r="J282" s="11"/>
      <c r="K282" s="36"/>
      <c r="L282" s="21" t="str">
        <f>IF(OR($B282="",NOT(ISNUMBER($J282)),$D282="Cancelled",$D282="Owner block"),"—",ROUND($J282*IF(ISNUMBER($K282),IF($K282&gt;1,$K282/100,$K282),IF(IFERROR(INDEX(Setup!$D$25:$D$36,MATCH($B282,Setup!$A$25:$A$36,0)),0)&gt;1,IFERROR(INDEX(Setup!$D$25:$D$36,MATCH($B282,Setup!$A$25:$A$36,0)),0)/100,IFERROR(INDEX(Setup!$D$25:$D$36,MATCH($B282,Setup!$A$25:$A$36,0)),0))),2))</f>
        <v>—</v>
      </c>
      <c r="M282" s="21" t="str">
        <f t="shared" si="21"/>
        <v>—</v>
      </c>
      <c r="N282" s="21" t="str">
        <f>IF(OR($B282="",$G282="",$D282="Cancelled"),"—",IFERROR(IF(INDEX(Setup!$E$25:$E$36,MATCH($B282,Setup!$A$25:$A$36,0))=0,"—",INDEX(Setup!$E$25:$E$36,MATCH($B282,Setup!$A$25:$A$36,0))),"—"))</f>
        <v>—</v>
      </c>
      <c r="O282" s="21" t="str">
        <f>IF(OR($B282="",$G282="",$D282="Cancelled"),"—",IFERROR(IF(INDEX(Setup!$F$25:$F$36,MATCH($B282,Setup!$A$25:$A$36,0))=0,"—",INDEX(Setup!$F$25:$F$36,MATCH($B282,Setup!$A$25:$A$36,0))),"—"))</f>
        <v>—</v>
      </c>
      <c r="P282" s="21" t="str">
        <f>IF(OR($B282="",$G282="",$D282="Cancelled",$D282="Owner block"),"—",IF(IFERROR(INDEX(Setup!$G$25:$G$36,MATCH($B282,Setup!$A$25:$A$36,0)),0)+IFERROR(INDEX(Setup!$H$25:$H$36,MATCH($B282,Setup!$A$25:$A$36,0)),0)*IF(ISNUMBER($H282),$H282,0)=0,"—",ROUND(IFERROR(INDEX(Setup!$G$25:$G$36,MATCH($B282,Setup!$A$25:$A$36,0)),0)+IFERROR(INDEX(Setup!$H$25:$H$36,MATCH($B282,Setup!$A$25:$A$36,0)),0)*IF(ISNUMBER($H282),$H282,0),2)))</f>
        <v>—</v>
      </c>
      <c r="Q282" s="21" t="str">
        <f t="shared" si="22"/>
        <v>—</v>
      </c>
      <c r="R282" s="21" t="str">
        <f t="shared" si="23"/>
        <v>—</v>
      </c>
      <c r="S282" s="8"/>
      <c r="T282" s="19" t="str">
        <f ca="1">IF(OR(NOT(ISNUMBER($F282)),NOT(ISNUMBER($G282)),NOT(ISNUMBER(Dashboard!$P$2)),NOT(ISNUMBER(Dashboard!$P$3)),$D282="Cancelled",$D282="Owner block"),"—",IF(MAX(0,MIN($G282,Dashboard!$P$3+1)-MAX($F282,Dashboard!$P$2))=0,"—",MAX(0,MIN($G282,Dashboard!$P$3+1)-MAX($F282,Dashboard!$P$2))))</f>
        <v>—</v>
      </c>
      <c r="U282" s="19" t="str">
        <f ca="1">IF(OR(NOT(ISNUMBER($F282)),NOT(ISNUMBER($G282)),NOT(ISNUMBER(Dashboard!$P$2)),NOT(ISNUMBER(Dashboard!$P$3)),$D282&lt;&gt;"Owner block"),"—",IF(MAX(0,MIN($G282,Dashboard!$P$3+1)-MAX($F282,Dashboard!$P$2))=0,"—",MAX(0,MIN($G282,Dashboard!$P$3+1)-MAX($F282,Dashboard!$P$2))))</f>
        <v>—</v>
      </c>
      <c r="V282" s="7" t="str">
        <f>IF($B282="",IF(COUNTA($C282:$G282,$I282:$K282,$S282)=0,"","⚠ no property — not counted"),IF(COUNTIF(Setup!$A$25:$A$36,$B282)=0,"⚠ property not in Setup",IF(AND($F282&lt;&gt;"",NOT(ISNUMBER($F282))),"⚠ check-in is not a real date",IF(AND($G282&lt;&gt;"",NOT(ISNUMBER($G282))),"⚠ check-out is not a real date",IF(AND($J282&lt;&gt;"",NOT(ISNUMBER($J282))),"⚠ booking value is not a number","OK")))))</f>
        <v/>
      </c>
      <c r="W282" s="21" t="str">
        <f t="shared" si="24"/>
        <v>—</v>
      </c>
    </row>
    <row r="283" spans="1:23" x14ac:dyDescent="0.2">
      <c r="A283" s="30">
        <v>279</v>
      </c>
      <c r="B283" s="3"/>
      <c r="C283" s="3"/>
      <c r="D283" s="3"/>
      <c r="E283" s="3"/>
      <c r="F283" s="31"/>
      <c r="G283" s="31"/>
      <c r="H283" s="19" t="str">
        <f t="shared" si="20"/>
        <v>—</v>
      </c>
      <c r="I283" s="32"/>
      <c r="J283" s="6"/>
      <c r="K283" s="33"/>
      <c r="L283" s="21" t="str">
        <f>IF(OR($B283="",NOT(ISNUMBER($J283)),$D283="Cancelled",$D283="Owner block"),"—",ROUND($J283*IF(ISNUMBER($K283),IF($K283&gt;1,$K283/100,$K283),IF(IFERROR(INDEX(Setup!$D$25:$D$36,MATCH($B283,Setup!$A$25:$A$36,0)),0)&gt;1,IFERROR(INDEX(Setup!$D$25:$D$36,MATCH($B283,Setup!$A$25:$A$36,0)),0)/100,IFERROR(INDEX(Setup!$D$25:$D$36,MATCH($B283,Setup!$A$25:$A$36,0)),0))),2))</f>
        <v>—</v>
      </c>
      <c r="M283" s="21" t="str">
        <f t="shared" si="21"/>
        <v>—</v>
      </c>
      <c r="N283" s="21" t="str">
        <f>IF(OR($B283="",$G283="",$D283="Cancelled"),"—",IFERROR(IF(INDEX(Setup!$E$25:$E$36,MATCH($B283,Setup!$A$25:$A$36,0))=0,"—",INDEX(Setup!$E$25:$E$36,MATCH($B283,Setup!$A$25:$A$36,0))),"—"))</f>
        <v>—</v>
      </c>
      <c r="O283" s="21" t="str">
        <f>IF(OR($B283="",$G283="",$D283="Cancelled"),"—",IFERROR(IF(INDEX(Setup!$F$25:$F$36,MATCH($B283,Setup!$A$25:$A$36,0))=0,"—",INDEX(Setup!$F$25:$F$36,MATCH($B283,Setup!$A$25:$A$36,0))),"—"))</f>
        <v>—</v>
      </c>
      <c r="P283" s="21" t="str">
        <f>IF(OR($B283="",$G283="",$D283="Cancelled",$D283="Owner block"),"—",IF(IFERROR(INDEX(Setup!$G$25:$G$36,MATCH($B283,Setup!$A$25:$A$36,0)),0)+IFERROR(INDEX(Setup!$H$25:$H$36,MATCH($B283,Setup!$A$25:$A$36,0)),0)*IF(ISNUMBER($H283),$H283,0)=0,"—",ROUND(IFERROR(INDEX(Setup!$G$25:$G$36,MATCH($B283,Setup!$A$25:$A$36,0)),0)+IFERROR(INDEX(Setup!$H$25:$H$36,MATCH($B283,Setup!$A$25:$A$36,0)),0)*IF(ISNUMBER($H283),$H283,0),2)))</f>
        <v>—</v>
      </c>
      <c r="Q283" s="21" t="str">
        <f t="shared" si="22"/>
        <v>—</v>
      </c>
      <c r="R283" s="21" t="str">
        <f t="shared" si="23"/>
        <v>—</v>
      </c>
      <c r="S283" s="3"/>
      <c r="T283" s="19" t="str">
        <f ca="1">IF(OR(NOT(ISNUMBER($F283)),NOT(ISNUMBER($G283)),NOT(ISNUMBER(Dashboard!$P$2)),NOT(ISNUMBER(Dashboard!$P$3)),$D283="Cancelled",$D283="Owner block"),"—",IF(MAX(0,MIN($G283,Dashboard!$P$3+1)-MAX($F283,Dashboard!$P$2))=0,"—",MAX(0,MIN($G283,Dashboard!$P$3+1)-MAX($F283,Dashboard!$P$2))))</f>
        <v>—</v>
      </c>
      <c r="U283" s="19" t="str">
        <f ca="1">IF(OR(NOT(ISNUMBER($F283)),NOT(ISNUMBER($G283)),NOT(ISNUMBER(Dashboard!$P$2)),NOT(ISNUMBER(Dashboard!$P$3)),$D283&lt;&gt;"Owner block"),"—",IF(MAX(0,MIN($G283,Dashboard!$P$3+1)-MAX($F283,Dashboard!$P$2))=0,"—",MAX(0,MIN($G283,Dashboard!$P$3+1)-MAX($F283,Dashboard!$P$2))))</f>
        <v>—</v>
      </c>
      <c r="V283" s="7" t="str">
        <f>IF($B283="",IF(COUNTA($C283:$G283,$I283:$K283,$S283)=0,"","⚠ no property — not counted"),IF(COUNTIF(Setup!$A$25:$A$36,$B283)=0,"⚠ property not in Setup",IF(AND($F283&lt;&gt;"",NOT(ISNUMBER($F283))),"⚠ check-in is not a real date",IF(AND($G283&lt;&gt;"",NOT(ISNUMBER($G283))),"⚠ check-out is not a real date",IF(AND($J283&lt;&gt;"",NOT(ISNUMBER($J283))),"⚠ booking value is not a number","OK")))))</f>
        <v/>
      </c>
      <c r="W283" s="21" t="str">
        <f t="shared" si="24"/>
        <v>—</v>
      </c>
    </row>
    <row r="284" spans="1:23" x14ac:dyDescent="0.2">
      <c r="A284" s="30">
        <v>280</v>
      </c>
      <c r="B284" s="8"/>
      <c r="C284" s="8"/>
      <c r="D284" s="8"/>
      <c r="E284" s="8"/>
      <c r="F284" s="34"/>
      <c r="G284" s="34"/>
      <c r="H284" s="19" t="str">
        <f t="shared" si="20"/>
        <v>—</v>
      </c>
      <c r="I284" s="35"/>
      <c r="J284" s="11"/>
      <c r="K284" s="36"/>
      <c r="L284" s="21" t="str">
        <f>IF(OR($B284="",NOT(ISNUMBER($J284)),$D284="Cancelled",$D284="Owner block"),"—",ROUND($J284*IF(ISNUMBER($K284),IF($K284&gt;1,$K284/100,$K284),IF(IFERROR(INDEX(Setup!$D$25:$D$36,MATCH($B284,Setup!$A$25:$A$36,0)),0)&gt;1,IFERROR(INDEX(Setup!$D$25:$D$36,MATCH($B284,Setup!$A$25:$A$36,0)),0)/100,IFERROR(INDEX(Setup!$D$25:$D$36,MATCH($B284,Setup!$A$25:$A$36,0)),0))),2))</f>
        <v>—</v>
      </c>
      <c r="M284" s="21" t="str">
        <f t="shared" si="21"/>
        <v>—</v>
      </c>
      <c r="N284" s="21" t="str">
        <f>IF(OR($B284="",$G284="",$D284="Cancelled"),"—",IFERROR(IF(INDEX(Setup!$E$25:$E$36,MATCH($B284,Setup!$A$25:$A$36,0))=0,"—",INDEX(Setup!$E$25:$E$36,MATCH($B284,Setup!$A$25:$A$36,0))),"—"))</f>
        <v>—</v>
      </c>
      <c r="O284" s="21" t="str">
        <f>IF(OR($B284="",$G284="",$D284="Cancelled"),"—",IFERROR(IF(INDEX(Setup!$F$25:$F$36,MATCH($B284,Setup!$A$25:$A$36,0))=0,"—",INDEX(Setup!$F$25:$F$36,MATCH($B284,Setup!$A$25:$A$36,0))),"—"))</f>
        <v>—</v>
      </c>
      <c r="P284" s="21" t="str">
        <f>IF(OR($B284="",$G284="",$D284="Cancelled",$D284="Owner block"),"—",IF(IFERROR(INDEX(Setup!$G$25:$G$36,MATCH($B284,Setup!$A$25:$A$36,0)),0)+IFERROR(INDEX(Setup!$H$25:$H$36,MATCH($B284,Setup!$A$25:$A$36,0)),0)*IF(ISNUMBER($H284),$H284,0)=0,"—",ROUND(IFERROR(INDEX(Setup!$G$25:$G$36,MATCH($B284,Setup!$A$25:$A$36,0)),0)+IFERROR(INDEX(Setup!$H$25:$H$36,MATCH($B284,Setup!$A$25:$A$36,0)),0)*IF(ISNUMBER($H284),$H284,0),2)))</f>
        <v>—</v>
      </c>
      <c r="Q284" s="21" t="str">
        <f t="shared" si="22"/>
        <v>—</v>
      </c>
      <c r="R284" s="21" t="str">
        <f t="shared" si="23"/>
        <v>—</v>
      </c>
      <c r="S284" s="8"/>
      <c r="T284" s="19" t="str">
        <f ca="1">IF(OR(NOT(ISNUMBER($F284)),NOT(ISNUMBER($G284)),NOT(ISNUMBER(Dashboard!$P$2)),NOT(ISNUMBER(Dashboard!$P$3)),$D284="Cancelled",$D284="Owner block"),"—",IF(MAX(0,MIN($G284,Dashboard!$P$3+1)-MAX($F284,Dashboard!$P$2))=0,"—",MAX(0,MIN($G284,Dashboard!$P$3+1)-MAX($F284,Dashboard!$P$2))))</f>
        <v>—</v>
      </c>
      <c r="U284" s="19" t="str">
        <f ca="1">IF(OR(NOT(ISNUMBER($F284)),NOT(ISNUMBER($G284)),NOT(ISNUMBER(Dashboard!$P$2)),NOT(ISNUMBER(Dashboard!$P$3)),$D284&lt;&gt;"Owner block"),"—",IF(MAX(0,MIN($G284,Dashboard!$P$3+1)-MAX($F284,Dashboard!$P$2))=0,"—",MAX(0,MIN($G284,Dashboard!$P$3+1)-MAX($F284,Dashboard!$P$2))))</f>
        <v>—</v>
      </c>
      <c r="V284" s="7" t="str">
        <f>IF($B284="",IF(COUNTA($C284:$G284,$I284:$K284,$S284)=0,"","⚠ no property — not counted"),IF(COUNTIF(Setup!$A$25:$A$36,$B284)=0,"⚠ property not in Setup",IF(AND($F284&lt;&gt;"",NOT(ISNUMBER($F284))),"⚠ check-in is not a real date",IF(AND($G284&lt;&gt;"",NOT(ISNUMBER($G284))),"⚠ check-out is not a real date",IF(AND($J284&lt;&gt;"",NOT(ISNUMBER($J284))),"⚠ booking value is not a number","OK")))))</f>
        <v/>
      </c>
      <c r="W284" s="21" t="str">
        <f t="shared" si="24"/>
        <v>—</v>
      </c>
    </row>
    <row r="285" spans="1:23" x14ac:dyDescent="0.2">
      <c r="A285" s="30">
        <v>281</v>
      </c>
      <c r="B285" s="3"/>
      <c r="C285" s="3"/>
      <c r="D285" s="3"/>
      <c r="E285" s="3"/>
      <c r="F285" s="31"/>
      <c r="G285" s="31"/>
      <c r="H285" s="19" t="str">
        <f t="shared" si="20"/>
        <v>—</v>
      </c>
      <c r="I285" s="32"/>
      <c r="J285" s="6"/>
      <c r="K285" s="33"/>
      <c r="L285" s="21" t="str">
        <f>IF(OR($B285="",NOT(ISNUMBER($J285)),$D285="Cancelled",$D285="Owner block"),"—",ROUND($J285*IF(ISNUMBER($K285),IF($K285&gt;1,$K285/100,$K285),IF(IFERROR(INDEX(Setup!$D$25:$D$36,MATCH($B285,Setup!$A$25:$A$36,0)),0)&gt;1,IFERROR(INDEX(Setup!$D$25:$D$36,MATCH($B285,Setup!$A$25:$A$36,0)),0)/100,IFERROR(INDEX(Setup!$D$25:$D$36,MATCH($B285,Setup!$A$25:$A$36,0)),0))),2))</f>
        <v>—</v>
      </c>
      <c r="M285" s="21" t="str">
        <f t="shared" si="21"/>
        <v>—</v>
      </c>
      <c r="N285" s="21" t="str">
        <f>IF(OR($B285="",$G285="",$D285="Cancelled"),"—",IFERROR(IF(INDEX(Setup!$E$25:$E$36,MATCH($B285,Setup!$A$25:$A$36,0))=0,"—",INDEX(Setup!$E$25:$E$36,MATCH($B285,Setup!$A$25:$A$36,0))),"—"))</f>
        <v>—</v>
      </c>
      <c r="O285" s="21" t="str">
        <f>IF(OR($B285="",$G285="",$D285="Cancelled"),"—",IFERROR(IF(INDEX(Setup!$F$25:$F$36,MATCH($B285,Setup!$A$25:$A$36,0))=0,"—",INDEX(Setup!$F$25:$F$36,MATCH($B285,Setup!$A$25:$A$36,0))),"—"))</f>
        <v>—</v>
      </c>
      <c r="P285" s="21" t="str">
        <f>IF(OR($B285="",$G285="",$D285="Cancelled",$D285="Owner block"),"—",IF(IFERROR(INDEX(Setup!$G$25:$G$36,MATCH($B285,Setup!$A$25:$A$36,0)),0)+IFERROR(INDEX(Setup!$H$25:$H$36,MATCH($B285,Setup!$A$25:$A$36,0)),0)*IF(ISNUMBER($H285),$H285,0)=0,"—",ROUND(IFERROR(INDEX(Setup!$G$25:$G$36,MATCH($B285,Setup!$A$25:$A$36,0)),0)+IFERROR(INDEX(Setup!$H$25:$H$36,MATCH($B285,Setup!$A$25:$A$36,0)),0)*IF(ISNUMBER($H285),$H285,0),2)))</f>
        <v>—</v>
      </c>
      <c r="Q285" s="21" t="str">
        <f t="shared" si="22"/>
        <v>—</v>
      </c>
      <c r="R285" s="21" t="str">
        <f t="shared" si="23"/>
        <v>—</v>
      </c>
      <c r="S285" s="3"/>
      <c r="T285" s="19" t="str">
        <f ca="1">IF(OR(NOT(ISNUMBER($F285)),NOT(ISNUMBER($G285)),NOT(ISNUMBER(Dashboard!$P$2)),NOT(ISNUMBER(Dashboard!$P$3)),$D285="Cancelled",$D285="Owner block"),"—",IF(MAX(0,MIN($G285,Dashboard!$P$3+1)-MAX($F285,Dashboard!$P$2))=0,"—",MAX(0,MIN($G285,Dashboard!$P$3+1)-MAX($F285,Dashboard!$P$2))))</f>
        <v>—</v>
      </c>
      <c r="U285" s="19" t="str">
        <f ca="1">IF(OR(NOT(ISNUMBER($F285)),NOT(ISNUMBER($G285)),NOT(ISNUMBER(Dashboard!$P$2)),NOT(ISNUMBER(Dashboard!$P$3)),$D285&lt;&gt;"Owner block"),"—",IF(MAX(0,MIN($G285,Dashboard!$P$3+1)-MAX($F285,Dashboard!$P$2))=0,"—",MAX(0,MIN($G285,Dashboard!$P$3+1)-MAX($F285,Dashboard!$P$2))))</f>
        <v>—</v>
      </c>
      <c r="V285" s="7" t="str">
        <f>IF($B285="",IF(COUNTA($C285:$G285,$I285:$K285,$S285)=0,"","⚠ no property — not counted"),IF(COUNTIF(Setup!$A$25:$A$36,$B285)=0,"⚠ property not in Setup",IF(AND($F285&lt;&gt;"",NOT(ISNUMBER($F285))),"⚠ check-in is not a real date",IF(AND($G285&lt;&gt;"",NOT(ISNUMBER($G285))),"⚠ check-out is not a real date",IF(AND($J285&lt;&gt;"",NOT(ISNUMBER($J285))),"⚠ booking value is not a number","OK")))))</f>
        <v/>
      </c>
      <c r="W285" s="21" t="str">
        <f t="shared" si="24"/>
        <v>—</v>
      </c>
    </row>
    <row r="286" spans="1:23" x14ac:dyDescent="0.2">
      <c r="A286" s="30">
        <v>282</v>
      </c>
      <c r="B286" s="8"/>
      <c r="C286" s="8"/>
      <c r="D286" s="8"/>
      <c r="E286" s="8"/>
      <c r="F286" s="34"/>
      <c r="G286" s="34"/>
      <c r="H286" s="19" t="str">
        <f t="shared" si="20"/>
        <v>—</v>
      </c>
      <c r="I286" s="35"/>
      <c r="J286" s="11"/>
      <c r="K286" s="36"/>
      <c r="L286" s="21" t="str">
        <f>IF(OR($B286="",NOT(ISNUMBER($J286)),$D286="Cancelled",$D286="Owner block"),"—",ROUND($J286*IF(ISNUMBER($K286),IF($K286&gt;1,$K286/100,$K286),IF(IFERROR(INDEX(Setup!$D$25:$D$36,MATCH($B286,Setup!$A$25:$A$36,0)),0)&gt;1,IFERROR(INDEX(Setup!$D$25:$D$36,MATCH($B286,Setup!$A$25:$A$36,0)),0)/100,IFERROR(INDEX(Setup!$D$25:$D$36,MATCH($B286,Setup!$A$25:$A$36,0)),0))),2))</f>
        <v>—</v>
      </c>
      <c r="M286" s="21" t="str">
        <f t="shared" si="21"/>
        <v>—</v>
      </c>
      <c r="N286" s="21" t="str">
        <f>IF(OR($B286="",$G286="",$D286="Cancelled"),"—",IFERROR(IF(INDEX(Setup!$E$25:$E$36,MATCH($B286,Setup!$A$25:$A$36,0))=0,"—",INDEX(Setup!$E$25:$E$36,MATCH($B286,Setup!$A$25:$A$36,0))),"—"))</f>
        <v>—</v>
      </c>
      <c r="O286" s="21" t="str">
        <f>IF(OR($B286="",$G286="",$D286="Cancelled"),"—",IFERROR(IF(INDEX(Setup!$F$25:$F$36,MATCH($B286,Setup!$A$25:$A$36,0))=0,"—",INDEX(Setup!$F$25:$F$36,MATCH($B286,Setup!$A$25:$A$36,0))),"—"))</f>
        <v>—</v>
      </c>
      <c r="P286" s="21" t="str">
        <f>IF(OR($B286="",$G286="",$D286="Cancelled",$D286="Owner block"),"—",IF(IFERROR(INDEX(Setup!$G$25:$G$36,MATCH($B286,Setup!$A$25:$A$36,0)),0)+IFERROR(INDEX(Setup!$H$25:$H$36,MATCH($B286,Setup!$A$25:$A$36,0)),0)*IF(ISNUMBER($H286),$H286,0)=0,"—",ROUND(IFERROR(INDEX(Setup!$G$25:$G$36,MATCH($B286,Setup!$A$25:$A$36,0)),0)+IFERROR(INDEX(Setup!$H$25:$H$36,MATCH($B286,Setup!$A$25:$A$36,0)),0)*IF(ISNUMBER($H286),$H286,0),2)))</f>
        <v>—</v>
      </c>
      <c r="Q286" s="21" t="str">
        <f t="shared" si="22"/>
        <v>—</v>
      </c>
      <c r="R286" s="21" t="str">
        <f t="shared" si="23"/>
        <v>—</v>
      </c>
      <c r="S286" s="8"/>
      <c r="T286" s="19" t="str">
        <f ca="1">IF(OR(NOT(ISNUMBER($F286)),NOT(ISNUMBER($G286)),NOT(ISNUMBER(Dashboard!$P$2)),NOT(ISNUMBER(Dashboard!$P$3)),$D286="Cancelled",$D286="Owner block"),"—",IF(MAX(0,MIN($G286,Dashboard!$P$3+1)-MAX($F286,Dashboard!$P$2))=0,"—",MAX(0,MIN($G286,Dashboard!$P$3+1)-MAX($F286,Dashboard!$P$2))))</f>
        <v>—</v>
      </c>
      <c r="U286" s="19" t="str">
        <f ca="1">IF(OR(NOT(ISNUMBER($F286)),NOT(ISNUMBER($G286)),NOT(ISNUMBER(Dashboard!$P$2)),NOT(ISNUMBER(Dashboard!$P$3)),$D286&lt;&gt;"Owner block"),"—",IF(MAX(0,MIN($G286,Dashboard!$P$3+1)-MAX($F286,Dashboard!$P$2))=0,"—",MAX(0,MIN($G286,Dashboard!$P$3+1)-MAX($F286,Dashboard!$P$2))))</f>
        <v>—</v>
      </c>
      <c r="V286" s="7" t="str">
        <f>IF($B286="",IF(COUNTA($C286:$G286,$I286:$K286,$S286)=0,"","⚠ no property — not counted"),IF(COUNTIF(Setup!$A$25:$A$36,$B286)=0,"⚠ property not in Setup",IF(AND($F286&lt;&gt;"",NOT(ISNUMBER($F286))),"⚠ check-in is not a real date",IF(AND($G286&lt;&gt;"",NOT(ISNUMBER($G286))),"⚠ check-out is not a real date",IF(AND($J286&lt;&gt;"",NOT(ISNUMBER($J286))),"⚠ booking value is not a number","OK")))))</f>
        <v/>
      </c>
      <c r="W286" s="21" t="str">
        <f t="shared" si="24"/>
        <v>—</v>
      </c>
    </row>
    <row r="287" spans="1:23" x14ac:dyDescent="0.2">
      <c r="A287" s="30">
        <v>283</v>
      </c>
      <c r="B287" s="3"/>
      <c r="C287" s="3"/>
      <c r="D287" s="3"/>
      <c r="E287" s="3"/>
      <c r="F287" s="31"/>
      <c r="G287" s="31"/>
      <c r="H287" s="19" t="str">
        <f t="shared" si="20"/>
        <v>—</v>
      </c>
      <c r="I287" s="32"/>
      <c r="J287" s="6"/>
      <c r="K287" s="33"/>
      <c r="L287" s="21" t="str">
        <f>IF(OR($B287="",NOT(ISNUMBER($J287)),$D287="Cancelled",$D287="Owner block"),"—",ROUND($J287*IF(ISNUMBER($K287),IF($K287&gt;1,$K287/100,$K287),IF(IFERROR(INDEX(Setup!$D$25:$D$36,MATCH($B287,Setup!$A$25:$A$36,0)),0)&gt;1,IFERROR(INDEX(Setup!$D$25:$D$36,MATCH($B287,Setup!$A$25:$A$36,0)),0)/100,IFERROR(INDEX(Setup!$D$25:$D$36,MATCH($B287,Setup!$A$25:$A$36,0)),0))),2))</f>
        <v>—</v>
      </c>
      <c r="M287" s="21" t="str">
        <f t="shared" si="21"/>
        <v>—</v>
      </c>
      <c r="N287" s="21" t="str">
        <f>IF(OR($B287="",$G287="",$D287="Cancelled"),"—",IFERROR(IF(INDEX(Setup!$E$25:$E$36,MATCH($B287,Setup!$A$25:$A$36,0))=0,"—",INDEX(Setup!$E$25:$E$36,MATCH($B287,Setup!$A$25:$A$36,0))),"—"))</f>
        <v>—</v>
      </c>
      <c r="O287" s="21" t="str">
        <f>IF(OR($B287="",$G287="",$D287="Cancelled"),"—",IFERROR(IF(INDEX(Setup!$F$25:$F$36,MATCH($B287,Setup!$A$25:$A$36,0))=0,"—",INDEX(Setup!$F$25:$F$36,MATCH($B287,Setup!$A$25:$A$36,0))),"—"))</f>
        <v>—</v>
      </c>
      <c r="P287" s="21" t="str">
        <f>IF(OR($B287="",$G287="",$D287="Cancelled",$D287="Owner block"),"—",IF(IFERROR(INDEX(Setup!$G$25:$G$36,MATCH($B287,Setup!$A$25:$A$36,0)),0)+IFERROR(INDEX(Setup!$H$25:$H$36,MATCH($B287,Setup!$A$25:$A$36,0)),0)*IF(ISNUMBER($H287),$H287,0)=0,"—",ROUND(IFERROR(INDEX(Setup!$G$25:$G$36,MATCH($B287,Setup!$A$25:$A$36,0)),0)+IFERROR(INDEX(Setup!$H$25:$H$36,MATCH($B287,Setup!$A$25:$A$36,0)),0)*IF(ISNUMBER($H287),$H287,0),2)))</f>
        <v>—</v>
      </c>
      <c r="Q287" s="21" t="str">
        <f t="shared" si="22"/>
        <v>—</v>
      </c>
      <c r="R287" s="21" t="str">
        <f t="shared" si="23"/>
        <v>—</v>
      </c>
      <c r="S287" s="3"/>
      <c r="T287" s="19" t="str">
        <f ca="1">IF(OR(NOT(ISNUMBER($F287)),NOT(ISNUMBER($G287)),NOT(ISNUMBER(Dashboard!$P$2)),NOT(ISNUMBER(Dashboard!$P$3)),$D287="Cancelled",$D287="Owner block"),"—",IF(MAX(0,MIN($G287,Dashboard!$P$3+1)-MAX($F287,Dashboard!$P$2))=0,"—",MAX(0,MIN($G287,Dashboard!$P$3+1)-MAX($F287,Dashboard!$P$2))))</f>
        <v>—</v>
      </c>
      <c r="U287" s="19" t="str">
        <f ca="1">IF(OR(NOT(ISNUMBER($F287)),NOT(ISNUMBER($G287)),NOT(ISNUMBER(Dashboard!$P$2)),NOT(ISNUMBER(Dashboard!$P$3)),$D287&lt;&gt;"Owner block"),"—",IF(MAX(0,MIN($G287,Dashboard!$P$3+1)-MAX($F287,Dashboard!$P$2))=0,"—",MAX(0,MIN($G287,Dashboard!$P$3+1)-MAX($F287,Dashboard!$P$2))))</f>
        <v>—</v>
      </c>
      <c r="V287" s="7" t="str">
        <f>IF($B287="",IF(COUNTA($C287:$G287,$I287:$K287,$S287)=0,"","⚠ no property — not counted"),IF(COUNTIF(Setup!$A$25:$A$36,$B287)=0,"⚠ property not in Setup",IF(AND($F287&lt;&gt;"",NOT(ISNUMBER($F287))),"⚠ check-in is not a real date",IF(AND($G287&lt;&gt;"",NOT(ISNUMBER($G287))),"⚠ check-out is not a real date",IF(AND($J287&lt;&gt;"",NOT(ISNUMBER($J287))),"⚠ booking value is not a number","OK")))))</f>
        <v/>
      </c>
      <c r="W287" s="21" t="str">
        <f t="shared" si="24"/>
        <v>—</v>
      </c>
    </row>
    <row r="288" spans="1:23" x14ac:dyDescent="0.2">
      <c r="A288" s="30">
        <v>284</v>
      </c>
      <c r="B288" s="8"/>
      <c r="C288" s="8"/>
      <c r="D288" s="8"/>
      <c r="E288" s="8"/>
      <c r="F288" s="34"/>
      <c r="G288" s="34"/>
      <c r="H288" s="19" t="str">
        <f t="shared" si="20"/>
        <v>—</v>
      </c>
      <c r="I288" s="35"/>
      <c r="J288" s="11"/>
      <c r="K288" s="36"/>
      <c r="L288" s="21" t="str">
        <f>IF(OR($B288="",NOT(ISNUMBER($J288)),$D288="Cancelled",$D288="Owner block"),"—",ROUND($J288*IF(ISNUMBER($K288),IF($K288&gt;1,$K288/100,$K288),IF(IFERROR(INDEX(Setup!$D$25:$D$36,MATCH($B288,Setup!$A$25:$A$36,0)),0)&gt;1,IFERROR(INDEX(Setup!$D$25:$D$36,MATCH($B288,Setup!$A$25:$A$36,0)),0)/100,IFERROR(INDEX(Setup!$D$25:$D$36,MATCH($B288,Setup!$A$25:$A$36,0)),0))),2))</f>
        <v>—</v>
      </c>
      <c r="M288" s="21" t="str">
        <f t="shared" si="21"/>
        <v>—</v>
      </c>
      <c r="N288" s="21" t="str">
        <f>IF(OR($B288="",$G288="",$D288="Cancelled"),"—",IFERROR(IF(INDEX(Setup!$E$25:$E$36,MATCH($B288,Setup!$A$25:$A$36,0))=0,"—",INDEX(Setup!$E$25:$E$36,MATCH($B288,Setup!$A$25:$A$36,0))),"—"))</f>
        <v>—</v>
      </c>
      <c r="O288" s="21" t="str">
        <f>IF(OR($B288="",$G288="",$D288="Cancelled"),"—",IFERROR(IF(INDEX(Setup!$F$25:$F$36,MATCH($B288,Setup!$A$25:$A$36,0))=0,"—",INDEX(Setup!$F$25:$F$36,MATCH($B288,Setup!$A$25:$A$36,0))),"—"))</f>
        <v>—</v>
      </c>
      <c r="P288" s="21" t="str">
        <f>IF(OR($B288="",$G288="",$D288="Cancelled",$D288="Owner block"),"—",IF(IFERROR(INDEX(Setup!$G$25:$G$36,MATCH($B288,Setup!$A$25:$A$36,0)),0)+IFERROR(INDEX(Setup!$H$25:$H$36,MATCH($B288,Setup!$A$25:$A$36,0)),0)*IF(ISNUMBER($H288),$H288,0)=0,"—",ROUND(IFERROR(INDEX(Setup!$G$25:$G$36,MATCH($B288,Setup!$A$25:$A$36,0)),0)+IFERROR(INDEX(Setup!$H$25:$H$36,MATCH($B288,Setup!$A$25:$A$36,0)),0)*IF(ISNUMBER($H288),$H288,0),2)))</f>
        <v>—</v>
      </c>
      <c r="Q288" s="21" t="str">
        <f t="shared" si="22"/>
        <v>—</v>
      </c>
      <c r="R288" s="21" t="str">
        <f t="shared" si="23"/>
        <v>—</v>
      </c>
      <c r="S288" s="8"/>
      <c r="T288" s="19" t="str">
        <f ca="1">IF(OR(NOT(ISNUMBER($F288)),NOT(ISNUMBER($G288)),NOT(ISNUMBER(Dashboard!$P$2)),NOT(ISNUMBER(Dashboard!$P$3)),$D288="Cancelled",$D288="Owner block"),"—",IF(MAX(0,MIN($G288,Dashboard!$P$3+1)-MAX($F288,Dashboard!$P$2))=0,"—",MAX(0,MIN($G288,Dashboard!$P$3+1)-MAX($F288,Dashboard!$P$2))))</f>
        <v>—</v>
      </c>
      <c r="U288" s="19" t="str">
        <f ca="1">IF(OR(NOT(ISNUMBER($F288)),NOT(ISNUMBER($G288)),NOT(ISNUMBER(Dashboard!$P$2)),NOT(ISNUMBER(Dashboard!$P$3)),$D288&lt;&gt;"Owner block"),"—",IF(MAX(0,MIN($G288,Dashboard!$P$3+1)-MAX($F288,Dashboard!$P$2))=0,"—",MAX(0,MIN($G288,Dashboard!$P$3+1)-MAX($F288,Dashboard!$P$2))))</f>
        <v>—</v>
      </c>
      <c r="V288" s="7" t="str">
        <f>IF($B288="",IF(COUNTA($C288:$G288,$I288:$K288,$S288)=0,"","⚠ no property — not counted"),IF(COUNTIF(Setup!$A$25:$A$36,$B288)=0,"⚠ property not in Setup",IF(AND($F288&lt;&gt;"",NOT(ISNUMBER($F288))),"⚠ check-in is not a real date",IF(AND($G288&lt;&gt;"",NOT(ISNUMBER($G288))),"⚠ check-out is not a real date",IF(AND($J288&lt;&gt;"",NOT(ISNUMBER($J288))),"⚠ booking value is not a number","OK")))))</f>
        <v/>
      </c>
      <c r="W288" s="21" t="str">
        <f t="shared" si="24"/>
        <v>—</v>
      </c>
    </row>
    <row r="289" spans="1:23" x14ac:dyDescent="0.2">
      <c r="A289" s="30">
        <v>285</v>
      </c>
      <c r="B289" s="3"/>
      <c r="C289" s="3"/>
      <c r="D289" s="3"/>
      <c r="E289" s="3"/>
      <c r="F289" s="31"/>
      <c r="G289" s="31"/>
      <c r="H289" s="19" t="str">
        <f t="shared" si="20"/>
        <v>—</v>
      </c>
      <c r="I289" s="32"/>
      <c r="J289" s="6"/>
      <c r="K289" s="33"/>
      <c r="L289" s="21" t="str">
        <f>IF(OR($B289="",NOT(ISNUMBER($J289)),$D289="Cancelled",$D289="Owner block"),"—",ROUND($J289*IF(ISNUMBER($K289),IF($K289&gt;1,$K289/100,$K289),IF(IFERROR(INDEX(Setup!$D$25:$D$36,MATCH($B289,Setup!$A$25:$A$36,0)),0)&gt;1,IFERROR(INDEX(Setup!$D$25:$D$36,MATCH($B289,Setup!$A$25:$A$36,0)),0)/100,IFERROR(INDEX(Setup!$D$25:$D$36,MATCH($B289,Setup!$A$25:$A$36,0)),0))),2))</f>
        <v>—</v>
      </c>
      <c r="M289" s="21" t="str">
        <f t="shared" si="21"/>
        <v>—</v>
      </c>
      <c r="N289" s="21" t="str">
        <f>IF(OR($B289="",$G289="",$D289="Cancelled"),"—",IFERROR(IF(INDEX(Setup!$E$25:$E$36,MATCH($B289,Setup!$A$25:$A$36,0))=0,"—",INDEX(Setup!$E$25:$E$36,MATCH($B289,Setup!$A$25:$A$36,0))),"—"))</f>
        <v>—</v>
      </c>
      <c r="O289" s="21" t="str">
        <f>IF(OR($B289="",$G289="",$D289="Cancelled"),"—",IFERROR(IF(INDEX(Setup!$F$25:$F$36,MATCH($B289,Setup!$A$25:$A$36,0))=0,"—",INDEX(Setup!$F$25:$F$36,MATCH($B289,Setup!$A$25:$A$36,0))),"—"))</f>
        <v>—</v>
      </c>
      <c r="P289" s="21" t="str">
        <f>IF(OR($B289="",$G289="",$D289="Cancelled",$D289="Owner block"),"—",IF(IFERROR(INDEX(Setup!$G$25:$G$36,MATCH($B289,Setup!$A$25:$A$36,0)),0)+IFERROR(INDEX(Setup!$H$25:$H$36,MATCH($B289,Setup!$A$25:$A$36,0)),0)*IF(ISNUMBER($H289),$H289,0)=0,"—",ROUND(IFERROR(INDEX(Setup!$G$25:$G$36,MATCH($B289,Setup!$A$25:$A$36,0)),0)+IFERROR(INDEX(Setup!$H$25:$H$36,MATCH($B289,Setup!$A$25:$A$36,0)),0)*IF(ISNUMBER($H289),$H289,0),2)))</f>
        <v>—</v>
      </c>
      <c r="Q289" s="21" t="str">
        <f t="shared" si="22"/>
        <v>—</v>
      </c>
      <c r="R289" s="21" t="str">
        <f t="shared" si="23"/>
        <v>—</v>
      </c>
      <c r="S289" s="3"/>
      <c r="T289" s="19" t="str">
        <f ca="1">IF(OR(NOT(ISNUMBER($F289)),NOT(ISNUMBER($G289)),NOT(ISNUMBER(Dashboard!$P$2)),NOT(ISNUMBER(Dashboard!$P$3)),$D289="Cancelled",$D289="Owner block"),"—",IF(MAX(0,MIN($G289,Dashboard!$P$3+1)-MAX($F289,Dashboard!$P$2))=0,"—",MAX(0,MIN($G289,Dashboard!$P$3+1)-MAX($F289,Dashboard!$P$2))))</f>
        <v>—</v>
      </c>
      <c r="U289" s="19" t="str">
        <f ca="1">IF(OR(NOT(ISNUMBER($F289)),NOT(ISNUMBER($G289)),NOT(ISNUMBER(Dashboard!$P$2)),NOT(ISNUMBER(Dashboard!$P$3)),$D289&lt;&gt;"Owner block"),"—",IF(MAX(0,MIN($G289,Dashboard!$P$3+1)-MAX($F289,Dashboard!$P$2))=0,"—",MAX(0,MIN($G289,Dashboard!$P$3+1)-MAX($F289,Dashboard!$P$2))))</f>
        <v>—</v>
      </c>
      <c r="V289" s="7" t="str">
        <f>IF($B289="",IF(COUNTA($C289:$G289,$I289:$K289,$S289)=0,"","⚠ no property — not counted"),IF(COUNTIF(Setup!$A$25:$A$36,$B289)=0,"⚠ property not in Setup",IF(AND($F289&lt;&gt;"",NOT(ISNUMBER($F289))),"⚠ check-in is not a real date",IF(AND($G289&lt;&gt;"",NOT(ISNUMBER($G289))),"⚠ check-out is not a real date",IF(AND($J289&lt;&gt;"",NOT(ISNUMBER($J289))),"⚠ booking value is not a number","OK")))))</f>
        <v/>
      </c>
      <c r="W289" s="21" t="str">
        <f t="shared" si="24"/>
        <v>—</v>
      </c>
    </row>
    <row r="290" spans="1:23" x14ac:dyDescent="0.2">
      <c r="A290" s="30">
        <v>286</v>
      </c>
      <c r="B290" s="8"/>
      <c r="C290" s="8"/>
      <c r="D290" s="8"/>
      <c r="E290" s="8"/>
      <c r="F290" s="34"/>
      <c r="G290" s="34"/>
      <c r="H290" s="19" t="str">
        <f t="shared" si="20"/>
        <v>—</v>
      </c>
      <c r="I290" s="35"/>
      <c r="J290" s="11"/>
      <c r="K290" s="36"/>
      <c r="L290" s="21" t="str">
        <f>IF(OR($B290="",NOT(ISNUMBER($J290)),$D290="Cancelled",$D290="Owner block"),"—",ROUND($J290*IF(ISNUMBER($K290),IF($K290&gt;1,$K290/100,$K290),IF(IFERROR(INDEX(Setup!$D$25:$D$36,MATCH($B290,Setup!$A$25:$A$36,0)),0)&gt;1,IFERROR(INDEX(Setup!$D$25:$D$36,MATCH($B290,Setup!$A$25:$A$36,0)),0)/100,IFERROR(INDEX(Setup!$D$25:$D$36,MATCH($B290,Setup!$A$25:$A$36,0)),0))),2))</f>
        <v>—</v>
      </c>
      <c r="M290" s="21" t="str">
        <f t="shared" si="21"/>
        <v>—</v>
      </c>
      <c r="N290" s="21" t="str">
        <f>IF(OR($B290="",$G290="",$D290="Cancelled"),"—",IFERROR(IF(INDEX(Setup!$E$25:$E$36,MATCH($B290,Setup!$A$25:$A$36,0))=0,"—",INDEX(Setup!$E$25:$E$36,MATCH($B290,Setup!$A$25:$A$36,0))),"—"))</f>
        <v>—</v>
      </c>
      <c r="O290" s="21" t="str">
        <f>IF(OR($B290="",$G290="",$D290="Cancelled"),"—",IFERROR(IF(INDEX(Setup!$F$25:$F$36,MATCH($B290,Setup!$A$25:$A$36,0))=0,"—",INDEX(Setup!$F$25:$F$36,MATCH($B290,Setup!$A$25:$A$36,0))),"—"))</f>
        <v>—</v>
      </c>
      <c r="P290" s="21" t="str">
        <f>IF(OR($B290="",$G290="",$D290="Cancelled",$D290="Owner block"),"—",IF(IFERROR(INDEX(Setup!$G$25:$G$36,MATCH($B290,Setup!$A$25:$A$36,0)),0)+IFERROR(INDEX(Setup!$H$25:$H$36,MATCH($B290,Setup!$A$25:$A$36,0)),0)*IF(ISNUMBER($H290),$H290,0)=0,"—",ROUND(IFERROR(INDEX(Setup!$G$25:$G$36,MATCH($B290,Setup!$A$25:$A$36,0)),0)+IFERROR(INDEX(Setup!$H$25:$H$36,MATCH($B290,Setup!$A$25:$A$36,0)),0)*IF(ISNUMBER($H290),$H290,0),2)))</f>
        <v>—</v>
      </c>
      <c r="Q290" s="21" t="str">
        <f t="shared" si="22"/>
        <v>—</v>
      </c>
      <c r="R290" s="21" t="str">
        <f t="shared" si="23"/>
        <v>—</v>
      </c>
      <c r="S290" s="8"/>
      <c r="T290" s="19" t="str">
        <f ca="1">IF(OR(NOT(ISNUMBER($F290)),NOT(ISNUMBER($G290)),NOT(ISNUMBER(Dashboard!$P$2)),NOT(ISNUMBER(Dashboard!$P$3)),$D290="Cancelled",$D290="Owner block"),"—",IF(MAX(0,MIN($G290,Dashboard!$P$3+1)-MAX($F290,Dashboard!$P$2))=0,"—",MAX(0,MIN($G290,Dashboard!$P$3+1)-MAX($F290,Dashboard!$P$2))))</f>
        <v>—</v>
      </c>
      <c r="U290" s="19" t="str">
        <f ca="1">IF(OR(NOT(ISNUMBER($F290)),NOT(ISNUMBER($G290)),NOT(ISNUMBER(Dashboard!$P$2)),NOT(ISNUMBER(Dashboard!$P$3)),$D290&lt;&gt;"Owner block"),"—",IF(MAX(0,MIN($G290,Dashboard!$P$3+1)-MAX($F290,Dashboard!$P$2))=0,"—",MAX(0,MIN($G290,Dashboard!$P$3+1)-MAX($F290,Dashboard!$P$2))))</f>
        <v>—</v>
      </c>
      <c r="V290" s="7" t="str">
        <f>IF($B290="",IF(COUNTA($C290:$G290,$I290:$K290,$S290)=0,"","⚠ no property — not counted"),IF(COUNTIF(Setup!$A$25:$A$36,$B290)=0,"⚠ property not in Setup",IF(AND($F290&lt;&gt;"",NOT(ISNUMBER($F290))),"⚠ check-in is not a real date",IF(AND($G290&lt;&gt;"",NOT(ISNUMBER($G290))),"⚠ check-out is not a real date",IF(AND($J290&lt;&gt;"",NOT(ISNUMBER($J290))),"⚠ booking value is not a number","OK")))))</f>
        <v/>
      </c>
      <c r="W290" s="21" t="str">
        <f t="shared" si="24"/>
        <v>—</v>
      </c>
    </row>
    <row r="291" spans="1:23" x14ac:dyDescent="0.2">
      <c r="A291" s="30">
        <v>287</v>
      </c>
      <c r="B291" s="3"/>
      <c r="C291" s="3"/>
      <c r="D291" s="3"/>
      <c r="E291" s="3"/>
      <c r="F291" s="31"/>
      <c r="G291" s="31"/>
      <c r="H291" s="19" t="str">
        <f t="shared" si="20"/>
        <v>—</v>
      </c>
      <c r="I291" s="32"/>
      <c r="J291" s="6"/>
      <c r="K291" s="33"/>
      <c r="L291" s="21" t="str">
        <f>IF(OR($B291="",NOT(ISNUMBER($J291)),$D291="Cancelled",$D291="Owner block"),"—",ROUND($J291*IF(ISNUMBER($K291),IF($K291&gt;1,$K291/100,$K291),IF(IFERROR(INDEX(Setup!$D$25:$D$36,MATCH($B291,Setup!$A$25:$A$36,0)),0)&gt;1,IFERROR(INDEX(Setup!$D$25:$D$36,MATCH($B291,Setup!$A$25:$A$36,0)),0)/100,IFERROR(INDEX(Setup!$D$25:$D$36,MATCH($B291,Setup!$A$25:$A$36,0)),0))),2))</f>
        <v>—</v>
      </c>
      <c r="M291" s="21" t="str">
        <f t="shared" si="21"/>
        <v>—</v>
      </c>
      <c r="N291" s="21" t="str">
        <f>IF(OR($B291="",$G291="",$D291="Cancelled"),"—",IFERROR(IF(INDEX(Setup!$E$25:$E$36,MATCH($B291,Setup!$A$25:$A$36,0))=0,"—",INDEX(Setup!$E$25:$E$36,MATCH($B291,Setup!$A$25:$A$36,0))),"—"))</f>
        <v>—</v>
      </c>
      <c r="O291" s="21" t="str">
        <f>IF(OR($B291="",$G291="",$D291="Cancelled"),"—",IFERROR(IF(INDEX(Setup!$F$25:$F$36,MATCH($B291,Setup!$A$25:$A$36,0))=0,"—",INDEX(Setup!$F$25:$F$36,MATCH($B291,Setup!$A$25:$A$36,0))),"—"))</f>
        <v>—</v>
      </c>
      <c r="P291" s="21" t="str">
        <f>IF(OR($B291="",$G291="",$D291="Cancelled",$D291="Owner block"),"—",IF(IFERROR(INDEX(Setup!$G$25:$G$36,MATCH($B291,Setup!$A$25:$A$36,0)),0)+IFERROR(INDEX(Setup!$H$25:$H$36,MATCH($B291,Setup!$A$25:$A$36,0)),0)*IF(ISNUMBER($H291),$H291,0)=0,"—",ROUND(IFERROR(INDEX(Setup!$G$25:$G$36,MATCH($B291,Setup!$A$25:$A$36,0)),0)+IFERROR(INDEX(Setup!$H$25:$H$36,MATCH($B291,Setup!$A$25:$A$36,0)),0)*IF(ISNUMBER($H291),$H291,0),2)))</f>
        <v>—</v>
      </c>
      <c r="Q291" s="21" t="str">
        <f t="shared" si="22"/>
        <v>—</v>
      </c>
      <c r="R291" s="21" t="str">
        <f t="shared" si="23"/>
        <v>—</v>
      </c>
      <c r="S291" s="3"/>
      <c r="T291" s="19" t="str">
        <f ca="1">IF(OR(NOT(ISNUMBER($F291)),NOT(ISNUMBER($G291)),NOT(ISNUMBER(Dashboard!$P$2)),NOT(ISNUMBER(Dashboard!$P$3)),$D291="Cancelled",$D291="Owner block"),"—",IF(MAX(0,MIN($G291,Dashboard!$P$3+1)-MAX($F291,Dashboard!$P$2))=0,"—",MAX(0,MIN($G291,Dashboard!$P$3+1)-MAX($F291,Dashboard!$P$2))))</f>
        <v>—</v>
      </c>
      <c r="U291" s="19" t="str">
        <f ca="1">IF(OR(NOT(ISNUMBER($F291)),NOT(ISNUMBER($G291)),NOT(ISNUMBER(Dashboard!$P$2)),NOT(ISNUMBER(Dashboard!$P$3)),$D291&lt;&gt;"Owner block"),"—",IF(MAX(0,MIN($G291,Dashboard!$P$3+1)-MAX($F291,Dashboard!$P$2))=0,"—",MAX(0,MIN($G291,Dashboard!$P$3+1)-MAX($F291,Dashboard!$P$2))))</f>
        <v>—</v>
      </c>
      <c r="V291" s="7" t="str">
        <f>IF($B291="",IF(COUNTA($C291:$G291,$I291:$K291,$S291)=0,"","⚠ no property — not counted"),IF(COUNTIF(Setup!$A$25:$A$36,$B291)=0,"⚠ property not in Setup",IF(AND($F291&lt;&gt;"",NOT(ISNUMBER($F291))),"⚠ check-in is not a real date",IF(AND($G291&lt;&gt;"",NOT(ISNUMBER($G291))),"⚠ check-out is not a real date",IF(AND($J291&lt;&gt;"",NOT(ISNUMBER($J291))),"⚠ booking value is not a number","OK")))))</f>
        <v/>
      </c>
      <c r="W291" s="21" t="str">
        <f t="shared" si="24"/>
        <v>—</v>
      </c>
    </row>
    <row r="292" spans="1:23" x14ac:dyDescent="0.2">
      <c r="A292" s="30">
        <v>288</v>
      </c>
      <c r="B292" s="8"/>
      <c r="C292" s="8"/>
      <c r="D292" s="8"/>
      <c r="E292" s="8"/>
      <c r="F292" s="34"/>
      <c r="G292" s="34"/>
      <c r="H292" s="19" t="str">
        <f t="shared" si="20"/>
        <v>—</v>
      </c>
      <c r="I292" s="35"/>
      <c r="J292" s="11"/>
      <c r="K292" s="36"/>
      <c r="L292" s="21" t="str">
        <f>IF(OR($B292="",NOT(ISNUMBER($J292)),$D292="Cancelled",$D292="Owner block"),"—",ROUND($J292*IF(ISNUMBER($K292),IF($K292&gt;1,$K292/100,$K292),IF(IFERROR(INDEX(Setup!$D$25:$D$36,MATCH($B292,Setup!$A$25:$A$36,0)),0)&gt;1,IFERROR(INDEX(Setup!$D$25:$D$36,MATCH($B292,Setup!$A$25:$A$36,0)),0)/100,IFERROR(INDEX(Setup!$D$25:$D$36,MATCH($B292,Setup!$A$25:$A$36,0)),0))),2))</f>
        <v>—</v>
      </c>
      <c r="M292" s="21" t="str">
        <f t="shared" si="21"/>
        <v>—</v>
      </c>
      <c r="N292" s="21" t="str">
        <f>IF(OR($B292="",$G292="",$D292="Cancelled"),"—",IFERROR(IF(INDEX(Setup!$E$25:$E$36,MATCH($B292,Setup!$A$25:$A$36,0))=0,"—",INDEX(Setup!$E$25:$E$36,MATCH($B292,Setup!$A$25:$A$36,0))),"—"))</f>
        <v>—</v>
      </c>
      <c r="O292" s="21" t="str">
        <f>IF(OR($B292="",$G292="",$D292="Cancelled"),"—",IFERROR(IF(INDEX(Setup!$F$25:$F$36,MATCH($B292,Setup!$A$25:$A$36,0))=0,"—",INDEX(Setup!$F$25:$F$36,MATCH($B292,Setup!$A$25:$A$36,0))),"—"))</f>
        <v>—</v>
      </c>
      <c r="P292" s="21" t="str">
        <f>IF(OR($B292="",$G292="",$D292="Cancelled",$D292="Owner block"),"—",IF(IFERROR(INDEX(Setup!$G$25:$G$36,MATCH($B292,Setup!$A$25:$A$36,0)),0)+IFERROR(INDEX(Setup!$H$25:$H$36,MATCH($B292,Setup!$A$25:$A$36,0)),0)*IF(ISNUMBER($H292),$H292,0)=0,"—",ROUND(IFERROR(INDEX(Setup!$G$25:$G$36,MATCH($B292,Setup!$A$25:$A$36,0)),0)+IFERROR(INDEX(Setup!$H$25:$H$36,MATCH($B292,Setup!$A$25:$A$36,0)),0)*IF(ISNUMBER($H292),$H292,0),2)))</f>
        <v>—</v>
      </c>
      <c r="Q292" s="21" t="str">
        <f t="shared" si="22"/>
        <v>—</v>
      </c>
      <c r="R292" s="21" t="str">
        <f t="shared" si="23"/>
        <v>—</v>
      </c>
      <c r="S292" s="8"/>
      <c r="T292" s="19" t="str">
        <f ca="1">IF(OR(NOT(ISNUMBER($F292)),NOT(ISNUMBER($G292)),NOT(ISNUMBER(Dashboard!$P$2)),NOT(ISNUMBER(Dashboard!$P$3)),$D292="Cancelled",$D292="Owner block"),"—",IF(MAX(0,MIN($G292,Dashboard!$P$3+1)-MAX($F292,Dashboard!$P$2))=0,"—",MAX(0,MIN($G292,Dashboard!$P$3+1)-MAX($F292,Dashboard!$P$2))))</f>
        <v>—</v>
      </c>
      <c r="U292" s="19" t="str">
        <f ca="1">IF(OR(NOT(ISNUMBER($F292)),NOT(ISNUMBER($G292)),NOT(ISNUMBER(Dashboard!$P$2)),NOT(ISNUMBER(Dashboard!$P$3)),$D292&lt;&gt;"Owner block"),"—",IF(MAX(0,MIN($G292,Dashboard!$P$3+1)-MAX($F292,Dashboard!$P$2))=0,"—",MAX(0,MIN($G292,Dashboard!$P$3+1)-MAX($F292,Dashboard!$P$2))))</f>
        <v>—</v>
      </c>
      <c r="V292" s="7" t="str">
        <f>IF($B292="",IF(COUNTA($C292:$G292,$I292:$K292,$S292)=0,"","⚠ no property — not counted"),IF(COUNTIF(Setup!$A$25:$A$36,$B292)=0,"⚠ property not in Setup",IF(AND($F292&lt;&gt;"",NOT(ISNUMBER($F292))),"⚠ check-in is not a real date",IF(AND($G292&lt;&gt;"",NOT(ISNUMBER($G292))),"⚠ check-out is not a real date",IF(AND($J292&lt;&gt;"",NOT(ISNUMBER($J292))),"⚠ booking value is not a number","OK")))))</f>
        <v/>
      </c>
      <c r="W292" s="21" t="str">
        <f t="shared" si="24"/>
        <v>—</v>
      </c>
    </row>
    <row r="293" spans="1:23" x14ac:dyDescent="0.2">
      <c r="A293" s="30">
        <v>289</v>
      </c>
      <c r="B293" s="3"/>
      <c r="C293" s="3"/>
      <c r="D293" s="3"/>
      <c r="E293" s="3"/>
      <c r="F293" s="31"/>
      <c r="G293" s="31"/>
      <c r="H293" s="19" t="str">
        <f t="shared" si="20"/>
        <v>—</v>
      </c>
      <c r="I293" s="32"/>
      <c r="J293" s="6"/>
      <c r="K293" s="33"/>
      <c r="L293" s="21" t="str">
        <f>IF(OR($B293="",NOT(ISNUMBER($J293)),$D293="Cancelled",$D293="Owner block"),"—",ROUND($J293*IF(ISNUMBER($K293),IF($K293&gt;1,$K293/100,$K293),IF(IFERROR(INDEX(Setup!$D$25:$D$36,MATCH($B293,Setup!$A$25:$A$36,0)),0)&gt;1,IFERROR(INDEX(Setup!$D$25:$D$36,MATCH($B293,Setup!$A$25:$A$36,0)),0)/100,IFERROR(INDEX(Setup!$D$25:$D$36,MATCH($B293,Setup!$A$25:$A$36,0)),0))),2))</f>
        <v>—</v>
      </c>
      <c r="M293" s="21" t="str">
        <f t="shared" si="21"/>
        <v>—</v>
      </c>
      <c r="N293" s="21" t="str">
        <f>IF(OR($B293="",$G293="",$D293="Cancelled"),"—",IFERROR(IF(INDEX(Setup!$E$25:$E$36,MATCH($B293,Setup!$A$25:$A$36,0))=0,"—",INDEX(Setup!$E$25:$E$36,MATCH($B293,Setup!$A$25:$A$36,0))),"—"))</f>
        <v>—</v>
      </c>
      <c r="O293" s="21" t="str">
        <f>IF(OR($B293="",$G293="",$D293="Cancelled"),"—",IFERROR(IF(INDEX(Setup!$F$25:$F$36,MATCH($B293,Setup!$A$25:$A$36,0))=0,"—",INDEX(Setup!$F$25:$F$36,MATCH($B293,Setup!$A$25:$A$36,0))),"—"))</f>
        <v>—</v>
      </c>
      <c r="P293" s="21" t="str">
        <f>IF(OR($B293="",$G293="",$D293="Cancelled",$D293="Owner block"),"—",IF(IFERROR(INDEX(Setup!$G$25:$G$36,MATCH($B293,Setup!$A$25:$A$36,0)),0)+IFERROR(INDEX(Setup!$H$25:$H$36,MATCH($B293,Setup!$A$25:$A$36,0)),0)*IF(ISNUMBER($H293),$H293,0)=0,"—",ROUND(IFERROR(INDEX(Setup!$G$25:$G$36,MATCH($B293,Setup!$A$25:$A$36,0)),0)+IFERROR(INDEX(Setup!$H$25:$H$36,MATCH($B293,Setup!$A$25:$A$36,0)),0)*IF(ISNUMBER($H293),$H293,0),2)))</f>
        <v>—</v>
      </c>
      <c r="Q293" s="21" t="str">
        <f t="shared" si="22"/>
        <v>—</v>
      </c>
      <c r="R293" s="21" t="str">
        <f t="shared" si="23"/>
        <v>—</v>
      </c>
      <c r="S293" s="3"/>
      <c r="T293" s="19" t="str">
        <f ca="1">IF(OR(NOT(ISNUMBER($F293)),NOT(ISNUMBER($G293)),NOT(ISNUMBER(Dashboard!$P$2)),NOT(ISNUMBER(Dashboard!$P$3)),$D293="Cancelled",$D293="Owner block"),"—",IF(MAX(0,MIN($G293,Dashboard!$P$3+1)-MAX($F293,Dashboard!$P$2))=0,"—",MAX(0,MIN($G293,Dashboard!$P$3+1)-MAX($F293,Dashboard!$P$2))))</f>
        <v>—</v>
      </c>
      <c r="U293" s="19" t="str">
        <f ca="1">IF(OR(NOT(ISNUMBER($F293)),NOT(ISNUMBER($G293)),NOT(ISNUMBER(Dashboard!$P$2)),NOT(ISNUMBER(Dashboard!$P$3)),$D293&lt;&gt;"Owner block"),"—",IF(MAX(0,MIN($G293,Dashboard!$P$3+1)-MAX($F293,Dashboard!$P$2))=0,"—",MAX(0,MIN($G293,Dashboard!$P$3+1)-MAX($F293,Dashboard!$P$2))))</f>
        <v>—</v>
      </c>
      <c r="V293" s="7" t="str">
        <f>IF($B293="",IF(COUNTA($C293:$G293,$I293:$K293,$S293)=0,"","⚠ no property — not counted"),IF(COUNTIF(Setup!$A$25:$A$36,$B293)=0,"⚠ property not in Setup",IF(AND($F293&lt;&gt;"",NOT(ISNUMBER($F293))),"⚠ check-in is not a real date",IF(AND($G293&lt;&gt;"",NOT(ISNUMBER($G293))),"⚠ check-out is not a real date",IF(AND($J293&lt;&gt;"",NOT(ISNUMBER($J293))),"⚠ booking value is not a number","OK")))))</f>
        <v/>
      </c>
      <c r="W293" s="21" t="str">
        <f t="shared" si="24"/>
        <v>—</v>
      </c>
    </row>
    <row r="294" spans="1:23" x14ac:dyDescent="0.2">
      <c r="A294" s="30">
        <v>290</v>
      </c>
      <c r="B294" s="8"/>
      <c r="C294" s="8"/>
      <c r="D294" s="8"/>
      <c r="E294" s="8"/>
      <c r="F294" s="34"/>
      <c r="G294" s="34"/>
      <c r="H294" s="19" t="str">
        <f t="shared" si="20"/>
        <v>—</v>
      </c>
      <c r="I294" s="35"/>
      <c r="J294" s="11"/>
      <c r="K294" s="36"/>
      <c r="L294" s="21" t="str">
        <f>IF(OR($B294="",NOT(ISNUMBER($J294)),$D294="Cancelled",$D294="Owner block"),"—",ROUND($J294*IF(ISNUMBER($K294),IF($K294&gt;1,$K294/100,$K294),IF(IFERROR(INDEX(Setup!$D$25:$D$36,MATCH($B294,Setup!$A$25:$A$36,0)),0)&gt;1,IFERROR(INDEX(Setup!$D$25:$D$36,MATCH($B294,Setup!$A$25:$A$36,0)),0)/100,IFERROR(INDEX(Setup!$D$25:$D$36,MATCH($B294,Setup!$A$25:$A$36,0)),0))),2))</f>
        <v>—</v>
      </c>
      <c r="M294" s="21" t="str">
        <f t="shared" si="21"/>
        <v>—</v>
      </c>
      <c r="N294" s="21" t="str">
        <f>IF(OR($B294="",$G294="",$D294="Cancelled"),"—",IFERROR(IF(INDEX(Setup!$E$25:$E$36,MATCH($B294,Setup!$A$25:$A$36,0))=0,"—",INDEX(Setup!$E$25:$E$36,MATCH($B294,Setup!$A$25:$A$36,0))),"—"))</f>
        <v>—</v>
      </c>
      <c r="O294" s="21" t="str">
        <f>IF(OR($B294="",$G294="",$D294="Cancelled"),"—",IFERROR(IF(INDEX(Setup!$F$25:$F$36,MATCH($B294,Setup!$A$25:$A$36,0))=0,"—",INDEX(Setup!$F$25:$F$36,MATCH($B294,Setup!$A$25:$A$36,0))),"—"))</f>
        <v>—</v>
      </c>
      <c r="P294" s="21" t="str">
        <f>IF(OR($B294="",$G294="",$D294="Cancelled",$D294="Owner block"),"—",IF(IFERROR(INDEX(Setup!$G$25:$G$36,MATCH($B294,Setup!$A$25:$A$36,0)),0)+IFERROR(INDEX(Setup!$H$25:$H$36,MATCH($B294,Setup!$A$25:$A$36,0)),0)*IF(ISNUMBER($H294),$H294,0)=0,"—",ROUND(IFERROR(INDEX(Setup!$G$25:$G$36,MATCH($B294,Setup!$A$25:$A$36,0)),0)+IFERROR(INDEX(Setup!$H$25:$H$36,MATCH($B294,Setup!$A$25:$A$36,0)),0)*IF(ISNUMBER($H294),$H294,0),2)))</f>
        <v>—</v>
      </c>
      <c r="Q294" s="21" t="str">
        <f t="shared" si="22"/>
        <v>—</v>
      </c>
      <c r="R294" s="21" t="str">
        <f t="shared" si="23"/>
        <v>—</v>
      </c>
      <c r="S294" s="8"/>
      <c r="T294" s="19" t="str">
        <f ca="1">IF(OR(NOT(ISNUMBER($F294)),NOT(ISNUMBER($G294)),NOT(ISNUMBER(Dashboard!$P$2)),NOT(ISNUMBER(Dashboard!$P$3)),$D294="Cancelled",$D294="Owner block"),"—",IF(MAX(0,MIN($G294,Dashboard!$P$3+1)-MAX($F294,Dashboard!$P$2))=0,"—",MAX(0,MIN($G294,Dashboard!$P$3+1)-MAX($F294,Dashboard!$P$2))))</f>
        <v>—</v>
      </c>
      <c r="U294" s="19" t="str">
        <f ca="1">IF(OR(NOT(ISNUMBER($F294)),NOT(ISNUMBER($G294)),NOT(ISNUMBER(Dashboard!$P$2)),NOT(ISNUMBER(Dashboard!$P$3)),$D294&lt;&gt;"Owner block"),"—",IF(MAX(0,MIN($G294,Dashboard!$P$3+1)-MAX($F294,Dashboard!$P$2))=0,"—",MAX(0,MIN($G294,Dashboard!$P$3+1)-MAX($F294,Dashboard!$P$2))))</f>
        <v>—</v>
      </c>
      <c r="V294" s="7" t="str">
        <f>IF($B294="",IF(COUNTA($C294:$G294,$I294:$K294,$S294)=0,"","⚠ no property — not counted"),IF(COUNTIF(Setup!$A$25:$A$36,$B294)=0,"⚠ property not in Setup",IF(AND($F294&lt;&gt;"",NOT(ISNUMBER($F294))),"⚠ check-in is not a real date",IF(AND($G294&lt;&gt;"",NOT(ISNUMBER($G294))),"⚠ check-out is not a real date",IF(AND($J294&lt;&gt;"",NOT(ISNUMBER($J294))),"⚠ booking value is not a number","OK")))))</f>
        <v/>
      </c>
      <c r="W294" s="21" t="str">
        <f t="shared" si="24"/>
        <v>—</v>
      </c>
    </row>
    <row r="295" spans="1:23" x14ac:dyDescent="0.2">
      <c r="A295" s="30">
        <v>291</v>
      </c>
      <c r="B295" s="3"/>
      <c r="C295" s="3"/>
      <c r="D295" s="3"/>
      <c r="E295" s="3"/>
      <c r="F295" s="31"/>
      <c r="G295" s="31"/>
      <c r="H295" s="19" t="str">
        <f t="shared" si="20"/>
        <v>—</v>
      </c>
      <c r="I295" s="32"/>
      <c r="J295" s="6"/>
      <c r="K295" s="33"/>
      <c r="L295" s="21" t="str">
        <f>IF(OR($B295="",NOT(ISNUMBER($J295)),$D295="Cancelled",$D295="Owner block"),"—",ROUND($J295*IF(ISNUMBER($K295),IF($K295&gt;1,$K295/100,$K295),IF(IFERROR(INDEX(Setup!$D$25:$D$36,MATCH($B295,Setup!$A$25:$A$36,0)),0)&gt;1,IFERROR(INDEX(Setup!$D$25:$D$36,MATCH($B295,Setup!$A$25:$A$36,0)),0)/100,IFERROR(INDEX(Setup!$D$25:$D$36,MATCH($B295,Setup!$A$25:$A$36,0)),0))),2))</f>
        <v>—</v>
      </c>
      <c r="M295" s="21" t="str">
        <f t="shared" si="21"/>
        <v>—</v>
      </c>
      <c r="N295" s="21" t="str">
        <f>IF(OR($B295="",$G295="",$D295="Cancelled"),"—",IFERROR(IF(INDEX(Setup!$E$25:$E$36,MATCH($B295,Setup!$A$25:$A$36,0))=0,"—",INDEX(Setup!$E$25:$E$36,MATCH($B295,Setup!$A$25:$A$36,0))),"—"))</f>
        <v>—</v>
      </c>
      <c r="O295" s="21" t="str">
        <f>IF(OR($B295="",$G295="",$D295="Cancelled"),"—",IFERROR(IF(INDEX(Setup!$F$25:$F$36,MATCH($B295,Setup!$A$25:$A$36,0))=0,"—",INDEX(Setup!$F$25:$F$36,MATCH($B295,Setup!$A$25:$A$36,0))),"—"))</f>
        <v>—</v>
      </c>
      <c r="P295" s="21" t="str">
        <f>IF(OR($B295="",$G295="",$D295="Cancelled",$D295="Owner block"),"—",IF(IFERROR(INDEX(Setup!$G$25:$G$36,MATCH($B295,Setup!$A$25:$A$36,0)),0)+IFERROR(INDEX(Setup!$H$25:$H$36,MATCH($B295,Setup!$A$25:$A$36,0)),0)*IF(ISNUMBER($H295),$H295,0)=0,"—",ROUND(IFERROR(INDEX(Setup!$G$25:$G$36,MATCH($B295,Setup!$A$25:$A$36,0)),0)+IFERROR(INDEX(Setup!$H$25:$H$36,MATCH($B295,Setup!$A$25:$A$36,0)),0)*IF(ISNUMBER($H295),$H295,0),2)))</f>
        <v>—</v>
      </c>
      <c r="Q295" s="21" t="str">
        <f t="shared" si="22"/>
        <v>—</v>
      </c>
      <c r="R295" s="21" t="str">
        <f t="shared" si="23"/>
        <v>—</v>
      </c>
      <c r="S295" s="3"/>
      <c r="T295" s="19" t="str">
        <f ca="1">IF(OR(NOT(ISNUMBER($F295)),NOT(ISNUMBER($G295)),NOT(ISNUMBER(Dashboard!$P$2)),NOT(ISNUMBER(Dashboard!$P$3)),$D295="Cancelled",$D295="Owner block"),"—",IF(MAX(0,MIN($G295,Dashboard!$P$3+1)-MAX($F295,Dashboard!$P$2))=0,"—",MAX(0,MIN($G295,Dashboard!$P$3+1)-MAX($F295,Dashboard!$P$2))))</f>
        <v>—</v>
      </c>
      <c r="U295" s="19" t="str">
        <f ca="1">IF(OR(NOT(ISNUMBER($F295)),NOT(ISNUMBER($G295)),NOT(ISNUMBER(Dashboard!$P$2)),NOT(ISNUMBER(Dashboard!$P$3)),$D295&lt;&gt;"Owner block"),"—",IF(MAX(0,MIN($G295,Dashboard!$P$3+1)-MAX($F295,Dashboard!$P$2))=0,"—",MAX(0,MIN($G295,Dashboard!$P$3+1)-MAX($F295,Dashboard!$P$2))))</f>
        <v>—</v>
      </c>
      <c r="V295" s="7" t="str">
        <f>IF($B295="",IF(COUNTA($C295:$G295,$I295:$K295,$S295)=0,"","⚠ no property — not counted"),IF(COUNTIF(Setup!$A$25:$A$36,$B295)=0,"⚠ property not in Setup",IF(AND($F295&lt;&gt;"",NOT(ISNUMBER($F295))),"⚠ check-in is not a real date",IF(AND($G295&lt;&gt;"",NOT(ISNUMBER($G295))),"⚠ check-out is not a real date",IF(AND($J295&lt;&gt;"",NOT(ISNUMBER($J295))),"⚠ booking value is not a number","OK")))))</f>
        <v/>
      </c>
      <c r="W295" s="21" t="str">
        <f t="shared" si="24"/>
        <v>—</v>
      </c>
    </row>
    <row r="296" spans="1:23" x14ac:dyDescent="0.2">
      <c r="A296" s="30">
        <v>292</v>
      </c>
      <c r="B296" s="8"/>
      <c r="C296" s="8"/>
      <c r="D296" s="8"/>
      <c r="E296" s="8"/>
      <c r="F296" s="34"/>
      <c r="G296" s="34"/>
      <c r="H296" s="19" t="str">
        <f t="shared" si="20"/>
        <v>—</v>
      </c>
      <c r="I296" s="35"/>
      <c r="J296" s="11"/>
      <c r="K296" s="36"/>
      <c r="L296" s="21" t="str">
        <f>IF(OR($B296="",NOT(ISNUMBER($J296)),$D296="Cancelled",$D296="Owner block"),"—",ROUND($J296*IF(ISNUMBER($K296),IF($K296&gt;1,$K296/100,$K296),IF(IFERROR(INDEX(Setup!$D$25:$D$36,MATCH($B296,Setup!$A$25:$A$36,0)),0)&gt;1,IFERROR(INDEX(Setup!$D$25:$D$36,MATCH($B296,Setup!$A$25:$A$36,0)),0)/100,IFERROR(INDEX(Setup!$D$25:$D$36,MATCH($B296,Setup!$A$25:$A$36,0)),0))),2))</f>
        <v>—</v>
      </c>
      <c r="M296" s="21" t="str">
        <f t="shared" si="21"/>
        <v>—</v>
      </c>
      <c r="N296" s="21" t="str">
        <f>IF(OR($B296="",$G296="",$D296="Cancelled"),"—",IFERROR(IF(INDEX(Setup!$E$25:$E$36,MATCH($B296,Setup!$A$25:$A$36,0))=0,"—",INDEX(Setup!$E$25:$E$36,MATCH($B296,Setup!$A$25:$A$36,0))),"—"))</f>
        <v>—</v>
      </c>
      <c r="O296" s="21" t="str">
        <f>IF(OR($B296="",$G296="",$D296="Cancelled"),"—",IFERROR(IF(INDEX(Setup!$F$25:$F$36,MATCH($B296,Setup!$A$25:$A$36,0))=0,"—",INDEX(Setup!$F$25:$F$36,MATCH($B296,Setup!$A$25:$A$36,0))),"—"))</f>
        <v>—</v>
      </c>
      <c r="P296" s="21" t="str">
        <f>IF(OR($B296="",$G296="",$D296="Cancelled",$D296="Owner block"),"—",IF(IFERROR(INDEX(Setup!$G$25:$G$36,MATCH($B296,Setup!$A$25:$A$36,0)),0)+IFERROR(INDEX(Setup!$H$25:$H$36,MATCH($B296,Setup!$A$25:$A$36,0)),0)*IF(ISNUMBER($H296),$H296,0)=0,"—",ROUND(IFERROR(INDEX(Setup!$G$25:$G$36,MATCH($B296,Setup!$A$25:$A$36,0)),0)+IFERROR(INDEX(Setup!$H$25:$H$36,MATCH($B296,Setup!$A$25:$A$36,0)),0)*IF(ISNUMBER($H296),$H296,0),2)))</f>
        <v>—</v>
      </c>
      <c r="Q296" s="21" t="str">
        <f t="shared" si="22"/>
        <v>—</v>
      </c>
      <c r="R296" s="21" t="str">
        <f t="shared" si="23"/>
        <v>—</v>
      </c>
      <c r="S296" s="8"/>
      <c r="T296" s="19" t="str">
        <f ca="1">IF(OR(NOT(ISNUMBER($F296)),NOT(ISNUMBER($G296)),NOT(ISNUMBER(Dashboard!$P$2)),NOT(ISNUMBER(Dashboard!$P$3)),$D296="Cancelled",$D296="Owner block"),"—",IF(MAX(0,MIN($G296,Dashboard!$P$3+1)-MAX($F296,Dashboard!$P$2))=0,"—",MAX(0,MIN($G296,Dashboard!$P$3+1)-MAX($F296,Dashboard!$P$2))))</f>
        <v>—</v>
      </c>
      <c r="U296" s="19" t="str">
        <f ca="1">IF(OR(NOT(ISNUMBER($F296)),NOT(ISNUMBER($G296)),NOT(ISNUMBER(Dashboard!$P$2)),NOT(ISNUMBER(Dashboard!$P$3)),$D296&lt;&gt;"Owner block"),"—",IF(MAX(0,MIN($G296,Dashboard!$P$3+1)-MAX($F296,Dashboard!$P$2))=0,"—",MAX(0,MIN($G296,Dashboard!$P$3+1)-MAX($F296,Dashboard!$P$2))))</f>
        <v>—</v>
      </c>
      <c r="V296" s="7" t="str">
        <f>IF($B296="",IF(COUNTA($C296:$G296,$I296:$K296,$S296)=0,"","⚠ no property — not counted"),IF(COUNTIF(Setup!$A$25:$A$36,$B296)=0,"⚠ property not in Setup",IF(AND($F296&lt;&gt;"",NOT(ISNUMBER($F296))),"⚠ check-in is not a real date",IF(AND($G296&lt;&gt;"",NOT(ISNUMBER($G296))),"⚠ check-out is not a real date",IF(AND($J296&lt;&gt;"",NOT(ISNUMBER($J296))),"⚠ booking value is not a number","OK")))))</f>
        <v/>
      </c>
      <c r="W296" s="21" t="str">
        <f t="shared" si="24"/>
        <v>—</v>
      </c>
    </row>
    <row r="297" spans="1:23" x14ac:dyDescent="0.2">
      <c r="A297" s="30">
        <v>293</v>
      </c>
      <c r="B297" s="3"/>
      <c r="C297" s="3"/>
      <c r="D297" s="3"/>
      <c r="E297" s="3"/>
      <c r="F297" s="31"/>
      <c r="G297" s="31"/>
      <c r="H297" s="19" t="str">
        <f t="shared" si="20"/>
        <v>—</v>
      </c>
      <c r="I297" s="32"/>
      <c r="J297" s="6"/>
      <c r="K297" s="33"/>
      <c r="L297" s="21" t="str">
        <f>IF(OR($B297="",NOT(ISNUMBER($J297)),$D297="Cancelled",$D297="Owner block"),"—",ROUND($J297*IF(ISNUMBER($K297),IF($K297&gt;1,$K297/100,$K297),IF(IFERROR(INDEX(Setup!$D$25:$D$36,MATCH($B297,Setup!$A$25:$A$36,0)),0)&gt;1,IFERROR(INDEX(Setup!$D$25:$D$36,MATCH($B297,Setup!$A$25:$A$36,0)),0)/100,IFERROR(INDEX(Setup!$D$25:$D$36,MATCH($B297,Setup!$A$25:$A$36,0)),0))),2))</f>
        <v>—</v>
      </c>
      <c r="M297" s="21" t="str">
        <f t="shared" si="21"/>
        <v>—</v>
      </c>
      <c r="N297" s="21" t="str">
        <f>IF(OR($B297="",$G297="",$D297="Cancelled"),"—",IFERROR(IF(INDEX(Setup!$E$25:$E$36,MATCH($B297,Setup!$A$25:$A$36,0))=0,"—",INDEX(Setup!$E$25:$E$36,MATCH($B297,Setup!$A$25:$A$36,0))),"—"))</f>
        <v>—</v>
      </c>
      <c r="O297" s="21" t="str">
        <f>IF(OR($B297="",$G297="",$D297="Cancelled"),"—",IFERROR(IF(INDEX(Setup!$F$25:$F$36,MATCH($B297,Setup!$A$25:$A$36,0))=0,"—",INDEX(Setup!$F$25:$F$36,MATCH($B297,Setup!$A$25:$A$36,0))),"—"))</f>
        <v>—</v>
      </c>
      <c r="P297" s="21" t="str">
        <f>IF(OR($B297="",$G297="",$D297="Cancelled",$D297="Owner block"),"—",IF(IFERROR(INDEX(Setup!$G$25:$G$36,MATCH($B297,Setup!$A$25:$A$36,0)),0)+IFERROR(INDEX(Setup!$H$25:$H$36,MATCH($B297,Setup!$A$25:$A$36,0)),0)*IF(ISNUMBER($H297),$H297,0)=0,"—",ROUND(IFERROR(INDEX(Setup!$G$25:$G$36,MATCH($B297,Setup!$A$25:$A$36,0)),0)+IFERROR(INDEX(Setup!$H$25:$H$36,MATCH($B297,Setup!$A$25:$A$36,0)),0)*IF(ISNUMBER($H297),$H297,0),2)))</f>
        <v>—</v>
      </c>
      <c r="Q297" s="21" t="str">
        <f t="shared" si="22"/>
        <v>—</v>
      </c>
      <c r="R297" s="21" t="str">
        <f t="shared" si="23"/>
        <v>—</v>
      </c>
      <c r="S297" s="3"/>
      <c r="T297" s="19" t="str">
        <f ca="1">IF(OR(NOT(ISNUMBER($F297)),NOT(ISNUMBER($G297)),NOT(ISNUMBER(Dashboard!$P$2)),NOT(ISNUMBER(Dashboard!$P$3)),$D297="Cancelled",$D297="Owner block"),"—",IF(MAX(0,MIN($G297,Dashboard!$P$3+1)-MAX($F297,Dashboard!$P$2))=0,"—",MAX(0,MIN($G297,Dashboard!$P$3+1)-MAX($F297,Dashboard!$P$2))))</f>
        <v>—</v>
      </c>
      <c r="U297" s="19" t="str">
        <f ca="1">IF(OR(NOT(ISNUMBER($F297)),NOT(ISNUMBER($G297)),NOT(ISNUMBER(Dashboard!$P$2)),NOT(ISNUMBER(Dashboard!$P$3)),$D297&lt;&gt;"Owner block"),"—",IF(MAX(0,MIN($G297,Dashboard!$P$3+1)-MAX($F297,Dashboard!$P$2))=0,"—",MAX(0,MIN($G297,Dashboard!$P$3+1)-MAX($F297,Dashboard!$P$2))))</f>
        <v>—</v>
      </c>
      <c r="V297" s="7" t="str">
        <f>IF($B297="",IF(COUNTA($C297:$G297,$I297:$K297,$S297)=0,"","⚠ no property — not counted"),IF(COUNTIF(Setup!$A$25:$A$36,$B297)=0,"⚠ property not in Setup",IF(AND($F297&lt;&gt;"",NOT(ISNUMBER($F297))),"⚠ check-in is not a real date",IF(AND($G297&lt;&gt;"",NOT(ISNUMBER($G297))),"⚠ check-out is not a real date",IF(AND($J297&lt;&gt;"",NOT(ISNUMBER($J297))),"⚠ booking value is not a number","OK")))))</f>
        <v/>
      </c>
      <c r="W297" s="21" t="str">
        <f t="shared" si="24"/>
        <v>—</v>
      </c>
    </row>
    <row r="298" spans="1:23" x14ac:dyDescent="0.2">
      <c r="A298" s="30">
        <v>294</v>
      </c>
      <c r="B298" s="8"/>
      <c r="C298" s="8"/>
      <c r="D298" s="8"/>
      <c r="E298" s="8"/>
      <c r="F298" s="34"/>
      <c r="G298" s="34"/>
      <c r="H298" s="19" t="str">
        <f t="shared" si="20"/>
        <v>—</v>
      </c>
      <c r="I298" s="35"/>
      <c r="J298" s="11"/>
      <c r="K298" s="36"/>
      <c r="L298" s="21" t="str">
        <f>IF(OR($B298="",NOT(ISNUMBER($J298)),$D298="Cancelled",$D298="Owner block"),"—",ROUND($J298*IF(ISNUMBER($K298),IF($K298&gt;1,$K298/100,$K298),IF(IFERROR(INDEX(Setup!$D$25:$D$36,MATCH($B298,Setup!$A$25:$A$36,0)),0)&gt;1,IFERROR(INDEX(Setup!$D$25:$D$36,MATCH($B298,Setup!$A$25:$A$36,0)),0)/100,IFERROR(INDEX(Setup!$D$25:$D$36,MATCH($B298,Setup!$A$25:$A$36,0)),0))),2))</f>
        <v>—</v>
      </c>
      <c r="M298" s="21" t="str">
        <f t="shared" si="21"/>
        <v>—</v>
      </c>
      <c r="N298" s="21" t="str">
        <f>IF(OR($B298="",$G298="",$D298="Cancelled"),"—",IFERROR(IF(INDEX(Setup!$E$25:$E$36,MATCH($B298,Setup!$A$25:$A$36,0))=0,"—",INDEX(Setup!$E$25:$E$36,MATCH($B298,Setup!$A$25:$A$36,0))),"—"))</f>
        <v>—</v>
      </c>
      <c r="O298" s="21" t="str">
        <f>IF(OR($B298="",$G298="",$D298="Cancelled"),"—",IFERROR(IF(INDEX(Setup!$F$25:$F$36,MATCH($B298,Setup!$A$25:$A$36,0))=0,"—",INDEX(Setup!$F$25:$F$36,MATCH($B298,Setup!$A$25:$A$36,0))),"—"))</f>
        <v>—</v>
      </c>
      <c r="P298" s="21" t="str">
        <f>IF(OR($B298="",$G298="",$D298="Cancelled",$D298="Owner block"),"—",IF(IFERROR(INDEX(Setup!$G$25:$G$36,MATCH($B298,Setup!$A$25:$A$36,0)),0)+IFERROR(INDEX(Setup!$H$25:$H$36,MATCH($B298,Setup!$A$25:$A$36,0)),0)*IF(ISNUMBER($H298),$H298,0)=0,"—",ROUND(IFERROR(INDEX(Setup!$G$25:$G$36,MATCH($B298,Setup!$A$25:$A$36,0)),0)+IFERROR(INDEX(Setup!$H$25:$H$36,MATCH($B298,Setup!$A$25:$A$36,0)),0)*IF(ISNUMBER($H298),$H298,0),2)))</f>
        <v>—</v>
      </c>
      <c r="Q298" s="21" t="str">
        <f t="shared" si="22"/>
        <v>—</v>
      </c>
      <c r="R298" s="21" t="str">
        <f t="shared" si="23"/>
        <v>—</v>
      </c>
      <c r="S298" s="8"/>
      <c r="T298" s="19" t="str">
        <f ca="1">IF(OR(NOT(ISNUMBER($F298)),NOT(ISNUMBER($G298)),NOT(ISNUMBER(Dashboard!$P$2)),NOT(ISNUMBER(Dashboard!$P$3)),$D298="Cancelled",$D298="Owner block"),"—",IF(MAX(0,MIN($G298,Dashboard!$P$3+1)-MAX($F298,Dashboard!$P$2))=0,"—",MAX(0,MIN($G298,Dashboard!$P$3+1)-MAX($F298,Dashboard!$P$2))))</f>
        <v>—</v>
      </c>
      <c r="U298" s="19" t="str">
        <f ca="1">IF(OR(NOT(ISNUMBER($F298)),NOT(ISNUMBER($G298)),NOT(ISNUMBER(Dashboard!$P$2)),NOT(ISNUMBER(Dashboard!$P$3)),$D298&lt;&gt;"Owner block"),"—",IF(MAX(0,MIN($G298,Dashboard!$P$3+1)-MAX($F298,Dashboard!$P$2))=0,"—",MAX(0,MIN($G298,Dashboard!$P$3+1)-MAX($F298,Dashboard!$P$2))))</f>
        <v>—</v>
      </c>
      <c r="V298" s="7" t="str">
        <f>IF($B298="",IF(COUNTA($C298:$G298,$I298:$K298,$S298)=0,"","⚠ no property — not counted"),IF(COUNTIF(Setup!$A$25:$A$36,$B298)=0,"⚠ property not in Setup",IF(AND($F298&lt;&gt;"",NOT(ISNUMBER($F298))),"⚠ check-in is not a real date",IF(AND($G298&lt;&gt;"",NOT(ISNUMBER($G298))),"⚠ check-out is not a real date",IF(AND($J298&lt;&gt;"",NOT(ISNUMBER($J298))),"⚠ booking value is not a number","OK")))))</f>
        <v/>
      </c>
      <c r="W298" s="21" t="str">
        <f t="shared" si="24"/>
        <v>—</v>
      </c>
    </row>
    <row r="299" spans="1:23" x14ac:dyDescent="0.2">
      <c r="A299" s="30">
        <v>295</v>
      </c>
      <c r="B299" s="3"/>
      <c r="C299" s="3"/>
      <c r="D299" s="3"/>
      <c r="E299" s="3"/>
      <c r="F299" s="31"/>
      <c r="G299" s="31"/>
      <c r="H299" s="19" t="str">
        <f t="shared" si="20"/>
        <v>—</v>
      </c>
      <c r="I299" s="32"/>
      <c r="J299" s="6"/>
      <c r="K299" s="33"/>
      <c r="L299" s="21" t="str">
        <f>IF(OR($B299="",NOT(ISNUMBER($J299)),$D299="Cancelled",$D299="Owner block"),"—",ROUND($J299*IF(ISNUMBER($K299),IF($K299&gt;1,$K299/100,$K299),IF(IFERROR(INDEX(Setup!$D$25:$D$36,MATCH($B299,Setup!$A$25:$A$36,0)),0)&gt;1,IFERROR(INDEX(Setup!$D$25:$D$36,MATCH($B299,Setup!$A$25:$A$36,0)),0)/100,IFERROR(INDEX(Setup!$D$25:$D$36,MATCH($B299,Setup!$A$25:$A$36,0)),0))),2))</f>
        <v>—</v>
      </c>
      <c r="M299" s="21" t="str">
        <f t="shared" si="21"/>
        <v>—</v>
      </c>
      <c r="N299" s="21" t="str">
        <f>IF(OR($B299="",$G299="",$D299="Cancelled"),"—",IFERROR(IF(INDEX(Setup!$E$25:$E$36,MATCH($B299,Setup!$A$25:$A$36,0))=0,"—",INDEX(Setup!$E$25:$E$36,MATCH($B299,Setup!$A$25:$A$36,0))),"—"))</f>
        <v>—</v>
      </c>
      <c r="O299" s="21" t="str">
        <f>IF(OR($B299="",$G299="",$D299="Cancelled"),"—",IFERROR(IF(INDEX(Setup!$F$25:$F$36,MATCH($B299,Setup!$A$25:$A$36,0))=0,"—",INDEX(Setup!$F$25:$F$36,MATCH($B299,Setup!$A$25:$A$36,0))),"—"))</f>
        <v>—</v>
      </c>
      <c r="P299" s="21" t="str">
        <f>IF(OR($B299="",$G299="",$D299="Cancelled",$D299="Owner block"),"—",IF(IFERROR(INDEX(Setup!$G$25:$G$36,MATCH($B299,Setup!$A$25:$A$36,0)),0)+IFERROR(INDEX(Setup!$H$25:$H$36,MATCH($B299,Setup!$A$25:$A$36,0)),0)*IF(ISNUMBER($H299),$H299,0)=0,"—",ROUND(IFERROR(INDEX(Setup!$G$25:$G$36,MATCH($B299,Setup!$A$25:$A$36,0)),0)+IFERROR(INDEX(Setup!$H$25:$H$36,MATCH($B299,Setup!$A$25:$A$36,0)),0)*IF(ISNUMBER($H299),$H299,0),2)))</f>
        <v>—</v>
      </c>
      <c r="Q299" s="21" t="str">
        <f t="shared" si="22"/>
        <v>—</v>
      </c>
      <c r="R299" s="21" t="str">
        <f t="shared" si="23"/>
        <v>—</v>
      </c>
      <c r="S299" s="3"/>
      <c r="T299" s="19" t="str">
        <f ca="1">IF(OR(NOT(ISNUMBER($F299)),NOT(ISNUMBER($G299)),NOT(ISNUMBER(Dashboard!$P$2)),NOT(ISNUMBER(Dashboard!$P$3)),$D299="Cancelled",$D299="Owner block"),"—",IF(MAX(0,MIN($G299,Dashboard!$P$3+1)-MAX($F299,Dashboard!$P$2))=0,"—",MAX(0,MIN($G299,Dashboard!$P$3+1)-MAX($F299,Dashboard!$P$2))))</f>
        <v>—</v>
      </c>
      <c r="U299" s="19" t="str">
        <f ca="1">IF(OR(NOT(ISNUMBER($F299)),NOT(ISNUMBER($G299)),NOT(ISNUMBER(Dashboard!$P$2)),NOT(ISNUMBER(Dashboard!$P$3)),$D299&lt;&gt;"Owner block"),"—",IF(MAX(0,MIN($G299,Dashboard!$P$3+1)-MAX($F299,Dashboard!$P$2))=0,"—",MAX(0,MIN($G299,Dashboard!$P$3+1)-MAX($F299,Dashboard!$P$2))))</f>
        <v>—</v>
      </c>
      <c r="V299" s="7" t="str">
        <f>IF($B299="",IF(COUNTA($C299:$G299,$I299:$K299,$S299)=0,"","⚠ no property — not counted"),IF(COUNTIF(Setup!$A$25:$A$36,$B299)=0,"⚠ property not in Setup",IF(AND($F299&lt;&gt;"",NOT(ISNUMBER($F299))),"⚠ check-in is not a real date",IF(AND($G299&lt;&gt;"",NOT(ISNUMBER($G299))),"⚠ check-out is not a real date",IF(AND($J299&lt;&gt;"",NOT(ISNUMBER($J299))),"⚠ booking value is not a number","OK")))))</f>
        <v/>
      </c>
      <c r="W299" s="21" t="str">
        <f t="shared" si="24"/>
        <v>—</v>
      </c>
    </row>
    <row r="300" spans="1:23" x14ac:dyDescent="0.2">
      <c r="A300" s="30">
        <v>296</v>
      </c>
      <c r="B300" s="8"/>
      <c r="C300" s="8"/>
      <c r="D300" s="8"/>
      <c r="E300" s="8"/>
      <c r="F300" s="34"/>
      <c r="G300" s="34"/>
      <c r="H300" s="19" t="str">
        <f t="shared" si="20"/>
        <v>—</v>
      </c>
      <c r="I300" s="35"/>
      <c r="J300" s="11"/>
      <c r="K300" s="36"/>
      <c r="L300" s="21" t="str">
        <f>IF(OR($B300="",NOT(ISNUMBER($J300)),$D300="Cancelled",$D300="Owner block"),"—",ROUND($J300*IF(ISNUMBER($K300),IF($K300&gt;1,$K300/100,$K300),IF(IFERROR(INDEX(Setup!$D$25:$D$36,MATCH($B300,Setup!$A$25:$A$36,0)),0)&gt;1,IFERROR(INDEX(Setup!$D$25:$D$36,MATCH($B300,Setup!$A$25:$A$36,0)),0)/100,IFERROR(INDEX(Setup!$D$25:$D$36,MATCH($B300,Setup!$A$25:$A$36,0)),0))),2))</f>
        <v>—</v>
      </c>
      <c r="M300" s="21" t="str">
        <f t="shared" si="21"/>
        <v>—</v>
      </c>
      <c r="N300" s="21" t="str">
        <f>IF(OR($B300="",$G300="",$D300="Cancelled"),"—",IFERROR(IF(INDEX(Setup!$E$25:$E$36,MATCH($B300,Setup!$A$25:$A$36,0))=0,"—",INDEX(Setup!$E$25:$E$36,MATCH($B300,Setup!$A$25:$A$36,0))),"—"))</f>
        <v>—</v>
      </c>
      <c r="O300" s="21" t="str">
        <f>IF(OR($B300="",$G300="",$D300="Cancelled"),"—",IFERROR(IF(INDEX(Setup!$F$25:$F$36,MATCH($B300,Setup!$A$25:$A$36,0))=0,"—",INDEX(Setup!$F$25:$F$36,MATCH($B300,Setup!$A$25:$A$36,0))),"—"))</f>
        <v>—</v>
      </c>
      <c r="P300" s="21" t="str">
        <f>IF(OR($B300="",$G300="",$D300="Cancelled",$D300="Owner block"),"—",IF(IFERROR(INDEX(Setup!$G$25:$G$36,MATCH($B300,Setup!$A$25:$A$36,0)),0)+IFERROR(INDEX(Setup!$H$25:$H$36,MATCH($B300,Setup!$A$25:$A$36,0)),0)*IF(ISNUMBER($H300),$H300,0)=0,"—",ROUND(IFERROR(INDEX(Setup!$G$25:$G$36,MATCH($B300,Setup!$A$25:$A$36,0)),0)+IFERROR(INDEX(Setup!$H$25:$H$36,MATCH($B300,Setup!$A$25:$A$36,0)),0)*IF(ISNUMBER($H300),$H300,0),2)))</f>
        <v>—</v>
      </c>
      <c r="Q300" s="21" t="str">
        <f t="shared" si="22"/>
        <v>—</v>
      </c>
      <c r="R300" s="21" t="str">
        <f t="shared" si="23"/>
        <v>—</v>
      </c>
      <c r="S300" s="8"/>
      <c r="T300" s="19" t="str">
        <f ca="1">IF(OR(NOT(ISNUMBER($F300)),NOT(ISNUMBER($G300)),NOT(ISNUMBER(Dashboard!$P$2)),NOT(ISNUMBER(Dashboard!$P$3)),$D300="Cancelled",$D300="Owner block"),"—",IF(MAX(0,MIN($G300,Dashboard!$P$3+1)-MAX($F300,Dashboard!$P$2))=0,"—",MAX(0,MIN($G300,Dashboard!$P$3+1)-MAX($F300,Dashboard!$P$2))))</f>
        <v>—</v>
      </c>
      <c r="U300" s="19" t="str">
        <f ca="1">IF(OR(NOT(ISNUMBER($F300)),NOT(ISNUMBER($G300)),NOT(ISNUMBER(Dashboard!$P$2)),NOT(ISNUMBER(Dashboard!$P$3)),$D300&lt;&gt;"Owner block"),"—",IF(MAX(0,MIN($G300,Dashboard!$P$3+1)-MAX($F300,Dashboard!$P$2))=0,"—",MAX(0,MIN($G300,Dashboard!$P$3+1)-MAX($F300,Dashboard!$P$2))))</f>
        <v>—</v>
      </c>
      <c r="V300" s="7" t="str">
        <f>IF($B300="",IF(COUNTA($C300:$G300,$I300:$K300,$S300)=0,"","⚠ no property — not counted"),IF(COUNTIF(Setup!$A$25:$A$36,$B300)=0,"⚠ property not in Setup",IF(AND($F300&lt;&gt;"",NOT(ISNUMBER($F300))),"⚠ check-in is not a real date",IF(AND($G300&lt;&gt;"",NOT(ISNUMBER($G300))),"⚠ check-out is not a real date",IF(AND($J300&lt;&gt;"",NOT(ISNUMBER($J300))),"⚠ booking value is not a number","OK")))))</f>
        <v/>
      </c>
      <c r="W300" s="21" t="str">
        <f t="shared" si="24"/>
        <v>—</v>
      </c>
    </row>
    <row r="301" spans="1:23" x14ac:dyDescent="0.2">
      <c r="A301" s="30">
        <v>297</v>
      </c>
      <c r="B301" s="3"/>
      <c r="C301" s="3"/>
      <c r="D301" s="3"/>
      <c r="E301" s="3"/>
      <c r="F301" s="31"/>
      <c r="G301" s="31"/>
      <c r="H301" s="19" t="str">
        <f t="shared" si="20"/>
        <v>—</v>
      </c>
      <c r="I301" s="32"/>
      <c r="J301" s="6"/>
      <c r="K301" s="33"/>
      <c r="L301" s="21" t="str">
        <f>IF(OR($B301="",NOT(ISNUMBER($J301)),$D301="Cancelled",$D301="Owner block"),"—",ROUND($J301*IF(ISNUMBER($K301),IF($K301&gt;1,$K301/100,$K301),IF(IFERROR(INDEX(Setup!$D$25:$D$36,MATCH($B301,Setup!$A$25:$A$36,0)),0)&gt;1,IFERROR(INDEX(Setup!$D$25:$D$36,MATCH($B301,Setup!$A$25:$A$36,0)),0)/100,IFERROR(INDEX(Setup!$D$25:$D$36,MATCH($B301,Setup!$A$25:$A$36,0)),0))),2))</f>
        <v>—</v>
      </c>
      <c r="M301" s="21" t="str">
        <f t="shared" si="21"/>
        <v>—</v>
      </c>
      <c r="N301" s="21" t="str">
        <f>IF(OR($B301="",$G301="",$D301="Cancelled"),"—",IFERROR(IF(INDEX(Setup!$E$25:$E$36,MATCH($B301,Setup!$A$25:$A$36,0))=0,"—",INDEX(Setup!$E$25:$E$36,MATCH($B301,Setup!$A$25:$A$36,0))),"—"))</f>
        <v>—</v>
      </c>
      <c r="O301" s="21" t="str">
        <f>IF(OR($B301="",$G301="",$D301="Cancelled"),"—",IFERROR(IF(INDEX(Setup!$F$25:$F$36,MATCH($B301,Setup!$A$25:$A$36,0))=0,"—",INDEX(Setup!$F$25:$F$36,MATCH($B301,Setup!$A$25:$A$36,0))),"—"))</f>
        <v>—</v>
      </c>
      <c r="P301" s="21" t="str">
        <f>IF(OR($B301="",$G301="",$D301="Cancelled",$D301="Owner block"),"—",IF(IFERROR(INDEX(Setup!$G$25:$G$36,MATCH($B301,Setup!$A$25:$A$36,0)),0)+IFERROR(INDEX(Setup!$H$25:$H$36,MATCH($B301,Setup!$A$25:$A$36,0)),0)*IF(ISNUMBER($H301),$H301,0)=0,"—",ROUND(IFERROR(INDEX(Setup!$G$25:$G$36,MATCH($B301,Setup!$A$25:$A$36,0)),0)+IFERROR(INDEX(Setup!$H$25:$H$36,MATCH($B301,Setup!$A$25:$A$36,0)),0)*IF(ISNUMBER($H301),$H301,0),2)))</f>
        <v>—</v>
      </c>
      <c r="Q301" s="21" t="str">
        <f t="shared" si="22"/>
        <v>—</v>
      </c>
      <c r="R301" s="21" t="str">
        <f t="shared" si="23"/>
        <v>—</v>
      </c>
      <c r="S301" s="3"/>
      <c r="T301" s="19" t="str">
        <f ca="1">IF(OR(NOT(ISNUMBER($F301)),NOT(ISNUMBER($G301)),NOT(ISNUMBER(Dashboard!$P$2)),NOT(ISNUMBER(Dashboard!$P$3)),$D301="Cancelled",$D301="Owner block"),"—",IF(MAX(0,MIN($G301,Dashboard!$P$3+1)-MAX($F301,Dashboard!$P$2))=0,"—",MAX(0,MIN($G301,Dashboard!$P$3+1)-MAX($F301,Dashboard!$P$2))))</f>
        <v>—</v>
      </c>
      <c r="U301" s="19" t="str">
        <f ca="1">IF(OR(NOT(ISNUMBER($F301)),NOT(ISNUMBER($G301)),NOT(ISNUMBER(Dashboard!$P$2)),NOT(ISNUMBER(Dashboard!$P$3)),$D301&lt;&gt;"Owner block"),"—",IF(MAX(0,MIN($G301,Dashboard!$P$3+1)-MAX($F301,Dashboard!$P$2))=0,"—",MAX(0,MIN($G301,Dashboard!$P$3+1)-MAX($F301,Dashboard!$P$2))))</f>
        <v>—</v>
      </c>
      <c r="V301" s="7" t="str">
        <f>IF($B301="",IF(COUNTA($C301:$G301,$I301:$K301,$S301)=0,"","⚠ no property — not counted"),IF(COUNTIF(Setup!$A$25:$A$36,$B301)=0,"⚠ property not in Setup",IF(AND($F301&lt;&gt;"",NOT(ISNUMBER($F301))),"⚠ check-in is not a real date",IF(AND($G301&lt;&gt;"",NOT(ISNUMBER($G301))),"⚠ check-out is not a real date",IF(AND($J301&lt;&gt;"",NOT(ISNUMBER($J301))),"⚠ booking value is not a number","OK")))))</f>
        <v/>
      </c>
      <c r="W301" s="21" t="str">
        <f t="shared" si="24"/>
        <v>—</v>
      </c>
    </row>
    <row r="302" spans="1:23" x14ac:dyDescent="0.2">
      <c r="A302" s="30">
        <v>298</v>
      </c>
      <c r="B302" s="8"/>
      <c r="C302" s="8"/>
      <c r="D302" s="8"/>
      <c r="E302" s="8"/>
      <c r="F302" s="34"/>
      <c r="G302" s="34"/>
      <c r="H302" s="19" t="str">
        <f t="shared" si="20"/>
        <v>—</v>
      </c>
      <c r="I302" s="35"/>
      <c r="J302" s="11"/>
      <c r="K302" s="36"/>
      <c r="L302" s="21" t="str">
        <f>IF(OR($B302="",NOT(ISNUMBER($J302)),$D302="Cancelled",$D302="Owner block"),"—",ROUND($J302*IF(ISNUMBER($K302),IF($K302&gt;1,$K302/100,$K302),IF(IFERROR(INDEX(Setup!$D$25:$D$36,MATCH($B302,Setup!$A$25:$A$36,0)),0)&gt;1,IFERROR(INDEX(Setup!$D$25:$D$36,MATCH($B302,Setup!$A$25:$A$36,0)),0)/100,IFERROR(INDEX(Setup!$D$25:$D$36,MATCH($B302,Setup!$A$25:$A$36,0)),0))),2))</f>
        <v>—</v>
      </c>
      <c r="M302" s="21" t="str">
        <f t="shared" si="21"/>
        <v>—</v>
      </c>
      <c r="N302" s="21" t="str">
        <f>IF(OR($B302="",$G302="",$D302="Cancelled"),"—",IFERROR(IF(INDEX(Setup!$E$25:$E$36,MATCH($B302,Setup!$A$25:$A$36,0))=0,"—",INDEX(Setup!$E$25:$E$36,MATCH($B302,Setup!$A$25:$A$36,0))),"—"))</f>
        <v>—</v>
      </c>
      <c r="O302" s="21" t="str">
        <f>IF(OR($B302="",$G302="",$D302="Cancelled"),"—",IFERROR(IF(INDEX(Setup!$F$25:$F$36,MATCH($B302,Setup!$A$25:$A$36,0))=0,"—",INDEX(Setup!$F$25:$F$36,MATCH($B302,Setup!$A$25:$A$36,0))),"—"))</f>
        <v>—</v>
      </c>
      <c r="P302" s="21" t="str">
        <f>IF(OR($B302="",$G302="",$D302="Cancelled",$D302="Owner block"),"—",IF(IFERROR(INDEX(Setup!$G$25:$G$36,MATCH($B302,Setup!$A$25:$A$36,0)),0)+IFERROR(INDEX(Setup!$H$25:$H$36,MATCH($B302,Setup!$A$25:$A$36,0)),0)*IF(ISNUMBER($H302),$H302,0)=0,"—",ROUND(IFERROR(INDEX(Setup!$G$25:$G$36,MATCH($B302,Setup!$A$25:$A$36,0)),0)+IFERROR(INDEX(Setup!$H$25:$H$36,MATCH($B302,Setup!$A$25:$A$36,0)),0)*IF(ISNUMBER($H302),$H302,0),2)))</f>
        <v>—</v>
      </c>
      <c r="Q302" s="21" t="str">
        <f t="shared" si="22"/>
        <v>—</v>
      </c>
      <c r="R302" s="21" t="str">
        <f t="shared" si="23"/>
        <v>—</v>
      </c>
      <c r="S302" s="8"/>
      <c r="T302" s="19" t="str">
        <f ca="1">IF(OR(NOT(ISNUMBER($F302)),NOT(ISNUMBER($G302)),NOT(ISNUMBER(Dashboard!$P$2)),NOT(ISNUMBER(Dashboard!$P$3)),$D302="Cancelled",$D302="Owner block"),"—",IF(MAX(0,MIN($G302,Dashboard!$P$3+1)-MAX($F302,Dashboard!$P$2))=0,"—",MAX(0,MIN($G302,Dashboard!$P$3+1)-MAX($F302,Dashboard!$P$2))))</f>
        <v>—</v>
      </c>
      <c r="U302" s="19" t="str">
        <f ca="1">IF(OR(NOT(ISNUMBER($F302)),NOT(ISNUMBER($G302)),NOT(ISNUMBER(Dashboard!$P$2)),NOT(ISNUMBER(Dashboard!$P$3)),$D302&lt;&gt;"Owner block"),"—",IF(MAX(0,MIN($G302,Dashboard!$P$3+1)-MAX($F302,Dashboard!$P$2))=0,"—",MAX(0,MIN($G302,Dashboard!$P$3+1)-MAX($F302,Dashboard!$P$2))))</f>
        <v>—</v>
      </c>
      <c r="V302" s="7" t="str">
        <f>IF($B302="",IF(COUNTA($C302:$G302,$I302:$K302,$S302)=0,"","⚠ no property — not counted"),IF(COUNTIF(Setup!$A$25:$A$36,$B302)=0,"⚠ property not in Setup",IF(AND($F302&lt;&gt;"",NOT(ISNUMBER($F302))),"⚠ check-in is not a real date",IF(AND($G302&lt;&gt;"",NOT(ISNUMBER($G302))),"⚠ check-out is not a real date",IF(AND($J302&lt;&gt;"",NOT(ISNUMBER($J302))),"⚠ booking value is not a number","OK")))))</f>
        <v/>
      </c>
      <c r="W302" s="21" t="str">
        <f t="shared" si="24"/>
        <v>—</v>
      </c>
    </row>
    <row r="303" spans="1:23" x14ac:dyDescent="0.2">
      <c r="A303" s="30">
        <v>299</v>
      </c>
      <c r="B303" s="3"/>
      <c r="C303" s="3"/>
      <c r="D303" s="3"/>
      <c r="E303" s="3"/>
      <c r="F303" s="31"/>
      <c r="G303" s="31"/>
      <c r="H303" s="19" t="str">
        <f t="shared" si="20"/>
        <v>—</v>
      </c>
      <c r="I303" s="32"/>
      <c r="J303" s="6"/>
      <c r="K303" s="33"/>
      <c r="L303" s="21" t="str">
        <f>IF(OR($B303="",NOT(ISNUMBER($J303)),$D303="Cancelled",$D303="Owner block"),"—",ROUND($J303*IF(ISNUMBER($K303),IF($K303&gt;1,$K303/100,$K303),IF(IFERROR(INDEX(Setup!$D$25:$D$36,MATCH($B303,Setup!$A$25:$A$36,0)),0)&gt;1,IFERROR(INDEX(Setup!$D$25:$D$36,MATCH($B303,Setup!$A$25:$A$36,0)),0)/100,IFERROR(INDEX(Setup!$D$25:$D$36,MATCH($B303,Setup!$A$25:$A$36,0)),0))),2))</f>
        <v>—</v>
      </c>
      <c r="M303" s="21" t="str">
        <f t="shared" si="21"/>
        <v>—</v>
      </c>
      <c r="N303" s="21" t="str">
        <f>IF(OR($B303="",$G303="",$D303="Cancelled"),"—",IFERROR(IF(INDEX(Setup!$E$25:$E$36,MATCH($B303,Setup!$A$25:$A$36,0))=0,"—",INDEX(Setup!$E$25:$E$36,MATCH($B303,Setup!$A$25:$A$36,0))),"—"))</f>
        <v>—</v>
      </c>
      <c r="O303" s="21" t="str">
        <f>IF(OR($B303="",$G303="",$D303="Cancelled"),"—",IFERROR(IF(INDEX(Setup!$F$25:$F$36,MATCH($B303,Setup!$A$25:$A$36,0))=0,"—",INDEX(Setup!$F$25:$F$36,MATCH($B303,Setup!$A$25:$A$36,0))),"—"))</f>
        <v>—</v>
      </c>
      <c r="P303" s="21" t="str">
        <f>IF(OR($B303="",$G303="",$D303="Cancelled",$D303="Owner block"),"—",IF(IFERROR(INDEX(Setup!$G$25:$G$36,MATCH($B303,Setup!$A$25:$A$36,0)),0)+IFERROR(INDEX(Setup!$H$25:$H$36,MATCH($B303,Setup!$A$25:$A$36,0)),0)*IF(ISNUMBER($H303),$H303,0)=0,"—",ROUND(IFERROR(INDEX(Setup!$G$25:$G$36,MATCH($B303,Setup!$A$25:$A$36,0)),0)+IFERROR(INDEX(Setup!$H$25:$H$36,MATCH($B303,Setup!$A$25:$A$36,0)),0)*IF(ISNUMBER($H303),$H303,0),2)))</f>
        <v>—</v>
      </c>
      <c r="Q303" s="21" t="str">
        <f t="shared" si="22"/>
        <v>—</v>
      </c>
      <c r="R303" s="21" t="str">
        <f t="shared" si="23"/>
        <v>—</v>
      </c>
      <c r="S303" s="3"/>
      <c r="T303" s="19" t="str">
        <f ca="1">IF(OR(NOT(ISNUMBER($F303)),NOT(ISNUMBER($G303)),NOT(ISNUMBER(Dashboard!$P$2)),NOT(ISNUMBER(Dashboard!$P$3)),$D303="Cancelled",$D303="Owner block"),"—",IF(MAX(0,MIN($G303,Dashboard!$P$3+1)-MAX($F303,Dashboard!$P$2))=0,"—",MAX(0,MIN($G303,Dashboard!$P$3+1)-MAX($F303,Dashboard!$P$2))))</f>
        <v>—</v>
      </c>
      <c r="U303" s="19" t="str">
        <f ca="1">IF(OR(NOT(ISNUMBER($F303)),NOT(ISNUMBER($G303)),NOT(ISNUMBER(Dashboard!$P$2)),NOT(ISNUMBER(Dashboard!$P$3)),$D303&lt;&gt;"Owner block"),"—",IF(MAX(0,MIN($G303,Dashboard!$P$3+1)-MAX($F303,Dashboard!$P$2))=0,"—",MAX(0,MIN($G303,Dashboard!$P$3+1)-MAX($F303,Dashboard!$P$2))))</f>
        <v>—</v>
      </c>
      <c r="V303" s="7" t="str">
        <f>IF($B303="",IF(COUNTA($C303:$G303,$I303:$K303,$S303)=0,"","⚠ no property — not counted"),IF(COUNTIF(Setup!$A$25:$A$36,$B303)=0,"⚠ property not in Setup",IF(AND($F303&lt;&gt;"",NOT(ISNUMBER($F303))),"⚠ check-in is not a real date",IF(AND($G303&lt;&gt;"",NOT(ISNUMBER($G303))),"⚠ check-out is not a real date",IF(AND($J303&lt;&gt;"",NOT(ISNUMBER($J303))),"⚠ booking value is not a number","OK")))))</f>
        <v/>
      </c>
      <c r="W303" s="21" t="str">
        <f t="shared" si="24"/>
        <v>—</v>
      </c>
    </row>
    <row r="304" spans="1:23" x14ac:dyDescent="0.2">
      <c r="A304" s="30">
        <v>300</v>
      </c>
      <c r="B304" s="8"/>
      <c r="C304" s="8"/>
      <c r="D304" s="8"/>
      <c r="E304" s="8"/>
      <c r="F304" s="34"/>
      <c r="G304" s="34"/>
      <c r="H304" s="19" t="str">
        <f t="shared" si="20"/>
        <v>—</v>
      </c>
      <c r="I304" s="35"/>
      <c r="J304" s="11"/>
      <c r="K304" s="36"/>
      <c r="L304" s="21" t="str">
        <f>IF(OR($B304="",NOT(ISNUMBER($J304)),$D304="Cancelled",$D304="Owner block"),"—",ROUND($J304*IF(ISNUMBER($K304),IF($K304&gt;1,$K304/100,$K304),IF(IFERROR(INDEX(Setup!$D$25:$D$36,MATCH($B304,Setup!$A$25:$A$36,0)),0)&gt;1,IFERROR(INDEX(Setup!$D$25:$D$36,MATCH($B304,Setup!$A$25:$A$36,0)),0)/100,IFERROR(INDEX(Setup!$D$25:$D$36,MATCH($B304,Setup!$A$25:$A$36,0)),0))),2))</f>
        <v>—</v>
      </c>
      <c r="M304" s="21" t="str">
        <f t="shared" si="21"/>
        <v>—</v>
      </c>
      <c r="N304" s="21" t="str">
        <f>IF(OR($B304="",$G304="",$D304="Cancelled"),"—",IFERROR(IF(INDEX(Setup!$E$25:$E$36,MATCH($B304,Setup!$A$25:$A$36,0))=0,"—",INDEX(Setup!$E$25:$E$36,MATCH($B304,Setup!$A$25:$A$36,0))),"—"))</f>
        <v>—</v>
      </c>
      <c r="O304" s="21" t="str">
        <f>IF(OR($B304="",$G304="",$D304="Cancelled"),"—",IFERROR(IF(INDEX(Setup!$F$25:$F$36,MATCH($B304,Setup!$A$25:$A$36,0))=0,"—",INDEX(Setup!$F$25:$F$36,MATCH($B304,Setup!$A$25:$A$36,0))),"—"))</f>
        <v>—</v>
      </c>
      <c r="P304" s="21" t="str">
        <f>IF(OR($B304="",$G304="",$D304="Cancelled",$D304="Owner block"),"—",IF(IFERROR(INDEX(Setup!$G$25:$G$36,MATCH($B304,Setup!$A$25:$A$36,0)),0)+IFERROR(INDEX(Setup!$H$25:$H$36,MATCH($B304,Setup!$A$25:$A$36,0)),0)*IF(ISNUMBER($H304),$H304,0)=0,"—",ROUND(IFERROR(INDEX(Setup!$G$25:$G$36,MATCH($B304,Setup!$A$25:$A$36,0)),0)+IFERROR(INDEX(Setup!$H$25:$H$36,MATCH($B304,Setup!$A$25:$A$36,0)),0)*IF(ISNUMBER($H304),$H304,0),2)))</f>
        <v>—</v>
      </c>
      <c r="Q304" s="21" t="str">
        <f t="shared" si="22"/>
        <v>—</v>
      </c>
      <c r="R304" s="21" t="str">
        <f t="shared" si="23"/>
        <v>—</v>
      </c>
      <c r="S304" s="8"/>
      <c r="T304" s="19" t="str">
        <f ca="1">IF(OR(NOT(ISNUMBER($F304)),NOT(ISNUMBER($G304)),NOT(ISNUMBER(Dashboard!$P$2)),NOT(ISNUMBER(Dashboard!$P$3)),$D304="Cancelled",$D304="Owner block"),"—",IF(MAX(0,MIN($G304,Dashboard!$P$3+1)-MAX($F304,Dashboard!$P$2))=0,"—",MAX(0,MIN($G304,Dashboard!$P$3+1)-MAX($F304,Dashboard!$P$2))))</f>
        <v>—</v>
      </c>
      <c r="U304" s="19" t="str">
        <f ca="1">IF(OR(NOT(ISNUMBER($F304)),NOT(ISNUMBER($G304)),NOT(ISNUMBER(Dashboard!$P$2)),NOT(ISNUMBER(Dashboard!$P$3)),$D304&lt;&gt;"Owner block"),"—",IF(MAX(0,MIN($G304,Dashboard!$P$3+1)-MAX($F304,Dashboard!$P$2))=0,"—",MAX(0,MIN($G304,Dashboard!$P$3+1)-MAX($F304,Dashboard!$P$2))))</f>
        <v>—</v>
      </c>
      <c r="V304" s="7" t="str">
        <f>IF($B304="",IF(COUNTA($C304:$G304,$I304:$K304,$S304)=0,"","⚠ no property — not counted"),IF(COUNTIF(Setup!$A$25:$A$36,$B304)=0,"⚠ property not in Setup",IF(AND($F304&lt;&gt;"",NOT(ISNUMBER($F304))),"⚠ check-in is not a real date",IF(AND($G304&lt;&gt;"",NOT(ISNUMBER($G304))),"⚠ check-out is not a real date",IF(AND($J304&lt;&gt;"",NOT(ISNUMBER($J304))),"⚠ booking value is not a number","OK")))))</f>
        <v/>
      </c>
      <c r="W304" s="21" t="str">
        <f t="shared" si="24"/>
        <v>—</v>
      </c>
    </row>
  </sheetData>
  <autoFilter ref="A4:W304" xr:uid="{00000000-0009-0000-0000-000002000000}"/>
  <mergeCells count="2">
    <mergeCell ref="A2:W2"/>
    <mergeCell ref="A1:W1"/>
  </mergeCells>
  <conditionalFormatting sqref="D5:D304">
    <cfRule type="cellIs" dxfId="15" priority="1" operator="equal">
      <formula>"Confirmed"</formula>
    </cfRule>
    <cfRule type="cellIs" dxfId="14" priority="2" operator="equal">
      <formula>"Completed"</formula>
    </cfRule>
    <cfRule type="cellIs" dxfId="13" priority="3" operator="equal">
      <formula>"Cancelled"</formula>
    </cfRule>
    <cfRule type="cellIs" dxfId="12" priority="4" operator="equal">
      <formula>"Owner block"</formula>
    </cfRule>
  </conditionalFormatting>
  <conditionalFormatting sqref="H5:H304">
    <cfRule type="expression" dxfId="11" priority="6">
      <formula>LEFT($H5,1)="⚠"</formula>
    </cfRule>
  </conditionalFormatting>
  <conditionalFormatting sqref="V5:V304">
    <cfRule type="expression" dxfId="10" priority="5">
      <formula>LEFT($V5,1)="⚠"</formula>
    </cfRule>
  </conditionalFormatting>
  <dataValidations count="1">
    <dataValidation type="decimal" allowBlank="1" errorTitle="Enter a percentage, not a number" error="15 means 1500%. Type 15% or 0.15." promptTitle="Only if this booking differs" prompt="Enter a percentage, e.g. 3% or 0.03. Leave blank to use the property default from Setup." sqref="K5:K304" xr:uid="{00000000-0002-0000-0200-000004000000}">
      <formula1>0</formula1>
      <formula2>0.5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Setup!$A$25:$A$36</xm:f>
          </x14:formula1>
          <xm:sqref>B5:B304</xm:sqref>
        </x14:dataValidation>
        <x14:dataValidation type="list" allowBlank="1" xr:uid="{00000000-0002-0000-0200-000001000000}">
          <x14:formula1>
            <xm:f>Lists!$A$1:$A$5</xm:f>
          </x14:formula1>
          <xm:sqref>C5:C304</xm:sqref>
        </x14:dataValidation>
        <x14:dataValidation type="list" allowBlank="1" xr:uid="{00000000-0002-0000-0200-000002000000}">
          <x14:formula1>
            <xm:f>Lists!$B$1:$B$4</xm:f>
          </x14:formula1>
          <xm:sqref>D5:D304</xm:sqref>
        </x14:dataValidation>
        <x14:dataValidation type="list" allowBlank="1" xr:uid="{00000000-0002-0000-0200-000003000000}">
          <x14:formula1>
            <xm:f>Lists!$H$1:$H$12</xm:f>
          </x14:formula1>
          <xm:sqref>I5:I304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2" width="22" customWidth="1"/>
    <col min="3" max="3" width="26" customWidth="1"/>
    <col min="4" max="4" width="15" customWidth="1"/>
    <col min="5" max="5" width="14" customWidth="1"/>
    <col min="6" max="6" width="20" customWidth="1"/>
    <col min="7" max="7" width="9" customWidth="1"/>
    <col min="8" max="8" width="12" customWidth="1"/>
    <col min="9" max="9" width="14" customWidth="1"/>
    <col min="10" max="10" width="20" customWidth="1"/>
    <col min="11" max="11" width="16" customWidth="1"/>
    <col min="12" max="12" width="40" customWidth="1"/>
  </cols>
  <sheetData>
    <row r="1" spans="1:12" ht="26" customHeight="1" x14ac:dyDescent="0.25">
      <c r="A1" s="47" t="s">
        <v>140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2">
      <c r="A2" s="45" t="s">
        <v>141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12" ht="30" customHeight="1" x14ac:dyDescent="0.2">
      <c r="A4" s="2" t="s">
        <v>96</v>
      </c>
      <c r="B4" s="2" t="s">
        <v>75</v>
      </c>
      <c r="C4" s="2" t="s">
        <v>99</v>
      </c>
      <c r="D4" s="2" t="s">
        <v>142</v>
      </c>
      <c r="E4" s="2" t="s">
        <v>143</v>
      </c>
      <c r="F4" s="2" t="s">
        <v>144</v>
      </c>
      <c r="G4" s="2" t="s">
        <v>103</v>
      </c>
      <c r="H4" s="2" t="s">
        <v>145</v>
      </c>
      <c r="I4" s="2" t="s">
        <v>146</v>
      </c>
      <c r="J4" s="2" t="s">
        <v>147</v>
      </c>
      <c r="K4" s="2" t="s">
        <v>148</v>
      </c>
      <c r="L4" s="2" t="s">
        <v>149</v>
      </c>
    </row>
    <row r="5" spans="1:12" ht="32" x14ac:dyDescent="0.2">
      <c r="A5" s="30">
        <v>1</v>
      </c>
      <c r="B5" s="7" t="str">
        <f>IFERROR(IF(INDEX(Bookings!$D$5:$D$304,MATCH($A5,Bookings!$A$5:$A$304,0))="Cancelled","—",IF(INDEX(Bookings!$B$5:$B$304,MATCH($A5,Bookings!$A$5:$A$304,0))="","—",INDEX(Bookings!$B$5:$B$304,MATCH($A5,Bookings!$A$5:$A$304,0)))),"—")</f>
        <v>Riverside Loft</v>
      </c>
      <c r="C5" s="7" t="str">
        <f>IFERROR(IF(INDEX(Bookings!$D$5:$D$304,MATCH($A5,Bookings!$A$5:$A$304,0))="Cancelled","—",IF(INDEX(Bookings!$E$5:$E$304,MATCH($A5,Bookings!$A$5:$A$304,0))="","—",INDEX(Bookings!$E$5:$E$304,MATCH($A5,Bookings!$A$5:$A$304,0)))),"—")</f>
        <v>EXAMPLE — A. Pereira</v>
      </c>
      <c r="D5" s="37">
        <f ca="1">IFERROR(IF(INDEX(Bookings!$D$5:$D$304,MATCH($A5,Bookings!$A$5:$A$304,0))="Cancelled","—",IF(INDEX(Bookings!$G$5:$G$304,MATCH($A5,Bookings!$A$5:$A$304,0))="","—",INDEX(Bookings!$G$5:$G$304,MATCH($A5,Bookings!$A$5:$A$304,0)))),"—")</f>
        <v>46208</v>
      </c>
      <c r="E5" s="38" t="str">
        <f t="shared" ref="E5:E68" ca="1" si="0">IF(NOT(ISNUMBER($D5)),"—",IF($D5&lt;TODAY(),"Past",IF($D5=TODAY(),"TODAY",$D5-TODAY())))</f>
        <v>Past</v>
      </c>
      <c r="F5" s="39" t="str">
        <f ca="1">IF(OR(NOT(ISNUMBER($D5)),$B5="—",$B5=""),"—",IF(COUNTIFS(Bookings!$B$5:$B$304,$B5,Bookings!$F$5:$F$304,$D5)-COUNTIFS(Bookings!$B$5:$B$304,$B5,Bookings!$F$5:$F$304,$D5,Bookings!$D$5:$D$304,"Cancelled")-COUNTIFS(Bookings!$B$5:$B$304,$B5,Bookings!$F$5:$F$304,$D5,Bookings!$D$5:$D$304,"Owner block")&gt;0,"SAME-DAY TURN","No same-day guest"))</f>
        <v>No same-day guest</v>
      </c>
      <c r="G5" s="38">
        <f>IFERROR(IF(INDEX(Bookings!$D$5:$D$304,MATCH($A5,Bookings!$A$5:$A$304,0))="Cancelled","—",IF(INDEX(Bookings!$I$5:$I$304,MATCH($A5,Bookings!$A$5:$A$304,0))="","—",INDEX(Bookings!$I$5:$I$304,MATCH($A5,Bookings!$A$5:$A$304,0)))),"—")</f>
        <v>2</v>
      </c>
      <c r="H5" s="38">
        <f>IFERROR(IF(INDEX(Setup!$I$25:$I$36,MATCH($B5,Setup!$A$25:$A$36,0))=0,"—",INDEX(Setup!$I$25:$I$36,MATCH($B5,Setup!$A$25:$A$36,0))),"—")</f>
        <v>2</v>
      </c>
      <c r="I5" s="21">
        <f>IFERROR(IF(INDEX(Setup!$E$25:$E$36,MATCH($B5,Setup!$A$25:$A$36,0))=0,"—",INDEX(Setup!$E$25:$E$36,MATCH($B5,Setup!$A$25:$A$36,0))),"—")</f>
        <v>45</v>
      </c>
      <c r="J5" s="3" t="s">
        <v>40</v>
      </c>
      <c r="K5" s="3" t="s">
        <v>150</v>
      </c>
      <c r="L5" s="3" t="s">
        <v>151</v>
      </c>
    </row>
    <row r="6" spans="1:12" ht="16" x14ac:dyDescent="0.2">
      <c r="A6" s="30">
        <v>2</v>
      </c>
      <c r="B6" s="7" t="str">
        <f>IFERROR(IF(INDEX(Bookings!$D$5:$D$304,MATCH($A6,Bookings!$A$5:$A$304,0))="Cancelled","—",IF(INDEX(Bookings!$B$5:$B$304,MATCH($A6,Bookings!$A$5:$A$304,0))="","—",INDEX(Bookings!$B$5:$B$304,MATCH($A6,Bookings!$A$5:$A$304,0)))),"—")</f>
        <v>Riverside Loft</v>
      </c>
      <c r="C6" s="7" t="str">
        <f>IFERROR(IF(INDEX(Bookings!$D$5:$D$304,MATCH($A6,Bookings!$A$5:$A$304,0))="Cancelled","—",IF(INDEX(Bookings!$E$5:$E$304,MATCH($A6,Bookings!$A$5:$A$304,0))="","—",INDEX(Bookings!$E$5:$E$304,MATCH($A6,Bookings!$A$5:$A$304,0)))),"—")</f>
        <v>EXAMPLE — J. Meyer</v>
      </c>
      <c r="D6" s="37">
        <f ca="1">IFERROR(IF(INDEX(Bookings!$D$5:$D$304,MATCH($A6,Bookings!$A$5:$A$304,0))="Cancelled","—",IF(INDEX(Bookings!$G$5:$G$304,MATCH($A6,Bookings!$A$5:$A$304,0))="","—",INDEX(Bookings!$G$5:$G$304,MATCH($A6,Bookings!$A$5:$A$304,0)))),"—")</f>
        <v>46214</v>
      </c>
      <c r="E6" s="38" t="str">
        <f t="shared" ca="1" si="0"/>
        <v>Past</v>
      </c>
      <c r="F6" s="39" t="str">
        <f ca="1">IF(OR(NOT(ISNUMBER($D6)),$B6="—",$B6=""),"—",IF(COUNTIFS(Bookings!$B$5:$B$304,$B6,Bookings!$F$5:$F$304,$D6)-COUNTIFS(Bookings!$B$5:$B$304,$B6,Bookings!$F$5:$F$304,$D6,Bookings!$D$5:$D$304,"Cancelled")-COUNTIFS(Bookings!$B$5:$B$304,$B6,Bookings!$F$5:$F$304,$D6,Bookings!$D$5:$D$304,"Owner block")&gt;0,"SAME-DAY TURN","No same-day guest"))</f>
        <v>No same-day guest</v>
      </c>
      <c r="G6" s="38">
        <f>IFERROR(IF(INDEX(Bookings!$D$5:$D$304,MATCH($A6,Bookings!$A$5:$A$304,0))="Cancelled","—",IF(INDEX(Bookings!$I$5:$I$304,MATCH($A6,Bookings!$A$5:$A$304,0))="","—",INDEX(Bookings!$I$5:$I$304,MATCH($A6,Bookings!$A$5:$A$304,0)))),"—")</f>
        <v>2</v>
      </c>
      <c r="H6" s="38">
        <f>IFERROR(IF(INDEX(Setup!$I$25:$I$36,MATCH($B6,Setup!$A$25:$A$36,0))=0,"—",INDEX(Setup!$I$25:$I$36,MATCH($B6,Setup!$A$25:$A$36,0))),"—")</f>
        <v>2</v>
      </c>
      <c r="I6" s="21">
        <f>IFERROR(IF(INDEX(Setup!$E$25:$E$36,MATCH($B6,Setup!$A$25:$A$36,0))=0,"—",INDEX(Setup!$E$25:$E$36,MATCH($B6,Setup!$A$25:$A$36,0))),"—")</f>
        <v>45</v>
      </c>
      <c r="J6" s="8" t="s">
        <v>40</v>
      </c>
      <c r="K6" s="8" t="s">
        <v>150</v>
      </c>
      <c r="L6" s="8"/>
    </row>
    <row r="7" spans="1:12" ht="16" x14ac:dyDescent="0.2">
      <c r="A7" s="30">
        <v>3</v>
      </c>
      <c r="B7" s="7" t="str">
        <f>IFERROR(IF(INDEX(Bookings!$D$5:$D$304,MATCH($A7,Bookings!$A$5:$A$304,0))="Cancelled","—",IF(INDEX(Bookings!$B$5:$B$304,MATCH($A7,Bookings!$A$5:$A$304,0))="","—",INDEX(Bookings!$B$5:$B$304,MATCH($A7,Bookings!$A$5:$A$304,0)))),"—")</f>
        <v>Riverside Loft</v>
      </c>
      <c r="C7" s="7" t="str">
        <f>IFERROR(IF(INDEX(Bookings!$D$5:$D$304,MATCH($A7,Bookings!$A$5:$A$304,0))="Cancelled","—",IF(INDEX(Bookings!$E$5:$E$304,MATCH($A7,Bookings!$A$5:$A$304,0))="","—",INDEX(Bookings!$E$5:$E$304,MATCH($A7,Bookings!$A$5:$A$304,0)))),"—")</f>
        <v>EXAMPLE — L. Rossi</v>
      </c>
      <c r="D7" s="37">
        <f ca="1">IFERROR(IF(INDEX(Bookings!$D$5:$D$304,MATCH($A7,Bookings!$A$5:$A$304,0))="Cancelled","—",IF(INDEX(Bookings!$G$5:$G$304,MATCH($A7,Bookings!$A$5:$A$304,0))="","—",INDEX(Bookings!$G$5:$G$304,MATCH($A7,Bookings!$A$5:$A$304,0)))),"—")</f>
        <v>46219</v>
      </c>
      <c r="E7" s="38" t="str">
        <f t="shared" ca="1" si="0"/>
        <v>Past</v>
      </c>
      <c r="F7" s="39" t="str">
        <f ca="1">IF(OR(NOT(ISNUMBER($D7)),$B7="—",$B7=""),"—",IF(COUNTIFS(Bookings!$B$5:$B$304,$B7,Bookings!$F$5:$F$304,$D7)-COUNTIFS(Bookings!$B$5:$B$304,$B7,Bookings!$F$5:$F$304,$D7,Bookings!$D$5:$D$304,"Cancelled")-COUNTIFS(Bookings!$B$5:$B$304,$B7,Bookings!$F$5:$F$304,$D7,Bookings!$D$5:$D$304,"Owner block")&gt;0,"SAME-DAY TURN","No same-day guest"))</f>
        <v>No same-day guest</v>
      </c>
      <c r="G7" s="38">
        <f>IFERROR(IF(INDEX(Bookings!$D$5:$D$304,MATCH($A7,Bookings!$A$5:$A$304,0))="Cancelled","—",IF(INDEX(Bookings!$I$5:$I$304,MATCH($A7,Bookings!$A$5:$A$304,0))="","—",INDEX(Bookings!$I$5:$I$304,MATCH($A7,Bookings!$A$5:$A$304,0)))),"—")</f>
        <v>3</v>
      </c>
      <c r="H7" s="38">
        <f>IFERROR(IF(INDEX(Setup!$I$25:$I$36,MATCH($B7,Setup!$A$25:$A$36,0))=0,"—",INDEX(Setup!$I$25:$I$36,MATCH($B7,Setup!$A$25:$A$36,0))),"—")</f>
        <v>2</v>
      </c>
      <c r="I7" s="21">
        <f>IFERROR(IF(INDEX(Setup!$E$25:$E$36,MATCH($B7,Setup!$A$25:$A$36,0))=0,"—",INDEX(Setup!$E$25:$E$36,MATCH($B7,Setup!$A$25:$A$36,0))),"—")</f>
        <v>45</v>
      </c>
      <c r="J7" s="3" t="s">
        <v>43</v>
      </c>
      <c r="K7" s="3" t="s">
        <v>150</v>
      </c>
      <c r="L7" s="3"/>
    </row>
    <row r="8" spans="1:12" ht="16" x14ac:dyDescent="0.2">
      <c r="A8" s="30">
        <v>4</v>
      </c>
      <c r="B8" s="7" t="str">
        <f>IFERROR(IF(INDEX(Bookings!$D$5:$D$304,MATCH($A8,Bookings!$A$5:$A$304,0))="Cancelled","—",IF(INDEX(Bookings!$B$5:$B$304,MATCH($A8,Bookings!$A$5:$A$304,0))="","—",INDEX(Bookings!$B$5:$B$304,MATCH($A8,Bookings!$A$5:$A$304,0)))),"—")</f>
        <v>Riverside Loft</v>
      </c>
      <c r="C8" s="7" t="str">
        <f>IFERROR(IF(INDEX(Bookings!$D$5:$D$304,MATCH($A8,Bookings!$A$5:$A$304,0))="Cancelled","—",IF(INDEX(Bookings!$E$5:$E$304,MATCH($A8,Bookings!$A$5:$A$304,0))="","—",INDEX(Bookings!$E$5:$E$304,MATCH($A8,Bookings!$A$5:$A$304,0)))),"—")</f>
        <v>EXAMPLE — S. Novak</v>
      </c>
      <c r="D8" s="37">
        <f ca="1">IFERROR(IF(INDEX(Bookings!$D$5:$D$304,MATCH($A8,Bookings!$A$5:$A$304,0))="Cancelled","—",IF(INDEX(Bookings!$G$5:$G$304,MATCH($A8,Bookings!$A$5:$A$304,0))="","—",INDEX(Bookings!$G$5:$G$304,MATCH($A8,Bookings!$A$5:$A$304,0)))),"—")</f>
        <v>46235</v>
      </c>
      <c r="E8" s="38">
        <f t="shared" ca="1" si="0"/>
        <v>3</v>
      </c>
      <c r="F8" s="39" t="str">
        <f ca="1">IF(OR(NOT(ISNUMBER($D8)),$B8="—",$B8=""),"—",IF(COUNTIFS(Bookings!$B$5:$B$304,$B8,Bookings!$F$5:$F$304,$D8)-COUNTIFS(Bookings!$B$5:$B$304,$B8,Bookings!$F$5:$F$304,$D8,Bookings!$D$5:$D$304,"Cancelled")-COUNTIFS(Bookings!$B$5:$B$304,$B8,Bookings!$F$5:$F$304,$D8,Bookings!$D$5:$D$304,"Owner block")&gt;0,"SAME-DAY TURN","No same-day guest"))</f>
        <v>No same-day guest</v>
      </c>
      <c r="G8" s="38">
        <f>IFERROR(IF(INDEX(Bookings!$D$5:$D$304,MATCH($A8,Bookings!$A$5:$A$304,0))="Cancelled","—",IF(INDEX(Bookings!$I$5:$I$304,MATCH($A8,Bookings!$A$5:$A$304,0))="","—",INDEX(Bookings!$I$5:$I$304,MATCH($A8,Bookings!$A$5:$A$304,0)))),"—")</f>
        <v>2</v>
      </c>
      <c r="H8" s="38">
        <f>IFERROR(IF(INDEX(Setup!$I$25:$I$36,MATCH($B8,Setup!$A$25:$A$36,0))=0,"—",INDEX(Setup!$I$25:$I$36,MATCH($B8,Setup!$A$25:$A$36,0))),"—")</f>
        <v>2</v>
      </c>
      <c r="I8" s="21">
        <f>IFERROR(IF(INDEX(Setup!$E$25:$E$36,MATCH($B8,Setup!$A$25:$A$36,0))=0,"—",INDEX(Setup!$E$25:$E$36,MATCH($B8,Setup!$A$25:$A$36,0))),"—")</f>
        <v>45</v>
      </c>
      <c r="J8" s="8" t="s">
        <v>40</v>
      </c>
      <c r="K8" s="8" t="s">
        <v>152</v>
      </c>
      <c r="L8" s="8"/>
    </row>
    <row r="9" spans="1:12" ht="16" x14ac:dyDescent="0.2">
      <c r="A9" s="30">
        <v>5</v>
      </c>
      <c r="B9" s="7" t="str">
        <f>IFERROR(IF(INDEX(Bookings!$D$5:$D$304,MATCH($A9,Bookings!$A$5:$A$304,0))="Cancelled","—",IF(INDEX(Bookings!$B$5:$B$304,MATCH($A9,Bookings!$A$5:$A$304,0))="","—",INDEX(Bookings!$B$5:$B$304,MATCH($A9,Bookings!$A$5:$A$304,0)))),"—")</f>
        <v>Harbour Studio</v>
      </c>
      <c r="C9" s="7" t="str">
        <f>IFERROR(IF(INDEX(Bookings!$D$5:$D$304,MATCH($A9,Bookings!$A$5:$A$304,0))="Cancelled","—",IF(INDEX(Bookings!$E$5:$E$304,MATCH($A9,Bookings!$A$5:$A$304,0))="","—",INDEX(Bookings!$E$5:$E$304,MATCH($A9,Bookings!$A$5:$A$304,0)))),"—")</f>
        <v>EXAMPLE — T. Brandt</v>
      </c>
      <c r="D9" s="37">
        <f ca="1">IFERROR(IF(INDEX(Bookings!$D$5:$D$304,MATCH($A9,Bookings!$A$5:$A$304,0))="Cancelled","—",IF(INDEX(Bookings!$G$5:$G$304,MATCH($A9,Bookings!$A$5:$A$304,0))="","—",INDEX(Bookings!$G$5:$G$304,MATCH($A9,Bookings!$A$5:$A$304,0)))),"—")</f>
        <v>46209</v>
      </c>
      <c r="E9" s="38" t="str">
        <f t="shared" ca="1" si="0"/>
        <v>Past</v>
      </c>
      <c r="F9" s="39" t="str">
        <f ca="1">IF(OR(NOT(ISNUMBER($D9)),$B9="—",$B9=""),"—",IF(COUNTIFS(Bookings!$B$5:$B$304,$B9,Bookings!$F$5:$F$304,$D9)-COUNTIFS(Bookings!$B$5:$B$304,$B9,Bookings!$F$5:$F$304,$D9,Bookings!$D$5:$D$304,"Cancelled")-COUNTIFS(Bookings!$B$5:$B$304,$B9,Bookings!$F$5:$F$304,$D9,Bookings!$D$5:$D$304,"Owner block")&gt;0,"SAME-DAY TURN","No same-day guest"))</f>
        <v>No same-day guest</v>
      </c>
      <c r="G9" s="38">
        <f>IFERROR(IF(INDEX(Bookings!$D$5:$D$304,MATCH($A9,Bookings!$A$5:$A$304,0))="Cancelled","—",IF(INDEX(Bookings!$I$5:$I$304,MATCH($A9,Bookings!$A$5:$A$304,0))="","—",INDEX(Bookings!$I$5:$I$304,MATCH($A9,Bookings!$A$5:$A$304,0)))),"—")</f>
        <v>2</v>
      </c>
      <c r="H9" s="38">
        <f>IFERROR(IF(INDEX(Setup!$I$25:$I$36,MATCH($B9,Setup!$A$25:$A$36,0))=0,"—",INDEX(Setup!$I$25:$I$36,MATCH($B9,Setup!$A$25:$A$36,0))),"—")</f>
        <v>1</v>
      </c>
      <c r="I9" s="21">
        <f>IFERROR(IF(INDEX(Setup!$E$25:$E$36,MATCH($B9,Setup!$A$25:$A$36,0))=0,"—",INDEX(Setup!$E$25:$E$36,MATCH($B9,Setup!$A$25:$A$36,0))),"—")</f>
        <v>38</v>
      </c>
      <c r="J9" s="3" t="s">
        <v>44</v>
      </c>
      <c r="K9" s="3" t="s">
        <v>150</v>
      </c>
      <c r="L9" s="3" t="s">
        <v>153</v>
      </c>
    </row>
    <row r="10" spans="1:12" ht="16" x14ac:dyDescent="0.2">
      <c r="A10" s="30">
        <v>6</v>
      </c>
      <c r="B10" s="7" t="str">
        <f>IFERROR(IF(INDEX(Bookings!$D$5:$D$304,MATCH($A10,Bookings!$A$5:$A$304,0))="Cancelled","—",IF(INDEX(Bookings!$B$5:$B$304,MATCH($A10,Bookings!$A$5:$A$304,0))="","—",INDEX(Bookings!$B$5:$B$304,MATCH($A10,Bookings!$A$5:$A$304,0)))),"—")</f>
        <v>Harbour Studio</v>
      </c>
      <c r="C10" s="7" t="str">
        <f>IFERROR(IF(INDEX(Bookings!$D$5:$D$304,MATCH($A10,Bookings!$A$5:$A$304,0))="Cancelled","—",IF(INDEX(Bookings!$E$5:$E$304,MATCH($A10,Bookings!$A$5:$A$304,0))="","—",INDEX(Bookings!$E$5:$E$304,MATCH($A10,Bookings!$A$5:$A$304,0)))),"—")</f>
        <v>EXAMPLE — M. Silva</v>
      </c>
      <c r="D10" s="37">
        <f ca="1">IFERROR(IF(INDEX(Bookings!$D$5:$D$304,MATCH($A10,Bookings!$A$5:$A$304,0))="Cancelled","—",IF(INDEX(Bookings!$G$5:$G$304,MATCH($A10,Bookings!$A$5:$A$304,0))="","—",INDEX(Bookings!$G$5:$G$304,MATCH($A10,Bookings!$A$5:$A$304,0)))),"—")</f>
        <v>46217</v>
      </c>
      <c r="E10" s="38" t="str">
        <f t="shared" ca="1" si="0"/>
        <v>Past</v>
      </c>
      <c r="F10" s="39" t="str">
        <f ca="1">IF(OR(NOT(ISNUMBER($D10)),$B10="—",$B10=""),"—",IF(COUNTIFS(Bookings!$B$5:$B$304,$B10,Bookings!$F$5:$F$304,$D10)-COUNTIFS(Bookings!$B$5:$B$304,$B10,Bookings!$F$5:$F$304,$D10,Bookings!$D$5:$D$304,"Cancelled")-COUNTIFS(Bookings!$B$5:$B$304,$B10,Bookings!$F$5:$F$304,$D10,Bookings!$D$5:$D$304,"Owner block")&gt;0,"SAME-DAY TURN","No same-day guest"))</f>
        <v>SAME-DAY TURN</v>
      </c>
      <c r="G10" s="38">
        <f>IFERROR(IF(INDEX(Bookings!$D$5:$D$304,MATCH($A10,Bookings!$A$5:$A$304,0))="Cancelled","—",IF(INDEX(Bookings!$I$5:$I$304,MATCH($A10,Bookings!$A$5:$A$304,0))="","—",INDEX(Bookings!$I$5:$I$304,MATCH($A10,Bookings!$A$5:$A$304,0)))),"—")</f>
        <v>2</v>
      </c>
      <c r="H10" s="38">
        <f>IFERROR(IF(INDEX(Setup!$I$25:$I$36,MATCH($B10,Setup!$A$25:$A$36,0))=0,"—",INDEX(Setup!$I$25:$I$36,MATCH($B10,Setup!$A$25:$A$36,0))),"—")</f>
        <v>1</v>
      </c>
      <c r="I10" s="21">
        <f>IFERROR(IF(INDEX(Setup!$E$25:$E$36,MATCH($B10,Setup!$A$25:$A$36,0))=0,"—",INDEX(Setup!$E$25:$E$36,MATCH($B10,Setup!$A$25:$A$36,0))),"—")</f>
        <v>38</v>
      </c>
      <c r="J10" s="8" t="s">
        <v>44</v>
      </c>
      <c r="K10" s="8" t="s">
        <v>150</v>
      </c>
      <c r="L10" s="8" t="s">
        <v>154</v>
      </c>
    </row>
    <row r="11" spans="1:12" ht="16" x14ac:dyDescent="0.2">
      <c r="A11" s="30">
        <v>7</v>
      </c>
      <c r="B11" s="7" t="str">
        <f>IFERROR(IF(INDEX(Bookings!$D$5:$D$304,MATCH($A11,Bookings!$A$5:$A$304,0))="Cancelled","—",IF(INDEX(Bookings!$B$5:$B$304,MATCH($A11,Bookings!$A$5:$A$304,0))="","—",INDEX(Bookings!$B$5:$B$304,MATCH($A11,Bookings!$A$5:$A$304,0)))),"—")</f>
        <v>Harbour Studio</v>
      </c>
      <c r="C11" s="7" t="str">
        <f>IFERROR(IF(INDEX(Bookings!$D$5:$D$304,MATCH($A11,Bookings!$A$5:$A$304,0))="Cancelled","—",IF(INDEX(Bookings!$E$5:$E$304,MATCH($A11,Bookings!$A$5:$A$304,0))="","—",INDEX(Bookings!$E$5:$E$304,MATCH($A11,Bookings!$A$5:$A$304,0)))),"—")</f>
        <v>EXAMPLE — K. Owusu</v>
      </c>
      <c r="D11" s="37">
        <f ca="1">IFERROR(IF(INDEX(Bookings!$D$5:$D$304,MATCH($A11,Bookings!$A$5:$A$304,0))="Cancelled","—",IF(INDEX(Bookings!$G$5:$G$304,MATCH($A11,Bookings!$A$5:$A$304,0))="","—",INDEX(Bookings!$G$5:$G$304,MATCH($A11,Bookings!$A$5:$A$304,0)))),"—")</f>
        <v>46221</v>
      </c>
      <c r="E11" s="38" t="str">
        <f t="shared" ca="1" si="0"/>
        <v>Past</v>
      </c>
      <c r="F11" s="39" t="str">
        <f ca="1">IF(OR(NOT(ISNUMBER($D11)),$B11="—",$B11=""),"—",IF(COUNTIFS(Bookings!$B$5:$B$304,$B11,Bookings!$F$5:$F$304,$D11)-COUNTIFS(Bookings!$B$5:$B$304,$B11,Bookings!$F$5:$F$304,$D11,Bookings!$D$5:$D$304,"Cancelled")-COUNTIFS(Bookings!$B$5:$B$304,$B11,Bookings!$F$5:$F$304,$D11,Bookings!$D$5:$D$304,"Owner block")&gt;0,"SAME-DAY TURN","No same-day guest"))</f>
        <v>No same-day guest</v>
      </c>
      <c r="G11" s="38">
        <f>IFERROR(IF(INDEX(Bookings!$D$5:$D$304,MATCH($A11,Bookings!$A$5:$A$304,0))="Cancelled","—",IF(INDEX(Bookings!$I$5:$I$304,MATCH($A11,Bookings!$A$5:$A$304,0))="","—",INDEX(Bookings!$I$5:$I$304,MATCH($A11,Bookings!$A$5:$A$304,0)))),"—")</f>
        <v>1</v>
      </c>
      <c r="H11" s="38">
        <f>IFERROR(IF(INDEX(Setup!$I$25:$I$36,MATCH($B11,Setup!$A$25:$A$36,0))=0,"—",INDEX(Setup!$I$25:$I$36,MATCH($B11,Setup!$A$25:$A$36,0))),"—")</f>
        <v>1</v>
      </c>
      <c r="I11" s="21">
        <f>IFERROR(IF(INDEX(Setup!$E$25:$E$36,MATCH($B11,Setup!$A$25:$A$36,0))=0,"—",INDEX(Setup!$E$25:$E$36,MATCH($B11,Setup!$A$25:$A$36,0))),"—")</f>
        <v>38</v>
      </c>
      <c r="J11" s="3" t="s">
        <v>44</v>
      </c>
      <c r="K11" s="3" t="s">
        <v>150</v>
      </c>
      <c r="L11" s="3"/>
    </row>
    <row r="12" spans="1:12" ht="16" x14ac:dyDescent="0.2">
      <c r="A12" s="30">
        <v>8</v>
      </c>
      <c r="B12" s="7" t="str">
        <f>IFERROR(IF(INDEX(Bookings!$D$5:$D$304,MATCH($A12,Bookings!$A$5:$A$304,0))="Cancelled","—",IF(INDEX(Bookings!$B$5:$B$304,MATCH($A12,Bookings!$A$5:$A$304,0))="","—",INDEX(Bookings!$B$5:$B$304,MATCH($A12,Bookings!$A$5:$A$304,0)))),"—")</f>
        <v>—</v>
      </c>
      <c r="C12" s="7" t="str">
        <f>IFERROR(IF(INDEX(Bookings!$D$5:$D$304,MATCH($A12,Bookings!$A$5:$A$304,0))="Cancelled","—",IF(INDEX(Bookings!$E$5:$E$304,MATCH($A12,Bookings!$A$5:$A$304,0))="","—",INDEX(Bookings!$E$5:$E$304,MATCH($A12,Bookings!$A$5:$A$304,0)))),"—")</f>
        <v>—</v>
      </c>
      <c r="D12" s="37" t="str">
        <f>IFERROR(IF(INDEX(Bookings!$D$5:$D$304,MATCH($A12,Bookings!$A$5:$A$304,0))="Cancelled","—",IF(INDEX(Bookings!$G$5:$G$304,MATCH($A12,Bookings!$A$5:$A$304,0))="","—",INDEX(Bookings!$G$5:$G$304,MATCH($A12,Bookings!$A$5:$A$304,0)))),"—")</f>
        <v>—</v>
      </c>
      <c r="E12" s="38" t="str">
        <f t="shared" ca="1" si="0"/>
        <v>—</v>
      </c>
      <c r="F12" s="39" t="str">
        <f>IF(OR(NOT(ISNUMBER($D12)),$B12="—",$B12=""),"—",IF(COUNTIFS(Bookings!$B$5:$B$304,$B12,Bookings!$F$5:$F$304,$D12)-COUNTIFS(Bookings!$B$5:$B$304,$B12,Bookings!$F$5:$F$304,$D12,Bookings!$D$5:$D$304,"Cancelled")-COUNTIFS(Bookings!$B$5:$B$304,$B12,Bookings!$F$5:$F$304,$D12,Bookings!$D$5:$D$304,"Owner block")&gt;0,"SAME-DAY TURN","No same-day guest"))</f>
        <v>—</v>
      </c>
      <c r="G12" s="38" t="str">
        <f>IFERROR(IF(INDEX(Bookings!$D$5:$D$304,MATCH($A12,Bookings!$A$5:$A$304,0))="Cancelled","—",IF(INDEX(Bookings!$I$5:$I$304,MATCH($A12,Bookings!$A$5:$A$304,0))="","—",INDEX(Bookings!$I$5:$I$304,MATCH($A12,Bookings!$A$5:$A$304,0)))),"—")</f>
        <v>—</v>
      </c>
      <c r="H12" s="38" t="str">
        <f>IFERROR(IF(INDEX(Setup!$I$25:$I$36,MATCH($B12,Setup!$A$25:$A$36,0))=0,"—",INDEX(Setup!$I$25:$I$36,MATCH($B12,Setup!$A$25:$A$36,0))),"—")</f>
        <v>—</v>
      </c>
      <c r="I12" s="21" t="str">
        <f>IFERROR(IF(INDEX(Setup!$E$25:$E$36,MATCH($B12,Setup!$A$25:$A$36,0))=0,"—",INDEX(Setup!$E$25:$E$36,MATCH($B12,Setup!$A$25:$A$36,0))),"—")</f>
        <v>—</v>
      </c>
      <c r="J12" s="8"/>
      <c r="K12" s="8" t="s">
        <v>155</v>
      </c>
      <c r="L12" s="8"/>
    </row>
    <row r="13" spans="1:12" ht="16" x14ac:dyDescent="0.2">
      <c r="A13" s="30">
        <v>9</v>
      </c>
      <c r="B13" s="7" t="str">
        <f>IFERROR(IF(INDEX(Bookings!$D$5:$D$304,MATCH($A13,Bookings!$A$5:$A$304,0))="Cancelled","—",IF(INDEX(Bookings!$B$5:$B$304,MATCH($A13,Bookings!$A$5:$A$304,0))="","—",INDEX(Bookings!$B$5:$B$304,MATCH($A13,Bookings!$A$5:$A$304,0)))),"—")</f>
        <v>Garden Cottage</v>
      </c>
      <c r="C13" s="7" t="str">
        <f>IFERROR(IF(INDEX(Bookings!$D$5:$D$304,MATCH($A13,Bookings!$A$5:$A$304,0))="Cancelled","—",IF(INDEX(Bookings!$E$5:$E$304,MATCH($A13,Bookings!$A$5:$A$304,0))="","—",INDEX(Bookings!$E$5:$E$304,MATCH($A13,Bookings!$A$5:$A$304,0)))),"—")</f>
        <v>EXAMPLE — Family Duarte</v>
      </c>
      <c r="D13" s="37">
        <f ca="1">IFERROR(IF(INDEX(Bookings!$D$5:$D$304,MATCH($A13,Bookings!$A$5:$A$304,0))="Cancelled","—",IF(INDEX(Bookings!$G$5:$G$304,MATCH($A13,Bookings!$A$5:$A$304,0))="","—",INDEX(Bookings!$G$5:$G$304,MATCH($A13,Bookings!$A$5:$A$304,0)))),"—")</f>
        <v>46212</v>
      </c>
      <c r="E13" s="38" t="str">
        <f t="shared" ca="1" si="0"/>
        <v>Past</v>
      </c>
      <c r="F13" s="39" t="str">
        <f ca="1">IF(OR(NOT(ISNUMBER($D13)),$B13="—",$B13=""),"—",IF(COUNTIFS(Bookings!$B$5:$B$304,$B13,Bookings!$F$5:$F$304,$D13)-COUNTIFS(Bookings!$B$5:$B$304,$B13,Bookings!$F$5:$F$304,$D13,Bookings!$D$5:$D$304,"Cancelled")-COUNTIFS(Bookings!$B$5:$B$304,$B13,Bookings!$F$5:$F$304,$D13,Bookings!$D$5:$D$304,"Owner block")&gt;0,"SAME-DAY TURN","No same-day guest"))</f>
        <v>No same-day guest</v>
      </c>
      <c r="G13" s="38">
        <f>IFERROR(IF(INDEX(Bookings!$D$5:$D$304,MATCH($A13,Bookings!$A$5:$A$304,0))="Cancelled","—",IF(INDEX(Bookings!$I$5:$I$304,MATCH($A13,Bookings!$A$5:$A$304,0))="","—",INDEX(Bookings!$I$5:$I$304,MATCH($A13,Bookings!$A$5:$A$304,0)))),"—")</f>
        <v>6</v>
      </c>
      <c r="H13" s="38">
        <f>IFERROR(IF(INDEX(Setup!$I$25:$I$36,MATCH($B13,Setup!$A$25:$A$36,0))=0,"—",INDEX(Setup!$I$25:$I$36,MATCH($B13,Setup!$A$25:$A$36,0))),"—")</f>
        <v>3</v>
      </c>
      <c r="I13" s="21">
        <f>IFERROR(IF(INDEX(Setup!$E$25:$E$36,MATCH($B13,Setup!$A$25:$A$36,0))=0,"—",INDEX(Setup!$E$25:$E$36,MATCH($B13,Setup!$A$25:$A$36,0))),"—")</f>
        <v>60</v>
      </c>
      <c r="J13" s="3" t="s">
        <v>43</v>
      </c>
      <c r="K13" s="3" t="s">
        <v>150</v>
      </c>
      <c r="L13" s="3"/>
    </row>
    <row r="14" spans="1:12" ht="32" x14ac:dyDescent="0.2">
      <c r="A14" s="30">
        <v>10</v>
      </c>
      <c r="B14" s="7" t="str">
        <f>IFERROR(IF(INDEX(Bookings!$D$5:$D$304,MATCH($A14,Bookings!$A$5:$A$304,0))="Cancelled","—",IF(INDEX(Bookings!$B$5:$B$304,MATCH($A14,Bookings!$A$5:$A$304,0))="","—",INDEX(Bookings!$B$5:$B$304,MATCH($A14,Bookings!$A$5:$A$304,0)))),"—")</f>
        <v>Garden Cottage</v>
      </c>
      <c r="C14" s="7" t="str">
        <f>IFERROR(IF(INDEX(Bookings!$D$5:$D$304,MATCH($A14,Bookings!$A$5:$A$304,0))="Cancelled","—",IF(INDEX(Bookings!$E$5:$E$304,MATCH($A14,Bookings!$A$5:$A$304,0))="","—",INDEX(Bookings!$E$5:$E$304,MATCH($A14,Bookings!$A$5:$A$304,0)))),"—")</f>
        <v>EXAMPLE — own stay, no income</v>
      </c>
      <c r="D14" s="37">
        <f ca="1">IFERROR(IF(INDEX(Bookings!$D$5:$D$304,MATCH($A14,Bookings!$A$5:$A$304,0))="Cancelled","—",IF(INDEX(Bookings!$G$5:$G$304,MATCH($A14,Bookings!$A$5:$A$304,0))="","—",INDEX(Bookings!$G$5:$G$304,MATCH($A14,Bookings!$A$5:$A$304,0)))),"—")</f>
        <v>46217</v>
      </c>
      <c r="E14" s="38" t="str">
        <f t="shared" ca="1" si="0"/>
        <v>Past</v>
      </c>
      <c r="F14" s="39" t="str">
        <f ca="1">IF(OR(NOT(ISNUMBER($D14)),$B14="—",$B14=""),"—",IF(COUNTIFS(Bookings!$B$5:$B$304,$B14,Bookings!$F$5:$F$304,$D14)-COUNTIFS(Bookings!$B$5:$B$304,$B14,Bookings!$F$5:$F$304,$D14,Bookings!$D$5:$D$304,"Cancelled")-COUNTIFS(Bookings!$B$5:$B$304,$B14,Bookings!$F$5:$F$304,$D14,Bookings!$D$5:$D$304,"Owner block")&gt;0,"SAME-DAY TURN","No same-day guest"))</f>
        <v>No same-day guest</v>
      </c>
      <c r="G14" s="38">
        <f>IFERROR(IF(INDEX(Bookings!$D$5:$D$304,MATCH($A14,Bookings!$A$5:$A$304,0))="Cancelled","—",IF(INDEX(Bookings!$I$5:$I$304,MATCH($A14,Bookings!$A$5:$A$304,0))="","—",INDEX(Bookings!$I$5:$I$304,MATCH($A14,Bookings!$A$5:$A$304,0)))),"—")</f>
        <v>2</v>
      </c>
      <c r="H14" s="38">
        <f>IFERROR(IF(INDEX(Setup!$I$25:$I$36,MATCH($B14,Setup!$A$25:$A$36,0))=0,"—",INDEX(Setup!$I$25:$I$36,MATCH($B14,Setup!$A$25:$A$36,0))),"—")</f>
        <v>3</v>
      </c>
      <c r="I14" s="21">
        <f>IFERROR(IF(INDEX(Setup!$E$25:$E$36,MATCH($B14,Setup!$A$25:$A$36,0))=0,"—",INDEX(Setup!$E$25:$E$36,MATCH($B14,Setup!$A$25:$A$36,0))),"—")</f>
        <v>60</v>
      </c>
      <c r="J14" s="8" t="s">
        <v>46</v>
      </c>
      <c r="K14" s="8" t="s">
        <v>156</v>
      </c>
      <c r="L14" s="8" t="s">
        <v>157</v>
      </c>
    </row>
    <row r="15" spans="1:12" ht="16" x14ac:dyDescent="0.2">
      <c r="A15" s="30">
        <v>11</v>
      </c>
      <c r="B15" s="7" t="str">
        <f>IFERROR(IF(INDEX(Bookings!$D$5:$D$304,MATCH($A15,Bookings!$A$5:$A$304,0))="Cancelled","—",IF(INDEX(Bookings!$B$5:$B$304,MATCH($A15,Bookings!$A$5:$A$304,0))="","—",INDEX(Bookings!$B$5:$B$304,MATCH($A15,Bookings!$A$5:$A$304,0)))),"—")</f>
        <v>Garden Cottage</v>
      </c>
      <c r="C15" s="7" t="str">
        <f>IFERROR(IF(INDEX(Bookings!$D$5:$D$304,MATCH($A15,Bookings!$A$5:$A$304,0))="Cancelled","—",IF(INDEX(Bookings!$E$5:$E$304,MATCH($A15,Bookings!$A$5:$A$304,0))="","—",INDEX(Bookings!$E$5:$E$304,MATCH($A15,Bookings!$A$5:$A$304,0)))),"—")</f>
        <v>EXAMPLE — R. Lindqvist</v>
      </c>
      <c r="D15" s="37">
        <f ca="1">IFERROR(IF(INDEX(Bookings!$D$5:$D$304,MATCH($A15,Bookings!$A$5:$A$304,0))="Cancelled","—",IF(INDEX(Bookings!$G$5:$G$304,MATCH($A15,Bookings!$A$5:$A$304,0))="","—",INDEX(Bookings!$G$5:$G$304,MATCH($A15,Bookings!$A$5:$A$304,0)))),"—")</f>
        <v>46241</v>
      </c>
      <c r="E15" s="38">
        <f t="shared" ca="1" si="0"/>
        <v>9</v>
      </c>
      <c r="F15" s="39" t="str">
        <f ca="1">IF(OR(NOT(ISNUMBER($D15)),$B15="—",$B15=""),"—",IF(COUNTIFS(Bookings!$B$5:$B$304,$B15,Bookings!$F$5:$F$304,$D15)-COUNTIFS(Bookings!$B$5:$B$304,$B15,Bookings!$F$5:$F$304,$D15,Bookings!$D$5:$D$304,"Cancelled")-COUNTIFS(Bookings!$B$5:$B$304,$B15,Bookings!$F$5:$F$304,$D15,Bookings!$D$5:$D$304,"Owner block")&gt;0,"SAME-DAY TURN","No same-day guest"))</f>
        <v>No same-day guest</v>
      </c>
      <c r="G15" s="38">
        <f>IFERROR(IF(INDEX(Bookings!$D$5:$D$304,MATCH($A15,Bookings!$A$5:$A$304,0))="Cancelled","—",IF(INDEX(Bookings!$I$5:$I$304,MATCH($A15,Bookings!$A$5:$A$304,0))="","—",INDEX(Bookings!$I$5:$I$304,MATCH($A15,Bookings!$A$5:$A$304,0)))),"—")</f>
        <v>5</v>
      </c>
      <c r="H15" s="38">
        <f>IFERROR(IF(INDEX(Setup!$I$25:$I$36,MATCH($B15,Setup!$A$25:$A$36,0))=0,"—",INDEX(Setup!$I$25:$I$36,MATCH($B15,Setup!$A$25:$A$36,0))),"—")</f>
        <v>3</v>
      </c>
      <c r="I15" s="21">
        <f>IFERROR(IF(INDEX(Setup!$E$25:$E$36,MATCH($B15,Setup!$A$25:$A$36,0))=0,"—",INDEX(Setup!$E$25:$E$36,MATCH($B15,Setup!$A$25:$A$36,0))),"—")</f>
        <v>60</v>
      </c>
      <c r="J15" s="3" t="s">
        <v>43</v>
      </c>
      <c r="K15" s="3" t="s">
        <v>152</v>
      </c>
      <c r="L15" s="3"/>
    </row>
    <row r="16" spans="1:12" ht="32" x14ac:dyDescent="0.2">
      <c r="A16" s="30">
        <v>12</v>
      </c>
      <c r="B16" s="7" t="str">
        <f>IFERROR(IF(INDEX(Bookings!$D$5:$D$304,MATCH($A16,Bookings!$A$5:$A$304,0))="Cancelled","—",IF(INDEX(Bookings!$B$5:$B$304,MATCH($A16,Bookings!$A$5:$A$304,0))="","—",INDEX(Bookings!$B$5:$B$304,MATCH($A16,Bookings!$A$5:$A$304,0)))),"—")</f>
        <v>Riverside Loft</v>
      </c>
      <c r="C16" s="7" t="str">
        <f>IFERROR(IF(INDEX(Bookings!$D$5:$D$304,MATCH($A16,Bookings!$A$5:$A$304,0))="Cancelled","—",IF(INDEX(Bookings!$E$5:$E$304,MATCH($A16,Bookings!$A$5:$A$304,0))="","—",INDEX(Bookings!$E$5:$E$304,MATCH($A16,Bookings!$A$5:$A$304,0)))),"—")</f>
        <v>EXAMPLE — stay across the month border</v>
      </c>
      <c r="D16" s="37">
        <f ca="1">IFERROR(IF(INDEX(Bookings!$D$5:$D$304,MATCH($A16,Bookings!$A$5:$A$304,0))="Cancelled","—",IF(INDEX(Bookings!$G$5:$G$304,MATCH($A16,Bookings!$A$5:$A$304,0))="","—",INDEX(Bookings!$G$5:$G$304,MATCH($A16,Bookings!$A$5:$A$304,0)))),"—")</f>
        <v>46206</v>
      </c>
      <c r="E16" s="38" t="str">
        <f t="shared" ca="1" si="0"/>
        <v>Past</v>
      </c>
      <c r="F16" s="39" t="str">
        <f ca="1">IF(OR(NOT(ISNUMBER($D16)),$B16="—",$B16=""),"—",IF(COUNTIFS(Bookings!$B$5:$B$304,$B16,Bookings!$F$5:$F$304,$D16)-COUNTIFS(Bookings!$B$5:$B$304,$B16,Bookings!$F$5:$F$304,$D16,Bookings!$D$5:$D$304,"Cancelled")-COUNTIFS(Bookings!$B$5:$B$304,$B16,Bookings!$F$5:$F$304,$D16,Bookings!$D$5:$D$304,"Owner block")&gt;0,"SAME-DAY TURN","No same-day guest"))</f>
        <v>No same-day guest</v>
      </c>
      <c r="G16" s="38">
        <f>IFERROR(IF(INDEX(Bookings!$D$5:$D$304,MATCH($A16,Bookings!$A$5:$A$304,0))="Cancelled","—",IF(INDEX(Bookings!$I$5:$I$304,MATCH($A16,Bookings!$A$5:$A$304,0))="","—",INDEX(Bookings!$I$5:$I$304,MATCH($A16,Bookings!$A$5:$A$304,0)))),"—")</f>
        <v>2</v>
      </c>
      <c r="H16" s="38">
        <f>IFERROR(IF(INDEX(Setup!$I$25:$I$36,MATCH($B16,Setup!$A$25:$A$36,0))=0,"—",INDEX(Setup!$I$25:$I$36,MATCH($B16,Setup!$A$25:$A$36,0))),"—")</f>
        <v>2</v>
      </c>
      <c r="I16" s="21">
        <f>IFERROR(IF(INDEX(Setup!$E$25:$E$36,MATCH($B16,Setup!$A$25:$A$36,0))=0,"—",INDEX(Setup!$E$25:$E$36,MATCH($B16,Setup!$A$25:$A$36,0))),"—")</f>
        <v>45</v>
      </c>
      <c r="J16" s="8" t="s">
        <v>40</v>
      </c>
      <c r="K16" s="8" t="s">
        <v>150</v>
      </c>
      <c r="L16" s="8" t="s">
        <v>158</v>
      </c>
    </row>
    <row r="17" spans="1:12" x14ac:dyDescent="0.2">
      <c r="A17" s="30">
        <v>13</v>
      </c>
      <c r="B17" s="7" t="str">
        <f>IFERROR(IF(INDEX(Bookings!$D$5:$D$304,MATCH($A17,Bookings!$A$5:$A$304,0))="Cancelled","—",IF(INDEX(Bookings!$B$5:$B$304,MATCH($A17,Bookings!$A$5:$A$304,0))="","—",INDEX(Bookings!$B$5:$B$304,MATCH($A17,Bookings!$A$5:$A$304,0)))),"—")</f>
        <v>—</v>
      </c>
      <c r="C17" s="7" t="str">
        <f>IFERROR(IF(INDEX(Bookings!$D$5:$D$304,MATCH($A17,Bookings!$A$5:$A$304,0))="Cancelled","—",IF(INDEX(Bookings!$E$5:$E$304,MATCH($A17,Bookings!$A$5:$A$304,0))="","—",INDEX(Bookings!$E$5:$E$304,MATCH($A17,Bookings!$A$5:$A$304,0)))),"—")</f>
        <v>—</v>
      </c>
      <c r="D17" s="37" t="str">
        <f>IFERROR(IF(INDEX(Bookings!$D$5:$D$304,MATCH($A17,Bookings!$A$5:$A$304,0))="Cancelled","—",IF(INDEX(Bookings!$G$5:$G$304,MATCH($A17,Bookings!$A$5:$A$304,0))="","—",INDEX(Bookings!$G$5:$G$304,MATCH($A17,Bookings!$A$5:$A$304,0)))),"—")</f>
        <v>—</v>
      </c>
      <c r="E17" s="38" t="str">
        <f t="shared" ca="1" si="0"/>
        <v>—</v>
      </c>
      <c r="F17" s="39" t="str">
        <f>IF(OR(NOT(ISNUMBER($D17)),$B17="—",$B17=""),"—",IF(COUNTIFS(Bookings!$B$5:$B$304,$B17,Bookings!$F$5:$F$304,$D17)-COUNTIFS(Bookings!$B$5:$B$304,$B17,Bookings!$F$5:$F$304,$D17,Bookings!$D$5:$D$304,"Cancelled")-COUNTIFS(Bookings!$B$5:$B$304,$B17,Bookings!$F$5:$F$304,$D17,Bookings!$D$5:$D$304,"Owner block")&gt;0,"SAME-DAY TURN","No same-day guest"))</f>
        <v>—</v>
      </c>
      <c r="G17" s="38" t="str">
        <f>IFERROR(IF(INDEX(Bookings!$D$5:$D$304,MATCH($A17,Bookings!$A$5:$A$304,0))="Cancelled","—",IF(INDEX(Bookings!$I$5:$I$304,MATCH($A17,Bookings!$A$5:$A$304,0))="","—",INDEX(Bookings!$I$5:$I$304,MATCH($A17,Bookings!$A$5:$A$304,0)))),"—")</f>
        <v>—</v>
      </c>
      <c r="H17" s="38" t="str">
        <f>IFERROR(IF(INDEX(Setup!$I$25:$I$36,MATCH($B17,Setup!$A$25:$A$36,0))=0,"—",INDEX(Setup!$I$25:$I$36,MATCH($B17,Setup!$A$25:$A$36,0))),"—")</f>
        <v>—</v>
      </c>
      <c r="I17" s="21" t="str">
        <f>IFERROR(IF(INDEX(Setup!$E$25:$E$36,MATCH($B17,Setup!$A$25:$A$36,0))=0,"—",INDEX(Setup!$E$25:$E$36,MATCH($B17,Setup!$A$25:$A$36,0))),"—")</f>
        <v>—</v>
      </c>
      <c r="J17" s="3"/>
      <c r="K17" s="3"/>
      <c r="L17" s="3"/>
    </row>
    <row r="18" spans="1:12" x14ac:dyDescent="0.2">
      <c r="A18" s="30">
        <v>14</v>
      </c>
      <c r="B18" s="7" t="str">
        <f>IFERROR(IF(INDEX(Bookings!$D$5:$D$304,MATCH($A18,Bookings!$A$5:$A$304,0))="Cancelled","—",IF(INDEX(Bookings!$B$5:$B$304,MATCH($A18,Bookings!$A$5:$A$304,0))="","—",INDEX(Bookings!$B$5:$B$304,MATCH($A18,Bookings!$A$5:$A$304,0)))),"—")</f>
        <v>—</v>
      </c>
      <c r="C18" s="7" t="str">
        <f>IFERROR(IF(INDEX(Bookings!$D$5:$D$304,MATCH($A18,Bookings!$A$5:$A$304,0))="Cancelled","—",IF(INDEX(Bookings!$E$5:$E$304,MATCH($A18,Bookings!$A$5:$A$304,0))="","—",INDEX(Bookings!$E$5:$E$304,MATCH($A18,Bookings!$A$5:$A$304,0)))),"—")</f>
        <v>—</v>
      </c>
      <c r="D18" s="37" t="str">
        <f>IFERROR(IF(INDEX(Bookings!$D$5:$D$304,MATCH($A18,Bookings!$A$5:$A$304,0))="Cancelled","—",IF(INDEX(Bookings!$G$5:$G$304,MATCH($A18,Bookings!$A$5:$A$304,0))="","—",INDEX(Bookings!$G$5:$G$304,MATCH($A18,Bookings!$A$5:$A$304,0)))),"—")</f>
        <v>—</v>
      </c>
      <c r="E18" s="38" t="str">
        <f t="shared" ca="1" si="0"/>
        <v>—</v>
      </c>
      <c r="F18" s="39" t="str">
        <f>IF(OR(NOT(ISNUMBER($D18)),$B18="—",$B18=""),"—",IF(COUNTIFS(Bookings!$B$5:$B$304,$B18,Bookings!$F$5:$F$304,$D18)-COUNTIFS(Bookings!$B$5:$B$304,$B18,Bookings!$F$5:$F$304,$D18,Bookings!$D$5:$D$304,"Cancelled")-COUNTIFS(Bookings!$B$5:$B$304,$B18,Bookings!$F$5:$F$304,$D18,Bookings!$D$5:$D$304,"Owner block")&gt;0,"SAME-DAY TURN","No same-day guest"))</f>
        <v>—</v>
      </c>
      <c r="G18" s="38" t="str">
        <f>IFERROR(IF(INDEX(Bookings!$D$5:$D$304,MATCH($A18,Bookings!$A$5:$A$304,0))="Cancelled","—",IF(INDEX(Bookings!$I$5:$I$304,MATCH($A18,Bookings!$A$5:$A$304,0))="","—",INDEX(Bookings!$I$5:$I$304,MATCH($A18,Bookings!$A$5:$A$304,0)))),"—")</f>
        <v>—</v>
      </c>
      <c r="H18" s="38" t="str">
        <f>IFERROR(IF(INDEX(Setup!$I$25:$I$36,MATCH($B18,Setup!$A$25:$A$36,0))=0,"—",INDEX(Setup!$I$25:$I$36,MATCH($B18,Setup!$A$25:$A$36,0))),"—")</f>
        <v>—</v>
      </c>
      <c r="I18" s="21" t="str">
        <f>IFERROR(IF(INDEX(Setup!$E$25:$E$36,MATCH($B18,Setup!$A$25:$A$36,0))=0,"—",INDEX(Setup!$E$25:$E$36,MATCH($B18,Setup!$A$25:$A$36,0))),"—")</f>
        <v>—</v>
      </c>
      <c r="J18" s="8"/>
      <c r="K18" s="8"/>
      <c r="L18" s="8"/>
    </row>
    <row r="19" spans="1:12" x14ac:dyDescent="0.2">
      <c r="A19" s="30">
        <v>15</v>
      </c>
      <c r="B19" s="7" t="str">
        <f>IFERROR(IF(INDEX(Bookings!$D$5:$D$304,MATCH($A19,Bookings!$A$5:$A$304,0))="Cancelled","—",IF(INDEX(Bookings!$B$5:$B$304,MATCH($A19,Bookings!$A$5:$A$304,0))="","—",INDEX(Bookings!$B$5:$B$304,MATCH($A19,Bookings!$A$5:$A$304,0)))),"—")</f>
        <v>—</v>
      </c>
      <c r="C19" s="7" t="str">
        <f>IFERROR(IF(INDEX(Bookings!$D$5:$D$304,MATCH($A19,Bookings!$A$5:$A$304,0))="Cancelled","—",IF(INDEX(Bookings!$E$5:$E$304,MATCH($A19,Bookings!$A$5:$A$304,0))="","—",INDEX(Bookings!$E$5:$E$304,MATCH($A19,Bookings!$A$5:$A$304,0)))),"—")</f>
        <v>—</v>
      </c>
      <c r="D19" s="37" t="str">
        <f>IFERROR(IF(INDEX(Bookings!$D$5:$D$304,MATCH($A19,Bookings!$A$5:$A$304,0))="Cancelled","—",IF(INDEX(Bookings!$G$5:$G$304,MATCH($A19,Bookings!$A$5:$A$304,0))="","—",INDEX(Bookings!$G$5:$G$304,MATCH($A19,Bookings!$A$5:$A$304,0)))),"—")</f>
        <v>—</v>
      </c>
      <c r="E19" s="38" t="str">
        <f t="shared" ca="1" si="0"/>
        <v>—</v>
      </c>
      <c r="F19" s="39" t="str">
        <f>IF(OR(NOT(ISNUMBER($D19)),$B19="—",$B19=""),"—",IF(COUNTIFS(Bookings!$B$5:$B$304,$B19,Bookings!$F$5:$F$304,$D19)-COUNTIFS(Bookings!$B$5:$B$304,$B19,Bookings!$F$5:$F$304,$D19,Bookings!$D$5:$D$304,"Cancelled")-COUNTIFS(Bookings!$B$5:$B$304,$B19,Bookings!$F$5:$F$304,$D19,Bookings!$D$5:$D$304,"Owner block")&gt;0,"SAME-DAY TURN","No same-day guest"))</f>
        <v>—</v>
      </c>
      <c r="G19" s="38" t="str">
        <f>IFERROR(IF(INDEX(Bookings!$D$5:$D$304,MATCH($A19,Bookings!$A$5:$A$304,0))="Cancelled","—",IF(INDEX(Bookings!$I$5:$I$304,MATCH($A19,Bookings!$A$5:$A$304,0))="","—",INDEX(Bookings!$I$5:$I$304,MATCH($A19,Bookings!$A$5:$A$304,0)))),"—")</f>
        <v>—</v>
      </c>
      <c r="H19" s="38" t="str">
        <f>IFERROR(IF(INDEX(Setup!$I$25:$I$36,MATCH($B19,Setup!$A$25:$A$36,0))=0,"—",INDEX(Setup!$I$25:$I$36,MATCH($B19,Setup!$A$25:$A$36,0))),"—")</f>
        <v>—</v>
      </c>
      <c r="I19" s="21" t="str">
        <f>IFERROR(IF(INDEX(Setup!$E$25:$E$36,MATCH($B19,Setup!$A$25:$A$36,0))=0,"—",INDEX(Setup!$E$25:$E$36,MATCH($B19,Setup!$A$25:$A$36,0))),"—")</f>
        <v>—</v>
      </c>
      <c r="J19" s="3"/>
      <c r="K19" s="3"/>
      <c r="L19" s="3"/>
    </row>
    <row r="20" spans="1:12" x14ac:dyDescent="0.2">
      <c r="A20" s="30">
        <v>16</v>
      </c>
      <c r="B20" s="7" t="str">
        <f>IFERROR(IF(INDEX(Bookings!$D$5:$D$304,MATCH($A20,Bookings!$A$5:$A$304,0))="Cancelled","—",IF(INDEX(Bookings!$B$5:$B$304,MATCH($A20,Bookings!$A$5:$A$304,0))="","—",INDEX(Bookings!$B$5:$B$304,MATCH($A20,Bookings!$A$5:$A$304,0)))),"—")</f>
        <v>—</v>
      </c>
      <c r="C20" s="7" t="str">
        <f>IFERROR(IF(INDEX(Bookings!$D$5:$D$304,MATCH($A20,Bookings!$A$5:$A$304,0))="Cancelled","—",IF(INDEX(Bookings!$E$5:$E$304,MATCH($A20,Bookings!$A$5:$A$304,0))="","—",INDEX(Bookings!$E$5:$E$304,MATCH($A20,Bookings!$A$5:$A$304,0)))),"—")</f>
        <v>—</v>
      </c>
      <c r="D20" s="37" t="str">
        <f>IFERROR(IF(INDEX(Bookings!$D$5:$D$304,MATCH($A20,Bookings!$A$5:$A$304,0))="Cancelled","—",IF(INDEX(Bookings!$G$5:$G$304,MATCH($A20,Bookings!$A$5:$A$304,0))="","—",INDEX(Bookings!$G$5:$G$304,MATCH($A20,Bookings!$A$5:$A$304,0)))),"—")</f>
        <v>—</v>
      </c>
      <c r="E20" s="38" t="str">
        <f t="shared" ca="1" si="0"/>
        <v>—</v>
      </c>
      <c r="F20" s="39" t="str">
        <f>IF(OR(NOT(ISNUMBER($D20)),$B20="—",$B20=""),"—",IF(COUNTIFS(Bookings!$B$5:$B$304,$B20,Bookings!$F$5:$F$304,$D20)-COUNTIFS(Bookings!$B$5:$B$304,$B20,Bookings!$F$5:$F$304,$D20,Bookings!$D$5:$D$304,"Cancelled")-COUNTIFS(Bookings!$B$5:$B$304,$B20,Bookings!$F$5:$F$304,$D20,Bookings!$D$5:$D$304,"Owner block")&gt;0,"SAME-DAY TURN","No same-day guest"))</f>
        <v>—</v>
      </c>
      <c r="G20" s="38" t="str">
        <f>IFERROR(IF(INDEX(Bookings!$D$5:$D$304,MATCH($A20,Bookings!$A$5:$A$304,0))="Cancelled","—",IF(INDEX(Bookings!$I$5:$I$304,MATCH($A20,Bookings!$A$5:$A$304,0))="","—",INDEX(Bookings!$I$5:$I$304,MATCH($A20,Bookings!$A$5:$A$304,0)))),"—")</f>
        <v>—</v>
      </c>
      <c r="H20" s="38" t="str">
        <f>IFERROR(IF(INDEX(Setup!$I$25:$I$36,MATCH($B20,Setup!$A$25:$A$36,0))=0,"—",INDEX(Setup!$I$25:$I$36,MATCH($B20,Setup!$A$25:$A$36,0))),"—")</f>
        <v>—</v>
      </c>
      <c r="I20" s="21" t="str">
        <f>IFERROR(IF(INDEX(Setup!$E$25:$E$36,MATCH($B20,Setup!$A$25:$A$36,0))=0,"—",INDEX(Setup!$E$25:$E$36,MATCH($B20,Setup!$A$25:$A$36,0))),"—")</f>
        <v>—</v>
      </c>
      <c r="J20" s="8"/>
      <c r="K20" s="8"/>
      <c r="L20" s="8"/>
    </row>
    <row r="21" spans="1:12" x14ac:dyDescent="0.2">
      <c r="A21" s="30">
        <v>17</v>
      </c>
      <c r="B21" s="7" t="str">
        <f>IFERROR(IF(INDEX(Bookings!$D$5:$D$304,MATCH($A21,Bookings!$A$5:$A$304,0))="Cancelled","—",IF(INDEX(Bookings!$B$5:$B$304,MATCH($A21,Bookings!$A$5:$A$304,0))="","—",INDEX(Bookings!$B$5:$B$304,MATCH($A21,Bookings!$A$5:$A$304,0)))),"—")</f>
        <v>—</v>
      </c>
      <c r="C21" s="7" t="str">
        <f>IFERROR(IF(INDEX(Bookings!$D$5:$D$304,MATCH($A21,Bookings!$A$5:$A$304,0))="Cancelled","—",IF(INDEX(Bookings!$E$5:$E$304,MATCH($A21,Bookings!$A$5:$A$304,0))="","—",INDEX(Bookings!$E$5:$E$304,MATCH($A21,Bookings!$A$5:$A$304,0)))),"—")</f>
        <v>—</v>
      </c>
      <c r="D21" s="37" t="str">
        <f>IFERROR(IF(INDEX(Bookings!$D$5:$D$304,MATCH($A21,Bookings!$A$5:$A$304,0))="Cancelled","—",IF(INDEX(Bookings!$G$5:$G$304,MATCH($A21,Bookings!$A$5:$A$304,0))="","—",INDEX(Bookings!$G$5:$G$304,MATCH($A21,Bookings!$A$5:$A$304,0)))),"—")</f>
        <v>—</v>
      </c>
      <c r="E21" s="38" t="str">
        <f t="shared" ca="1" si="0"/>
        <v>—</v>
      </c>
      <c r="F21" s="39" t="str">
        <f>IF(OR(NOT(ISNUMBER($D21)),$B21="—",$B21=""),"—",IF(COUNTIFS(Bookings!$B$5:$B$304,$B21,Bookings!$F$5:$F$304,$D21)-COUNTIFS(Bookings!$B$5:$B$304,$B21,Bookings!$F$5:$F$304,$D21,Bookings!$D$5:$D$304,"Cancelled")-COUNTIFS(Bookings!$B$5:$B$304,$B21,Bookings!$F$5:$F$304,$D21,Bookings!$D$5:$D$304,"Owner block")&gt;0,"SAME-DAY TURN","No same-day guest"))</f>
        <v>—</v>
      </c>
      <c r="G21" s="38" t="str">
        <f>IFERROR(IF(INDEX(Bookings!$D$5:$D$304,MATCH($A21,Bookings!$A$5:$A$304,0))="Cancelled","—",IF(INDEX(Bookings!$I$5:$I$304,MATCH($A21,Bookings!$A$5:$A$304,0))="","—",INDEX(Bookings!$I$5:$I$304,MATCH($A21,Bookings!$A$5:$A$304,0)))),"—")</f>
        <v>—</v>
      </c>
      <c r="H21" s="38" t="str">
        <f>IFERROR(IF(INDEX(Setup!$I$25:$I$36,MATCH($B21,Setup!$A$25:$A$36,0))=0,"—",INDEX(Setup!$I$25:$I$36,MATCH($B21,Setup!$A$25:$A$36,0))),"—")</f>
        <v>—</v>
      </c>
      <c r="I21" s="21" t="str">
        <f>IFERROR(IF(INDEX(Setup!$E$25:$E$36,MATCH($B21,Setup!$A$25:$A$36,0))=0,"—",INDEX(Setup!$E$25:$E$36,MATCH($B21,Setup!$A$25:$A$36,0))),"—")</f>
        <v>—</v>
      </c>
      <c r="J21" s="3"/>
      <c r="K21" s="3"/>
      <c r="L21" s="3"/>
    </row>
    <row r="22" spans="1:12" x14ac:dyDescent="0.2">
      <c r="A22" s="30">
        <v>18</v>
      </c>
      <c r="B22" s="7" t="str">
        <f>IFERROR(IF(INDEX(Bookings!$D$5:$D$304,MATCH($A22,Bookings!$A$5:$A$304,0))="Cancelled","—",IF(INDEX(Bookings!$B$5:$B$304,MATCH($A22,Bookings!$A$5:$A$304,0))="","—",INDEX(Bookings!$B$5:$B$304,MATCH($A22,Bookings!$A$5:$A$304,0)))),"—")</f>
        <v>—</v>
      </c>
      <c r="C22" s="7" t="str">
        <f>IFERROR(IF(INDEX(Bookings!$D$5:$D$304,MATCH($A22,Bookings!$A$5:$A$304,0))="Cancelled","—",IF(INDEX(Bookings!$E$5:$E$304,MATCH($A22,Bookings!$A$5:$A$304,0))="","—",INDEX(Bookings!$E$5:$E$304,MATCH($A22,Bookings!$A$5:$A$304,0)))),"—")</f>
        <v>—</v>
      </c>
      <c r="D22" s="37" t="str">
        <f>IFERROR(IF(INDEX(Bookings!$D$5:$D$304,MATCH($A22,Bookings!$A$5:$A$304,0))="Cancelled","—",IF(INDEX(Bookings!$G$5:$G$304,MATCH($A22,Bookings!$A$5:$A$304,0))="","—",INDEX(Bookings!$G$5:$G$304,MATCH($A22,Bookings!$A$5:$A$304,0)))),"—")</f>
        <v>—</v>
      </c>
      <c r="E22" s="38" t="str">
        <f t="shared" ca="1" si="0"/>
        <v>—</v>
      </c>
      <c r="F22" s="39" t="str">
        <f>IF(OR(NOT(ISNUMBER($D22)),$B22="—",$B22=""),"—",IF(COUNTIFS(Bookings!$B$5:$B$304,$B22,Bookings!$F$5:$F$304,$D22)-COUNTIFS(Bookings!$B$5:$B$304,$B22,Bookings!$F$5:$F$304,$D22,Bookings!$D$5:$D$304,"Cancelled")-COUNTIFS(Bookings!$B$5:$B$304,$B22,Bookings!$F$5:$F$304,$D22,Bookings!$D$5:$D$304,"Owner block")&gt;0,"SAME-DAY TURN","No same-day guest"))</f>
        <v>—</v>
      </c>
      <c r="G22" s="38" t="str">
        <f>IFERROR(IF(INDEX(Bookings!$D$5:$D$304,MATCH($A22,Bookings!$A$5:$A$304,0))="Cancelled","—",IF(INDEX(Bookings!$I$5:$I$304,MATCH($A22,Bookings!$A$5:$A$304,0))="","—",INDEX(Bookings!$I$5:$I$304,MATCH($A22,Bookings!$A$5:$A$304,0)))),"—")</f>
        <v>—</v>
      </c>
      <c r="H22" s="38" t="str">
        <f>IFERROR(IF(INDEX(Setup!$I$25:$I$36,MATCH($B22,Setup!$A$25:$A$36,0))=0,"—",INDEX(Setup!$I$25:$I$36,MATCH($B22,Setup!$A$25:$A$36,0))),"—")</f>
        <v>—</v>
      </c>
      <c r="I22" s="21" t="str">
        <f>IFERROR(IF(INDEX(Setup!$E$25:$E$36,MATCH($B22,Setup!$A$25:$A$36,0))=0,"—",INDEX(Setup!$E$25:$E$36,MATCH($B22,Setup!$A$25:$A$36,0))),"—")</f>
        <v>—</v>
      </c>
      <c r="J22" s="8"/>
      <c r="K22" s="8"/>
      <c r="L22" s="8"/>
    </row>
    <row r="23" spans="1:12" x14ac:dyDescent="0.2">
      <c r="A23" s="30">
        <v>19</v>
      </c>
      <c r="B23" s="7" t="str">
        <f>IFERROR(IF(INDEX(Bookings!$D$5:$D$304,MATCH($A23,Bookings!$A$5:$A$304,0))="Cancelled","—",IF(INDEX(Bookings!$B$5:$B$304,MATCH($A23,Bookings!$A$5:$A$304,0))="","—",INDEX(Bookings!$B$5:$B$304,MATCH($A23,Bookings!$A$5:$A$304,0)))),"—")</f>
        <v>—</v>
      </c>
      <c r="C23" s="7" t="str">
        <f>IFERROR(IF(INDEX(Bookings!$D$5:$D$304,MATCH($A23,Bookings!$A$5:$A$304,0))="Cancelled","—",IF(INDEX(Bookings!$E$5:$E$304,MATCH($A23,Bookings!$A$5:$A$304,0))="","—",INDEX(Bookings!$E$5:$E$304,MATCH($A23,Bookings!$A$5:$A$304,0)))),"—")</f>
        <v>—</v>
      </c>
      <c r="D23" s="37" t="str">
        <f>IFERROR(IF(INDEX(Bookings!$D$5:$D$304,MATCH($A23,Bookings!$A$5:$A$304,0))="Cancelled","—",IF(INDEX(Bookings!$G$5:$G$304,MATCH($A23,Bookings!$A$5:$A$304,0))="","—",INDEX(Bookings!$G$5:$G$304,MATCH($A23,Bookings!$A$5:$A$304,0)))),"—")</f>
        <v>—</v>
      </c>
      <c r="E23" s="38" t="str">
        <f t="shared" ca="1" si="0"/>
        <v>—</v>
      </c>
      <c r="F23" s="39" t="str">
        <f>IF(OR(NOT(ISNUMBER($D23)),$B23="—",$B23=""),"—",IF(COUNTIFS(Bookings!$B$5:$B$304,$B23,Bookings!$F$5:$F$304,$D23)-COUNTIFS(Bookings!$B$5:$B$304,$B23,Bookings!$F$5:$F$304,$D23,Bookings!$D$5:$D$304,"Cancelled")-COUNTIFS(Bookings!$B$5:$B$304,$B23,Bookings!$F$5:$F$304,$D23,Bookings!$D$5:$D$304,"Owner block")&gt;0,"SAME-DAY TURN","No same-day guest"))</f>
        <v>—</v>
      </c>
      <c r="G23" s="38" t="str">
        <f>IFERROR(IF(INDEX(Bookings!$D$5:$D$304,MATCH($A23,Bookings!$A$5:$A$304,0))="Cancelled","—",IF(INDEX(Bookings!$I$5:$I$304,MATCH($A23,Bookings!$A$5:$A$304,0))="","—",INDEX(Bookings!$I$5:$I$304,MATCH($A23,Bookings!$A$5:$A$304,0)))),"—")</f>
        <v>—</v>
      </c>
      <c r="H23" s="38" t="str">
        <f>IFERROR(IF(INDEX(Setup!$I$25:$I$36,MATCH($B23,Setup!$A$25:$A$36,0))=0,"—",INDEX(Setup!$I$25:$I$36,MATCH($B23,Setup!$A$25:$A$36,0))),"—")</f>
        <v>—</v>
      </c>
      <c r="I23" s="21" t="str">
        <f>IFERROR(IF(INDEX(Setup!$E$25:$E$36,MATCH($B23,Setup!$A$25:$A$36,0))=0,"—",INDEX(Setup!$E$25:$E$36,MATCH($B23,Setup!$A$25:$A$36,0))),"—")</f>
        <v>—</v>
      </c>
      <c r="J23" s="3"/>
      <c r="K23" s="3"/>
      <c r="L23" s="3"/>
    </row>
    <row r="24" spans="1:12" x14ac:dyDescent="0.2">
      <c r="A24" s="30">
        <v>20</v>
      </c>
      <c r="B24" s="7" t="str">
        <f>IFERROR(IF(INDEX(Bookings!$D$5:$D$304,MATCH($A24,Bookings!$A$5:$A$304,0))="Cancelled","—",IF(INDEX(Bookings!$B$5:$B$304,MATCH($A24,Bookings!$A$5:$A$304,0))="","—",INDEX(Bookings!$B$5:$B$304,MATCH($A24,Bookings!$A$5:$A$304,0)))),"—")</f>
        <v>—</v>
      </c>
      <c r="C24" s="7" t="str">
        <f>IFERROR(IF(INDEX(Bookings!$D$5:$D$304,MATCH($A24,Bookings!$A$5:$A$304,0))="Cancelled","—",IF(INDEX(Bookings!$E$5:$E$304,MATCH($A24,Bookings!$A$5:$A$304,0))="","—",INDEX(Bookings!$E$5:$E$304,MATCH($A24,Bookings!$A$5:$A$304,0)))),"—")</f>
        <v>—</v>
      </c>
      <c r="D24" s="37" t="str">
        <f>IFERROR(IF(INDEX(Bookings!$D$5:$D$304,MATCH($A24,Bookings!$A$5:$A$304,0))="Cancelled","—",IF(INDEX(Bookings!$G$5:$G$304,MATCH($A24,Bookings!$A$5:$A$304,0))="","—",INDEX(Bookings!$G$5:$G$304,MATCH($A24,Bookings!$A$5:$A$304,0)))),"—")</f>
        <v>—</v>
      </c>
      <c r="E24" s="38" t="str">
        <f t="shared" ca="1" si="0"/>
        <v>—</v>
      </c>
      <c r="F24" s="39" t="str">
        <f>IF(OR(NOT(ISNUMBER($D24)),$B24="—",$B24=""),"—",IF(COUNTIFS(Bookings!$B$5:$B$304,$B24,Bookings!$F$5:$F$304,$D24)-COUNTIFS(Bookings!$B$5:$B$304,$B24,Bookings!$F$5:$F$304,$D24,Bookings!$D$5:$D$304,"Cancelled")-COUNTIFS(Bookings!$B$5:$B$304,$B24,Bookings!$F$5:$F$304,$D24,Bookings!$D$5:$D$304,"Owner block")&gt;0,"SAME-DAY TURN","No same-day guest"))</f>
        <v>—</v>
      </c>
      <c r="G24" s="38" t="str">
        <f>IFERROR(IF(INDEX(Bookings!$D$5:$D$304,MATCH($A24,Bookings!$A$5:$A$304,0))="Cancelled","—",IF(INDEX(Bookings!$I$5:$I$304,MATCH($A24,Bookings!$A$5:$A$304,0))="","—",INDEX(Bookings!$I$5:$I$304,MATCH($A24,Bookings!$A$5:$A$304,0)))),"—")</f>
        <v>—</v>
      </c>
      <c r="H24" s="38" t="str">
        <f>IFERROR(IF(INDEX(Setup!$I$25:$I$36,MATCH($B24,Setup!$A$25:$A$36,0))=0,"—",INDEX(Setup!$I$25:$I$36,MATCH($B24,Setup!$A$25:$A$36,0))),"—")</f>
        <v>—</v>
      </c>
      <c r="I24" s="21" t="str">
        <f>IFERROR(IF(INDEX(Setup!$E$25:$E$36,MATCH($B24,Setup!$A$25:$A$36,0))=0,"—",INDEX(Setup!$E$25:$E$36,MATCH($B24,Setup!$A$25:$A$36,0))),"—")</f>
        <v>—</v>
      </c>
      <c r="J24" s="8"/>
      <c r="K24" s="8"/>
      <c r="L24" s="8"/>
    </row>
    <row r="25" spans="1:12" x14ac:dyDescent="0.2">
      <c r="A25" s="30">
        <v>21</v>
      </c>
      <c r="B25" s="7" t="str">
        <f>IFERROR(IF(INDEX(Bookings!$D$5:$D$304,MATCH($A25,Bookings!$A$5:$A$304,0))="Cancelled","—",IF(INDEX(Bookings!$B$5:$B$304,MATCH($A25,Bookings!$A$5:$A$304,0))="","—",INDEX(Bookings!$B$5:$B$304,MATCH($A25,Bookings!$A$5:$A$304,0)))),"—")</f>
        <v>—</v>
      </c>
      <c r="C25" s="7" t="str">
        <f>IFERROR(IF(INDEX(Bookings!$D$5:$D$304,MATCH($A25,Bookings!$A$5:$A$304,0))="Cancelled","—",IF(INDEX(Bookings!$E$5:$E$304,MATCH($A25,Bookings!$A$5:$A$304,0))="","—",INDEX(Bookings!$E$5:$E$304,MATCH($A25,Bookings!$A$5:$A$304,0)))),"—")</f>
        <v>—</v>
      </c>
      <c r="D25" s="37" t="str">
        <f>IFERROR(IF(INDEX(Bookings!$D$5:$D$304,MATCH($A25,Bookings!$A$5:$A$304,0))="Cancelled","—",IF(INDEX(Bookings!$G$5:$G$304,MATCH($A25,Bookings!$A$5:$A$304,0))="","—",INDEX(Bookings!$G$5:$G$304,MATCH($A25,Bookings!$A$5:$A$304,0)))),"—")</f>
        <v>—</v>
      </c>
      <c r="E25" s="38" t="str">
        <f t="shared" ca="1" si="0"/>
        <v>—</v>
      </c>
      <c r="F25" s="39" t="str">
        <f>IF(OR(NOT(ISNUMBER($D25)),$B25="—",$B25=""),"—",IF(COUNTIFS(Bookings!$B$5:$B$304,$B25,Bookings!$F$5:$F$304,$D25)-COUNTIFS(Bookings!$B$5:$B$304,$B25,Bookings!$F$5:$F$304,$D25,Bookings!$D$5:$D$304,"Cancelled")-COUNTIFS(Bookings!$B$5:$B$304,$B25,Bookings!$F$5:$F$304,$D25,Bookings!$D$5:$D$304,"Owner block")&gt;0,"SAME-DAY TURN","No same-day guest"))</f>
        <v>—</v>
      </c>
      <c r="G25" s="38" t="str">
        <f>IFERROR(IF(INDEX(Bookings!$D$5:$D$304,MATCH($A25,Bookings!$A$5:$A$304,0))="Cancelled","—",IF(INDEX(Bookings!$I$5:$I$304,MATCH($A25,Bookings!$A$5:$A$304,0))="","—",INDEX(Bookings!$I$5:$I$304,MATCH($A25,Bookings!$A$5:$A$304,0)))),"—")</f>
        <v>—</v>
      </c>
      <c r="H25" s="38" t="str">
        <f>IFERROR(IF(INDEX(Setup!$I$25:$I$36,MATCH($B25,Setup!$A$25:$A$36,0))=0,"—",INDEX(Setup!$I$25:$I$36,MATCH($B25,Setup!$A$25:$A$36,0))),"—")</f>
        <v>—</v>
      </c>
      <c r="I25" s="21" t="str">
        <f>IFERROR(IF(INDEX(Setup!$E$25:$E$36,MATCH($B25,Setup!$A$25:$A$36,0))=0,"—",INDEX(Setup!$E$25:$E$36,MATCH($B25,Setup!$A$25:$A$36,0))),"—")</f>
        <v>—</v>
      </c>
      <c r="J25" s="3"/>
      <c r="K25" s="3"/>
      <c r="L25" s="3"/>
    </row>
    <row r="26" spans="1:12" x14ac:dyDescent="0.2">
      <c r="A26" s="30">
        <v>22</v>
      </c>
      <c r="B26" s="7" t="str">
        <f>IFERROR(IF(INDEX(Bookings!$D$5:$D$304,MATCH($A26,Bookings!$A$5:$A$304,0))="Cancelled","—",IF(INDEX(Bookings!$B$5:$B$304,MATCH($A26,Bookings!$A$5:$A$304,0))="","—",INDEX(Bookings!$B$5:$B$304,MATCH($A26,Bookings!$A$5:$A$304,0)))),"—")</f>
        <v>—</v>
      </c>
      <c r="C26" s="7" t="str">
        <f>IFERROR(IF(INDEX(Bookings!$D$5:$D$304,MATCH($A26,Bookings!$A$5:$A$304,0))="Cancelled","—",IF(INDEX(Bookings!$E$5:$E$304,MATCH($A26,Bookings!$A$5:$A$304,0))="","—",INDEX(Bookings!$E$5:$E$304,MATCH($A26,Bookings!$A$5:$A$304,0)))),"—")</f>
        <v>—</v>
      </c>
      <c r="D26" s="37" t="str">
        <f>IFERROR(IF(INDEX(Bookings!$D$5:$D$304,MATCH($A26,Bookings!$A$5:$A$304,0))="Cancelled","—",IF(INDEX(Bookings!$G$5:$G$304,MATCH($A26,Bookings!$A$5:$A$304,0))="","—",INDEX(Bookings!$G$5:$G$304,MATCH($A26,Bookings!$A$5:$A$304,0)))),"—")</f>
        <v>—</v>
      </c>
      <c r="E26" s="38" t="str">
        <f t="shared" ca="1" si="0"/>
        <v>—</v>
      </c>
      <c r="F26" s="39" t="str">
        <f>IF(OR(NOT(ISNUMBER($D26)),$B26="—",$B26=""),"—",IF(COUNTIFS(Bookings!$B$5:$B$304,$B26,Bookings!$F$5:$F$304,$D26)-COUNTIFS(Bookings!$B$5:$B$304,$B26,Bookings!$F$5:$F$304,$D26,Bookings!$D$5:$D$304,"Cancelled")-COUNTIFS(Bookings!$B$5:$B$304,$B26,Bookings!$F$5:$F$304,$D26,Bookings!$D$5:$D$304,"Owner block")&gt;0,"SAME-DAY TURN","No same-day guest"))</f>
        <v>—</v>
      </c>
      <c r="G26" s="38" t="str">
        <f>IFERROR(IF(INDEX(Bookings!$D$5:$D$304,MATCH($A26,Bookings!$A$5:$A$304,0))="Cancelled","—",IF(INDEX(Bookings!$I$5:$I$304,MATCH($A26,Bookings!$A$5:$A$304,0))="","—",INDEX(Bookings!$I$5:$I$304,MATCH($A26,Bookings!$A$5:$A$304,0)))),"—")</f>
        <v>—</v>
      </c>
      <c r="H26" s="38" t="str">
        <f>IFERROR(IF(INDEX(Setup!$I$25:$I$36,MATCH($B26,Setup!$A$25:$A$36,0))=0,"—",INDEX(Setup!$I$25:$I$36,MATCH($B26,Setup!$A$25:$A$36,0))),"—")</f>
        <v>—</v>
      </c>
      <c r="I26" s="21" t="str">
        <f>IFERROR(IF(INDEX(Setup!$E$25:$E$36,MATCH($B26,Setup!$A$25:$A$36,0))=0,"—",INDEX(Setup!$E$25:$E$36,MATCH($B26,Setup!$A$25:$A$36,0))),"—")</f>
        <v>—</v>
      </c>
      <c r="J26" s="8"/>
      <c r="K26" s="8"/>
      <c r="L26" s="8"/>
    </row>
    <row r="27" spans="1:12" x14ac:dyDescent="0.2">
      <c r="A27" s="30">
        <v>23</v>
      </c>
      <c r="B27" s="7" t="str">
        <f>IFERROR(IF(INDEX(Bookings!$D$5:$D$304,MATCH($A27,Bookings!$A$5:$A$304,0))="Cancelled","—",IF(INDEX(Bookings!$B$5:$B$304,MATCH($A27,Bookings!$A$5:$A$304,0))="","—",INDEX(Bookings!$B$5:$B$304,MATCH($A27,Bookings!$A$5:$A$304,0)))),"—")</f>
        <v>—</v>
      </c>
      <c r="C27" s="7" t="str">
        <f>IFERROR(IF(INDEX(Bookings!$D$5:$D$304,MATCH($A27,Bookings!$A$5:$A$304,0))="Cancelled","—",IF(INDEX(Bookings!$E$5:$E$304,MATCH($A27,Bookings!$A$5:$A$304,0))="","—",INDEX(Bookings!$E$5:$E$304,MATCH($A27,Bookings!$A$5:$A$304,0)))),"—")</f>
        <v>—</v>
      </c>
      <c r="D27" s="37" t="str">
        <f>IFERROR(IF(INDEX(Bookings!$D$5:$D$304,MATCH($A27,Bookings!$A$5:$A$304,0))="Cancelled","—",IF(INDEX(Bookings!$G$5:$G$304,MATCH($A27,Bookings!$A$5:$A$304,0))="","—",INDEX(Bookings!$G$5:$G$304,MATCH($A27,Bookings!$A$5:$A$304,0)))),"—")</f>
        <v>—</v>
      </c>
      <c r="E27" s="38" t="str">
        <f t="shared" ca="1" si="0"/>
        <v>—</v>
      </c>
      <c r="F27" s="39" t="str">
        <f>IF(OR(NOT(ISNUMBER($D27)),$B27="—",$B27=""),"—",IF(COUNTIFS(Bookings!$B$5:$B$304,$B27,Bookings!$F$5:$F$304,$D27)-COUNTIFS(Bookings!$B$5:$B$304,$B27,Bookings!$F$5:$F$304,$D27,Bookings!$D$5:$D$304,"Cancelled")-COUNTIFS(Bookings!$B$5:$B$304,$B27,Bookings!$F$5:$F$304,$D27,Bookings!$D$5:$D$304,"Owner block")&gt;0,"SAME-DAY TURN","No same-day guest"))</f>
        <v>—</v>
      </c>
      <c r="G27" s="38" t="str">
        <f>IFERROR(IF(INDEX(Bookings!$D$5:$D$304,MATCH($A27,Bookings!$A$5:$A$304,0))="Cancelled","—",IF(INDEX(Bookings!$I$5:$I$304,MATCH($A27,Bookings!$A$5:$A$304,0))="","—",INDEX(Bookings!$I$5:$I$304,MATCH($A27,Bookings!$A$5:$A$304,0)))),"—")</f>
        <v>—</v>
      </c>
      <c r="H27" s="38" t="str">
        <f>IFERROR(IF(INDEX(Setup!$I$25:$I$36,MATCH($B27,Setup!$A$25:$A$36,0))=0,"—",INDEX(Setup!$I$25:$I$36,MATCH($B27,Setup!$A$25:$A$36,0))),"—")</f>
        <v>—</v>
      </c>
      <c r="I27" s="21" t="str">
        <f>IFERROR(IF(INDEX(Setup!$E$25:$E$36,MATCH($B27,Setup!$A$25:$A$36,0))=0,"—",INDEX(Setup!$E$25:$E$36,MATCH($B27,Setup!$A$25:$A$36,0))),"—")</f>
        <v>—</v>
      </c>
      <c r="J27" s="3"/>
      <c r="K27" s="3"/>
      <c r="L27" s="3"/>
    </row>
    <row r="28" spans="1:12" x14ac:dyDescent="0.2">
      <c r="A28" s="30">
        <v>24</v>
      </c>
      <c r="B28" s="7" t="str">
        <f>IFERROR(IF(INDEX(Bookings!$D$5:$D$304,MATCH($A28,Bookings!$A$5:$A$304,0))="Cancelled","—",IF(INDEX(Bookings!$B$5:$B$304,MATCH($A28,Bookings!$A$5:$A$304,0))="","—",INDEX(Bookings!$B$5:$B$304,MATCH($A28,Bookings!$A$5:$A$304,0)))),"—")</f>
        <v>—</v>
      </c>
      <c r="C28" s="7" t="str">
        <f>IFERROR(IF(INDEX(Bookings!$D$5:$D$304,MATCH($A28,Bookings!$A$5:$A$304,0))="Cancelled","—",IF(INDEX(Bookings!$E$5:$E$304,MATCH($A28,Bookings!$A$5:$A$304,0))="","—",INDEX(Bookings!$E$5:$E$304,MATCH($A28,Bookings!$A$5:$A$304,0)))),"—")</f>
        <v>—</v>
      </c>
      <c r="D28" s="37" t="str">
        <f>IFERROR(IF(INDEX(Bookings!$D$5:$D$304,MATCH($A28,Bookings!$A$5:$A$304,0))="Cancelled","—",IF(INDEX(Bookings!$G$5:$G$304,MATCH($A28,Bookings!$A$5:$A$304,0))="","—",INDEX(Bookings!$G$5:$G$304,MATCH($A28,Bookings!$A$5:$A$304,0)))),"—")</f>
        <v>—</v>
      </c>
      <c r="E28" s="38" t="str">
        <f t="shared" ca="1" si="0"/>
        <v>—</v>
      </c>
      <c r="F28" s="39" t="str">
        <f>IF(OR(NOT(ISNUMBER($D28)),$B28="—",$B28=""),"—",IF(COUNTIFS(Bookings!$B$5:$B$304,$B28,Bookings!$F$5:$F$304,$D28)-COUNTIFS(Bookings!$B$5:$B$304,$B28,Bookings!$F$5:$F$304,$D28,Bookings!$D$5:$D$304,"Cancelled")-COUNTIFS(Bookings!$B$5:$B$304,$B28,Bookings!$F$5:$F$304,$D28,Bookings!$D$5:$D$304,"Owner block")&gt;0,"SAME-DAY TURN","No same-day guest"))</f>
        <v>—</v>
      </c>
      <c r="G28" s="38" t="str">
        <f>IFERROR(IF(INDEX(Bookings!$D$5:$D$304,MATCH($A28,Bookings!$A$5:$A$304,0))="Cancelled","—",IF(INDEX(Bookings!$I$5:$I$304,MATCH($A28,Bookings!$A$5:$A$304,0))="","—",INDEX(Bookings!$I$5:$I$304,MATCH($A28,Bookings!$A$5:$A$304,0)))),"—")</f>
        <v>—</v>
      </c>
      <c r="H28" s="38" t="str">
        <f>IFERROR(IF(INDEX(Setup!$I$25:$I$36,MATCH($B28,Setup!$A$25:$A$36,0))=0,"—",INDEX(Setup!$I$25:$I$36,MATCH($B28,Setup!$A$25:$A$36,0))),"—")</f>
        <v>—</v>
      </c>
      <c r="I28" s="21" t="str">
        <f>IFERROR(IF(INDEX(Setup!$E$25:$E$36,MATCH($B28,Setup!$A$25:$A$36,0))=0,"—",INDEX(Setup!$E$25:$E$36,MATCH($B28,Setup!$A$25:$A$36,0))),"—")</f>
        <v>—</v>
      </c>
      <c r="J28" s="8"/>
      <c r="K28" s="8"/>
      <c r="L28" s="8"/>
    </row>
    <row r="29" spans="1:12" x14ac:dyDescent="0.2">
      <c r="A29" s="30">
        <v>25</v>
      </c>
      <c r="B29" s="7" t="str">
        <f>IFERROR(IF(INDEX(Bookings!$D$5:$D$304,MATCH($A29,Bookings!$A$5:$A$304,0))="Cancelled","—",IF(INDEX(Bookings!$B$5:$B$304,MATCH($A29,Bookings!$A$5:$A$304,0))="","—",INDEX(Bookings!$B$5:$B$304,MATCH($A29,Bookings!$A$5:$A$304,0)))),"—")</f>
        <v>—</v>
      </c>
      <c r="C29" s="7" t="str">
        <f>IFERROR(IF(INDEX(Bookings!$D$5:$D$304,MATCH($A29,Bookings!$A$5:$A$304,0))="Cancelled","—",IF(INDEX(Bookings!$E$5:$E$304,MATCH($A29,Bookings!$A$5:$A$304,0))="","—",INDEX(Bookings!$E$5:$E$304,MATCH($A29,Bookings!$A$5:$A$304,0)))),"—")</f>
        <v>—</v>
      </c>
      <c r="D29" s="37" t="str">
        <f>IFERROR(IF(INDEX(Bookings!$D$5:$D$304,MATCH($A29,Bookings!$A$5:$A$304,0))="Cancelled","—",IF(INDEX(Bookings!$G$5:$G$304,MATCH($A29,Bookings!$A$5:$A$304,0))="","—",INDEX(Bookings!$G$5:$G$304,MATCH($A29,Bookings!$A$5:$A$304,0)))),"—")</f>
        <v>—</v>
      </c>
      <c r="E29" s="38" t="str">
        <f t="shared" ca="1" si="0"/>
        <v>—</v>
      </c>
      <c r="F29" s="39" t="str">
        <f>IF(OR(NOT(ISNUMBER($D29)),$B29="—",$B29=""),"—",IF(COUNTIFS(Bookings!$B$5:$B$304,$B29,Bookings!$F$5:$F$304,$D29)-COUNTIFS(Bookings!$B$5:$B$304,$B29,Bookings!$F$5:$F$304,$D29,Bookings!$D$5:$D$304,"Cancelled")-COUNTIFS(Bookings!$B$5:$B$304,$B29,Bookings!$F$5:$F$304,$D29,Bookings!$D$5:$D$304,"Owner block")&gt;0,"SAME-DAY TURN","No same-day guest"))</f>
        <v>—</v>
      </c>
      <c r="G29" s="38" t="str">
        <f>IFERROR(IF(INDEX(Bookings!$D$5:$D$304,MATCH($A29,Bookings!$A$5:$A$304,0))="Cancelled","—",IF(INDEX(Bookings!$I$5:$I$304,MATCH($A29,Bookings!$A$5:$A$304,0))="","—",INDEX(Bookings!$I$5:$I$304,MATCH($A29,Bookings!$A$5:$A$304,0)))),"—")</f>
        <v>—</v>
      </c>
      <c r="H29" s="38" t="str">
        <f>IFERROR(IF(INDEX(Setup!$I$25:$I$36,MATCH($B29,Setup!$A$25:$A$36,0))=0,"—",INDEX(Setup!$I$25:$I$36,MATCH($B29,Setup!$A$25:$A$36,0))),"—")</f>
        <v>—</v>
      </c>
      <c r="I29" s="21" t="str">
        <f>IFERROR(IF(INDEX(Setup!$E$25:$E$36,MATCH($B29,Setup!$A$25:$A$36,0))=0,"—",INDEX(Setup!$E$25:$E$36,MATCH($B29,Setup!$A$25:$A$36,0))),"—")</f>
        <v>—</v>
      </c>
      <c r="J29" s="3"/>
      <c r="K29" s="3"/>
      <c r="L29" s="3"/>
    </row>
    <row r="30" spans="1:12" x14ac:dyDescent="0.2">
      <c r="A30" s="30">
        <v>26</v>
      </c>
      <c r="B30" s="7" t="str">
        <f>IFERROR(IF(INDEX(Bookings!$D$5:$D$304,MATCH($A30,Bookings!$A$5:$A$304,0))="Cancelled","—",IF(INDEX(Bookings!$B$5:$B$304,MATCH($A30,Bookings!$A$5:$A$304,0))="","—",INDEX(Bookings!$B$5:$B$304,MATCH($A30,Bookings!$A$5:$A$304,0)))),"—")</f>
        <v>—</v>
      </c>
      <c r="C30" s="7" t="str">
        <f>IFERROR(IF(INDEX(Bookings!$D$5:$D$304,MATCH($A30,Bookings!$A$5:$A$304,0))="Cancelled","—",IF(INDEX(Bookings!$E$5:$E$304,MATCH($A30,Bookings!$A$5:$A$304,0))="","—",INDEX(Bookings!$E$5:$E$304,MATCH($A30,Bookings!$A$5:$A$304,0)))),"—")</f>
        <v>—</v>
      </c>
      <c r="D30" s="37" t="str">
        <f>IFERROR(IF(INDEX(Bookings!$D$5:$D$304,MATCH($A30,Bookings!$A$5:$A$304,0))="Cancelled","—",IF(INDEX(Bookings!$G$5:$G$304,MATCH($A30,Bookings!$A$5:$A$304,0))="","—",INDEX(Bookings!$G$5:$G$304,MATCH($A30,Bookings!$A$5:$A$304,0)))),"—")</f>
        <v>—</v>
      </c>
      <c r="E30" s="38" t="str">
        <f t="shared" ca="1" si="0"/>
        <v>—</v>
      </c>
      <c r="F30" s="39" t="str">
        <f>IF(OR(NOT(ISNUMBER($D30)),$B30="—",$B30=""),"—",IF(COUNTIFS(Bookings!$B$5:$B$304,$B30,Bookings!$F$5:$F$304,$D30)-COUNTIFS(Bookings!$B$5:$B$304,$B30,Bookings!$F$5:$F$304,$D30,Bookings!$D$5:$D$304,"Cancelled")-COUNTIFS(Bookings!$B$5:$B$304,$B30,Bookings!$F$5:$F$304,$D30,Bookings!$D$5:$D$304,"Owner block")&gt;0,"SAME-DAY TURN","No same-day guest"))</f>
        <v>—</v>
      </c>
      <c r="G30" s="38" t="str">
        <f>IFERROR(IF(INDEX(Bookings!$D$5:$D$304,MATCH($A30,Bookings!$A$5:$A$304,0))="Cancelled","—",IF(INDEX(Bookings!$I$5:$I$304,MATCH($A30,Bookings!$A$5:$A$304,0))="","—",INDEX(Bookings!$I$5:$I$304,MATCH($A30,Bookings!$A$5:$A$304,0)))),"—")</f>
        <v>—</v>
      </c>
      <c r="H30" s="38" t="str">
        <f>IFERROR(IF(INDEX(Setup!$I$25:$I$36,MATCH($B30,Setup!$A$25:$A$36,0))=0,"—",INDEX(Setup!$I$25:$I$36,MATCH($B30,Setup!$A$25:$A$36,0))),"—")</f>
        <v>—</v>
      </c>
      <c r="I30" s="21" t="str">
        <f>IFERROR(IF(INDEX(Setup!$E$25:$E$36,MATCH($B30,Setup!$A$25:$A$36,0))=0,"—",INDEX(Setup!$E$25:$E$36,MATCH($B30,Setup!$A$25:$A$36,0))),"—")</f>
        <v>—</v>
      </c>
      <c r="J30" s="8"/>
      <c r="K30" s="8"/>
      <c r="L30" s="8"/>
    </row>
    <row r="31" spans="1:12" x14ac:dyDescent="0.2">
      <c r="A31" s="30">
        <v>27</v>
      </c>
      <c r="B31" s="7" t="str">
        <f>IFERROR(IF(INDEX(Bookings!$D$5:$D$304,MATCH($A31,Bookings!$A$5:$A$304,0))="Cancelled","—",IF(INDEX(Bookings!$B$5:$B$304,MATCH($A31,Bookings!$A$5:$A$304,0))="","—",INDEX(Bookings!$B$5:$B$304,MATCH($A31,Bookings!$A$5:$A$304,0)))),"—")</f>
        <v>—</v>
      </c>
      <c r="C31" s="7" t="str">
        <f>IFERROR(IF(INDEX(Bookings!$D$5:$D$304,MATCH($A31,Bookings!$A$5:$A$304,0))="Cancelled","—",IF(INDEX(Bookings!$E$5:$E$304,MATCH($A31,Bookings!$A$5:$A$304,0))="","—",INDEX(Bookings!$E$5:$E$304,MATCH($A31,Bookings!$A$5:$A$304,0)))),"—")</f>
        <v>—</v>
      </c>
      <c r="D31" s="37" t="str">
        <f>IFERROR(IF(INDEX(Bookings!$D$5:$D$304,MATCH($A31,Bookings!$A$5:$A$304,0))="Cancelled","—",IF(INDEX(Bookings!$G$5:$G$304,MATCH($A31,Bookings!$A$5:$A$304,0))="","—",INDEX(Bookings!$G$5:$G$304,MATCH($A31,Bookings!$A$5:$A$304,0)))),"—")</f>
        <v>—</v>
      </c>
      <c r="E31" s="38" t="str">
        <f t="shared" ca="1" si="0"/>
        <v>—</v>
      </c>
      <c r="F31" s="39" t="str">
        <f>IF(OR(NOT(ISNUMBER($D31)),$B31="—",$B31=""),"—",IF(COUNTIFS(Bookings!$B$5:$B$304,$B31,Bookings!$F$5:$F$304,$D31)-COUNTIFS(Bookings!$B$5:$B$304,$B31,Bookings!$F$5:$F$304,$D31,Bookings!$D$5:$D$304,"Cancelled")-COUNTIFS(Bookings!$B$5:$B$304,$B31,Bookings!$F$5:$F$304,$D31,Bookings!$D$5:$D$304,"Owner block")&gt;0,"SAME-DAY TURN","No same-day guest"))</f>
        <v>—</v>
      </c>
      <c r="G31" s="38" t="str">
        <f>IFERROR(IF(INDEX(Bookings!$D$5:$D$304,MATCH($A31,Bookings!$A$5:$A$304,0))="Cancelled","—",IF(INDEX(Bookings!$I$5:$I$304,MATCH($A31,Bookings!$A$5:$A$304,0))="","—",INDEX(Bookings!$I$5:$I$304,MATCH($A31,Bookings!$A$5:$A$304,0)))),"—")</f>
        <v>—</v>
      </c>
      <c r="H31" s="38" t="str">
        <f>IFERROR(IF(INDEX(Setup!$I$25:$I$36,MATCH($B31,Setup!$A$25:$A$36,0))=0,"—",INDEX(Setup!$I$25:$I$36,MATCH($B31,Setup!$A$25:$A$36,0))),"—")</f>
        <v>—</v>
      </c>
      <c r="I31" s="21" t="str">
        <f>IFERROR(IF(INDEX(Setup!$E$25:$E$36,MATCH($B31,Setup!$A$25:$A$36,0))=0,"—",INDEX(Setup!$E$25:$E$36,MATCH($B31,Setup!$A$25:$A$36,0))),"—")</f>
        <v>—</v>
      </c>
      <c r="J31" s="3"/>
      <c r="K31" s="3"/>
      <c r="L31" s="3"/>
    </row>
    <row r="32" spans="1:12" x14ac:dyDescent="0.2">
      <c r="A32" s="30">
        <v>28</v>
      </c>
      <c r="B32" s="7" t="str">
        <f>IFERROR(IF(INDEX(Bookings!$D$5:$D$304,MATCH($A32,Bookings!$A$5:$A$304,0))="Cancelled","—",IF(INDEX(Bookings!$B$5:$B$304,MATCH($A32,Bookings!$A$5:$A$304,0))="","—",INDEX(Bookings!$B$5:$B$304,MATCH($A32,Bookings!$A$5:$A$304,0)))),"—")</f>
        <v>—</v>
      </c>
      <c r="C32" s="7" t="str">
        <f>IFERROR(IF(INDEX(Bookings!$D$5:$D$304,MATCH($A32,Bookings!$A$5:$A$304,0))="Cancelled","—",IF(INDEX(Bookings!$E$5:$E$304,MATCH($A32,Bookings!$A$5:$A$304,0))="","—",INDEX(Bookings!$E$5:$E$304,MATCH($A32,Bookings!$A$5:$A$304,0)))),"—")</f>
        <v>—</v>
      </c>
      <c r="D32" s="37" t="str">
        <f>IFERROR(IF(INDEX(Bookings!$D$5:$D$304,MATCH($A32,Bookings!$A$5:$A$304,0))="Cancelled","—",IF(INDEX(Bookings!$G$5:$G$304,MATCH($A32,Bookings!$A$5:$A$304,0))="","—",INDEX(Bookings!$G$5:$G$304,MATCH($A32,Bookings!$A$5:$A$304,0)))),"—")</f>
        <v>—</v>
      </c>
      <c r="E32" s="38" t="str">
        <f t="shared" ca="1" si="0"/>
        <v>—</v>
      </c>
      <c r="F32" s="39" t="str">
        <f>IF(OR(NOT(ISNUMBER($D32)),$B32="—",$B32=""),"—",IF(COUNTIFS(Bookings!$B$5:$B$304,$B32,Bookings!$F$5:$F$304,$D32)-COUNTIFS(Bookings!$B$5:$B$304,$B32,Bookings!$F$5:$F$304,$D32,Bookings!$D$5:$D$304,"Cancelled")-COUNTIFS(Bookings!$B$5:$B$304,$B32,Bookings!$F$5:$F$304,$D32,Bookings!$D$5:$D$304,"Owner block")&gt;0,"SAME-DAY TURN","No same-day guest"))</f>
        <v>—</v>
      </c>
      <c r="G32" s="38" t="str">
        <f>IFERROR(IF(INDEX(Bookings!$D$5:$D$304,MATCH($A32,Bookings!$A$5:$A$304,0))="Cancelled","—",IF(INDEX(Bookings!$I$5:$I$304,MATCH($A32,Bookings!$A$5:$A$304,0))="","—",INDEX(Bookings!$I$5:$I$304,MATCH($A32,Bookings!$A$5:$A$304,0)))),"—")</f>
        <v>—</v>
      </c>
      <c r="H32" s="38" t="str">
        <f>IFERROR(IF(INDEX(Setup!$I$25:$I$36,MATCH($B32,Setup!$A$25:$A$36,0))=0,"—",INDEX(Setup!$I$25:$I$36,MATCH($B32,Setup!$A$25:$A$36,0))),"—")</f>
        <v>—</v>
      </c>
      <c r="I32" s="21" t="str">
        <f>IFERROR(IF(INDEX(Setup!$E$25:$E$36,MATCH($B32,Setup!$A$25:$A$36,0))=0,"—",INDEX(Setup!$E$25:$E$36,MATCH($B32,Setup!$A$25:$A$36,0))),"—")</f>
        <v>—</v>
      </c>
      <c r="J32" s="8"/>
      <c r="K32" s="8"/>
      <c r="L32" s="8"/>
    </row>
    <row r="33" spans="1:12" x14ac:dyDescent="0.2">
      <c r="A33" s="30">
        <v>29</v>
      </c>
      <c r="B33" s="7" t="str">
        <f>IFERROR(IF(INDEX(Bookings!$D$5:$D$304,MATCH($A33,Bookings!$A$5:$A$304,0))="Cancelled","—",IF(INDEX(Bookings!$B$5:$B$304,MATCH($A33,Bookings!$A$5:$A$304,0))="","—",INDEX(Bookings!$B$5:$B$304,MATCH($A33,Bookings!$A$5:$A$304,0)))),"—")</f>
        <v>—</v>
      </c>
      <c r="C33" s="7" t="str">
        <f>IFERROR(IF(INDEX(Bookings!$D$5:$D$304,MATCH($A33,Bookings!$A$5:$A$304,0))="Cancelled","—",IF(INDEX(Bookings!$E$5:$E$304,MATCH($A33,Bookings!$A$5:$A$304,0))="","—",INDEX(Bookings!$E$5:$E$304,MATCH($A33,Bookings!$A$5:$A$304,0)))),"—")</f>
        <v>—</v>
      </c>
      <c r="D33" s="37" t="str">
        <f>IFERROR(IF(INDEX(Bookings!$D$5:$D$304,MATCH($A33,Bookings!$A$5:$A$304,0))="Cancelled","—",IF(INDEX(Bookings!$G$5:$G$304,MATCH($A33,Bookings!$A$5:$A$304,0))="","—",INDEX(Bookings!$G$5:$G$304,MATCH($A33,Bookings!$A$5:$A$304,0)))),"—")</f>
        <v>—</v>
      </c>
      <c r="E33" s="38" t="str">
        <f t="shared" ca="1" si="0"/>
        <v>—</v>
      </c>
      <c r="F33" s="39" t="str">
        <f>IF(OR(NOT(ISNUMBER($D33)),$B33="—",$B33=""),"—",IF(COUNTIFS(Bookings!$B$5:$B$304,$B33,Bookings!$F$5:$F$304,$D33)-COUNTIFS(Bookings!$B$5:$B$304,$B33,Bookings!$F$5:$F$304,$D33,Bookings!$D$5:$D$304,"Cancelled")-COUNTIFS(Bookings!$B$5:$B$304,$B33,Bookings!$F$5:$F$304,$D33,Bookings!$D$5:$D$304,"Owner block")&gt;0,"SAME-DAY TURN","No same-day guest"))</f>
        <v>—</v>
      </c>
      <c r="G33" s="38" t="str">
        <f>IFERROR(IF(INDEX(Bookings!$D$5:$D$304,MATCH($A33,Bookings!$A$5:$A$304,0))="Cancelled","—",IF(INDEX(Bookings!$I$5:$I$304,MATCH($A33,Bookings!$A$5:$A$304,0))="","—",INDEX(Bookings!$I$5:$I$304,MATCH($A33,Bookings!$A$5:$A$304,0)))),"—")</f>
        <v>—</v>
      </c>
      <c r="H33" s="38" t="str">
        <f>IFERROR(IF(INDEX(Setup!$I$25:$I$36,MATCH($B33,Setup!$A$25:$A$36,0))=0,"—",INDEX(Setup!$I$25:$I$36,MATCH($B33,Setup!$A$25:$A$36,0))),"—")</f>
        <v>—</v>
      </c>
      <c r="I33" s="21" t="str">
        <f>IFERROR(IF(INDEX(Setup!$E$25:$E$36,MATCH($B33,Setup!$A$25:$A$36,0))=0,"—",INDEX(Setup!$E$25:$E$36,MATCH($B33,Setup!$A$25:$A$36,0))),"—")</f>
        <v>—</v>
      </c>
      <c r="J33" s="3"/>
      <c r="K33" s="3"/>
      <c r="L33" s="3"/>
    </row>
    <row r="34" spans="1:12" x14ac:dyDescent="0.2">
      <c r="A34" s="30">
        <v>30</v>
      </c>
      <c r="B34" s="7" t="str">
        <f>IFERROR(IF(INDEX(Bookings!$D$5:$D$304,MATCH($A34,Bookings!$A$5:$A$304,0))="Cancelled","—",IF(INDEX(Bookings!$B$5:$B$304,MATCH($A34,Bookings!$A$5:$A$304,0))="","—",INDEX(Bookings!$B$5:$B$304,MATCH($A34,Bookings!$A$5:$A$304,0)))),"—")</f>
        <v>—</v>
      </c>
      <c r="C34" s="7" t="str">
        <f>IFERROR(IF(INDEX(Bookings!$D$5:$D$304,MATCH($A34,Bookings!$A$5:$A$304,0))="Cancelled","—",IF(INDEX(Bookings!$E$5:$E$304,MATCH($A34,Bookings!$A$5:$A$304,0))="","—",INDEX(Bookings!$E$5:$E$304,MATCH($A34,Bookings!$A$5:$A$304,0)))),"—")</f>
        <v>—</v>
      </c>
      <c r="D34" s="37" t="str">
        <f>IFERROR(IF(INDEX(Bookings!$D$5:$D$304,MATCH($A34,Bookings!$A$5:$A$304,0))="Cancelled","—",IF(INDEX(Bookings!$G$5:$G$304,MATCH($A34,Bookings!$A$5:$A$304,0))="","—",INDEX(Bookings!$G$5:$G$304,MATCH($A34,Bookings!$A$5:$A$304,0)))),"—")</f>
        <v>—</v>
      </c>
      <c r="E34" s="38" t="str">
        <f t="shared" ca="1" si="0"/>
        <v>—</v>
      </c>
      <c r="F34" s="39" t="str">
        <f>IF(OR(NOT(ISNUMBER($D34)),$B34="—",$B34=""),"—",IF(COUNTIFS(Bookings!$B$5:$B$304,$B34,Bookings!$F$5:$F$304,$D34)-COUNTIFS(Bookings!$B$5:$B$304,$B34,Bookings!$F$5:$F$304,$D34,Bookings!$D$5:$D$304,"Cancelled")-COUNTIFS(Bookings!$B$5:$B$304,$B34,Bookings!$F$5:$F$304,$D34,Bookings!$D$5:$D$304,"Owner block")&gt;0,"SAME-DAY TURN","No same-day guest"))</f>
        <v>—</v>
      </c>
      <c r="G34" s="38" t="str">
        <f>IFERROR(IF(INDEX(Bookings!$D$5:$D$304,MATCH($A34,Bookings!$A$5:$A$304,0))="Cancelled","—",IF(INDEX(Bookings!$I$5:$I$304,MATCH($A34,Bookings!$A$5:$A$304,0))="","—",INDEX(Bookings!$I$5:$I$304,MATCH($A34,Bookings!$A$5:$A$304,0)))),"—")</f>
        <v>—</v>
      </c>
      <c r="H34" s="38" t="str">
        <f>IFERROR(IF(INDEX(Setup!$I$25:$I$36,MATCH($B34,Setup!$A$25:$A$36,0))=0,"—",INDEX(Setup!$I$25:$I$36,MATCH($B34,Setup!$A$25:$A$36,0))),"—")</f>
        <v>—</v>
      </c>
      <c r="I34" s="21" t="str">
        <f>IFERROR(IF(INDEX(Setup!$E$25:$E$36,MATCH($B34,Setup!$A$25:$A$36,0))=0,"—",INDEX(Setup!$E$25:$E$36,MATCH($B34,Setup!$A$25:$A$36,0))),"—")</f>
        <v>—</v>
      </c>
      <c r="J34" s="8"/>
      <c r="K34" s="8"/>
      <c r="L34" s="8"/>
    </row>
    <row r="35" spans="1:12" x14ac:dyDescent="0.2">
      <c r="A35" s="30">
        <v>31</v>
      </c>
      <c r="B35" s="7" t="str">
        <f>IFERROR(IF(INDEX(Bookings!$D$5:$D$304,MATCH($A35,Bookings!$A$5:$A$304,0))="Cancelled","—",IF(INDEX(Bookings!$B$5:$B$304,MATCH($A35,Bookings!$A$5:$A$304,0))="","—",INDEX(Bookings!$B$5:$B$304,MATCH($A35,Bookings!$A$5:$A$304,0)))),"—")</f>
        <v>—</v>
      </c>
      <c r="C35" s="7" t="str">
        <f>IFERROR(IF(INDEX(Bookings!$D$5:$D$304,MATCH($A35,Bookings!$A$5:$A$304,0))="Cancelled","—",IF(INDEX(Bookings!$E$5:$E$304,MATCH($A35,Bookings!$A$5:$A$304,0))="","—",INDEX(Bookings!$E$5:$E$304,MATCH($A35,Bookings!$A$5:$A$304,0)))),"—")</f>
        <v>—</v>
      </c>
      <c r="D35" s="37" t="str">
        <f>IFERROR(IF(INDEX(Bookings!$D$5:$D$304,MATCH($A35,Bookings!$A$5:$A$304,0))="Cancelled","—",IF(INDEX(Bookings!$G$5:$G$304,MATCH($A35,Bookings!$A$5:$A$304,0))="","—",INDEX(Bookings!$G$5:$G$304,MATCH($A35,Bookings!$A$5:$A$304,0)))),"—")</f>
        <v>—</v>
      </c>
      <c r="E35" s="38" t="str">
        <f t="shared" ca="1" si="0"/>
        <v>—</v>
      </c>
      <c r="F35" s="39" t="str">
        <f>IF(OR(NOT(ISNUMBER($D35)),$B35="—",$B35=""),"—",IF(COUNTIFS(Bookings!$B$5:$B$304,$B35,Bookings!$F$5:$F$304,$D35)-COUNTIFS(Bookings!$B$5:$B$304,$B35,Bookings!$F$5:$F$304,$D35,Bookings!$D$5:$D$304,"Cancelled")-COUNTIFS(Bookings!$B$5:$B$304,$B35,Bookings!$F$5:$F$304,$D35,Bookings!$D$5:$D$304,"Owner block")&gt;0,"SAME-DAY TURN","No same-day guest"))</f>
        <v>—</v>
      </c>
      <c r="G35" s="38" t="str">
        <f>IFERROR(IF(INDEX(Bookings!$D$5:$D$304,MATCH($A35,Bookings!$A$5:$A$304,0))="Cancelled","—",IF(INDEX(Bookings!$I$5:$I$304,MATCH($A35,Bookings!$A$5:$A$304,0))="","—",INDEX(Bookings!$I$5:$I$304,MATCH($A35,Bookings!$A$5:$A$304,0)))),"—")</f>
        <v>—</v>
      </c>
      <c r="H35" s="38" t="str">
        <f>IFERROR(IF(INDEX(Setup!$I$25:$I$36,MATCH($B35,Setup!$A$25:$A$36,0))=0,"—",INDEX(Setup!$I$25:$I$36,MATCH($B35,Setup!$A$25:$A$36,0))),"—")</f>
        <v>—</v>
      </c>
      <c r="I35" s="21" t="str">
        <f>IFERROR(IF(INDEX(Setup!$E$25:$E$36,MATCH($B35,Setup!$A$25:$A$36,0))=0,"—",INDEX(Setup!$E$25:$E$36,MATCH($B35,Setup!$A$25:$A$36,0))),"—")</f>
        <v>—</v>
      </c>
      <c r="J35" s="3"/>
      <c r="K35" s="3"/>
      <c r="L35" s="3"/>
    </row>
    <row r="36" spans="1:12" x14ac:dyDescent="0.2">
      <c r="A36" s="30">
        <v>32</v>
      </c>
      <c r="B36" s="7" t="str">
        <f>IFERROR(IF(INDEX(Bookings!$D$5:$D$304,MATCH($A36,Bookings!$A$5:$A$304,0))="Cancelled","—",IF(INDEX(Bookings!$B$5:$B$304,MATCH($A36,Bookings!$A$5:$A$304,0))="","—",INDEX(Bookings!$B$5:$B$304,MATCH($A36,Bookings!$A$5:$A$304,0)))),"—")</f>
        <v>—</v>
      </c>
      <c r="C36" s="7" t="str">
        <f>IFERROR(IF(INDEX(Bookings!$D$5:$D$304,MATCH($A36,Bookings!$A$5:$A$304,0))="Cancelled","—",IF(INDEX(Bookings!$E$5:$E$304,MATCH($A36,Bookings!$A$5:$A$304,0))="","—",INDEX(Bookings!$E$5:$E$304,MATCH($A36,Bookings!$A$5:$A$304,0)))),"—")</f>
        <v>—</v>
      </c>
      <c r="D36" s="37" t="str">
        <f>IFERROR(IF(INDEX(Bookings!$D$5:$D$304,MATCH($A36,Bookings!$A$5:$A$304,0))="Cancelled","—",IF(INDEX(Bookings!$G$5:$G$304,MATCH($A36,Bookings!$A$5:$A$304,0))="","—",INDEX(Bookings!$G$5:$G$304,MATCH($A36,Bookings!$A$5:$A$304,0)))),"—")</f>
        <v>—</v>
      </c>
      <c r="E36" s="38" t="str">
        <f t="shared" ca="1" si="0"/>
        <v>—</v>
      </c>
      <c r="F36" s="39" t="str">
        <f>IF(OR(NOT(ISNUMBER($D36)),$B36="—",$B36=""),"—",IF(COUNTIFS(Bookings!$B$5:$B$304,$B36,Bookings!$F$5:$F$304,$D36)-COUNTIFS(Bookings!$B$5:$B$304,$B36,Bookings!$F$5:$F$304,$D36,Bookings!$D$5:$D$304,"Cancelled")-COUNTIFS(Bookings!$B$5:$B$304,$B36,Bookings!$F$5:$F$304,$D36,Bookings!$D$5:$D$304,"Owner block")&gt;0,"SAME-DAY TURN","No same-day guest"))</f>
        <v>—</v>
      </c>
      <c r="G36" s="38" t="str">
        <f>IFERROR(IF(INDEX(Bookings!$D$5:$D$304,MATCH($A36,Bookings!$A$5:$A$304,0))="Cancelled","—",IF(INDEX(Bookings!$I$5:$I$304,MATCH($A36,Bookings!$A$5:$A$304,0))="","—",INDEX(Bookings!$I$5:$I$304,MATCH($A36,Bookings!$A$5:$A$304,0)))),"—")</f>
        <v>—</v>
      </c>
      <c r="H36" s="38" t="str">
        <f>IFERROR(IF(INDEX(Setup!$I$25:$I$36,MATCH($B36,Setup!$A$25:$A$36,0))=0,"—",INDEX(Setup!$I$25:$I$36,MATCH($B36,Setup!$A$25:$A$36,0))),"—")</f>
        <v>—</v>
      </c>
      <c r="I36" s="21" t="str">
        <f>IFERROR(IF(INDEX(Setup!$E$25:$E$36,MATCH($B36,Setup!$A$25:$A$36,0))=0,"—",INDEX(Setup!$E$25:$E$36,MATCH($B36,Setup!$A$25:$A$36,0))),"—")</f>
        <v>—</v>
      </c>
      <c r="J36" s="8"/>
      <c r="K36" s="8"/>
      <c r="L36" s="8"/>
    </row>
    <row r="37" spans="1:12" x14ac:dyDescent="0.2">
      <c r="A37" s="30">
        <v>33</v>
      </c>
      <c r="B37" s="7" t="str">
        <f>IFERROR(IF(INDEX(Bookings!$D$5:$D$304,MATCH($A37,Bookings!$A$5:$A$304,0))="Cancelled","—",IF(INDEX(Bookings!$B$5:$B$304,MATCH($A37,Bookings!$A$5:$A$304,0))="","—",INDEX(Bookings!$B$5:$B$304,MATCH($A37,Bookings!$A$5:$A$304,0)))),"—")</f>
        <v>—</v>
      </c>
      <c r="C37" s="7" t="str">
        <f>IFERROR(IF(INDEX(Bookings!$D$5:$D$304,MATCH($A37,Bookings!$A$5:$A$304,0))="Cancelled","—",IF(INDEX(Bookings!$E$5:$E$304,MATCH($A37,Bookings!$A$5:$A$304,0))="","—",INDEX(Bookings!$E$5:$E$304,MATCH($A37,Bookings!$A$5:$A$304,0)))),"—")</f>
        <v>—</v>
      </c>
      <c r="D37" s="37" t="str">
        <f>IFERROR(IF(INDEX(Bookings!$D$5:$D$304,MATCH($A37,Bookings!$A$5:$A$304,0))="Cancelled","—",IF(INDEX(Bookings!$G$5:$G$304,MATCH($A37,Bookings!$A$5:$A$304,0))="","—",INDEX(Bookings!$G$5:$G$304,MATCH($A37,Bookings!$A$5:$A$304,0)))),"—")</f>
        <v>—</v>
      </c>
      <c r="E37" s="38" t="str">
        <f t="shared" ca="1" si="0"/>
        <v>—</v>
      </c>
      <c r="F37" s="39" t="str">
        <f>IF(OR(NOT(ISNUMBER($D37)),$B37="—",$B37=""),"—",IF(COUNTIFS(Bookings!$B$5:$B$304,$B37,Bookings!$F$5:$F$304,$D37)-COUNTIFS(Bookings!$B$5:$B$304,$B37,Bookings!$F$5:$F$304,$D37,Bookings!$D$5:$D$304,"Cancelled")-COUNTIFS(Bookings!$B$5:$B$304,$B37,Bookings!$F$5:$F$304,$D37,Bookings!$D$5:$D$304,"Owner block")&gt;0,"SAME-DAY TURN","No same-day guest"))</f>
        <v>—</v>
      </c>
      <c r="G37" s="38" t="str">
        <f>IFERROR(IF(INDEX(Bookings!$D$5:$D$304,MATCH($A37,Bookings!$A$5:$A$304,0))="Cancelled","—",IF(INDEX(Bookings!$I$5:$I$304,MATCH($A37,Bookings!$A$5:$A$304,0))="","—",INDEX(Bookings!$I$5:$I$304,MATCH($A37,Bookings!$A$5:$A$304,0)))),"—")</f>
        <v>—</v>
      </c>
      <c r="H37" s="38" t="str">
        <f>IFERROR(IF(INDEX(Setup!$I$25:$I$36,MATCH($B37,Setup!$A$25:$A$36,0))=0,"—",INDEX(Setup!$I$25:$I$36,MATCH($B37,Setup!$A$25:$A$36,0))),"—")</f>
        <v>—</v>
      </c>
      <c r="I37" s="21" t="str">
        <f>IFERROR(IF(INDEX(Setup!$E$25:$E$36,MATCH($B37,Setup!$A$25:$A$36,0))=0,"—",INDEX(Setup!$E$25:$E$36,MATCH($B37,Setup!$A$25:$A$36,0))),"—")</f>
        <v>—</v>
      </c>
      <c r="J37" s="3"/>
      <c r="K37" s="3"/>
      <c r="L37" s="3"/>
    </row>
    <row r="38" spans="1:12" x14ac:dyDescent="0.2">
      <c r="A38" s="30">
        <v>34</v>
      </c>
      <c r="B38" s="7" t="str">
        <f>IFERROR(IF(INDEX(Bookings!$D$5:$D$304,MATCH($A38,Bookings!$A$5:$A$304,0))="Cancelled","—",IF(INDEX(Bookings!$B$5:$B$304,MATCH($A38,Bookings!$A$5:$A$304,0))="","—",INDEX(Bookings!$B$5:$B$304,MATCH($A38,Bookings!$A$5:$A$304,0)))),"—")</f>
        <v>—</v>
      </c>
      <c r="C38" s="7" t="str">
        <f>IFERROR(IF(INDEX(Bookings!$D$5:$D$304,MATCH($A38,Bookings!$A$5:$A$304,0))="Cancelled","—",IF(INDEX(Bookings!$E$5:$E$304,MATCH($A38,Bookings!$A$5:$A$304,0))="","—",INDEX(Bookings!$E$5:$E$304,MATCH($A38,Bookings!$A$5:$A$304,0)))),"—")</f>
        <v>—</v>
      </c>
      <c r="D38" s="37" t="str">
        <f>IFERROR(IF(INDEX(Bookings!$D$5:$D$304,MATCH($A38,Bookings!$A$5:$A$304,0))="Cancelled","—",IF(INDEX(Bookings!$G$5:$G$304,MATCH($A38,Bookings!$A$5:$A$304,0))="","—",INDEX(Bookings!$G$5:$G$304,MATCH($A38,Bookings!$A$5:$A$304,0)))),"—")</f>
        <v>—</v>
      </c>
      <c r="E38" s="38" t="str">
        <f t="shared" ca="1" si="0"/>
        <v>—</v>
      </c>
      <c r="F38" s="39" t="str">
        <f>IF(OR(NOT(ISNUMBER($D38)),$B38="—",$B38=""),"—",IF(COUNTIFS(Bookings!$B$5:$B$304,$B38,Bookings!$F$5:$F$304,$D38)-COUNTIFS(Bookings!$B$5:$B$304,$B38,Bookings!$F$5:$F$304,$D38,Bookings!$D$5:$D$304,"Cancelled")-COUNTIFS(Bookings!$B$5:$B$304,$B38,Bookings!$F$5:$F$304,$D38,Bookings!$D$5:$D$304,"Owner block")&gt;0,"SAME-DAY TURN","No same-day guest"))</f>
        <v>—</v>
      </c>
      <c r="G38" s="38" t="str">
        <f>IFERROR(IF(INDEX(Bookings!$D$5:$D$304,MATCH($A38,Bookings!$A$5:$A$304,0))="Cancelled","—",IF(INDEX(Bookings!$I$5:$I$304,MATCH($A38,Bookings!$A$5:$A$304,0))="","—",INDEX(Bookings!$I$5:$I$304,MATCH($A38,Bookings!$A$5:$A$304,0)))),"—")</f>
        <v>—</v>
      </c>
      <c r="H38" s="38" t="str">
        <f>IFERROR(IF(INDEX(Setup!$I$25:$I$36,MATCH($B38,Setup!$A$25:$A$36,0))=0,"—",INDEX(Setup!$I$25:$I$36,MATCH($B38,Setup!$A$25:$A$36,0))),"—")</f>
        <v>—</v>
      </c>
      <c r="I38" s="21" t="str">
        <f>IFERROR(IF(INDEX(Setup!$E$25:$E$36,MATCH($B38,Setup!$A$25:$A$36,0))=0,"—",INDEX(Setup!$E$25:$E$36,MATCH($B38,Setup!$A$25:$A$36,0))),"—")</f>
        <v>—</v>
      </c>
      <c r="J38" s="8"/>
      <c r="K38" s="8"/>
      <c r="L38" s="8"/>
    </row>
    <row r="39" spans="1:12" x14ac:dyDescent="0.2">
      <c r="A39" s="30">
        <v>35</v>
      </c>
      <c r="B39" s="7" t="str">
        <f>IFERROR(IF(INDEX(Bookings!$D$5:$D$304,MATCH($A39,Bookings!$A$5:$A$304,0))="Cancelled","—",IF(INDEX(Bookings!$B$5:$B$304,MATCH($A39,Bookings!$A$5:$A$304,0))="","—",INDEX(Bookings!$B$5:$B$304,MATCH($A39,Bookings!$A$5:$A$304,0)))),"—")</f>
        <v>—</v>
      </c>
      <c r="C39" s="7" t="str">
        <f>IFERROR(IF(INDEX(Bookings!$D$5:$D$304,MATCH($A39,Bookings!$A$5:$A$304,0))="Cancelled","—",IF(INDEX(Bookings!$E$5:$E$304,MATCH($A39,Bookings!$A$5:$A$304,0))="","—",INDEX(Bookings!$E$5:$E$304,MATCH($A39,Bookings!$A$5:$A$304,0)))),"—")</f>
        <v>—</v>
      </c>
      <c r="D39" s="37" t="str">
        <f>IFERROR(IF(INDEX(Bookings!$D$5:$D$304,MATCH($A39,Bookings!$A$5:$A$304,0))="Cancelled","—",IF(INDEX(Bookings!$G$5:$G$304,MATCH($A39,Bookings!$A$5:$A$304,0))="","—",INDEX(Bookings!$G$5:$G$304,MATCH($A39,Bookings!$A$5:$A$304,0)))),"—")</f>
        <v>—</v>
      </c>
      <c r="E39" s="38" t="str">
        <f t="shared" ca="1" si="0"/>
        <v>—</v>
      </c>
      <c r="F39" s="39" t="str">
        <f>IF(OR(NOT(ISNUMBER($D39)),$B39="—",$B39=""),"—",IF(COUNTIFS(Bookings!$B$5:$B$304,$B39,Bookings!$F$5:$F$304,$D39)-COUNTIFS(Bookings!$B$5:$B$304,$B39,Bookings!$F$5:$F$304,$D39,Bookings!$D$5:$D$304,"Cancelled")-COUNTIFS(Bookings!$B$5:$B$304,$B39,Bookings!$F$5:$F$304,$D39,Bookings!$D$5:$D$304,"Owner block")&gt;0,"SAME-DAY TURN","No same-day guest"))</f>
        <v>—</v>
      </c>
      <c r="G39" s="38" t="str">
        <f>IFERROR(IF(INDEX(Bookings!$D$5:$D$304,MATCH($A39,Bookings!$A$5:$A$304,0))="Cancelled","—",IF(INDEX(Bookings!$I$5:$I$304,MATCH($A39,Bookings!$A$5:$A$304,0))="","—",INDEX(Bookings!$I$5:$I$304,MATCH($A39,Bookings!$A$5:$A$304,0)))),"—")</f>
        <v>—</v>
      </c>
      <c r="H39" s="38" t="str">
        <f>IFERROR(IF(INDEX(Setup!$I$25:$I$36,MATCH($B39,Setup!$A$25:$A$36,0))=0,"—",INDEX(Setup!$I$25:$I$36,MATCH($B39,Setup!$A$25:$A$36,0))),"—")</f>
        <v>—</v>
      </c>
      <c r="I39" s="21" t="str">
        <f>IFERROR(IF(INDEX(Setup!$E$25:$E$36,MATCH($B39,Setup!$A$25:$A$36,0))=0,"—",INDEX(Setup!$E$25:$E$36,MATCH($B39,Setup!$A$25:$A$36,0))),"—")</f>
        <v>—</v>
      </c>
      <c r="J39" s="3"/>
      <c r="K39" s="3"/>
      <c r="L39" s="3"/>
    </row>
    <row r="40" spans="1:12" x14ac:dyDescent="0.2">
      <c r="A40" s="30">
        <v>36</v>
      </c>
      <c r="B40" s="7" t="str">
        <f>IFERROR(IF(INDEX(Bookings!$D$5:$D$304,MATCH($A40,Bookings!$A$5:$A$304,0))="Cancelled","—",IF(INDEX(Bookings!$B$5:$B$304,MATCH($A40,Bookings!$A$5:$A$304,0))="","—",INDEX(Bookings!$B$5:$B$304,MATCH($A40,Bookings!$A$5:$A$304,0)))),"—")</f>
        <v>—</v>
      </c>
      <c r="C40" s="7" t="str">
        <f>IFERROR(IF(INDEX(Bookings!$D$5:$D$304,MATCH($A40,Bookings!$A$5:$A$304,0))="Cancelled","—",IF(INDEX(Bookings!$E$5:$E$304,MATCH($A40,Bookings!$A$5:$A$304,0))="","—",INDEX(Bookings!$E$5:$E$304,MATCH($A40,Bookings!$A$5:$A$304,0)))),"—")</f>
        <v>—</v>
      </c>
      <c r="D40" s="37" t="str">
        <f>IFERROR(IF(INDEX(Bookings!$D$5:$D$304,MATCH($A40,Bookings!$A$5:$A$304,0))="Cancelled","—",IF(INDEX(Bookings!$G$5:$G$304,MATCH($A40,Bookings!$A$5:$A$304,0))="","—",INDEX(Bookings!$G$5:$G$304,MATCH($A40,Bookings!$A$5:$A$304,0)))),"—")</f>
        <v>—</v>
      </c>
      <c r="E40" s="38" t="str">
        <f t="shared" ca="1" si="0"/>
        <v>—</v>
      </c>
      <c r="F40" s="39" t="str">
        <f>IF(OR(NOT(ISNUMBER($D40)),$B40="—",$B40=""),"—",IF(COUNTIFS(Bookings!$B$5:$B$304,$B40,Bookings!$F$5:$F$304,$D40)-COUNTIFS(Bookings!$B$5:$B$304,$B40,Bookings!$F$5:$F$304,$D40,Bookings!$D$5:$D$304,"Cancelled")-COUNTIFS(Bookings!$B$5:$B$304,$B40,Bookings!$F$5:$F$304,$D40,Bookings!$D$5:$D$304,"Owner block")&gt;0,"SAME-DAY TURN","No same-day guest"))</f>
        <v>—</v>
      </c>
      <c r="G40" s="38" t="str">
        <f>IFERROR(IF(INDEX(Bookings!$D$5:$D$304,MATCH($A40,Bookings!$A$5:$A$304,0))="Cancelled","—",IF(INDEX(Bookings!$I$5:$I$304,MATCH($A40,Bookings!$A$5:$A$304,0))="","—",INDEX(Bookings!$I$5:$I$304,MATCH($A40,Bookings!$A$5:$A$304,0)))),"—")</f>
        <v>—</v>
      </c>
      <c r="H40" s="38" t="str">
        <f>IFERROR(IF(INDEX(Setup!$I$25:$I$36,MATCH($B40,Setup!$A$25:$A$36,0))=0,"—",INDEX(Setup!$I$25:$I$36,MATCH($B40,Setup!$A$25:$A$36,0))),"—")</f>
        <v>—</v>
      </c>
      <c r="I40" s="21" t="str">
        <f>IFERROR(IF(INDEX(Setup!$E$25:$E$36,MATCH($B40,Setup!$A$25:$A$36,0))=0,"—",INDEX(Setup!$E$25:$E$36,MATCH($B40,Setup!$A$25:$A$36,0))),"—")</f>
        <v>—</v>
      </c>
      <c r="J40" s="8"/>
      <c r="K40" s="8"/>
      <c r="L40" s="8"/>
    </row>
    <row r="41" spans="1:12" x14ac:dyDescent="0.2">
      <c r="A41" s="30">
        <v>37</v>
      </c>
      <c r="B41" s="7" t="str">
        <f>IFERROR(IF(INDEX(Bookings!$D$5:$D$304,MATCH($A41,Bookings!$A$5:$A$304,0))="Cancelled","—",IF(INDEX(Bookings!$B$5:$B$304,MATCH($A41,Bookings!$A$5:$A$304,0))="","—",INDEX(Bookings!$B$5:$B$304,MATCH($A41,Bookings!$A$5:$A$304,0)))),"—")</f>
        <v>—</v>
      </c>
      <c r="C41" s="7" t="str">
        <f>IFERROR(IF(INDEX(Bookings!$D$5:$D$304,MATCH($A41,Bookings!$A$5:$A$304,0))="Cancelled","—",IF(INDEX(Bookings!$E$5:$E$304,MATCH($A41,Bookings!$A$5:$A$304,0))="","—",INDEX(Bookings!$E$5:$E$304,MATCH($A41,Bookings!$A$5:$A$304,0)))),"—")</f>
        <v>—</v>
      </c>
      <c r="D41" s="37" t="str">
        <f>IFERROR(IF(INDEX(Bookings!$D$5:$D$304,MATCH($A41,Bookings!$A$5:$A$304,0))="Cancelled","—",IF(INDEX(Bookings!$G$5:$G$304,MATCH($A41,Bookings!$A$5:$A$304,0))="","—",INDEX(Bookings!$G$5:$G$304,MATCH($A41,Bookings!$A$5:$A$304,0)))),"—")</f>
        <v>—</v>
      </c>
      <c r="E41" s="38" t="str">
        <f t="shared" ca="1" si="0"/>
        <v>—</v>
      </c>
      <c r="F41" s="39" t="str">
        <f>IF(OR(NOT(ISNUMBER($D41)),$B41="—",$B41=""),"—",IF(COUNTIFS(Bookings!$B$5:$B$304,$B41,Bookings!$F$5:$F$304,$D41)-COUNTIFS(Bookings!$B$5:$B$304,$B41,Bookings!$F$5:$F$304,$D41,Bookings!$D$5:$D$304,"Cancelled")-COUNTIFS(Bookings!$B$5:$B$304,$B41,Bookings!$F$5:$F$304,$D41,Bookings!$D$5:$D$304,"Owner block")&gt;0,"SAME-DAY TURN","No same-day guest"))</f>
        <v>—</v>
      </c>
      <c r="G41" s="38" t="str">
        <f>IFERROR(IF(INDEX(Bookings!$D$5:$D$304,MATCH($A41,Bookings!$A$5:$A$304,0))="Cancelled","—",IF(INDEX(Bookings!$I$5:$I$304,MATCH($A41,Bookings!$A$5:$A$304,0))="","—",INDEX(Bookings!$I$5:$I$304,MATCH($A41,Bookings!$A$5:$A$304,0)))),"—")</f>
        <v>—</v>
      </c>
      <c r="H41" s="38" t="str">
        <f>IFERROR(IF(INDEX(Setup!$I$25:$I$36,MATCH($B41,Setup!$A$25:$A$36,0))=0,"—",INDEX(Setup!$I$25:$I$36,MATCH($B41,Setup!$A$25:$A$36,0))),"—")</f>
        <v>—</v>
      </c>
      <c r="I41" s="21" t="str">
        <f>IFERROR(IF(INDEX(Setup!$E$25:$E$36,MATCH($B41,Setup!$A$25:$A$36,0))=0,"—",INDEX(Setup!$E$25:$E$36,MATCH($B41,Setup!$A$25:$A$36,0))),"—")</f>
        <v>—</v>
      </c>
      <c r="J41" s="3"/>
      <c r="K41" s="3"/>
      <c r="L41" s="3"/>
    </row>
    <row r="42" spans="1:12" x14ac:dyDescent="0.2">
      <c r="A42" s="30">
        <v>38</v>
      </c>
      <c r="B42" s="7" t="str">
        <f>IFERROR(IF(INDEX(Bookings!$D$5:$D$304,MATCH($A42,Bookings!$A$5:$A$304,0))="Cancelled","—",IF(INDEX(Bookings!$B$5:$B$304,MATCH($A42,Bookings!$A$5:$A$304,0))="","—",INDEX(Bookings!$B$5:$B$304,MATCH($A42,Bookings!$A$5:$A$304,0)))),"—")</f>
        <v>—</v>
      </c>
      <c r="C42" s="7" t="str">
        <f>IFERROR(IF(INDEX(Bookings!$D$5:$D$304,MATCH($A42,Bookings!$A$5:$A$304,0))="Cancelled","—",IF(INDEX(Bookings!$E$5:$E$304,MATCH($A42,Bookings!$A$5:$A$304,0))="","—",INDEX(Bookings!$E$5:$E$304,MATCH($A42,Bookings!$A$5:$A$304,0)))),"—")</f>
        <v>—</v>
      </c>
      <c r="D42" s="37" t="str">
        <f>IFERROR(IF(INDEX(Bookings!$D$5:$D$304,MATCH($A42,Bookings!$A$5:$A$304,0))="Cancelled","—",IF(INDEX(Bookings!$G$5:$G$304,MATCH($A42,Bookings!$A$5:$A$304,0))="","—",INDEX(Bookings!$G$5:$G$304,MATCH($A42,Bookings!$A$5:$A$304,0)))),"—")</f>
        <v>—</v>
      </c>
      <c r="E42" s="38" t="str">
        <f t="shared" ca="1" si="0"/>
        <v>—</v>
      </c>
      <c r="F42" s="39" t="str">
        <f>IF(OR(NOT(ISNUMBER($D42)),$B42="—",$B42=""),"—",IF(COUNTIFS(Bookings!$B$5:$B$304,$B42,Bookings!$F$5:$F$304,$D42)-COUNTIFS(Bookings!$B$5:$B$304,$B42,Bookings!$F$5:$F$304,$D42,Bookings!$D$5:$D$304,"Cancelled")-COUNTIFS(Bookings!$B$5:$B$304,$B42,Bookings!$F$5:$F$304,$D42,Bookings!$D$5:$D$304,"Owner block")&gt;0,"SAME-DAY TURN","No same-day guest"))</f>
        <v>—</v>
      </c>
      <c r="G42" s="38" t="str">
        <f>IFERROR(IF(INDEX(Bookings!$D$5:$D$304,MATCH($A42,Bookings!$A$5:$A$304,0))="Cancelled","—",IF(INDEX(Bookings!$I$5:$I$304,MATCH($A42,Bookings!$A$5:$A$304,0))="","—",INDEX(Bookings!$I$5:$I$304,MATCH($A42,Bookings!$A$5:$A$304,0)))),"—")</f>
        <v>—</v>
      </c>
      <c r="H42" s="38" t="str">
        <f>IFERROR(IF(INDEX(Setup!$I$25:$I$36,MATCH($B42,Setup!$A$25:$A$36,0))=0,"—",INDEX(Setup!$I$25:$I$36,MATCH($B42,Setup!$A$25:$A$36,0))),"—")</f>
        <v>—</v>
      </c>
      <c r="I42" s="21" t="str">
        <f>IFERROR(IF(INDEX(Setup!$E$25:$E$36,MATCH($B42,Setup!$A$25:$A$36,0))=0,"—",INDEX(Setup!$E$25:$E$36,MATCH($B42,Setup!$A$25:$A$36,0))),"—")</f>
        <v>—</v>
      </c>
      <c r="J42" s="8"/>
      <c r="K42" s="8"/>
      <c r="L42" s="8"/>
    </row>
    <row r="43" spans="1:12" x14ac:dyDescent="0.2">
      <c r="A43" s="30">
        <v>39</v>
      </c>
      <c r="B43" s="7" t="str">
        <f>IFERROR(IF(INDEX(Bookings!$D$5:$D$304,MATCH($A43,Bookings!$A$5:$A$304,0))="Cancelled","—",IF(INDEX(Bookings!$B$5:$B$304,MATCH($A43,Bookings!$A$5:$A$304,0))="","—",INDEX(Bookings!$B$5:$B$304,MATCH($A43,Bookings!$A$5:$A$304,0)))),"—")</f>
        <v>—</v>
      </c>
      <c r="C43" s="7" t="str">
        <f>IFERROR(IF(INDEX(Bookings!$D$5:$D$304,MATCH($A43,Bookings!$A$5:$A$304,0))="Cancelled","—",IF(INDEX(Bookings!$E$5:$E$304,MATCH($A43,Bookings!$A$5:$A$304,0))="","—",INDEX(Bookings!$E$5:$E$304,MATCH($A43,Bookings!$A$5:$A$304,0)))),"—")</f>
        <v>—</v>
      </c>
      <c r="D43" s="37" t="str">
        <f>IFERROR(IF(INDEX(Bookings!$D$5:$D$304,MATCH($A43,Bookings!$A$5:$A$304,0))="Cancelled","—",IF(INDEX(Bookings!$G$5:$G$304,MATCH($A43,Bookings!$A$5:$A$304,0))="","—",INDEX(Bookings!$G$5:$G$304,MATCH($A43,Bookings!$A$5:$A$304,0)))),"—")</f>
        <v>—</v>
      </c>
      <c r="E43" s="38" t="str">
        <f t="shared" ca="1" si="0"/>
        <v>—</v>
      </c>
      <c r="F43" s="39" t="str">
        <f>IF(OR(NOT(ISNUMBER($D43)),$B43="—",$B43=""),"—",IF(COUNTIFS(Bookings!$B$5:$B$304,$B43,Bookings!$F$5:$F$304,$D43)-COUNTIFS(Bookings!$B$5:$B$304,$B43,Bookings!$F$5:$F$304,$D43,Bookings!$D$5:$D$304,"Cancelled")-COUNTIFS(Bookings!$B$5:$B$304,$B43,Bookings!$F$5:$F$304,$D43,Bookings!$D$5:$D$304,"Owner block")&gt;0,"SAME-DAY TURN","No same-day guest"))</f>
        <v>—</v>
      </c>
      <c r="G43" s="38" t="str">
        <f>IFERROR(IF(INDEX(Bookings!$D$5:$D$304,MATCH($A43,Bookings!$A$5:$A$304,0))="Cancelled","—",IF(INDEX(Bookings!$I$5:$I$304,MATCH($A43,Bookings!$A$5:$A$304,0))="","—",INDEX(Bookings!$I$5:$I$304,MATCH($A43,Bookings!$A$5:$A$304,0)))),"—")</f>
        <v>—</v>
      </c>
      <c r="H43" s="38" t="str">
        <f>IFERROR(IF(INDEX(Setup!$I$25:$I$36,MATCH($B43,Setup!$A$25:$A$36,0))=0,"—",INDEX(Setup!$I$25:$I$36,MATCH($B43,Setup!$A$25:$A$36,0))),"—")</f>
        <v>—</v>
      </c>
      <c r="I43" s="21" t="str">
        <f>IFERROR(IF(INDEX(Setup!$E$25:$E$36,MATCH($B43,Setup!$A$25:$A$36,0))=0,"—",INDEX(Setup!$E$25:$E$36,MATCH($B43,Setup!$A$25:$A$36,0))),"—")</f>
        <v>—</v>
      </c>
      <c r="J43" s="3"/>
      <c r="K43" s="3"/>
      <c r="L43" s="3"/>
    </row>
    <row r="44" spans="1:12" x14ac:dyDescent="0.2">
      <c r="A44" s="30">
        <v>40</v>
      </c>
      <c r="B44" s="7" t="str">
        <f>IFERROR(IF(INDEX(Bookings!$D$5:$D$304,MATCH($A44,Bookings!$A$5:$A$304,0))="Cancelled","—",IF(INDEX(Bookings!$B$5:$B$304,MATCH($A44,Bookings!$A$5:$A$304,0))="","—",INDEX(Bookings!$B$5:$B$304,MATCH($A44,Bookings!$A$5:$A$304,0)))),"—")</f>
        <v>—</v>
      </c>
      <c r="C44" s="7" t="str">
        <f>IFERROR(IF(INDEX(Bookings!$D$5:$D$304,MATCH($A44,Bookings!$A$5:$A$304,0))="Cancelled","—",IF(INDEX(Bookings!$E$5:$E$304,MATCH($A44,Bookings!$A$5:$A$304,0))="","—",INDEX(Bookings!$E$5:$E$304,MATCH($A44,Bookings!$A$5:$A$304,0)))),"—")</f>
        <v>—</v>
      </c>
      <c r="D44" s="37" t="str">
        <f>IFERROR(IF(INDEX(Bookings!$D$5:$D$304,MATCH($A44,Bookings!$A$5:$A$304,0))="Cancelled","—",IF(INDEX(Bookings!$G$5:$G$304,MATCH($A44,Bookings!$A$5:$A$304,0))="","—",INDEX(Bookings!$G$5:$G$304,MATCH($A44,Bookings!$A$5:$A$304,0)))),"—")</f>
        <v>—</v>
      </c>
      <c r="E44" s="38" t="str">
        <f t="shared" ca="1" si="0"/>
        <v>—</v>
      </c>
      <c r="F44" s="39" t="str">
        <f>IF(OR(NOT(ISNUMBER($D44)),$B44="—",$B44=""),"—",IF(COUNTIFS(Bookings!$B$5:$B$304,$B44,Bookings!$F$5:$F$304,$D44)-COUNTIFS(Bookings!$B$5:$B$304,$B44,Bookings!$F$5:$F$304,$D44,Bookings!$D$5:$D$304,"Cancelled")-COUNTIFS(Bookings!$B$5:$B$304,$B44,Bookings!$F$5:$F$304,$D44,Bookings!$D$5:$D$304,"Owner block")&gt;0,"SAME-DAY TURN","No same-day guest"))</f>
        <v>—</v>
      </c>
      <c r="G44" s="38" t="str">
        <f>IFERROR(IF(INDEX(Bookings!$D$5:$D$304,MATCH($A44,Bookings!$A$5:$A$304,0))="Cancelled","—",IF(INDEX(Bookings!$I$5:$I$304,MATCH($A44,Bookings!$A$5:$A$304,0))="","—",INDEX(Bookings!$I$5:$I$304,MATCH($A44,Bookings!$A$5:$A$304,0)))),"—")</f>
        <v>—</v>
      </c>
      <c r="H44" s="38" t="str">
        <f>IFERROR(IF(INDEX(Setup!$I$25:$I$36,MATCH($B44,Setup!$A$25:$A$36,0))=0,"—",INDEX(Setup!$I$25:$I$36,MATCH($B44,Setup!$A$25:$A$36,0))),"—")</f>
        <v>—</v>
      </c>
      <c r="I44" s="21" t="str">
        <f>IFERROR(IF(INDEX(Setup!$E$25:$E$36,MATCH($B44,Setup!$A$25:$A$36,0))=0,"—",INDEX(Setup!$E$25:$E$36,MATCH($B44,Setup!$A$25:$A$36,0))),"—")</f>
        <v>—</v>
      </c>
      <c r="J44" s="8"/>
      <c r="K44" s="8"/>
      <c r="L44" s="8"/>
    </row>
    <row r="45" spans="1:12" x14ac:dyDescent="0.2">
      <c r="A45" s="30">
        <v>41</v>
      </c>
      <c r="B45" s="7" t="str">
        <f>IFERROR(IF(INDEX(Bookings!$D$5:$D$304,MATCH($A45,Bookings!$A$5:$A$304,0))="Cancelled","—",IF(INDEX(Bookings!$B$5:$B$304,MATCH($A45,Bookings!$A$5:$A$304,0))="","—",INDEX(Bookings!$B$5:$B$304,MATCH($A45,Bookings!$A$5:$A$304,0)))),"—")</f>
        <v>—</v>
      </c>
      <c r="C45" s="7" t="str">
        <f>IFERROR(IF(INDEX(Bookings!$D$5:$D$304,MATCH($A45,Bookings!$A$5:$A$304,0))="Cancelled","—",IF(INDEX(Bookings!$E$5:$E$304,MATCH($A45,Bookings!$A$5:$A$304,0))="","—",INDEX(Bookings!$E$5:$E$304,MATCH($A45,Bookings!$A$5:$A$304,0)))),"—")</f>
        <v>—</v>
      </c>
      <c r="D45" s="37" t="str">
        <f>IFERROR(IF(INDEX(Bookings!$D$5:$D$304,MATCH($A45,Bookings!$A$5:$A$304,0))="Cancelled","—",IF(INDEX(Bookings!$G$5:$G$304,MATCH($A45,Bookings!$A$5:$A$304,0))="","—",INDEX(Bookings!$G$5:$G$304,MATCH($A45,Bookings!$A$5:$A$304,0)))),"—")</f>
        <v>—</v>
      </c>
      <c r="E45" s="38" t="str">
        <f t="shared" ca="1" si="0"/>
        <v>—</v>
      </c>
      <c r="F45" s="39" t="str">
        <f>IF(OR(NOT(ISNUMBER($D45)),$B45="—",$B45=""),"—",IF(COUNTIFS(Bookings!$B$5:$B$304,$B45,Bookings!$F$5:$F$304,$D45)-COUNTIFS(Bookings!$B$5:$B$304,$B45,Bookings!$F$5:$F$304,$D45,Bookings!$D$5:$D$304,"Cancelled")-COUNTIFS(Bookings!$B$5:$B$304,$B45,Bookings!$F$5:$F$304,$D45,Bookings!$D$5:$D$304,"Owner block")&gt;0,"SAME-DAY TURN","No same-day guest"))</f>
        <v>—</v>
      </c>
      <c r="G45" s="38" t="str">
        <f>IFERROR(IF(INDEX(Bookings!$D$5:$D$304,MATCH($A45,Bookings!$A$5:$A$304,0))="Cancelled","—",IF(INDEX(Bookings!$I$5:$I$304,MATCH($A45,Bookings!$A$5:$A$304,0))="","—",INDEX(Bookings!$I$5:$I$304,MATCH($A45,Bookings!$A$5:$A$304,0)))),"—")</f>
        <v>—</v>
      </c>
      <c r="H45" s="38" t="str">
        <f>IFERROR(IF(INDEX(Setup!$I$25:$I$36,MATCH($B45,Setup!$A$25:$A$36,0))=0,"—",INDEX(Setup!$I$25:$I$36,MATCH($B45,Setup!$A$25:$A$36,0))),"—")</f>
        <v>—</v>
      </c>
      <c r="I45" s="21" t="str">
        <f>IFERROR(IF(INDEX(Setup!$E$25:$E$36,MATCH($B45,Setup!$A$25:$A$36,0))=0,"—",INDEX(Setup!$E$25:$E$36,MATCH($B45,Setup!$A$25:$A$36,0))),"—")</f>
        <v>—</v>
      </c>
      <c r="J45" s="3"/>
      <c r="K45" s="3"/>
      <c r="L45" s="3"/>
    </row>
    <row r="46" spans="1:12" x14ac:dyDescent="0.2">
      <c r="A46" s="30">
        <v>42</v>
      </c>
      <c r="B46" s="7" t="str">
        <f>IFERROR(IF(INDEX(Bookings!$D$5:$D$304,MATCH($A46,Bookings!$A$5:$A$304,0))="Cancelled","—",IF(INDEX(Bookings!$B$5:$B$304,MATCH($A46,Bookings!$A$5:$A$304,0))="","—",INDEX(Bookings!$B$5:$B$304,MATCH($A46,Bookings!$A$5:$A$304,0)))),"—")</f>
        <v>—</v>
      </c>
      <c r="C46" s="7" t="str">
        <f>IFERROR(IF(INDEX(Bookings!$D$5:$D$304,MATCH($A46,Bookings!$A$5:$A$304,0))="Cancelled","—",IF(INDEX(Bookings!$E$5:$E$304,MATCH($A46,Bookings!$A$5:$A$304,0))="","—",INDEX(Bookings!$E$5:$E$304,MATCH($A46,Bookings!$A$5:$A$304,0)))),"—")</f>
        <v>—</v>
      </c>
      <c r="D46" s="37" t="str">
        <f>IFERROR(IF(INDEX(Bookings!$D$5:$D$304,MATCH($A46,Bookings!$A$5:$A$304,0))="Cancelled","—",IF(INDEX(Bookings!$G$5:$G$304,MATCH($A46,Bookings!$A$5:$A$304,0))="","—",INDEX(Bookings!$G$5:$G$304,MATCH($A46,Bookings!$A$5:$A$304,0)))),"—")</f>
        <v>—</v>
      </c>
      <c r="E46" s="38" t="str">
        <f t="shared" ca="1" si="0"/>
        <v>—</v>
      </c>
      <c r="F46" s="39" t="str">
        <f>IF(OR(NOT(ISNUMBER($D46)),$B46="—",$B46=""),"—",IF(COUNTIFS(Bookings!$B$5:$B$304,$B46,Bookings!$F$5:$F$304,$D46)-COUNTIFS(Bookings!$B$5:$B$304,$B46,Bookings!$F$5:$F$304,$D46,Bookings!$D$5:$D$304,"Cancelled")-COUNTIFS(Bookings!$B$5:$B$304,$B46,Bookings!$F$5:$F$304,$D46,Bookings!$D$5:$D$304,"Owner block")&gt;0,"SAME-DAY TURN","No same-day guest"))</f>
        <v>—</v>
      </c>
      <c r="G46" s="38" t="str">
        <f>IFERROR(IF(INDEX(Bookings!$D$5:$D$304,MATCH($A46,Bookings!$A$5:$A$304,0))="Cancelled","—",IF(INDEX(Bookings!$I$5:$I$304,MATCH($A46,Bookings!$A$5:$A$304,0))="","—",INDEX(Bookings!$I$5:$I$304,MATCH($A46,Bookings!$A$5:$A$304,0)))),"—")</f>
        <v>—</v>
      </c>
      <c r="H46" s="38" t="str">
        <f>IFERROR(IF(INDEX(Setup!$I$25:$I$36,MATCH($B46,Setup!$A$25:$A$36,0))=0,"—",INDEX(Setup!$I$25:$I$36,MATCH($B46,Setup!$A$25:$A$36,0))),"—")</f>
        <v>—</v>
      </c>
      <c r="I46" s="21" t="str">
        <f>IFERROR(IF(INDEX(Setup!$E$25:$E$36,MATCH($B46,Setup!$A$25:$A$36,0))=0,"—",INDEX(Setup!$E$25:$E$36,MATCH($B46,Setup!$A$25:$A$36,0))),"—")</f>
        <v>—</v>
      </c>
      <c r="J46" s="8"/>
      <c r="K46" s="8"/>
      <c r="L46" s="8"/>
    </row>
    <row r="47" spans="1:12" x14ac:dyDescent="0.2">
      <c r="A47" s="30">
        <v>43</v>
      </c>
      <c r="B47" s="7" t="str">
        <f>IFERROR(IF(INDEX(Bookings!$D$5:$D$304,MATCH($A47,Bookings!$A$5:$A$304,0))="Cancelled","—",IF(INDEX(Bookings!$B$5:$B$304,MATCH($A47,Bookings!$A$5:$A$304,0))="","—",INDEX(Bookings!$B$5:$B$304,MATCH($A47,Bookings!$A$5:$A$304,0)))),"—")</f>
        <v>—</v>
      </c>
      <c r="C47" s="7" t="str">
        <f>IFERROR(IF(INDEX(Bookings!$D$5:$D$304,MATCH($A47,Bookings!$A$5:$A$304,0))="Cancelled","—",IF(INDEX(Bookings!$E$5:$E$304,MATCH($A47,Bookings!$A$5:$A$304,0))="","—",INDEX(Bookings!$E$5:$E$304,MATCH($A47,Bookings!$A$5:$A$304,0)))),"—")</f>
        <v>—</v>
      </c>
      <c r="D47" s="37" t="str">
        <f>IFERROR(IF(INDEX(Bookings!$D$5:$D$304,MATCH($A47,Bookings!$A$5:$A$304,0))="Cancelled","—",IF(INDEX(Bookings!$G$5:$G$304,MATCH($A47,Bookings!$A$5:$A$304,0))="","—",INDEX(Bookings!$G$5:$G$304,MATCH($A47,Bookings!$A$5:$A$304,0)))),"—")</f>
        <v>—</v>
      </c>
      <c r="E47" s="38" t="str">
        <f t="shared" ca="1" si="0"/>
        <v>—</v>
      </c>
      <c r="F47" s="39" t="str">
        <f>IF(OR(NOT(ISNUMBER($D47)),$B47="—",$B47=""),"—",IF(COUNTIFS(Bookings!$B$5:$B$304,$B47,Bookings!$F$5:$F$304,$D47)-COUNTIFS(Bookings!$B$5:$B$304,$B47,Bookings!$F$5:$F$304,$D47,Bookings!$D$5:$D$304,"Cancelled")-COUNTIFS(Bookings!$B$5:$B$304,$B47,Bookings!$F$5:$F$304,$D47,Bookings!$D$5:$D$304,"Owner block")&gt;0,"SAME-DAY TURN","No same-day guest"))</f>
        <v>—</v>
      </c>
      <c r="G47" s="38" t="str">
        <f>IFERROR(IF(INDEX(Bookings!$D$5:$D$304,MATCH($A47,Bookings!$A$5:$A$304,0))="Cancelled","—",IF(INDEX(Bookings!$I$5:$I$304,MATCH($A47,Bookings!$A$5:$A$304,0))="","—",INDEX(Bookings!$I$5:$I$304,MATCH($A47,Bookings!$A$5:$A$304,0)))),"—")</f>
        <v>—</v>
      </c>
      <c r="H47" s="38" t="str">
        <f>IFERROR(IF(INDEX(Setup!$I$25:$I$36,MATCH($B47,Setup!$A$25:$A$36,0))=0,"—",INDEX(Setup!$I$25:$I$36,MATCH($B47,Setup!$A$25:$A$36,0))),"—")</f>
        <v>—</v>
      </c>
      <c r="I47" s="21" t="str">
        <f>IFERROR(IF(INDEX(Setup!$E$25:$E$36,MATCH($B47,Setup!$A$25:$A$36,0))=0,"—",INDEX(Setup!$E$25:$E$36,MATCH($B47,Setup!$A$25:$A$36,0))),"—")</f>
        <v>—</v>
      </c>
      <c r="J47" s="3"/>
      <c r="K47" s="3"/>
      <c r="L47" s="3"/>
    </row>
    <row r="48" spans="1:12" x14ac:dyDescent="0.2">
      <c r="A48" s="30">
        <v>44</v>
      </c>
      <c r="B48" s="7" t="str">
        <f>IFERROR(IF(INDEX(Bookings!$D$5:$D$304,MATCH($A48,Bookings!$A$5:$A$304,0))="Cancelled","—",IF(INDEX(Bookings!$B$5:$B$304,MATCH($A48,Bookings!$A$5:$A$304,0))="","—",INDEX(Bookings!$B$5:$B$304,MATCH($A48,Bookings!$A$5:$A$304,0)))),"—")</f>
        <v>—</v>
      </c>
      <c r="C48" s="7" t="str">
        <f>IFERROR(IF(INDEX(Bookings!$D$5:$D$304,MATCH($A48,Bookings!$A$5:$A$304,0))="Cancelled","—",IF(INDEX(Bookings!$E$5:$E$304,MATCH($A48,Bookings!$A$5:$A$304,0))="","—",INDEX(Bookings!$E$5:$E$304,MATCH($A48,Bookings!$A$5:$A$304,0)))),"—")</f>
        <v>—</v>
      </c>
      <c r="D48" s="37" t="str">
        <f>IFERROR(IF(INDEX(Bookings!$D$5:$D$304,MATCH($A48,Bookings!$A$5:$A$304,0))="Cancelled","—",IF(INDEX(Bookings!$G$5:$G$304,MATCH($A48,Bookings!$A$5:$A$304,0))="","—",INDEX(Bookings!$G$5:$G$304,MATCH($A48,Bookings!$A$5:$A$304,0)))),"—")</f>
        <v>—</v>
      </c>
      <c r="E48" s="38" t="str">
        <f t="shared" ca="1" si="0"/>
        <v>—</v>
      </c>
      <c r="F48" s="39" t="str">
        <f>IF(OR(NOT(ISNUMBER($D48)),$B48="—",$B48=""),"—",IF(COUNTIFS(Bookings!$B$5:$B$304,$B48,Bookings!$F$5:$F$304,$D48)-COUNTIFS(Bookings!$B$5:$B$304,$B48,Bookings!$F$5:$F$304,$D48,Bookings!$D$5:$D$304,"Cancelled")-COUNTIFS(Bookings!$B$5:$B$304,$B48,Bookings!$F$5:$F$304,$D48,Bookings!$D$5:$D$304,"Owner block")&gt;0,"SAME-DAY TURN","No same-day guest"))</f>
        <v>—</v>
      </c>
      <c r="G48" s="38" t="str">
        <f>IFERROR(IF(INDEX(Bookings!$D$5:$D$304,MATCH($A48,Bookings!$A$5:$A$304,0))="Cancelled","—",IF(INDEX(Bookings!$I$5:$I$304,MATCH($A48,Bookings!$A$5:$A$304,0))="","—",INDEX(Bookings!$I$5:$I$304,MATCH($A48,Bookings!$A$5:$A$304,0)))),"—")</f>
        <v>—</v>
      </c>
      <c r="H48" s="38" t="str">
        <f>IFERROR(IF(INDEX(Setup!$I$25:$I$36,MATCH($B48,Setup!$A$25:$A$36,0))=0,"—",INDEX(Setup!$I$25:$I$36,MATCH($B48,Setup!$A$25:$A$36,0))),"—")</f>
        <v>—</v>
      </c>
      <c r="I48" s="21" t="str">
        <f>IFERROR(IF(INDEX(Setup!$E$25:$E$36,MATCH($B48,Setup!$A$25:$A$36,0))=0,"—",INDEX(Setup!$E$25:$E$36,MATCH($B48,Setup!$A$25:$A$36,0))),"—")</f>
        <v>—</v>
      </c>
      <c r="J48" s="8"/>
      <c r="K48" s="8"/>
      <c r="L48" s="8"/>
    </row>
    <row r="49" spans="1:12" x14ac:dyDescent="0.2">
      <c r="A49" s="30">
        <v>45</v>
      </c>
      <c r="B49" s="7" t="str">
        <f>IFERROR(IF(INDEX(Bookings!$D$5:$D$304,MATCH($A49,Bookings!$A$5:$A$304,0))="Cancelled","—",IF(INDEX(Bookings!$B$5:$B$304,MATCH($A49,Bookings!$A$5:$A$304,0))="","—",INDEX(Bookings!$B$5:$B$304,MATCH($A49,Bookings!$A$5:$A$304,0)))),"—")</f>
        <v>—</v>
      </c>
      <c r="C49" s="7" t="str">
        <f>IFERROR(IF(INDEX(Bookings!$D$5:$D$304,MATCH($A49,Bookings!$A$5:$A$304,0))="Cancelled","—",IF(INDEX(Bookings!$E$5:$E$304,MATCH($A49,Bookings!$A$5:$A$304,0))="","—",INDEX(Bookings!$E$5:$E$304,MATCH($A49,Bookings!$A$5:$A$304,0)))),"—")</f>
        <v>—</v>
      </c>
      <c r="D49" s="37" t="str">
        <f>IFERROR(IF(INDEX(Bookings!$D$5:$D$304,MATCH($A49,Bookings!$A$5:$A$304,0))="Cancelled","—",IF(INDEX(Bookings!$G$5:$G$304,MATCH($A49,Bookings!$A$5:$A$304,0))="","—",INDEX(Bookings!$G$5:$G$304,MATCH($A49,Bookings!$A$5:$A$304,0)))),"—")</f>
        <v>—</v>
      </c>
      <c r="E49" s="38" t="str">
        <f t="shared" ca="1" si="0"/>
        <v>—</v>
      </c>
      <c r="F49" s="39" t="str">
        <f>IF(OR(NOT(ISNUMBER($D49)),$B49="—",$B49=""),"—",IF(COUNTIFS(Bookings!$B$5:$B$304,$B49,Bookings!$F$5:$F$304,$D49)-COUNTIFS(Bookings!$B$5:$B$304,$B49,Bookings!$F$5:$F$304,$D49,Bookings!$D$5:$D$304,"Cancelled")-COUNTIFS(Bookings!$B$5:$B$304,$B49,Bookings!$F$5:$F$304,$D49,Bookings!$D$5:$D$304,"Owner block")&gt;0,"SAME-DAY TURN","No same-day guest"))</f>
        <v>—</v>
      </c>
      <c r="G49" s="38" t="str">
        <f>IFERROR(IF(INDEX(Bookings!$D$5:$D$304,MATCH($A49,Bookings!$A$5:$A$304,0))="Cancelled","—",IF(INDEX(Bookings!$I$5:$I$304,MATCH($A49,Bookings!$A$5:$A$304,0))="","—",INDEX(Bookings!$I$5:$I$304,MATCH($A49,Bookings!$A$5:$A$304,0)))),"—")</f>
        <v>—</v>
      </c>
      <c r="H49" s="38" t="str">
        <f>IFERROR(IF(INDEX(Setup!$I$25:$I$36,MATCH($B49,Setup!$A$25:$A$36,0))=0,"—",INDEX(Setup!$I$25:$I$36,MATCH($B49,Setup!$A$25:$A$36,0))),"—")</f>
        <v>—</v>
      </c>
      <c r="I49" s="21" t="str">
        <f>IFERROR(IF(INDEX(Setup!$E$25:$E$36,MATCH($B49,Setup!$A$25:$A$36,0))=0,"—",INDEX(Setup!$E$25:$E$36,MATCH($B49,Setup!$A$25:$A$36,0))),"—")</f>
        <v>—</v>
      </c>
      <c r="J49" s="3"/>
      <c r="K49" s="3"/>
      <c r="L49" s="3"/>
    </row>
    <row r="50" spans="1:12" x14ac:dyDescent="0.2">
      <c r="A50" s="30">
        <v>46</v>
      </c>
      <c r="B50" s="7" t="str">
        <f>IFERROR(IF(INDEX(Bookings!$D$5:$D$304,MATCH($A50,Bookings!$A$5:$A$304,0))="Cancelled","—",IF(INDEX(Bookings!$B$5:$B$304,MATCH($A50,Bookings!$A$5:$A$304,0))="","—",INDEX(Bookings!$B$5:$B$304,MATCH($A50,Bookings!$A$5:$A$304,0)))),"—")</f>
        <v>—</v>
      </c>
      <c r="C50" s="7" t="str">
        <f>IFERROR(IF(INDEX(Bookings!$D$5:$D$304,MATCH($A50,Bookings!$A$5:$A$304,0))="Cancelled","—",IF(INDEX(Bookings!$E$5:$E$304,MATCH($A50,Bookings!$A$5:$A$304,0))="","—",INDEX(Bookings!$E$5:$E$304,MATCH($A50,Bookings!$A$5:$A$304,0)))),"—")</f>
        <v>—</v>
      </c>
      <c r="D50" s="37" t="str">
        <f>IFERROR(IF(INDEX(Bookings!$D$5:$D$304,MATCH($A50,Bookings!$A$5:$A$304,0))="Cancelled","—",IF(INDEX(Bookings!$G$5:$G$304,MATCH($A50,Bookings!$A$5:$A$304,0))="","—",INDEX(Bookings!$G$5:$G$304,MATCH($A50,Bookings!$A$5:$A$304,0)))),"—")</f>
        <v>—</v>
      </c>
      <c r="E50" s="38" t="str">
        <f t="shared" ca="1" si="0"/>
        <v>—</v>
      </c>
      <c r="F50" s="39" t="str">
        <f>IF(OR(NOT(ISNUMBER($D50)),$B50="—",$B50=""),"—",IF(COUNTIFS(Bookings!$B$5:$B$304,$B50,Bookings!$F$5:$F$304,$D50)-COUNTIFS(Bookings!$B$5:$B$304,$B50,Bookings!$F$5:$F$304,$D50,Bookings!$D$5:$D$304,"Cancelled")-COUNTIFS(Bookings!$B$5:$B$304,$B50,Bookings!$F$5:$F$304,$D50,Bookings!$D$5:$D$304,"Owner block")&gt;0,"SAME-DAY TURN","No same-day guest"))</f>
        <v>—</v>
      </c>
      <c r="G50" s="38" t="str">
        <f>IFERROR(IF(INDEX(Bookings!$D$5:$D$304,MATCH($A50,Bookings!$A$5:$A$304,0))="Cancelled","—",IF(INDEX(Bookings!$I$5:$I$304,MATCH($A50,Bookings!$A$5:$A$304,0))="","—",INDEX(Bookings!$I$5:$I$304,MATCH($A50,Bookings!$A$5:$A$304,0)))),"—")</f>
        <v>—</v>
      </c>
      <c r="H50" s="38" t="str">
        <f>IFERROR(IF(INDEX(Setup!$I$25:$I$36,MATCH($B50,Setup!$A$25:$A$36,0))=0,"—",INDEX(Setup!$I$25:$I$36,MATCH($B50,Setup!$A$25:$A$36,0))),"—")</f>
        <v>—</v>
      </c>
      <c r="I50" s="21" t="str">
        <f>IFERROR(IF(INDEX(Setup!$E$25:$E$36,MATCH($B50,Setup!$A$25:$A$36,0))=0,"—",INDEX(Setup!$E$25:$E$36,MATCH($B50,Setup!$A$25:$A$36,0))),"—")</f>
        <v>—</v>
      </c>
      <c r="J50" s="8"/>
      <c r="K50" s="8"/>
      <c r="L50" s="8"/>
    </row>
    <row r="51" spans="1:12" x14ac:dyDescent="0.2">
      <c r="A51" s="30">
        <v>47</v>
      </c>
      <c r="B51" s="7" t="str">
        <f>IFERROR(IF(INDEX(Bookings!$D$5:$D$304,MATCH($A51,Bookings!$A$5:$A$304,0))="Cancelled","—",IF(INDEX(Bookings!$B$5:$B$304,MATCH($A51,Bookings!$A$5:$A$304,0))="","—",INDEX(Bookings!$B$5:$B$304,MATCH($A51,Bookings!$A$5:$A$304,0)))),"—")</f>
        <v>—</v>
      </c>
      <c r="C51" s="7" t="str">
        <f>IFERROR(IF(INDEX(Bookings!$D$5:$D$304,MATCH($A51,Bookings!$A$5:$A$304,0))="Cancelled","—",IF(INDEX(Bookings!$E$5:$E$304,MATCH($A51,Bookings!$A$5:$A$304,0))="","—",INDEX(Bookings!$E$5:$E$304,MATCH($A51,Bookings!$A$5:$A$304,0)))),"—")</f>
        <v>—</v>
      </c>
      <c r="D51" s="37" t="str">
        <f>IFERROR(IF(INDEX(Bookings!$D$5:$D$304,MATCH($A51,Bookings!$A$5:$A$304,0))="Cancelled","—",IF(INDEX(Bookings!$G$5:$G$304,MATCH($A51,Bookings!$A$5:$A$304,0))="","—",INDEX(Bookings!$G$5:$G$304,MATCH($A51,Bookings!$A$5:$A$304,0)))),"—")</f>
        <v>—</v>
      </c>
      <c r="E51" s="38" t="str">
        <f t="shared" ca="1" si="0"/>
        <v>—</v>
      </c>
      <c r="F51" s="39" t="str">
        <f>IF(OR(NOT(ISNUMBER($D51)),$B51="—",$B51=""),"—",IF(COUNTIFS(Bookings!$B$5:$B$304,$B51,Bookings!$F$5:$F$304,$D51)-COUNTIFS(Bookings!$B$5:$B$304,$B51,Bookings!$F$5:$F$304,$D51,Bookings!$D$5:$D$304,"Cancelled")-COUNTIFS(Bookings!$B$5:$B$304,$B51,Bookings!$F$5:$F$304,$D51,Bookings!$D$5:$D$304,"Owner block")&gt;0,"SAME-DAY TURN","No same-day guest"))</f>
        <v>—</v>
      </c>
      <c r="G51" s="38" t="str">
        <f>IFERROR(IF(INDEX(Bookings!$D$5:$D$304,MATCH($A51,Bookings!$A$5:$A$304,0))="Cancelled","—",IF(INDEX(Bookings!$I$5:$I$304,MATCH($A51,Bookings!$A$5:$A$304,0))="","—",INDEX(Bookings!$I$5:$I$304,MATCH($A51,Bookings!$A$5:$A$304,0)))),"—")</f>
        <v>—</v>
      </c>
      <c r="H51" s="38" t="str">
        <f>IFERROR(IF(INDEX(Setup!$I$25:$I$36,MATCH($B51,Setup!$A$25:$A$36,0))=0,"—",INDEX(Setup!$I$25:$I$36,MATCH($B51,Setup!$A$25:$A$36,0))),"—")</f>
        <v>—</v>
      </c>
      <c r="I51" s="21" t="str">
        <f>IFERROR(IF(INDEX(Setup!$E$25:$E$36,MATCH($B51,Setup!$A$25:$A$36,0))=0,"—",INDEX(Setup!$E$25:$E$36,MATCH($B51,Setup!$A$25:$A$36,0))),"—")</f>
        <v>—</v>
      </c>
      <c r="J51" s="3"/>
      <c r="K51" s="3"/>
      <c r="L51" s="3"/>
    </row>
    <row r="52" spans="1:12" x14ac:dyDescent="0.2">
      <c r="A52" s="30">
        <v>48</v>
      </c>
      <c r="B52" s="7" t="str">
        <f>IFERROR(IF(INDEX(Bookings!$D$5:$D$304,MATCH($A52,Bookings!$A$5:$A$304,0))="Cancelled","—",IF(INDEX(Bookings!$B$5:$B$304,MATCH($A52,Bookings!$A$5:$A$304,0))="","—",INDEX(Bookings!$B$5:$B$304,MATCH($A52,Bookings!$A$5:$A$304,0)))),"—")</f>
        <v>—</v>
      </c>
      <c r="C52" s="7" t="str">
        <f>IFERROR(IF(INDEX(Bookings!$D$5:$D$304,MATCH($A52,Bookings!$A$5:$A$304,0))="Cancelled","—",IF(INDEX(Bookings!$E$5:$E$304,MATCH($A52,Bookings!$A$5:$A$304,0))="","—",INDEX(Bookings!$E$5:$E$304,MATCH($A52,Bookings!$A$5:$A$304,0)))),"—")</f>
        <v>—</v>
      </c>
      <c r="D52" s="37" t="str">
        <f>IFERROR(IF(INDEX(Bookings!$D$5:$D$304,MATCH($A52,Bookings!$A$5:$A$304,0))="Cancelled","—",IF(INDEX(Bookings!$G$5:$G$304,MATCH($A52,Bookings!$A$5:$A$304,0))="","—",INDEX(Bookings!$G$5:$G$304,MATCH($A52,Bookings!$A$5:$A$304,0)))),"—")</f>
        <v>—</v>
      </c>
      <c r="E52" s="38" t="str">
        <f t="shared" ca="1" si="0"/>
        <v>—</v>
      </c>
      <c r="F52" s="39" t="str">
        <f>IF(OR(NOT(ISNUMBER($D52)),$B52="—",$B52=""),"—",IF(COUNTIFS(Bookings!$B$5:$B$304,$B52,Bookings!$F$5:$F$304,$D52)-COUNTIFS(Bookings!$B$5:$B$304,$B52,Bookings!$F$5:$F$304,$D52,Bookings!$D$5:$D$304,"Cancelled")-COUNTIFS(Bookings!$B$5:$B$304,$B52,Bookings!$F$5:$F$304,$D52,Bookings!$D$5:$D$304,"Owner block")&gt;0,"SAME-DAY TURN","No same-day guest"))</f>
        <v>—</v>
      </c>
      <c r="G52" s="38" t="str">
        <f>IFERROR(IF(INDEX(Bookings!$D$5:$D$304,MATCH($A52,Bookings!$A$5:$A$304,0))="Cancelled","—",IF(INDEX(Bookings!$I$5:$I$304,MATCH($A52,Bookings!$A$5:$A$304,0))="","—",INDEX(Bookings!$I$5:$I$304,MATCH($A52,Bookings!$A$5:$A$304,0)))),"—")</f>
        <v>—</v>
      </c>
      <c r="H52" s="38" t="str">
        <f>IFERROR(IF(INDEX(Setup!$I$25:$I$36,MATCH($B52,Setup!$A$25:$A$36,0))=0,"—",INDEX(Setup!$I$25:$I$36,MATCH($B52,Setup!$A$25:$A$36,0))),"—")</f>
        <v>—</v>
      </c>
      <c r="I52" s="21" t="str">
        <f>IFERROR(IF(INDEX(Setup!$E$25:$E$36,MATCH($B52,Setup!$A$25:$A$36,0))=0,"—",INDEX(Setup!$E$25:$E$36,MATCH($B52,Setup!$A$25:$A$36,0))),"—")</f>
        <v>—</v>
      </c>
      <c r="J52" s="8"/>
      <c r="K52" s="8"/>
      <c r="L52" s="8"/>
    </row>
    <row r="53" spans="1:12" x14ac:dyDescent="0.2">
      <c r="A53" s="30">
        <v>49</v>
      </c>
      <c r="B53" s="7" t="str">
        <f>IFERROR(IF(INDEX(Bookings!$D$5:$D$304,MATCH($A53,Bookings!$A$5:$A$304,0))="Cancelled","—",IF(INDEX(Bookings!$B$5:$B$304,MATCH($A53,Bookings!$A$5:$A$304,0))="","—",INDEX(Bookings!$B$5:$B$304,MATCH($A53,Bookings!$A$5:$A$304,0)))),"—")</f>
        <v>—</v>
      </c>
      <c r="C53" s="7" t="str">
        <f>IFERROR(IF(INDEX(Bookings!$D$5:$D$304,MATCH($A53,Bookings!$A$5:$A$304,0))="Cancelled","—",IF(INDEX(Bookings!$E$5:$E$304,MATCH($A53,Bookings!$A$5:$A$304,0))="","—",INDEX(Bookings!$E$5:$E$304,MATCH($A53,Bookings!$A$5:$A$304,0)))),"—")</f>
        <v>—</v>
      </c>
      <c r="D53" s="37" t="str">
        <f>IFERROR(IF(INDEX(Bookings!$D$5:$D$304,MATCH($A53,Bookings!$A$5:$A$304,0))="Cancelled","—",IF(INDEX(Bookings!$G$5:$G$304,MATCH($A53,Bookings!$A$5:$A$304,0))="","—",INDEX(Bookings!$G$5:$G$304,MATCH($A53,Bookings!$A$5:$A$304,0)))),"—")</f>
        <v>—</v>
      </c>
      <c r="E53" s="38" t="str">
        <f t="shared" ca="1" si="0"/>
        <v>—</v>
      </c>
      <c r="F53" s="39" t="str">
        <f>IF(OR(NOT(ISNUMBER($D53)),$B53="—",$B53=""),"—",IF(COUNTIFS(Bookings!$B$5:$B$304,$B53,Bookings!$F$5:$F$304,$D53)-COUNTIFS(Bookings!$B$5:$B$304,$B53,Bookings!$F$5:$F$304,$D53,Bookings!$D$5:$D$304,"Cancelled")-COUNTIFS(Bookings!$B$5:$B$304,$B53,Bookings!$F$5:$F$304,$D53,Bookings!$D$5:$D$304,"Owner block")&gt;0,"SAME-DAY TURN","No same-day guest"))</f>
        <v>—</v>
      </c>
      <c r="G53" s="38" t="str">
        <f>IFERROR(IF(INDEX(Bookings!$D$5:$D$304,MATCH($A53,Bookings!$A$5:$A$304,0))="Cancelled","—",IF(INDEX(Bookings!$I$5:$I$304,MATCH($A53,Bookings!$A$5:$A$304,0))="","—",INDEX(Bookings!$I$5:$I$304,MATCH($A53,Bookings!$A$5:$A$304,0)))),"—")</f>
        <v>—</v>
      </c>
      <c r="H53" s="38" t="str">
        <f>IFERROR(IF(INDEX(Setup!$I$25:$I$36,MATCH($B53,Setup!$A$25:$A$36,0))=0,"—",INDEX(Setup!$I$25:$I$36,MATCH($B53,Setup!$A$25:$A$36,0))),"—")</f>
        <v>—</v>
      </c>
      <c r="I53" s="21" t="str">
        <f>IFERROR(IF(INDEX(Setup!$E$25:$E$36,MATCH($B53,Setup!$A$25:$A$36,0))=0,"—",INDEX(Setup!$E$25:$E$36,MATCH($B53,Setup!$A$25:$A$36,0))),"—")</f>
        <v>—</v>
      </c>
      <c r="J53" s="3"/>
      <c r="K53" s="3"/>
      <c r="L53" s="3"/>
    </row>
    <row r="54" spans="1:12" x14ac:dyDescent="0.2">
      <c r="A54" s="30">
        <v>50</v>
      </c>
      <c r="B54" s="7" t="str">
        <f>IFERROR(IF(INDEX(Bookings!$D$5:$D$304,MATCH($A54,Bookings!$A$5:$A$304,0))="Cancelled","—",IF(INDEX(Bookings!$B$5:$B$304,MATCH($A54,Bookings!$A$5:$A$304,0))="","—",INDEX(Bookings!$B$5:$B$304,MATCH($A54,Bookings!$A$5:$A$304,0)))),"—")</f>
        <v>—</v>
      </c>
      <c r="C54" s="7" t="str">
        <f>IFERROR(IF(INDEX(Bookings!$D$5:$D$304,MATCH($A54,Bookings!$A$5:$A$304,0))="Cancelled","—",IF(INDEX(Bookings!$E$5:$E$304,MATCH($A54,Bookings!$A$5:$A$304,0))="","—",INDEX(Bookings!$E$5:$E$304,MATCH($A54,Bookings!$A$5:$A$304,0)))),"—")</f>
        <v>—</v>
      </c>
      <c r="D54" s="37" t="str">
        <f>IFERROR(IF(INDEX(Bookings!$D$5:$D$304,MATCH($A54,Bookings!$A$5:$A$304,0))="Cancelled","—",IF(INDEX(Bookings!$G$5:$G$304,MATCH($A54,Bookings!$A$5:$A$304,0))="","—",INDEX(Bookings!$G$5:$G$304,MATCH($A54,Bookings!$A$5:$A$304,0)))),"—")</f>
        <v>—</v>
      </c>
      <c r="E54" s="38" t="str">
        <f t="shared" ca="1" si="0"/>
        <v>—</v>
      </c>
      <c r="F54" s="39" t="str">
        <f>IF(OR(NOT(ISNUMBER($D54)),$B54="—",$B54=""),"—",IF(COUNTIFS(Bookings!$B$5:$B$304,$B54,Bookings!$F$5:$F$304,$D54)-COUNTIFS(Bookings!$B$5:$B$304,$B54,Bookings!$F$5:$F$304,$D54,Bookings!$D$5:$D$304,"Cancelled")-COUNTIFS(Bookings!$B$5:$B$304,$B54,Bookings!$F$5:$F$304,$D54,Bookings!$D$5:$D$304,"Owner block")&gt;0,"SAME-DAY TURN","No same-day guest"))</f>
        <v>—</v>
      </c>
      <c r="G54" s="38" t="str">
        <f>IFERROR(IF(INDEX(Bookings!$D$5:$D$304,MATCH($A54,Bookings!$A$5:$A$304,0))="Cancelled","—",IF(INDEX(Bookings!$I$5:$I$304,MATCH($A54,Bookings!$A$5:$A$304,0))="","—",INDEX(Bookings!$I$5:$I$304,MATCH($A54,Bookings!$A$5:$A$304,0)))),"—")</f>
        <v>—</v>
      </c>
      <c r="H54" s="38" t="str">
        <f>IFERROR(IF(INDEX(Setup!$I$25:$I$36,MATCH($B54,Setup!$A$25:$A$36,0))=0,"—",INDEX(Setup!$I$25:$I$36,MATCH($B54,Setup!$A$25:$A$36,0))),"—")</f>
        <v>—</v>
      </c>
      <c r="I54" s="21" t="str">
        <f>IFERROR(IF(INDEX(Setup!$E$25:$E$36,MATCH($B54,Setup!$A$25:$A$36,0))=0,"—",INDEX(Setup!$E$25:$E$36,MATCH($B54,Setup!$A$25:$A$36,0))),"—")</f>
        <v>—</v>
      </c>
      <c r="J54" s="8"/>
      <c r="K54" s="8"/>
      <c r="L54" s="8"/>
    </row>
    <row r="55" spans="1:12" x14ac:dyDescent="0.2">
      <c r="A55" s="30">
        <v>51</v>
      </c>
      <c r="B55" s="7" t="str">
        <f>IFERROR(IF(INDEX(Bookings!$D$5:$D$304,MATCH($A55,Bookings!$A$5:$A$304,0))="Cancelled","—",IF(INDEX(Bookings!$B$5:$B$304,MATCH($A55,Bookings!$A$5:$A$304,0))="","—",INDEX(Bookings!$B$5:$B$304,MATCH($A55,Bookings!$A$5:$A$304,0)))),"—")</f>
        <v>—</v>
      </c>
      <c r="C55" s="7" t="str">
        <f>IFERROR(IF(INDEX(Bookings!$D$5:$D$304,MATCH($A55,Bookings!$A$5:$A$304,0))="Cancelled","—",IF(INDEX(Bookings!$E$5:$E$304,MATCH($A55,Bookings!$A$5:$A$304,0))="","—",INDEX(Bookings!$E$5:$E$304,MATCH($A55,Bookings!$A$5:$A$304,0)))),"—")</f>
        <v>—</v>
      </c>
      <c r="D55" s="37" t="str">
        <f>IFERROR(IF(INDEX(Bookings!$D$5:$D$304,MATCH($A55,Bookings!$A$5:$A$304,0))="Cancelled","—",IF(INDEX(Bookings!$G$5:$G$304,MATCH($A55,Bookings!$A$5:$A$304,0))="","—",INDEX(Bookings!$G$5:$G$304,MATCH($A55,Bookings!$A$5:$A$304,0)))),"—")</f>
        <v>—</v>
      </c>
      <c r="E55" s="38" t="str">
        <f t="shared" ca="1" si="0"/>
        <v>—</v>
      </c>
      <c r="F55" s="39" t="str">
        <f>IF(OR(NOT(ISNUMBER($D55)),$B55="—",$B55=""),"—",IF(COUNTIFS(Bookings!$B$5:$B$304,$B55,Bookings!$F$5:$F$304,$D55)-COUNTIFS(Bookings!$B$5:$B$304,$B55,Bookings!$F$5:$F$304,$D55,Bookings!$D$5:$D$304,"Cancelled")-COUNTIFS(Bookings!$B$5:$B$304,$B55,Bookings!$F$5:$F$304,$D55,Bookings!$D$5:$D$304,"Owner block")&gt;0,"SAME-DAY TURN","No same-day guest"))</f>
        <v>—</v>
      </c>
      <c r="G55" s="38" t="str">
        <f>IFERROR(IF(INDEX(Bookings!$D$5:$D$304,MATCH($A55,Bookings!$A$5:$A$304,0))="Cancelled","—",IF(INDEX(Bookings!$I$5:$I$304,MATCH($A55,Bookings!$A$5:$A$304,0))="","—",INDEX(Bookings!$I$5:$I$304,MATCH($A55,Bookings!$A$5:$A$304,0)))),"—")</f>
        <v>—</v>
      </c>
      <c r="H55" s="38" t="str">
        <f>IFERROR(IF(INDEX(Setup!$I$25:$I$36,MATCH($B55,Setup!$A$25:$A$36,0))=0,"—",INDEX(Setup!$I$25:$I$36,MATCH($B55,Setup!$A$25:$A$36,0))),"—")</f>
        <v>—</v>
      </c>
      <c r="I55" s="21" t="str">
        <f>IFERROR(IF(INDEX(Setup!$E$25:$E$36,MATCH($B55,Setup!$A$25:$A$36,0))=0,"—",INDEX(Setup!$E$25:$E$36,MATCH($B55,Setup!$A$25:$A$36,0))),"—")</f>
        <v>—</v>
      </c>
      <c r="J55" s="3"/>
      <c r="K55" s="3"/>
      <c r="L55" s="3"/>
    </row>
    <row r="56" spans="1:12" x14ac:dyDescent="0.2">
      <c r="A56" s="30">
        <v>52</v>
      </c>
      <c r="B56" s="7" t="str">
        <f>IFERROR(IF(INDEX(Bookings!$D$5:$D$304,MATCH($A56,Bookings!$A$5:$A$304,0))="Cancelled","—",IF(INDEX(Bookings!$B$5:$B$304,MATCH($A56,Bookings!$A$5:$A$304,0))="","—",INDEX(Bookings!$B$5:$B$304,MATCH($A56,Bookings!$A$5:$A$304,0)))),"—")</f>
        <v>—</v>
      </c>
      <c r="C56" s="7" t="str">
        <f>IFERROR(IF(INDEX(Bookings!$D$5:$D$304,MATCH($A56,Bookings!$A$5:$A$304,0))="Cancelled","—",IF(INDEX(Bookings!$E$5:$E$304,MATCH($A56,Bookings!$A$5:$A$304,0))="","—",INDEX(Bookings!$E$5:$E$304,MATCH($A56,Bookings!$A$5:$A$304,0)))),"—")</f>
        <v>—</v>
      </c>
      <c r="D56" s="37" t="str">
        <f>IFERROR(IF(INDEX(Bookings!$D$5:$D$304,MATCH($A56,Bookings!$A$5:$A$304,0))="Cancelled","—",IF(INDEX(Bookings!$G$5:$G$304,MATCH($A56,Bookings!$A$5:$A$304,0))="","—",INDEX(Bookings!$G$5:$G$304,MATCH($A56,Bookings!$A$5:$A$304,0)))),"—")</f>
        <v>—</v>
      </c>
      <c r="E56" s="38" t="str">
        <f t="shared" ca="1" si="0"/>
        <v>—</v>
      </c>
      <c r="F56" s="39" t="str">
        <f>IF(OR(NOT(ISNUMBER($D56)),$B56="—",$B56=""),"—",IF(COUNTIFS(Bookings!$B$5:$B$304,$B56,Bookings!$F$5:$F$304,$D56)-COUNTIFS(Bookings!$B$5:$B$304,$B56,Bookings!$F$5:$F$304,$D56,Bookings!$D$5:$D$304,"Cancelled")-COUNTIFS(Bookings!$B$5:$B$304,$B56,Bookings!$F$5:$F$304,$D56,Bookings!$D$5:$D$304,"Owner block")&gt;0,"SAME-DAY TURN","No same-day guest"))</f>
        <v>—</v>
      </c>
      <c r="G56" s="38" t="str">
        <f>IFERROR(IF(INDEX(Bookings!$D$5:$D$304,MATCH($A56,Bookings!$A$5:$A$304,0))="Cancelled","—",IF(INDEX(Bookings!$I$5:$I$304,MATCH($A56,Bookings!$A$5:$A$304,0))="","—",INDEX(Bookings!$I$5:$I$304,MATCH($A56,Bookings!$A$5:$A$304,0)))),"—")</f>
        <v>—</v>
      </c>
      <c r="H56" s="38" t="str">
        <f>IFERROR(IF(INDEX(Setup!$I$25:$I$36,MATCH($B56,Setup!$A$25:$A$36,0))=0,"—",INDEX(Setup!$I$25:$I$36,MATCH($B56,Setup!$A$25:$A$36,0))),"—")</f>
        <v>—</v>
      </c>
      <c r="I56" s="21" t="str">
        <f>IFERROR(IF(INDEX(Setup!$E$25:$E$36,MATCH($B56,Setup!$A$25:$A$36,0))=0,"—",INDEX(Setup!$E$25:$E$36,MATCH($B56,Setup!$A$25:$A$36,0))),"—")</f>
        <v>—</v>
      </c>
      <c r="J56" s="8"/>
      <c r="K56" s="8"/>
      <c r="L56" s="8"/>
    </row>
    <row r="57" spans="1:12" x14ac:dyDescent="0.2">
      <c r="A57" s="30">
        <v>53</v>
      </c>
      <c r="B57" s="7" t="str">
        <f>IFERROR(IF(INDEX(Bookings!$D$5:$D$304,MATCH($A57,Bookings!$A$5:$A$304,0))="Cancelled","—",IF(INDEX(Bookings!$B$5:$B$304,MATCH($A57,Bookings!$A$5:$A$304,0))="","—",INDEX(Bookings!$B$5:$B$304,MATCH($A57,Bookings!$A$5:$A$304,0)))),"—")</f>
        <v>—</v>
      </c>
      <c r="C57" s="7" t="str">
        <f>IFERROR(IF(INDEX(Bookings!$D$5:$D$304,MATCH($A57,Bookings!$A$5:$A$304,0))="Cancelled","—",IF(INDEX(Bookings!$E$5:$E$304,MATCH($A57,Bookings!$A$5:$A$304,0))="","—",INDEX(Bookings!$E$5:$E$304,MATCH($A57,Bookings!$A$5:$A$304,0)))),"—")</f>
        <v>—</v>
      </c>
      <c r="D57" s="37" t="str">
        <f>IFERROR(IF(INDEX(Bookings!$D$5:$D$304,MATCH($A57,Bookings!$A$5:$A$304,0))="Cancelled","—",IF(INDEX(Bookings!$G$5:$G$304,MATCH($A57,Bookings!$A$5:$A$304,0))="","—",INDEX(Bookings!$G$5:$G$304,MATCH($A57,Bookings!$A$5:$A$304,0)))),"—")</f>
        <v>—</v>
      </c>
      <c r="E57" s="38" t="str">
        <f t="shared" ca="1" si="0"/>
        <v>—</v>
      </c>
      <c r="F57" s="39" t="str">
        <f>IF(OR(NOT(ISNUMBER($D57)),$B57="—",$B57=""),"—",IF(COUNTIFS(Bookings!$B$5:$B$304,$B57,Bookings!$F$5:$F$304,$D57)-COUNTIFS(Bookings!$B$5:$B$304,$B57,Bookings!$F$5:$F$304,$D57,Bookings!$D$5:$D$304,"Cancelled")-COUNTIFS(Bookings!$B$5:$B$304,$B57,Bookings!$F$5:$F$304,$D57,Bookings!$D$5:$D$304,"Owner block")&gt;0,"SAME-DAY TURN","No same-day guest"))</f>
        <v>—</v>
      </c>
      <c r="G57" s="38" t="str">
        <f>IFERROR(IF(INDEX(Bookings!$D$5:$D$304,MATCH($A57,Bookings!$A$5:$A$304,0))="Cancelled","—",IF(INDEX(Bookings!$I$5:$I$304,MATCH($A57,Bookings!$A$5:$A$304,0))="","—",INDEX(Bookings!$I$5:$I$304,MATCH($A57,Bookings!$A$5:$A$304,0)))),"—")</f>
        <v>—</v>
      </c>
      <c r="H57" s="38" t="str">
        <f>IFERROR(IF(INDEX(Setup!$I$25:$I$36,MATCH($B57,Setup!$A$25:$A$36,0))=0,"—",INDEX(Setup!$I$25:$I$36,MATCH($B57,Setup!$A$25:$A$36,0))),"—")</f>
        <v>—</v>
      </c>
      <c r="I57" s="21" t="str">
        <f>IFERROR(IF(INDEX(Setup!$E$25:$E$36,MATCH($B57,Setup!$A$25:$A$36,0))=0,"—",INDEX(Setup!$E$25:$E$36,MATCH($B57,Setup!$A$25:$A$36,0))),"—")</f>
        <v>—</v>
      </c>
      <c r="J57" s="3"/>
      <c r="K57" s="3"/>
      <c r="L57" s="3"/>
    </row>
    <row r="58" spans="1:12" x14ac:dyDescent="0.2">
      <c r="A58" s="30">
        <v>54</v>
      </c>
      <c r="B58" s="7" t="str">
        <f>IFERROR(IF(INDEX(Bookings!$D$5:$D$304,MATCH($A58,Bookings!$A$5:$A$304,0))="Cancelled","—",IF(INDEX(Bookings!$B$5:$B$304,MATCH($A58,Bookings!$A$5:$A$304,0))="","—",INDEX(Bookings!$B$5:$B$304,MATCH($A58,Bookings!$A$5:$A$304,0)))),"—")</f>
        <v>—</v>
      </c>
      <c r="C58" s="7" t="str">
        <f>IFERROR(IF(INDEX(Bookings!$D$5:$D$304,MATCH($A58,Bookings!$A$5:$A$304,0))="Cancelled","—",IF(INDEX(Bookings!$E$5:$E$304,MATCH($A58,Bookings!$A$5:$A$304,0))="","—",INDEX(Bookings!$E$5:$E$304,MATCH($A58,Bookings!$A$5:$A$304,0)))),"—")</f>
        <v>—</v>
      </c>
      <c r="D58" s="37" t="str">
        <f>IFERROR(IF(INDEX(Bookings!$D$5:$D$304,MATCH($A58,Bookings!$A$5:$A$304,0))="Cancelled","—",IF(INDEX(Bookings!$G$5:$G$304,MATCH($A58,Bookings!$A$5:$A$304,0))="","—",INDEX(Bookings!$G$5:$G$304,MATCH($A58,Bookings!$A$5:$A$304,0)))),"—")</f>
        <v>—</v>
      </c>
      <c r="E58" s="38" t="str">
        <f t="shared" ca="1" si="0"/>
        <v>—</v>
      </c>
      <c r="F58" s="39" t="str">
        <f>IF(OR(NOT(ISNUMBER($D58)),$B58="—",$B58=""),"—",IF(COUNTIFS(Bookings!$B$5:$B$304,$B58,Bookings!$F$5:$F$304,$D58)-COUNTIFS(Bookings!$B$5:$B$304,$B58,Bookings!$F$5:$F$304,$D58,Bookings!$D$5:$D$304,"Cancelled")-COUNTIFS(Bookings!$B$5:$B$304,$B58,Bookings!$F$5:$F$304,$D58,Bookings!$D$5:$D$304,"Owner block")&gt;0,"SAME-DAY TURN","No same-day guest"))</f>
        <v>—</v>
      </c>
      <c r="G58" s="38" t="str">
        <f>IFERROR(IF(INDEX(Bookings!$D$5:$D$304,MATCH($A58,Bookings!$A$5:$A$304,0))="Cancelled","—",IF(INDEX(Bookings!$I$5:$I$304,MATCH($A58,Bookings!$A$5:$A$304,0))="","—",INDEX(Bookings!$I$5:$I$304,MATCH($A58,Bookings!$A$5:$A$304,0)))),"—")</f>
        <v>—</v>
      </c>
      <c r="H58" s="38" t="str">
        <f>IFERROR(IF(INDEX(Setup!$I$25:$I$36,MATCH($B58,Setup!$A$25:$A$36,0))=0,"—",INDEX(Setup!$I$25:$I$36,MATCH($B58,Setup!$A$25:$A$36,0))),"—")</f>
        <v>—</v>
      </c>
      <c r="I58" s="21" t="str">
        <f>IFERROR(IF(INDEX(Setup!$E$25:$E$36,MATCH($B58,Setup!$A$25:$A$36,0))=0,"—",INDEX(Setup!$E$25:$E$36,MATCH($B58,Setup!$A$25:$A$36,0))),"—")</f>
        <v>—</v>
      </c>
      <c r="J58" s="8"/>
      <c r="K58" s="8"/>
      <c r="L58" s="8"/>
    </row>
    <row r="59" spans="1:12" x14ac:dyDescent="0.2">
      <c r="A59" s="30">
        <v>55</v>
      </c>
      <c r="B59" s="7" t="str">
        <f>IFERROR(IF(INDEX(Bookings!$D$5:$D$304,MATCH($A59,Bookings!$A$5:$A$304,0))="Cancelled","—",IF(INDEX(Bookings!$B$5:$B$304,MATCH($A59,Bookings!$A$5:$A$304,0))="","—",INDEX(Bookings!$B$5:$B$304,MATCH($A59,Bookings!$A$5:$A$304,0)))),"—")</f>
        <v>—</v>
      </c>
      <c r="C59" s="7" t="str">
        <f>IFERROR(IF(INDEX(Bookings!$D$5:$D$304,MATCH($A59,Bookings!$A$5:$A$304,0))="Cancelled","—",IF(INDEX(Bookings!$E$5:$E$304,MATCH($A59,Bookings!$A$5:$A$304,0))="","—",INDEX(Bookings!$E$5:$E$304,MATCH($A59,Bookings!$A$5:$A$304,0)))),"—")</f>
        <v>—</v>
      </c>
      <c r="D59" s="37" t="str">
        <f>IFERROR(IF(INDEX(Bookings!$D$5:$D$304,MATCH($A59,Bookings!$A$5:$A$304,0))="Cancelled","—",IF(INDEX(Bookings!$G$5:$G$304,MATCH($A59,Bookings!$A$5:$A$304,0))="","—",INDEX(Bookings!$G$5:$G$304,MATCH($A59,Bookings!$A$5:$A$304,0)))),"—")</f>
        <v>—</v>
      </c>
      <c r="E59" s="38" t="str">
        <f t="shared" ca="1" si="0"/>
        <v>—</v>
      </c>
      <c r="F59" s="39" t="str">
        <f>IF(OR(NOT(ISNUMBER($D59)),$B59="—",$B59=""),"—",IF(COUNTIFS(Bookings!$B$5:$B$304,$B59,Bookings!$F$5:$F$304,$D59)-COUNTIFS(Bookings!$B$5:$B$304,$B59,Bookings!$F$5:$F$304,$D59,Bookings!$D$5:$D$304,"Cancelled")-COUNTIFS(Bookings!$B$5:$B$304,$B59,Bookings!$F$5:$F$304,$D59,Bookings!$D$5:$D$304,"Owner block")&gt;0,"SAME-DAY TURN","No same-day guest"))</f>
        <v>—</v>
      </c>
      <c r="G59" s="38" t="str">
        <f>IFERROR(IF(INDEX(Bookings!$D$5:$D$304,MATCH($A59,Bookings!$A$5:$A$304,0))="Cancelled","—",IF(INDEX(Bookings!$I$5:$I$304,MATCH($A59,Bookings!$A$5:$A$304,0))="","—",INDEX(Bookings!$I$5:$I$304,MATCH($A59,Bookings!$A$5:$A$304,0)))),"—")</f>
        <v>—</v>
      </c>
      <c r="H59" s="38" t="str">
        <f>IFERROR(IF(INDEX(Setup!$I$25:$I$36,MATCH($B59,Setup!$A$25:$A$36,0))=0,"—",INDEX(Setup!$I$25:$I$36,MATCH($B59,Setup!$A$25:$A$36,0))),"—")</f>
        <v>—</v>
      </c>
      <c r="I59" s="21" t="str">
        <f>IFERROR(IF(INDEX(Setup!$E$25:$E$36,MATCH($B59,Setup!$A$25:$A$36,0))=0,"—",INDEX(Setup!$E$25:$E$36,MATCH($B59,Setup!$A$25:$A$36,0))),"—")</f>
        <v>—</v>
      </c>
      <c r="J59" s="3"/>
      <c r="K59" s="3"/>
      <c r="L59" s="3"/>
    </row>
    <row r="60" spans="1:12" x14ac:dyDescent="0.2">
      <c r="A60" s="30">
        <v>56</v>
      </c>
      <c r="B60" s="7" t="str">
        <f>IFERROR(IF(INDEX(Bookings!$D$5:$D$304,MATCH($A60,Bookings!$A$5:$A$304,0))="Cancelled","—",IF(INDEX(Bookings!$B$5:$B$304,MATCH($A60,Bookings!$A$5:$A$304,0))="","—",INDEX(Bookings!$B$5:$B$304,MATCH($A60,Bookings!$A$5:$A$304,0)))),"—")</f>
        <v>—</v>
      </c>
      <c r="C60" s="7" t="str">
        <f>IFERROR(IF(INDEX(Bookings!$D$5:$D$304,MATCH($A60,Bookings!$A$5:$A$304,0))="Cancelled","—",IF(INDEX(Bookings!$E$5:$E$304,MATCH($A60,Bookings!$A$5:$A$304,0))="","—",INDEX(Bookings!$E$5:$E$304,MATCH($A60,Bookings!$A$5:$A$304,0)))),"—")</f>
        <v>—</v>
      </c>
      <c r="D60" s="37" t="str">
        <f>IFERROR(IF(INDEX(Bookings!$D$5:$D$304,MATCH($A60,Bookings!$A$5:$A$304,0))="Cancelled","—",IF(INDEX(Bookings!$G$5:$G$304,MATCH($A60,Bookings!$A$5:$A$304,0))="","—",INDEX(Bookings!$G$5:$G$304,MATCH($A60,Bookings!$A$5:$A$304,0)))),"—")</f>
        <v>—</v>
      </c>
      <c r="E60" s="38" t="str">
        <f t="shared" ca="1" si="0"/>
        <v>—</v>
      </c>
      <c r="F60" s="39" t="str">
        <f>IF(OR(NOT(ISNUMBER($D60)),$B60="—",$B60=""),"—",IF(COUNTIFS(Bookings!$B$5:$B$304,$B60,Bookings!$F$5:$F$304,$D60)-COUNTIFS(Bookings!$B$5:$B$304,$B60,Bookings!$F$5:$F$304,$D60,Bookings!$D$5:$D$304,"Cancelled")-COUNTIFS(Bookings!$B$5:$B$304,$B60,Bookings!$F$5:$F$304,$D60,Bookings!$D$5:$D$304,"Owner block")&gt;0,"SAME-DAY TURN","No same-day guest"))</f>
        <v>—</v>
      </c>
      <c r="G60" s="38" t="str">
        <f>IFERROR(IF(INDEX(Bookings!$D$5:$D$304,MATCH($A60,Bookings!$A$5:$A$304,0))="Cancelled","—",IF(INDEX(Bookings!$I$5:$I$304,MATCH($A60,Bookings!$A$5:$A$304,0))="","—",INDEX(Bookings!$I$5:$I$304,MATCH($A60,Bookings!$A$5:$A$304,0)))),"—")</f>
        <v>—</v>
      </c>
      <c r="H60" s="38" t="str">
        <f>IFERROR(IF(INDEX(Setup!$I$25:$I$36,MATCH($B60,Setup!$A$25:$A$36,0))=0,"—",INDEX(Setup!$I$25:$I$36,MATCH($B60,Setup!$A$25:$A$36,0))),"—")</f>
        <v>—</v>
      </c>
      <c r="I60" s="21" t="str">
        <f>IFERROR(IF(INDEX(Setup!$E$25:$E$36,MATCH($B60,Setup!$A$25:$A$36,0))=0,"—",INDEX(Setup!$E$25:$E$36,MATCH($B60,Setup!$A$25:$A$36,0))),"—")</f>
        <v>—</v>
      </c>
      <c r="J60" s="8"/>
      <c r="K60" s="8"/>
      <c r="L60" s="8"/>
    </row>
    <row r="61" spans="1:12" x14ac:dyDescent="0.2">
      <c r="A61" s="30">
        <v>57</v>
      </c>
      <c r="B61" s="7" t="str">
        <f>IFERROR(IF(INDEX(Bookings!$D$5:$D$304,MATCH($A61,Bookings!$A$5:$A$304,0))="Cancelled","—",IF(INDEX(Bookings!$B$5:$B$304,MATCH($A61,Bookings!$A$5:$A$304,0))="","—",INDEX(Bookings!$B$5:$B$304,MATCH($A61,Bookings!$A$5:$A$304,0)))),"—")</f>
        <v>—</v>
      </c>
      <c r="C61" s="7" t="str">
        <f>IFERROR(IF(INDEX(Bookings!$D$5:$D$304,MATCH($A61,Bookings!$A$5:$A$304,0))="Cancelled","—",IF(INDEX(Bookings!$E$5:$E$304,MATCH($A61,Bookings!$A$5:$A$304,0))="","—",INDEX(Bookings!$E$5:$E$304,MATCH($A61,Bookings!$A$5:$A$304,0)))),"—")</f>
        <v>—</v>
      </c>
      <c r="D61" s="37" t="str">
        <f>IFERROR(IF(INDEX(Bookings!$D$5:$D$304,MATCH($A61,Bookings!$A$5:$A$304,0))="Cancelled","—",IF(INDEX(Bookings!$G$5:$G$304,MATCH($A61,Bookings!$A$5:$A$304,0))="","—",INDEX(Bookings!$G$5:$G$304,MATCH($A61,Bookings!$A$5:$A$304,0)))),"—")</f>
        <v>—</v>
      </c>
      <c r="E61" s="38" t="str">
        <f t="shared" ca="1" si="0"/>
        <v>—</v>
      </c>
      <c r="F61" s="39" t="str">
        <f>IF(OR(NOT(ISNUMBER($D61)),$B61="—",$B61=""),"—",IF(COUNTIFS(Bookings!$B$5:$B$304,$B61,Bookings!$F$5:$F$304,$D61)-COUNTIFS(Bookings!$B$5:$B$304,$B61,Bookings!$F$5:$F$304,$D61,Bookings!$D$5:$D$304,"Cancelled")-COUNTIFS(Bookings!$B$5:$B$304,$B61,Bookings!$F$5:$F$304,$D61,Bookings!$D$5:$D$304,"Owner block")&gt;0,"SAME-DAY TURN","No same-day guest"))</f>
        <v>—</v>
      </c>
      <c r="G61" s="38" t="str">
        <f>IFERROR(IF(INDEX(Bookings!$D$5:$D$304,MATCH($A61,Bookings!$A$5:$A$304,0))="Cancelled","—",IF(INDEX(Bookings!$I$5:$I$304,MATCH($A61,Bookings!$A$5:$A$304,0))="","—",INDEX(Bookings!$I$5:$I$304,MATCH($A61,Bookings!$A$5:$A$304,0)))),"—")</f>
        <v>—</v>
      </c>
      <c r="H61" s="38" t="str">
        <f>IFERROR(IF(INDEX(Setup!$I$25:$I$36,MATCH($B61,Setup!$A$25:$A$36,0))=0,"—",INDEX(Setup!$I$25:$I$36,MATCH($B61,Setup!$A$25:$A$36,0))),"—")</f>
        <v>—</v>
      </c>
      <c r="I61" s="21" t="str">
        <f>IFERROR(IF(INDEX(Setup!$E$25:$E$36,MATCH($B61,Setup!$A$25:$A$36,0))=0,"—",INDEX(Setup!$E$25:$E$36,MATCH($B61,Setup!$A$25:$A$36,0))),"—")</f>
        <v>—</v>
      </c>
      <c r="J61" s="3"/>
      <c r="K61" s="3"/>
      <c r="L61" s="3"/>
    </row>
    <row r="62" spans="1:12" x14ac:dyDescent="0.2">
      <c r="A62" s="30">
        <v>58</v>
      </c>
      <c r="B62" s="7" t="str">
        <f>IFERROR(IF(INDEX(Bookings!$D$5:$D$304,MATCH($A62,Bookings!$A$5:$A$304,0))="Cancelled","—",IF(INDEX(Bookings!$B$5:$B$304,MATCH($A62,Bookings!$A$5:$A$304,0))="","—",INDEX(Bookings!$B$5:$B$304,MATCH($A62,Bookings!$A$5:$A$304,0)))),"—")</f>
        <v>—</v>
      </c>
      <c r="C62" s="7" t="str">
        <f>IFERROR(IF(INDEX(Bookings!$D$5:$D$304,MATCH($A62,Bookings!$A$5:$A$304,0))="Cancelled","—",IF(INDEX(Bookings!$E$5:$E$304,MATCH($A62,Bookings!$A$5:$A$304,0))="","—",INDEX(Bookings!$E$5:$E$304,MATCH($A62,Bookings!$A$5:$A$304,0)))),"—")</f>
        <v>—</v>
      </c>
      <c r="D62" s="37" t="str">
        <f>IFERROR(IF(INDEX(Bookings!$D$5:$D$304,MATCH($A62,Bookings!$A$5:$A$304,0))="Cancelled","—",IF(INDEX(Bookings!$G$5:$G$304,MATCH($A62,Bookings!$A$5:$A$304,0))="","—",INDEX(Bookings!$G$5:$G$304,MATCH($A62,Bookings!$A$5:$A$304,0)))),"—")</f>
        <v>—</v>
      </c>
      <c r="E62" s="38" t="str">
        <f t="shared" ca="1" si="0"/>
        <v>—</v>
      </c>
      <c r="F62" s="39" t="str">
        <f>IF(OR(NOT(ISNUMBER($D62)),$B62="—",$B62=""),"—",IF(COUNTIFS(Bookings!$B$5:$B$304,$B62,Bookings!$F$5:$F$304,$D62)-COUNTIFS(Bookings!$B$5:$B$304,$B62,Bookings!$F$5:$F$304,$D62,Bookings!$D$5:$D$304,"Cancelled")-COUNTIFS(Bookings!$B$5:$B$304,$B62,Bookings!$F$5:$F$304,$D62,Bookings!$D$5:$D$304,"Owner block")&gt;0,"SAME-DAY TURN","No same-day guest"))</f>
        <v>—</v>
      </c>
      <c r="G62" s="38" t="str">
        <f>IFERROR(IF(INDEX(Bookings!$D$5:$D$304,MATCH($A62,Bookings!$A$5:$A$304,0))="Cancelled","—",IF(INDEX(Bookings!$I$5:$I$304,MATCH($A62,Bookings!$A$5:$A$304,0))="","—",INDEX(Bookings!$I$5:$I$304,MATCH($A62,Bookings!$A$5:$A$304,0)))),"—")</f>
        <v>—</v>
      </c>
      <c r="H62" s="38" t="str">
        <f>IFERROR(IF(INDEX(Setup!$I$25:$I$36,MATCH($B62,Setup!$A$25:$A$36,0))=0,"—",INDEX(Setup!$I$25:$I$36,MATCH($B62,Setup!$A$25:$A$36,0))),"—")</f>
        <v>—</v>
      </c>
      <c r="I62" s="21" t="str">
        <f>IFERROR(IF(INDEX(Setup!$E$25:$E$36,MATCH($B62,Setup!$A$25:$A$36,0))=0,"—",INDEX(Setup!$E$25:$E$36,MATCH($B62,Setup!$A$25:$A$36,0))),"—")</f>
        <v>—</v>
      </c>
      <c r="J62" s="8"/>
      <c r="K62" s="8"/>
      <c r="L62" s="8"/>
    </row>
    <row r="63" spans="1:12" x14ac:dyDescent="0.2">
      <c r="A63" s="30">
        <v>59</v>
      </c>
      <c r="B63" s="7" t="str">
        <f>IFERROR(IF(INDEX(Bookings!$D$5:$D$304,MATCH($A63,Bookings!$A$5:$A$304,0))="Cancelled","—",IF(INDEX(Bookings!$B$5:$B$304,MATCH($A63,Bookings!$A$5:$A$304,0))="","—",INDEX(Bookings!$B$5:$B$304,MATCH($A63,Bookings!$A$5:$A$304,0)))),"—")</f>
        <v>—</v>
      </c>
      <c r="C63" s="7" t="str">
        <f>IFERROR(IF(INDEX(Bookings!$D$5:$D$304,MATCH($A63,Bookings!$A$5:$A$304,0))="Cancelled","—",IF(INDEX(Bookings!$E$5:$E$304,MATCH($A63,Bookings!$A$5:$A$304,0))="","—",INDEX(Bookings!$E$5:$E$304,MATCH($A63,Bookings!$A$5:$A$304,0)))),"—")</f>
        <v>—</v>
      </c>
      <c r="D63" s="37" t="str">
        <f>IFERROR(IF(INDEX(Bookings!$D$5:$D$304,MATCH($A63,Bookings!$A$5:$A$304,0))="Cancelled","—",IF(INDEX(Bookings!$G$5:$G$304,MATCH($A63,Bookings!$A$5:$A$304,0))="","—",INDEX(Bookings!$G$5:$G$304,MATCH($A63,Bookings!$A$5:$A$304,0)))),"—")</f>
        <v>—</v>
      </c>
      <c r="E63" s="38" t="str">
        <f t="shared" ca="1" si="0"/>
        <v>—</v>
      </c>
      <c r="F63" s="39" t="str">
        <f>IF(OR(NOT(ISNUMBER($D63)),$B63="—",$B63=""),"—",IF(COUNTIFS(Bookings!$B$5:$B$304,$B63,Bookings!$F$5:$F$304,$D63)-COUNTIFS(Bookings!$B$5:$B$304,$B63,Bookings!$F$5:$F$304,$D63,Bookings!$D$5:$D$304,"Cancelled")-COUNTIFS(Bookings!$B$5:$B$304,$B63,Bookings!$F$5:$F$304,$D63,Bookings!$D$5:$D$304,"Owner block")&gt;0,"SAME-DAY TURN","No same-day guest"))</f>
        <v>—</v>
      </c>
      <c r="G63" s="38" t="str">
        <f>IFERROR(IF(INDEX(Bookings!$D$5:$D$304,MATCH($A63,Bookings!$A$5:$A$304,0))="Cancelled","—",IF(INDEX(Bookings!$I$5:$I$304,MATCH($A63,Bookings!$A$5:$A$304,0))="","—",INDEX(Bookings!$I$5:$I$304,MATCH($A63,Bookings!$A$5:$A$304,0)))),"—")</f>
        <v>—</v>
      </c>
      <c r="H63" s="38" t="str">
        <f>IFERROR(IF(INDEX(Setup!$I$25:$I$36,MATCH($B63,Setup!$A$25:$A$36,0))=0,"—",INDEX(Setup!$I$25:$I$36,MATCH($B63,Setup!$A$25:$A$36,0))),"—")</f>
        <v>—</v>
      </c>
      <c r="I63" s="21" t="str">
        <f>IFERROR(IF(INDEX(Setup!$E$25:$E$36,MATCH($B63,Setup!$A$25:$A$36,0))=0,"—",INDEX(Setup!$E$25:$E$36,MATCH($B63,Setup!$A$25:$A$36,0))),"—")</f>
        <v>—</v>
      </c>
      <c r="J63" s="3"/>
      <c r="K63" s="3"/>
      <c r="L63" s="3"/>
    </row>
    <row r="64" spans="1:12" x14ac:dyDescent="0.2">
      <c r="A64" s="30">
        <v>60</v>
      </c>
      <c r="B64" s="7" t="str">
        <f>IFERROR(IF(INDEX(Bookings!$D$5:$D$304,MATCH($A64,Bookings!$A$5:$A$304,0))="Cancelled","—",IF(INDEX(Bookings!$B$5:$B$304,MATCH($A64,Bookings!$A$5:$A$304,0))="","—",INDEX(Bookings!$B$5:$B$304,MATCH($A64,Bookings!$A$5:$A$304,0)))),"—")</f>
        <v>—</v>
      </c>
      <c r="C64" s="7" t="str">
        <f>IFERROR(IF(INDEX(Bookings!$D$5:$D$304,MATCH($A64,Bookings!$A$5:$A$304,0))="Cancelled","—",IF(INDEX(Bookings!$E$5:$E$304,MATCH($A64,Bookings!$A$5:$A$304,0))="","—",INDEX(Bookings!$E$5:$E$304,MATCH($A64,Bookings!$A$5:$A$304,0)))),"—")</f>
        <v>—</v>
      </c>
      <c r="D64" s="37" t="str">
        <f>IFERROR(IF(INDEX(Bookings!$D$5:$D$304,MATCH($A64,Bookings!$A$5:$A$304,0))="Cancelled","—",IF(INDEX(Bookings!$G$5:$G$304,MATCH($A64,Bookings!$A$5:$A$304,0))="","—",INDEX(Bookings!$G$5:$G$304,MATCH($A64,Bookings!$A$5:$A$304,0)))),"—")</f>
        <v>—</v>
      </c>
      <c r="E64" s="38" t="str">
        <f t="shared" ca="1" si="0"/>
        <v>—</v>
      </c>
      <c r="F64" s="39" t="str">
        <f>IF(OR(NOT(ISNUMBER($D64)),$B64="—",$B64=""),"—",IF(COUNTIFS(Bookings!$B$5:$B$304,$B64,Bookings!$F$5:$F$304,$D64)-COUNTIFS(Bookings!$B$5:$B$304,$B64,Bookings!$F$5:$F$304,$D64,Bookings!$D$5:$D$304,"Cancelled")-COUNTIFS(Bookings!$B$5:$B$304,$B64,Bookings!$F$5:$F$304,$D64,Bookings!$D$5:$D$304,"Owner block")&gt;0,"SAME-DAY TURN","No same-day guest"))</f>
        <v>—</v>
      </c>
      <c r="G64" s="38" t="str">
        <f>IFERROR(IF(INDEX(Bookings!$D$5:$D$304,MATCH($A64,Bookings!$A$5:$A$304,0))="Cancelled","—",IF(INDEX(Bookings!$I$5:$I$304,MATCH($A64,Bookings!$A$5:$A$304,0))="","—",INDEX(Bookings!$I$5:$I$304,MATCH($A64,Bookings!$A$5:$A$304,0)))),"—")</f>
        <v>—</v>
      </c>
      <c r="H64" s="38" t="str">
        <f>IFERROR(IF(INDEX(Setup!$I$25:$I$36,MATCH($B64,Setup!$A$25:$A$36,0))=0,"—",INDEX(Setup!$I$25:$I$36,MATCH($B64,Setup!$A$25:$A$36,0))),"—")</f>
        <v>—</v>
      </c>
      <c r="I64" s="21" t="str">
        <f>IFERROR(IF(INDEX(Setup!$E$25:$E$36,MATCH($B64,Setup!$A$25:$A$36,0))=0,"—",INDEX(Setup!$E$25:$E$36,MATCH($B64,Setup!$A$25:$A$36,0))),"—")</f>
        <v>—</v>
      </c>
      <c r="J64" s="8"/>
      <c r="K64" s="8"/>
      <c r="L64" s="8"/>
    </row>
    <row r="65" spans="1:12" x14ac:dyDescent="0.2">
      <c r="A65" s="30">
        <v>61</v>
      </c>
      <c r="B65" s="7" t="str">
        <f>IFERROR(IF(INDEX(Bookings!$D$5:$D$304,MATCH($A65,Bookings!$A$5:$A$304,0))="Cancelled","—",IF(INDEX(Bookings!$B$5:$B$304,MATCH($A65,Bookings!$A$5:$A$304,0))="","—",INDEX(Bookings!$B$5:$B$304,MATCH($A65,Bookings!$A$5:$A$304,0)))),"—")</f>
        <v>—</v>
      </c>
      <c r="C65" s="7" t="str">
        <f>IFERROR(IF(INDEX(Bookings!$D$5:$D$304,MATCH($A65,Bookings!$A$5:$A$304,0))="Cancelled","—",IF(INDEX(Bookings!$E$5:$E$304,MATCH($A65,Bookings!$A$5:$A$304,0))="","—",INDEX(Bookings!$E$5:$E$304,MATCH($A65,Bookings!$A$5:$A$304,0)))),"—")</f>
        <v>—</v>
      </c>
      <c r="D65" s="37" t="str">
        <f>IFERROR(IF(INDEX(Bookings!$D$5:$D$304,MATCH($A65,Bookings!$A$5:$A$304,0))="Cancelled","—",IF(INDEX(Bookings!$G$5:$G$304,MATCH($A65,Bookings!$A$5:$A$304,0))="","—",INDEX(Bookings!$G$5:$G$304,MATCH($A65,Bookings!$A$5:$A$304,0)))),"—")</f>
        <v>—</v>
      </c>
      <c r="E65" s="38" t="str">
        <f t="shared" ca="1" si="0"/>
        <v>—</v>
      </c>
      <c r="F65" s="39" t="str">
        <f>IF(OR(NOT(ISNUMBER($D65)),$B65="—",$B65=""),"—",IF(COUNTIFS(Bookings!$B$5:$B$304,$B65,Bookings!$F$5:$F$304,$D65)-COUNTIFS(Bookings!$B$5:$B$304,$B65,Bookings!$F$5:$F$304,$D65,Bookings!$D$5:$D$304,"Cancelled")-COUNTIFS(Bookings!$B$5:$B$304,$B65,Bookings!$F$5:$F$304,$D65,Bookings!$D$5:$D$304,"Owner block")&gt;0,"SAME-DAY TURN","No same-day guest"))</f>
        <v>—</v>
      </c>
      <c r="G65" s="38" t="str">
        <f>IFERROR(IF(INDEX(Bookings!$D$5:$D$304,MATCH($A65,Bookings!$A$5:$A$304,0))="Cancelled","—",IF(INDEX(Bookings!$I$5:$I$304,MATCH($A65,Bookings!$A$5:$A$304,0))="","—",INDEX(Bookings!$I$5:$I$304,MATCH($A65,Bookings!$A$5:$A$304,0)))),"—")</f>
        <v>—</v>
      </c>
      <c r="H65" s="38" t="str">
        <f>IFERROR(IF(INDEX(Setup!$I$25:$I$36,MATCH($B65,Setup!$A$25:$A$36,0))=0,"—",INDEX(Setup!$I$25:$I$36,MATCH($B65,Setup!$A$25:$A$36,0))),"—")</f>
        <v>—</v>
      </c>
      <c r="I65" s="21" t="str">
        <f>IFERROR(IF(INDEX(Setup!$E$25:$E$36,MATCH($B65,Setup!$A$25:$A$36,0))=0,"—",INDEX(Setup!$E$25:$E$36,MATCH($B65,Setup!$A$25:$A$36,0))),"—")</f>
        <v>—</v>
      </c>
      <c r="J65" s="3"/>
      <c r="K65" s="3"/>
      <c r="L65" s="3"/>
    </row>
    <row r="66" spans="1:12" x14ac:dyDescent="0.2">
      <c r="A66" s="30">
        <v>62</v>
      </c>
      <c r="B66" s="7" t="str">
        <f>IFERROR(IF(INDEX(Bookings!$D$5:$D$304,MATCH($A66,Bookings!$A$5:$A$304,0))="Cancelled","—",IF(INDEX(Bookings!$B$5:$B$304,MATCH($A66,Bookings!$A$5:$A$304,0))="","—",INDEX(Bookings!$B$5:$B$304,MATCH($A66,Bookings!$A$5:$A$304,0)))),"—")</f>
        <v>—</v>
      </c>
      <c r="C66" s="7" t="str">
        <f>IFERROR(IF(INDEX(Bookings!$D$5:$D$304,MATCH($A66,Bookings!$A$5:$A$304,0))="Cancelled","—",IF(INDEX(Bookings!$E$5:$E$304,MATCH($A66,Bookings!$A$5:$A$304,0))="","—",INDEX(Bookings!$E$5:$E$304,MATCH($A66,Bookings!$A$5:$A$304,0)))),"—")</f>
        <v>—</v>
      </c>
      <c r="D66" s="37" t="str">
        <f>IFERROR(IF(INDEX(Bookings!$D$5:$D$304,MATCH($A66,Bookings!$A$5:$A$304,0))="Cancelled","—",IF(INDEX(Bookings!$G$5:$G$304,MATCH($A66,Bookings!$A$5:$A$304,0))="","—",INDEX(Bookings!$G$5:$G$304,MATCH($A66,Bookings!$A$5:$A$304,0)))),"—")</f>
        <v>—</v>
      </c>
      <c r="E66" s="38" t="str">
        <f t="shared" ca="1" si="0"/>
        <v>—</v>
      </c>
      <c r="F66" s="39" t="str">
        <f>IF(OR(NOT(ISNUMBER($D66)),$B66="—",$B66=""),"—",IF(COUNTIFS(Bookings!$B$5:$B$304,$B66,Bookings!$F$5:$F$304,$D66)-COUNTIFS(Bookings!$B$5:$B$304,$B66,Bookings!$F$5:$F$304,$D66,Bookings!$D$5:$D$304,"Cancelled")-COUNTIFS(Bookings!$B$5:$B$304,$B66,Bookings!$F$5:$F$304,$D66,Bookings!$D$5:$D$304,"Owner block")&gt;0,"SAME-DAY TURN","No same-day guest"))</f>
        <v>—</v>
      </c>
      <c r="G66" s="38" t="str">
        <f>IFERROR(IF(INDEX(Bookings!$D$5:$D$304,MATCH($A66,Bookings!$A$5:$A$304,0))="Cancelled","—",IF(INDEX(Bookings!$I$5:$I$304,MATCH($A66,Bookings!$A$5:$A$304,0))="","—",INDEX(Bookings!$I$5:$I$304,MATCH($A66,Bookings!$A$5:$A$304,0)))),"—")</f>
        <v>—</v>
      </c>
      <c r="H66" s="38" t="str">
        <f>IFERROR(IF(INDEX(Setup!$I$25:$I$36,MATCH($B66,Setup!$A$25:$A$36,0))=0,"—",INDEX(Setup!$I$25:$I$36,MATCH($B66,Setup!$A$25:$A$36,0))),"—")</f>
        <v>—</v>
      </c>
      <c r="I66" s="21" t="str">
        <f>IFERROR(IF(INDEX(Setup!$E$25:$E$36,MATCH($B66,Setup!$A$25:$A$36,0))=0,"—",INDEX(Setup!$E$25:$E$36,MATCH($B66,Setup!$A$25:$A$36,0))),"—")</f>
        <v>—</v>
      </c>
      <c r="J66" s="8"/>
      <c r="K66" s="8"/>
      <c r="L66" s="8"/>
    </row>
    <row r="67" spans="1:12" x14ac:dyDescent="0.2">
      <c r="A67" s="30">
        <v>63</v>
      </c>
      <c r="B67" s="7" t="str">
        <f>IFERROR(IF(INDEX(Bookings!$D$5:$D$304,MATCH($A67,Bookings!$A$5:$A$304,0))="Cancelled","—",IF(INDEX(Bookings!$B$5:$B$304,MATCH($A67,Bookings!$A$5:$A$304,0))="","—",INDEX(Bookings!$B$5:$B$304,MATCH($A67,Bookings!$A$5:$A$304,0)))),"—")</f>
        <v>—</v>
      </c>
      <c r="C67" s="7" t="str">
        <f>IFERROR(IF(INDEX(Bookings!$D$5:$D$304,MATCH($A67,Bookings!$A$5:$A$304,0))="Cancelled","—",IF(INDEX(Bookings!$E$5:$E$304,MATCH($A67,Bookings!$A$5:$A$304,0))="","—",INDEX(Bookings!$E$5:$E$304,MATCH($A67,Bookings!$A$5:$A$304,0)))),"—")</f>
        <v>—</v>
      </c>
      <c r="D67" s="37" t="str">
        <f>IFERROR(IF(INDEX(Bookings!$D$5:$D$304,MATCH($A67,Bookings!$A$5:$A$304,0))="Cancelled","—",IF(INDEX(Bookings!$G$5:$G$304,MATCH($A67,Bookings!$A$5:$A$304,0))="","—",INDEX(Bookings!$G$5:$G$304,MATCH($A67,Bookings!$A$5:$A$304,0)))),"—")</f>
        <v>—</v>
      </c>
      <c r="E67" s="38" t="str">
        <f t="shared" ca="1" si="0"/>
        <v>—</v>
      </c>
      <c r="F67" s="39" t="str">
        <f>IF(OR(NOT(ISNUMBER($D67)),$B67="—",$B67=""),"—",IF(COUNTIFS(Bookings!$B$5:$B$304,$B67,Bookings!$F$5:$F$304,$D67)-COUNTIFS(Bookings!$B$5:$B$304,$B67,Bookings!$F$5:$F$304,$D67,Bookings!$D$5:$D$304,"Cancelled")-COUNTIFS(Bookings!$B$5:$B$304,$B67,Bookings!$F$5:$F$304,$D67,Bookings!$D$5:$D$304,"Owner block")&gt;0,"SAME-DAY TURN","No same-day guest"))</f>
        <v>—</v>
      </c>
      <c r="G67" s="38" t="str">
        <f>IFERROR(IF(INDEX(Bookings!$D$5:$D$304,MATCH($A67,Bookings!$A$5:$A$304,0))="Cancelled","—",IF(INDEX(Bookings!$I$5:$I$304,MATCH($A67,Bookings!$A$5:$A$304,0))="","—",INDEX(Bookings!$I$5:$I$304,MATCH($A67,Bookings!$A$5:$A$304,0)))),"—")</f>
        <v>—</v>
      </c>
      <c r="H67" s="38" t="str">
        <f>IFERROR(IF(INDEX(Setup!$I$25:$I$36,MATCH($B67,Setup!$A$25:$A$36,0))=0,"—",INDEX(Setup!$I$25:$I$36,MATCH($B67,Setup!$A$25:$A$36,0))),"—")</f>
        <v>—</v>
      </c>
      <c r="I67" s="21" t="str">
        <f>IFERROR(IF(INDEX(Setup!$E$25:$E$36,MATCH($B67,Setup!$A$25:$A$36,0))=0,"—",INDEX(Setup!$E$25:$E$36,MATCH($B67,Setup!$A$25:$A$36,0))),"—")</f>
        <v>—</v>
      </c>
      <c r="J67" s="3"/>
      <c r="K67" s="3"/>
      <c r="L67" s="3"/>
    </row>
    <row r="68" spans="1:12" x14ac:dyDescent="0.2">
      <c r="A68" s="30">
        <v>64</v>
      </c>
      <c r="B68" s="7" t="str">
        <f>IFERROR(IF(INDEX(Bookings!$D$5:$D$304,MATCH($A68,Bookings!$A$5:$A$304,0))="Cancelled","—",IF(INDEX(Bookings!$B$5:$B$304,MATCH($A68,Bookings!$A$5:$A$304,0))="","—",INDEX(Bookings!$B$5:$B$304,MATCH($A68,Bookings!$A$5:$A$304,0)))),"—")</f>
        <v>—</v>
      </c>
      <c r="C68" s="7" t="str">
        <f>IFERROR(IF(INDEX(Bookings!$D$5:$D$304,MATCH($A68,Bookings!$A$5:$A$304,0))="Cancelled","—",IF(INDEX(Bookings!$E$5:$E$304,MATCH($A68,Bookings!$A$5:$A$304,0))="","—",INDEX(Bookings!$E$5:$E$304,MATCH($A68,Bookings!$A$5:$A$304,0)))),"—")</f>
        <v>—</v>
      </c>
      <c r="D68" s="37" t="str">
        <f>IFERROR(IF(INDEX(Bookings!$D$5:$D$304,MATCH($A68,Bookings!$A$5:$A$304,0))="Cancelled","—",IF(INDEX(Bookings!$G$5:$G$304,MATCH($A68,Bookings!$A$5:$A$304,0))="","—",INDEX(Bookings!$G$5:$G$304,MATCH($A68,Bookings!$A$5:$A$304,0)))),"—")</f>
        <v>—</v>
      </c>
      <c r="E68" s="38" t="str">
        <f t="shared" ca="1" si="0"/>
        <v>—</v>
      </c>
      <c r="F68" s="39" t="str">
        <f>IF(OR(NOT(ISNUMBER($D68)),$B68="—",$B68=""),"—",IF(COUNTIFS(Bookings!$B$5:$B$304,$B68,Bookings!$F$5:$F$304,$D68)-COUNTIFS(Bookings!$B$5:$B$304,$B68,Bookings!$F$5:$F$304,$D68,Bookings!$D$5:$D$304,"Cancelled")-COUNTIFS(Bookings!$B$5:$B$304,$B68,Bookings!$F$5:$F$304,$D68,Bookings!$D$5:$D$304,"Owner block")&gt;0,"SAME-DAY TURN","No same-day guest"))</f>
        <v>—</v>
      </c>
      <c r="G68" s="38" t="str">
        <f>IFERROR(IF(INDEX(Bookings!$D$5:$D$304,MATCH($A68,Bookings!$A$5:$A$304,0))="Cancelled","—",IF(INDEX(Bookings!$I$5:$I$304,MATCH($A68,Bookings!$A$5:$A$304,0))="","—",INDEX(Bookings!$I$5:$I$304,MATCH($A68,Bookings!$A$5:$A$304,0)))),"—")</f>
        <v>—</v>
      </c>
      <c r="H68" s="38" t="str">
        <f>IFERROR(IF(INDEX(Setup!$I$25:$I$36,MATCH($B68,Setup!$A$25:$A$36,0))=0,"—",INDEX(Setup!$I$25:$I$36,MATCH($B68,Setup!$A$25:$A$36,0))),"—")</f>
        <v>—</v>
      </c>
      <c r="I68" s="21" t="str">
        <f>IFERROR(IF(INDEX(Setup!$E$25:$E$36,MATCH($B68,Setup!$A$25:$A$36,0))=0,"—",INDEX(Setup!$E$25:$E$36,MATCH($B68,Setup!$A$25:$A$36,0))),"—")</f>
        <v>—</v>
      </c>
      <c r="J68" s="8"/>
      <c r="K68" s="8"/>
      <c r="L68" s="8"/>
    </row>
    <row r="69" spans="1:12" x14ac:dyDescent="0.2">
      <c r="A69" s="30">
        <v>65</v>
      </c>
      <c r="B69" s="7" t="str">
        <f>IFERROR(IF(INDEX(Bookings!$D$5:$D$304,MATCH($A69,Bookings!$A$5:$A$304,0))="Cancelled","—",IF(INDEX(Bookings!$B$5:$B$304,MATCH($A69,Bookings!$A$5:$A$304,0))="","—",INDEX(Bookings!$B$5:$B$304,MATCH($A69,Bookings!$A$5:$A$304,0)))),"—")</f>
        <v>—</v>
      </c>
      <c r="C69" s="7" t="str">
        <f>IFERROR(IF(INDEX(Bookings!$D$5:$D$304,MATCH($A69,Bookings!$A$5:$A$304,0))="Cancelled","—",IF(INDEX(Bookings!$E$5:$E$304,MATCH($A69,Bookings!$A$5:$A$304,0))="","—",INDEX(Bookings!$E$5:$E$304,MATCH($A69,Bookings!$A$5:$A$304,0)))),"—")</f>
        <v>—</v>
      </c>
      <c r="D69" s="37" t="str">
        <f>IFERROR(IF(INDEX(Bookings!$D$5:$D$304,MATCH($A69,Bookings!$A$5:$A$304,0))="Cancelled","—",IF(INDEX(Bookings!$G$5:$G$304,MATCH($A69,Bookings!$A$5:$A$304,0))="","—",INDEX(Bookings!$G$5:$G$304,MATCH($A69,Bookings!$A$5:$A$304,0)))),"—")</f>
        <v>—</v>
      </c>
      <c r="E69" s="38" t="str">
        <f t="shared" ref="E69:E132" ca="1" si="1">IF(NOT(ISNUMBER($D69)),"—",IF($D69&lt;TODAY(),"Past",IF($D69=TODAY(),"TODAY",$D69-TODAY())))</f>
        <v>—</v>
      </c>
      <c r="F69" s="39" t="str">
        <f>IF(OR(NOT(ISNUMBER($D69)),$B69="—",$B69=""),"—",IF(COUNTIFS(Bookings!$B$5:$B$304,$B69,Bookings!$F$5:$F$304,$D69)-COUNTIFS(Bookings!$B$5:$B$304,$B69,Bookings!$F$5:$F$304,$D69,Bookings!$D$5:$D$304,"Cancelled")-COUNTIFS(Bookings!$B$5:$B$304,$B69,Bookings!$F$5:$F$304,$D69,Bookings!$D$5:$D$304,"Owner block")&gt;0,"SAME-DAY TURN","No same-day guest"))</f>
        <v>—</v>
      </c>
      <c r="G69" s="38" t="str">
        <f>IFERROR(IF(INDEX(Bookings!$D$5:$D$304,MATCH($A69,Bookings!$A$5:$A$304,0))="Cancelled","—",IF(INDEX(Bookings!$I$5:$I$304,MATCH($A69,Bookings!$A$5:$A$304,0))="","—",INDEX(Bookings!$I$5:$I$304,MATCH($A69,Bookings!$A$5:$A$304,0)))),"—")</f>
        <v>—</v>
      </c>
      <c r="H69" s="38" t="str">
        <f>IFERROR(IF(INDEX(Setup!$I$25:$I$36,MATCH($B69,Setup!$A$25:$A$36,0))=0,"—",INDEX(Setup!$I$25:$I$36,MATCH($B69,Setup!$A$25:$A$36,0))),"—")</f>
        <v>—</v>
      </c>
      <c r="I69" s="21" t="str">
        <f>IFERROR(IF(INDEX(Setup!$E$25:$E$36,MATCH($B69,Setup!$A$25:$A$36,0))=0,"—",INDEX(Setup!$E$25:$E$36,MATCH($B69,Setup!$A$25:$A$36,0))),"—")</f>
        <v>—</v>
      </c>
      <c r="J69" s="3"/>
      <c r="K69" s="3"/>
      <c r="L69" s="3"/>
    </row>
    <row r="70" spans="1:12" x14ac:dyDescent="0.2">
      <c r="A70" s="30">
        <v>66</v>
      </c>
      <c r="B70" s="7" t="str">
        <f>IFERROR(IF(INDEX(Bookings!$D$5:$D$304,MATCH($A70,Bookings!$A$5:$A$304,0))="Cancelled","—",IF(INDEX(Bookings!$B$5:$B$304,MATCH($A70,Bookings!$A$5:$A$304,0))="","—",INDEX(Bookings!$B$5:$B$304,MATCH($A70,Bookings!$A$5:$A$304,0)))),"—")</f>
        <v>—</v>
      </c>
      <c r="C70" s="7" t="str">
        <f>IFERROR(IF(INDEX(Bookings!$D$5:$D$304,MATCH($A70,Bookings!$A$5:$A$304,0))="Cancelled","—",IF(INDEX(Bookings!$E$5:$E$304,MATCH($A70,Bookings!$A$5:$A$304,0))="","—",INDEX(Bookings!$E$5:$E$304,MATCH($A70,Bookings!$A$5:$A$304,0)))),"—")</f>
        <v>—</v>
      </c>
      <c r="D70" s="37" t="str">
        <f>IFERROR(IF(INDEX(Bookings!$D$5:$D$304,MATCH($A70,Bookings!$A$5:$A$304,0))="Cancelled","—",IF(INDEX(Bookings!$G$5:$G$304,MATCH($A70,Bookings!$A$5:$A$304,0))="","—",INDEX(Bookings!$G$5:$G$304,MATCH($A70,Bookings!$A$5:$A$304,0)))),"—")</f>
        <v>—</v>
      </c>
      <c r="E70" s="38" t="str">
        <f t="shared" ca="1" si="1"/>
        <v>—</v>
      </c>
      <c r="F70" s="39" t="str">
        <f>IF(OR(NOT(ISNUMBER($D70)),$B70="—",$B70=""),"—",IF(COUNTIFS(Bookings!$B$5:$B$304,$B70,Bookings!$F$5:$F$304,$D70)-COUNTIFS(Bookings!$B$5:$B$304,$B70,Bookings!$F$5:$F$304,$D70,Bookings!$D$5:$D$304,"Cancelled")-COUNTIFS(Bookings!$B$5:$B$304,$B70,Bookings!$F$5:$F$304,$D70,Bookings!$D$5:$D$304,"Owner block")&gt;0,"SAME-DAY TURN","No same-day guest"))</f>
        <v>—</v>
      </c>
      <c r="G70" s="38" t="str">
        <f>IFERROR(IF(INDEX(Bookings!$D$5:$D$304,MATCH($A70,Bookings!$A$5:$A$304,0))="Cancelled","—",IF(INDEX(Bookings!$I$5:$I$304,MATCH($A70,Bookings!$A$5:$A$304,0))="","—",INDEX(Bookings!$I$5:$I$304,MATCH($A70,Bookings!$A$5:$A$304,0)))),"—")</f>
        <v>—</v>
      </c>
      <c r="H70" s="38" t="str">
        <f>IFERROR(IF(INDEX(Setup!$I$25:$I$36,MATCH($B70,Setup!$A$25:$A$36,0))=0,"—",INDEX(Setup!$I$25:$I$36,MATCH($B70,Setup!$A$25:$A$36,0))),"—")</f>
        <v>—</v>
      </c>
      <c r="I70" s="21" t="str">
        <f>IFERROR(IF(INDEX(Setup!$E$25:$E$36,MATCH($B70,Setup!$A$25:$A$36,0))=0,"—",INDEX(Setup!$E$25:$E$36,MATCH($B70,Setup!$A$25:$A$36,0))),"—")</f>
        <v>—</v>
      </c>
      <c r="J70" s="8"/>
      <c r="K70" s="8"/>
      <c r="L70" s="8"/>
    </row>
    <row r="71" spans="1:12" x14ac:dyDescent="0.2">
      <c r="A71" s="30">
        <v>67</v>
      </c>
      <c r="B71" s="7" t="str">
        <f>IFERROR(IF(INDEX(Bookings!$D$5:$D$304,MATCH($A71,Bookings!$A$5:$A$304,0))="Cancelled","—",IF(INDEX(Bookings!$B$5:$B$304,MATCH($A71,Bookings!$A$5:$A$304,0))="","—",INDEX(Bookings!$B$5:$B$304,MATCH($A71,Bookings!$A$5:$A$304,0)))),"—")</f>
        <v>—</v>
      </c>
      <c r="C71" s="7" t="str">
        <f>IFERROR(IF(INDEX(Bookings!$D$5:$D$304,MATCH($A71,Bookings!$A$5:$A$304,0))="Cancelled","—",IF(INDEX(Bookings!$E$5:$E$304,MATCH($A71,Bookings!$A$5:$A$304,0))="","—",INDEX(Bookings!$E$5:$E$304,MATCH($A71,Bookings!$A$5:$A$304,0)))),"—")</f>
        <v>—</v>
      </c>
      <c r="D71" s="37" t="str">
        <f>IFERROR(IF(INDEX(Bookings!$D$5:$D$304,MATCH($A71,Bookings!$A$5:$A$304,0))="Cancelled","—",IF(INDEX(Bookings!$G$5:$G$304,MATCH($A71,Bookings!$A$5:$A$304,0))="","—",INDEX(Bookings!$G$5:$G$304,MATCH($A71,Bookings!$A$5:$A$304,0)))),"—")</f>
        <v>—</v>
      </c>
      <c r="E71" s="38" t="str">
        <f t="shared" ca="1" si="1"/>
        <v>—</v>
      </c>
      <c r="F71" s="39" t="str">
        <f>IF(OR(NOT(ISNUMBER($D71)),$B71="—",$B71=""),"—",IF(COUNTIFS(Bookings!$B$5:$B$304,$B71,Bookings!$F$5:$F$304,$D71)-COUNTIFS(Bookings!$B$5:$B$304,$B71,Bookings!$F$5:$F$304,$D71,Bookings!$D$5:$D$304,"Cancelled")-COUNTIFS(Bookings!$B$5:$B$304,$B71,Bookings!$F$5:$F$304,$D71,Bookings!$D$5:$D$304,"Owner block")&gt;0,"SAME-DAY TURN","No same-day guest"))</f>
        <v>—</v>
      </c>
      <c r="G71" s="38" t="str">
        <f>IFERROR(IF(INDEX(Bookings!$D$5:$D$304,MATCH($A71,Bookings!$A$5:$A$304,0))="Cancelled","—",IF(INDEX(Bookings!$I$5:$I$304,MATCH($A71,Bookings!$A$5:$A$304,0))="","—",INDEX(Bookings!$I$5:$I$304,MATCH($A71,Bookings!$A$5:$A$304,0)))),"—")</f>
        <v>—</v>
      </c>
      <c r="H71" s="38" t="str">
        <f>IFERROR(IF(INDEX(Setup!$I$25:$I$36,MATCH($B71,Setup!$A$25:$A$36,0))=0,"—",INDEX(Setup!$I$25:$I$36,MATCH($B71,Setup!$A$25:$A$36,0))),"—")</f>
        <v>—</v>
      </c>
      <c r="I71" s="21" t="str">
        <f>IFERROR(IF(INDEX(Setup!$E$25:$E$36,MATCH($B71,Setup!$A$25:$A$36,0))=0,"—",INDEX(Setup!$E$25:$E$36,MATCH($B71,Setup!$A$25:$A$36,0))),"—")</f>
        <v>—</v>
      </c>
      <c r="J71" s="3"/>
      <c r="K71" s="3"/>
      <c r="L71" s="3"/>
    </row>
    <row r="72" spans="1:12" x14ac:dyDescent="0.2">
      <c r="A72" s="30">
        <v>68</v>
      </c>
      <c r="B72" s="7" t="str">
        <f>IFERROR(IF(INDEX(Bookings!$D$5:$D$304,MATCH($A72,Bookings!$A$5:$A$304,0))="Cancelled","—",IF(INDEX(Bookings!$B$5:$B$304,MATCH($A72,Bookings!$A$5:$A$304,0))="","—",INDEX(Bookings!$B$5:$B$304,MATCH($A72,Bookings!$A$5:$A$304,0)))),"—")</f>
        <v>—</v>
      </c>
      <c r="C72" s="7" t="str">
        <f>IFERROR(IF(INDEX(Bookings!$D$5:$D$304,MATCH($A72,Bookings!$A$5:$A$304,0))="Cancelled","—",IF(INDEX(Bookings!$E$5:$E$304,MATCH($A72,Bookings!$A$5:$A$304,0))="","—",INDEX(Bookings!$E$5:$E$304,MATCH($A72,Bookings!$A$5:$A$304,0)))),"—")</f>
        <v>—</v>
      </c>
      <c r="D72" s="37" t="str">
        <f>IFERROR(IF(INDEX(Bookings!$D$5:$D$304,MATCH($A72,Bookings!$A$5:$A$304,0))="Cancelled","—",IF(INDEX(Bookings!$G$5:$G$304,MATCH($A72,Bookings!$A$5:$A$304,0))="","—",INDEX(Bookings!$G$5:$G$304,MATCH($A72,Bookings!$A$5:$A$304,0)))),"—")</f>
        <v>—</v>
      </c>
      <c r="E72" s="38" t="str">
        <f t="shared" ca="1" si="1"/>
        <v>—</v>
      </c>
      <c r="F72" s="39" t="str">
        <f>IF(OR(NOT(ISNUMBER($D72)),$B72="—",$B72=""),"—",IF(COUNTIFS(Bookings!$B$5:$B$304,$B72,Bookings!$F$5:$F$304,$D72)-COUNTIFS(Bookings!$B$5:$B$304,$B72,Bookings!$F$5:$F$304,$D72,Bookings!$D$5:$D$304,"Cancelled")-COUNTIFS(Bookings!$B$5:$B$304,$B72,Bookings!$F$5:$F$304,$D72,Bookings!$D$5:$D$304,"Owner block")&gt;0,"SAME-DAY TURN","No same-day guest"))</f>
        <v>—</v>
      </c>
      <c r="G72" s="38" t="str">
        <f>IFERROR(IF(INDEX(Bookings!$D$5:$D$304,MATCH($A72,Bookings!$A$5:$A$304,0))="Cancelled","—",IF(INDEX(Bookings!$I$5:$I$304,MATCH($A72,Bookings!$A$5:$A$304,0))="","—",INDEX(Bookings!$I$5:$I$304,MATCH($A72,Bookings!$A$5:$A$304,0)))),"—")</f>
        <v>—</v>
      </c>
      <c r="H72" s="38" t="str">
        <f>IFERROR(IF(INDEX(Setup!$I$25:$I$36,MATCH($B72,Setup!$A$25:$A$36,0))=0,"—",INDEX(Setup!$I$25:$I$36,MATCH($B72,Setup!$A$25:$A$36,0))),"—")</f>
        <v>—</v>
      </c>
      <c r="I72" s="21" t="str">
        <f>IFERROR(IF(INDEX(Setup!$E$25:$E$36,MATCH($B72,Setup!$A$25:$A$36,0))=0,"—",INDEX(Setup!$E$25:$E$36,MATCH($B72,Setup!$A$25:$A$36,0))),"—")</f>
        <v>—</v>
      </c>
      <c r="J72" s="8"/>
      <c r="K72" s="8"/>
      <c r="L72" s="8"/>
    </row>
    <row r="73" spans="1:12" x14ac:dyDescent="0.2">
      <c r="A73" s="30">
        <v>69</v>
      </c>
      <c r="B73" s="7" t="str">
        <f>IFERROR(IF(INDEX(Bookings!$D$5:$D$304,MATCH($A73,Bookings!$A$5:$A$304,0))="Cancelled","—",IF(INDEX(Bookings!$B$5:$B$304,MATCH($A73,Bookings!$A$5:$A$304,0))="","—",INDEX(Bookings!$B$5:$B$304,MATCH($A73,Bookings!$A$5:$A$304,0)))),"—")</f>
        <v>—</v>
      </c>
      <c r="C73" s="7" t="str">
        <f>IFERROR(IF(INDEX(Bookings!$D$5:$D$304,MATCH($A73,Bookings!$A$5:$A$304,0))="Cancelled","—",IF(INDEX(Bookings!$E$5:$E$304,MATCH($A73,Bookings!$A$5:$A$304,0))="","—",INDEX(Bookings!$E$5:$E$304,MATCH($A73,Bookings!$A$5:$A$304,0)))),"—")</f>
        <v>—</v>
      </c>
      <c r="D73" s="37" t="str">
        <f>IFERROR(IF(INDEX(Bookings!$D$5:$D$304,MATCH($A73,Bookings!$A$5:$A$304,0))="Cancelled","—",IF(INDEX(Bookings!$G$5:$G$304,MATCH($A73,Bookings!$A$5:$A$304,0))="","—",INDEX(Bookings!$G$5:$G$304,MATCH($A73,Bookings!$A$5:$A$304,0)))),"—")</f>
        <v>—</v>
      </c>
      <c r="E73" s="38" t="str">
        <f t="shared" ca="1" si="1"/>
        <v>—</v>
      </c>
      <c r="F73" s="39" t="str">
        <f>IF(OR(NOT(ISNUMBER($D73)),$B73="—",$B73=""),"—",IF(COUNTIFS(Bookings!$B$5:$B$304,$B73,Bookings!$F$5:$F$304,$D73)-COUNTIFS(Bookings!$B$5:$B$304,$B73,Bookings!$F$5:$F$304,$D73,Bookings!$D$5:$D$304,"Cancelled")-COUNTIFS(Bookings!$B$5:$B$304,$B73,Bookings!$F$5:$F$304,$D73,Bookings!$D$5:$D$304,"Owner block")&gt;0,"SAME-DAY TURN","No same-day guest"))</f>
        <v>—</v>
      </c>
      <c r="G73" s="38" t="str">
        <f>IFERROR(IF(INDEX(Bookings!$D$5:$D$304,MATCH($A73,Bookings!$A$5:$A$304,0))="Cancelled","—",IF(INDEX(Bookings!$I$5:$I$304,MATCH($A73,Bookings!$A$5:$A$304,0))="","—",INDEX(Bookings!$I$5:$I$304,MATCH($A73,Bookings!$A$5:$A$304,0)))),"—")</f>
        <v>—</v>
      </c>
      <c r="H73" s="38" t="str">
        <f>IFERROR(IF(INDEX(Setup!$I$25:$I$36,MATCH($B73,Setup!$A$25:$A$36,0))=0,"—",INDEX(Setup!$I$25:$I$36,MATCH($B73,Setup!$A$25:$A$36,0))),"—")</f>
        <v>—</v>
      </c>
      <c r="I73" s="21" t="str">
        <f>IFERROR(IF(INDEX(Setup!$E$25:$E$36,MATCH($B73,Setup!$A$25:$A$36,0))=0,"—",INDEX(Setup!$E$25:$E$36,MATCH($B73,Setup!$A$25:$A$36,0))),"—")</f>
        <v>—</v>
      </c>
      <c r="J73" s="3"/>
      <c r="K73" s="3"/>
      <c r="L73" s="3"/>
    </row>
    <row r="74" spans="1:12" x14ac:dyDescent="0.2">
      <c r="A74" s="30">
        <v>70</v>
      </c>
      <c r="B74" s="7" t="str">
        <f>IFERROR(IF(INDEX(Bookings!$D$5:$D$304,MATCH($A74,Bookings!$A$5:$A$304,0))="Cancelled","—",IF(INDEX(Bookings!$B$5:$B$304,MATCH($A74,Bookings!$A$5:$A$304,0))="","—",INDEX(Bookings!$B$5:$B$304,MATCH($A74,Bookings!$A$5:$A$304,0)))),"—")</f>
        <v>—</v>
      </c>
      <c r="C74" s="7" t="str">
        <f>IFERROR(IF(INDEX(Bookings!$D$5:$D$304,MATCH($A74,Bookings!$A$5:$A$304,0))="Cancelled","—",IF(INDEX(Bookings!$E$5:$E$304,MATCH($A74,Bookings!$A$5:$A$304,0))="","—",INDEX(Bookings!$E$5:$E$304,MATCH($A74,Bookings!$A$5:$A$304,0)))),"—")</f>
        <v>—</v>
      </c>
      <c r="D74" s="37" t="str">
        <f>IFERROR(IF(INDEX(Bookings!$D$5:$D$304,MATCH($A74,Bookings!$A$5:$A$304,0))="Cancelled","—",IF(INDEX(Bookings!$G$5:$G$304,MATCH($A74,Bookings!$A$5:$A$304,0))="","—",INDEX(Bookings!$G$5:$G$304,MATCH($A74,Bookings!$A$5:$A$304,0)))),"—")</f>
        <v>—</v>
      </c>
      <c r="E74" s="38" t="str">
        <f t="shared" ca="1" si="1"/>
        <v>—</v>
      </c>
      <c r="F74" s="39" t="str">
        <f>IF(OR(NOT(ISNUMBER($D74)),$B74="—",$B74=""),"—",IF(COUNTIFS(Bookings!$B$5:$B$304,$B74,Bookings!$F$5:$F$304,$D74)-COUNTIFS(Bookings!$B$5:$B$304,$B74,Bookings!$F$5:$F$304,$D74,Bookings!$D$5:$D$304,"Cancelled")-COUNTIFS(Bookings!$B$5:$B$304,$B74,Bookings!$F$5:$F$304,$D74,Bookings!$D$5:$D$304,"Owner block")&gt;0,"SAME-DAY TURN","No same-day guest"))</f>
        <v>—</v>
      </c>
      <c r="G74" s="38" t="str">
        <f>IFERROR(IF(INDEX(Bookings!$D$5:$D$304,MATCH($A74,Bookings!$A$5:$A$304,0))="Cancelled","—",IF(INDEX(Bookings!$I$5:$I$304,MATCH($A74,Bookings!$A$5:$A$304,0))="","—",INDEX(Bookings!$I$5:$I$304,MATCH($A74,Bookings!$A$5:$A$304,0)))),"—")</f>
        <v>—</v>
      </c>
      <c r="H74" s="38" t="str">
        <f>IFERROR(IF(INDEX(Setup!$I$25:$I$36,MATCH($B74,Setup!$A$25:$A$36,0))=0,"—",INDEX(Setup!$I$25:$I$36,MATCH($B74,Setup!$A$25:$A$36,0))),"—")</f>
        <v>—</v>
      </c>
      <c r="I74" s="21" t="str">
        <f>IFERROR(IF(INDEX(Setup!$E$25:$E$36,MATCH($B74,Setup!$A$25:$A$36,0))=0,"—",INDEX(Setup!$E$25:$E$36,MATCH($B74,Setup!$A$25:$A$36,0))),"—")</f>
        <v>—</v>
      </c>
      <c r="J74" s="8"/>
      <c r="K74" s="8"/>
      <c r="L74" s="8"/>
    </row>
    <row r="75" spans="1:12" x14ac:dyDescent="0.2">
      <c r="A75" s="30">
        <v>71</v>
      </c>
      <c r="B75" s="7" t="str">
        <f>IFERROR(IF(INDEX(Bookings!$D$5:$D$304,MATCH($A75,Bookings!$A$5:$A$304,0))="Cancelled","—",IF(INDEX(Bookings!$B$5:$B$304,MATCH($A75,Bookings!$A$5:$A$304,0))="","—",INDEX(Bookings!$B$5:$B$304,MATCH($A75,Bookings!$A$5:$A$304,0)))),"—")</f>
        <v>—</v>
      </c>
      <c r="C75" s="7" t="str">
        <f>IFERROR(IF(INDEX(Bookings!$D$5:$D$304,MATCH($A75,Bookings!$A$5:$A$304,0))="Cancelled","—",IF(INDEX(Bookings!$E$5:$E$304,MATCH($A75,Bookings!$A$5:$A$304,0))="","—",INDEX(Bookings!$E$5:$E$304,MATCH($A75,Bookings!$A$5:$A$304,0)))),"—")</f>
        <v>—</v>
      </c>
      <c r="D75" s="37" t="str">
        <f>IFERROR(IF(INDEX(Bookings!$D$5:$D$304,MATCH($A75,Bookings!$A$5:$A$304,0))="Cancelled","—",IF(INDEX(Bookings!$G$5:$G$304,MATCH($A75,Bookings!$A$5:$A$304,0))="","—",INDEX(Bookings!$G$5:$G$304,MATCH($A75,Bookings!$A$5:$A$304,0)))),"—")</f>
        <v>—</v>
      </c>
      <c r="E75" s="38" t="str">
        <f t="shared" ca="1" si="1"/>
        <v>—</v>
      </c>
      <c r="F75" s="39" t="str">
        <f>IF(OR(NOT(ISNUMBER($D75)),$B75="—",$B75=""),"—",IF(COUNTIFS(Bookings!$B$5:$B$304,$B75,Bookings!$F$5:$F$304,$D75)-COUNTIFS(Bookings!$B$5:$B$304,$B75,Bookings!$F$5:$F$304,$D75,Bookings!$D$5:$D$304,"Cancelled")-COUNTIFS(Bookings!$B$5:$B$304,$B75,Bookings!$F$5:$F$304,$D75,Bookings!$D$5:$D$304,"Owner block")&gt;0,"SAME-DAY TURN","No same-day guest"))</f>
        <v>—</v>
      </c>
      <c r="G75" s="38" t="str">
        <f>IFERROR(IF(INDEX(Bookings!$D$5:$D$304,MATCH($A75,Bookings!$A$5:$A$304,0))="Cancelled","—",IF(INDEX(Bookings!$I$5:$I$304,MATCH($A75,Bookings!$A$5:$A$304,0))="","—",INDEX(Bookings!$I$5:$I$304,MATCH($A75,Bookings!$A$5:$A$304,0)))),"—")</f>
        <v>—</v>
      </c>
      <c r="H75" s="38" t="str">
        <f>IFERROR(IF(INDEX(Setup!$I$25:$I$36,MATCH($B75,Setup!$A$25:$A$36,0))=0,"—",INDEX(Setup!$I$25:$I$36,MATCH($B75,Setup!$A$25:$A$36,0))),"—")</f>
        <v>—</v>
      </c>
      <c r="I75" s="21" t="str">
        <f>IFERROR(IF(INDEX(Setup!$E$25:$E$36,MATCH($B75,Setup!$A$25:$A$36,0))=0,"—",INDEX(Setup!$E$25:$E$36,MATCH($B75,Setup!$A$25:$A$36,0))),"—")</f>
        <v>—</v>
      </c>
      <c r="J75" s="3"/>
      <c r="K75" s="3"/>
      <c r="L75" s="3"/>
    </row>
    <row r="76" spans="1:12" x14ac:dyDescent="0.2">
      <c r="A76" s="30">
        <v>72</v>
      </c>
      <c r="B76" s="7" t="str">
        <f>IFERROR(IF(INDEX(Bookings!$D$5:$D$304,MATCH($A76,Bookings!$A$5:$A$304,0))="Cancelled","—",IF(INDEX(Bookings!$B$5:$B$304,MATCH($A76,Bookings!$A$5:$A$304,0))="","—",INDEX(Bookings!$B$5:$B$304,MATCH($A76,Bookings!$A$5:$A$304,0)))),"—")</f>
        <v>—</v>
      </c>
      <c r="C76" s="7" t="str">
        <f>IFERROR(IF(INDEX(Bookings!$D$5:$D$304,MATCH($A76,Bookings!$A$5:$A$304,0))="Cancelled","—",IF(INDEX(Bookings!$E$5:$E$304,MATCH($A76,Bookings!$A$5:$A$304,0))="","—",INDEX(Bookings!$E$5:$E$304,MATCH($A76,Bookings!$A$5:$A$304,0)))),"—")</f>
        <v>—</v>
      </c>
      <c r="D76" s="37" t="str">
        <f>IFERROR(IF(INDEX(Bookings!$D$5:$D$304,MATCH($A76,Bookings!$A$5:$A$304,0))="Cancelled","—",IF(INDEX(Bookings!$G$5:$G$304,MATCH($A76,Bookings!$A$5:$A$304,0))="","—",INDEX(Bookings!$G$5:$G$304,MATCH($A76,Bookings!$A$5:$A$304,0)))),"—")</f>
        <v>—</v>
      </c>
      <c r="E76" s="38" t="str">
        <f t="shared" ca="1" si="1"/>
        <v>—</v>
      </c>
      <c r="F76" s="39" t="str">
        <f>IF(OR(NOT(ISNUMBER($D76)),$B76="—",$B76=""),"—",IF(COUNTIFS(Bookings!$B$5:$B$304,$B76,Bookings!$F$5:$F$304,$D76)-COUNTIFS(Bookings!$B$5:$B$304,$B76,Bookings!$F$5:$F$304,$D76,Bookings!$D$5:$D$304,"Cancelled")-COUNTIFS(Bookings!$B$5:$B$304,$B76,Bookings!$F$5:$F$304,$D76,Bookings!$D$5:$D$304,"Owner block")&gt;0,"SAME-DAY TURN","No same-day guest"))</f>
        <v>—</v>
      </c>
      <c r="G76" s="38" t="str">
        <f>IFERROR(IF(INDEX(Bookings!$D$5:$D$304,MATCH($A76,Bookings!$A$5:$A$304,0))="Cancelled","—",IF(INDEX(Bookings!$I$5:$I$304,MATCH($A76,Bookings!$A$5:$A$304,0))="","—",INDEX(Bookings!$I$5:$I$304,MATCH($A76,Bookings!$A$5:$A$304,0)))),"—")</f>
        <v>—</v>
      </c>
      <c r="H76" s="38" t="str">
        <f>IFERROR(IF(INDEX(Setup!$I$25:$I$36,MATCH($B76,Setup!$A$25:$A$36,0))=0,"—",INDEX(Setup!$I$25:$I$36,MATCH($B76,Setup!$A$25:$A$36,0))),"—")</f>
        <v>—</v>
      </c>
      <c r="I76" s="21" t="str">
        <f>IFERROR(IF(INDEX(Setup!$E$25:$E$36,MATCH($B76,Setup!$A$25:$A$36,0))=0,"—",INDEX(Setup!$E$25:$E$36,MATCH($B76,Setup!$A$25:$A$36,0))),"—")</f>
        <v>—</v>
      </c>
      <c r="J76" s="8"/>
      <c r="K76" s="8"/>
      <c r="L76" s="8"/>
    </row>
    <row r="77" spans="1:12" x14ac:dyDescent="0.2">
      <c r="A77" s="30">
        <v>73</v>
      </c>
      <c r="B77" s="7" t="str">
        <f>IFERROR(IF(INDEX(Bookings!$D$5:$D$304,MATCH($A77,Bookings!$A$5:$A$304,0))="Cancelled","—",IF(INDEX(Bookings!$B$5:$B$304,MATCH($A77,Bookings!$A$5:$A$304,0))="","—",INDEX(Bookings!$B$5:$B$304,MATCH($A77,Bookings!$A$5:$A$304,0)))),"—")</f>
        <v>—</v>
      </c>
      <c r="C77" s="7" t="str">
        <f>IFERROR(IF(INDEX(Bookings!$D$5:$D$304,MATCH($A77,Bookings!$A$5:$A$304,0))="Cancelled","—",IF(INDEX(Bookings!$E$5:$E$304,MATCH($A77,Bookings!$A$5:$A$304,0))="","—",INDEX(Bookings!$E$5:$E$304,MATCH($A77,Bookings!$A$5:$A$304,0)))),"—")</f>
        <v>—</v>
      </c>
      <c r="D77" s="37" t="str">
        <f>IFERROR(IF(INDEX(Bookings!$D$5:$D$304,MATCH($A77,Bookings!$A$5:$A$304,0))="Cancelled","—",IF(INDEX(Bookings!$G$5:$G$304,MATCH($A77,Bookings!$A$5:$A$304,0))="","—",INDEX(Bookings!$G$5:$G$304,MATCH($A77,Bookings!$A$5:$A$304,0)))),"—")</f>
        <v>—</v>
      </c>
      <c r="E77" s="38" t="str">
        <f t="shared" ca="1" si="1"/>
        <v>—</v>
      </c>
      <c r="F77" s="39" t="str">
        <f>IF(OR(NOT(ISNUMBER($D77)),$B77="—",$B77=""),"—",IF(COUNTIFS(Bookings!$B$5:$B$304,$B77,Bookings!$F$5:$F$304,$D77)-COUNTIFS(Bookings!$B$5:$B$304,$B77,Bookings!$F$5:$F$304,$D77,Bookings!$D$5:$D$304,"Cancelled")-COUNTIFS(Bookings!$B$5:$B$304,$B77,Bookings!$F$5:$F$304,$D77,Bookings!$D$5:$D$304,"Owner block")&gt;0,"SAME-DAY TURN","No same-day guest"))</f>
        <v>—</v>
      </c>
      <c r="G77" s="38" t="str">
        <f>IFERROR(IF(INDEX(Bookings!$D$5:$D$304,MATCH($A77,Bookings!$A$5:$A$304,0))="Cancelled","—",IF(INDEX(Bookings!$I$5:$I$304,MATCH($A77,Bookings!$A$5:$A$304,0))="","—",INDEX(Bookings!$I$5:$I$304,MATCH($A77,Bookings!$A$5:$A$304,0)))),"—")</f>
        <v>—</v>
      </c>
      <c r="H77" s="38" t="str">
        <f>IFERROR(IF(INDEX(Setup!$I$25:$I$36,MATCH($B77,Setup!$A$25:$A$36,0))=0,"—",INDEX(Setup!$I$25:$I$36,MATCH($B77,Setup!$A$25:$A$36,0))),"—")</f>
        <v>—</v>
      </c>
      <c r="I77" s="21" t="str">
        <f>IFERROR(IF(INDEX(Setup!$E$25:$E$36,MATCH($B77,Setup!$A$25:$A$36,0))=0,"—",INDEX(Setup!$E$25:$E$36,MATCH($B77,Setup!$A$25:$A$36,0))),"—")</f>
        <v>—</v>
      </c>
      <c r="J77" s="3"/>
      <c r="K77" s="3"/>
      <c r="L77" s="3"/>
    </row>
    <row r="78" spans="1:12" x14ac:dyDescent="0.2">
      <c r="A78" s="30">
        <v>74</v>
      </c>
      <c r="B78" s="7" t="str">
        <f>IFERROR(IF(INDEX(Bookings!$D$5:$D$304,MATCH($A78,Bookings!$A$5:$A$304,0))="Cancelled","—",IF(INDEX(Bookings!$B$5:$B$304,MATCH($A78,Bookings!$A$5:$A$304,0))="","—",INDEX(Bookings!$B$5:$B$304,MATCH($A78,Bookings!$A$5:$A$304,0)))),"—")</f>
        <v>—</v>
      </c>
      <c r="C78" s="7" t="str">
        <f>IFERROR(IF(INDEX(Bookings!$D$5:$D$304,MATCH($A78,Bookings!$A$5:$A$304,0))="Cancelled","—",IF(INDEX(Bookings!$E$5:$E$304,MATCH($A78,Bookings!$A$5:$A$304,0))="","—",INDEX(Bookings!$E$5:$E$304,MATCH($A78,Bookings!$A$5:$A$304,0)))),"—")</f>
        <v>—</v>
      </c>
      <c r="D78" s="37" t="str">
        <f>IFERROR(IF(INDEX(Bookings!$D$5:$D$304,MATCH($A78,Bookings!$A$5:$A$304,0))="Cancelled","—",IF(INDEX(Bookings!$G$5:$G$304,MATCH($A78,Bookings!$A$5:$A$304,0))="","—",INDEX(Bookings!$G$5:$G$304,MATCH($A78,Bookings!$A$5:$A$304,0)))),"—")</f>
        <v>—</v>
      </c>
      <c r="E78" s="38" t="str">
        <f t="shared" ca="1" si="1"/>
        <v>—</v>
      </c>
      <c r="F78" s="39" t="str">
        <f>IF(OR(NOT(ISNUMBER($D78)),$B78="—",$B78=""),"—",IF(COUNTIFS(Bookings!$B$5:$B$304,$B78,Bookings!$F$5:$F$304,$D78)-COUNTIFS(Bookings!$B$5:$B$304,$B78,Bookings!$F$5:$F$304,$D78,Bookings!$D$5:$D$304,"Cancelled")-COUNTIFS(Bookings!$B$5:$B$304,$B78,Bookings!$F$5:$F$304,$D78,Bookings!$D$5:$D$304,"Owner block")&gt;0,"SAME-DAY TURN","No same-day guest"))</f>
        <v>—</v>
      </c>
      <c r="G78" s="38" t="str">
        <f>IFERROR(IF(INDEX(Bookings!$D$5:$D$304,MATCH($A78,Bookings!$A$5:$A$304,0))="Cancelled","—",IF(INDEX(Bookings!$I$5:$I$304,MATCH($A78,Bookings!$A$5:$A$304,0))="","—",INDEX(Bookings!$I$5:$I$304,MATCH($A78,Bookings!$A$5:$A$304,0)))),"—")</f>
        <v>—</v>
      </c>
      <c r="H78" s="38" t="str">
        <f>IFERROR(IF(INDEX(Setup!$I$25:$I$36,MATCH($B78,Setup!$A$25:$A$36,0))=0,"—",INDEX(Setup!$I$25:$I$36,MATCH($B78,Setup!$A$25:$A$36,0))),"—")</f>
        <v>—</v>
      </c>
      <c r="I78" s="21" t="str">
        <f>IFERROR(IF(INDEX(Setup!$E$25:$E$36,MATCH($B78,Setup!$A$25:$A$36,0))=0,"—",INDEX(Setup!$E$25:$E$36,MATCH($B78,Setup!$A$25:$A$36,0))),"—")</f>
        <v>—</v>
      </c>
      <c r="J78" s="8"/>
      <c r="K78" s="8"/>
      <c r="L78" s="8"/>
    </row>
    <row r="79" spans="1:12" x14ac:dyDescent="0.2">
      <c r="A79" s="30">
        <v>75</v>
      </c>
      <c r="B79" s="7" t="str">
        <f>IFERROR(IF(INDEX(Bookings!$D$5:$D$304,MATCH($A79,Bookings!$A$5:$A$304,0))="Cancelled","—",IF(INDEX(Bookings!$B$5:$B$304,MATCH($A79,Bookings!$A$5:$A$304,0))="","—",INDEX(Bookings!$B$5:$B$304,MATCH($A79,Bookings!$A$5:$A$304,0)))),"—")</f>
        <v>—</v>
      </c>
      <c r="C79" s="7" t="str">
        <f>IFERROR(IF(INDEX(Bookings!$D$5:$D$304,MATCH($A79,Bookings!$A$5:$A$304,0))="Cancelled","—",IF(INDEX(Bookings!$E$5:$E$304,MATCH($A79,Bookings!$A$5:$A$304,0))="","—",INDEX(Bookings!$E$5:$E$304,MATCH($A79,Bookings!$A$5:$A$304,0)))),"—")</f>
        <v>—</v>
      </c>
      <c r="D79" s="37" t="str">
        <f>IFERROR(IF(INDEX(Bookings!$D$5:$D$304,MATCH($A79,Bookings!$A$5:$A$304,0))="Cancelled","—",IF(INDEX(Bookings!$G$5:$G$304,MATCH($A79,Bookings!$A$5:$A$304,0))="","—",INDEX(Bookings!$G$5:$G$304,MATCH($A79,Bookings!$A$5:$A$304,0)))),"—")</f>
        <v>—</v>
      </c>
      <c r="E79" s="38" t="str">
        <f t="shared" ca="1" si="1"/>
        <v>—</v>
      </c>
      <c r="F79" s="39" t="str">
        <f>IF(OR(NOT(ISNUMBER($D79)),$B79="—",$B79=""),"—",IF(COUNTIFS(Bookings!$B$5:$B$304,$B79,Bookings!$F$5:$F$304,$D79)-COUNTIFS(Bookings!$B$5:$B$304,$B79,Bookings!$F$5:$F$304,$D79,Bookings!$D$5:$D$304,"Cancelled")-COUNTIFS(Bookings!$B$5:$B$304,$B79,Bookings!$F$5:$F$304,$D79,Bookings!$D$5:$D$304,"Owner block")&gt;0,"SAME-DAY TURN","No same-day guest"))</f>
        <v>—</v>
      </c>
      <c r="G79" s="38" t="str">
        <f>IFERROR(IF(INDEX(Bookings!$D$5:$D$304,MATCH($A79,Bookings!$A$5:$A$304,0))="Cancelled","—",IF(INDEX(Bookings!$I$5:$I$304,MATCH($A79,Bookings!$A$5:$A$304,0))="","—",INDEX(Bookings!$I$5:$I$304,MATCH($A79,Bookings!$A$5:$A$304,0)))),"—")</f>
        <v>—</v>
      </c>
      <c r="H79" s="38" t="str">
        <f>IFERROR(IF(INDEX(Setup!$I$25:$I$36,MATCH($B79,Setup!$A$25:$A$36,0))=0,"—",INDEX(Setup!$I$25:$I$36,MATCH($B79,Setup!$A$25:$A$36,0))),"—")</f>
        <v>—</v>
      </c>
      <c r="I79" s="21" t="str">
        <f>IFERROR(IF(INDEX(Setup!$E$25:$E$36,MATCH($B79,Setup!$A$25:$A$36,0))=0,"—",INDEX(Setup!$E$25:$E$36,MATCH($B79,Setup!$A$25:$A$36,0))),"—")</f>
        <v>—</v>
      </c>
      <c r="J79" s="3"/>
      <c r="K79" s="3"/>
      <c r="L79" s="3"/>
    </row>
    <row r="80" spans="1:12" x14ac:dyDescent="0.2">
      <c r="A80" s="30">
        <v>76</v>
      </c>
      <c r="B80" s="7" t="str">
        <f>IFERROR(IF(INDEX(Bookings!$D$5:$D$304,MATCH($A80,Bookings!$A$5:$A$304,0))="Cancelled","—",IF(INDEX(Bookings!$B$5:$B$304,MATCH($A80,Bookings!$A$5:$A$304,0))="","—",INDEX(Bookings!$B$5:$B$304,MATCH($A80,Bookings!$A$5:$A$304,0)))),"—")</f>
        <v>—</v>
      </c>
      <c r="C80" s="7" t="str">
        <f>IFERROR(IF(INDEX(Bookings!$D$5:$D$304,MATCH($A80,Bookings!$A$5:$A$304,0))="Cancelled","—",IF(INDEX(Bookings!$E$5:$E$304,MATCH($A80,Bookings!$A$5:$A$304,0))="","—",INDEX(Bookings!$E$5:$E$304,MATCH($A80,Bookings!$A$5:$A$304,0)))),"—")</f>
        <v>—</v>
      </c>
      <c r="D80" s="37" t="str">
        <f>IFERROR(IF(INDEX(Bookings!$D$5:$D$304,MATCH($A80,Bookings!$A$5:$A$304,0))="Cancelled","—",IF(INDEX(Bookings!$G$5:$G$304,MATCH($A80,Bookings!$A$5:$A$304,0))="","—",INDEX(Bookings!$G$5:$G$304,MATCH($A80,Bookings!$A$5:$A$304,0)))),"—")</f>
        <v>—</v>
      </c>
      <c r="E80" s="38" t="str">
        <f t="shared" ca="1" si="1"/>
        <v>—</v>
      </c>
      <c r="F80" s="39" t="str">
        <f>IF(OR(NOT(ISNUMBER($D80)),$B80="—",$B80=""),"—",IF(COUNTIFS(Bookings!$B$5:$B$304,$B80,Bookings!$F$5:$F$304,$D80)-COUNTIFS(Bookings!$B$5:$B$304,$B80,Bookings!$F$5:$F$304,$D80,Bookings!$D$5:$D$304,"Cancelled")-COUNTIFS(Bookings!$B$5:$B$304,$B80,Bookings!$F$5:$F$304,$D80,Bookings!$D$5:$D$304,"Owner block")&gt;0,"SAME-DAY TURN","No same-day guest"))</f>
        <v>—</v>
      </c>
      <c r="G80" s="38" t="str">
        <f>IFERROR(IF(INDEX(Bookings!$D$5:$D$304,MATCH($A80,Bookings!$A$5:$A$304,0))="Cancelled","—",IF(INDEX(Bookings!$I$5:$I$304,MATCH($A80,Bookings!$A$5:$A$304,0))="","—",INDEX(Bookings!$I$5:$I$304,MATCH($A80,Bookings!$A$5:$A$304,0)))),"—")</f>
        <v>—</v>
      </c>
      <c r="H80" s="38" t="str">
        <f>IFERROR(IF(INDEX(Setup!$I$25:$I$36,MATCH($B80,Setup!$A$25:$A$36,0))=0,"—",INDEX(Setup!$I$25:$I$36,MATCH($B80,Setup!$A$25:$A$36,0))),"—")</f>
        <v>—</v>
      </c>
      <c r="I80" s="21" t="str">
        <f>IFERROR(IF(INDEX(Setup!$E$25:$E$36,MATCH($B80,Setup!$A$25:$A$36,0))=0,"—",INDEX(Setup!$E$25:$E$36,MATCH($B80,Setup!$A$25:$A$36,0))),"—")</f>
        <v>—</v>
      </c>
      <c r="J80" s="8"/>
      <c r="K80" s="8"/>
      <c r="L80" s="8"/>
    </row>
    <row r="81" spans="1:12" x14ac:dyDescent="0.2">
      <c r="A81" s="30">
        <v>77</v>
      </c>
      <c r="B81" s="7" t="str">
        <f>IFERROR(IF(INDEX(Bookings!$D$5:$D$304,MATCH($A81,Bookings!$A$5:$A$304,0))="Cancelled","—",IF(INDEX(Bookings!$B$5:$B$304,MATCH($A81,Bookings!$A$5:$A$304,0))="","—",INDEX(Bookings!$B$5:$B$304,MATCH($A81,Bookings!$A$5:$A$304,0)))),"—")</f>
        <v>—</v>
      </c>
      <c r="C81" s="7" t="str">
        <f>IFERROR(IF(INDEX(Bookings!$D$5:$D$304,MATCH($A81,Bookings!$A$5:$A$304,0))="Cancelled","—",IF(INDEX(Bookings!$E$5:$E$304,MATCH($A81,Bookings!$A$5:$A$304,0))="","—",INDEX(Bookings!$E$5:$E$304,MATCH($A81,Bookings!$A$5:$A$304,0)))),"—")</f>
        <v>—</v>
      </c>
      <c r="D81" s="37" t="str">
        <f>IFERROR(IF(INDEX(Bookings!$D$5:$D$304,MATCH($A81,Bookings!$A$5:$A$304,0))="Cancelled","—",IF(INDEX(Bookings!$G$5:$G$304,MATCH($A81,Bookings!$A$5:$A$304,0))="","—",INDEX(Bookings!$G$5:$G$304,MATCH($A81,Bookings!$A$5:$A$304,0)))),"—")</f>
        <v>—</v>
      </c>
      <c r="E81" s="38" t="str">
        <f t="shared" ca="1" si="1"/>
        <v>—</v>
      </c>
      <c r="F81" s="39" t="str">
        <f>IF(OR(NOT(ISNUMBER($D81)),$B81="—",$B81=""),"—",IF(COUNTIFS(Bookings!$B$5:$B$304,$B81,Bookings!$F$5:$F$304,$D81)-COUNTIFS(Bookings!$B$5:$B$304,$B81,Bookings!$F$5:$F$304,$D81,Bookings!$D$5:$D$304,"Cancelled")-COUNTIFS(Bookings!$B$5:$B$304,$B81,Bookings!$F$5:$F$304,$D81,Bookings!$D$5:$D$304,"Owner block")&gt;0,"SAME-DAY TURN","No same-day guest"))</f>
        <v>—</v>
      </c>
      <c r="G81" s="38" t="str">
        <f>IFERROR(IF(INDEX(Bookings!$D$5:$D$304,MATCH($A81,Bookings!$A$5:$A$304,0))="Cancelled","—",IF(INDEX(Bookings!$I$5:$I$304,MATCH($A81,Bookings!$A$5:$A$304,0))="","—",INDEX(Bookings!$I$5:$I$304,MATCH($A81,Bookings!$A$5:$A$304,0)))),"—")</f>
        <v>—</v>
      </c>
      <c r="H81" s="38" t="str">
        <f>IFERROR(IF(INDEX(Setup!$I$25:$I$36,MATCH($B81,Setup!$A$25:$A$36,0))=0,"—",INDEX(Setup!$I$25:$I$36,MATCH($B81,Setup!$A$25:$A$36,0))),"—")</f>
        <v>—</v>
      </c>
      <c r="I81" s="21" t="str">
        <f>IFERROR(IF(INDEX(Setup!$E$25:$E$36,MATCH($B81,Setup!$A$25:$A$36,0))=0,"—",INDEX(Setup!$E$25:$E$36,MATCH($B81,Setup!$A$25:$A$36,0))),"—")</f>
        <v>—</v>
      </c>
      <c r="J81" s="3"/>
      <c r="K81" s="3"/>
      <c r="L81" s="3"/>
    </row>
    <row r="82" spans="1:12" x14ac:dyDescent="0.2">
      <c r="A82" s="30">
        <v>78</v>
      </c>
      <c r="B82" s="7" t="str">
        <f>IFERROR(IF(INDEX(Bookings!$D$5:$D$304,MATCH($A82,Bookings!$A$5:$A$304,0))="Cancelled","—",IF(INDEX(Bookings!$B$5:$B$304,MATCH($A82,Bookings!$A$5:$A$304,0))="","—",INDEX(Bookings!$B$5:$B$304,MATCH($A82,Bookings!$A$5:$A$304,0)))),"—")</f>
        <v>—</v>
      </c>
      <c r="C82" s="7" t="str">
        <f>IFERROR(IF(INDEX(Bookings!$D$5:$D$304,MATCH($A82,Bookings!$A$5:$A$304,0))="Cancelled","—",IF(INDEX(Bookings!$E$5:$E$304,MATCH($A82,Bookings!$A$5:$A$304,0))="","—",INDEX(Bookings!$E$5:$E$304,MATCH($A82,Bookings!$A$5:$A$304,0)))),"—")</f>
        <v>—</v>
      </c>
      <c r="D82" s="37" t="str">
        <f>IFERROR(IF(INDEX(Bookings!$D$5:$D$304,MATCH($A82,Bookings!$A$5:$A$304,0))="Cancelled","—",IF(INDEX(Bookings!$G$5:$G$304,MATCH($A82,Bookings!$A$5:$A$304,0))="","—",INDEX(Bookings!$G$5:$G$304,MATCH($A82,Bookings!$A$5:$A$304,0)))),"—")</f>
        <v>—</v>
      </c>
      <c r="E82" s="38" t="str">
        <f t="shared" ca="1" si="1"/>
        <v>—</v>
      </c>
      <c r="F82" s="39" t="str">
        <f>IF(OR(NOT(ISNUMBER($D82)),$B82="—",$B82=""),"—",IF(COUNTIFS(Bookings!$B$5:$B$304,$B82,Bookings!$F$5:$F$304,$D82)-COUNTIFS(Bookings!$B$5:$B$304,$B82,Bookings!$F$5:$F$304,$D82,Bookings!$D$5:$D$304,"Cancelled")-COUNTIFS(Bookings!$B$5:$B$304,$B82,Bookings!$F$5:$F$304,$D82,Bookings!$D$5:$D$304,"Owner block")&gt;0,"SAME-DAY TURN","No same-day guest"))</f>
        <v>—</v>
      </c>
      <c r="G82" s="38" t="str">
        <f>IFERROR(IF(INDEX(Bookings!$D$5:$D$304,MATCH($A82,Bookings!$A$5:$A$304,0))="Cancelled","—",IF(INDEX(Bookings!$I$5:$I$304,MATCH($A82,Bookings!$A$5:$A$304,0))="","—",INDEX(Bookings!$I$5:$I$304,MATCH($A82,Bookings!$A$5:$A$304,0)))),"—")</f>
        <v>—</v>
      </c>
      <c r="H82" s="38" t="str">
        <f>IFERROR(IF(INDEX(Setup!$I$25:$I$36,MATCH($B82,Setup!$A$25:$A$36,0))=0,"—",INDEX(Setup!$I$25:$I$36,MATCH($B82,Setup!$A$25:$A$36,0))),"—")</f>
        <v>—</v>
      </c>
      <c r="I82" s="21" t="str">
        <f>IFERROR(IF(INDEX(Setup!$E$25:$E$36,MATCH($B82,Setup!$A$25:$A$36,0))=0,"—",INDEX(Setup!$E$25:$E$36,MATCH($B82,Setup!$A$25:$A$36,0))),"—")</f>
        <v>—</v>
      </c>
      <c r="J82" s="8"/>
      <c r="K82" s="8"/>
      <c r="L82" s="8"/>
    </row>
    <row r="83" spans="1:12" x14ac:dyDescent="0.2">
      <c r="A83" s="30">
        <v>79</v>
      </c>
      <c r="B83" s="7" t="str">
        <f>IFERROR(IF(INDEX(Bookings!$D$5:$D$304,MATCH($A83,Bookings!$A$5:$A$304,0))="Cancelled","—",IF(INDEX(Bookings!$B$5:$B$304,MATCH($A83,Bookings!$A$5:$A$304,0))="","—",INDEX(Bookings!$B$5:$B$304,MATCH($A83,Bookings!$A$5:$A$304,0)))),"—")</f>
        <v>—</v>
      </c>
      <c r="C83" s="7" t="str">
        <f>IFERROR(IF(INDEX(Bookings!$D$5:$D$304,MATCH($A83,Bookings!$A$5:$A$304,0))="Cancelled","—",IF(INDEX(Bookings!$E$5:$E$304,MATCH($A83,Bookings!$A$5:$A$304,0))="","—",INDEX(Bookings!$E$5:$E$304,MATCH($A83,Bookings!$A$5:$A$304,0)))),"—")</f>
        <v>—</v>
      </c>
      <c r="D83" s="37" t="str">
        <f>IFERROR(IF(INDEX(Bookings!$D$5:$D$304,MATCH($A83,Bookings!$A$5:$A$304,0))="Cancelled","—",IF(INDEX(Bookings!$G$5:$G$304,MATCH($A83,Bookings!$A$5:$A$304,0))="","—",INDEX(Bookings!$G$5:$G$304,MATCH($A83,Bookings!$A$5:$A$304,0)))),"—")</f>
        <v>—</v>
      </c>
      <c r="E83" s="38" t="str">
        <f t="shared" ca="1" si="1"/>
        <v>—</v>
      </c>
      <c r="F83" s="39" t="str">
        <f>IF(OR(NOT(ISNUMBER($D83)),$B83="—",$B83=""),"—",IF(COUNTIFS(Bookings!$B$5:$B$304,$B83,Bookings!$F$5:$F$304,$D83)-COUNTIFS(Bookings!$B$5:$B$304,$B83,Bookings!$F$5:$F$304,$D83,Bookings!$D$5:$D$304,"Cancelled")-COUNTIFS(Bookings!$B$5:$B$304,$B83,Bookings!$F$5:$F$304,$D83,Bookings!$D$5:$D$304,"Owner block")&gt;0,"SAME-DAY TURN","No same-day guest"))</f>
        <v>—</v>
      </c>
      <c r="G83" s="38" t="str">
        <f>IFERROR(IF(INDEX(Bookings!$D$5:$D$304,MATCH($A83,Bookings!$A$5:$A$304,0))="Cancelled","—",IF(INDEX(Bookings!$I$5:$I$304,MATCH($A83,Bookings!$A$5:$A$304,0))="","—",INDEX(Bookings!$I$5:$I$304,MATCH($A83,Bookings!$A$5:$A$304,0)))),"—")</f>
        <v>—</v>
      </c>
      <c r="H83" s="38" t="str">
        <f>IFERROR(IF(INDEX(Setup!$I$25:$I$36,MATCH($B83,Setup!$A$25:$A$36,0))=0,"—",INDEX(Setup!$I$25:$I$36,MATCH($B83,Setup!$A$25:$A$36,0))),"—")</f>
        <v>—</v>
      </c>
      <c r="I83" s="21" t="str">
        <f>IFERROR(IF(INDEX(Setup!$E$25:$E$36,MATCH($B83,Setup!$A$25:$A$36,0))=0,"—",INDEX(Setup!$E$25:$E$36,MATCH($B83,Setup!$A$25:$A$36,0))),"—")</f>
        <v>—</v>
      </c>
      <c r="J83" s="3"/>
      <c r="K83" s="3"/>
      <c r="L83" s="3"/>
    </row>
    <row r="84" spans="1:12" x14ac:dyDescent="0.2">
      <c r="A84" s="30">
        <v>80</v>
      </c>
      <c r="B84" s="7" t="str">
        <f>IFERROR(IF(INDEX(Bookings!$D$5:$D$304,MATCH($A84,Bookings!$A$5:$A$304,0))="Cancelled","—",IF(INDEX(Bookings!$B$5:$B$304,MATCH($A84,Bookings!$A$5:$A$304,0))="","—",INDEX(Bookings!$B$5:$B$304,MATCH($A84,Bookings!$A$5:$A$304,0)))),"—")</f>
        <v>—</v>
      </c>
      <c r="C84" s="7" t="str">
        <f>IFERROR(IF(INDEX(Bookings!$D$5:$D$304,MATCH($A84,Bookings!$A$5:$A$304,0))="Cancelled","—",IF(INDEX(Bookings!$E$5:$E$304,MATCH($A84,Bookings!$A$5:$A$304,0))="","—",INDEX(Bookings!$E$5:$E$304,MATCH($A84,Bookings!$A$5:$A$304,0)))),"—")</f>
        <v>—</v>
      </c>
      <c r="D84" s="37" t="str">
        <f>IFERROR(IF(INDEX(Bookings!$D$5:$D$304,MATCH($A84,Bookings!$A$5:$A$304,0))="Cancelled","—",IF(INDEX(Bookings!$G$5:$G$304,MATCH($A84,Bookings!$A$5:$A$304,0))="","—",INDEX(Bookings!$G$5:$G$304,MATCH($A84,Bookings!$A$5:$A$304,0)))),"—")</f>
        <v>—</v>
      </c>
      <c r="E84" s="38" t="str">
        <f t="shared" ca="1" si="1"/>
        <v>—</v>
      </c>
      <c r="F84" s="39" t="str">
        <f>IF(OR(NOT(ISNUMBER($D84)),$B84="—",$B84=""),"—",IF(COUNTIFS(Bookings!$B$5:$B$304,$B84,Bookings!$F$5:$F$304,$D84)-COUNTIFS(Bookings!$B$5:$B$304,$B84,Bookings!$F$5:$F$304,$D84,Bookings!$D$5:$D$304,"Cancelled")-COUNTIFS(Bookings!$B$5:$B$304,$B84,Bookings!$F$5:$F$304,$D84,Bookings!$D$5:$D$304,"Owner block")&gt;0,"SAME-DAY TURN","No same-day guest"))</f>
        <v>—</v>
      </c>
      <c r="G84" s="38" t="str">
        <f>IFERROR(IF(INDEX(Bookings!$D$5:$D$304,MATCH($A84,Bookings!$A$5:$A$304,0))="Cancelled","—",IF(INDEX(Bookings!$I$5:$I$304,MATCH($A84,Bookings!$A$5:$A$304,0))="","—",INDEX(Bookings!$I$5:$I$304,MATCH($A84,Bookings!$A$5:$A$304,0)))),"—")</f>
        <v>—</v>
      </c>
      <c r="H84" s="38" t="str">
        <f>IFERROR(IF(INDEX(Setup!$I$25:$I$36,MATCH($B84,Setup!$A$25:$A$36,0))=0,"—",INDEX(Setup!$I$25:$I$36,MATCH($B84,Setup!$A$25:$A$36,0))),"—")</f>
        <v>—</v>
      </c>
      <c r="I84" s="21" t="str">
        <f>IFERROR(IF(INDEX(Setup!$E$25:$E$36,MATCH($B84,Setup!$A$25:$A$36,0))=0,"—",INDEX(Setup!$E$25:$E$36,MATCH($B84,Setup!$A$25:$A$36,0))),"—")</f>
        <v>—</v>
      </c>
      <c r="J84" s="8"/>
      <c r="K84" s="8"/>
      <c r="L84" s="8"/>
    </row>
    <row r="85" spans="1:12" x14ac:dyDescent="0.2">
      <c r="A85" s="30">
        <v>81</v>
      </c>
      <c r="B85" s="7" t="str">
        <f>IFERROR(IF(INDEX(Bookings!$D$5:$D$304,MATCH($A85,Bookings!$A$5:$A$304,0))="Cancelled","—",IF(INDEX(Bookings!$B$5:$B$304,MATCH($A85,Bookings!$A$5:$A$304,0))="","—",INDEX(Bookings!$B$5:$B$304,MATCH($A85,Bookings!$A$5:$A$304,0)))),"—")</f>
        <v>—</v>
      </c>
      <c r="C85" s="7" t="str">
        <f>IFERROR(IF(INDEX(Bookings!$D$5:$D$304,MATCH($A85,Bookings!$A$5:$A$304,0))="Cancelled","—",IF(INDEX(Bookings!$E$5:$E$304,MATCH($A85,Bookings!$A$5:$A$304,0))="","—",INDEX(Bookings!$E$5:$E$304,MATCH($A85,Bookings!$A$5:$A$304,0)))),"—")</f>
        <v>—</v>
      </c>
      <c r="D85" s="37" t="str">
        <f>IFERROR(IF(INDEX(Bookings!$D$5:$D$304,MATCH($A85,Bookings!$A$5:$A$304,0))="Cancelled","—",IF(INDEX(Bookings!$G$5:$G$304,MATCH($A85,Bookings!$A$5:$A$304,0))="","—",INDEX(Bookings!$G$5:$G$304,MATCH($A85,Bookings!$A$5:$A$304,0)))),"—")</f>
        <v>—</v>
      </c>
      <c r="E85" s="38" t="str">
        <f t="shared" ca="1" si="1"/>
        <v>—</v>
      </c>
      <c r="F85" s="39" t="str">
        <f>IF(OR(NOT(ISNUMBER($D85)),$B85="—",$B85=""),"—",IF(COUNTIFS(Bookings!$B$5:$B$304,$B85,Bookings!$F$5:$F$304,$D85)-COUNTIFS(Bookings!$B$5:$B$304,$B85,Bookings!$F$5:$F$304,$D85,Bookings!$D$5:$D$304,"Cancelled")-COUNTIFS(Bookings!$B$5:$B$304,$B85,Bookings!$F$5:$F$304,$D85,Bookings!$D$5:$D$304,"Owner block")&gt;0,"SAME-DAY TURN","No same-day guest"))</f>
        <v>—</v>
      </c>
      <c r="G85" s="38" t="str">
        <f>IFERROR(IF(INDEX(Bookings!$D$5:$D$304,MATCH($A85,Bookings!$A$5:$A$304,0))="Cancelled","—",IF(INDEX(Bookings!$I$5:$I$304,MATCH($A85,Bookings!$A$5:$A$304,0))="","—",INDEX(Bookings!$I$5:$I$304,MATCH($A85,Bookings!$A$5:$A$304,0)))),"—")</f>
        <v>—</v>
      </c>
      <c r="H85" s="38" t="str">
        <f>IFERROR(IF(INDEX(Setup!$I$25:$I$36,MATCH($B85,Setup!$A$25:$A$36,0))=0,"—",INDEX(Setup!$I$25:$I$36,MATCH($B85,Setup!$A$25:$A$36,0))),"—")</f>
        <v>—</v>
      </c>
      <c r="I85" s="21" t="str">
        <f>IFERROR(IF(INDEX(Setup!$E$25:$E$36,MATCH($B85,Setup!$A$25:$A$36,0))=0,"—",INDEX(Setup!$E$25:$E$36,MATCH($B85,Setup!$A$25:$A$36,0))),"—")</f>
        <v>—</v>
      </c>
      <c r="J85" s="3"/>
      <c r="K85" s="3"/>
      <c r="L85" s="3"/>
    </row>
    <row r="86" spans="1:12" x14ac:dyDescent="0.2">
      <c r="A86" s="30">
        <v>82</v>
      </c>
      <c r="B86" s="7" t="str">
        <f>IFERROR(IF(INDEX(Bookings!$D$5:$D$304,MATCH($A86,Bookings!$A$5:$A$304,0))="Cancelled","—",IF(INDEX(Bookings!$B$5:$B$304,MATCH($A86,Bookings!$A$5:$A$304,0))="","—",INDEX(Bookings!$B$5:$B$304,MATCH($A86,Bookings!$A$5:$A$304,0)))),"—")</f>
        <v>—</v>
      </c>
      <c r="C86" s="7" t="str">
        <f>IFERROR(IF(INDEX(Bookings!$D$5:$D$304,MATCH($A86,Bookings!$A$5:$A$304,0))="Cancelled","—",IF(INDEX(Bookings!$E$5:$E$304,MATCH($A86,Bookings!$A$5:$A$304,0))="","—",INDEX(Bookings!$E$5:$E$304,MATCH($A86,Bookings!$A$5:$A$304,0)))),"—")</f>
        <v>—</v>
      </c>
      <c r="D86" s="37" t="str">
        <f>IFERROR(IF(INDEX(Bookings!$D$5:$D$304,MATCH($A86,Bookings!$A$5:$A$304,0))="Cancelled","—",IF(INDEX(Bookings!$G$5:$G$304,MATCH($A86,Bookings!$A$5:$A$304,0))="","—",INDEX(Bookings!$G$5:$G$304,MATCH($A86,Bookings!$A$5:$A$304,0)))),"—")</f>
        <v>—</v>
      </c>
      <c r="E86" s="38" t="str">
        <f t="shared" ca="1" si="1"/>
        <v>—</v>
      </c>
      <c r="F86" s="39" t="str">
        <f>IF(OR(NOT(ISNUMBER($D86)),$B86="—",$B86=""),"—",IF(COUNTIFS(Bookings!$B$5:$B$304,$B86,Bookings!$F$5:$F$304,$D86)-COUNTIFS(Bookings!$B$5:$B$304,$B86,Bookings!$F$5:$F$304,$D86,Bookings!$D$5:$D$304,"Cancelled")-COUNTIFS(Bookings!$B$5:$B$304,$B86,Bookings!$F$5:$F$304,$D86,Bookings!$D$5:$D$304,"Owner block")&gt;0,"SAME-DAY TURN","No same-day guest"))</f>
        <v>—</v>
      </c>
      <c r="G86" s="38" t="str">
        <f>IFERROR(IF(INDEX(Bookings!$D$5:$D$304,MATCH($A86,Bookings!$A$5:$A$304,0))="Cancelled","—",IF(INDEX(Bookings!$I$5:$I$304,MATCH($A86,Bookings!$A$5:$A$304,0))="","—",INDEX(Bookings!$I$5:$I$304,MATCH($A86,Bookings!$A$5:$A$304,0)))),"—")</f>
        <v>—</v>
      </c>
      <c r="H86" s="38" t="str">
        <f>IFERROR(IF(INDEX(Setup!$I$25:$I$36,MATCH($B86,Setup!$A$25:$A$36,0))=0,"—",INDEX(Setup!$I$25:$I$36,MATCH($B86,Setup!$A$25:$A$36,0))),"—")</f>
        <v>—</v>
      </c>
      <c r="I86" s="21" t="str">
        <f>IFERROR(IF(INDEX(Setup!$E$25:$E$36,MATCH($B86,Setup!$A$25:$A$36,0))=0,"—",INDEX(Setup!$E$25:$E$36,MATCH($B86,Setup!$A$25:$A$36,0))),"—")</f>
        <v>—</v>
      </c>
      <c r="J86" s="8"/>
      <c r="K86" s="8"/>
      <c r="L86" s="8"/>
    </row>
    <row r="87" spans="1:12" x14ac:dyDescent="0.2">
      <c r="A87" s="30">
        <v>83</v>
      </c>
      <c r="B87" s="7" t="str">
        <f>IFERROR(IF(INDEX(Bookings!$D$5:$D$304,MATCH($A87,Bookings!$A$5:$A$304,0))="Cancelled","—",IF(INDEX(Bookings!$B$5:$B$304,MATCH($A87,Bookings!$A$5:$A$304,0))="","—",INDEX(Bookings!$B$5:$B$304,MATCH($A87,Bookings!$A$5:$A$304,0)))),"—")</f>
        <v>—</v>
      </c>
      <c r="C87" s="7" t="str">
        <f>IFERROR(IF(INDEX(Bookings!$D$5:$D$304,MATCH($A87,Bookings!$A$5:$A$304,0))="Cancelled","—",IF(INDEX(Bookings!$E$5:$E$304,MATCH($A87,Bookings!$A$5:$A$304,0))="","—",INDEX(Bookings!$E$5:$E$304,MATCH($A87,Bookings!$A$5:$A$304,0)))),"—")</f>
        <v>—</v>
      </c>
      <c r="D87" s="37" t="str">
        <f>IFERROR(IF(INDEX(Bookings!$D$5:$D$304,MATCH($A87,Bookings!$A$5:$A$304,0))="Cancelled","—",IF(INDEX(Bookings!$G$5:$G$304,MATCH($A87,Bookings!$A$5:$A$304,0))="","—",INDEX(Bookings!$G$5:$G$304,MATCH($A87,Bookings!$A$5:$A$304,0)))),"—")</f>
        <v>—</v>
      </c>
      <c r="E87" s="38" t="str">
        <f t="shared" ca="1" si="1"/>
        <v>—</v>
      </c>
      <c r="F87" s="39" t="str">
        <f>IF(OR(NOT(ISNUMBER($D87)),$B87="—",$B87=""),"—",IF(COUNTIFS(Bookings!$B$5:$B$304,$B87,Bookings!$F$5:$F$304,$D87)-COUNTIFS(Bookings!$B$5:$B$304,$B87,Bookings!$F$5:$F$304,$D87,Bookings!$D$5:$D$304,"Cancelled")-COUNTIFS(Bookings!$B$5:$B$304,$B87,Bookings!$F$5:$F$304,$D87,Bookings!$D$5:$D$304,"Owner block")&gt;0,"SAME-DAY TURN","No same-day guest"))</f>
        <v>—</v>
      </c>
      <c r="G87" s="38" t="str">
        <f>IFERROR(IF(INDEX(Bookings!$D$5:$D$304,MATCH($A87,Bookings!$A$5:$A$304,0))="Cancelled","—",IF(INDEX(Bookings!$I$5:$I$304,MATCH($A87,Bookings!$A$5:$A$304,0))="","—",INDEX(Bookings!$I$5:$I$304,MATCH($A87,Bookings!$A$5:$A$304,0)))),"—")</f>
        <v>—</v>
      </c>
      <c r="H87" s="38" t="str">
        <f>IFERROR(IF(INDEX(Setup!$I$25:$I$36,MATCH($B87,Setup!$A$25:$A$36,0))=0,"—",INDEX(Setup!$I$25:$I$36,MATCH($B87,Setup!$A$25:$A$36,0))),"—")</f>
        <v>—</v>
      </c>
      <c r="I87" s="21" t="str">
        <f>IFERROR(IF(INDEX(Setup!$E$25:$E$36,MATCH($B87,Setup!$A$25:$A$36,0))=0,"—",INDEX(Setup!$E$25:$E$36,MATCH($B87,Setup!$A$25:$A$36,0))),"—")</f>
        <v>—</v>
      </c>
      <c r="J87" s="3"/>
      <c r="K87" s="3"/>
      <c r="L87" s="3"/>
    </row>
    <row r="88" spans="1:12" x14ac:dyDescent="0.2">
      <c r="A88" s="30">
        <v>84</v>
      </c>
      <c r="B88" s="7" t="str">
        <f>IFERROR(IF(INDEX(Bookings!$D$5:$D$304,MATCH($A88,Bookings!$A$5:$A$304,0))="Cancelled","—",IF(INDEX(Bookings!$B$5:$B$304,MATCH($A88,Bookings!$A$5:$A$304,0))="","—",INDEX(Bookings!$B$5:$B$304,MATCH($A88,Bookings!$A$5:$A$304,0)))),"—")</f>
        <v>—</v>
      </c>
      <c r="C88" s="7" t="str">
        <f>IFERROR(IF(INDEX(Bookings!$D$5:$D$304,MATCH($A88,Bookings!$A$5:$A$304,0))="Cancelled","—",IF(INDEX(Bookings!$E$5:$E$304,MATCH($A88,Bookings!$A$5:$A$304,0))="","—",INDEX(Bookings!$E$5:$E$304,MATCH($A88,Bookings!$A$5:$A$304,0)))),"—")</f>
        <v>—</v>
      </c>
      <c r="D88" s="37" t="str">
        <f>IFERROR(IF(INDEX(Bookings!$D$5:$D$304,MATCH($A88,Bookings!$A$5:$A$304,0))="Cancelled","—",IF(INDEX(Bookings!$G$5:$G$304,MATCH($A88,Bookings!$A$5:$A$304,0))="","—",INDEX(Bookings!$G$5:$G$304,MATCH($A88,Bookings!$A$5:$A$304,0)))),"—")</f>
        <v>—</v>
      </c>
      <c r="E88" s="38" t="str">
        <f t="shared" ca="1" si="1"/>
        <v>—</v>
      </c>
      <c r="F88" s="39" t="str">
        <f>IF(OR(NOT(ISNUMBER($D88)),$B88="—",$B88=""),"—",IF(COUNTIFS(Bookings!$B$5:$B$304,$B88,Bookings!$F$5:$F$304,$D88)-COUNTIFS(Bookings!$B$5:$B$304,$B88,Bookings!$F$5:$F$304,$D88,Bookings!$D$5:$D$304,"Cancelled")-COUNTIFS(Bookings!$B$5:$B$304,$B88,Bookings!$F$5:$F$304,$D88,Bookings!$D$5:$D$304,"Owner block")&gt;0,"SAME-DAY TURN","No same-day guest"))</f>
        <v>—</v>
      </c>
      <c r="G88" s="38" t="str">
        <f>IFERROR(IF(INDEX(Bookings!$D$5:$D$304,MATCH($A88,Bookings!$A$5:$A$304,0))="Cancelled","—",IF(INDEX(Bookings!$I$5:$I$304,MATCH($A88,Bookings!$A$5:$A$304,0))="","—",INDEX(Bookings!$I$5:$I$304,MATCH($A88,Bookings!$A$5:$A$304,0)))),"—")</f>
        <v>—</v>
      </c>
      <c r="H88" s="38" t="str">
        <f>IFERROR(IF(INDEX(Setup!$I$25:$I$36,MATCH($B88,Setup!$A$25:$A$36,0))=0,"—",INDEX(Setup!$I$25:$I$36,MATCH($B88,Setup!$A$25:$A$36,0))),"—")</f>
        <v>—</v>
      </c>
      <c r="I88" s="21" t="str">
        <f>IFERROR(IF(INDEX(Setup!$E$25:$E$36,MATCH($B88,Setup!$A$25:$A$36,0))=0,"—",INDEX(Setup!$E$25:$E$36,MATCH($B88,Setup!$A$25:$A$36,0))),"—")</f>
        <v>—</v>
      </c>
      <c r="J88" s="8"/>
      <c r="K88" s="8"/>
      <c r="L88" s="8"/>
    </row>
    <row r="89" spans="1:12" x14ac:dyDescent="0.2">
      <c r="A89" s="30">
        <v>85</v>
      </c>
      <c r="B89" s="7" t="str">
        <f>IFERROR(IF(INDEX(Bookings!$D$5:$D$304,MATCH($A89,Bookings!$A$5:$A$304,0))="Cancelled","—",IF(INDEX(Bookings!$B$5:$B$304,MATCH($A89,Bookings!$A$5:$A$304,0))="","—",INDEX(Bookings!$B$5:$B$304,MATCH($A89,Bookings!$A$5:$A$304,0)))),"—")</f>
        <v>—</v>
      </c>
      <c r="C89" s="7" t="str">
        <f>IFERROR(IF(INDEX(Bookings!$D$5:$D$304,MATCH($A89,Bookings!$A$5:$A$304,0))="Cancelled","—",IF(INDEX(Bookings!$E$5:$E$304,MATCH($A89,Bookings!$A$5:$A$304,0))="","—",INDEX(Bookings!$E$5:$E$304,MATCH($A89,Bookings!$A$5:$A$304,0)))),"—")</f>
        <v>—</v>
      </c>
      <c r="D89" s="37" t="str">
        <f>IFERROR(IF(INDEX(Bookings!$D$5:$D$304,MATCH($A89,Bookings!$A$5:$A$304,0))="Cancelled","—",IF(INDEX(Bookings!$G$5:$G$304,MATCH($A89,Bookings!$A$5:$A$304,0))="","—",INDEX(Bookings!$G$5:$G$304,MATCH($A89,Bookings!$A$5:$A$304,0)))),"—")</f>
        <v>—</v>
      </c>
      <c r="E89" s="38" t="str">
        <f t="shared" ca="1" si="1"/>
        <v>—</v>
      </c>
      <c r="F89" s="39" t="str">
        <f>IF(OR(NOT(ISNUMBER($D89)),$B89="—",$B89=""),"—",IF(COUNTIFS(Bookings!$B$5:$B$304,$B89,Bookings!$F$5:$F$304,$D89)-COUNTIFS(Bookings!$B$5:$B$304,$B89,Bookings!$F$5:$F$304,$D89,Bookings!$D$5:$D$304,"Cancelled")-COUNTIFS(Bookings!$B$5:$B$304,$B89,Bookings!$F$5:$F$304,$D89,Bookings!$D$5:$D$304,"Owner block")&gt;0,"SAME-DAY TURN","No same-day guest"))</f>
        <v>—</v>
      </c>
      <c r="G89" s="38" t="str">
        <f>IFERROR(IF(INDEX(Bookings!$D$5:$D$304,MATCH($A89,Bookings!$A$5:$A$304,0))="Cancelled","—",IF(INDEX(Bookings!$I$5:$I$304,MATCH($A89,Bookings!$A$5:$A$304,0))="","—",INDEX(Bookings!$I$5:$I$304,MATCH($A89,Bookings!$A$5:$A$304,0)))),"—")</f>
        <v>—</v>
      </c>
      <c r="H89" s="38" t="str">
        <f>IFERROR(IF(INDEX(Setup!$I$25:$I$36,MATCH($B89,Setup!$A$25:$A$36,0))=0,"—",INDEX(Setup!$I$25:$I$36,MATCH($B89,Setup!$A$25:$A$36,0))),"—")</f>
        <v>—</v>
      </c>
      <c r="I89" s="21" t="str">
        <f>IFERROR(IF(INDEX(Setup!$E$25:$E$36,MATCH($B89,Setup!$A$25:$A$36,0))=0,"—",INDEX(Setup!$E$25:$E$36,MATCH($B89,Setup!$A$25:$A$36,0))),"—")</f>
        <v>—</v>
      </c>
      <c r="J89" s="3"/>
      <c r="K89" s="3"/>
      <c r="L89" s="3"/>
    </row>
    <row r="90" spans="1:12" x14ac:dyDescent="0.2">
      <c r="A90" s="30">
        <v>86</v>
      </c>
      <c r="B90" s="7" t="str">
        <f>IFERROR(IF(INDEX(Bookings!$D$5:$D$304,MATCH($A90,Bookings!$A$5:$A$304,0))="Cancelled","—",IF(INDEX(Bookings!$B$5:$B$304,MATCH($A90,Bookings!$A$5:$A$304,0))="","—",INDEX(Bookings!$B$5:$B$304,MATCH($A90,Bookings!$A$5:$A$304,0)))),"—")</f>
        <v>—</v>
      </c>
      <c r="C90" s="7" t="str">
        <f>IFERROR(IF(INDEX(Bookings!$D$5:$D$304,MATCH($A90,Bookings!$A$5:$A$304,0))="Cancelled","—",IF(INDEX(Bookings!$E$5:$E$304,MATCH($A90,Bookings!$A$5:$A$304,0))="","—",INDEX(Bookings!$E$5:$E$304,MATCH($A90,Bookings!$A$5:$A$304,0)))),"—")</f>
        <v>—</v>
      </c>
      <c r="D90" s="37" t="str">
        <f>IFERROR(IF(INDEX(Bookings!$D$5:$D$304,MATCH($A90,Bookings!$A$5:$A$304,0))="Cancelled","—",IF(INDEX(Bookings!$G$5:$G$304,MATCH($A90,Bookings!$A$5:$A$304,0))="","—",INDEX(Bookings!$G$5:$G$304,MATCH($A90,Bookings!$A$5:$A$304,0)))),"—")</f>
        <v>—</v>
      </c>
      <c r="E90" s="38" t="str">
        <f t="shared" ca="1" si="1"/>
        <v>—</v>
      </c>
      <c r="F90" s="39" t="str">
        <f>IF(OR(NOT(ISNUMBER($D90)),$B90="—",$B90=""),"—",IF(COUNTIFS(Bookings!$B$5:$B$304,$B90,Bookings!$F$5:$F$304,$D90)-COUNTIFS(Bookings!$B$5:$B$304,$B90,Bookings!$F$5:$F$304,$D90,Bookings!$D$5:$D$304,"Cancelled")-COUNTIFS(Bookings!$B$5:$B$304,$B90,Bookings!$F$5:$F$304,$D90,Bookings!$D$5:$D$304,"Owner block")&gt;0,"SAME-DAY TURN","No same-day guest"))</f>
        <v>—</v>
      </c>
      <c r="G90" s="38" t="str">
        <f>IFERROR(IF(INDEX(Bookings!$D$5:$D$304,MATCH($A90,Bookings!$A$5:$A$304,0))="Cancelled","—",IF(INDEX(Bookings!$I$5:$I$304,MATCH($A90,Bookings!$A$5:$A$304,0))="","—",INDEX(Bookings!$I$5:$I$304,MATCH($A90,Bookings!$A$5:$A$304,0)))),"—")</f>
        <v>—</v>
      </c>
      <c r="H90" s="38" t="str">
        <f>IFERROR(IF(INDEX(Setup!$I$25:$I$36,MATCH($B90,Setup!$A$25:$A$36,0))=0,"—",INDEX(Setup!$I$25:$I$36,MATCH($B90,Setup!$A$25:$A$36,0))),"—")</f>
        <v>—</v>
      </c>
      <c r="I90" s="21" t="str">
        <f>IFERROR(IF(INDEX(Setup!$E$25:$E$36,MATCH($B90,Setup!$A$25:$A$36,0))=0,"—",INDEX(Setup!$E$25:$E$36,MATCH($B90,Setup!$A$25:$A$36,0))),"—")</f>
        <v>—</v>
      </c>
      <c r="J90" s="8"/>
      <c r="K90" s="8"/>
      <c r="L90" s="8"/>
    </row>
    <row r="91" spans="1:12" x14ac:dyDescent="0.2">
      <c r="A91" s="30">
        <v>87</v>
      </c>
      <c r="B91" s="7" t="str">
        <f>IFERROR(IF(INDEX(Bookings!$D$5:$D$304,MATCH($A91,Bookings!$A$5:$A$304,0))="Cancelled","—",IF(INDEX(Bookings!$B$5:$B$304,MATCH($A91,Bookings!$A$5:$A$304,0))="","—",INDEX(Bookings!$B$5:$B$304,MATCH($A91,Bookings!$A$5:$A$304,0)))),"—")</f>
        <v>—</v>
      </c>
      <c r="C91" s="7" t="str">
        <f>IFERROR(IF(INDEX(Bookings!$D$5:$D$304,MATCH($A91,Bookings!$A$5:$A$304,0))="Cancelled","—",IF(INDEX(Bookings!$E$5:$E$304,MATCH($A91,Bookings!$A$5:$A$304,0))="","—",INDEX(Bookings!$E$5:$E$304,MATCH($A91,Bookings!$A$5:$A$304,0)))),"—")</f>
        <v>—</v>
      </c>
      <c r="D91" s="37" t="str">
        <f>IFERROR(IF(INDEX(Bookings!$D$5:$D$304,MATCH($A91,Bookings!$A$5:$A$304,0))="Cancelled","—",IF(INDEX(Bookings!$G$5:$G$304,MATCH($A91,Bookings!$A$5:$A$304,0))="","—",INDEX(Bookings!$G$5:$G$304,MATCH($A91,Bookings!$A$5:$A$304,0)))),"—")</f>
        <v>—</v>
      </c>
      <c r="E91" s="38" t="str">
        <f t="shared" ca="1" si="1"/>
        <v>—</v>
      </c>
      <c r="F91" s="39" t="str">
        <f>IF(OR(NOT(ISNUMBER($D91)),$B91="—",$B91=""),"—",IF(COUNTIFS(Bookings!$B$5:$B$304,$B91,Bookings!$F$5:$F$304,$D91)-COUNTIFS(Bookings!$B$5:$B$304,$B91,Bookings!$F$5:$F$304,$D91,Bookings!$D$5:$D$304,"Cancelled")-COUNTIFS(Bookings!$B$5:$B$304,$B91,Bookings!$F$5:$F$304,$D91,Bookings!$D$5:$D$304,"Owner block")&gt;0,"SAME-DAY TURN","No same-day guest"))</f>
        <v>—</v>
      </c>
      <c r="G91" s="38" t="str">
        <f>IFERROR(IF(INDEX(Bookings!$D$5:$D$304,MATCH($A91,Bookings!$A$5:$A$304,0))="Cancelled","—",IF(INDEX(Bookings!$I$5:$I$304,MATCH($A91,Bookings!$A$5:$A$304,0))="","—",INDEX(Bookings!$I$5:$I$304,MATCH($A91,Bookings!$A$5:$A$304,0)))),"—")</f>
        <v>—</v>
      </c>
      <c r="H91" s="38" t="str">
        <f>IFERROR(IF(INDEX(Setup!$I$25:$I$36,MATCH($B91,Setup!$A$25:$A$36,0))=0,"—",INDEX(Setup!$I$25:$I$36,MATCH($B91,Setup!$A$25:$A$36,0))),"—")</f>
        <v>—</v>
      </c>
      <c r="I91" s="21" t="str">
        <f>IFERROR(IF(INDEX(Setup!$E$25:$E$36,MATCH($B91,Setup!$A$25:$A$36,0))=0,"—",INDEX(Setup!$E$25:$E$36,MATCH($B91,Setup!$A$25:$A$36,0))),"—")</f>
        <v>—</v>
      </c>
      <c r="J91" s="3"/>
      <c r="K91" s="3"/>
      <c r="L91" s="3"/>
    </row>
    <row r="92" spans="1:12" x14ac:dyDescent="0.2">
      <c r="A92" s="30">
        <v>88</v>
      </c>
      <c r="B92" s="7" t="str">
        <f>IFERROR(IF(INDEX(Bookings!$D$5:$D$304,MATCH($A92,Bookings!$A$5:$A$304,0))="Cancelled","—",IF(INDEX(Bookings!$B$5:$B$304,MATCH($A92,Bookings!$A$5:$A$304,0))="","—",INDEX(Bookings!$B$5:$B$304,MATCH($A92,Bookings!$A$5:$A$304,0)))),"—")</f>
        <v>—</v>
      </c>
      <c r="C92" s="7" t="str">
        <f>IFERROR(IF(INDEX(Bookings!$D$5:$D$304,MATCH($A92,Bookings!$A$5:$A$304,0))="Cancelled","—",IF(INDEX(Bookings!$E$5:$E$304,MATCH($A92,Bookings!$A$5:$A$304,0))="","—",INDEX(Bookings!$E$5:$E$304,MATCH($A92,Bookings!$A$5:$A$304,0)))),"—")</f>
        <v>—</v>
      </c>
      <c r="D92" s="37" t="str">
        <f>IFERROR(IF(INDEX(Bookings!$D$5:$D$304,MATCH($A92,Bookings!$A$5:$A$304,0))="Cancelled","—",IF(INDEX(Bookings!$G$5:$G$304,MATCH($A92,Bookings!$A$5:$A$304,0))="","—",INDEX(Bookings!$G$5:$G$304,MATCH($A92,Bookings!$A$5:$A$304,0)))),"—")</f>
        <v>—</v>
      </c>
      <c r="E92" s="38" t="str">
        <f t="shared" ca="1" si="1"/>
        <v>—</v>
      </c>
      <c r="F92" s="39" t="str">
        <f>IF(OR(NOT(ISNUMBER($D92)),$B92="—",$B92=""),"—",IF(COUNTIFS(Bookings!$B$5:$B$304,$B92,Bookings!$F$5:$F$304,$D92)-COUNTIFS(Bookings!$B$5:$B$304,$B92,Bookings!$F$5:$F$304,$D92,Bookings!$D$5:$D$304,"Cancelled")-COUNTIFS(Bookings!$B$5:$B$304,$B92,Bookings!$F$5:$F$304,$D92,Bookings!$D$5:$D$304,"Owner block")&gt;0,"SAME-DAY TURN","No same-day guest"))</f>
        <v>—</v>
      </c>
      <c r="G92" s="38" t="str">
        <f>IFERROR(IF(INDEX(Bookings!$D$5:$D$304,MATCH($A92,Bookings!$A$5:$A$304,0))="Cancelled","—",IF(INDEX(Bookings!$I$5:$I$304,MATCH($A92,Bookings!$A$5:$A$304,0))="","—",INDEX(Bookings!$I$5:$I$304,MATCH($A92,Bookings!$A$5:$A$304,0)))),"—")</f>
        <v>—</v>
      </c>
      <c r="H92" s="38" t="str">
        <f>IFERROR(IF(INDEX(Setup!$I$25:$I$36,MATCH($B92,Setup!$A$25:$A$36,0))=0,"—",INDEX(Setup!$I$25:$I$36,MATCH($B92,Setup!$A$25:$A$36,0))),"—")</f>
        <v>—</v>
      </c>
      <c r="I92" s="21" t="str">
        <f>IFERROR(IF(INDEX(Setup!$E$25:$E$36,MATCH($B92,Setup!$A$25:$A$36,0))=0,"—",INDEX(Setup!$E$25:$E$36,MATCH($B92,Setup!$A$25:$A$36,0))),"—")</f>
        <v>—</v>
      </c>
      <c r="J92" s="8"/>
      <c r="K92" s="8"/>
      <c r="L92" s="8"/>
    </row>
    <row r="93" spans="1:12" x14ac:dyDescent="0.2">
      <c r="A93" s="30">
        <v>89</v>
      </c>
      <c r="B93" s="7" t="str">
        <f>IFERROR(IF(INDEX(Bookings!$D$5:$D$304,MATCH($A93,Bookings!$A$5:$A$304,0))="Cancelled","—",IF(INDEX(Bookings!$B$5:$B$304,MATCH($A93,Bookings!$A$5:$A$304,0))="","—",INDEX(Bookings!$B$5:$B$304,MATCH($A93,Bookings!$A$5:$A$304,0)))),"—")</f>
        <v>—</v>
      </c>
      <c r="C93" s="7" t="str">
        <f>IFERROR(IF(INDEX(Bookings!$D$5:$D$304,MATCH($A93,Bookings!$A$5:$A$304,0))="Cancelled","—",IF(INDEX(Bookings!$E$5:$E$304,MATCH($A93,Bookings!$A$5:$A$304,0))="","—",INDEX(Bookings!$E$5:$E$304,MATCH($A93,Bookings!$A$5:$A$304,0)))),"—")</f>
        <v>—</v>
      </c>
      <c r="D93" s="37" t="str">
        <f>IFERROR(IF(INDEX(Bookings!$D$5:$D$304,MATCH($A93,Bookings!$A$5:$A$304,0))="Cancelled","—",IF(INDEX(Bookings!$G$5:$G$304,MATCH($A93,Bookings!$A$5:$A$304,0))="","—",INDEX(Bookings!$G$5:$G$304,MATCH($A93,Bookings!$A$5:$A$304,0)))),"—")</f>
        <v>—</v>
      </c>
      <c r="E93" s="38" t="str">
        <f t="shared" ca="1" si="1"/>
        <v>—</v>
      </c>
      <c r="F93" s="39" t="str">
        <f>IF(OR(NOT(ISNUMBER($D93)),$B93="—",$B93=""),"—",IF(COUNTIFS(Bookings!$B$5:$B$304,$B93,Bookings!$F$5:$F$304,$D93)-COUNTIFS(Bookings!$B$5:$B$304,$B93,Bookings!$F$5:$F$304,$D93,Bookings!$D$5:$D$304,"Cancelled")-COUNTIFS(Bookings!$B$5:$B$304,$B93,Bookings!$F$5:$F$304,$D93,Bookings!$D$5:$D$304,"Owner block")&gt;0,"SAME-DAY TURN","No same-day guest"))</f>
        <v>—</v>
      </c>
      <c r="G93" s="38" t="str">
        <f>IFERROR(IF(INDEX(Bookings!$D$5:$D$304,MATCH($A93,Bookings!$A$5:$A$304,0))="Cancelled","—",IF(INDEX(Bookings!$I$5:$I$304,MATCH($A93,Bookings!$A$5:$A$304,0))="","—",INDEX(Bookings!$I$5:$I$304,MATCH($A93,Bookings!$A$5:$A$304,0)))),"—")</f>
        <v>—</v>
      </c>
      <c r="H93" s="38" t="str">
        <f>IFERROR(IF(INDEX(Setup!$I$25:$I$36,MATCH($B93,Setup!$A$25:$A$36,0))=0,"—",INDEX(Setup!$I$25:$I$36,MATCH($B93,Setup!$A$25:$A$36,0))),"—")</f>
        <v>—</v>
      </c>
      <c r="I93" s="21" t="str">
        <f>IFERROR(IF(INDEX(Setup!$E$25:$E$36,MATCH($B93,Setup!$A$25:$A$36,0))=0,"—",INDEX(Setup!$E$25:$E$36,MATCH($B93,Setup!$A$25:$A$36,0))),"—")</f>
        <v>—</v>
      </c>
      <c r="J93" s="3"/>
      <c r="K93" s="3"/>
      <c r="L93" s="3"/>
    </row>
    <row r="94" spans="1:12" x14ac:dyDescent="0.2">
      <c r="A94" s="30">
        <v>90</v>
      </c>
      <c r="B94" s="7" t="str">
        <f>IFERROR(IF(INDEX(Bookings!$D$5:$D$304,MATCH($A94,Bookings!$A$5:$A$304,0))="Cancelled","—",IF(INDEX(Bookings!$B$5:$B$304,MATCH($A94,Bookings!$A$5:$A$304,0))="","—",INDEX(Bookings!$B$5:$B$304,MATCH($A94,Bookings!$A$5:$A$304,0)))),"—")</f>
        <v>—</v>
      </c>
      <c r="C94" s="7" t="str">
        <f>IFERROR(IF(INDEX(Bookings!$D$5:$D$304,MATCH($A94,Bookings!$A$5:$A$304,0))="Cancelled","—",IF(INDEX(Bookings!$E$5:$E$304,MATCH($A94,Bookings!$A$5:$A$304,0))="","—",INDEX(Bookings!$E$5:$E$304,MATCH($A94,Bookings!$A$5:$A$304,0)))),"—")</f>
        <v>—</v>
      </c>
      <c r="D94" s="37" t="str">
        <f>IFERROR(IF(INDEX(Bookings!$D$5:$D$304,MATCH($A94,Bookings!$A$5:$A$304,0))="Cancelled","—",IF(INDEX(Bookings!$G$5:$G$304,MATCH($A94,Bookings!$A$5:$A$304,0))="","—",INDEX(Bookings!$G$5:$G$304,MATCH($A94,Bookings!$A$5:$A$304,0)))),"—")</f>
        <v>—</v>
      </c>
      <c r="E94" s="38" t="str">
        <f t="shared" ca="1" si="1"/>
        <v>—</v>
      </c>
      <c r="F94" s="39" t="str">
        <f>IF(OR(NOT(ISNUMBER($D94)),$B94="—",$B94=""),"—",IF(COUNTIFS(Bookings!$B$5:$B$304,$B94,Bookings!$F$5:$F$304,$D94)-COUNTIFS(Bookings!$B$5:$B$304,$B94,Bookings!$F$5:$F$304,$D94,Bookings!$D$5:$D$304,"Cancelled")-COUNTIFS(Bookings!$B$5:$B$304,$B94,Bookings!$F$5:$F$304,$D94,Bookings!$D$5:$D$304,"Owner block")&gt;0,"SAME-DAY TURN","No same-day guest"))</f>
        <v>—</v>
      </c>
      <c r="G94" s="38" t="str">
        <f>IFERROR(IF(INDEX(Bookings!$D$5:$D$304,MATCH($A94,Bookings!$A$5:$A$304,0))="Cancelled","—",IF(INDEX(Bookings!$I$5:$I$304,MATCH($A94,Bookings!$A$5:$A$304,0))="","—",INDEX(Bookings!$I$5:$I$304,MATCH($A94,Bookings!$A$5:$A$304,0)))),"—")</f>
        <v>—</v>
      </c>
      <c r="H94" s="38" t="str">
        <f>IFERROR(IF(INDEX(Setup!$I$25:$I$36,MATCH($B94,Setup!$A$25:$A$36,0))=0,"—",INDEX(Setup!$I$25:$I$36,MATCH($B94,Setup!$A$25:$A$36,0))),"—")</f>
        <v>—</v>
      </c>
      <c r="I94" s="21" t="str">
        <f>IFERROR(IF(INDEX(Setup!$E$25:$E$36,MATCH($B94,Setup!$A$25:$A$36,0))=0,"—",INDEX(Setup!$E$25:$E$36,MATCH($B94,Setup!$A$25:$A$36,0))),"—")</f>
        <v>—</v>
      </c>
      <c r="J94" s="8"/>
      <c r="K94" s="8"/>
      <c r="L94" s="8"/>
    </row>
    <row r="95" spans="1:12" x14ac:dyDescent="0.2">
      <c r="A95" s="30">
        <v>91</v>
      </c>
      <c r="B95" s="7" t="str">
        <f>IFERROR(IF(INDEX(Bookings!$D$5:$D$304,MATCH($A95,Bookings!$A$5:$A$304,0))="Cancelled","—",IF(INDEX(Bookings!$B$5:$B$304,MATCH($A95,Bookings!$A$5:$A$304,0))="","—",INDEX(Bookings!$B$5:$B$304,MATCH($A95,Bookings!$A$5:$A$304,0)))),"—")</f>
        <v>—</v>
      </c>
      <c r="C95" s="7" t="str">
        <f>IFERROR(IF(INDEX(Bookings!$D$5:$D$304,MATCH($A95,Bookings!$A$5:$A$304,0))="Cancelled","—",IF(INDEX(Bookings!$E$5:$E$304,MATCH($A95,Bookings!$A$5:$A$304,0))="","—",INDEX(Bookings!$E$5:$E$304,MATCH($A95,Bookings!$A$5:$A$304,0)))),"—")</f>
        <v>—</v>
      </c>
      <c r="D95" s="37" t="str">
        <f>IFERROR(IF(INDEX(Bookings!$D$5:$D$304,MATCH($A95,Bookings!$A$5:$A$304,0))="Cancelled","—",IF(INDEX(Bookings!$G$5:$G$304,MATCH($A95,Bookings!$A$5:$A$304,0))="","—",INDEX(Bookings!$G$5:$G$304,MATCH($A95,Bookings!$A$5:$A$304,0)))),"—")</f>
        <v>—</v>
      </c>
      <c r="E95" s="38" t="str">
        <f t="shared" ca="1" si="1"/>
        <v>—</v>
      </c>
      <c r="F95" s="39" t="str">
        <f>IF(OR(NOT(ISNUMBER($D95)),$B95="—",$B95=""),"—",IF(COUNTIFS(Bookings!$B$5:$B$304,$B95,Bookings!$F$5:$F$304,$D95)-COUNTIFS(Bookings!$B$5:$B$304,$B95,Bookings!$F$5:$F$304,$D95,Bookings!$D$5:$D$304,"Cancelled")-COUNTIFS(Bookings!$B$5:$B$304,$B95,Bookings!$F$5:$F$304,$D95,Bookings!$D$5:$D$304,"Owner block")&gt;0,"SAME-DAY TURN","No same-day guest"))</f>
        <v>—</v>
      </c>
      <c r="G95" s="38" t="str">
        <f>IFERROR(IF(INDEX(Bookings!$D$5:$D$304,MATCH($A95,Bookings!$A$5:$A$304,0))="Cancelled","—",IF(INDEX(Bookings!$I$5:$I$304,MATCH($A95,Bookings!$A$5:$A$304,0))="","—",INDEX(Bookings!$I$5:$I$304,MATCH($A95,Bookings!$A$5:$A$304,0)))),"—")</f>
        <v>—</v>
      </c>
      <c r="H95" s="38" t="str">
        <f>IFERROR(IF(INDEX(Setup!$I$25:$I$36,MATCH($B95,Setup!$A$25:$A$36,0))=0,"—",INDEX(Setup!$I$25:$I$36,MATCH($B95,Setup!$A$25:$A$36,0))),"—")</f>
        <v>—</v>
      </c>
      <c r="I95" s="21" t="str">
        <f>IFERROR(IF(INDEX(Setup!$E$25:$E$36,MATCH($B95,Setup!$A$25:$A$36,0))=0,"—",INDEX(Setup!$E$25:$E$36,MATCH($B95,Setup!$A$25:$A$36,0))),"—")</f>
        <v>—</v>
      </c>
      <c r="J95" s="3"/>
      <c r="K95" s="3"/>
      <c r="L95" s="3"/>
    </row>
    <row r="96" spans="1:12" x14ac:dyDescent="0.2">
      <c r="A96" s="30">
        <v>92</v>
      </c>
      <c r="B96" s="7" t="str">
        <f>IFERROR(IF(INDEX(Bookings!$D$5:$D$304,MATCH($A96,Bookings!$A$5:$A$304,0))="Cancelled","—",IF(INDEX(Bookings!$B$5:$B$304,MATCH($A96,Bookings!$A$5:$A$304,0))="","—",INDEX(Bookings!$B$5:$B$304,MATCH($A96,Bookings!$A$5:$A$304,0)))),"—")</f>
        <v>—</v>
      </c>
      <c r="C96" s="7" t="str">
        <f>IFERROR(IF(INDEX(Bookings!$D$5:$D$304,MATCH($A96,Bookings!$A$5:$A$304,0))="Cancelled","—",IF(INDEX(Bookings!$E$5:$E$304,MATCH($A96,Bookings!$A$5:$A$304,0))="","—",INDEX(Bookings!$E$5:$E$304,MATCH($A96,Bookings!$A$5:$A$304,0)))),"—")</f>
        <v>—</v>
      </c>
      <c r="D96" s="37" t="str">
        <f>IFERROR(IF(INDEX(Bookings!$D$5:$D$304,MATCH($A96,Bookings!$A$5:$A$304,0))="Cancelled","—",IF(INDEX(Bookings!$G$5:$G$304,MATCH($A96,Bookings!$A$5:$A$304,0))="","—",INDEX(Bookings!$G$5:$G$304,MATCH($A96,Bookings!$A$5:$A$304,0)))),"—")</f>
        <v>—</v>
      </c>
      <c r="E96" s="38" t="str">
        <f t="shared" ca="1" si="1"/>
        <v>—</v>
      </c>
      <c r="F96" s="39" t="str">
        <f>IF(OR(NOT(ISNUMBER($D96)),$B96="—",$B96=""),"—",IF(COUNTIFS(Bookings!$B$5:$B$304,$B96,Bookings!$F$5:$F$304,$D96)-COUNTIFS(Bookings!$B$5:$B$304,$B96,Bookings!$F$5:$F$304,$D96,Bookings!$D$5:$D$304,"Cancelled")-COUNTIFS(Bookings!$B$5:$B$304,$B96,Bookings!$F$5:$F$304,$D96,Bookings!$D$5:$D$304,"Owner block")&gt;0,"SAME-DAY TURN","No same-day guest"))</f>
        <v>—</v>
      </c>
      <c r="G96" s="38" t="str">
        <f>IFERROR(IF(INDEX(Bookings!$D$5:$D$304,MATCH($A96,Bookings!$A$5:$A$304,0))="Cancelled","—",IF(INDEX(Bookings!$I$5:$I$304,MATCH($A96,Bookings!$A$5:$A$304,0))="","—",INDEX(Bookings!$I$5:$I$304,MATCH($A96,Bookings!$A$5:$A$304,0)))),"—")</f>
        <v>—</v>
      </c>
      <c r="H96" s="38" t="str">
        <f>IFERROR(IF(INDEX(Setup!$I$25:$I$36,MATCH($B96,Setup!$A$25:$A$36,0))=0,"—",INDEX(Setup!$I$25:$I$36,MATCH($B96,Setup!$A$25:$A$36,0))),"—")</f>
        <v>—</v>
      </c>
      <c r="I96" s="21" t="str">
        <f>IFERROR(IF(INDEX(Setup!$E$25:$E$36,MATCH($B96,Setup!$A$25:$A$36,0))=0,"—",INDEX(Setup!$E$25:$E$36,MATCH($B96,Setup!$A$25:$A$36,0))),"—")</f>
        <v>—</v>
      </c>
      <c r="J96" s="8"/>
      <c r="K96" s="8"/>
      <c r="L96" s="8"/>
    </row>
    <row r="97" spans="1:12" x14ac:dyDescent="0.2">
      <c r="A97" s="30">
        <v>93</v>
      </c>
      <c r="B97" s="7" t="str">
        <f>IFERROR(IF(INDEX(Bookings!$D$5:$D$304,MATCH($A97,Bookings!$A$5:$A$304,0))="Cancelled","—",IF(INDEX(Bookings!$B$5:$B$304,MATCH($A97,Bookings!$A$5:$A$304,0))="","—",INDEX(Bookings!$B$5:$B$304,MATCH($A97,Bookings!$A$5:$A$304,0)))),"—")</f>
        <v>—</v>
      </c>
      <c r="C97" s="7" t="str">
        <f>IFERROR(IF(INDEX(Bookings!$D$5:$D$304,MATCH($A97,Bookings!$A$5:$A$304,0))="Cancelled","—",IF(INDEX(Bookings!$E$5:$E$304,MATCH($A97,Bookings!$A$5:$A$304,0))="","—",INDEX(Bookings!$E$5:$E$304,MATCH($A97,Bookings!$A$5:$A$304,0)))),"—")</f>
        <v>—</v>
      </c>
      <c r="D97" s="37" t="str">
        <f>IFERROR(IF(INDEX(Bookings!$D$5:$D$304,MATCH($A97,Bookings!$A$5:$A$304,0))="Cancelled","—",IF(INDEX(Bookings!$G$5:$G$304,MATCH($A97,Bookings!$A$5:$A$304,0))="","—",INDEX(Bookings!$G$5:$G$304,MATCH($A97,Bookings!$A$5:$A$304,0)))),"—")</f>
        <v>—</v>
      </c>
      <c r="E97" s="38" t="str">
        <f t="shared" ca="1" si="1"/>
        <v>—</v>
      </c>
      <c r="F97" s="39" t="str">
        <f>IF(OR(NOT(ISNUMBER($D97)),$B97="—",$B97=""),"—",IF(COUNTIFS(Bookings!$B$5:$B$304,$B97,Bookings!$F$5:$F$304,$D97)-COUNTIFS(Bookings!$B$5:$B$304,$B97,Bookings!$F$5:$F$304,$D97,Bookings!$D$5:$D$304,"Cancelled")-COUNTIFS(Bookings!$B$5:$B$304,$B97,Bookings!$F$5:$F$304,$D97,Bookings!$D$5:$D$304,"Owner block")&gt;0,"SAME-DAY TURN","No same-day guest"))</f>
        <v>—</v>
      </c>
      <c r="G97" s="38" t="str">
        <f>IFERROR(IF(INDEX(Bookings!$D$5:$D$304,MATCH($A97,Bookings!$A$5:$A$304,0))="Cancelled","—",IF(INDEX(Bookings!$I$5:$I$304,MATCH($A97,Bookings!$A$5:$A$304,0))="","—",INDEX(Bookings!$I$5:$I$304,MATCH($A97,Bookings!$A$5:$A$304,0)))),"—")</f>
        <v>—</v>
      </c>
      <c r="H97" s="38" t="str">
        <f>IFERROR(IF(INDEX(Setup!$I$25:$I$36,MATCH($B97,Setup!$A$25:$A$36,0))=0,"—",INDEX(Setup!$I$25:$I$36,MATCH($B97,Setup!$A$25:$A$36,0))),"—")</f>
        <v>—</v>
      </c>
      <c r="I97" s="21" t="str">
        <f>IFERROR(IF(INDEX(Setup!$E$25:$E$36,MATCH($B97,Setup!$A$25:$A$36,0))=0,"—",INDEX(Setup!$E$25:$E$36,MATCH($B97,Setup!$A$25:$A$36,0))),"—")</f>
        <v>—</v>
      </c>
      <c r="J97" s="3"/>
      <c r="K97" s="3"/>
      <c r="L97" s="3"/>
    </row>
    <row r="98" spans="1:12" x14ac:dyDescent="0.2">
      <c r="A98" s="30">
        <v>94</v>
      </c>
      <c r="B98" s="7" t="str">
        <f>IFERROR(IF(INDEX(Bookings!$D$5:$D$304,MATCH($A98,Bookings!$A$5:$A$304,0))="Cancelled","—",IF(INDEX(Bookings!$B$5:$B$304,MATCH($A98,Bookings!$A$5:$A$304,0))="","—",INDEX(Bookings!$B$5:$B$304,MATCH($A98,Bookings!$A$5:$A$304,0)))),"—")</f>
        <v>—</v>
      </c>
      <c r="C98" s="7" t="str">
        <f>IFERROR(IF(INDEX(Bookings!$D$5:$D$304,MATCH($A98,Bookings!$A$5:$A$304,0))="Cancelled","—",IF(INDEX(Bookings!$E$5:$E$304,MATCH($A98,Bookings!$A$5:$A$304,0))="","—",INDEX(Bookings!$E$5:$E$304,MATCH($A98,Bookings!$A$5:$A$304,0)))),"—")</f>
        <v>—</v>
      </c>
      <c r="D98" s="37" t="str">
        <f>IFERROR(IF(INDEX(Bookings!$D$5:$D$304,MATCH($A98,Bookings!$A$5:$A$304,0))="Cancelled","—",IF(INDEX(Bookings!$G$5:$G$304,MATCH($A98,Bookings!$A$5:$A$304,0))="","—",INDEX(Bookings!$G$5:$G$304,MATCH($A98,Bookings!$A$5:$A$304,0)))),"—")</f>
        <v>—</v>
      </c>
      <c r="E98" s="38" t="str">
        <f t="shared" ca="1" si="1"/>
        <v>—</v>
      </c>
      <c r="F98" s="39" t="str">
        <f>IF(OR(NOT(ISNUMBER($D98)),$B98="—",$B98=""),"—",IF(COUNTIFS(Bookings!$B$5:$B$304,$B98,Bookings!$F$5:$F$304,$D98)-COUNTIFS(Bookings!$B$5:$B$304,$B98,Bookings!$F$5:$F$304,$D98,Bookings!$D$5:$D$304,"Cancelled")-COUNTIFS(Bookings!$B$5:$B$304,$B98,Bookings!$F$5:$F$304,$D98,Bookings!$D$5:$D$304,"Owner block")&gt;0,"SAME-DAY TURN","No same-day guest"))</f>
        <v>—</v>
      </c>
      <c r="G98" s="38" t="str">
        <f>IFERROR(IF(INDEX(Bookings!$D$5:$D$304,MATCH($A98,Bookings!$A$5:$A$304,0))="Cancelled","—",IF(INDEX(Bookings!$I$5:$I$304,MATCH($A98,Bookings!$A$5:$A$304,0))="","—",INDEX(Bookings!$I$5:$I$304,MATCH($A98,Bookings!$A$5:$A$304,0)))),"—")</f>
        <v>—</v>
      </c>
      <c r="H98" s="38" t="str">
        <f>IFERROR(IF(INDEX(Setup!$I$25:$I$36,MATCH($B98,Setup!$A$25:$A$36,0))=0,"—",INDEX(Setup!$I$25:$I$36,MATCH($B98,Setup!$A$25:$A$36,0))),"—")</f>
        <v>—</v>
      </c>
      <c r="I98" s="21" t="str">
        <f>IFERROR(IF(INDEX(Setup!$E$25:$E$36,MATCH($B98,Setup!$A$25:$A$36,0))=0,"—",INDEX(Setup!$E$25:$E$36,MATCH($B98,Setup!$A$25:$A$36,0))),"—")</f>
        <v>—</v>
      </c>
      <c r="J98" s="8"/>
      <c r="K98" s="8"/>
      <c r="L98" s="8"/>
    </row>
    <row r="99" spans="1:12" x14ac:dyDescent="0.2">
      <c r="A99" s="30">
        <v>95</v>
      </c>
      <c r="B99" s="7" t="str">
        <f>IFERROR(IF(INDEX(Bookings!$D$5:$D$304,MATCH($A99,Bookings!$A$5:$A$304,0))="Cancelled","—",IF(INDEX(Bookings!$B$5:$B$304,MATCH($A99,Bookings!$A$5:$A$304,0))="","—",INDEX(Bookings!$B$5:$B$304,MATCH($A99,Bookings!$A$5:$A$304,0)))),"—")</f>
        <v>—</v>
      </c>
      <c r="C99" s="7" t="str">
        <f>IFERROR(IF(INDEX(Bookings!$D$5:$D$304,MATCH($A99,Bookings!$A$5:$A$304,0))="Cancelled","—",IF(INDEX(Bookings!$E$5:$E$304,MATCH($A99,Bookings!$A$5:$A$304,0))="","—",INDEX(Bookings!$E$5:$E$304,MATCH($A99,Bookings!$A$5:$A$304,0)))),"—")</f>
        <v>—</v>
      </c>
      <c r="D99" s="37" t="str">
        <f>IFERROR(IF(INDEX(Bookings!$D$5:$D$304,MATCH($A99,Bookings!$A$5:$A$304,0))="Cancelled","—",IF(INDEX(Bookings!$G$5:$G$304,MATCH($A99,Bookings!$A$5:$A$304,0))="","—",INDEX(Bookings!$G$5:$G$304,MATCH($A99,Bookings!$A$5:$A$304,0)))),"—")</f>
        <v>—</v>
      </c>
      <c r="E99" s="38" t="str">
        <f t="shared" ca="1" si="1"/>
        <v>—</v>
      </c>
      <c r="F99" s="39" t="str">
        <f>IF(OR(NOT(ISNUMBER($D99)),$B99="—",$B99=""),"—",IF(COUNTIFS(Bookings!$B$5:$B$304,$B99,Bookings!$F$5:$F$304,$D99)-COUNTIFS(Bookings!$B$5:$B$304,$B99,Bookings!$F$5:$F$304,$D99,Bookings!$D$5:$D$304,"Cancelled")-COUNTIFS(Bookings!$B$5:$B$304,$B99,Bookings!$F$5:$F$304,$D99,Bookings!$D$5:$D$304,"Owner block")&gt;0,"SAME-DAY TURN","No same-day guest"))</f>
        <v>—</v>
      </c>
      <c r="G99" s="38" t="str">
        <f>IFERROR(IF(INDEX(Bookings!$D$5:$D$304,MATCH($A99,Bookings!$A$5:$A$304,0))="Cancelled","—",IF(INDEX(Bookings!$I$5:$I$304,MATCH($A99,Bookings!$A$5:$A$304,0))="","—",INDEX(Bookings!$I$5:$I$304,MATCH($A99,Bookings!$A$5:$A$304,0)))),"—")</f>
        <v>—</v>
      </c>
      <c r="H99" s="38" t="str">
        <f>IFERROR(IF(INDEX(Setup!$I$25:$I$36,MATCH($B99,Setup!$A$25:$A$36,0))=0,"—",INDEX(Setup!$I$25:$I$36,MATCH($B99,Setup!$A$25:$A$36,0))),"—")</f>
        <v>—</v>
      </c>
      <c r="I99" s="21" t="str">
        <f>IFERROR(IF(INDEX(Setup!$E$25:$E$36,MATCH($B99,Setup!$A$25:$A$36,0))=0,"—",INDEX(Setup!$E$25:$E$36,MATCH($B99,Setup!$A$25:$A$36,0))),"—")</f>
        <v>—</v>
      </c>
      <c r="J99" s="3"/>
      <c r="K99" s="3"/>
      <c r="L99" s="3"/>
    </row>
    <row r="100" spans="1:12" x14ac:dyDescent="0.2">
      <c r="A100" s="30">
        <v>96</v>
      </c>
      <c r="B100" s="7" t="str">
        <f>IFERROR(IF(INDEX(Bookings!$D$5:$D$304,MATCH($A100,Bookings!$A$5:$A$304,0))="Cancelled","—",IF(INDEX(Bookings!$B$5:$B$304,MATCH($A100,Bookings!$A$5:$A$304,0))="","—",INDEX(Bookings!$B$5:$B$304,MATCH($A100,Bookings!$A$5:$A$304,0)))),"—")</f>
        <v>—</v>
      </c>
      <c r="C100" s="7" t="str">
        <f>IFERROR(IF(INDEX(Bookings!$D$5:$D$304,MATCH($A100,Bookings!$A$5:$A$304,0))="Cancelled","—",IF(INDEX(Bookings!$E$5:$E$304,MATCH($A100,Bookings!$A$5:$A$304,0))="","—",INDEX(Bookings!$E$5:$E$304,MATCH($A100,Bookings!$A$5:$A$304,0)))),"—")</f>
        <v>—</v>
      </c>
      <c r="D100" s="37" t="str">
        <f>IFERROR(IF(INDEX(Bookings!$D$5:$D$304,MATCH($A100,Bookings!$A$5:$A$304,0))="Cancelled","—",IF(INDEX(Bookings!$G$5:$G$304,MATCH($A100,Bookings!$A$5:$A$304,0))="","—",INDEX(Bookings!$G$5:$G$304,MATCH($A100,Bookings!$A$5:$A$304,0)))),"—")</f>
        <v>—</v>
      </c>
      <c r="E100" s="38" t="str">
        <f t="shared" ca="1" si="1"/>
        <v>—</v>
      </c>
      <c r="F100" s="39" t="str">
        <f>IF(OR(NOT(ISNUMBER($D100)),$B100="—",$B100=""),"—",IF(COUNTIFS(Bookings!$B$5:$B$304,$B100,Bookings!$F$5:$F$304,$D100)-COUNTIFS(Bookings!$B$5:$B$304,$B100,Bookings!$F$5:$F$304,$D100,Bookings!$D$5:$D$304,"Cancelled")-COUNTIFS(Bookings!$B$5:$B$304,$B100,Bookings!$F$5:$F$304,$D100,Bookings!$D$5:$D$304,"Owner block")&gt;0,"SAME-DAY TURN","No same-day guest"))</f>
        <v>—</v>
      </c>
      <c r="G100" s="38" t="str">
        <f>IFERROR(IF(INDEX(Bookings!$D$5:$D$304,MATCH($A100,Bookings!$A$5:$A$304,0))="Cancelled","—",IF(INDEX(Bookings!$I$5:$I$304,MATCH($A100,Bookings!$A$5:$A$304,0))="","—",INDEX(Bookings!$I$5:$I$304,MATCH($A100,Bookings!$A$5:$A$304,0)))),"—")</f>
        <v>—</v>
      </c>
      <c r="H100" s="38" t="str">
        <f>IFERROR(IF(INDEX(Setup!$I$25:$I$36,MATCH($B100,Setup!$A$25:$A$36,0))=0,"—",INDEX(Setup!$I$25:$I$36,MATCH($B100,Setup!$A$25:$A$36,0))),"—")</f>
        <v>—</v>
      </c>
      <c r="I100" s="21" t="str">
        <f>IFERROR(IF(INDEX(Setup!$E$25:$E$36,MATCH($B100,Setup!$A$25:$A$36,0))=0,"—",INDEX(Setup!$E$25:$E$36,MATCH($B100,Setup!$A$25:$A$36,0))),"—")</f>
        <v>—</v>
      </c>
      <c r="J100" s="8"/>
      <c r="K100" s="8"/>
      <c r="L100" s="8"/>
    </row>
    <row r="101" spans="1:12" x14ac:dyDescent="0.2">
      <c r="A101" s="30">
        <v>97</v>
      </c>
      <c r="B101" s="7" t="str">
        <f>IFERROR(IF(INDEX(Bookings!$D$5:$D$304,MATCH($A101,Bookings!$A$5:$A$304,0))="Cancelled","—",IF(INDEX(Bookings!$B$5:$B$304,MATCH($A101,Bookings!$A$5:$A$304,0))="","—",INDEX(Bookings!$B$5:$B$304,MATCH($A101,Bookings!$A$5:$A$304,0)))),"—")</f>
        <v>—</v>
      </c>
      <c r="C101" s="7" t="str">
        <f>IFERROR(IF(INDEX(Bookings!$D$5:$D$304,MATCH($A101,Bookings!$A$5:$A$304,0))="Cancelled","—",IF(INDEX(Bookings!$E$5:$E$304,MATCH($A101,Bookings!$A$5:$A$304,0))="","—",INDEX(Bookings!$E$5:$E$304,MATCH($A101,Bookings!$A$5:$A$304,0)))),"—")</f>
        <v>—</v>
      </c>
      <c r="D101" s="37" t="str">
        <f>IFERROR(IF(INDEX(Bookings!$D$5:$D$304,MATCH($A101,Bookings!$A$5:$A$304,0))="Cancelled","—",IF(INDEX(Bookings!$G$5:$G$304,MATCH($A101,Bookings!$A$5:$A$304,0))="","—",INDEX(Bookings!$G$5:$G$304,MATCH($A101,Bookings!$A$5:$A$304,0)))),"—")</f>
        <v>—</v>
      </c>
      <c r="E101" s="38" t="str">
        <f t="shared" ca="1" si="1"/>
        <v>—</v>
      </c>
      <c r="F101" s="39" t="str">
        <f>IF(OR(NOT(ISNUMBER($D101)),$B101="—",$B101=""),"—",IF(COUNTIFS(Bookings!$B$5:$B$304,$B101,Bookings!$F$5:$F$304,$D101)-COUNTIFS(Bookings!$B$5:$B$304,$B101,Bookings!$F$5:$F$304,$D101,Bookings!$D$5:$D$304,"Cancelled")-COUNTIFS(Bookings!$B$5:$B$304,$B101,Bookings!$F$5:$F$304,$D101,Bookings!$D$5:$D$304,"Owner block")&gt;0,"SAME-DAY TURN","No same-day guest"))</f>
        <v>—</v>
      </c>
      <c r="G101" s="38" t="str">
        <f>IFERROR(IF(INDEX(Bookings!$D$5:$D$304,MATCH($A101,Bookings!$A$5:$A$304,0))="Cancelled","—",IF(INDEX(Bookings!$I$5:$I$304,MATCH($A101,Bookings!$A$5:$A$304,0))="","—",INDEX(Bookings!$I$5:$I$304,MATCH($A101,Bookings!$A$5:$A$304,0)))),"—")</f>
        <v>—</v>
      </c>
      <c r="H101" s="38" t="str">
        <f>IFERROR(IF(INDEX(Setup!$I$25:$I$36,MATCH($B101,Setup!$A$25:$A$36,0))=0,"—",INDEX(Setup!$I$25:$I$36,MATCH($B101,Setup!$A$25:$A$36,0))),"—")</f>
        <v>—</v>
      </c>
      <c r="I101" s="21" t="str">
        <f>IFERROR(IF(INDEX(Setup!$E$25:$E$36,MATCH($B101,Setup!$A$25:$A$36,0))=0,"—",INDEX(Setup!$E$25:$E$36,MATCH($B101,Setup!$A$25:$A$36,0))),"—")</f>
        <v>—</v>
      </c>
      <c r="J101" s="3"/>
      <c r="K101" s="3"/>
      <c r="L101" s="3"/>
    </row>
    <row r="102" spans="1:12" x14ac:dyDescent="0.2">
      <c r="A102" s="30">
        <v>98</v>
      </c>
      <c r="B102" s="7" t="str">
        <f>IFERROR(IF(INDEX(Bookings!$D$5:$D$304,MATCH($A102,Bookings!$A$5:$A$304,0))="Cancelled","—",IF(INDEX(Bookings!$B$5:$B$304,MATCH($A102,Bookings!$A$5:$A$304,0))="","—",INDEX(Bookings!$B$5:$B$304,MATCH($A102,Bookings!$A$5:$A$304,0)))),"—")</f>
        <v>—</v>
      </c>
      <c r="C102" s="7" t="str">
        <f>IFERROR(IF(INDEX(Bookings!$D$5:$D$304,MATCH($A102,Bookings!$A$5:$A$304,0))="Cancelled","—",IF(INDEX(Bookings!$E$5:$E$304,MATCH($A102,Bookings!$A$5:$A$304,0))="","—",INDEX(Bookings!$E$5:$E$304,MATCH($A102,Bookings!$A$5:$A$304,0)))),"—")</f>
        <v>—</v>
      </c>
      <c r="D102" s="37" t="str">
        <f>IFERROR(IF(INDEX(Bookings!$D$5:$D$304,MATCH($A102,Bookings!$A$5:$A$304,0))="Cancelled","—",IF(INDEX(Bookings!$G$5:$G$304,MATCH($A102,Bookings!$A$5:$A$304,0))="","—",INDEX(Bookings!$G$5:$G$304,MATCH($A102,Bookings!$A$5:$A$304,0)))),"—")</f>
        <v>—</v>
      </c>
      <c r="E102" s="38" t="str">
        <f t="shared" ca="1" si="1"/>
        <v>—</v>
      </c>
      <c r="F102" s="39" t="str">
        <f>IF(OR(NOT(ISNUMBER($D102)),$B102="—",$B102=""),"—",IF(COUNTIFS(Bookings!$B$5:$B$304,$B102,Bookings!$F$5:$F$304,$D102)-COUNTIFS(Bookings!$B$5:$B$304,$B102,Bookings!$F$5:$F$304,$D102,Bookings!$D$5:$D$304,"Cancelled")-COUNTIFS(Bookings!$B$5:$B$304,$B102,Bookings!$F$5:$F$304,$D102,Bookings!$D$5:$D$304,"Owner block")&gt;0,"SAME-DAY TURN","No same-day guest"))</f>
        <v>—</v>
      </c>
      <c r="G102" s="38" t="str">
        <f>IFERROR(IF(INDEX(Bookings!$D$5:$D$304,MATCH($A102,Bookings!$A$5:$A$304,0))="Cancelled","—",IF(INDEX(Bookings!$I$5:$I$304,MATCH($A102,Bookings!$A$5:$A$304,0))="","—",INDEX(Bookings!$I$5:$I$304,MATCH($A102,Bookings!$A$5:$A$304,0)))),"—")</f>
        <v>—</v>
      </c>
      <c r="H102" s="38" t="str">
        <f>IFERROR(IF(INDEX(Setup!$I$25:$I$36,MATCH($B102,Setup!$A$25:$A$36,0))=0,"—",INDEX(Setup!$I$25:$I$36,MATCH($B102,Setup!$A$25:$A$36,0))),"—")</f>
        <v>—</v>
      </c>
      <c r="I102" s="21" t="str">
        <f>IFERROR(IF(INDEX(Setup!$E$25:$E$36,MATCH($B102,Setup!$A$25:$A$36,0))=0,"—",INDEX(Setup!$E$25:$E$36,MATCH($B102,Setup!$A$25:$A$36,0))),"—")</f>
        <v>—</v>
      </c>
      <c r="J102" s="8"/>
      <c r="K102" s="8"/>
      <c r="L102" s="8"/>
    </row>
    <row r="103" spans="1:12" x14ac:dyDescent="0.2">
      <c r="A103" s="30">
        <v>99</v>
      </c>
      <c r="B103" s="7" t="str">
        <f>IFERROR(IF(INDEX(Bookings!$D$5:$D$304,MATCH($A103,Bookings!$A$5:$A$304,0))="Cancelled","—",IF(INDEX(Bookings!$B$5:$B$304,MATCH($A103,Bookings!$A$5:$A$304,0))="","—",INDEX(Bookings!$B$5:$B$304,MATCH($A103,Bookings!$A$5:$A$304,0)))),"—")</f>
        <v>—</v>
      </c>
      <c r="C103" s="7" t="str">
        <f>IFERROR(IF(INDEX(Bookings!$D$5:$D$304,MATCH($A103,Bookings!$A$5:$A$304,0))="Cancelled","—",IF(INDEX(Bookings!$E$5:$E$304,MATCH($A103,Bookings!$A$5:$A$304,0))="","—",INDEX(Bookings!$E$5:$E$304,MATCH($A103,Bookings!$A$5:$A$304,0)))),"—")</f>
        <v>—</v>
      </c>
      <c r="D103" s="37" t="str">
        <f>IFERROR(IF(INDEX(Bookings!$D$5:$D$304,MATCH($A103,Bookings!$A$5:$A$304,0))="Cancelled","—",IF(INDEX(Bookings!$G$5:$G$304,MATCH($A103,Bookings!$A$5:$A$304,0))="","—",INDEX(Bookings!$G$5:$G$304,MATCH($A103,Bookings!$A$5:$A$304,0)))),"—")</f>
        <v>—</v>
      </c>
      <c r="E103" s="38" t="str">
        <f t="shared" ca="1" si="1"/>
        <v>—</v>
      </c>
      <c r="F103" s="39" t="str">
        <f>IF(OR(NOT(ISNUMBER($D103)),$B103="—",$B103=""),"—",IF(COUNTIFS(Bookings!$B$5:$B$304,$B103,Bookings!$F$5:$F$304,$D103)-COUNTIFS(Bookings!$B$5:$B$304,$B103,Bookings!$F$5:$F$304,$D103,Bookings!$D$5:$D$304,"Cancelled")-COUNTIFS(Bookings!$B$5:$B$304,$B103,Bookings!$F$5:$F$304,$D103,Bookings!$D$5:$D$304,"Owner block")&gt;0,"SAME-DAY TURN","No same-day guest"))</f>
        <v>—</v>
      </c>
      <c r="G103" s="38" t="str">
        <f>IFERROR(IF(INDEX(Bookings!$D$5:$D$304,MATCH($A103,Bookings!$A$5:$A$304,0))="Cancelled","—",IF(INDEX(Bookings!$I$5:$I$304,MATCH($A103,Bookings!$A$5:$A$304,0))="","—",INDEX(Bookings!$I$5:$I$304,MATCH($A103,Bookings!$A$5:$A$304,0)))),"—")</f>
        <v>—</v>
      </c>
      <c r="H103" s="38" t="str">
        <f>IFERROR(IF(INDEX(Setup!$I$25:$I$36,MATCH($B103,Setup!$A$25:$A$36,0))=0,"—",INDEX(Setup!$I$25:$I$36,MATCH($B103,Setup!$A$25:$A$36,0))),"—")</f>
        <v>—</v>
      </c>
      <c r="I103" s="21" t="str">
        <f>IFERROR(IF(INDEX(Setup!$E$25:$E$36,MATCH($B103,Setup!$A$25:$A$36,0))=0,"—",INDEX(Setup!$E$25:$E$36,MATCH($B103,Setup!$A$25:$A$36,0))),"—")</f>
        <v>—</v>
      </c>
      <c r="J103" s="3"/>
      <c r="K103" s="3"/>
      <c r="L103" s="3"/>
    </row>
    <row r="104" spans="1:12" x14ac:dyDescent="0.2">
      <c r="A104" s="30">
        <v>100</v>
      </c>
      <c r="B104" s="7" t="str">
        <f>IFERROR(IF(INDEX(Bookings!$D$5:$D$304,MATCH($A104,Bookings!$A$5:$A$304,0))="Cancelled","—",IF(INDEX(Bookings!$B$5:$B$304,MATCH($A104,Bookings!$A$5:$A$304,0))="","—",INDEX(Bookings!$B$5:$B$304,MATCH($A104,Bookings!$A$5:$A$304,0)))),"—")</f>
        <v>—</v>
      </c>
      <c r="C104" s="7" t="str">
        <f>IFERROR(IF(INDEX(Bookings!$D$5:$D$304,MATCH($A104,Bookings!$A$5:$A$304,0))="Cancelled","—",IF(INDEX(Bookings!$E$5:$E$304,MATCH($A104,Bookings!$A$5:$A$304,0))="","—",INDEX(Bookings!$E$5:$E$304,MATCH($A104,Bookings!$A$5:$A$304,0)))),"—")</f>
        <v>—</v>
      </c>
      <c r="D104" s="37" t="str">
        <f>IFERROR(IF(INDEX(Bookings!$D$5:$D$304,MATCH($A104,Bookings!$A$5:$A$304,0))="Cancelled","—",IF(INDEX(Bookings!$G$5:$G$304,MATCH($A104,Bookings!$A$5:$A$304,0))="","—",INDEX(Bookings!$G$5:$G$304,MATCH($A104,Bookings!$A$5:$A$304,0)))),"—")</f>
        <v>—</v>
      </c>
      <c r="E104" s="38" t="str">
        <f t="shared" ca="1" si="1"/>
        <v>—</v>
      </c>
      <c r="F104" s="39" t="str">
        <f>IF(OR(NOT(ISNUMBER($D104)),$B104="—",$B104=""),"—",IF(COUNTIFS(Bookings!$B$5:$B$304,$B104,Bookings!$F$5:$F$304,$D104)-COUNTIFS(Bookings!$B$5:$B$304,$B104,Bookings!$F$5:$F$304,$D104,Bookings!$D$5:$D$304,"Cancelled")-COUNTIFS(Bookings!$B$5:$B$304,$B104,Bookings!$F$5:$F$304,$D104,Bookings!$D$5:$D$304,"Owner block")&gt;0,"SAME-DAY TURN","No same-day guest"))</f>
        <v>—</v>
      </c>
      <c r="G104" s="38" t="str">
        <f>IFERROR(IF(INDEX(Bookings!$D$5:$D$304,MATCH($A104,Bookings!$A$5:$A$304,0))="Cancelled","—",IF(INDEX(Bookings!$I$5:$I$304,MATCH($A104,Bookings!$A$5:$A$304,0))="","—",INDEX(Bookings!$I$5:$I$304,MATCH($A104,Bookings!$A$5:$A$304,0)))),"—")</f>
        <v>—</v>
      </c>
      <c r="H104" s="38" t="str">
        <f>IFERROR(IF(INDEX(Setup!$I$25:$I$36,MATCH($B104,Setup!$A$25:$A$36,0))=0,"—",INDEX(Setup!$I$25:$I$36,MATCH($B104,Setup!$A$25:$A$36,0))),"—")</f>
        <v>—</v>
      </c>
      <c r="I104" s="21" t="str">
        <f>IFERROR(IF(INDEX(Setup!$E$25:$E$36,MATCH($B104,Setup!$A$25:$A$36,0))=0,"—",INDEX(Setup!$E$25:$E$36,MATCH($B104,Setup!$A$25:$A$36,0))),"—")</f>
        <v>—</v>
      </c>
      <c r="J104" s="8"/>
      <c r="K104" s="8"/>
      <c r="L104" s="8"/>
    </row>
    <row r="105" spans="1:12" x14ac:dyDescent="0.2">
      <c r="A105" s="30">
        <v>101</v>
      </c>
      <c r="B105" s="7" t="str">
        <f>IFERROR(IF(INDEX(Bookings!$D$5:$D$304,MATCH($A105,Bookings!$A$5:$A$304,0))="Cancelled","—",IF(INDEX(Bookings!$B$5:$B$304,MATCH($A105,Bookings!$A$5:$A$304,0))="","—",INDEX(Bookings!$B$5:$B$304,MATCH($A105,Bookings!$A$5:$A$304,0)))),"—")</f>
        <v>—</v>
      </c>
      <c r="C105" s="7" t="str">
        <f>IFERROR(IF(INDEX(Bookings!$D$5:$D$304,MATCH($A105,Bookings!$A$5:$A$304,0))="Cancelled","—",IF(INDEX(Bookings!$E$5:$E$304,MATCH($A105,Bookings!$A$5:$A$304,0))="","—",INDEX(Bookings!$E$5:$E$304,MATCH($A105,Bookings!$A$5:$A$304,0)))),"—")</f>
        <v>—</v>
      </c>
      <c r="D105" s="37" t="str">
        <f>IFERROR(IF(INDEX(Bookings!$D$5:$D$304,MATCH($A105,Bookings!$A$5:$A$304,0))="Cancelled","—",IF(INDEX(Bookings!$G$5:$G$304,MATCH($A105,Bookings!$A$5:$A$304,0))="","—",INDEX(Bookings!$G$5:$G$304,MATCH($A105,Bookings!$A$5:$A$304,0)))),"—")</f>
        <v>—</v>
      </c>
      <c r="E105" s="38" t="str">
        <f t="shared" ca="1" si="1"/>
        <v>—</v>
      </c>
      <c r="F105" s="39" t="str">
        <f>IF(OR(NOT(ISNUMBER($D105)),$B105="—",$B105=""),"—",IF(COUNTIFS(Bookings!$B$5:$B$304,$B105,Bookings!$F$5:$F$304,$D105)-COUNTIFS(Bookings!$B$5:$B$304,$B105,Bookings!$F$5:$F$304,$D105,Bookings!$D$5:$D$304,"Cancelled")-COUNTIFS(Bookings!$B$5:$B$304,$B105,Bookings!$F$5:$F$304,$D105,Bookings!$D$5:$D$304,"Owner block")&gt;0,"SAME-DAY TURN","No same-day guest"))</f>
        <v>—</v>
      </c>
      <c r="G105" s="38" t="str">
        <f>IFERROR(IF(INDEX(Bookings!$D$5:$D$304,MATCH($A105,Bookings!$A$5:$A$304,0))="Cancelled","—",IF(INDEX(Bookings!$I$5:$I$304,MATCH($A105,Bookings!$A$5:$A$304,0))="","—",INDEX(Bookings!$I$5:$I$304,MATCH($A105,Bookings!$A$5:$A$304,0)))),"—")</f>
        <v>—</v>
      </c>
      <c r="H105" s="38" t="str">
        <f>IFERROR(IF(INDEX(Setup!$I$25:$I$36,MATCH($B105,Setup!$A$25:$A$36,0))=0,"—",INDEX(Setup!$I$25:$I$36,MATCH($B105,Setup!$A$25:$A$36,0))),"—")</f>
        <v>—</v>
      </c>
      <c r="I105" s="21" t="str">
        <f>IFERROR(IF(INDEX(Setup!$E$25:$E$36,MATCH($B105,Setup!$A$25:$A$36,0))=0,"—",INDEX(Setup!$E$25:$E$36,MATCH($B105,Setup!$A$25:$A$36,0))),"—")</f>
        <v>—</v>
      </c>
      <c r="J105" s="3"/>
      <c r="K105" s="3"/>
      <c r="L105" s="3"/>
    </row>
    <row r="106" spans="1:12" x14ac:dyDescent="0.2">
      <c r="A106" s="30">
        <v>102</v>
      </c>
      <c r="B106" s="7" t="str">
        <f>IFERROR(IF(INDEX(Bookings!$D$5:$D$304,MATCH($A106,Bookings!$A$5:$A$304,0))="Cancelled","—",IF(INDEX(Bookings!$B$5:$B$304,MATCH($A106,Bookings!$A$5:$A$304,0))="","—",INDEX(Bookings!$B$5:$B$304,MATCH($A106,Bookings!$A$5:$A$304,0)))),"—")</f>
        <v>—</v>
      </c>
      <c r="C106" s="7" t="str">
        <f>IFERROR(IF(INDEX(Bookings!$D$5:$D$304,MATCH($A106,Bookings!$A$5:$A$304,0))="Cancelled","—",IF(INDEX(Bookings!$E$5:$E$304,MATCH($A106,Bookings!$A$5:$A$304,0))="","—",INDEX(Bookings!$E$5:$E$304,MATCH($A106,Bookings!$A$5:$A$304,0)))),"—")</f>
        <v>—</v>
      </c>
      <c r="D106" s="37" t="str">
        <f>IFERROR(IF(INDEX(Bookings!$D$5:$D$304,MATCH($A106,Bookings!$A$5:$A$304,0))="Cancelled","—",IF(INDEX(Bookings!$G$5:$G$304,MATCH($A106,Bookings!$A$5:$A$304,0))="","—",INDEX(Bookings!$G$5:$G$304,MATCH($A106,Bookings!$A$5:$A$304,0)))),"—")</f>
        <v>—</v>
      </c>
      <c r="E106" s="38" t="str">
        <f t="shared" ca="1" si="1"/>
        <v>—</v>
      </c>
      <c r="F106" s="39" t="str">
        <f>IF(OR(NOT(ISNUMBER($D106)),$B106="—",$B106=""),"—",IF(COUNTIFS(Bookings!$B$5:$B$304,$B106,Bookings!$F$5:$F$304,$D106)-COUNTIFS(Bookings!$B$5:$B$304,$B106,Bookings!$F$5:$F$304,$D106,Bookings!$D$5:$D$304,"Cancelled")-COUNTIFS(Bookings!$B$5:$B$304,$B106,Bookings!$F$5:$F$304,$D106,Bookings!$D$5:$D$304,"Owner block")&gt;0,"SAME-DAY TURN","No same-day guest"))</f>
        <v>—</v>
      </c>
      <c r="G106" s="38" t="str">
        <f>IFERROR(IF(INDEX(Bookings!$D$5:$D$304,MATCH($A106,Bookings!$A$5:$A$304,0))="Cancelled","—",IF(INDEX(Bookings!$I$5:$I$304,MATCH($A106,Bookings!$A$5:$A$304,0))="","—",INDEX(Bookings!$I$5:$I$304,MATCH($A106,Bookings!$A$5:$A$304,0)))),"—")</f>
        <v>—</v>
      </c>
      <c r="H106" s="38" t="str">
        <f>IFERROR(IF(INDEX(Setup!$I$25:$I$36,MATCH($B106,Setup!$A$25:$A$36,0))=0,"—",INDEX(Setup!$I$25:$I$36,MATCH($B106,Setup!$A$25:$A$36,0))),"—")</f>
        <v>—</v>
      </c>
      <c r="I106" s="21" t="str">
        <f>IFERROR(IF(INDEX(Setup!$E$25:$E$36,MATCH($B106,Setup!$A$25:$A$36,0))=0,"—",INDEX(Setup!$E$25:$E$36,MATCH($B106,Setup!$A$25:$A$36,0))),"—")</f>
        <v>—</v>
      </c>
      <c r="J106" s="8"/>
      <c r="K106" s="8"/>
      <c r="L106" s="8"/>
    </row>
    <row r="107" spans="1:12" x14ac:dyDescent="0.2">
      <c r="A107" s="30">
        <v>103</v>
      </c>
      <c r="B107" s="7" t="str">
        <f>IFERROR(IF(INDEX(Bookings!$D$5:$D$304,MATCH($A107,Bookings!$A$5:$A$304,0))="Cancelled","—",IF(INDEX(Bookings!$B$5:$B$304,MATCH($A107,Bookings!$A$5:$A$304,0))="","—",INDEX(Bookings!$B$5:$B$304,MATCH($A107,Bookings!$A$5:$A$304,0)))),"—")</f>
        <v>—</v>
      </c>
      <c r="C107" s="7" t="str">
        <f>IFERROR(IF(INDEX(Bookings!$D$5:$D$304,MATCH($A107,Bookings!$A$5:$A$304,0))="Cancelled","—",IF(INDEX(Bookings!$E$5:$E$304,MATCH($A107,Bookings!$A$5:$A$304,0))="","—",INDEX(Bookings!$E$5:$E$304,MATCH($A107,Bookings!$A$5:$A$304,0)))),"—")</f>
        <v>—</v>
      </c>
      <c r="D107" s="37" t="str">
        <f>IFERROR(IF(INDEX(Bookings!$D$5:$D$304,MATCH($A107,Bookings!$A$5:$A$304,0))="Cancelled","—",IF(INDEX(Bookings!$G$5:$G$304,MATCH($A107,Bookings!$A$5:$A$304,0))="","—",INDEX(Bookings!$G$5:$G$304,MATCH($A107,Bookings!$A$5:$A$304,0)))),"—")</f>
        <v>—</v>
      </c>
      <c r="E107" s="38" t="str">
        <f t="shared" ca="1" si="1"/>
        <v>—</v>
      </c>
      <c r="F107" s="39" t="str">
        <f>IF(OR(NOT(ISNUMBER($D107)),$B107="—",$B107=""),"—",IF(COUNTIFS(Bookings!$B$5:$B$304,$B107,Bookings!$F$5:$F$304,$D107)-COUNTIFS(Bookings!$B$5:$B$304,$B107,Bookings!$F$5:$F$304,$D107,Bookings!$D$5:$D$304,"Cancelled")-COUNTIFS(Bookings!$B$5:$B$304,$B107,Bookings!$F$5:$F$304,$D107,Bookings!$D$5:$D$304,"Owner block")&gt;0,"SAME-DAY TURN","No same-day guest"))</f>
        <v>—</v>
      </c>
      <c r="G107" s="38" t="str">
        <f>IFERROR(IF(INDEX(Bookings!$D$5:$D$304,MATCH($A107,Bookings!$A$5:$A$304,0))="Cancelled","—",IF(INDEX(Bookings!$I$5:$I$304,MATCH($A107,Bookings!$A$5:$A$304,0))="","—",INDEX(Bookings!$I$5:$I$304,MATCH($A107,Bookings!$A$5:$A$304,0)))),"—")</f>
        <v>—</v>
      </c>
      <c r="H107" s="38" t="str">
        <f>IFERROR(IF(INDEX(Setup!$I$25:$I$36,MATCH($B107,Setup!$A$25:$A$36,0))=0,"—",INDEX(Setup!$I$25:$I$36,MATCH($B107,Setup!$A$25:$A$36,0))),"—")</f>
        <v>—</v>
      </c>
      <c r="I107" s="21" t="str">
        <f>IFERROR(IF(INDEX(Setup!$E$25:$E$36,MATCH($B107,Setup!$A$25:$A$36,0))=0,"—",INDEX(Setup!$E$25:$E$36,MATCH($B107,Setup!$A$25:$A$36,0))),"—")</f>
        <v>—</v>
      </c>
      <c r="J107" s="3"/>
      <c r="K107" s="3"/>
      <c r="L107" s="3"/>
    </row>
    <row r="108" spans="1:12" x14ac:dyDescent="0.2">
      <c r="A108" s="30">
        <v>104</v>
      </c>
      <c r="B108" s="7" t="str">
        <f>IFERROR(IF(INDEX(Bookings!$D$5:$D$304,MATCH($A108,Bookings!$A$5:$A$304,0))="Cancelled","—",IF(INDEX(Bookings!$B$5:$B$304,MATCH($A108,Bookings!$A$5:$A$304,0))="","—",INDEX(Bookings!$B$5:$B$304,MATCH($A108,Bookings!$A$5:$A$304,0)))),"—")</f>
        <v>—</v>
      </c>
      <c r="C108" s="7" t="str">
        <f>IFERROR(IF(INDEX(Bookings!$D$5:$D$304,MATCH($A108,Bookings!$A$5:$A$304,0))="Cancelled","—",IF(INDEX(Bookings!$E$5:$E$304,MATCH($A108,Bookings!$A$5:$A$304,0))="","—",INDEX(Bookings!$E$5:$E$304,MATCH($A108,Bookings!$A$5:$A$304,0)))),"—")</f>
        <v>—</v>
      </c>
      <c r="D108" s="37" t="str">
        <f>IFERROR(IF(INDEX(Bookings!$D$5:$D$304,MATCH($A108,Bookings!$A$5:$A$304,0))="Cancelled","—",IF(INDEX(Bookings!$G$5:$G$304,MATCH($A108,Bookings!$A$5:$A$304,0))="","—",INDEX(Bookings!$G$5:$G$304,MATCH($A108,Bookings!$A$5:$A$304,0)))),"—")</f>
        <v>—</v>
      </c>
      <c r="E108" s="38" t="str">
        <f t="shared" ca="1" si="1"/>
        <v>—</v>
      </c>
      <c r="F108" s="39" t="str">
        <f>IF(OR(NOT(ISNUMBER($D108)),$B108="—",$B108=""),"—",IF(COUNTIFS(Bookings!$B$5:$B$304,$B108,Bookings!$F$5:$F$304,$D108)-COUNTIFS(Bookings!$B$5:$B$304,$B108,Bookings!$F$5:$F$304,$D108,Bookings!$D$5:$D$304,"Cancelled")-COUNTIFS(Bookings!$B$5:$B$304,$B108,Bookings!$F$5:$F$304,$D108,Bookings!$D$5:$D$304,"Owner block")&gt;0,"SAME-DAY TURN","No same-day guest"))</f>
        <v>—</v>
      </c>
      <c r="G108" s="38" t="str">
        <f>IFERROR(IF(INDEX(Bookings!$D$5:$D$304,MATCH($A108,Bookings!$A$5:$A$304,0))="Cancelled","—",IF(INDEX(Bookings!$I$5:$I$304,MATCH($A108,Bookings!$A$5:$A$304,0))="","—",INDEX(Bookings!$I$5:$I$304,MATCH($A108,Bookings!$A$5:$A$304,0)))),"—")</f>
        <v>—</v>
      </c>
      <c r="H108" s="38" t="str">
        <f>IFERROR(IF(INDEX(Setup!$I$25:$I$36,MATCH($B108,Setup!$A$25:$A$36,0))=0,"—",INDEX(Setup!$I$25:$I$36,MATCH($B108,Setup!$A$25:$A$36,0))),"—")</f>
        <v>—</v>
      </c>
      <c r="I108" s="21" t="str">
        <f>IFERROR(IF(INDEX(Setup!$E$25:$E$36,MATCH($B108,Setup!$A$25:$A$36,0))=0,"—",INDEX(Setup!$E$25:$E$36,MATCH($B108,Setup!$A$25:$A$36,0))),"—")</f>
        <v>—</v>
      </c>
      <c r="J108" s="8"/>
      <c r="K108" s="8"/>
      <c r="L108" s="8"/>
    </row>
    <row r="109" spans="1:12" x14ac:dyDescent="0.2">
      <c r="A109" s="30">
        <v>105</v>
      </c>
      <c r="B109" s="7" t="str">
        <f>IFERROR(IF(INDEX(Bookings!$D$5:$D$304,MATCH($A109,Bookings!$A$5:$A$304,0))="Cancelled","—",IF(INDEX(Bookings!$B$5:$B$304,MATCH($A109,Bookings!$A$5:$A$304,0))="","—",INDEX(Bookings!$B$5:$B$304,MATCH($A109,Bookings!$A$5:$A$304,0)))),"—")</f>
        <v>—</v>
      </c>
      <c r="C109" s="7" t="str">
        <f>IFERROR(IF(INDEX(Bookings!$D$5:$D$304,MATCH($A109,Bookings!$A$5:$A$304,0))="Cancelled","—",IF(INDEX(Bookings!$E$5:$E$304,MATCH($A109,Bookings!$A$5:$A$304,0))="","—",INDEX(Bookings!$E$5:$E$304,MATCH($A109,Bookings!$A$5:$A$304,0)))),"—")</f>
        <v>—</v>
      </c>
      <c r="D109" s="37" t="str">
        <f>IFERROR(IF(INDEX(Bookings!$D$5:$D$304,MATCH($A109,Bookings!$A$5:$A$304,0))="Cancelled","—",IF(INDEX(Bookings!$G$5:$G$304,MATCH($A109,Bookings!$A$5:$A$304,0))="","—",INDEX(Bookings!$G$5:$G$304,MATCH($A109,Bookings!$A$5:$A$304,0)))),"—")</f>
        <v>—</v>
      </c>
      <c r="E109" s="38" t="str">
        <f t="shared" ca="1" si="1"/>
        <v>—</v>
      </c>
      <c r="F109" s="39" t="str">
        <f>IF(OR(NOT(ISNUMBER($D109)),$B109="—",$B109=""),"—",IF(COUNTIFS(Bookings!$B$5:$B$304,$B109,Bookings!$F$5:$F$304,$D109)-COUNTIFS(Bookings!$B$5:$B$304,$B109,Bookings!$F$5:$F$304,$D109,Bookings!$D$5:$D$304,"Cancelled")-COUNTIFS(Bookings!$B$5:$B$304,$B109,Bookings!$F$5:$F$304,$D109,Bookings!$D$5:$D$304,"Owner block")&gt;0,"SAME-DAY TURN","No same-day guest"))</f>
        <v>—</v>
      </c>
      <c r="G109" s="38" t="str">
        <f>IFERROR(IF(INDEX(Bookings!$D$5:$D$304,MATCH($A109,Bookings!$A$5:$A$304,0))="Cancelled","—",IF(INDEX(Bookings!$I$5:$I$304,MATCH($A109,Bookings!$A$5:$A$304,0))="","—",INDEX(Bookings!$I$5:$I$304,MATCH($A109,Bookings!$A$5:$A$304,0)))),"—")</f>
        <v>—</v>
      </c>
      <c r="H109" s="38" t="str">
        <f>IFERROR(IF(INDEX(Setup!$I$25:$I$36,MATCH($B109,Setup!$A$25:$A$36,0))=0,"—",INDEX(Setup!$I$25:$I$36,MATCH($B109,Setup!$A$25:$A$36,0))),"—")</f>
        <v>—</v>
      </c>
      <c r="I109" s="21" t="str">
        <f>IFERROR(IF(INDEX(Setup!$E$25:$E$36,MATCH($B109,Setup!$A$25:$A$36,0))=0,"—",INDEX(Setup!$E$25:$E$36,MATCH($B109,Setup!$A$25:$A$36,0))),"—")</f>
        <v>—</v>
      </c>
      <c r="J109" s="3"/>
      <c r="K109" s="3"/>
      <c r="L109" s="3"/>
    </row>
    <row r="110" spans="1:12" x14ac:dyDescent="0.2">
      <c r="A110" s="30">
        <v>106</v>
      </c>
      <c r="B110" s="7" t="str">
        <f>IFERROR(IF(INDEX(Bookings!$D$5:$D$304,MATCH($A110,Bookings!$A$5:$A$304,0))="Cancelled","—",IF(INDEX(Bookings!$B$5:$B$304,MATCH($A110,Bookings!$A$5:$A$304,0))="","—",INDEX(Bookings!$B$5:$B$304,MATCH($A110,Bookings!$A$5:$A$304,0)))),"—")</f>
        <v>—</v>
      </c>
      <c r="C110" s="7" t="str">
        <f>IFERROR(IF(INDEX(Bookings!$D$5:$D$304,MATCH($A110,Bookings!$A$5:$A$304,0))="Cancelled","—",IF(INDEX(Bookings!$E$5:$E$304,MATCH($A110,Bookings!$A$5:$A$304,0))="","—",INDEX(Bookings!$E$5:$E$304,MATCH($A110,Bookings!$A$5:$A$304,0)))),"—")</f>
        <v>—</v>
      </c>
      <c r="D110" s="37" t="str">
        <f>IFERROR(IF(INDEX(Bookings!$D$5:$D$304,MATCH($A110,Bookings!$A$5:$A$304,0))="Cancelled","—",IF(INDEX(Bookings!$G$5:$G$304,MATCH($A110,Bookings!$A$5:$A$304,0))="","—",INDEX(Bookings!$G$5:$G$304,MATCH($A110,Bookings!$A$5:$A$304,0)))),"—")</f>
        <v>—</v>
      </c>
      <c r="E110" s="38" t="str">
        <f t="shared" ca="1" si="1"/>
        <v>—</v>
      </c>
      <c r="F110" s="39" t="str">
        <f>IF(OR(NOT(ISNUMBER($D110)),$B110="—",$B110=""),"—",IF(COUNTIFS(Bookings!$B$5:$B$304,$B110,Bookings!$F$5:$F$304,$D110)-COUNTIFS(Bookings!$B$5:$B$304,$B110,Bookings!$F$5:$F$304,$D110,Bookings!$D$5:$D$304,"Cancelled")-COUNTIFS(Bookings!$B$5:$B$304,$B110,Bookings!$F$5:$F$304,$D110,Bookings!$D$5:$D$304,"Owner block")&gt;0,"SAME-DAY TURN","No same-day guest"))</f>
        <v>—</v>
      </c>
      <c r="G110" s="38" t="str">
        <f>IFERROR(IF(INDEX(Bookings!$D$5:$D$304,MATCH($A110,Bookings!$A$5:$A$304,0))="Cancelled","—",IF(INDEX(Bookings!$I$5:$I$304,MATCH($A110,Bookings!$A$5:$A$304,0))="","—",INDEX(Bookings!$I$5:$I$304,MATCH($A110,Bookings!$A$5:$A$304,0)))),"—")</f>
        <v>—</v>
      </c>
      <c r="H110" s="38" t="str">
        <f>IFERROR(IF(INDEX(Setup!$I$25:$I$36,MATCH($B110,Setup!$A$25:$A$36,0))=0,"—",INDEX(Setup!$I$25:$I$36,MATCH($B110,Setup!$A$25:$A$36,0))),"—")</f>
        <v>—</v>
      </c>
      <c r="I110" s="21" t="str">
        <f>IFERROR(IF(INDEX(Setup!$E$25:$E$36,MATCH($B110,Setup!$A$25:$A$36,0))=0,"—",INDEX(Setup!$E$25:$E$36,MATCH($B110,Setup!$A$25:$A$36,0))),"—")</f>
        <v>—</v>
      </c>
      <c r="J110" s="8"/>
      <c r="K110" s="8"/>
      <c r="L110" s="8"/>
    </row>
    <row r="111" spans="1:12" x14ac:dyDescent="0.2">
      <c r="A111" s="30">
        <v>107</v>
      </c>
      <c r="B111" s="7" t="str">
        <f>IFERROR(IF(INDEX(Bookings!$D$5:$D$304,MATCH($A111,Bookings!$A$5:$A$304,0))="Cancelled","—",IF(INDEX(Bookings!$B$5:$B$304,MATCH($A111,Bookings!$A$5:$A$304,0))="","—",INDEX(Bookings!$B$5:$B$304,MATCH($A111,Bookings!$A$5:$A$304,0)))),"—")</f>
        <v>—</v>
      </c>
      <c r="C111" s="7" t="str">
        <f>IFERROR(IF(INDEX(Bookings!$D$5:$D$304,MATCH($A111,Bookings!$A$5:$A$304,0))="Cancelled","—",IF(INDEX(Bookings!$E$5:$E$304,MATCH($A111,Bookings!$A$5:$A$304,0))="","—",INDEX(Bookings!$E$5:$E$304,MATCH($A111,Bookings!$A$5:$A$304,0)))),"—")</f>
        <v>—</v>
      </c>
      <c r="D111" s="37" t="str">
        <f>IFERROR(IF(INDEX(Bookings!$D$5:$D$304,MATCH($A111,Bookings!$A$5:$A$304,0))="Cancelled","—",IF(INDEX(Bookings!$G$5:$G$304,MATCH($A111,Bookings!$A$5:$A$304,0))="","—",INDEX(Bookings!$G$5:$G$304,MATCH($A111,Bookings!$A$5:$A$304,0)))),"—")</f>
        <v>—</v>
      </c>
      <c r="E111" s="38" t="str">
        <f t="shared" ca="1" si="1"/>
        <v>—</v>
      </c>
      <c r="F111" s="39" t="str">
        <f>IF(OR(NOT(ISNUMBER($D111)),$B111="—",$B111=""),"—",IF(COUNTIFS(Bookings!$B$5:$B$304,$B111,Bookings!$F$5:$F$304,$D111)-COUNTIFS(Bookings!$B$5:$B$304,$B111,Bookings!$F$5:$F$304,$D111,Bookings!$D$5:$D$304,"Cancelled")-COUNTIFS(Bookings!$B$5:$B$304,$B111,Bookings!$F$5:$F$304,$D111,Bookings!$D$5:$D$304,"Owner block")&gt;0,"SAME-DAY TURN","No same-day guest"))</f>
        <v>—</v>
      </c>
      <c r="G111" s="38" t="str">
        <f>IFERROR(IF(INDEX(Bookings!$D$5:$D$304,MATCH($A111,Bookings!$A$5:$A$304,0))="Cancelled","—",IF(INDEX(Bookings!$I$5:$I$304,MATCH($A111,Bookings!$A$5:$A$304,0))="","—",INDEX(Bookings!$I$5:$I$304,MATCH($A111,Bookings!$A$5:$A$304,0)))),"—")</f>
        <v>—</v>
      </c>
      <c r="H111" s="38" t="str">
        <f>IFERROR(IF(INDEX(Setup!$I$25:$I$36,MATCH($B111,Setup!$A$25:$A$36,0))=0,"—",INDEX(Setup!$I$25:$I$36,MATCH($B111,Setup!$A$25:$A$36,0))),"—")</f>
        <v>—</v>
      </c>
      <c r="I111" s="21" t="str">
        <f>IFERROR(IF(INDEX(Setup!$E$25:$E$36,MATCH($B111,Setup!$A$25:$A$36,0))=0,"—",INDEX(Setup!$E$25:$E$36,MATCH($B111,Setup!$A$25:$A$36,0))),"—")</f>
        <v>—</v>
      </c>
      <c r="J111" s="3"/>
      <c r="K111" s="3"/>
      <c r="L111" s="3"/>
    </row>
    <row r="112" spans="1:12" x14ac:dyDescent="0.2">
      <c r="A112" s="30">
        <v>108</v>
      </c>
      <c r="B112" s="7" t="str">
        <f>IFERROR(IF(INDEX(Bookings!$D$5:$D$304,MATCH($A112,Bookings!$A$5:$A$304,0))="Cancelled","—",IF(INDEX(Bookings!$B$5:$B$304,MATCH($A112,Bookings!$A$5:$A$304,0))="","—",INDEX(Bookings!$B$5:$B$304,MATCH($A112,Bookings!$A$5:$A$304,0)))),"—")</f>
        <v>—</v>
      </c>
      <c r="C112" s="7" t="str">
        <f>IFERROR(IF(INDEX(Bookings!$D$5:$D$304,MATCH($A112,Bookings!$A$5:$A$304,0))="Cancelled","—",IF(INDEX(Bookings!$E$5:$E$304,MATCH($A112,Bookings!$A$5:$A$304,0))="","—",INDEX(Bookings!$E$5:$E$304,MATCH($A112,Bookings!$A$5:$A$304,0)))),"—")</f>
        <v>—</v>
      </c>
      <c r="D112" s="37" t="str">
        <f>IFERROR(IF(INDEX(Bookings!$D$5:$D$304,MATCH($A112,Bookings!$A$5:$A$304,0))="Cancelled","—",IF(INDEX(Bookings!$G$5:$G$304,MATCH($A112,Bookings!$A$5:$A$304,0))="","—",INDEX(Bookings!$G$5:$G$304,MATCH($A112,Bookings!$A$5:$A$304,0)))),"—")</f>
        <v>—</v>
      </c>
      <c r="E112" s="38" t="str">
        <f t="shared" ca="1" si="1"/>
        <v>—</v>
      </c>
      <c r="F112" s="39" t="str">
        <f>IF(OR(NOT(ISNUMBER($D112)),$B112="—",$B112=""),"—",IF(COUNTIFS(Bookings!$B$5:$B$304,$B112,Bookings!$F$5:$F$304,$D112)-COUNTIFS(Bookings!$B$5:$B$304,$B112,Bookings!$F$5:$F$304,$D112,Bookings!$D$5:$D$304,"Cancelled")-COUNTIFS(Bookings!$B$5:$B$304,$B112,Bookings!$F$5:$F$304,$D112,Bookings!$D$5:$D$304,"Owner block")&gt;0,"SAME-DAY TURN","No same-day guest"))</f>
        <v>—</v>
      </c>
      <c r="G112" s="38" t="str">
        <f>IFERROR(IF(INDEX(Bookings!$D$5:$D$304,MATCH($A112,Bookings!$A$5:$A$304,0))="Cancelled","—",IF(INDEX(Bookings!$I$5:$I$304,MATCH($A112,Bookings!$A$5:$A$304,0))="","—",INDEX(Bookings!$I$5:$I$304,MATCH($A112,Bookings!$A$5:$A$304,0)))),"—")</f>
        <v>—</v>
      </c>
      <c r="H112" s="38" t="str">
        <f>IFERROR(IF(INDEX(Setup!$I$25:$I$36,MATCH($B112,Setup!$A$25:$A$36,0))=0,"—",INDEX(Setup!$I$25:$I$36,MATCH($B112,Setup!$A$25:$A$36,0))),"—")</f>
        <v>—</v>
      </c>
      <c r="I112" s="21" t="str">
        <f>IFERROR(IF(INDEX(Setup!$E$25:$E$36,MATCH($B112,Setup!$A$25:$A$36,0))=0,"—",INDEX(Setup!$E$25:$E$36,MATCH($B112,Setup!$A$25:$A$36,0))),"—")</f>
        <v>—</v>
      </c>
      <c r="J112" s="8"/>
      <c r="K112" s="8"/>
      <c r="L112" s="8"/>
    </row>
    <row r="113" spans="1:12" x14ac:dyDescent="0.2">
      <c r="A113" s="30">
        <v>109</v>
      </c>
      <c r="B113" s="7" t="str">
        <f>IFERROR(IF(INDEX(Bookings!$D$5:$D$304,MATCH($A113,Bookings!$A$5:$A$304,0))="Cancelled","—",IF(INDEX(Bookings!$B$5:$B$304,MATCH($A113,Bookings!$A$5:$A$304,0))="","—",INDEX(Bookings!$B$5:$B$304,MATCH($A113,Bookings!$A$5:$A$304,0)))),"—")</f>
        <v>—</v>
      </c>
      <c r="C113" s="7" t="str">
        <f>IFERROR(IF(INDEX(Bookings!$D$5:$D$304,MATCH($A113,Bookings!$A$5:$A$304,0))="Cancelled","—",IF(INDEX(Bookings!$E$5:$E$304,MATCH($A113,Bookings!$A$5:$A$304,0))="","—",INDEX(Bookings!$E$5:$E$304,MATCH($A113,Bookings!$A$5:$A$304,0)))),"—")</f>
        <v>—</v>
      </c>
      <c r="D113" s="37" t="str">
        <f>IFERROR(IF(INDEX(Bookings!$D$5:$D$304,MATCH($A113,Bookings!$A$5:$A$304,0))="Cancelled","—",IF(INDEX(Bookings!$G$5:$G$304,MATCH($A113,Bookings!$A$5:$A$304,0))="","—",INDEX(Bookings!$G$5:$G$304,MATCH($A113,Bookings!$A$5:$A$304,0)))),"—")</f>
        <v>—</v>
      </c>
      <c r="E113" s="38" t="str">
        <f t="shared" ca="1" si="1"/>
        <v>—</v>
      </c>
      <c r="F113" s="39" t="str">
        <f>IF(OR(NOT(ISNUMBER($D113)),$B113="—",$B113=""),"—",IF(COUNTIFS(Bookings!$B$5:$B$304,$B113,Bookings!$F$5:$F$304,$D113)-COUNTIFS(Bookings!$B$5:$B$304,$B113,Bookings!$F$5:$F$304,$D113,Bookings!$D$5:$D$304,"Cancelled")-COUNTIFS(Bookings!$B$5:$B$304,$B113,Bookings!$F$5:$F$304,$D113,Bookings!$D$5:$D$304,"Owner block")&gt;0,"SAME-DAY TURN","No same-day guest"))</f>
        <v>—</v>
      </c>
      <c r="G113" s="38" t="str">
        <f>IFERROR(IF(INDEX(Bookings!$D$5:$D$304,MATCH($A113,Bookings!$A$5:$A$304,0))="Cancelled","—",IF(INDEX(Bookings!$I$5:$I$304,MATCH($A113,Bookings!$A$5:$A$304,0))="","—",INDEX(Bookings!$I$5:$I$304,MATCH($A113,Bookings!$A$5:$A$304,0)))),"—")</f>
        <v>—</v>
      </c>
      <c r="H113" s="38" t="str">
        <f>IFERROR(IF(INDEX(Setup!$I$25:$I$36,MATCH($B113,Setup!$A$25:$A$36,0))=0,"—",INDEX(Setup!$I$25:$I$36,MATCH($B113,Setup!$A$25:$A$36,0))),"—")</f>
        <v>—</v>
      </c>
      <c r="I113" s="21" t="str">
        <f>IFERROR(IF(INDEX(Setup!$E$25:$E$36,MATCH($B113,Setup!$A$25:$A$36,0))=0,"—",INDEX(Setup!$E$25:$E$36,MATCH($B113,Setup!$A$25:$A$36,0))),"—")</f>
        <v>—</v>
      </c>
      <c r="J113" s="3"/>
      <c r="K113" s="3"/>
      <c r="L113" s="3"/>
    </row>
    <row r="114" spans="1:12" x14ac:dyDescent="0.2">
      <c r="A114" s="30">
        <v>110</v>
      </c>
      <c r="B114" s="7" t="str">
        <f>IFERROR(IF(INDEX(Bookings!$D$5:$D$304,MATCH($A114,Bookings!$A$5:$A$304,0))="Cancelled","—",IF(INDEX(Bookings!$B$5:$B$304,MATCH($A114,Bookings!$A$5:$A$304,0))="","—",INDEX(Bookings!$B$5:$B$304,MATCH($A114,Bookings!$A$5:$A$304,0)))),"—")</f>
        <v>—</v>
      </c>
      <c r="C114" s="7" t="str">
        <f>IFERROR(IF(INDEX(Bookings!$D$5:$D$304,MATCH($A114,Bookings!$A$5:$A$304,0))="Cancelled","—",IF(INDEX(Bookings!$E$5:$E$304,MATCH($A114,Bookings!$A$5:$A$304,0))="","—",INDEX(Bookings!$E$5:$E$304,MATCH($A114,Bookings!$A$5:$A$304,0)))),"—")</f>
        <v>—</v>
      </c>
      <c r="D114" s="37" t="str">
        <f>IFERROR(IF(INDEX(Bookings!$D$5:$D$304,MATCH($A114,Bookings!$A$5:$A$304,0))="Cancelled","—",IF(INDEX(Bookings!$G$5:$G$304,MATCH($A114,Bookings!$A$5:$A$304,0))="","—",INDEX(Bookings!$G$5:$G$304,MATCH($A114,Bookings!$A$5:$A$304,0)))),"—")</f>
        <v>—</v>
      </c>
      <c r="E114" s="38" t="str">
        <f t="shared" ca="1" si="1"/>
        <v>—</v>
      </c>
      <c r="F114" s="39" t="str">
        <f>IF(OR(NOT(ISNUMBER($D114)),$B114="—",$B114=""),"—",IF(COUNTIFS(Bookings!$B$5:$B$304,$B114,Bookings!$F$5:$F$304,$D114)-COUNTIFS(Bookings!$B$5:$B$304,$B114,Bookings!$F$5:$F$304,$D114,Bookings!$D$5:$D$304,"Cancelled")-COUNTIFS(Bookings!$B$5:$B$304,$B114,Bookings!$F$5:$F$304,$D114,Bookings!$D$5:$D$304,"Owner block")&gt;0,"SAME-DAY TURN","No same-day guest"))</f>
        <v>—</v>
      </c>
      <c r="G114" s="38" t="str">
        <f>IFERROR(IF(INDEX(Bookings!$D$5:$D$304,MATCH($A114,Bookings!$A$5:$A$304,0))="Cancelled","—",IF(INDEX(Bookings!$I$5:$I$304,MATCH($A114,Bookings!$A$5:$A$304,0))="","—",INDEX(Bookings!$I$5:$I$304,MATCH($A114,Bookings!$A$5:$A$304,0)))),"—")</f>
        <v>—</v>
      </c>
      <c r="H114" s="38" t="str">
        <f>IFERROR(IF(INDEX(Setup!$I$25:$I$36,MATCH($B114,Setup!$A$25:$A$36,0))=0,"—",INDEX(Setup!$I$25:$I$36,MATCH($B114,Setup!$A$25:$A$36,0))),"—")</f>
        <v>—</v>
      </c>
      <c r="I114" s="21" t="str">
        <f>IFERROR(IF(INDEX(Setup!$E$25:$E$36,MATCH($B114,Setup!$A$25:$A$36,0))=0,"—",INDEX(Setup!$E$25:$E$36,MATCH($B114,Setup!$A$25:$A$36,0))),"—")</f>
        <v>—</v>
      </c>
      <c r="J114" s="8"/>
      <c r="K114" s="8"/>
      <c r="L114" s="8"/>
    </row>
    <row r="115" spans="1:12" x14ac:dyDescent="0.2">
      <c r="A115" s="30">
        <v>111</v>
      </c>
      <c r="B115" s="7" t="str">
        <f>IFERROR(IF(INDEX(Bookings!$D$5:$D$304,MATCH($A115,Bookings!$A$5:$A$304,0))="Cancelled","—",IF(INDEX(Bookings!$B$5:$B$304,MATCH($A115,Bookings!$A$5:$A$304,0))="","—",INDEX(Bookings!$B$5:$B$304,MATCH($A115,Bookings!$A$5:$A$304,0)))),"—")</f>
        <v>—</v>
      </c>
      <c r="C115" s="7" t="str">
        <f>IFERROR(IF(INDEX(Bookings!$D$5:$D$304,MATCH($A115,Bookings!$A$5:$A$304,0))="Cancelled","—",IF(INDEX(Bookings!$E$5:$E$304,MATCH($A115,Bookings!$A$5:$A$304,0))="","—",INDEX(Bookings!$E$5:$E$304,MATCH($A115,Bookings!$A$5:$A$304,0)))),"—")</f>
        <v>—</v>
      </c>
      <c r="D115" s="37" t="str">
        <f>IFERROR(IF(INDEX(Bookings!$D$5:$D$304,MATCH($A115,Bookings!$A$5:$A$304,0))="Cancelled","—",IF(INDEX(Bookings!$G$5:$G$304,MATCH($A115,Bookings!$A$5:$A$304,0))="","—",INDEX(Bookings!$G$5:$G$304,MATCH($A115,Bookings!$A$5:$A$304,0)))),"—")</f>
        <v>—</v>
      </c>
      <c r="E115" s="38" t="str">
        <f t="shared" ca="1" si="1"/>
        <v>—</v>
      </c>
      <c r="F115" s="39" t="str">
        <f>IF(OR(NOT(ISNUMBER($D115)),$B115="—",$B115=""),"—",IF(COUNTIFS(Bookings!$B$5:$B$304,$B115,Bookings!$F$5:$F$304,$D115)-COUNTIFS(Bookings!$B$5:$B$304,$B115,Bookings!$F$5:$F$304,$D115,Bookings!$D$5:$D$304,"Cancelled")-COUNTIFS(Bookings!$B$5:$B$304,$B115,Bookings!$F$5:$F$304,$D115,Bookings!$D$5:$D$304,"Owner block")&gt;0,"SAME-DAY TURN","No same-day guest"))</f>
        <v>—</v>
      </c>
      <c r="G115" s="38" t="str">
        <f>IFERROR(IF(INDEX(Bookings!$D$5:$D$304,MATCH($A115,Bookings!$A$5:$A$304,0))="Cancelled","—",IF(INDEX(Bookings!$I$5:$I$304,MATCH($A115,Bookings!$A$5:$A$304,0))="","—",INDEX(Bookings!$I$5:$I$304,MATCH($A115,Bookings!$A$5:$A$304,0)))),"—")</f>
        <v>—</v>
      </c>
      <c r="H115" s="38" t="str">
        <f>IFERROR(IF(INDEX(Setup!$I$25:$I$36,MATCH($B115,Setup!$A$25:$A$36,0))=0,"—",INDEX(Setup!$I$25:$I$36,MATCH($B115,Setup!$A$25:$A$36,0))),"—")</f>
        <v>—</v>
      </c>
      <c r="I115" s="21" t="str">
        <f>IFERROR(IF(INDEX(Setup!$E$25:$E$36,MATCH($B115,Setup!$A$25:$A$36,0))=0,"—",INDEX(Setup!$E$25:$E$36,MATCH($B115,Setup!$A$25:$A$36,0))),"—")</f>
        <v>—</v>
      </c>
      <c r="J115" s="3"/>
      <c r="K115" s="3"/>
      <c r="L115" s="3"/>
    </row>
    <row r="116" spans="1:12" x14ac:dyDescent="0.2">
      <c r="A116" s="30">
        <v>112</v>
      </c>
      <c r="B116" s="7" t="str">
        <f>IFERROR(IF(INDEX(Bookings!$D$5:$D$304,MATCH($A116,Bookings!$A$5:$A$304,0))="Cancelled","—",IF(INDEX(Bookings!$B$5:$B$304,MATCH($A116,Bookings!$A$5:$A$304,0))="","—",INDEX(Bookings!$B$5:$B$304,MATCH($A116,Bookings!$A$5:$A$304,0)))),"—")</f>
        <v>—</v>
      </c>
      <c r="C116" s="7" t="str">
        <f>IFERROR(IF(INDEX(Bookings!$D$5:$D$304,MATCH($A116,Bookings!$A$5:$A$304,0))="Cancelled","—",IF(INDEX(Bookings!$E$5:$E$304,MATCH($A116,Bookings!$A$5:$A$304,0))="","—",INDEX(Bookings!$E$5:$E$304,MATCH($A116,Bookings!$A$5:$A$304,0)))),"—")</f>
        <v>—</v>
      </c>
      <c r="D116" s="37" t="str">
        <f>IFERROR(IF(INDEX(Bookings!$D$5:$D$304,MATCH($A116,Bookings!$A$5:$A$304,0))="Cancelled","—",IF(INDEX(Bookings!$G$5:$G$304,MATCH($A116,Bookings!$A$5:$A$304,0))="","—",INDEX(Bookings!$G$5:$G$304,MATCH($A116,Bookings!$A$5:$A$304,0)))),"—")</f>
        <v>—</v>
      </c>
      <c r="E116" s="38" t="str">
        <f t="shared" ca="1" si="1"/>
        <v>—</v>
      </c>
      <c r="F116" s="39" t="str">
        <f>IF(OR(NOT(ISNUMBER($D116)),$B116="—",$B116=""),"—",IF(COUNTIFS(Bookings!$B$5:$B$304,$B116,Bookings!$F$5:$F$304,$D116)-COUNTIFS(Bookings!$B$5:$B$304,$B116,Bookings!$F$5:$F$304,$D116,Bookings!$D$5:$D$304,"Cancelled")-COUNTIFS(Bookings!$B$5:$B$304,$B116,Bookings!$F$5:$F$304,$D116,Bookings!$D$5:$D$304,"Owner block")&gt;0,"SAME-DAY TURN","No same-day guest"))</f>
        <v>—</v>
      </c>
      <c r="G116" s="38" t="str">
        <f>IFERROR(IF(INDEX(Bookings!$D$5:$D$304,MATCH($A116,Bookings!$A$5:$A$304,0))="Cancelled","—",IF(INDEX(Bookings!$I$5:$I$304,MATCH($A116,Bookings!$A$5:$A$304,0))="","—",INDEX(Bookings!$I$5:$I$304,MATCH($A116,Bookings!$A$5:$A$304,0)))),"—")</f>
        <v>—</v>
      </c>
      <c r="H116" s="38" t="str">
        <f>IFERROR(IF(INDEX(Setup!$I$25:$I$36,MATCH($B116,Setup!$A$25:$A$36,0))=0,"—",INDEX(Setup!$I$25:$I$36,MATCH($B116,Setup!$A$25:$A$36,0))),"—")</f>
        <v>—</v>
      </c>
      <c r="I116" s="21" t="str">
        <f>IFERROR(IF(INDEX(Setup!$E$25:$E$36,MATCH($B116,Setup!$A$25:$A$36,0))=0,"—",INDEX(Setup!$E$25:$E$36,MATCH($B116,Setup!$A$25:$A$36,0))),"—")</f>
        <v>—</v>
      </c>
      <c r="J116" s="8"/>
      <c r="K116" s="8"/>
      <c r="L116" s="8"/>
    </row>
    <row r="117" spans="1:12" x14ac:dyDescent="0.2">
      <c r="A117" s="30">
        <v>113</v>
      </c>
      <c r="B117" s="7" t="str">
        <f>IFERROR(IF(INDEX(Bookings!$D$5:$D$304,MATCH($A117,Bookings!$A$5:$A$304,0))="Cancelled","—",IF(INDEX(Bookings!$B$5:$B$304,MATCH($A117,Bookings!$A$5:$A$304,0))="","—",INDEX(Bookings!$B$5:$B$304,MATCH($A117,Bookings!$A$5:$A$304,0)))),"—")</f>
        <v>—</v>
      </c>
      <c r="C117" s="7" t="str">
        <f>IFERROR(IF(INDEX(Bookings!$D$5:$D$304,MATCH($A117,Bookings!$A$5:$A$304,0))="Cancelled","—",IF(INDEX(Bookings!$E$5:$E$304,MATCH($A117,Bookings!$A$5:$A$304,0))="","—",INDEX(Bookings!$E$5:$E$304,MATCH($A117,Bookings!$A$5:$A$304,0)))),"—")</f>
        <v>—</v>
      </c>
      <c r="D117" s="37" t="str">
        <f>IFERROR(IF(INDEX(Bookings!$D$5:$D$304,MATCH($A117,Bookings!$A$5:$A$304,0))="Cancelled","—",IF(INDEX(Bookings!$G$5:$G$304,MATCH($A117,Bookings!$A$5:$A$304,0))="","—",INDEX(Bookings!$G$5:$G$304,MATCH($A117,Bookings!$A$5:$A$304,0)))),"—")</f>
        <v>—</v>
      </c>
      <c r="E117" s="38" t="str">
        <f t="shared" ca="1" si="1"/>
        <v>—</v>
      </c>
      <c r="F117" s="39" t="str">
        <f>IF(OR(NOT(ISNUMBER($D117)),$B117="—",$B117=""),"—",IF(COUNTIFS(Bookings!$B$5:$B$304,$B117,Bookings!$F$5:$F$304,$D117)-COUNTIFS(Bookings!$B$5:$B$304,$B117,Bookings!$F$5:$F$304,$D117,Bookings!$D$5:$D$304,"Cancelled")-COUNTIFS(Bookings!$B$5:$B$304,$B117,Bookings!$F$5:$F$304,$D117,Bookings!$D$5:$D$304,"Owner block")&gt;0,"SAME-DAY TURN","No same-day guest"))</f>
        <v>—</v>
      </c>
      <c r="G117" s="38" t="str">
        <f>IFERROR(IF(INDEX(Bookings!$D$5:$D$304,MATCH($A117,Bookings!$A$5:$A$304,0))="Cancelled","—",IF(INDEX(Bookings!$I$5:$I$304,MATCH($A117,Bookings!$A$5:$A$304,0))="","—",INDEX(Bookings!$I$5:$I$304,MATCH($A117,Bookings!$A$5:$A$304,0)))),"—")</f>
        <v>—</v>
      </c>
      <c r="H117" s="38" t="str">
        <f>IFERROR(IF(INDEX(Setup!$I$25:$I$36,MATCH($B117,Setup!$A$25:$A$36,0))=0,"—",INDEX(Setup!$I$25:$I$36,MATCH($B117,Setup!$A$25:$A$36,0))),"—")</f>
        <v>—</v>
      </c>
      <c r="I117" s="21" t="str">
        <f>IFERROR(IF(INDEX(Setup!$E$25:$E$36,MATCH($B117,Setup!$A$25:$A$36,0))=0,"—",INDEX(Setup!$E$25:$E$36,MATCH($B117,Setup!$A$25:$A$36,0))),"—")</f>
        <v>—</v>
      </c>
      <c r="J117" s="3"/>
      <c r="K117" s="3"/>
      <c r="L117" s="3"/>
    </row>
    <row r="118" spans="1:12" x14ac:dyDescent="0.2">
      <c r="A118" s="30">
        <v>114</v>
      </c>
      <c r="B118" s="7" t="str">
        <f>IFERROR(IF(INDEX(Bookings!$D$5:$D$304,MATCH($A118,Bookings!$A$5:$A$304,0))="Cancelled","—",IF(INDEX(Bookings!$B$5:$B$304,MATCH($A118,Bookings!$A$5:$A$304,0))="","—",INDEX(Bookings!$B$5:$B$304,MATCH($A118,Bookings!$A$5:$A$304,0)))),"—")</f>
        <v>—</v>
      </c>
      <c r="C118" s="7" t="str">
        <f>IFERROR(IF(INDEX(Bookings!$D$5:$D$304,MATCH($A118,Bookings!$A$5:$A$304,0))="Cancelled","—",IF(INDEX(Bookings!$E$5:$E$304,MATCH($A118,Bookings!$A$5:$A$304,0))="","—",INDEX(Bookings!$E$5:$E$304,MATCH($A118,Bookings!$A$5:$A$304,0)))),"—")</f>
        <v>—</v>
      </c>
      <c r="D118" s="37" t="str">
        <f>IFERROR(IF(INDEX(Bookings!$D$5:$D$304,MATCH($A118,Bookings!$A$5:$A$304,0))="Cancelled","—",IF(INDEX(Bookings!$G$5:$G$304,MATCH($A118,Bookings!$A$5:$A$304,0))="","—",INDEX(Bookings!$G$5:$G$304,MATCH($A118,Bookings!$A$5:$A$304,0)))),"—")</f>
        <v>—</v>
      </c>
      <c r="E118" s="38" t="str">
        <f t="shared" ca="1" si="1"/>
        <v>—</v>
      </c>
      <c r="F118" s="39" t="str">
        <f>IF(OR(NOT(ISNUMBER($D118)),$B118="—",$B118=""),"—",IF(COUNTIFS(Bookings!$B$5:$B$304,$B118,Bookings!$F$5:$F$304,$D118)-COUNTIFS(Bookings!$B$5:$B$304,$B118,Bookings!$F$5:$F$304,$D118,Bookings!$D$5:$D$304,"Cancelled")-COUNTIFS(Bookings!$B$5:$B$304,$B118,Bookings!$F$5:$F$304,$D118,Bookings!$D$5:$D$304,"Owner block")&gt;0,"SAME-DAY TURN","No same-day guest"))</f>
        <v>—</v>
      </c>
      <c r="G118" s="38" t="str">
        <f>IFERROR(IF(INDEX(Bookings!$D$5:$D$304,MATCH($A118,Bookings!$A$5:$A$304,0))="Cancelled","—",IF(INDEX(Bookings!$I$5:$I$304,MATCH($A118,Bookings!$A$5:$A$304,0))="","—",INDEX(Bookings!$I$5:$I$304,MATCH($A118,Bookings!$A$5:$A$304,0)))),"—")</f>
        <v>—</v>
      </c>
      <c r="H118" s="38" t="str">
        <f>IFERROR(IF(INDEX(Setup!$I$25:$I$36,MATCH($B118,Setup!$A$25:$A$36,0))=0,"—",INDEX(Setup!$I$25:$I$36,MATCH($B118,Setup!$A$25:$A$36,0))),"—")</f>
        <v>—</v>
      </c>
      <c r="I118" s="21" t="str">
        <f>IFERROR(IF(INDEX(Setup!$E$25:$E$36,MATCH($B118,Setup!$A$25:$A$36,0))=0,"—",INDEX(Setup!$E$25:$E$36,MATCH($B118,Setup!$A$25:$A$36,0))),"—")</f>
        <v>—</v>
      </c>
      <c r="J118" s="8"/>
      <c r="K118" s="8"/>
      <c r="L118" s="8"/>
    </row>
    <row r="119" spans="1:12" x14ac:dyDescent="0.2">
      <c r="A119" s="30">
        <v>115</v>
      </c>
      <c r="B119" s="7" t="str">
        <f>IFERROR(IF(INDEX(Bookings!$D$5:$D$304,MATCH($A119,Bookings!$A$5:$A$304,0))="Cancelled","—",IF(INDEX(Bookings!$B$5:$B$304,MATCH($A119,Bookings!$A$5:$A$304,0))="","—",INDEX(Bookings!$B$5:$B$304,MATCH($A119,Bookings!$A$5:$A$304,0)))),"—")</f>
        <v>—</v>
      </c>
      <c r="C119" s="7" t="str">
        <f>IFERROR(IF(INDEX(Bookings!$D$5:$D$304,MATCH($A119,Bookings!$A$5:$A$304,0))="Cancelled","—",IF(INDEX(Bookings!$E$5:$E$304,MATCH($A119,Bookings!$A$5:$A$304,0))="","—",INDEX(Bookings!$E$5:$E$304,MATCH($A119,Bookings!$A$5:$A$304,0)))),"—")</f>
        <v>—</v>
      </c>
      <c r="D119" s="37" t="str">
        <f>IFERROR(IF(INDEX(Bookings!$D$5:$D$304,MATCH($A119,Bookings!$A$5:$A$304,0))="Cancelled","—",IF(INDEX(Bookings!$G$5:$G$304,MATCH($A119,Bookings!$A$5:$A$304,0))="","—",INDEX(Bookings!$G$5:$G$304,MATCH($A119,Bookings!$A$5:$A$304,0)))),"—")</f>
        <v>—</v>
      </c>
      <c r="E119" s="38" t="str">
        <f t="shared" ca="1" si="1"/>
        <v>—</v>
      </c>
      <c r="F119" s="39" t="str">
        <f>IF(OR(NOT(ISNUMBER($D119)),$B119="—",$B119=""),"—",IF(COUNTIFS(Bookings!$B$5:$B$304,$B119,Bookings!$F$5:$F$304,$D119)-COUNTIFS(Bookings!$B$5:$B$304,$B119,Bookings!$F$5:$F$304,$D119,Bookings!$D$5:$D$304,"Cancelled")-COUNTIFS(Bookings!$B$5:$B$304,$B119,Bookings!$F$5:$F$304,$D119,Bookings!$D$5:$D$304,"Owner block")&gt;0,"SAME-DAY TURN","No same-day guest"))</f>
        <v>—</v>
      </c>
      <c r="G119" s="38" t="str">
        <f>IFERROR(IF(INDEX(Bookings!$D$5:$D$304,MATCH($A119,Bookings!$A$5:$A$304,0))="Cancelled","—",IF(INDEX(Bookings!$I$5:$I$304,MATCH($A119,Bookings!$A$5:$A$304,0))="","—",INDEX(Bookings!$I$5:$I$304,MATCH($A119,Bookings!$A$5:$A$304,0)))),"—")</f>
        <v>—</v>
      </c>
      <c r="H119" s="38" t="str">
        <f>IFERROR(IF(INDEX(Setup!$I$25:$I$36,MATCH($B119,Setup!$A$25:$A$36,0))=0,"—",INDEX(Setup!$I$25:$I$36,MATCH($B119,Setup!$A$25:$A$36,0))),"—")</f>
        <v>—</v>
      </c>
      <c r="I119" s="21" t="str">
        <f>IFERROR(IF(INDEX(Setup!$E$25:$E$36,MATCH($B119,Setup!$A$25:$A$36,0))=0,"—",INDEX(Setup!$E$25:$E$36,MATCH($B119,Setup!$A$25:$A$36,0))),"—")</f>
        <v>—</v>
      </c>
      <c r="J119" s="3"/>
      <c r="K119" s="3"/>
      <c r="L119" s="3"/>
    </row>
    <row r="120" spans="1:12" x14ac:dyDescent="0.2">
      <c r="A120" s="30">
        <v>116</v>
      </c>
      <c r="B120" s="7" t="str">
        <f>IFERROR(IF(INDEX(Bookings!$D$5:$D$304,MATCH($A120,Bookings!$A$5:$A$304,0))="Cancelled","—",IF(INDEX(Bookings!$B$5:$B$304,MATCH($A120,Bookings!$A$5:$A$304,0))="","—",INDEX(Bookings!$B$5:$B$304,MATCH($A120,Bookings!$A$5:$A$304,0)))),"—")</f>
        <v>—</v>
      </c>
      <c r="C120" s="7" t="str">
        <f>IFERROR(IF(INDEX(Bookings!$D$5:$D$304,MATCH($A120,Bookings!$A$5:$A$304,0))="Cancelled","—",IF(INDEX(Bookings!$E$5:$E$304,MATCH($A120,Bookings!$A$5:$A$304,0))="","—",INDEX(Bookings!$E$5:$E$304,MATCH($A120,Bookings!$A$5:$A$304,0)))),"—")</f>
        <v>—</v>
      </c>
      <c r="D120" s="37" t="str">
        <f>IFERROR(IF(INDEX(Bookings!$D$5:$D$304,MATCH($A120,Bookings!$A$5:$A$304,0))="Cancelled","—",IF(INDEX(Bookings!$G$5:$G$304,MATCH($A120,Bookings!$A$5:$A$304,0))="","—",INDEX(Bookings!$G$5:$G$304,MATCH($A120,Bookings!$A$5:$A$304,0)))),"—")</f>
        <v>—</v>
      </c>
      <c r="E120" s="38" t="str">
        <f t="shared" ca="1" si="1"/>
        <v>—</v>
      </c>
      <c r="F120" s="39" t="str">
        <f>IF(OR(NOT(ISNUMBER($D120)),$B120="—",$B120=""),"—",IF(COUNTIFS(Bookings!$B$5:$B$304,$B120,Bookings!$F$5:$F$304,$D120)-COUNTIFS(Bookings!$B$5:$B$304,$B120,Bookings!$F$5:$F$304,$D120,Bookings!$D$5:$D$304,"Cancelled")-COUNTIFS(Bookings!$B$5:$B$304,$B120,Bookings!$F$5:$F$304,$D120,Bookings!$D$5:$D$304,"Owner block")&gt;0,"SAME-DAY TURN","No same-day guest"))</f>
        <v>—</v>
      </c>
      <c r="G120" s="38" t="str">
        <f>IFERROR(IF(INDEX(Bookings!$D$5:$D$304,MATCH($A120,Bookings!$A$5:$A$304,0))="Cancelled","—",IF(INDEX(Bookings!$I$5:$I$304,MATCH($A120,Bookings!$A$5:$A$304,0))="","—",INDEX(Bookings!$I$5:$I$304,MATCH($A120,Bookings!$A$5:$A$304,0)))),"—")</f>
        <v>—</v>
      </c>
      <c r="H120" s="38" t="str">
        <f>IFERROR(IF(INDEX(Setup!$I$25:$I$36,MATCH($B120,Setup!$A$25:$A$36,0))=0,"—",INDEX(Setup!$I$25:$I$36,MATCH($B120,Setup!$A$25:$A$36,0))),"—")</f>
        <v>—</v>
      </c>
      <c r="I120" s="21" t="str">
        <f>IFERROR(IF(INDEX(Setup!$E$25:$E$36,MATCH($B120,Setup!$A$25:$A$36,0))=0,"—",INDEX(Setup!$E$25:$E$36,MATCH($B120,Setup!$A$25:$A$36,0))),"—")</f>
        <v>—</v>
      </c>
      <c r="J120" s="8"/>
      <c r="K120" s="8"/>
      <c r="L120" s="8"/>
    </row>
    <row r="121" spans="1:12" x14ac:dyDescent="0.2">
      <c r="A121" s="30">
        <v>117</v>
      </c>
      <c r="B121" s="7" t="str">
        <f>IFERROR(IF(INDEX(Bookings!$D$5:$D$304,MATCH($A121,Bookings!$A$5:$A$304,0))="Cancelled","—",IF(INDEX(Bookings!$B$5:$B$304,MATCH($A121,Bookings!$A$5:$A$304,0))="","—",INDEX(Bookings!$B$5:$B$304,MATCH($A121,Bookings!$A$5:$A$304,0)))),"—")</f>
        <v>—</v>
      </c>
      <c r="C121" s="7" t="str">
        <f>IFERROR(IF(INDEX(Bookings!$D$5:$D$304,MATCH($A121,Bookings!$A$5:$A$304,0))="Cancelled","—",IF(INDEX(Bookings!$E$5:$E$304,MATCH($A121,Bookings!$A$5:$A$304,0))="","—",INDEX(Bookings!$E$5:$E$304,MATCH($A121,Bookings!$A$5:$A$304,0)))),"—")</f>
        <v>—</v>
      </c>
      <c r="D121" s="37" t="str">
        <f>IFERROR(IF(INDEX(Bookings!$D$5:$D$304,MATCH($A121,Bookings!$A$5:$A$304,0))="Cancelled","—",IF(INDEX(Bookings!$G$5:$G$304,MATCH($A121,Bookings!$A$5:$A$304,0))="","—",INDEX(Bookings!$G$5:$G$304,MATCH($A121,Bookings!$A$5:$A$304,0)))),"—")</f>
        <v>—</v>
      </c>
      <c r="E121" s="38" t="str">
        <f t="shared" ca="1" si="1"/>
        <v>—</v>
      </c>
      <c r="F121" s="39" t="str">
        <f>IF(OR(NOT(ISNUMBER($D121)),$B121="—",$B121=""),"—",IF(COUNTIFS(Bookings!$B$5:$B$304,$B121,Bookings!$F$5:$F$304,$D121)-COUNTIFS(Bookings!$B$5:$B$304,$B121,Bookings!$F$5:$F$304,$D121,Bookings!$D$5:$D$304,"Cancelled")-COUNTIFS(Bookings!$B$5:$B$304,$B121,Bookings!$F$5:$F$304,$D121,Bookings!$D$5:$D$304,"Owner block")&gt;0,"SAME-DAY TURN","No same-day guest"))</f>
        <v>—</v>
      </c>
      <c r="G121" s="38" t="str">
        <f>IFERROR(IF(INDEX(Bookings!$D$5:$D$304,MATCH($A121,Bookings!$A$5:$A$304,0))="Cancelled","—",IF(INDEX(Bookings!$I$5:$I$304,MATCH($A121,Bookings!$A$5:$A$304,0))="","—",INDEX(Bookings!$I$5:$I$304,MATCH($A121,Bookings!$A$5:$A$304,0)))),"—")</f>
        <v>—</v>
      </c>
      <c r="H121" s="38" t="str">
        <f>IFERROR(IF(INDEX(Setup!$I$25:$I$36,MATCH($B121,Setup!$A$25:$A$36,0))=0,"—",INDEX(Setup!$I$25:$I$36,MATCH($B121,Setup!$A$25:$A$36,0))),"—")</f>
        <v>—</v>
      </c>
      <c r="I121" s="21" t="str">
        <f>IFERROR(IF(INDEX(Setup!$E$25:$E$36,MATCH($B121,Setup!$A$25:$A$36,0))=0,"—",INDEX(Setup!$E$25:$E$36,MATCH($B121,Setup!$A$25:$A$36,0))),"—")</f>
        <v>—</v>
      </c>
      <c r="J121" s="3"/>
      <c r="K121" s="3"/>
      <c r="L121" s="3"/>
    </row>
    <row r="122" spans="1:12" x14ac:dyDescent="0.2">
      <c r="A122" s="30">
        <v>118</v>
      </c>
      <c r="B122" s="7" t="str">
        <f>IFERROR(IF(INDEX(Bookings!$D$5:$D$304,MATCH($A122,Bookings!$A$5:$A$304,0))="Cancelled","—",IF(INDEX(Bookings!$B$5:$B$304,MATCH($A122,Bookings!$A$5:$A$304,0))="","—",INDEX(Bookings!$B$5:$B$304,MATCH($A122,Bookings!$A$5:$A$304,0)))),"—")</f>
        <v>—</v>
      </c>
      <c r="C122" s="7" t="str">
        <f>IFERROR(IF(INDEX(Bookings!$D$5:$D$304,MATCH($A122,Bookings!$A$5:$A$304,0))="Cancelled","—",IF(INDEX(Bookings!$E$5:$E$304,MATCH($A122,Bookings!$A$5:$A$304,0))="","—",INDEX(Bookings!$E$5:$E$304,MATCH($A122,Bookings!$A$5:$A$304,0)))),"—")</f>
        <v>—</v>
      </c>
      <c r="D122" s="37" t="str">
        <f>IFERROR(IF(INDEX(Bookings!$D$5:$D$304,MATCH($A122,Bookings!$A$5:$A$304,0))="Cancelled","—",IF(INDEX(Bookings!$G$5:$G$304,MATCH($A122,Bookings!$A$5:$A$304,0))="","—",INDEX(Bookings!$G$5:$G$304,MATCH($A122,Bookings!$A$5:$A$304,0)))),"—")</f>
        <v>—</v>
      </c>
      <c r="E122" s="38" t="str">
        <f t="shared" ca="1" si="1"/>
        <v>—</v>
      </c>
      <c r="F122" s="39" t="str">
        <f>IF(OR(NOT(ISNUMBER($D122)),$B122="—",$B122=""),"—",IF(COUNTIFS(Bookings!$B$5:$B$304,$B122,Bookings!$F$5:$F$304,$D122)-COUNTIFS(Bookings!$B$5:$B$304,$B122,Bookings!$F$5:$F$304,$D122,Bookings!$D$5:$D$304,"Cancelled")-COUNTIFS(Bookings!$B$5:$B$304,$B122,Bookings!$F$5:$F$304,$D122,Bookings!$D$5:$D$304,"Owner block")&gt;0,"SAME-DAY TURN","No same-day guest"))</f>
        <v>—</v>
      </c>
      <c r="G122" s="38" t="str">
        <f>IFERROR(IF(INDEX(Bookings!$D$5:$D$304,MATCH($A122,Bookings!$A$5:$A$304,0))="Cancelled","—",IF(INDEX(Bookings!$I$5:$I$304,MATCH($A122,Bookings!$A$5:$A$304,0))="","—",INDEX(Bookings!$I$5:$I$304,MATCH($A122,Bookings!$A$5:$A$304,0)))),"—")</f>
        <v>—</v>
      </c>
      <c r="H122" s="38" t="str">
        <f>IFERROR(IF(INDEX(Setup!$I$25:$I$36,MATCH($B122,Setup!$A$25:$A$36,0))=0,"—",INDEX(Setup!$I$25:$I$36,MATCH($B122,Setup!$A$25:$A$36,0))),"—")</f>
        <v>—</v>
      </c>
      <c r="I122" s="21" t="str">
        <f>IFERROR(IF(INDEX(Setup!$E$25:$E$36,MATCH($B122,Setup!$A$25:$A$36,0))=0,"—",INDEX(Setup!$E$25:$E$36,MATCH($B122,Setup!$A$25:$A$36,0))),"—")</f>
        <v>—</v>
      </c>
      <c r="J122" s="8"/>
      <c r="K122" s="8"/>
      <c r="L122" s="8"/>
    </row>
    <row r="123" spans="1:12" x14ac:dyDescent="0.2">
      <c r="A123" s="30">
        <v>119</v>
      </c>
      <c r="B123" s="7" t="str">
        <f>IFERROR(IF(INDEX(Bookings!$D$5:$D$304,MATCH($A123,Bookings!$A$5:$A$304,0))="Cancelled","—",IF(INDEX(Bookings!$B$5:$B$304,MATCH($A123,Bookings!$A$5:$A$304,0))="","—",INDEX(Bookings!$B$5:$B$304,MATCH($A123,Bookings!$A$5:$A$304,0)))),"—")</f>
        <v>—</v>
      </c>
      <c r="C123" s="7" t="str">
        <f>IFERROR(IF(INDEX(Bookings!$D$5:$D$304,MATCH($A123,Bookings!$A$5:$A$304,0))="Cancelled","—",IF(INDEX(Bookings!$E$5:$E$304,MATCH($A123,Bookings!$A$5:$A$304,0))="","—",INDEX(Bookings!$E$5:$E$304,MATCH($A123,Bookings!$A$5:$A$304,0)))),"—")</f>
        <v>—</v>
      </c>
      <c r="D123" s="37" t="str">
        <f>IFERROR(IF(INDEX(Bookings!$D$5:$D$304,MATCH($A123,Bookings!$A$5:$A$304,0))="Cancelled","—",IF(INDEX(Bookings!$G$5:$G$304,MATCH($A123,Bookings!$A$5:$A$304,0))="","—",INDEX(Bookings!$G$5:$G$304,MATCH($A123,Bookings!$A$5:$A$304,0)))),"—")</f>
        <v>—</v>
      </c>
      <c r="E123" s="38" t="str">
        <f t="shared" ca="1" si="1"/>
        <v>—</v>
      </c>
      <c r="F123" s="39" t="str">
        <f>IF(OR(NOT(ISNUMBER($D123)),$B123="—",$B123=""),"—",IF(COUNTIFS(Bookings!$B$5:$B$304,$B123,Bookings!$F$5:$F$304,$D123)-COUNTIFS(Bookings!$B$5:$B$304,$B123,Bookings!$F$5:$F$304,$D123,Bookings!$D$5:$D$304,"Cancelled")-COUNTIFS(Bookings!$B$5:$B$304,$B123,Bookings!$F$5:$F$304,$D123,Bookings!$D$5:$D$304,"Owner block")&gt;0,"SAME-DAY TURN","No same-day guest"))</f>
        <v>—</v>
      </c>
      <c r="G123" s="38" t="str">
        <f>IFERROR(IF(INDEX(Bookings!$D$5:$D$304,MATCH($A123,Bookings!$A$5:$A$304,0))="Cancelled","—",IF(INDEX(Bookings!$I$5:$I$304,MATCH($A123,Bookings!$A$5:$A$304,0))="","—",INDEX(Bookings!$I$5:$I$304,MATCH($A123,Bookings!$A$5:$A$304,0)))),"—")</f>
        <v>—</v>
      </c>
      <c r="H123" s="38" t="str">
        <f>IFERROR(IF(INDEX(Setup!$I$25:$I$36,MATCH($B123,Setup!$A$25:$A$36,0))=0,"—",INDEX(Setup!$I$25:$I$36,MATCH($B123,Setup!$A$25:$A$36,0))),"—")</f>
        <v>—</v>
      </c>
      <c r="I123" s="21" t="str">
        <f>IFERROR(IF(INDEX(Setup!$E$25:$E$36,MATCH($B123,Setup!$A$25:$A$36,0))=0,"—",INDEX(Setup!$E$25:$E$36,MATCH($B123,Setup!$A$25:$A$36,0))),"—")</f>
        <v>—</v>
      </c>
      <c r="J123" s="3"/>
      <c r="K123" s="3"/>
      <c r="L123" s="3"/>
    </row>
    <row r="124" spans="1:12" x14ac:dyDescent="0.2">
      <c r="A124" s="30">
        <v>120</v>
      </c>
      <c r="B124" s="7" t="str">
        <f>IFERROR(IF(INDEX(Bookings!$D$5:$D$304,MATCH($A124,Bookings!$A$5:$A$304,0))="Cancelled","—",IF(INDEX(Bookings!$B$5:$B$304,MATCH($A124,Bookings!$A$5:$A$304,0))="","—",INDEX(Bookings!$B$5:$B$304,MATCH($A124,Bookings!$A$5:$A$304,0)))),"—")</f>
        <v>—</v>
      </c>
      <c r="C124" s="7" t="str">
        <f>IFERROR(IF(INDEX(Bookings!$D$5:$D$304,MATCH($A124,Bookings!$A$5:$A$304,0))="Cancelled","—",IF(INDEX(Bookings!$E$5:$E$304,MATCH($A124,Bookings!$A$5:$A$304,0))="","—",INDEX(Bookings!$E$5:$E$304,MATCH($A124,Bookings!$A$5:$A$304,0)))),"—")</f>
        <v>—</v>
      </c>
      <c r="D124" s="37" t="str">
        <f>IFERROR(IF(INDEX(Bookings!$D$5:$D$304,MATCH($A124,Bookings!$A$5:$A$304,0))="Cancelled","—",IF(INDEX(Bookings!$G$5:$G$304,MATCH($A124,Bookings!$A$5:$A$304,0))="","—",INDEX(Bookings!$G$5:$G$304,MATCH($A124,Bookings!$A$5:$A$304,0)))),"—")</f>
        <v>—</v>
      </c>
      <c r="E124" s="38" t="str">
        <f t="shared" ca="1" si="1"/>
        <v>—</v>
      </c>
      <c r="F124" s="39" t="str">
        <f>IF(OR(NOT(ISNUMBER($D124)),$B124="—",$B124=""),"—",IF(COUNTIFS(Bookings!$B$5:$B$304,$B124,Bookings!$F$5:$F$304,$D124)-COUNTIFS(Bookings!$B$5:$B$304,$B124,Bookings!$F$5:$F$304,$D124,Bookings!$D$5:$D$304,"Cancelled")-COUNTIFS(Bookings!$B$5:$B$304,$B124,Bookings!$F$5:$F$304,$D124,Bookings!$D$5:$D$304,"Owner block")&gt;0,"SAME-DAY TURN","No same-day guest"))</f>
        <v>—</v>
      </c>
      <c r="G124" s="38" t="str">
        <f>IFERROR(IF(INDEX(Bookings!$D$5:$D$304,MATCH($A124,Bookings!$A$5:$A$304,0))="Cancelled","—",IF(INDEX(Bookings!$I$5:$I$304,MATCH($A124,Bookings!$A$5:$A$304,0))="","—",INDEX(Bookings!$I$5:$I$304,MATCH($A124,Bookings!$A$5:$A$304,0)))),"—")</f>
        <v>—</v>
      </c>
      <c r="H124" s="38" t="str">
        <f>IFERROR(IF(INDEX(Setup!$I$25:$I$36,MATCH($B124,Setup!$A$25:$A$36,0))=0,"—",INDEX(Setup!$I$25:$I$36,MATCH($B124,Setup!$A$25:$A$36,0))),"—")</f>
        <v>—</v>
      </c>
      <c r="I124" s="21" t="str">
        <f>IFERROR(IF(INDEX(Setup!$E$25:$E$36,MATCH($B124,Setup!$A$25:$A$36,0))=0,"—",INDEX(Setup!$E$25:$E$36,MATCH($B124,Setup!$A$25:$A$36,0))),"—")</f>
        <v>—</v>
      </c>
      <c r="J124" s="8"/>
      <c r="K124" s="8"/>
      <c r="L124" s="8"/>
    </row>
    <row r="125" spans="1:12" x14ac:dyDescent="0.2">
      <c r="A125" s="30">
        <v>121</v>
      </c>
      <c r="B125" s="7" t="str">
        <f>IFERROR(IF(INDEX(Bookings!$D$5:$D$304,MATCH($A125,Bookings!$A$5:$A$304,0))="Cancelled","—",IF(INDEX(Bookings!$B$5:$B$304,MATCH($A125,Bookings!$A$5:$A$304,0))="","—",INDEX(Bookings!$B$5:$B$304,MATCH($A125,Bookings!$A$5:$A$304,0)))),"—")</f>
        <v>—</v>
      </c>
      <c r="C125" s="7" t="str">
        <f>IFERROR(IF(INDEX(Bookings!$D$5:$D$304,MATCH($A125,Bookings!$A$5:$A$304,0))="Cancelled","—",IF(INDEX(Bookings!$E$5:$E$304,MATCH($A125,Bookings!$A$5:$A$304,0))="","—",INDEX(Bookings!$E$5:$E$304,MATCH($A125,Bookings!$A$5:$A$304,0)))),"—")</f>
        <v>—</v>
      </c>
      <c r="D125" s="37" t="str">
        <f>IFERROR(IF(INDEX(Bookings!$D$5:$D$304,MATCH($A125,Bookings!$A$5:$A$304,0))="Cancelled","—",IF(INDEX(Bookings!$G$5:$G$304,MATCH($A125,Bookings!$A$5:$A$304,0))="","—",INDEX(Bookings!$G$5:$G$304,MATCH($A125,Bookings!$A$5:$A$304,0)))),"—")</f>
        <v>—</v>
      </c>
      <c r="E125" s="38" t="str">
        <f t="shared" ca="1" si="1"/>
        <v>—</v>
      </c>
      <c r="F125" s="39" t="str">
        <f>IF(OR(NOT(ISNUMBER($D125)),$B125="—",$B125=""),"—",IF(COUNTIFS(Bookings!$B$5:$B$304,$B125,Bookings!$F$5:$F$304,$D125)-COUNTIFS(Bookings!$B$5:$B$304,$B125,Bookings!$F$5:$F$304,$D125,Bookings!$D$5:$D$304,"Cancelled")-COUNTIFS(Bookings!$B$5:$B$304,$B125,Bookings!$F$5:$F$304,$D125,Bookings!$D$5:$D$304,"Owner block")&gt;0,"SAME-DAY TURN","No same-day guest"))</f>
        <v>—</v>
      </c>
      <c r="G125" s="38" t="str">
        <f>IFERROR(IF(INDEX(Bookings!$D$5:$D$304,MATCH($A125,Bookings!$A$5:$A$304,0))="Cancelled","—",IF(INDEX(Bookings!$I$5:$I$304,MATCH($A125,Bookings!$A$5:$A$304,0))="","—",INDEX(Bookings!$I$5:$I$304,MATCH($A125,Bookings!$A$5:$A$304,0)))),"—")</f>
        <v>—</v>
      </c>
      <c r="H125" s="38" t="str">
        <f>IFERROR(IF(INDEX(Setup!$I$25:$I$36,MATCH($B125,Setup!$A$25:$A$36,0))=0,"—",INDEX(Setup!$I$25:$I$36,MATCH($B125,Setup!$A$25:$A$36,0))),"—")</f>
        <v>—</v>
      </c>
      <c r="I125" s="21" t="str">
        <f>IFERROR(IF(INDEX(Setup!$E$25:$E$36,MATCH($B125,Setup!$A$25:$A$36,0))=0,"—",INDEX(Setup!$E$25:$E$36,MATCH($B125,Setup!$A$25:$A$36,0))),"—")</f>
        <v>—</v>
      </c>
      <c r="J125" s="3"/>
      <c r="K125" s="3"/>
      <c r="L125" s="3"/>
    </row>
    <row r="126" spans="1:12" x14ac:dyDescent="0.2">
      <c r="A126" s="30">
        <v>122</v>
      </c>
      <c r="B126" s="7" t="str">
        <f>IFERROR(IF(INDEX(Bookings!$D$5:$D$304,MATCH($A126,Bookings!$A$5:$A$304,0))="Cancelled","—",IF(INDEX(Bookings!$B$5:$B$304,MATCH($A126,Bookings!$A$5:$A$304,0))="","—",INDEX(Bookings!$B$5:$B$304,MATCH($A126,Bookings!$A$5:$A$304,0)))),"—")</f>
        <v>—</v>
      </c>
      <c r="C126" s="7" t="str">
        <f>IFERROR(IF(INDEX(Bookings!$D$5:$D$304,MATCH($A126,Bookings!$A$5:$A$304,0))="Cancelled","—",IF(INDEX(Bookings!$E$5:$E$304,MATCH($A126,Bookings!$A$5:$A$304,0))="","—",INDEX(Bookings!$E$5:$E$304,MATCH($A126,Bookings!$A$5:$A$304,0)))),"—")</f>
        <v>—</v>
      </c>
      <c r="D126" s="37" t="str">
        <f>IFERROR(IF(INDEX(Bookings!$D$5:$D$304,MATCH($A126,Bookings!$A$5:$A$304,0))="Cancelled","—",IF(INDEX(Bookings!$G$5:$G$304,MATCH($A126,Bookings!$A$5:$A$304,0))="","—",INDEX(Bookings!$G$5:$G$304,MATCH($A126,Bookings!$A$5:$A$304,0)))),"—")</f>
        <v>—</v>
      </c>
      <c r="E126" s="38" t="str">
        <f t="shared" ca="1" si="1"/>
        <v>—</v>
      </c>
      <c r="F126" s="39" t="str">
        <f>IF(OR(NOT(ISNUMBER($D126)),$B126="—",$B126=""),"—",IF(COUNTIFS(Bookings!$B$5:$B$304,$B126,Bookings!$F$5:$F$304,$D126)-COUNTIFS(Bookings!$B$5:$B$304,$B126,Bookings!$F$5:$F$304,$D126,Bookings!$D$5:$D$304,"Cancelled")-COUNTIFS(Bookings!$B$5:$B$304,$B126,Bookings!$F$5:$F$304,$D126,Bookings!$D$5:$D$304,"Owner block")&gt;0,"SAME-DAY TURN","No same-day guest"))</f>
        <v>—</v>
      </c>
      <c r="G126" s="38" t="str">
        <f>IFERROR(IF(INDEX(Bookings!$D$5:$D$304,MATCH($A126,Bookings!$A$5:$A$304,0))="Cancelled","—",IF(INDEX(Bookings!$I$5:$I$304,MATCH($A126,Bookings!$A$5:$A$304,0))="","—",INDEX(Bookings!$I$5:$I$304,MATCH($A126,Bookings!$A$5:$A$304,0)))),"—")</f>
        <v>—</v>
      </c>
      <c r="H126" s="38" t="str">
        <f>IFERROR(IF(INDEX(Setup!$I$25:$I$36,MATCH($B126,Setup!$A$25:$A$36,0))=0,"—",INDEX(Setup!$I$25:$I$36,MATCH($B126,Setup!$A$25:$A$36,0))),"—")</f>
        <v>—</v>
      </c>
      <c r="I126" s="21" t="str">
        <f>IFERROR(IF(INDEX(Setup!$E$25:$E$36,MATCH($B126,Setup!$A$25:$A$36,0))=0,"—",INDEX(Setup!$E$25:$E$36,MATCH($B126,Setup!$A$25:$A$36,0))),"—")</f>
        <v>—</v>
      </c>
      <c r="J126" s="8"/>
      <c r="K126" s="8"/>
      <c r="L126" s="8"/>
    </row>
    <row r="127" spans="1:12" x14ac:dyDescent="0.2">
      <c r="A127" s="30">
        <v>123</v>
      </c>
      <c r="B127" s="7" t="str">
        <f>IFERROR(IF(INDEX(Bookings!$D$5:$D$304,MATCH($A127,Bookings!$A$5:$A$304,0))="Cancelled","—",IF(INDEX(Bookings!$B$5:$B$304,MATCH($A127,Bookings!$A$5:$A$304,0))="","—",INDEX(Bookings!$B$5:$B$304,MATCH($A127,Bookings!$A$5:$A$304,0)))),"—")</f>
        <v>—</v>
      </c>
      <c r="C127" s="7" t="str">
        <f>IFERROR(IF(INDEX(Bookings!$D$5:$D$304,MATCH($A127,Bookings!$A$5:$A$304,0))="Cancelled","—",IF(INDEX(Bookings!$E$5:$E$304,MATCH($A127,Bookings!$A$5:$A$304,0))="","—",INDEX(Bookings!$E$5:$E$304,MATCH($A127,Bookings!$A$5:$A$304,0)))),"—")</f>
        <v>—</v>
      </c>
      <c r="D127" s="37" t="str">
        <f>IFERROR(IF(INDEX(Bookings!$D$5:$D$304,MATCH($A127,Bookings!$A$5:$A$304,0))="Cancelled","—",IF(INDEX(Bookings!$G$5:$G$304,MATCH($A127,Bookings!$A$5:$A$304,0))="","—",INDEX(Bookings!$G$5:$G$304,MATCH($A127,Bookings!$A$5:$A$304,0)))),"—")</f>
        <v>—</v>
      </c>
      <c r="E127" s="38" t="str">
        <f t="shared" ca="1" si="1"/>
        <v>—</v>
      </c>
      <c r="F127" s="39" t="str">
        <f>IF(OR(NOT(ISNUMBER($D127)),$B127="—",$B127=""),"—",IF(COUNTIFS(Bookings!$B$5:$B$304,$B127,Bookings!$F$5:$F$304,$D127)-COUNTIFS(Bookings!$B$5:$B$304,$B127,Bookings!$F$5:$F$304,$D127,Bookings!$D$5:$D$304,"Cancelled")-COUNTIFS(Bookings!$B$5:$B$304,$B127,Bookings!$F$5:$F$304,$D127,Bookings!$D$5:$D$304,"Owner block")&gt;0,"SAME-DAY TURN","No same-day guest"))</f>
        <v>—</v>
      </c>
      <c r="G127" s="38" t="str">
        <f>IFERROR(IF(INDEX(Bookings!$D$5:$D$304,MATCH($A127,Bookings!$A$5:$A$304,0))="Cancelled","—",IF(INDEX(Bookings!$I$5:$I$304,MATCH($A127,Bookings!$A$5:$A$304,0))="","—",INDEX(Bookings!$I$5:$I$304,MATCH($A127,Bookings!$A$5:$A$304,0)))),"—")</f>
        <v>—</v>
      </c>
      <c r="H127" s="38" t="str">
        <f>IFERROR(IF(INDEX(Setup!$I$25:$I$36,MATCH($B127,Setup!$A$25:$A$36,0))=0,"—",INDEX(Setup!$I$25:$I$36,MATCH($B127,Setup!$A$25:$A$36,0))),"—")</f>
        <v>—</v>
      </c>
      <c r="I127" s="21" t="str">
        <f>IFERROR(IF(INDEX(Setup!$E$25:$E$36,MATCH($B127,Setup!$A$25:$A$36,0))=0,"—",INDEX(Setup!$E$25:$E$36,MATCH($B127,Setup!$A$25:$A$36,0))),"—")</f>
        <v>—</v>
      </c>
      <c r="J127" s="3"/>
      <c r="K127" s="3"/>
      <c r="L127" s="3"/>
    </row>
    <row r="128" spans="1:12" x14ac:dyDescent="0.2">
      <c r="A128" s="30">
        <v>124</v>
      </c>
      <c r="B128" s="7" t="str">
        <f>IFERROR(IF(INDEX(Bookings!$D$5:$D$304,MATCH($A128,Bookings!$A$5:$A$304,0))="Cancelled","—",IF(INDEX(Bookings!$B$5:$B$304,MATCH($A128,Bookings!$A$5:$A$304,0))="","—",INDEX(Bookings!$B$5:$B$304,MATCH($A128,Bookings!$A$5:$A$304,0)))),"—")</f>
        <v>—</v>
      </c>
      <c r="C128" s="7" t="str">
        <f>IFERROR(IF(INDEX(Bookings!$D$5:$D$304,MATCH($A128,Bookings!$A$5:$A$304,0))="Cancelled","—",IF(INDEX(Bookings!$E$5:$E$304,MATCH($A128,Bookings!$A$5:$A$304,0))="","—",INDEX(Bookings!$E$5:$E$304,MATCH($A128,Bookings!$A$5:$A$304,0)))),"—")</f>
        <v>—</v>
      </c>
      <c r="D128" s="37" t="str">
        <f>IFERROR(IF(INDEX(Bookings!$D$5:$D$304,MATCH($A128,Bookings!$A$5:$A$304,0))="Cancelled","—",IF(INDEX(Bookings!$G$5:$G$304,MATCH($A128,Bookings!$A$5:$A$304,0))="","—",INDEX(Bookings!$G$5:$G$304,MATCH($A128,Bookings!$A$5:$A$304,0)))),"—")</f>
        <v>—</v>
      </c>
      <c r="E128" s="38" t="str">
        <f t="shared" ca="1" si="1"/>
        <v>—</v>
      </c>
      <c r="F128" s="39" t="str">
        <f>IF(OR(NOT(ISNUMBER($D128)),$B128="—",$B128=""),"—",IF(COUNTIFS(Bookings!$B$5:$B$304,$B128,Bookings!$F$5:$F$304,$D128)-COUNTIFS(Bookings!$B$5:$B$304,$B128,Bookings!$F$5:$F$304,$D128,Bookings!$D$5:$D$304,"Cancelled")-COUNTIFS(Bookings!$B$5:$B$304,$B128,Bookings!$F$5:$F$304,$D128,Bookings!$D$5:$D$304,"Owner block")&gt;0,"SAME-DAY TURN","No same-day guest"))</f>
        <v>—</v>
      </c>
      <c r="G128" s="38" t="str">
        <f>IFERROR(IF(INDEX(Bookings!$D$5:$D$304,MATCH($A128,Bookings!$A$5:$A$304,0))="Cancelled","—",IF(INDEX(Bookings!$I$5:$I$304,MATCH($A128,Bookings!$A$5:$A$304,0))="","—",INDEX(Bookings!$I$5:$I$304,MATCH($A128,Bookings!$A$5:$A$304,0)))),"—")</f>
        <v>—</v>
      </c>
      <c r="H128" s="38" t="str">
        <f>IFERROR(IF(INDEX(Setup!$I$25:$I$36,MATCH($B128,Setup!$A$25:$A$36,0))=0,"—",INDEX(Setup!$I$25:$I$36,MATCH($B128,Setup!$A$25:$A$36,0))),"—")</f>
        <v>—</v>
      </c>
      <c r="I128" s="21" t="str">
        <f>IFERROR(IF(INDEX(Setup!$E$25:$E$36,MATCH($B128,Setup!$A$25:$A$36,0))=0,"—",INDEX(Setup!$E$25:$E$36,MATCH($B128,Setup!$A$25:$A$36,0))),"—")</f>
        <v>—</v>
      </c>
      <c r="J128" s="8"/>
      <c r="K128" s="8"/>
      <c r="L128" s="8"/>
    </row>
    <row r="129" spans="1:12" x14ac:dyDescent="0.2">
      <c r="A129" s="30">
        <v>125</v>
      </c>
      <c r="B129" s="7" t="str">
        <f>IFERROR(IF(INDEX(Bookings!$D$5:$D$304,MATCH($A129,Bookings!$A$5:$A$304,0))="Cancelled","—",IF(INDEX(Bookings!$B$5:$B$304,MATCH($A129,Bookings!$A$5:$A$304,0))="","—",INDEX(Bookings!$B$5:$B$304,MATCH($A129,Bookings!$A$5:$A$304,0)))),"—")</f>
        <v>—</v>
      </c>
      <c r="C129" s="7" t="str">
        <f>IFERROR(IF(INDEX(Bookings!$D$5:$D$304,MATCH($A129,Bookings!$A$5:$A$304,0))="Cancelled","—",IF(INDEX(Bookings!$E$5:$E$304,MATCH($A129,Bookings!$A$5:$A$304,0))="","—",INDEX(Bookings!$E$5:$E$304,MATCH($A129,Bookings!$A$5:$A$304,0)))),"—")</f>
        <v>—</v>
      </c>
      <c r="D129" s="37" t="str">
        <f>IFERROR(IF(INDEX(Bookings!$D$5:$D$304,MATCH($A129,Bookings!$A$5:$A$304,0))="Cancelled","—",IF(INDEX(Bookings!$G$5:$G$304,MATCH($A129,Bookings!$A$5:$A$304,0))="","—",INDEX(Bookings!$G$5:$G$304,MATCH($A129,Bookings!$A$5:$A$304,0)))),"—")</f>
        <v>—</v>
      </c>
      <c r="E129" s="38" t="str">
        <f t="shared" ca="1" si="1"/>
        <v>—</v>
      </c>
      <c r="F129" s="39" t="str">
        <f>IF(OR(NOT(ISNUMBER($D129)),$B129="—",$B129=""),"—",IF(COUNTIFS(Bookings!$B$5:$B$304,$B129,Bookings!$F$5:$F$304,$D129)-COUNTIFS(Bookings!$B$5:$B$304,$B129,Bookings!$F$5:$F$304,$D129,Bookings!$D$5:$D$304,"Cancelled")-COUNTIFS(Bookings!$B$5:$B$304,$B129,Bookings!$F$5:$F$304,$D129,Bookings!$D$5:$D$304,"Owner block")&gt;0,"SAME-DAY TURN","No same-day guest"))</f>
        <v>—</v>
      </c>
      <c r="G129" s="38" t="str">
        <f>IFERROR(IF(INDEX(Bookings!$D$5:$D$304,MATCH($A129,Bookings!$A$5:$A$304,0))="Cancelled","—",IF(INDEX(Bookings!$I$5:$I$304,MATCH($A129,Bookings!$A$5:$A$304,0))="","—",INDEX(Bookings!$I$5:$I$304,MATCH($A129,Bookings!$A$5:$A$304,0)))),"—")</f>
        <v>—</v>
      </c>
      <c r="H129" s="38" t="str">
        <f>IFERROR(IF(INDEX(Setup!$I$25:$I$36,MATCH($B129,Setup!$A$25:$A$36,0))=0,"—",INDEX(Setup!$I$25:$I$36,MATCH($B129,Setup!$A$25:$A$36,0))),"—")</f>
        <v>—</v>
      </c>
      <c r="I129" s="21" t="str">
        <f>IFERROR(IF(INDEX(Setup!$E$25:$E$36,MATCH($B129,Setup!$A$25:$A$36,0))=0,"—",INDEX(Setup!$E$25:$E$36,MATCH($B129,Setup!$A$25:$A$36,0))),"—")</f>
        <v>—</v>
      </c>
      <c r="J129" s="3"/>
      <c r="K129" s="3"/>
      <c r="L129" s="3"/>
    </row>
    <row r="130" spans="1:12" x14ac:dyDescent="0.2">
      <c r="A130" s="30">
        <v>126</v>
      </c>
      <c r="B130" s="7" t="str">
        <f>IFERROR(IF(INDEX(Bookings!$D$5:$D$304,MATCH($A130,Bookings!$A$5:$A$304,0))="Cancelled","—",IF(INDEX(Bookings!$B$5:$B$304,MATCH($A130,Bookings!$A$5:$A$304,0))="","—",INDEX(Bookings!$B$5:$B$304,MATCH($A130,Bookings!$A$5:$A$304,0)))),"—")</f>
        <v>—</v>
      </c>
      <c r="C130" s="7" t="str">
        <f>IFERROR(IF(INDEX(Bookings!$D$5:$D$304,MATCH($A130,Bookings!$A$5:$A$304,0))="Cancelled","—",IF(INDEX(Bookings!$E$5:$E$304,MATCH($A130,Bookings!$A$5:$A$304,0))="","—",INDEX(Bookings!$E$5:$E$304,MATCH($A130,Bookings!$A$5:$A$304,0)))),"—")</f>
        <v>—</v>
      </c>
      <c r="D130" s="37" t="str">
        <f>IFERROR(IF(INDEX(Bookings!$D$5:$D$304,MATCH($A130,Bookings!$A$5:$A$304,0))="Cancelled","—",IF(INDEX(Bookings!$G$5:$G$304,MATCH($A130,Bookings!$A$5:$A$304,0))="","—",INDEX(Bookings!$G$5:$G$304,MATCH($A130,Bookings!$A$5:$A$304,0)))),"—")</f>
        <v>—</v>
      </c>
      <c r="E130" s="38" t="str">
        <f t="shared" ca="1" si="1"/>
        <v>—</v>
      </c>
      <c r="F130" s="39" t="str">
        <f>IF(OR(NOT(ISNUMBER($D130)),$B130="—",$B130=""),"—",IF(COUNTIFS(Bookings!$B$5:$B$304,$B130,Bookings!$F$5:$F$304,$D130)-COUNTIFS(Bookings!$B$5:$B$304,$B130,Bookings!$F$5:$F$304,$D130,Bookings!$D$5:$D$304,"Cancelled")-COUNTIFS(Bookings!$B$5:$B$304,$B130,Bookings!$F$5:$F$304,$D130,Bookings!$D$5:$D$304,"Owner block")&gt;0,"SAME-DAY TURN","No same-day guest"))</f>
        <v>—</v>
      </c>
      <c r="G130" s="38" t="str">
        <f>IFERROR(IF(INDEX(Bookings!$D$5:$D$304,MATCH($A130,Bookings!$A$5:$A$304,0))="Cancelled","—",IF(INDEX(Bookings!$I$5:$I$304,MATCH($A130,Bookings!$A$5:$A$304,0))="","—",INDEX(Bookings!$I$5:$I$304,MATCH($A130,Bookings!$A$5:$A$304,0)))),"—")</f>
        <v>—</v>
      </c>
      <c r="H130" s="38" t="str">
        <f>IFERROR(IF(INDEX(Setup!$I$25:$I$36,MATCH($B130,Setup!$A$25:$A$36,0))=0,"—",INDEX(Setup!$I$25:$I$36,MATCH($B130,Setup!$A$25:$A$36,0))),"—")</f>
        <v>—</v>
      </c>
      <c r="I130" s="21" t="str">
        <f>IFERROR(IF(INDEX(Setup!$E$25:$E$36,MATCH($B130,Setup!$A$25:$A$36,0))=0,"—",INDEX(Setup!$E$25:$E$36,MATCH($B130,Setup!$A$25:$A$36,0))),"—")</f>
        <v>—</v>
      </c>
      <c r="J130" s="8"/>
      <c r="K130" s="8"/>
      <c r="L130" s="8"/>
    </row>
    <row r="131" spans="1:12" x14ac:dyDescent="0.2">
      <c r="A131" s="30">
        <v>127</v>
      </c>
      <c r="B131" s="7" t="str">
        <f>IFERROR(IF(INDEX(Bookings!$D$5:$D$304,MATCH($A131,Bookings!$A$5:$A$304,0))="Cancelled","—",IF(INDEX(Bookings!$B$5:$B$304,MATCH($A131,Bookings!$A$5:$A$304,0))="","—",INDEX(Bookings!$B$5:$B$304,MATCH($A131,Bookings!$A$5:$A$304,0)))),"—")</f>
        <v>—</v>
      </c>
      <c r="C131" s="7" t="str">
        <f>IFERROR(IF(INDEX(Bookings!$D$5:$D$304,MATCH($A131,Bookings!$A$5:$A$304,0))="Cancelled","—",IF(INDEX(Bookings!$E$5:$E$304,MATCH($A131,Bookings!$A$5:$A$304,0))="","—",INDEX(Bookings!$E$5:$E$304,MATCH($A131,Bookings!$A$5:$A$304,0)))),"—")</f>
        <v>—</v>
      </c>
      <c r="D131" s="37" t="str">
        <f>IFERROR(IF(INDEX(Bookings!$D$5:$D$304,MATCH($A131,Bookings!$A$5:$A$304,0))="Cancelled","—",IF(INDEX(Bookings!$G$5:$G$304,MATCH($A131,Bookings!$A$5:$A$304,0))="","—",INDEX(Bookings!$G$5:$G$304,MATCH($A131,Bookings!$A$5:$A$304,0)))),"—")</f>
        <v>—</v>
      </c>
      <c r="E131" s="38" t="str">
        <f t="shared" ca="1" si="1"/>
        <v>—</v>
      </c>
      <c r="F131" s="39" t="str">
        <f>IF(OR(NOT(ISNUMBER($D131)),$B131="—",$B131=""),"—",IF(COUNTIFS(Bookings!$B$5:$B$304,$B131,Bookings!$F$5:$F$304,$D131)-COUNTIFS(Bookings!$B$5:$B$304,$B131,Bookings!$F$5:$F$304,$D131,Bookings!$D$5:$D$304,"Cancelled")-COUNTIFS(Bookings!$B$5:$B$304,$B131,Bookings!$F$5:$F$304,$D131,Bookings!$D$5:$D$304,"Owner block")&gt;0,"SAME-DAY TURN","No same-day guest"))</f>
        <v>—</v>
      </c>
      <c r="G131" s="38" t="str">
        <f>IFERROR(IF(INDEX(Bookings!$D$5:$D$304,MATCH($A131,Bookings!$A$5:$A$304,0))="Cancelled","—",IF(INDEX(Bookings!$I$5:$I$304,MATCH($A131,Bookings!$A$5:$A$304,0))="","—",INDEX(Bookings!$I$5:$I$304,MATCH($A131,Bookings!$A$5:$A$304,0)))),"—")</f>
        <v>—</v>
      </c>
      <c r="H131" s="38" t="str">
        <f>IFERROR(IF(INDEX(Setup!$I$25:$I$36,MATCH($B131,Setup!$A$25:$A$36,0))=0,"—",INDEX(Setup!$I$25:$I$36,MATCH($B131,Setup!$A$25:$A$36,0))),"—")</f>
        <v>—</v>
      </c>
      <c r="I131" s="21" t="str">
        <f>IFERROR(IF(INDEX(Setup!$E$25:$E$36,MATCH($B131,Setup!$A$25:$A$36,0))=0,"—",INDEX(Setup!$E$25:$E$36,MATCH($B131,Setup!$A$25:$A$36,0))),"—")</f>
        <v>—</v>
      </c>
      <c r="J131" s="3"/>
      <c r="K131" s="3"/>
      <c r="L131" s="3"/>
    </row>
    <row r="132" spans="1:12" x14ac:dyDescent="0.2">
      <c r="A132" s="30">
        <v>128</v>
      </c>
      <c r="B132" s="7" t="str">
        <f>IFERROR(IF(INDEX(Bookings!$D$5:$D$304,MATCH($A132,Bookings!$A$5:$A$304,0))="Cancelled","—",IF(INDEX(Bookings!$B$5:$B$304,MATCH($A132,Bookings!$A$5:$A$304,0))="","—",INDEX(Bookings!$B$5:$B$304,MATCH($A132,Bookings!$A$5:$A$304,0)))),"—")</f>
        <v>—</v>
      </c>
      <c r="C132" s="7" t="str">
        <f>IFERROR(IF(INDEX(Bookings!$D$5:$D$304,MATCH($A132,Bookings!$A$5:$A$304,0))="Cancelled","—",IF(INDEX(Bookings!$E$5:$E$304,MATCH($A132,Bookings!$A$5:$A$304,0))="","—",INDEX(Bookings!$E$5:$E$304,MATCH($A132,Bookings!$A$5:$A$304,0)))),"—")</f>
        <v>—</v>
      </c>
      <c r="D132" s="37" t="str">
        <f>IFERROR(IF(INDEX(Bookings!$D$5:$D$304,MATCH($A132,Bookings!$A$5:$A$304,0))="Cancelled","—",IF(INDEX(Bookings!$G$5:$G$304,MATCH($A132,Bookings!$A$5:$A$304,0))="","—",INDEX(Bookings!$G$5:$G$304,MATCH($A132,Bookings!$A$5:$A$304,0)))),"—")</f>
        <v>—</v>
      </c>
      <c r="E132" s="38" t="str">
        <f t="shared" ca="1" si="1"/>
        <v>—</v>
      </c>
      <c r="F132" s="39" t="str">
        <f>IF(OR(NOT(ISNUMBER($D132)),$B132="—",$B132=""),"—",IF(COUNTIFS(Bookings!$B$5:$B$304,$B132,Bookings!$F$5:$F$304,$D132)-COUNTIFS(Bookings!$B$5:$B$304,$B132,Bookings!$F$5:$F$304,$D132,Bookings!$D$5:$D$304,"Cancelled")-COUNTIFS(Bookings!$B$5:$B$304,$B132,Bookings!$F$5:$F$304,$D132,Bookings!$D$5:$D$304,"Owner block")&gt;0,"SAME-DAY TURN","No same-day guest"))</f>
        <v>—</v>
      </c>
      <c r="G132" s="38" t="str">
        <f>IFERROR(IF(INDEX(Bookings!$D$5:$D$304,MATCH($A132,Bookings!$A$5:$A$304,0))="Cancelled","—",IF(INDEX(Bookings!$I$5:$I$304,MATCH($A132,Bookings!$A$5:$A$304,0))="","—",INDEX(Bookings!$I$5:$I$304,MATCH($A132,Bookings!$A$5:$A$304,0)))),"—")</f>
        <v>—</v>
      </c>
      <c r="H132" s="38" t="str">
        <f>IFERROR(IF(INDEX(Setup!$I$25:$I$36,MATCH($B132,Setup!$A$25:$A$36,0))=0,"—",INDEX(Setup!$I$25:$I$36,MATCH($B132,Setup!$A$25:$A$36,0))),"—")</f>
        <v>—</v>
      </c>
      <c r="I132" s="21" t="str">
        <f>IFERROR(IF(INDEX(Setup!$E$25:$E$36,MATCH($B132,Setup!$A$25:$A$36,0))=0,"—",INDEX(Setup!$E$25:$E$36,MATCH($B132,Setup!$A$25:$A$36,0))),"—")</f>
        <v>—</v>
      </c>
      <c r="J132" s="8"/>
      <c r="K132" s="8"/>
      <c r="L132" s="8"/>
    </row>
    <row r="133" spans="1:12" x14ac:dyDescent="0.2">
      <c r="A133" s="30">
        <v>129</v>
      </c>
      <c r="B133" s="7" t="str">
        <f>IFERROR(IF(INDEX(Bookings!$D$5:$D$304,MATCH($A133,Bookings!$A$5:$A$304,0))="Cancelled","—",IF(INDEX(Bookings!$B$5:$B$304,MATCH($A133,Bookings!$A$5:$A$304,0))="","—",INDEX(Bookings!$B$5:$B$304,MATCH($A133,Bookings!$A$5:$A$304,0)))),"—")</f>
        <v>—</v>
      </c>
      <c r="C133" s="7" t="str">
        <f>IFERROR(IF(INDEX(Bookings!$D$5:$D$304,MATCH($A133,Bookings!$A$5:$A$304,0))="Cancelled","—",IF(INDEX(Bookings!$E$5:$E$304,MATCH($A133,Bookings!$A$5:$A$304,0))="","—",INDEX(Bookings!$E$5:$E$304,MATCH($A133,Bookings!$A$5:$A$304,0)))),"—")</f>
        <v>—</v>
      </c>
      <c r="D133" s="37" t="str">
        <f>IFERROR(IF(INDEX(Bookings!$D$5:$D$304,MATCH($A133,Bookings!$A$5:$A$304,0))="Cancelled","—",IF(INDEX(Bookings!$G$5:$G$304,MATCH($A133,Bookings!$A$5:$A$304,0))="","—",INDEX(Bookings!$G$5:$G$304,MATCH($A133,Bookings!$A$5:$A$304,0)))),"—")</f>
        <v>—</v>
      </c>
      <c r="E133" s="38" t="str">
        <f t="shared" ref="E133:E196" ca="1" si="2">IF(NOT(ISNUMBER($D133)),"—",IF($D133&lt;TODAY(),"Past",IF($D133=TODAY(),"TODAY",$D133-TODAY())))</f>
        <v>—</v>
      </c>
      <c r="F133" s="39" t="str">
        <f>IF(OR(NOT(ISNUMBER($D133)),$B133="—",$B133=""),"—",IF(COUNTIFS(Bookings!$B$5:$B$304,$B133,Bookings!$F$5:$F$304,$D133)-COUNTIFS(Bookings!$B$5:$B$304,$B133,Bookings!$F$5:$F$304,$D133,Bookings!$D$5:$D$304,"Cancelled")-COUNTIFS(Bookings!$B$5:$B$304,$B133,Bookings!$F$5:$F$304,$D133,Bookings!$D$5:$D$304,"Owner block")&gt;0,"SAME-DAY TURN","No same-day guest"))</f>
        <v>—</v>
      </c>
      <c r="G133" s="38" t="str">
        <f>IFERROR(IF(INDEX(Bookings!$D$5:$D$304,MATCH($A133,Bookings!$A$5:$A$304,0))="Cancelled","—",IF(INDEX(Bookings!$I$5:$I$304,MATCH($A133,Bookings!$A$5:$A$304,0))="","—",INDEX(Bookings!$I$5:$I$304,MATCH($A133,Bookings!$A$5:$A$304,0)))),"—")</f>
        <v>—</v>
      </c>
      <c r="H133" s="38" t="str">
        <f>IFERROR(IF(INDEX(Setup!$I$25:$I$36,MATCH($B133,Setup!$A$25:$A$36,0))=0,"—",INDEX(Setup!$I$25:$I$36,MATCH($B133,Setup!$A$25:$A$36,0))),"—")</f>
        <v>—</v>
      </c>
      <c r="I133" s="21" t="str">
        <f>IFERROR(IF(INDEX(Setup!$E$25:$E$36,MATCH($B133,Setup!$A$25:$A$36,0))=0,"—",INDEX(Setup!$E$25:$E$36,MATCH($B133,Setup!$A$25:$A$36,0))),"—")</f>
        <v>—</v>
      </c>
      <c r="J133" s="3"/>
      <c r="K133" s="3"/>
      <c r="L133" s="3"/>
    </row>
    <row r="134" spans="1:12" x14ac:dyDescent="0.2">
      <c r="A134" s="30">
        <v>130</v>
      </c>
      <c r="B134" s="7" t="str">
        <f>IFERROR(IF(INDEX(Bookings!$D$5:$D$304,MATCH($A134,Bookings!$A$5:$A$304,0))="Cancelled","—",IF(INDEX(Bookings!$B$5:$B$304,MATCH($A134,Bookings!$A$5:$A$304,0))="","—",INDEX(Bookings!$B$5:$B$304,MATCH($A134,Bookings!$A$5:$A$304,0)))),"—")</f>
        <v>—</v>
      </c>
      <c r="C134" s="7" t="str">
        <f>IFERROR(IF(INDEX(Bookings!$D$5:$D$304,MATCH($A134,Bookings!$A$5:$A$304,0))="Cancelled","—",IF(INDEX(Bookings!$E$5:$E$304,MATCH($A134,Bookings!$A$5:$A$304,0))="","—",INDEX(Bookings!$E$5:$E$304,MATCH($A134,Bookings!$A$5:$A$304,0)))),"—")</f>
        <v>—</v>
      </c>
      <c r="D134" s="37" t="str">
        <f>IFERROR(IF(INDEX(Bookings!$D$5:$D$304,MATCH($A134,Bookings!$A$5:$A$304,0))="Cancelled","—",IF(INDEX(Bookings!$G$5:$G$304,MATCH($A134,Bookings!$A$5:$A$304,0))="","—",INDEX(Bookings!$G$5:$G$304,MATCH($A134,Bookings!$A$5:$A$304,0)))),"—")</f>
        <v>—</v>
      </c>
      <c r="E134" s="38" t="str">
        <f t="shared" ca="1" si="2"/>
        <v>—</v>
      </c>
      <c r="F134" s="39" t="str">
        <f>IF(OR(NOT(ISNUMBER($D134)),$B134="—",$B134=""),"—",IF(COUNTIFS(Bookings!$B$5:$B$304,$B134,Bookings!$F$5:$F$304,$D134)-COUNTIFS(Bookings!$B$5:$B$304,$B134,Bookings!$F$5:$F$304,$D134,Bookings!$D$5:$D$304,"Cancelled")-COUNTIFS(Bookings!$B$5:$B$304,$B134,Bookings!$F$5:$F$304,$D134,Bookings!$D$5:$D$304,"Owner block")&gt;0,"SAME-DAY TURN","No same-day guest"))</f>
        <v>—</v>
      </c>
      <c r="G134" s="38" t="str">
        <f>IFERROR(IF(INDEX(Bookings!$D$5:$D$304,MATCH($A134,Bookings!$A$5:$A$304,0))="Cancelled","—",IF(INDEX(Bookings!$I$5:$I$304,MATCH($A134,Bookings!$A$5:$A$304,0))="","—",INDEX(Bookings!$I$5:$I$304,MATCH($A134,Bookings!$A$5:$A$304,0)))),"—")</f>
        <v>—</v>
      </c>
      <c r="H134" s="38" t="str">
        <f>IFERROR(IF(INDEX(Setup!$I$25:$I$36,MATCH($B134,Setup!$A$25:$A$36,0))=0,"—",INDEX(Setup!$I$25:$I$36,MATCH($B134,Setup!$A$25:$A$36,0))),"—")</f>
        <v>—</v>
      </c>
      <c r="I134" s="21" t="str">
        <f>IFERROR(IF(INDEX(Setup!$E$25:$E$36,MATCH($B134,Setup!$A$25:$A$36,0))=0,"—",INDEX(Setup!$E$25:$E$36,MATCH($B134,Setup!$A$25:$A$36,0))),"—")</f>
        <v>—</v>
      </c>
      <c r="J134" s="8"/>
      <c r="K134" s="8"/>
      <c r="L134" s="8"/>
    </row>
    <row r="135" spans="1:12" x14ac:dyDescent="0.2">
      <c r="A135" s="30">
        <v>131</v>
      </c>
      <c r="B135" s="7" t="str">
        <f>IFERROR(IF(INDEX(Bookings!$D$5:$D$304,MATCH($A135,Bookings!$A$5:$A$304,0))="Cancelled","—",IF(INDEX(Bookings!$B$5:$B$304,MATCH($A135,Bookings!$A$5:$A$304,0))="","—",INDEX(Bookings!$B$5:$B$304,MATCH($A135,Bookings!$A$5:$A$304,0)))),"—")</f>
        <v>—</v>
      </c>
      <c r="C135" s="7" t="str">
        <f>IFERROR(IF(INDEX(Bookings!$D$5:$D$304,MATCH($A135,Bookings!$A$5:$A$304,0))="Cancelled","—",IF(INDEX(Bookings!$E$5:$E$304,MATCH($A135,Bookings!$A$5:$A$304,0))="","—",INDEX(Bookings!$E$5:$E$304,MATCH($A135,Bookings!$A$5:$A$304,0)))),"—")</f>
        <v>—</v>
      </c>
      <c r="D135" s="37" t="str">
        <f>IFERROR(IF(INDEX(Bookings!$D$5:$D$304,MATCH($A135,Bookings!$A$5:$A$304,0))="Cancelled","—",IF(INDEX(Bookings!$G$5:$G$304,MATCH($A135,Bookings!$A$5:$A$304,0))="","—",INDEX(Bookings!$G$5:$G$304,MATCH($A135,Bookings!$A$5:$A$304,0)))),"—")</f>
        <v>—</v>
      </c>
      <c r="E135" s="38" t="str">
        <f t="shared" ca="1" si="2"/>
        <v>—</v>
      </c>
      <c r="F135" s="39" t="str">
        <f>IF(OR(NOT(ISNUMBER($D135)),$B135="—",$B135=""),"—",IF(COUNTIFS(Bookings!$B$5:$B$304,$B135,Bookings!$F$5:$F$304,$D135)-COUNTIFS(Bookings!$B$5:$B$304,$B135,Bookings!$F$5:$F$304,$D135,Bookings!$D$5:$D$304,"Cancelled")-COUNTIFS(Bookings!$B$5:$B$304,$B135,Bookings!$F$5:$F$304,$D135,Bookings!$D$5:$D$304,"Owner block")&gt;0,"SAME-DAY TURN","No same-day guest"))</f>
        <v>—</v>
      </c>
      <c r="G135" s="38" t="str">
        <f>IFERROR(IF(INDEX(Bookings!$D$5:$D$304,MATCH($A135,Bookings!$A$5:$A$304,0))="Cancelled","—",IF(INDEX(Bookings!$I$5:$I$304,MATCH($A135,Bookings!$A$5:$A$304,0))="","—",INDEX(Bookings!$I$5:$I$304,MATCH($A135,Bookings!$A$5:$A$304,0)))),"—")</f>
        <v>—</v>
      </c>
      <c r="H135" s="38" t="str">
        <f>IFERROR(IF(INDEX(Setup!$I$25:$I$36,MATCH($B135,Setup!$A$25:$A$36,0))=0,"—",INDEX(Setup!$I$25:$I$36,MATCH($B135,Setup!$A$25:$A$36,0))),"—")</f>
        <v>—</v>
      </c>
      <c r="I135" s="21" t="str">
        <f>IFERROR(IF(INDEX(Setup!$E$25:$E$36,MATCH($B135,Setup!$A$25:$A$36,0))=0,"—",INDEX(Setup!$E$25:$E$36,MATCH($B135,Setup!$A$25:$A$36,0))),"—")</f>
        <v>—</v>
      </c>
      <c r="J135" s="3"/>
      <c r="K135" s="3"/>
      <c r="L135" s="3"/>
    </row>
    <row r="136" spans="1:12" x14ac:dyDescent="0.2">
      <c r="A136" s="30">
        <v>132</v>
      </c>
      <c r="B136" s="7" t="str">
        <f>IFERROR(IF(INDEX(Bookings!$D$5:$D$304,MATCH($A136,Bookings!$A$5:$A$304,0))="Cancelled","—",IF(INDEX(Bookings!$B$5:$B$304,MATCH($A136,Bookings!$A$5:$A$304,0))="","—",INDEX(Bookings!$B$5:$B$304,MATCH($A136,Bookings!$A$5:$A$304,0)))),"—")</f>
        <v>—</v>
      </c>
      <c r="C136" s="7" t="str">
        <f>IFERROR(IF(INDEX(Bookings!$D$5:$D$304,MATCH($A136,Bookings!$A$5:$A$304,0))="Cancelled","—",IF(INDEX(Bookings!$E$5:$E$304,MATCH($A136,Bookings!$A$5:$A$304,0))="","—",INDEX(Bookings!$E$5:$E$304,MATCH($A136,Bookings!$A$5:$A$304,0)))),"—")</f>
        <v>—</v>
      </c>
      <c r="D136" s="37" t="str">
        <f>IFERROR(IF(INDEX(Bookings!$D$5:$D$304,MATCH($A136,Bookings!$A$5:$A$304,0))="Cancelled","—",IF(INDEX(Bookings!$G$5:$G$304,MATCH($A136,Bookings!$A$5:$A$304,0))="","—",INDEX(Bookings!$G$5:$G$304,MATCH($A136,Bookings!$A$5:$A$304,0)))),"—")</f>
        <v>—</v>
      </c>
      <c r="E136" s="38" t="str">
        <f t="shared" ca="1" si="2"/>
        <v>—</v>
      </c>
      <c r="F136" s="39" t="str">
        <f>IF(OR(NOT(ISNUMBER($D136)),$B136="—",$B136=""),"—",IF(COUNTIFS(Bookings!$B$5:$B$304,$B136,Bookings!$F$5:$F$304,$D136)-COUNTIFS(Bookings!$B$5:$B$304,$B136,Bookings!$F$5:$F$304,$D136,Bookings!$D$5:$D$304,"Cancelled")-COUNTIFS(Bookings!$B$5:$B$304,$B136,Bookings!$F$5:$F$304,$D136,Bookings!$D$5:$D$304,"Owner block")&gt;0,"SAME-DAY TURN","No same-day guest"))</f>
        <v>—</v>
      </c>
      <c r="G136" s="38" t="str">
        <f>IFERROR(IF(INDEX(Bookings!$D$5:$D$304,MATCH($A136,Bookings!$A$5:$A$304,0))="Cancelled","—",IF(INDEX(Bookings!$I$5:$I$304,MATCH($A136,Bookings!$A$5:$A$304,0))="","—",INDEX(Bookings!$I$5:$I$304,MATCH($A136,Bookings!$A$5:$A$304,0)))),"—")</f>
        <v>—</v>
      </c>
      <c r="H136" s="38" t="str">
        <f>IFERROR(IF(INDEX(Setup!$I$25:$I$36,MATCH($B136,Setup!$A$25:$A$36,0))=0,"—",INDEX(Setup!$I$25:$I$36,MATCH($B136,Setup!$A$25:$A$36,0))),"—")</f>
        <v>—</v>
      </c>
      <c r="I136" s="21" t="str">
        <f>IFERROR(IF(INDEX(Setup!$E$25:$E$36,MATCH($B136,Setup!$A$25:$A$36,0))=0,"—",INDEX(Setup!$E$25:$E$36,MATCH($B136,Setup!$A$25:$A$36,0))),"—")</f>
        <v>—</v>
      </c>
      <c r="J136" s="8"/>
      <c r="K136" s="8"/>
      <c r="L136" s="8"/>
    </row>
    <row r="137" spans="1:12" x14ac:dyDescent="0.2">
      <c r="A137" s="30">
        <v>133</v>
      </c>
      <c r="B137" s="7" t="str">
        <f>IFERROR(IF(INDEX(Bookings!$D$5:$D$304,MATCH($A137,Bookings!$A$5:$A$304,0))="Cancelled","—",IF(INDEX(Bookings!$B$5:$B$304,MATCH($A137,Bookings!$A$5:$A$304,0))="","—",INDEX(Bookings!$B$5:$B$304,MATCH($A137,Bookings!$A$5:$A$304,0)))),"—")</f>
        <v>—</v>
      </c>
      <c r="C137" s="7" t="str">
        <f>IFERROR(IF(INDEX(Bookings!$D$5:$D$304,MATCH($A137,Bookings!$A$5:$A$304,0))="Cancelled","—",IF(INDEX(Bookings!$E$5:$E$304,MATCH($A137,Bookings!$A$5:$A$304,0))="","—",INDEX(Bookings!$E$5:$E$304,MATCH($A137,Bookings!$A$5:$A$304,0)))),"—")</f>
        <v>—</v>
      </c>
      <c r="D137" s="37" t="str">
        <f>IFERROR(IF(INDEX(Bookings!$D$5:$D$304,MATCH($A137,Bookings!$A$5:$A$304,0))="Cancelled","—",IF(INDEX(Bookings!$G$5:$G$304,MATCH($A137,Bookings!$A$5:$A$304,0))="","—",INDEX(Bookings!$G$5:$G$304,MATCH($A137,Bookings!$A$5:$A$304,0)))),"—")</f>
        <v>—</v>
      </c>
      <c r="E137" s="38" t="str">
        <f t="shared" ca="1" si="2"/>
        <v>—</v>
      </c>
      <c r="F137" s="39" t="str">
        <f>IF(OR(NOT(ISNUMBER($D137)),$B137="—",$B137=""),"—",IF(COUNTIFS(Bookings!$B$5:$B$304,$B137,Bookings!$F$5:$F$304,$D137)-COUNTIFS(Bookings!$B$5:$B$304,$B137,Bookings!$F$5:$F$304,$D137,Bookings!$D$5:$D$304,"Cancelled")-COUNTIFS(Bookings!$B$5:$B$304,$B137,Bookings!$F$5:$F$304,$D137,Bookings!$D$5:$D$304,"Owner block")&gt;0,"SAME-DAY TURN","No same-day guest"))</f>
        <v>—</v>
      </c>
      <c r="G137" s="38" t="str">
        <f>IFERROR(IF(INDEX(Bookings!$D$5:$D$304,MATCH($A137,Bookings!$A$5:$A$304,0))="Cancelled","—",IF(INDEX(Bookings!$I$5:$I$304,MATCH($A137,Bookings!$A$5:$A$304,0))="","—",INDEX(Bookings!$I$5:$I$304,MATCH($A137,Bookings!$A$5:$A$304,0)))),"—")</f>
        <v>—</v>
      </c>
      <c r="H137" s="38" t="str">
        <f>IFERROR(IF(INDEX(Setup!$I$25:$I$36,MATCH($B137,Setup!$A$25:$A$36,0))=0,"—",INDEX(Setup!$I$25:$I$36,MATCH($B137,Setup!$A$25:$A$36,0))),"—")</f>
        <v>—</v>
      </c>
      <c r="I137" s="21" t="str">
        <f>IFERROR(IF(INDEX(Setup!$E$25:$E$36,MATCH($B137,Setup!$A$25:$A$36,0))=0,"—",INDEX(Setup!$E$25:$E$36,MATCH($B137,Setup!$A$25:$A$36,0))),"—")</f>
        <v>—</v>
      </c>
      <c r="J137" s="3"/>
      <c r="K137" s="3"/>
      <c r="L137" s="3"/>
    </row>
    <row r="138" spans="1:12" x14ac:dyDescent="0.2">
      <c r="A138" s="30">
        <v>134</v>
      </c>
      <c r="B138" s="7" t="str">
        <f>IFERROR(IF(INDEX(Bookings!$D$5:$D$304,MATCH($A138,Bookings!$A$5:$A$304,0))="Cancelled","—",IF(INDEX(Bookings!$B$5:$B$304,MATCH($A138,Bookings!$A$5:$A$304,0))="","—",INDEX(Bookings!$B$5:$B$304,MATCH($A138,Bookings!$A$5:$A$304,0)))),"—")</f>
        <v>—</v>
      </c>
      <c r="C138" s="7" t="str">
        <f>IFERROR(IF(INDEX(Bookings!$D$5:$D$304,MATCH($A138,Bookings!$A$5:$A$304,0))="Cancelled","—",IF(INDEX(Bookings!$E$5:$E$304,MATCH($A138,Bookings!$A$5:$A$304,0))="","—",INDEX(Bookings!$E$5:$E$304,MATCH($A138,Bookings!$A$5:$A$304,0)))),"—")</f>
        <v>—</v>
      </c>
      <c r="D138" s="37" t="str">
        <f>IFERROR(IF(INDEX(Bookings!$D$5:$D$304,MATCH($A138,Bookings!$A$5:$A$304,0))="Cancelled","—",IF(INDEX(Bookings!$G$5:$G$304,MATCH($A138,Bookings!$A$5:$A$304,0))="","—",INDEX(Bookings!$G$5:$G$304,MATCH($A138,Bookings!$A$5:$A$304,0)))),"—")</f>
        <v>—</v>
      </c>
      <c r="E138" s="38" t="str">
        <f t="shared" ca="1" si="2"/>
        <v>—</v>
      </c>
      <c r="F138" s="39" t="str">
        <f>IF(OR(NOT(ISNUMBER($D138)),$B138="—",$B138=""),"—",IF(COUNTIFS(Bookings!$B$5:$B$304,$B138,Bookings!$F$5:$F$304,$D138)-COUNTIFS(Bookings!$B$5:$B$304,$B138,Bookings!$F$5:$F$304,$D138,Bookings!$D$5:$D$304,"Cancelled")-COUNTIFS(Bookings!$B$5:$B$304,$B138,Bookings!$F$5:$F$304,$D138,Bookings!$D$5:$D$304,"Owner block")&gt;0,"SAME-DAY TURN","No same-day guest"))</f>
        <v>—</v>
      </c>
      <c r="G138" s="38" t="str">
        <f>IFERROR(IF(INDEX(Bookings!$D$5:$D$304,MATCH($A138,Bookings!$A$5:$A$304,0))="Cancelled","—",IF(INDEX(Bookings!$I$5:$I$304,MATCH($A138,Bookings!$A$5:$A$304,0))="","—",INDEX(Bookings!$I$5:$I$304,MATCH($A138,Bookings!$A$5:$A$304,0)))),"—")</f>
        <v>—</v>
      </c>
      <c r="H138" s="38" t="str">
        <f>IFERROR(IF(INDEX(Setup!$I$25:$I$36,MATCH($B138,Setup!$A$25:$A$36,0))=0,"—",INDEX(Setup!$I$25:$I$36,MATCH($B138,Setup!$A$25:$A$36,0))),"—")</f>
        <v>—</v>
      </c>
      <c r="I138" s="21" t="str">
        <f>IFERROR(IF(INDEX(Setup!$E$25:$E$36,MATCH($B138,Setup!$A$25:$A$36,0))=0,"—",INDEX(Setup!$E$25:$E$36,MATCH($B138,Setup!$A$25:$A$36,0))),"—")</f>
        <v>—</v>
      </c>
      <c r="J138" s="8"/>
      <c r="K138" s="8"/>
      <c r="L138" s="8"/>
    </row>
    <row r="139" spans="1:12" x14ac:dyDescent="0.2">
      <c r="A139" s="30">
        <v>135</v>
      </c>
      <c r="B139" s="7" t="str">
        <f>IFERROR(IF(INDEX(Bookings!$D$5:$D$304,MATCH($A139,Bookings!$A$5:$A$304,0))="Cancelled","—",IF(INDEX(Bookings!$B$5:$B$304,MATCH($A139,Bookings!$A$5:$A$304,0))="","—",INDEX(Bookings!$B$5:$B$304,MATCH($A139,Bookings!$A$5:$A$304,0)))),"—")</f>
        <v>—</v>
      </c>
      <c r="C139" s="7" t="str">
        <f>IFERROR(IF(INDEX(Bookings!$D$5:$D$304,MATCH($A139,Bookings!$A$5:$A$304,0))="Cancelled","—",IF(INDEX(Bookings!$E$5:$E$304,MATCH($A139,Bookings!$A$5:$A$304,0))="","—",INDEX(Bookings!$E$5:$E$304,MATCH($A139,Bookings!$A$5:$A$304,0)))),"—")</f>
        <v>—</v>
      </c>
      <c r="D139" s="37" t="str">
        <f>IFERROR(IF(INDEX(Bookings!$D$5:$D$304,MATCH($A139,Bookings!$A$5:$A$304,0))="Cancelled","—",IF(INDEX(Bookings!$G$5:$G$304,MATCH($A139,Bookings!$A$5:$A$304,0))="","—",INDEX(Bookings!$G$5:$G$304,MATCH($A139,Bookings!$A$5:$A$304,0)))),"—")</f>
        <v>—</v>
      </c>
      <c r="E139" s="38" t="str">
        <f t="shared" ca="1" si="2"/>
        <v>—</v>
      </c>
      <c r="F139" s="39" t="str">
        <f>IF(OR(NOT(ISNUMBER($D139)),$B139="—",$B139=""),"—",IF(COUNTIFS(Bookings!$B$5:$B$304,$B139,Bookings!$F$5:$F$304,$D139)-COUNTIFS(Bookings!$B$5:$B$304,$B139,Bookings!$F$5:$F$304,$D139,Bookings!$D$5:$D$304,"Cancelled")-COUNTIFS(Bookings!$B$5:$B$304,$B139,Bookings!$F$5:$F$304,$D139,Bookings!$D$5:$D$304,"Owner block")&gt;0,"SAME-DAY TURN","No same-day guest"))</f>
        <v>—</v>
      </c>
      <c r="G139" s="38" t="str">
        <f>IFERROR(IF(INDEX(Bookings!$D$5:$D$304,MATCH($A139,Bookings!$A$5:$A$304,0))="Cancelled","—",IF(INDEX(Bookings!$I$5:$I$304,MATCH($A139,Bookings!$A$5:$A$304,0))="","—",INDEX(Bookings!$I$5:$I$304,MATCH($A139,Bookings!$A$5:$A$304,0)))),"—")</f>
        <v>—</v>
      </c>
      <c r="H139" s="38" t="str">
        <f>IFERROR(IF(INDEX(Setup!$I$25:$I$36,MATCH($B139,Setup!$A$25:$A$36,0))=0,"—",INDEX(Setup!$I$25:$I$36,MATCH($B139,Setup!$A$25:$A$36,0))),"—")</f>
        <v>—</v>
      </c>
      <c r="I139" s="21" t="str">
        <f>IFERROR(IF(INDEX(Setup!$E$25:$E$36,MATCH($B139,Setup!$A$25:$A$36,0))=0,"—",INDEX(Setup!$E$25:$E$36,MATCH($B139,Setup!$A$25:$A$36,0))),"—")</f>
        <v>—</v>
      </c>
      <c r="J139" s="3"/>
      <c r="K139" s="3"/>
      <c r="L139" s="3"/>
    </row>
    <row r="140" spans="1:12" x14ac:dyDescent="0.2">
      <c r="A140" s="30">
        <v>136</v>
      </c>
      <c r="B140" s="7" t="str">
        <f>IFERROR(IF(INDEX(Bookings!$D$5:$D$304,MATCH($A140,Bookings!$A$5:$A$304,0))="Cancelled","—",IF(INDEX(Bookings!$B$5:$B$304,MATCH($A140,Bookings!$A$5:$A$304,0))="","—",INDEX(Bookings!$B$5:$B$304,MATCH($A140,Bookings!$A$5:$A$304,0)))),"—")</f>
        <v>—</v>
      </c>
      <c r="C140" s="7" t="str">
        <f>IFERROR(IF(INDEX(Bookings!$D$5:$D$304,MATCH($A140,Bookings!$A$5:$A$304,0))="Cancelled","—",IF(INDEX(Bookings!$E$5:$E$304,MATCH($A140,Bookings!$A$5:$A$304,0))="","—",INDEX(Bookings!$E$5:$E$304,MATCH($A140,Bookings!$A$5:$A$304,0)))),"—")</f>
        <v>—</v>
      </c>
      <c r="D140" s="37" t="str">
        <f>IFERROR(IF(INDEX(Bookings!$D$5:$D$304,MATCH($A140,Bookings!$A$5:$A$304,0))="Cancelled","—",IF(INDEX(Bookings!$G$5:$G$304,MATCH($A140,Bookings!$A$5:$A$304,0))="","—",INDEX(Bookings!$G$5:$G$304,MATCH($A140,Bookings!$A$5:$A$304,0)))),"—")</f>
        <v>—</v>
      </c>
      <c r="E140" s="38" t="str">
        <f t="shared" ca="1" si="2"/>
        <v>—</v>
      </c>
      <c r="F140" s="39" t="str">
        <f>IF(OR(NOT(ISNUMBER($D140)),$B140="—",$B140=""),"—",IF(COUNTIFS(Bookings!$B$5:$B$304,$B140,Bookings!$F$5:$F$304,$D140)-COUNTIFS(Bookings!$B$5:$B$304,$B140,Bookings!$F$5:$F$304,$D140,Bookings!$D$5:$D$304,"Cancelled")-COUNTIFS(Bookings!$B$5:$B$304,$B140,Bookings!$F$5:$F$304,$D140,Bookings!$D$5:$D$304,"Owner block")&gt;0,"SAME-DAY TURN","No same-day guest"))</f>
        <v>—</v>
      </c>
      <c r="G140" s="38" t="str">
        <f>IFERROR(IF(INDEX(Bookings!$D$5:$D$304,MATCH($A140,Bookings!$A$5:$A$304,0))="Cancelled","—",IF(INDEX(Bookings!$I$5:$I$304,MATCH($A140,Bookings!$A$5:$A$304,0))="","—",INDEX(Bookings!$I$5:$I$304,MATCH($A140,Bookings!$A$5:$A$304,0)))),"—")</f>
        <v>—</v>
      </c>
      <c r="H140" s="38" t="str">
        <f>IFERROR(IF(INDEX(Setup!$I$25:$I$36,MATCH($B140,Setup!$A$25:$A$36,0))=0,"—",INDEX(Setup!$I$25:$I$36,MATCH($B140,Setup!$A$25:$A$36,0))),"—")</f>
        <v>—</v>
      </c>
      <c r="I140" s="21" t="str">
        <f>IFERROR(IF(INDEX(Setup!$E$25:$E$36,MATCH($B140,Setup!$A$25:$A$36,0))=0,"—",INDEX(Setup!$E$25:$E$36,MATCH($B140,Setup!$A$25:$A$36,0))),"—")</f>
        <v>—</v>
      </c>
      <c r="J140" s="8"/>
      <c r="K140" s="8"/>
      <c r="L140" s="8"/>
    </row>
    <row r="141" spans="1:12" x14ac:dyDescent="0.2">
      <c r="A141" s="30">
        <v>137</v>
      </c>
      <c r="B141" s="7" t="str">
        <f>IFERROR(IF(INDEX(Bookings!$D$5:$D$304,MATCH($A141,Bookings!$A$5:$A$304,0))="Cancelled","—",IF(INDEX(Bookings!$B$5:$B$304,MATCH($A141,Bookings!$A$5:$A$304,0))="","—",INDEX(Bookings!$B$5:$B$304,MATCH($A141,Bookings!$A$5:$A$304,0)))),"—")</f>
        <v>—</v>
      </c>
      <c r="C141" s="7" t="str">
        <f>IFERROR(IF(INDEX(Bookings!$D$5:$D$304,MATCH($A141,Bookings!$A$5:$A$304,0))="Cancelled","—",IF(INDEX(Bookings!$E$5:$E$304,MATCH($A141,Bookings!$A$5:$A$304,0))="","—",INDEX(Bookings!$E$5:$E$304,MATCH($A141,Bookings!$A$5:$A$304,0)))),"—")</f>
        <v>—</v>
      </c>
      <c r="D141" s="37" t="str">
        <f>IFERROR(IF(INDEX(Bookings!$D$5:$D$304,MATCH($A141,Bookings!$A$5:$A$304,0))="Cancelled","—",IF(INDEX(Bookings!$G$5:$G$304,MATCH($A141,Bookings!$A$5:$A$304,0))="","—",INDEX(Bookings!$G$5:$G$304,MATCH($A141,Bookings!$A$5:$A$304,0)))),"—")</f>
        <v>—</v>
      </c>
      <c r="E141" s="38" t="str">
        <f t="shared" ca="1" si="2"/>
        <v>—</v>
      </c>
      <c r="F141" s="39" t="str">
        <f>IF(OR(NOT(ISNUMBER($D141)),$B141="—",$B141=""),"—",IF(COUNTIFS(Bookings!$B$5:$B$304,$B141,Bookings!$F$5:$F$304,$D141)-COUNTIFS(Bookings!$B$5:$B$304,$B141,Bookings!$F$5:$F$304,$D141,Bookings!$D$5:$D$304,"Cancelled")-COUNTIFS(Bookings!$B$5:$B$304,$B141,Bookings!$F$5:$F$304,$D141,Bookings!$D$5:$D$304,"Owner block")&gt;0,"SAME-DAY TURN","No same-day guest"))</f>
        <v>—</v>
      </c>
      <c r="G141" s="38" t="str">
        <f>IFERROR(IF(INDEX(Bookings!$D$5:$D$304,MATCH($A141,Bookings!$A$5:$A$304,0))="Cancelled","—",IF(INDEX(Bookings!$I$5:$I$304,MATCH($A141,Bookings!$A$5:$A$304,0))="","—",INDEX(Bookings!$I$5:$I$304,MATCH($A141,Bookings!$A$5:$A$304,0)))),"—")</f>
        <v>—</v>
      </c>
      <c r="H141" s="38" t="str">
        <f>IFERROR(IF(INDEX(Setup!$I$25:$I$36,MATCH($B141,Setup!$A$25:$A$36,0))=0,"—",INDEX(Setup!$I$25:$I$36,MATCH($B141,Setup!$A$25:$A$36,0))),"—")</f>
        <v>—</v>
      </c>
      <c r="I141" s="21" t="str">
        <f>IFERROR(IF(INDEX(Setup!$E$25:$E$36,MATCH($B141,Setup!$A$25:$A$36,0))=0,"—",INDEX(Setup!$E$25:$E$36,MATCH($B141,Setup!$A$25:$A$36,0))),"—")</f>
        <v>—</v>
      </c>
      <c r="J141" s="3"/>
      <c r="K141" s="3"/>
      <c r="L141" s="3"/>
    </row>
    <row r="142" spans="1:12" x14ac:dyDescent="0.2">
      <c r="A142" s="30">
        <v>138</v>
      </c>
      <c r="B142" s="7" t="str">
        <f>IFERROR(IF(INDEX(Bookings!$D$5:$D$304,MATCH($A142,Bookings!$A$5:$A$304,0))="Cancelled","—",IF(INDEX(Bookings!$B$5:$B$304,MATCH($A142,Bookings!$A$5:$A$304,0))="","—",INDEX(Bookings!$B$5:$B$304,MATCH($A142,Bookings!$A$5:$A$304,0)))),"—")</f>
        <v>—</v>
      </c>
      <c r="C142" s="7" t="str">
        <f>IFERROR(IF(INDEX(Bookings!$D$5:$D$304,MATCH($A142,Bookings!$A$5:$A$304,0))="Cancelled","—",IF(INDEX(Bookings!$E$5:$E$304,MATCH($A142,Bookings!$A$5:$A$304,0))="","—",INDEX(Bookings!$E$5:$E$304,MATCH($A142,Bookings!$A$5:$A$304,0)))),"—")</f>
        <v>—</v>
      </c>
      <c r="D142" s="37" t="str">
        <f>IFERROR(IF(INDEX(Bookings!$D$5:$D$304,MATCH($A142,Bookings!$A$5:$A$304,0))="Cancelled","—",IF(INDEX(Bookings!$G$5:$G$304,MATCH($A142,Bookings!$A$5:$A$304,0))="","—",INDEX(Bookings!$G$5:$G$304,MATCH($A142,Bookings!$A$5:$A$304,0)))),"—")</f>
        <v>—</v>
      </c>
      <c r="E142" s="38" t="str">
        <f t="shared" ca="1" si="2"/>
        <v>—</v>
      </c>
      <c r="F142" s="39" t="str">
        <f>IF(OR(NOT(ISNUMBER($D142)),$B142="—",$B142=""),"—",IF(COUNTIFS(Bookings!$B$5:$B$304,$B142,Bookings!$F$5:$F$304,$D142)-COUNTIFS(Bookings!$B$5:$B$304,$B142,Bookings!$F$5:$F$304,$D142,Bookings!$D$5:$D$304,"Cancelled")-COUNTIFS(Bookings!$B$5:$B$304,$B142,Bookings!$F$5:$F$304,$D142,Bookings!$D$5:$D$304,"Owner block")&gt;0,"SAME-DAY TURN","No same-day guest"))</f>
        <v>—</v>
      </c>
      <c r="G142" s="38" t="str">
        <f>IFERROR(IF(INDEX(Bookings!$D$5:$D$304,MATCH($A142,Bookings!$A$5:$A$304,0))="Cancelled","—",IF(INDEX(Bookings!$I$5:$I$304,MATCH($A142,Bookings!$A$5:$A$304,0))="","—",INDEX(Bookings!$I$5:$I$304,MATCH($A142,Bookings!$A$5:$A$304,0)))),"—")</f>
        <v>—</v>
      </c>
      <c r="H142" s="38" t="str">
        <f>IFERROR(IF(INDEX(Setup!$I$25:$I$36,MATCH($B142,Setup!$A$25:$A$36,0))=0,"—",INDEX(Setup!$I$25:$I$36,MATCH($B142,Setup!$A$25:$A$36,0))),"—")</f>
        <v>—</v>
      </c>
      <c r="I142" s="21" t="str">
        <f>IFERROR(IF(INDEX(Setup!$E$25:$E$36,MATCH($B142,Setup!$A$25:$A$36,0))=0,"—",INDEX(Setup!$E$25:$E$36,MATCH($B142,Setup!$A$25:$A$36,0))),"—")</f>
        <v>—</v>
      </c>
      <c r="J142" s="8"/>
      <c r="K142" s="8"/>
      <c r="L142" s="8"/>
    </row>
    <row r="143" spans="1:12" x14ac:dyDescent="0.2">
      <c r="A143" s="30">
        <v>139</v>
      </c>
      <c r="B143" s="7" t="str">
        <f>IFERROR(IF(INDEX(Bookings!$D$5:$D$304,MATCH($A143,Bookings!$A$5:$A$304,0))="Cancelled","—",IF(INDEX(Bookings!$B$5:$B$304,MATCH($A143,Bookings!$A$5:$A$304,0))="","—",INDEX(Bookings!$B$5:$B$304,MATCH($A143,Bookings!$A$5:$A$304,0)))),"—")</f>
        <v>—</v>
      </c>
      <c r="C143" s="7" t="str">
        <f>IFERROR(IF(INDEX(Bookings!$D$5:$D$304,MATCH($A143,Bookings!$A$5:$A$304,0))="Cancelled","—",IF(INDEX(Bookings!$E$5:$E$304,MATCH($A143,Bookings!$A$5:$A$304,0))="","—",INDEX(Bookings!$E$5:$E$304,MATCH($A143,Bookings!$A$5:$A$304,0)))),"—")</f>
        <v>—</v>
      </c>
      <c r="D143" s="37" t="str">
        <f>IFERROR(IF(INDEX(Bookings!$D$5:$D$304,MATCH($A143,Bookings!$A$5:$A$304,0))="Cancelled","—",IF(INDEX(Bookings!$G$5:$G$304,MATCH($A143,Bookings!$A$5:$A$304,0))="","—",INDEX(Bookings!$G$5:$G$304,MATCH($A143,Bookings!$A$5:$A$304,0)))),"—")</f>
        <v>—</v>
      </c>
      <c r="E143" s="38" t="str">
        <f t="shared" ca="1" si="2"/>
        <v>—</v>
      </c>
      <c r="F143" s="39" t="str">
        <f>IF(OR(NOT(ISNUMBER($D143)),$B143="—",$B143=""),"—",IF(COUNTIFS(Bookings!$B$5:$B$304,$B143,Bookings!$F$5:$F$304,$D143)-COUNTIFS(Bookings!$B$5:$B$304,$B143,Bookings!$F$5:$F$304,$D143,Bookings!$D$5:$D$304,"Cancelled")-COUNTIFS(Bookings!$B$5:$B$304,$B143,Bookings!$F$5:$F$304,$D143,Bookings!$D$5:$D$304,"Owner block")&gt;0,"SAME-DAY TURN","No same-day guest"))</f>
        <v>—</v>
      </c>
      <c r="G143" s="38" t="str">
        <f>IFERROR(IF(INDEX(Bookings!$D$5:$D$304,MATCH($A143,Bookings!$A$5:$A$304,0))="Cancelled","—",IF(INDEX(Bookings!$I$5:$I$304,MATCH($A143,Bookings!$A$5:$A$304,0))="","—",INDEX(Bookings!$I$5:$I$304,MATCH($A143,Bookings!$A$5:$A$304,0)))),"—")</f>
        <v>—</v>
      </c>
      <c r="H143" s="38" t="str">
        <f>IFERROR(IF(INDEX(Setup!$I$25:$I$36,MATCH($B143,Setup!$A$25:$A$36,0))=0,"—",INDEX(Setup!$I$25:$I$36,MATCH($B143,Setup!$A$25:$A$36,0))),"—")</f>
        <v>—</v>
      </c>
      <c r="I143" s="21" t="str">
        <f>IFERROR(IF(INDEX(Setup!$E$25:$E$36,MATCH($B143,Setup!$A$25:$A$36,0))=0,"—",INDEX(Setup!$E$25:$E$36,MATCH($B143,Setup!$A$25:$A$36,0))),"—")</f>
        <v>—</v>
      </c>
      <c r="J143" s="3"/>
      <c r="K143" s="3"/>
      <c r="L143" s="3"/>
    </row>
    <row r="144" spans="1:12" x14ac:dyDescent="0.2">
      <c r="A144" s="30">
        <v>140</v>
      </c>
      <c r="B144" s="7" t="str">
        <f>IFERROR(IF(INDEX(Bookings!$D$5:$D$304,MATCH($A144,Bookings!$A$5:$A$304,0))="Cancelled","—",IF(INDEX(Bookings!$B$5:$B$304,MATCH($A144,Bookings!$A$5:$A$304,0))="","—",INDEX(Bookings!$B$5:$B$304,MATCH($A144,Bookings!$A$5:$A$304,0)))),"—")</f>
        <v>—</v>
      </c>
      <c r="C144" s="7" t="str">
        <f>IFERROR(IF(INDEX(Bookings!$D$5:$D$304,MATCH($A144,Bookings!$A$5:$A$304,0))="Cancelled","—",IF(INDEX(Bookings!$E$5:$E$304,MATCH($A144,Bookings!$A$5:$A$304,0))="","—",INDEX(Bookings!$E$5:$E$304,MATCH($A144,Bookings!$A$5:$A$304,0)))),"—")</f>
        <v>—</v>
      </c>
      <c r="D144" s="37" t="str">
        <f>IFERROR(IF(INDEX(Bookings!$D$5:$D$304,MATCH($A144,Bookings!$A$5:$A$304,0))="Cancelled","—",IF(INDEX(Bookings!$G$5:$G$304,MATCH($A144,Bookings!$A$5:$A$304,0))="","—",INDEX(Bookings!$G$5:$G$304,MATCH($A144,Bookings!$A$5:$A$304,0)))),"—")</f>
        <v>—</v>
      </c>
      <c r="E144" s="38" t="str">
        <f t="shared" ca="1" si="2"/>
        <v>—</v>
      </c>
      <c r="F144" s="39" t="str">
        <f>IF(OR(NOT(ISNUMBER($D144)),$B144="—",$B144=""),"—",IF(COUNTIFS(Bookings!$B$5:$B$304,$B144,Bookings!$F$5:$F$304,$D144)-COUNTIFS(Bookings!$B$5:$B$304,$B144,Bookings!$F$5:$F$304,$D144,Bookings!$D$5:$D$304,"Cancelled")-COUNTIFS(Bookings!$B$5:$B$304,$B144,Bookings!$F$5:$F$304,$D144,Bookings!$D$5:$D$304,"Owner block")&gt;0,"SAME-DAY TURN","No same-day guest"))</f>
        <v>—</v>
      </c>
      <c r="G144" s="38" t="str">
        <f>IFERROR(IF(INDEX(Bookings!$D$5:$D$304,MATCH($A144,Bookings!$A$5:$A$304,0))="Cancelled","—",IF(INDEX(Bookings!$I$5:$I$304,MATCH($A144,Bookings!$A$5:$A$304,0))="","—",INDEX(Bookings!$I$5:$I$304,MATCH($A144,Bookings!$A$5:$A$304,0)))),"—")</f>
        <v>—</v>
      </c>
      <c r="H144" s="38" t="str">
        <f>IFERROR(IF(INDEX(Setup!$I$25:$I$36,MATCH($B144,Setup!$A$25:$A$36,0))=0,"—",INDEX(Setup!$I$25:$I$36,MATCH($B144,Setup!$A$25:$A$36,0))),"—")</f>
        <v>—</v>
      </c>
      <c r="I144" s="21" t="str">
        <f>IFERROR(IF(INDEX(Setup!$E$25:$E$36,MATCH($B144,Setup!$A$25:$A$36,0))=0,"—",INDEX(Setup!$E$25:$E$36,MATCH($B144,Setup!$A$25:$A$36,0))),"—")</f>
        <v>—</v>
      </c>
      <c r="J144" s="8"/>
      <c r="K144" s="8"/>
      <c r="L144" s="8"/>
    </row>
    <row r="145" spans="1:12" x14ac:dyDescent="0.2">
      <c r="A145" s="30">
        <v>141</v>
      </c>
      <c r="B145" s="7" t="str">
        <f>IFERROR(IF(INDEX(Bookings!$D$5:$D$304,MATCH($A145,Bookings!$A$5:$A$304,0))="Cancelled","—",IF(INDEX(Bookings!$B$5:$B$304,MATCH($A145,Bookings!$A$5:$A$304,0))="","—",INDEX(Bookings!$B$5:$B$304,MATCH($A145,Bookings!$A$5:$A$304,0)))),"—")</f>
        <v>—</v>
      </c>
      <c r="C145" s="7" t="str">
        <f>IFERROR(IF(INDEX(Bookings!$D$5:$D$304,MATCH($A145,Bookings!$A$5:$A$304,0))="Cancelled","—",IF(INDEX(Bookings!$E$5:$E$304,MATCH($A145,Bookings!$A$5:$A$304,0))="","—",INDEX(Bookings!$E$5:$E$304,MATCH($A145,Bookings!$A$5:$A$304,0)))),"—")</f>
        <v>—</v>
      </c>
      <c r="D145" s="37" t="str">
        <f>IFERROR(IF(INDEX(Bookings!$D$5:$D$304,MATCH($A145,Bookings!$A$5:$A$304,0))="Cancelled","—",IF(INDEX(Bookings!$G$5:$G$304,MATCH($A145,Bookings!$A$5:$A$304,0))="","—",INDEX(Bookings!$G$5:$G$304,MATCH($A145,Bookings!$A$5:$A$304,0)))),"—")</f>
        <v>—</v>
      </c>
      <c r="E145" s="38" t="str">
        <f t="shared" ca="1" si="2"/>
        <v>—</v>
      </c>
      <c r="F145" s="39" t="str">
        <f>IF(OR(NOT(ISNUMBER($D145)),$B145="—",$B145=""),"—",IF(COUNTIFS(Bookings!$B$5:$B$304,$B145,Bookings!$F$5:$F$304,$D145)-COUNTIFS(Bookings!$B$5:$B$304,$B145,Bookings!$F$5:$F$304,$D145,Bookings!$D$5:$D$304,"Cancelled")-COUNTIFS(Bookings!$B$5:$B$304,$B145,Bookings!$F$5:$F$304,$D145,Bookings!$D$5:$D$304,"Owner block")&gt;0,"SAME-DAY TURN","No same-day guest"))</f>
        <v>—</v>
      </c>
      <c r="G145" s="38" t="str">
        <f>IFERROR(IF(INDEX(Bookings!$D$5:$D$304,MATCH($A145,Bookings!$A$5:$A$304,0))="Cancelled","—",IF(INDEX(Bookings!$I$5:$I$304,MATCH($A145,Bookings!$A$5:$A$304,0))="","—",INDEX(Bookings!$I$5:$I$304,MATCH($A145,Bookings!$A$5:$A$304,0)))),"—")</f>
        <v>—</v>
      </c>
      <c r="H145" s="38" t="str">
        <f>IFERROR(IF(INDEX(Setup!$I$25:$I$36,MATCH($B145,Setup!$A$25:$A$36,0))=0,"—",INDEX(Setup!$I$25:$I$36,MATCH($B145,Setup!$A$25:$A$36,0))),"—")</f>
        <v>—</v>
      </c>
      <c r="I145" s="21" t="str">
        <f>IFERROR(IF(INDEX(Setup!$E$25:$E$36,MATCH($B145,Setup!$A$25:$A$36,0))=0,"—",INDEX(Setup!$E$25:$E$36,MATCH($B145,Setup!$A$25:$A$36,0))),"—")</f>
        <v>—</v>
      </c>
      <c r="J145" s="3"/>
      <c r="K145" s="3"/>
      <c r="L145" s="3"/>
    </row>
    <row r="146" spans="1:12" x14ac:dyDescent="0.2">
      <c r="A146" s="30">
        <v>142</v>
      </c>
      <c r="B146" s="7" t="str">
        <f>IFERROR(IF(INDEX(Bookings!$D$5:$D$304,MATCH($A146,Bookings!$A$5:$A$304,0))="Cancelled","—",IF(INDEX(Bookings!$B$5:$B$304,MATCH($A146,Bookings!$A$5:$A$304,0))="","—",INDEX(Bookings!$B$5:$B$304,MATCH($A146,Bookings!$A$5:$A$304,0)))),"—")</f>
        <v>—</v>
      </c>
      <c r="C146" s="7" t="str">
        <f>IFERROR(IF(INDEX(Bookings!$D$5:$D$304,MATCH($A146,Bookings!$A$5:$A$304,0))="Cancelled","—",IF(INDEX(Bookings!$E$5:$E$304,MATCH($A146,Bookings!$A$5:$A$304,0))="","—",INDEX(Bookings!$E$5:$E$304,MATCH($A146,Bookings!$A$5:$A$304,0)))),"—")</f>
        <v>—</v>
      </c>
      <c r="D146" s="37" t="str">
        <f>IFERROR(IF(INDEX(Bookings!$D$5:$D$304,MATCH($A146,Bookings!$A$5:$A$304,0))="Cancelled","—",IF(INDEX(Bookings!$G$5:$G$304,MATCH($A146,Bookings!$A$5:$A$304,0))="","—",INDEX(Bookings!$G$5:$G$304,MATCH($A146,Bookings!$A$5:$A$304,0)))),"—")</f>
        <v>—</v>
      </c>
      <c r="E146" s="38" t="str">
        <f t="shared" ca="1" si="2"/>
        <v>—</v>
      </c>
      <c r="F146" s="39" t="str">
        <f>IF(OR(NOT(ISNUMBER($D146)),$B146="—",$B146=""),"—",IF(COUNTIFS(Bookings!$B$5:$B$304,$B146,Bookings!$F$5:$F$304,$D146)-COUNTIFS(Bookings!$B$5:$B$304,$B146,Bookings!$F$5:$F$304,$D146,Bookings!$D$5:$D$304,"Cancelled")-COUNTIFS(Bookings!$B$5:$B$304,$B146,Bookings!$F$5:$F$304,$D146,Bookings!$D$5:$D$304,"Owner block")&gt;0,"SAME-DAY TURN","No same-day guest"))</f>
        <v>—</v>
      </c>
      <c r="G146" s="38" t="str">
        <f>IFERROR(IF(INDEX(Bookings!$D$5:$D$304,MATCH($A146,Bookings!$A$5:$A$304,0))="Cancelled","—",IF(INDEX(Bookings!$I$5:$I$304,MATCH($A146,Bookings!$A$5:$A$304,0))="","—",INDEX(Bookings!$I$5:$I$304,MATCH($A146,Bookings!$A$5:$A$304,0)))),"—")</f>
        <v>—</v>
      </c>
      <c r="H146" s="38" t="str">
        <f>IFERROR(IF(INDEX(Setup!$I$25:$I$36,MATCH($B146,Setup!$A$25:$A$36,0))=0,"—",INDEX(Setup!$I$25:$I$36,MATCH($B146,Setup!$A$25:$A$36,0))),"—")</f>
        <v>—</v>
      </c>
      <c r="I146" s="21" t="str">
        <f>IFERROR(IF(INDEX(Setup!$E$25:$E$36,MATCH($B146,Setup!$A$25:$A$36,0))=0,"—",INDEX(Setup!$E$25:$E$36,MATCH($B146,Setup!$A$25:$A$36,0))),"—")</f>
        <v>—</v>
      </c>
      <c r="J146" s="8"/>
      <c r="K146" s="8"/>
      <c r="L146" s="8"/>
    </row>
    <row r="147" spans="1:12" x14ac:dyDescent="0.2">
      <c r="A147" s="30">
        <v>143</v>
      </c>
      <c r="B147" s="7" t="str">
        <f>IFERROR(IF(INDEX(Bookings!$D$5:$D$304,MATCH($A147,Bookings!$A$5:$A$304,0))="Cancelled","—",IF(INDEX(Bookings!$B$5:$B$304,MATCH($A147,Bookings!$A$5:$A$304,0))="","—",INDEX(Bookings!$B$5:$B$304,MATCH($A147,Bookings!$A$5:$A$304,0)))),"—")</f>
        <v>—</v>
      </c>
      <c r="C147" s="7" t="str">
        <f>IFERROR(IF(INDEX(Bookings!$D$5:$D$304,MATCH($A147,Bookings!$A$5:$A$304,0))="Cancelled","—",IF(INDEX(Bookings!$E$5:$E$304,MATCH($A147,Bookings!$A$5:$A$304,0))="","—",INDEX(Bookings!$E$5:$E$304,MATCH($A147,Bookings!$A$5:$A$304,0)))),"—")</f>
        <v>—</v>
      </c>
      <c r="D147" s="37" t="str">
        <f>IFERROR(IF(INDEX(Bookings!$D$5:$D$304,MATCH($A147,Bookings!$A$5:$A$304,0))="Cancelled","—",IF(INDEX(Bookings!$G$5:$G$304,MATCH($A147,Bookings!$A$5:$A$304,0))="","—",INDEX(Bookings!$G$5:$G$304,MATCH($A147,Bookings!$A$5:$A$304,0)))),"—")</f>
        <v>—</v>
      </c>
      <c r="E147" s="38" t="str">
        <f t="shared" ca="1" si="2"/>
        <v>—</v>
      </c>
      <c r="F147" s="39" t="str">
        <f>IF(OR(NOT(ISNUMBER($D147)),$B147="—",$B147=""),"—",IF(COUNTIFS(Bookings!$B$5:$B$304,$B147,Bookings!$F$5:$F$304,$D147)-COUNTIFS(Bookings!$B$5:$B$304,$B147,Bookings!$F$5:$F$304,$D147,Bookings!$D$5:$D$304,"Cancelled")-COUNTIFS(Bookings!$B$5:$B$304,$B147,Bookings!$F$5:$F$304,$D147,Bookings!$D$5:$D$304,"Owner block")&gt;0,"SAME-DAY TURN","No same-day guest"))</f>
        <v>—</v>
      </c>
      <c r="G147" s="38" t="str">
        <f>IFERROR(IF(INDEX(Bookings!$D$5:$D$304,MATCH($A147,Bookings!$A$5:$A$304,0))="Cancelled","—",IF(INDEX(Bookings!$I$5:$I$304,MATCH($A147,Bookings!$A$5:$A$304,0))="","—",INDEX(Bookings!$I$5:$I$304,MATCH($A147,Bookings!$A$5:$A$304,0)))),"—")</f>
        <v>—</v>
      </c>
      <c r="H147" s="38" t="str">
        <f>IFERROR(IF(INDEX(Setup!$I$25:$I$36,MATCH($B147,Setup!$A$25:$A$36,0))=0,"—",INDEX(Setup!$I$25:$I$36,MATCH($B147,Setup!$A$25:$A$36,0))),"—")</f>
        <v>—</v>
      </c>
      <c r="I147" s="21" t="str">
        <f>IFERROR(IF(INDEX(Setup!$E$25:$E$36,MATCH($B147,Setup!$A$25:$A$36,0))=0,"—",INDEX(Setup!$E$25:$E$36,MATCH($B147,Setup!$A$25:$A$36,0))),"—")</f>
        <v>—</v>
      </c>
      <c r="J147" s="3"/>
      <c r="K147" s="3"/>
      <c r="L147" s="3"/>
    </row>
    <row r="148" spans="1:12" x14ac:dyDescent="0.2">
      <c r="A148" s="30">
        <v>144</v>
      </c>
      <c r="B148" s="7" t="str">
        <f>IFERROR(IF(INDEX(Bookings!$D$5:$D$304,MATCH($A148,Bookings!$A$5:$A$304,0))="Cancelled","—",IF(INDEX(Bookings!$B$5:$B$304,MATCH($A148,Bookings!$A$5:$A$304,0))="","—",INDEX(Bookings!$B$5:$B$304,MATCH($A148,Bookings!$A$5:$A$304,0)))),"—")</f>
        <v>—</v>
      </c>
      <c r="C148" s="7" t="str">
        <f>IFERROR(IF(INDEX(Bookings!$D$5:$D$304,MATCH($A148,Bookings!$A$5:$A$304,0))="Cancelled","—",IF(INDEX(Bookings!$E$5:$E$304,MATCH($A148,Bookings!$A$5:$A$304,0))="","—",INDEX(Bookings!$E$5:$E$304,MATCH($A148,Bookings!$A$5:$A$304,0)))),"—")</f>
        <v>—</v>
      </c>
      <c r="D148" s="37" t="str">
        <f>IFERROR(IF(INDEX(Bookings!$D$5:$D$304,MATCH($A148,Bookings!$A$5:$A$304,0))="Cancelled","—",IF(INDEX(Bookings!$G$5:$G$304,MATCH($A148,Bookings!$A$5:$A$304,0))="","—",INDEX(Bookings!$G$5:$G$304,MATCH($A148,Bookings!$A$5:$A$304,0)))),"—")</f>
        <v>—</v>
      </c>
      <c r="E148" s="38" t="str">
        <f t="shared" ca="1" si="2"/>
        <v>—</v>
      </c>
      <c r="F148" s="39" t="str">
        <f>IF(OR(NOT(ISNUMBER($D148)),$B148="—",$B148=""),"—",IF(COUNTIFS(Bookings!$B$5:$B$304,$B148,Bookings!$F$5:$F$304,$D148)-COUNTIFS(Bookings!$B$5:$B$304,$B148,Bookings!$F$5:$F$304,$D148,Bookings!$D$5:$D$304,"Cancelled")-COUNTIFS(Bookings!$B$5:$B$304,$B148,Bookings!$F$5:$F$304,$D148,Bookings!$D$5:$D$304,"Owner block")&gt;0,"SAME-DAY TURN","No same-day guest"))</f>
        <v>—</v>
      </c>
      <c r="G148" s="38" t="str">
        <f>IFERROR(IF(INDEX(Bookings!$D$5:$D$304,MATCH($A148,Bookings!$A$5:$A$304,0))="Cancelled","—",IF(INDEX(Bookings!$I$5:$I$304,MATCH($A148,Bookings!$A$5:$A$304,0))="","—",INDEX(Bookings!$I$5:$I$304,MATCH($A148,Bookings!$A$5:$A$304,0)))),"—")</f>
        <v>—</v>
      </c>
      <c r="H148" s="38" t="str">
        <f>IFERROR(IF(INDEX(Setup!$I$25:$I$36,MATCH($B148,Setup!$A$25:$A$36,0))=0,"—",INDEX(Setup!$I$25:$I$36,MATCH($B148,Setup!$A$25:$A$36,0))),"—")</f>
        <v>—</v>
      </c>
      <c r="I148" s="21" t="str">
        <f>IFERROR(IF(INDEX(Setup!$E$25:$E$36,MATCH($B148,Setup!$A$25:$A$36,0))=0,"—",INDEX(Setup!$E$25:$E$36,MATCH($B148,Setup!$A$25:$A$36,0))),"—")</f>
        <v>—</v>
      </c>
      <c r="J148" s="8"/>
      <c r="K148" s="8"/>
      <c r="L148" s="8"/>
    </row>
    <row r="149" spans="1:12" x14ac:dyDescent="0.2">
      <c r="A149" s="30">
        <v>145</v>
      </c>
      <c r="B149" s="7" t="str">
        <f>IFERROR(IF(INDEX(Bookings!$D$5:$D$304,MATCH($A149,Bookings!$A$5:$A$304,0))="Cancelled","—",IF(INDEX(Bookings!$B$5:$B$304,MATCH($A149,Bookings!$A$5:$A$304,0))="","—",INDEX(Bookings!$B$5:$B$304,MATCH($A149,Bookings!$A$5:$A$304,0)))),"—")</f>
        <v>—</v>
      </c>
      <c r="C149" s="7" t="str">
        <f>IFERROR(IF(INDEX(Bookings!$D$5:$D$304,MATCH($A149,Bookings!$A$5:$A$304,0))="Cancelled","—",IF(INDEX(Bookings!$E$5:$E$304,MATCH($A149,Bookings!$A$5:$A$304,0))="","—",INDEX(Bookings!$E$5:$E$304,MATCH($A149,Bookings!$A$5:$A$304,0)))),"—")</f>
        <v>—</v>
      </c>
      <c r="D149" s="37" t="str">
        <f>IFERROR(IF(INDEX(Bookings!$D$5:$D$304,MATCH($A149,Bookings!$A$5:$A$304,0))="Cancelled","—",IF(INDEX(Bookings!$G$5:$G$304,MATCH($A149,Bookings!$A$5:$A$304,0))="","—",INDEX(Bookings!$G$5:$G$304,MATCH($A149,Bookings!$A$5:$A$304,0)))),"—")</f>
        <v>—</v>
      </c>
      <c r="E149" s="38" t="str">
        <f t="shared" ca="1" si="2"/>
        <v>—</v>
      </c>
      <c r="F149" s="39" t="str">
        <f>IF(OR(NOT(ISNUMBER($D149)),$B149="—",$B149=""),"—",IF(COUNTIFS(Bookings!$B$5:$B$304,$B149,Bookings!$F$5:$F$304,$D149)-COUNTIFS(Bookings!$B$5:$B$304,$B149,Bookings!$F$5:$F$304,$D149,Bookings!$D$5:$D$304,"Cancelled")-COUNTIFS(Bookings!$B$5:$B$304,$B149,Bookings!$F$5:$F$304,$D149,Bookings!$D$5:$D$304,"Owner block")&gt;0,"SAME-DAY TURN","No same-day guest"))</f>
        <v>—</v>
      </c>
      <c r="G149" s="38" t="str">
        <f>IFERROR(IF(INDEX(Bookings!$D$5:$D$304,MATCH($A149,Bookings!$A$5:$A$304,0))="Cancelled","—",IF(INDEX(Bookings!$I$5:$I$304,MATCH($A149,Bookings!$A$5:$A$304,0))="","—",INDEX(Bookings!$I$5:$I$304,MATCH($A149,Bookings!$A$5:$A$304,0)))),"—")</f>
        <v>—</v>
      </c>
      <c r="H149" s="38" t="str">
        <f>IFERROR(IF(INDEX(Setup!$I$25:$I$36,MATCH($B149,Setup!$A$25:$A$36,0))=0,"—",INDEX(Setup!$I$25:$I$36,MATCH($B149,Setup!$A$25:$A$36,0))),"—")</f>
        <v>—</v>
      </c>
      <c r="I149" s="21" t="str">
        <f>IFERROR(IF(INDEX(Setup!$E$25:$E$36,MATCH($B149,Setup!$A$25:$A$36,0))=0,"—",INDEX(Setup!$E$25:$E$36,MATCH($B149,Setup!$A$25:$A$36,0))),"—")</f>
        <v>—</v>
      </c>
      <c r="J149" s="3"/>
      <c r="K149" s="3"/>
      <c r="L149" s="3"/>
    </row>
    <row r="150" spans="1:12" x14ac:dyDescent="0.2">
      <c r="A150" s="30">
        <v>146</v>
      </c>
      <c r="B150" s="7" t="str">
        <f>IFERROR(IF(INDEX(Bookings!$D$5:$D$304,MATCH($A150,Bookings!$A$5:$A$304,0))="Cancelled","—",IF(INDEX(Bookings!$B$5:$B$304,MATCH($A150,Bookings!$A$5:$A$304,0))="","—",INDEX(Bookings!$B$5:$B$304,MATCH($A150,Bookings!$A$5:$A$304,0)))),"—")</f>
        <v>—</v>
      </c>
      <c r="C150" s="7" t="str">
        <f>IFERROR(IF(INDEX(Bookings!$D$5:$D$304,MATCH($A150,Bookings!$A$5:$A$304,0))="Cancelled","—",IF(INDEX(Bookings!$E$5:$E$304,MATCH($A150,Bookings!$A$5:$A$304,0))="","—",INDEX(Bookings!$E$5:$E$304,MATCH($A150,Bookings!$A$5:$A$304,0)))),"—")</f>
        <v>—</v>
      </c>
      <c r="D150" s="37" t="str">
        <f>IFERROR(IF(INDEX(Bookings!$D$5:$D$304,MATCH($A150,Bookings!$A$5:$A$304,0))="Cancelled","—",IF(INDEX(Bookings!$G$5:$G$304,MATCH($A150,Bookings!$A$5:$A$304,0))="","—",INDEX(Bookings!$G$5:$G$304,MATCH($A150,Bookings!$A$5:$A$304,0)))),"—")</f>
        <v>—</v>
      </c>
      <c r="E150" s="38" t="str">
        <f t="shared" ca="1" si="2"/>
        <v>—</v>
      </c>
      <c r="F150" s="39" t="str">
        <f>IF(OR(NOT(ISNUMBER($D150)),$B150="—",$B150=""),"—",IF(COUNTIFS(Bookings!$B$5:$B$304,$B150,Bookings!$F$5:$F$304,$D150)-COUNTIFS(Bookings!$B$5:$B$304,$B150,Bookings!$F$5:$F$304,$D150,Bookings!$D$5:$D$304,"Cancelled")-COUNTIFS(Bookings!$B$5:$B$304,$B150,Bookings!$F$5:$F$304,$D150,Bookings!$D$5:$D$304,"Owner block")&gt;0,"SAME-DAY TURN","No same-day guest"))</f>
        <v>—</v>
      </c>
      <c r="G150" s="38" t="str">
        <f>IFERROR(IF(INDEX(Bookings!$D$5:$D$304,MATCH($A150,Bookings!$A$5:$A$304,0))="Cancelled","—",IF(INDEX(Bookings!$I$5:$I$304,MATCH($A150,Bookings!$A$5:$A$304,0))="","—",INDEX(Bookings!$I$5:$I$304,MATCH($A150,Bookings!$A$5:$A$304,0)))),"—")</f>
        <v>—</v>
      </c>
      <c r="H150" s="38" t="str">
        <f>IFERROR(IF(INDEX(Setup!$I$25:$I$36,MATCH($B150,Setup!$A$25:$A$36,0))=0,"—",INDEX(Setup!$I$25:$I$36,MATCH($B150,Setup!$A$25:$A$36,0))),"—")</f>
        <v>—</v>
      </c>
      <c r="I150" s="21" t="str">
        <f>IFERROR(IF(INDEX(Setup!$E$25:$E$36,MATCH($B150,Setup!$A$25:$A$36,0))=0,"—",INDEX(Setup!$E$25:$E$36,MATCH($B150,Setup!$A$25:$A$36,0))),"—")</f>
        <v>—</v>
      </c>
      <c r="J150" s="8"/>
      <c r="K150" s="8"/>
      <c r="L150" s="8"/>
    </row>
    <row r="151" spans="1:12" x14ac:dyDescent="0.2">
      <c r="A151" s="30">
        <v>147</v>
      </c>
      <c r="B151" s="7" t="str">
        <f>IFERROR(IF(INDEX(Bookings!$D$5:$D$304,MATCH($A151,Bookings!$A$5:$A$304,0))="Cancelled","—",IF(INDEX(Bookings!$B$5:$B$304,MATCH($A151,Bookings!$A$5:$A$304,0))="","—",INDEX(Bookings!$B$5:$B$304,MATCH($A151,Bookings!$A$5:$A$304,0)))),"—")</f>
        <v>—</v>
      </c>
      <c r="C151" s="7" t="str">
        <f>IFERROR(IF(INDEX(Bookings!$D$5:$D$304,MATCH($A151,Bookings!$A$5:$A$304,0))="Cancelled","—",IF(INDEX(Bookings!$E$5:$E$304,MATCH($A151,Bookings!$A$5:$A$304,0))="","—",INDEX(Bookings!$E$5:$E$304,MATCH($A151,Bookings!$A$5:$A$304,0)))),"—")</f>
        <v>—</v>
      </c>
      <c r="D151" s="37" t="str">
        <f>IFERROR(IF(INDEX(Bookings!$D$5:$D$304,MATCH($A151,Bookings!$A$5:$A$304,0))="Cancelled","—",IF(INDEX(Bookings!$G$5:$G$304,MATCH($A151,Bookings!$A$5:$A$304,0))="","—",INDEX(Bookings!$G$5:$G$304,MATCH($A151,Bookings!$A$5:$A$304,0)))),"—")</f>
        <v>—</v>
      </c>
      <c r="E151" s="38" t="str">
        <f t="shared" ca="1" si="2"/>
        <v>—</v>
      </c>
      <c r="F151" s="39" t="str">
        <f>IF(OR(NOT(ISNUMBER($D151)),$B151="—",$B151=""),"—",IF(COUNTIFS(Bookings!$B$5:$B$304,$B151,Bookings!$F$5:$F$304,$D151)-COUNTIFS(Bookings!$B$5:$B$304,$B151,Bookings!$F$5:$F$304,$D151,Bookings!$D$5:$D$304,"Cancelled")-COUNTIFS(Bookings!$B$5:$B$304,$B151,Bookings!$F$5:$F$304,$D151,Bookings!$D$5:$D$304,"Owner block")&gt;0,"SAME-DAY TURN","No same-day guest"))</f>
        <v>—</v>
      </c>
      <c r="G151" s="38" t="str">
        <f>IFERROR(IF(INDEX(Bookings!$D$5:$D$304,MATCH($A151,Bookings!$A$5:$A$304,0))="Cancelled","—",IF(INDEX(Bookings!$I$5:$I$304,MATCH($A151,Bookings!$A$5:$A$304,0))="","—",INDEX(Bookings!$I$5:$I$304,MATCH($A151,Bookings!$A$5:$A$304,0)))),"—")</f>
        <v>—</v>
      </c>
      <c r="H151" s="38" t="str">
        <f>IFERROR(IF(INDEX(Setup!$I$25:$I$36,MATCH($B151,Setup!$A$25:$A$36,0))=0,"—",INDEX(Setup!$I$25:$I$36,MATCH($B151,Setup!$A$25:$A$36,0))),"—")</f>
        <v>—</v>
      </c>
      <c r="I151" s="21" t="str">
        <f>IFERROR(IF(INDEX(Setup!$E$25:$E$36,MATCH($B151,Setup!$A$25:$A$36,0))=0,"—",INDEX(Setup!$E$25:$E$36,MATCH($B151,Setup!$A$25:$A$36,0))),"—")</f>
        <v>—</v>
      </c>
      <c r="J151" s="3"/>
      <c r="K151" s="3"/>
      <c r="L151" s="3"/>
    </row>
    <row r="152" spans="1:12" x14ac:dyDescent="0.2">
      <c r="A152" s="30">
        <v>148</v>
      </c>
      <c r="B152" s="7" t="str">
        <f>IFERROR(IF(INDEX(Bookings!$D$5:$D$304,MATCH($A152,Bookings!$A$5:$A$304,0))="Cancelled","—",IF(INDEX(Bookings!$B$5:$B$304,MATCH($A152,Bookings!$A$5:$A$304,0))="","—",INDEX(Bookings!$B$5:$B$304,MATCH($A152,Bookings!$A$5:$A$304,0)))),"—")</f>
        <v>—</v>
      </c>
      <c r="C152" s="7" t="str">
        <f>IFERROR(IF(INDEX(Bookings!$D$5:$D$304,MATCH($A152,Bookings!$A$5:$A$304,0))="Cancelled","—",IF(INDEX(Bookings!$E$5:$E$304,MATCH($A152,Bookings!$A$5:$A$304,0))="","—",INDEX(Bookings!$E$5:$E$304,MATCH($A152,Bookings!$A$5:$A$304,0)))),"—")</f>
        <v>—</v>
      </c>
      <c r="D152" s="37" t="str">
        <f>IFERROR(IF(INDEX(Bookings!$D$5:$D$304,MATCH($A152,Bookings!$A$5:$A$304,0))="Cancelled","—",IF(INDEX(Bookings!$G$5:$G$304,MATCH($A152,Bookings!$A$5:$A$304,0))="","—",INDEX(Bookings!$G$5:$G$304,MATCH($A152,Bookings!$A$5:$A$304,0)))),"—")</f>
        <v>—</v>
      </c>
      <c r="E152" s="38" t="str">
        <f t="shared" ca="1" si="2"/>
        <v>—</v>
      </c>
      <c r="F152" s="39" t="str">
        <f>IF(OR(NOT(ISNUMBER($D152)),$B152="—",$B152=""),"—",IF(COUNTIFS(Bookings!$B$5:$B$304,$B152,Bookings!$F$5:$F$304,$D152)-COUNTIFS(Bookings!$B$5:$B$304,$B152,Bookings!$F$5:$F$304,$D152,Bookings!$D$5:$D$304,"Cancelled")-COUNTIFS(Bookings!$B$5:$B$304,$B152,Bookings!$F$5:$F$304,$D152,Bookings!$D$5:$D$304,"Owner block")&gt;0,"SAME-DAY TURN","No same-day guest"))</f>
        <v>—</v>
      </c>
      <c r="G152" s="38" t="str">
        <f>IFERROR(IF(INDEX(Bookings!$D$5:$D$304,MATCH($A152,Bookings!$A$5:$A$304,0))="Cancelled","—",IF(INDEX(Bookings!$I$5:$I$304,MATCH($A152,Bookings!$A$5:$A$304,0))="","—",INDEX(Bookings!$I$5:$I$304,MATCH($A152,Bookings!$A$5:$A$304,0)))),"—")</f>
        <v>—</v>
      </c>
      <c r="H152" s="38" t="str">
        <f>IFERROR(IF(INDEX(Setup!$I$25:$I$36,MATCH($B152,Setup!$A$25:$A$36,0))=0,"—",INDEX(Setup!$I$25:$I$36,MATCH($B152,Setup!$A$25:$A$36,0))),"—")</f>
        <v>—</v>
      </c>
      <c r="I152" s="21" t="str">
        <f>IFERROR(IF(INDEX(Setup!$E$25:$E$36,MATCH($B152,Setup!$A$25:$A$36,0))=0,"—",INDEX(Setup!$E$25:$E$36,MATCH($B152,Setup!$A$25:$A$36,0))),"—")</f>
        <v>—</v>
      </c>
      <c r="J152" s="8"/>
      <c r="K152" s="8"/>
      <c r="L152" s="8"/>
    </row>
    <row r="153" spans="1:12" x14ac:dyDescent="0.2">
      <c r="A153" s="30">
        <v>149</v>
      </c>
      <c r="B153" s="7" t="str">
        <f>IFERROR(IF(INDEX(Bookings!$D$5:$D$304,MATCH($A153,Bookings!$A$5:$A$304,0))="Cancelled","—",IF(INDEX(Bookings!$B$5:$B$304,MATCH($A153,Bookings!$A$5:$A$304,0))="","—",INDEX(Bookings!$B$5:$B$304,MATCH($A153,Bookings!$A$5:$A$304,0)))),"—")</f>
        <v>—</v>
      </c>
      <c r="C153" s="7" t="str">
        <f>IFERROR(IF(INDEX(Bookings!$D$5:$D$304,MATCH($A153,Bookings!$A$5:$A$304,0))="Cancelled","—",IF(INDEX(Bookings!$E$5:$E$304,MATCH($A153,Bookings!$A$5:$A$304,0))="","—",INDEX(Bookings!$E$5:$E$304,MATCH($A153,Bookings!$A$5:$A$304,0)))),"—")</f>
        <v>—</v>
      </c>
      <c r="D153" s="37" t="str">
        <f>IFERROR(IF(INDEX(Bookings!$D$5:$D$304,MATCH($A153,Bookings!$A$5:$A$304,0))="Cancelled","—",IF(INDEX(Bookings!$G$5:$G$304,MATCH($A153,Bookings!$A$5:$A$304,0))="","—",INDEX(Bookings!$G$5:$G$304,MATCH($A153,Bookings!$A$5:$A$304,0)))),"—")</f>
        <v>—</v>
      </c>
      <c r="E153" s="38" t="str">
        <f t="shared" ca="1" si="2"/>
        <v>—</v>
      </c>
      <c r="F153" s="39" t="str">
        <f>IF(OR(NOT(ISNUMBER($D153)),$B153="—",$B153=""),"—",IF(COUNTIFS(Bookings!$B$5:$B$304,$B153,Bookings!$F$5:$F$304,$D153)-COUNTIFS(Bookings!$B$5:$B$304,$B153,Bookings!$F$5:$F$304,$D153,Bookings!$D$5:$D$304,"Cancelled")-COUNTIFS(Bookings!$B$5:$B$304,$B153,Bookings!$F$5:$F$304,$D153,Bookings!$D$5:$D$304,"Owner block")&gt;0,"SAME-DAY TURN","No same-day guest"))</f>
        <v>—</v>
      </c>
      <c r="G153" s="38" t="str">
        <f>IFERROR(IF(INDEX(Bookings!$D$5:$D$304,MATCH($A153,Bookings!$A$5:$A$304,0))="Cancelled","—",IF(INDEX(Bookings!$I$5:$I$304,MATCH($A153,Bookings!$A$5:$A$304,0))="","—",INDEX(Bookings!$I$5:$I$304,MATCH($A153,Bookings!$A$5:$A$304,0)))),"—")</f>
        <v>—</v>
      </c>
      <c r="H153" s="38" t="str">
        <f>IFERROR(IF(INDEX(Setup!$I$25:$I$36,MATCH($B153,Setup!$A$25:$A$36,0))=0,"—",INDEX(Setup!$I$25:$I$36,MATCH($B153,Setup!$A$25:$A$36,0))),"—")</f>
        <v>—</v>
      </c>
      <c r="I153" s="21" t="str">
        <f>IFERROR(IF(INDEX(Setup!$E$25:$E$36,MATCH($B153,Setup!$A$25:$A$36,0))=0,"—",INDEX(Setup!$E$25:$E$36,MATCH($B153,Setup!$A$25:$A$36,0))),"—")</f>
        <v>—</v>
      </c>
      <c r="J153" s="3"/>
      <c r="K153" s="3"/>
      <c r="L153" s="3"/>
    </row>
    <row r="154" spans="1:12" x14ac:dyDescent="0.2">
      <c r="A154" s="30">
        <v>150</v>
      </c>
      <c r="B154" s="7" t="str">
        <f>IFERROR(IF(INDEX(Bookings!$D$5:$D$304,MATCH($A154,Bookings!$A$5:$A$304,0))="Cancelled","—",IF(INDEX(Bookings!$B$5:$B$304,MATCH($A154,Bookings!$A$5:$A$304,0))="","—",INDEX(Bookings!$B$5:$B$304,MATCH($A154,Bookings!$A$5:$A$304,0)))),"—")</f>
        <v>—</v>
      </c>
      <c r="C154" s="7" t="str">
        <f>IFERROR(IF(INDEX(Bookings!$D$5:$D$304,MATCH($A154,Bookings!$A$5:$A$304,0))="Cancelled","—",IF(INDEX(Bookings!$E$5:$E$304,MATCH($A154,Bookings!$A$5:$A$304,0))="","—",INDEX(Bookings!$E$5:$E$304,MATCH($A154,Bookings!$A$5:$A$304,0)))),"—")</f>
        <v>—</v>
      </c>
      <c r="D154" s="37" t="str">
        <f>IFERROR(IF(INDEX(Bookings!$D$5:$D$304,MATCH($A154,Bookings!$A$5:$A$304,0))="Cancelled","—",IF(INDEX(Bookings!$G$5:$G$304,MATCH($A154,Bookings!$A$5:$A$304,0))="","—",INDEX(Bookings!$G$5:$G$304,MATCH($A154,Bookings!$A$5:$A$304,0)))),"—")</f>
        <v>—</v>
      </c>
      <c r="E154" s="38" t="str">
        <f t="shared" ca="1" si="2"/>
        <v>—</v>
      </c>
      <c r="F154" s="39" t="str">
        <f>IF(OR(NOT(ISNUMBER($D154)),$B154="—",$B154=""),"—",IF(COUNTIFS(Bookings!$B$5:$B$304,$B154,Bookings!$F$5:$F$304,$D154)-COUNTIFS(Bookings!$B$5:$B$304,$B154,Bookings!$F$5:$F$304,$D154,Bookings!$D$5:$D$304,"Cancelled")-COUNTIFS(Bookings!$B$5:$B$304,$B154,Bookings!$F$5:$F$304,$D154,Bookings!$D$5:$D$304,"Owner block")&gt;0,"SAME-DAY TURN","No same-day guest"))</f>
        <v>—</v>
      </c>
      <c r="G154" s="38" t="str">
        <f>IFERROR(IF(INDEX(Bookings!$D$5:$D$304,MATCH($A154,Bookings!$A$5:$A$304,0))="Cancelled","—",IF(INDEX(Bookings!$I$5:$I$304,MATCH($A154,Bookings!$A$5:$A$304,0))="","—",INDEX(Bookings!$I$5:$I$304,MATCH($A154,Bookings!$A$5:$A$304,0)))),"—")</f>
        <v>—</v>
      </c>
      <c r="H154" s="38" t="str">
        <f>IFERROR(IF(INDEX(Setup!$I$25:$I$36,MATCH($B154,Setup!$A$25:$A$36,0))=0,"—",INDEX(Setup!$I$25:$I$36,MATCH($B154,Setup!$A$25:$A$36,0))),"—")</f>
        <v>—</v>
      </c>
      <c r="I154" s="21" t="str">
        <f>IFERROR(IF(INDEX(Setup!$E$25:$E$36,MATCH($B154,Setup!$A$25:$A$36,0))=0,"—",INDEX(Setup!$E$25:$E$36,MATCH($B154,Setup!$A$25:$A$36,0))),"—")</f>
        <v>—</v>
      </c>
      <c r="J154" s="8"/>
      <c r="K154" s="8"/>
      <c r="L154" s="8"/>
    </row>
    <row r="155" spans="1:12" x14ac:dyDescent="0.2">
      <c r="A155" s="30">
        <v>151</v>
      </c>
      <c r="B155" s="7" t="str">
        <f>IFERROR(IF(INDEX(Bookings!$D$5:$D$304,MATCH($A155,Bookings!$A$5:$A$304,0))="Cancelled","—",IF(INDEX(Bookings!$B$5:$B$304,MATCH($A155,Bookings!$A$5:$A$304,0))="","—",INDEX(Bookings!$B$5:$B$304,MATCH($A155,Bookings!$A$5:$A$304,0)))),"—")</f>
        <v>—</v>
      </c>
      <c r="C155" s="7" t="str">
        <f>IFERROR(IF(INDEX(Bookings!$D$5:$D$304,MATCH($A155,Bookings!$A$5:$A$304,0))="Cancelled","—",IF(INDEX(Bookings!$E$5:$E$304,MATCH($A155,Bookings!$A$5:$A$304,0))="","—",INDEX(Bookings!$E$5:$E$304,MATCH($A155,Bookings!$A$5:$A$304,0)))),"—")</f>
        <v>—</v>
      </c>
      <c r="D155" s="37" t="str">
        <f>IFERROR(IF(INDEX(Bookings!$D$5:$D$304,MATCH($A155,Bookings!$A$5:$A$304,0))="Cancelled","—",IF(INDEX(Bookings!$G$5:$G$304,MATCH($A155,Bookings!$A$5:$A$304,0))="","—",INDEX(Bookings!$G$5:$G$304,MATCH($A155,Bookings!$A$5:$A$304,0)))),"—")</f>
        <v>—</v>
      </c>
      <c r="E155" s="38" t="str">
        <f t="shared" ca="1" si="2"/>
        <v>—</v>
      </c>
      <c r="F155" s="39" t="str">
        <f>IF(OR(NOT(ISNUMBER($D155)),$B155="—",$B155=""),"—",IF(COUNTIFS(Bookings!$B$5:$B$304,$B155,Bookings!$F$5:$F$304,$D155)-COUNTIFS(Bookings!$B$5:$B$304,$B155,Bookings!$F$5:$F$304,$D155,Bookings!$D$5:$D$304,"Cancelled")-COUNTIFS(Bookings!$B$5:$B$304,$B155,Bookings!$F$5:$F$304,$D155,Bookings!$D$5:$D$304,"Owner block")&gt;0,"SAME-DAY TURN","No same-day guest"))</f>
        <v>—</v>
      </c>
      <c r="G155" s="38" t="str">
        <f>IFERROR(IF(INDEX(Bookings!$D$5:$D$304,MATCH($A155,Bookings!$A$5:$A$304,0))="Cancelled","—",IF(INDEX(Bookings!$I$5:$I$304,MATCH($A155,Bookings!$A$5:$A$304,0))="","—",INDEX(Bookings!$I$5:$I$304,MATCH($A155,Bookings!$A$5:$A$304,0)))),"—")</f>
        <v>—</v>
      </c>
      <c r="H155" s="38" t="str">
        <f>IFERROR(IF(INDEX(Setup!$I$25:$I$36,MATCH($B155,Setup!$A$25:$A$36,0))=0,"—",INDEX(Setup!$I$25:$I$36,MATCH($B155,Setup!$A$25:$A$36,0))),"—")</f>
        <v>—</v>
      </c>
      <c r="I155" s="21" t="str">
        <f>IFERROR(IF(INDEX(Setup!$E$25:$E$36,MATCH($B155,Setup!$A$25:$A$36,0))=0,"—",INDEX(Setup!$E$25:$E$36,MATCH($B155,Setup!$A$25:$A$36,0))),"—")</f>
        <v>—</v>
      </c>
      <c r="J155" s="3"/>
      <c r="K155" s="3"/>
      <c r="L155" s="3"/>
    </row>
    <row r="156" spans="1:12" x14ac:dyDescent="0.2">
      <c r="A156" s="30">
        <v>152</v>
      </c>
      <c r="B156" s="7" t="str">
        <f>IFERROR(IF(INDEX(Bookings!$D$5:$D$304,MATCH($A156,Bookings!$A$5:$A$304,0))="Cancelled","—",IF(INDEX(Bookings!$B$5:$B$304,MATCH($A156,Bookings!$A$5:$A$304,0))="","—",INDEX(Bookings!$B$5:$B$304,MATCH($A156,Bookings!$A$5:$A$304,0)))),"—")</f>
        <v>—</v>
      </c>
      <c r="C156" s="7" t="str">
        <f>IFERROR(IF(INDEX(Bookings!$D$5:$D$304,MATCH($A156,Bookings!$A$5:$A$304,0))="Cancelled","—",IF(INDEX(Bookings!$E$5:$E$304,MATCH($A156,Bookings!$A$5:$A$304,0))="","—",INDEX(Bookings!$E$5:$E$304,MATCH($A156,Bookings!$A$5:$A$304,0)))),"—")</f>
        <v>—</v>
      </c>
      <c r="D156" s="37" t="str">
        <f>IFERROR(IF(INDEX(Bookings!$D$5:$D$304,MATCH($A156,Bookings!$A$5:$A$304,0))="Cancelled","—",IF(INDEX(Bookings!$G$5:$G$304,MATCH($A156,Bookings!$A$5:$A$304,0))="","—",INDEX(Bookings!$G$5:$G$304,MATCH($A156,Bookings!$A$5:$A$304,0)))),"—")</f>
        <v>—</v>
      </c>
      <c r="E156" s="38" t="str">
        <f t="shared" ca="1" si="2"/>
        <v>—</v>
      </c>
      <c r="F156" s="39" t="str">
        <f>IF(OR(NOT(ISNUMBER($D156)),$B156="—",$B156=""),"—",IF(COUNTIFS(Bookings!$B$5:$B$304,$B156,Bookings!$F$5:$F$304,$D156)-COUNTIFS(Bookings!$B$5:$B$304,$B156,Bookings!$F$5:$F$304,$D156,Bookings!$D$5:$D$304,"Cancelled")-COUNTIFS(Bookings!$B$5:$B$304,$B156,Bookings!$F$5:$F$304,$D156,Bookings!$D$5:$D$304,"Owner block")&gt;0,"SAME-DAY TURN","No same-day guest"))</f>
        <v>—</v>
      </c>
      <c r="G156" s="38" t="str">
        <f>IFERROR(IF(INDEX(Bookings!$D$5:$D$304,MATCH($A156,Bookings!$A$5:$A$304,0))="Cancelled","—",IF(INDEX(Bookings!$I$5:$I$304,MATCH($A156,Bookings!$A$5:$A$304,0))="","—",INDEX(Bookings!$I$5:$I$304,MATCH($A156,Bookings!$A$5:$A$304,0)))),"—")</f>
        <v>—</v>
      </c>
      <c r="H156" s="38" t="str">
        <f>IFERROR(IF(INDEX(Setup!$I$25:$I$36,MATCH($B156,Setup!$A$25:$A$36,0))=0,"—",INDEX(Setup!$I$25:$I$36,MATCH($B156,Setup!$A$25:$A$36,0))),"—")</f>
        <v>—</v>
      </c>
      <c r="I156" s="21" t="str">
        <f>IFERROR(IF(INDEX(Setup!$E$25:$E$36,MATCH($B156,Setup!$A$25:$A$36,0))=0,"—",INDEX(Setup!$E$25:$E$36,MATCH($B156,Setup!$A$25:$A$36,0))),"—")</f>
        <v>—</v>
      </c>
      <c r="J156" s="8"/>
      <c r="K156" s="8"/>
      <c r="L156" s="8"/>
    </row>
    <row r="157" spans="1:12" x14ac:dyDescent="0.2">
      <c r="A157" s="30">
        <v>153</v>
      </c>
      <c r="B157" s="7" t="str">
        <f>IFERROR(IF(INDEX(Bookings!$D$5:$D$304,MATCH($A157,Bookings!$A$5:$A$304,0))="Cancelled","—",IF(INDEX(Bookings!$B$5:$B$304,MATCH($A157,Bookings!$A$5:$A$304,0))="","—",INDEX(Bookings!$B$5:$B$304,MATCH($A157,Bookings!$A$5:$A$304,0)))),"—")</f>
        <v>—</v>
      </c>
      <c r="C157" s="7" t="str">
        <f>IFERROR(IF(INDEX(Bookings!$D$5:$D$304,MATCH($A157,Bookings!$A$5:$A$304,0))="Cancelled","—",IF(INDEX(Bookings!$E$5:$E$304,MATCH($A157,Bookings!$A$5:$A$304,0))="","—",INDEX(Bookings!$E$5:$E$304,MATCH($A157,Bookings!$A$5:$A$304,0)))),"—")</f>
        <v>—</v>
      </c>
      <c r="D157" s="37" t="str">
        <f>IFERROR(IF(INDEX(Bookings!$D$5:$D$304,MATCH($A157,Bookings!$A$5:$A$304,0))="Cancelled","—",IF(INDEX(Bookings!$G$5:$G$304,MATCH($A157,Bookings!$A$5:$A$304,0))="","—",INDEX(Bookings!$G$5:$G$304,MATCH($A157,Bookings!$A$5:$A$304,0)))),"—")</f>
        <v>—</v>
      </c>
      <c r="E157" s="38" t="str">
        <f t="shared" ca="1" si="2"/>
        <v>—</v>
      </c>
      <c r="F157" s="39" t="str">
        <f>IF(OR(NOT(ISNUMBER($D157)),$B157="—",$B157=""),"—",IF(COUNTIFS(Bookings!$B$5:$B$304,$B157,Bookings!$F$5:$F$304,$D157)-COUNTIFS(Bookings!$B$5:$B$304,$B157,Bookings!$F$5:$F$304,$D157,Bookings!$D$5:$D$304,"Cancelled")-COUNTIFS(Bookings!$B$5:$B$304,$B157,Bookings!$F$5:$F$304,$D157,Bookings!$D$5:$D$304,"Owner block")&gt;0,"SAME-DAY TURN","No same-day guest"))</f>
        <v>—</v>
      </c>
      <c r="G157" s="38" t="str">
        <f>IFERROR(IF(INDEX(Bookings!$D$5:$D$304,MATCH($A157,Bookings!$A$5:$A$304,0))="Cancelled","—",IF(INDEX(Bookings!$I$5:$I$304,MATCH($A157,Bookings!$A$5:$A$304,0))="","—",INDEX(Bookings!$I$5:$I$304,MATCH($A157,Bookings!$A$5:$A$304,0)))),"—")</f>
        <v>—</v>
      </c>
      <c r="H157" s="38" t="str">
        <f>IFERROR(IF(INDEX(Setup!$I$25:$I$36,MATCH($B157,Setup!$A$25:$A$36,0))=0,"—",INDEX(Setup!$I$25:$I$36,MATCH($B157,Setup!$A$25:$A$36,0))),"—")</f>
        <v>—</v>
      </c>
      <c r="I157" s="21" t="str">
        <f>IFERROR(IF(INDEX(Setup!$E$25:$E$36,MATCH($B157,Setup!$A$25:$A$36,0))=0,"—",INDEX(Setup!$E$25:$E$36,MATCH($B157,Setup!$A$25:$A$36,0))),"—")</f>
        <v>—</v>
      </c>
      <c r="J157" s="3"/>
      <c r="K157" s="3"/>
      <c r="L157" s="3"/>
    </row>
    <row r="158" spans="1:12" x14ac:dyDescent="0.2">
      <c r="A158" s="30">
        <v>154</v>
      </c>
      <c r="B158" s="7" t="str">
        <f>IFERROR(IF(INDEX(Bookings!$D$5:$D$304,MATCH($A158,Bookings!$A$5:$A$304,0))="Cancelled","—",IF(INDEX(Bookings!$B$5:$B$304,MATCH($A158,Bookings!$A$5:$A$304,0))="","—",INDEX(Bookings!$B$5:$B$304,MATCH($A158,Bookings!$A$5:$A$304,0)))),"—")</f>
        <v>—</v>
      </c>
      <c r="C158" s="7" t="str">
        <f>IFERROR(IF(INDEX(Bookings!$D$5:$D$304,MATCH($A158,Bookings!$A$5:$A$304,0))="Cancelled","—",IF(INDEX(Bookings!$E$5:$E$304,MATCH($A158,Bookings!$A$5:$A$304,0))="","—",INDEX(Bookings!$E$5:$E$304,MATCH($A158,Bookings!$A$5:$A$304,0)))),"—")</f>
        <v>—</v>
      </c>
      <c r="D158" s="37" t="str">
        <f>IFERROR(IF(INDEX(Bookings!$D$5:$D$304,MATCH($A158,Bookings!$A$5:$A$304,0))="Cancelled","—",IF(INDEX(Bookings!$G$5:$G$304,MATCH($A158,Bookings!$A$5:$A$304,0))="","—",INDEX(Bookings!$G$5:$G$304,MATCH($A158,Bookings!$A$5:$A$304,0)))),"—")</f>
        <v>—</v>
      </c>
      <c r="E158" s="38" t="str">
        <f t="shared" ca="1" si="2"/>
        <v>—</v>
      </c>
      <c r="F158" s="39" t="str">
        <f>IF(OR(NOT(ISNUMBER($D158)),$B158="—",$B158=""),"—",IF(COUNTIFS(Bookings!$B$5:$B$304,$B158,Bookings!$F$5:$F$304,$D158)-COUNTIFS(Bookings!$B$5:$B$304,$B158,Bookings!$F$5:$F$304,$D158,Bookings!$D$5:$D$304,"Cancelled")-COUNTIFS(Bookings!$B$5:$B$304,$B158,Bookings!$F$5:$F$304,$D158,Bookings!$D$5:$D$304,"Owner block")&gt;0,"SAME-DAY TURN","No same-day guest"))</f>
        <v>—</v>
      </c>
      <c r="G158" s="38" t="str">
        <f>IFERROR(IF(INDEX(Bookings!$D$5:$D$304,MATCH($A158,Bookings!$A$5:$A$304,0))="Cancelled","—",IF(INDEX(Bookings!$I$5:$I$304,MATCH($A158,Bookings!$A$5:$A$304,0))="","—",INDEX(Bookings!$I$5:$I$304,MATCH($A158,Bookings!$A$5:$A$304,0)))),"—")</f>
        <v>—</v>
      </c>
      <c r="H158" s="38" t="str">
        <f>IFERROR(IF(INDEX(Setup!$I$25:$I$36,MATCH($B158,Setup!$A$25:$A$36,0))=0,"—",INDEX(Setup!$I$25:$I$36,MATCH($B158,Setup!$A$25:$A$36,0))),"—")</f>
        <v>—</v>
      </c>
      <c r="I158" s="21" t="str">
        <f>IFERROR(IF(INDEX(Setup!$E$25:$E$36,MATCH($B158,Setup!$A$25:$A$36,0))=0,"—",INDEX(Setup!$E$25:$E$36,MATCH($B158,Setup!$A$25:$A$36,0))),"—")</f>
        <v>—</v>
      </c>
      <c r="J158" s="8"/>
      <c r="K158" s="8"/>
      <c r="L158" s="8"/>
    </row>
    <row r="159" spans="1:12" x14ac:dyDescent="0.2">
      <c r="A159" s="30">
        <v>155</v>
      </c>
      <c r="B159" s="7" t="str">
        <f>IFERROR(IF(INDEX(Bookings!$D$5:$D$304,MATCH($A159,Bookings!$A$5:$A$304,0))="Cancelled","—",IF(INDEX(Bookings!$B$5:$B$304,MATCH($A159,Bookings!$A$5:$A$304,0))="","—",INDEX(Bookings!$B$5:$B$304,MATCH($A159,Bookings!$A$5:$A$304,0)))),"—")</f>
        <v>—</v>
      </c>
      <c r="C159" s="7" t="str">
        <f>IFERROR(IF(INDEX(Bookings!$D$5:$D$304,MATCH($A159,Bookings!$A$5:$A$304,0))="Cancelled","—",IF(INDEX(Bookings!$E$5:$E$304,MATCH($A159,Bookings!$A$5:$A$304,0))="","—",INDEX(Bookings!$E$5:$E$304,MATCH($A159,Bookings!$A$5:$A$304,0)))),"—")</f>
        <v>—</v>
      </c>
      <c r="D159" s="37" t="str">
        <f>IFERROR(IF(INDEX(Bookings!$D$5:$D$304,MATCH($A159,Bookings!$A$5:$A$304,0))="Cancelled","—",IF(INDEX(Bookings!$G$5:$G$304,MATCH($A159,Bookings!$A$5:$A$304,0))="","—",INDEX(Bookings!$G$5:$G$304,MATCH($A159,Bookings!$A$5:$A$304,0)))),"—")</f>
        <v>—</v>
      </c>
      <c r="E159" s="38" t="str">
        <f t="shared" ca="1" si="2"/>
        <v>—</v>
      </c>
      <c r="F159" s="39" t="str">
        <f>IF(OR(NOT(ISNUMBER($D159)),$B159="—",$B159=""),"—",IF(COUNTIFS(Bookings!$B$5:$B$304,$B159,Bookings!$F$5:$F$304,$D159)-COUNTIFS(Bookings!$B$5:$B$304,$B159,Bookings!$F$5:$F$304,$D159,Bookings!$D$5:$D$304,"Cancelled")-COUNTIFS(Bookings!$B$5:$B$304,$B159,Bookings!$F$5:$F$304,$D159,Bookings!$D$5:$D$304,"Owner block")&gt;0,"SAME-DAY TURN","No same-day guest"))</f>
        <v>—</v>
      </c>
      <c r="G159" s="38" t="str">
        <f>IFERROR(IF(INDEX(Bookings!$D$5:$D$304,MATCH($A159,Bookings!$A$5:$A$304,0))="Cancelled","—",IF(INDEX(Bookings!$I$5:$I$304,MATCH($A159,Bookings!$A$5:$A$304,0))="","—",INDEX(Bookings!$I$5:$I$304,MATCH($A159,Bookings!$A$5:$A$304,0)))),"—")</f>
        <v>—</v>
      </c>
      <c r="H159" s="38" t="str">
        <f>IFERROR(IF(INDEX(Setup!$I$25:$I$36,MATCH($B159,Setup!$A$25:$A$36,0))=0,"—",INDEX(Setup!$I$25:$I$36,MATCH($B159,Setup!$A$25:$A$36,0))),"—")</f>
        <v>—</v>
      </c>
      <c r="I159" s="21" t="str">
        <f>IFERROR(IF(INDEX(Setup!$E$25:$E$36,MATCH($B159,Setup!$A$25:$A$36,0))=0,"—",INDEX(Setup!$E$25:$E$36,MATCH($B159,Setup!$A$25:$A$36,0))),"—")</f>
        <v>—</v>
      </c>
      <c r="J159" s="3"/>
      <c r="K159" s="3"/>
      <c r="L159" s="3"/>
    </row>
    <row r="160" spans="1:12" x14ac:dyDescent="0.2">
      <c r="A160" s="30">
        <v>156</v>
      </c>
      <c r="B160" s="7" t="str">
        <f>IFERROR(IF(INDEX(Bookings!$D$5:$D$304,MATCH($A160,Bookings!$A$5:$A$304,0))="Cancelled","—",IF(INDEX(Bookings!$B$5:$B$304,MATCH($A160,Bookings!$A$5:$A$304,0))="","—",INDEX(Bookings!$B$5:$B$304,MATCH($A160,Bookings!$A$5:$A$304,0)))),"—")</f>
        <v>—</v>
      </c>
      <c r="C160" s="7" t="str">
        <f>IFERROR(IF(INDEX(Bookings!$D$5:$D$304,MATCH($A160,Bookings!$A$5:$A$304,0))="Cancelled","—",IF(INDEX(Bookings!$E$5:$E$304,MATCH($A160,Bookings!$A$5:$A$304,0))="","—",INDEX(Bookings!$E$5:$E$304,MATCH($A160,Bookings!$A$5:$A$304,0)))),"—")</f>
        <v>—</v>
      </c>
      <c r="D160" s="37" t="str">
        <f>IFERROR(IF(INDEX(Bookings!$D$5:$D$304,MATCH($A160,Bookings!$A$5:$A$304,0))="Cancelled","—",IF(INDEX(Bookings!$G$5:$G$304,MATCH($A160,Bookings!$A$5:$A$304,0))="","—",INDEX(Bookings!$G$5:$G$304,MATCH($A160,Bookings!$A$5:$A$304,0)))),"—")</f>
        <v>—</v>
      </c>
      <c r="E160" s="38" t="str">
        <f t="shared" ca="1" si="2"/>
        <v>—</v>
      </c>
      <c r="F160" s="39" t="str">
        <f>IF(OR(NOT(ISNUMBER($D160)),$B160="—",$B160=""),"—",IF(COUNTIFS(Bookings!$B$5:$B$304,$B160,Bookings!$F$5:$F$304,$D160)-COUNTIFS(Bookings!$B$5:$B$304,$B160,Bookings!$F$5:$F$304,$D160,Bookings!$D$5:$D$304,"Cancelled")-COUNTIFS(Bookings!$B$5:$B$304,$B160,Bookings!$F$5:$F$304,$D160,Bookings!$D$5:$D$304,"Owner block")&gt;0,"SAME-DAY TURN","No same-day guest"))</f>
        <v>—</v>
      </c>
      <c r="G160" s="38" t="str">
        <f>IFERROR(IF(INDEX(Bookings!$D$5:$D$304,MATCH($A160,Bookings!$A$5:$A$304,0))="Cancelled","—",IF(INDEX(Bookings!$I$5:$I$304,MATCH($A160,Bookings!$A$5:$A$304,0))="","—",INDEX(Bookings!$I$5:$I$304,MATCH($A160,Bookings!$A$5:$A$304,0)))),"—")</f>
        <v>—</v>
      </c>
      <c r="H160" s="38" t="str">
        <f>IFERROR(IF(INDEX(Setup!$I$25:$I$36,MATCH($B160,Setup!$A$25:$A$36,0))=0,"—",INDEX(Setup!$I$25:$I$36,MATCH($B160,Setup!$A$25:$A$36,0))),"—")</f>
        <v>—</v>
      </c>
      <c r="I160" s="21" t="str">
        <f>IFERROR(IF(INDEX(Setup!$E$25:$E$36,MATCH($B160,Setup!$A$25:$A$36,0))=0,"—",INDEX(Setup!$E$25:$E$36,MATCH($B160,Setup!$A$25:$A$36,0))),"—")</f>
        <v>—</v>
      </c>
      <c r="J160" s="8"/>
      <c r="K160" s="8"/>
      <c r="L160" s="8"/>
    </row>
    <row r="161" spans="1:12" x14ac:dyDescent="0.2">
      <c r="A161" s="30">
        <v>157</v>
      </c>
      <c r="B161" s="7" t="str">
        <f>IFERROR(IF(INDEX(Bookings!$D$5:$D$304,MATCH($A161,Bookings!$A$5:$A$304,0))="Cancelled","—",IF(INDEX(Bookings!$B$5:$B$304,MATCH($A161,Bookings!$A$5:$A$304,0))="","—",INDEX(Bookings!$B$5:$B$304,MATCH($A161,Bookings!$A$5:$A$304,0)))),"—")</f>
        <v>—</v>
      </c>
      <c r="C161" s="7" t="str">
        <f>IFERROR(IF(INDEX(Bookings!$D$5:$D$304,MATCH($A161,Bookings!$A$5:$A$304,0))="Cancelled","—",IF(INDEX(Bookings!$E$5:$E$304,MATCH($A161,Bookings!$A$5:$A$304,0))="","—",INDEX(Bookings!$E$5:$E$304,MATCH($A161,Bookings!$A$5:$A$304,0)))),"—")</f>
        <v>—</v>
      </c>
      <c r="D161" s="37" t="str">
        <f>IFERROR(IF(INDEX(Bookings!$D$5:$D$304,MATCH($A161,Bookings!$A$5:$A$304,0))="Cancelled","—",IF(INDEX(Bookings!$G$5:$G$304,MATCH($A161,Bookings!$A$5:$A$304,0))="","—",INDEX(Bookings!$G$5:$G$304,MATCH($A161,Bookings!$A$5:$A$304,0)))),"—")</f>
        <v>—</v>
      </c>
      <c r="E161" s="38" t="str">
        <f t="shared" ca="1" si="2"/>
        <v>—</v>
      </c>
      <c r="F161" s="39" t="str">
        <f>IF(OR(NOT(ISNUMBER($D161)),$B161="—",$B161=""),"—",IF(COUNTIFS(Bookings!$B$5:$B$304,$B161,Bookings!$F$5:$F$304,$D161)-COUNTIFS(Bookings!$B$5:$B$304,$B161,Bookings!$F$5:$F$304,$D161,Bookings!$D$5:$D$304,"Cancelled")-COUNTIFS(Bookings!$B$5:$B$304,$B161,Bookings!$F$5:$F$304,$D161,Bookings!$D$5:$D$304,"Owner block")&gt;0,"SAME-DAY TURN","No same-day guest"))</f>
        <v>—</v>
      </c>
      <c r="G161" s="38" t="str">
        <f>IFERROR(IF(INDEX(Bookings!$D$5:$D$304,MATCH($A161,Bookings!$A$5:$A$304,0))="Cancelled","—",IF(INDEX(Bookings!$I$5:$I$304,MATCH($A161,Bookings!$A$5:$A$304,0))="","—",INDEX(Bookings!$I$5:$I$304,MATCH($A161,Bookings!$A$5:$A$304,0)))),"—")</f>
        <v>—</v>
      </c>
      <c r="H161" s="38" t="str">
        <f>IFERROR(IF(INDEX(Setup!$I$25:$I$36,MATCH($B161,Setup!$A$25:$A$36,0))=0,"—",INDEX(Setup!$I$25:$I$36,MATCH($B161,Setup!$A$25:$A$36,0))),"—")</f>
        <v>—</v>
      </c>
      <c r="I161" s="21" t="str">
        <f>IFERROR(IF(INDEX(Setup!$E$25:$E$36,MATCH($B161,Setup!$A$25:$A$36,0))=0,"—",INDEX(Setup!$E$25:$E$36,MATCH($B161,Setup!$A$25:$A$36,0))),"—")</f>
        <v>—</v>
      </c>
      <c r="J161" s="3"/>
      <c r="K161" s="3"/>
      <c r="L161" s="3"/>
    </row>
    <row r="162" spans="1:12" x14ac:dyDescent="0.2">
      <c r="A162" s="30">
        <v>158</v>
      </c>
      <c r="B162" s="7" t="str">
        <f>IFERROR(IF(INDEX(Bookings!$D$5:$D$304,MATCH($A162,Bookings!$A$5:$A$304,0))="Cancelled","—",IF(INDEX(Bookings!$B$5:$B$304,MATCH($A162,Bookings!$A$5:$A$304,0))="","—",INDEX(Bookings!$B$5:$B$304,MATCH($A162,Bookings!$A$5:$A$304,0)))),"—")</f>
        <v>—</v>
      </c>
      <c r="C162" s="7" t="str">
        <f>IFERROR(IF(INDEX(Bookings!$D$5:$D$304,MATCH($A162,Bookings!$A$5:$A$304,0))="Cancelled","—",IF(INDEX(Bookings!$E$5:$E$304,MATCH($A162,Bookings!$A$5:$A$304,0))="","—",INDEX(Bookings!$E$5:$E$304,MATCH($A162,Bookings!$A$5:$A$304,0)))),"—")</f>
        <v>—</v>
      </c>
      <c r="D162" s="37" t="str">
        <f>IFERROR(IF(INDEX(Bookings!$D$5:$D$304,MATCH($A162,Bookings!$A$5:$A$304,0))="Cancelled","—",IF(INDEX(Bookings!$G$5:$G$304,MATCH($A162,Bookings!$A$5:$A$304,0))="","—",INDEX(Bookings!$G$5:$G$304,MATCH($A162,Bookings!$A$5:$A$304,0)))),"—")</f>
        <v>—</v>
      </c>
      <c r="E162" s="38" t="str">
        <f t="shared" ca="1" si="2"/>
        <v>—</v>
      </c>
      <c r="F162" s="39" t="str">
        <f>IF(OR(NOT(ISNUMBER($D162)),$B162="—",$B162=""),"—",IF(COUNTIFS(Bookings!$B$5:$B$304,$B162,Bookings!$F$5:$F$304,$D162)-COUNTIFS(Bookings!$B$5:$B$304,$B162,Bookings!$F$5:$F$304,$D162,Bookings!$D$5:$D$304,"Cancelled")-COUNTIFS(Bookings!$B$5:$B$304,$B162,Bookings!$F$5:$F$304,$D162,Bookings!$D$5:$D$304,"Owner block")&gt;0,"SAME-DAY TURN","No same-day guest"))</f>
        <v>—</v>
      </c>
      <c r="G162" s="38" t="str">
        <f>IFERROR(IF(INDEX(Bookings!$D$5:$D$304,MATCH($A162,Bookings!$A$5:$A$304,0))="Cancelled","—",IF(INDEX(Bookings!$I$5:$I$304,MATCH($A162,Bookings!$A$5:$A$304,0))="","—",INDEX(Bookings!$I$5:$I$304,MATCH($A162,Bookings!$A$5:$A$304,0)))),"—")</f>
        <v>—</v>
      </c>
      <c r="H162" s="38" t="str">
        <f>IFERROR(IF(INDEX(Setup!$I$25:$I$36,MATCH($B162,Setup!$A$25:$A$36,0))=0,"—",INDEX(Setup!$I$25:$I$36,MATCH($B162,Setup!$A$25:$A$36,0))),"—")</f>
        <v>—</v>
      </c>
      <c r="I162" s="21" t="str">
        <f>IFERROR(IF(INDEX(Setup!$E$25:$E$36,MATCH($B162,Setup!$A$25:$A$36,0))=0,"—",INDEX(Setup!$E$25:$E$36,MATCH($B162,Setup!$A$25:$A$36,0))),"—")</f>
        <v>—</v>
      </c>
      <c r="J162" s="8"/>
      <c r="K162" s="8"/>
      <c r="L162" s="8"/>
    </row>
    <row r="163" spans="1:12" x14ac:dyDescent="0.2">
      <c r="A163" s="30">
        <v>159</v>
      </c>
      <c r="B163" s="7" t="str">
        <f>IFERROR(IF(INDEX(Bookings!$D$5:$D$304,MATCH($A163,Bookings!$A$5:$A$304,0))="Cancelled","—",IF(INDEX(Bookings!$B$5:$B$304,MATCH($A163,Bookings!$A$5:$A$304,0))="","—",INDEX(Bookings!$B$5:$B$304,MATCH($A163,Bookings!$A$5:$A$304,0)))),"—")</f>
        <v>—</v>
      </c>
      <c r="C163" s="7" t="str">
        <f>IFERROR(IF(INDEX(Bookings!$D$5:$D$304,MATCH($A163,Bookings!$A$5:$A$304,0))="Cancelled","—",IF(INDEX(Bookings!$E$5:$E$304,MATCH($A163,Bookings!$A$5:$A$304,0))="","—",INDEX(Bookings!$E$5:$E$304,MATCH($A163,Bookings!$A$5:$A$304,0)))),"—")</f>
        <v>—</v>
      </c>
      <c r="D163" s="37" t="str">
        <f>IFERROR(IF(INDEX(Bookings!$D$5:$D$304,MATCH($A163,Bookings!$A$5:$A$304,0))="Cancelled","—",IF(INDEX(Bookings!$G$5:$G$304,MATCH($A163,Bookings!$A$5:$A$304,0))="","—",INDEX(Bookings!$G$5:$G$304,MATCH($A163,Bookings!$A$5:$A$304,0)))),"—")</f>
        <v>—</v>
      </c>
      <c r="E163" s="38" t="str">
        <f t="shared" ca="1" si="2"/>
        <v>—</v>
      </c>
      <c r="F163" s="39" t="str">
        <f>IF(OR(NOT(ISNUMBER($D163)),$B163="—",$B163=""),"—",IF(COUNTIFS(Bookings!$B$5:$B$304,$B163,Bookings!$F$5:$F$304,$D163)-COUNTIFS(Bookings!$B$5:$B$304,$B163,Bookings!$F$5:$F$304,$D163,Bookings!$D$5:$D$304,"Cancelled")-COUNTIFS(Bookings!$B$5:$B$304,$B163,Bookings!$F$5:$F$304,$D163,Bookings!$D$5:$D$304,"Owner block")&gt;0,"SAME-DAY TURN","No same-day guest"))</f>
        <v>—</v>
      </c>
      <c r="G163" s="38" t="str">
        <f>IFERROR(IF(INDEX(Bookings!$D$5:$D$304,MATCH($A163,Bookings!$A$5:$A$304,0))="Cancelled","—",IF(INDEX(Bookings!$I$5:$I$304,MATCH($A163,Bookings!$A$5:$A$304,0))="","—",INDEX(Bookings!$I$5:$I$304,MATCH($A163,Bookings!$A$5:$A$304,0)))),"—")</f>
        <v>—</v>
      </c>
      <c r="H163" s="38" t="str">
        <f>IFERROR(IF(INDEX(Setup!$I$25:$I$36,MATCH($B163,Setup!$A$25:$A$36,0))=0,"—",INDEX(Setup!$I$25:$I$36,MATCH($B163,Setup!$A$25:$A$36,0))),"—")</f>
        <v>—</v>
      </c>
      <c r="I163" s="21" t="str">
        <f>IFERROR(IF(INDEX(Setup!$E$25:$E$36,MATCH($B163,Setup!$A$25:$A$36,0))=0,"—",INDEX(Setup!$E$25:$E$36,MATCH($B163,Setup!$A$25:$A$36,0))),"—")</f>
        <v>—</v>
      </c>
      <c r="J163" s="3"/>
      <c r="K163" s="3"/>
      <c r="L163" s="3"/>
    </row>
    <row r="164" spans="1:12" x14ac:dyDescent="0.2">
      <c r="A164" s="30">
        <v>160</v>
      </c>
      <c r="B164" s="7" t="str">
        <f>IFERROR(IF(INDEX(Bookings!$D$5:$D$304,MATCH($A164,Bookings!$A$5:$A$304,0))="Cancelled","—",IF(INDEX(Bookings!$B$5:$B$304,MATCH($A164,Bookings!$A$5:$A$304,0))="","—",INDEX(Bookings!$B$5:$B$304,MATCH($A164,Bookings!$A$5:$A$304,0)))),"—")</f>
        <v>—</v>
      </c>
      <c r="C164" s="7" t="str">
        <f>IFERROR(IF(INDEX(Bookings!$D$5:$D$304,MATCH($A164,Bookings!$A$5:$A$304,0))="Cancelled","—",IF(INDEX(Bookings!$E$5:$E$304,MATCH($A164,Bookings!$A$5:$A$304,0))="","—",INDEX(Bookings!$E$5:$E$304,MATCH($A164,Bookings!$A$5:$A$304,0)))),"—")</f>
        <v>—</v>
      </c>
      <c r="D164" s="37" t="str">
        <f>IFERROR(IF(INDEX(Bookings!$D$5:$D$304,MATCH($A164,Bookings!$A$5:$A$304,0))="Cancelled","—",IF(INDEX(Bookings!$G$5:$G$304,MATCH($A164,Bookings!$A$5:$A$304,0))="","—",INDEX(Bookings!$G$5:$G$304,MATCH($A164,Bookings!$A$5:$A$304,0)))),"—")</f>
        <v>—</v>
      </c>
      <c r="E164" s="38" t="str">
        <f t="shared" ca="1" si="2"/>
        <v>—</v>
      </c>
      <c r="F164" s="39" t="str">
        <f>IF(OR(NOT(ISNUMBER($D164)),$B164="—",$B164=""),"—",IF(COUNTIFS(Bookings!$B$5:$B$304,$B164,Bookings!$F$5:$F$304,$D164)-COUNTIFS(Bookings!$B$5:$B$304,$B164,Bookings!$F$5:$F$304,$D164,Bookings!$D$5:$D$304,"Cancelled")-COUNTIFS(Bookings!$B$5:$B$304,$B164,Bookings!$F$5:$F$304,$D164,Bookings!$D$5:$D$304,"Owner block")&gt;0,"SAME-DAY TURN","No same-day guest"))</f>
        <v>—</v>
      </c>
      <c r="G164" s="38" t="str">
        <f>IFERROR(IF(INDEX(Bookings!$D$5:$D$304,MATCH($A164,Bookings!$A$5:$A$304,0))="Cancelled","—",IF(INDEX(Bookings!$I$5:$I$304,MATCH($A164,Bookings!$A$5:$A$304,0))="","—",INDEX(Bookings!$I$5:$I$304,MATCH($A164,Bookings!$A$5:$A$304,0)))),"—")</f>
        <v>—</v>
      </c>
      <c r="H164" s="38" t="str">
        <f>IFERROR(IF(INDEX(Setup!$I$25:$I$36,MATCH($B164,Setup!$A$25:$A$36,0))=0,"—",INDEX(Setup!$I$25:$I$36,MATCH($B164,Setup!$A$25:$A$36,0))),"—")</f>
        <v>—</v>
      </c>
      <c r="I164" s="21" t="str">
        <f>IFERROR(IF(INDEX(Setup!$E$25:$E$36,MATCH($B164,Setup!$A$25:$A$36,0))=0,"—",INDEX(Setup!$E$25:$E$36,MATCH($B164,Setup!$A$25:$A$36,0))),"—")</f>
        <v>—</v>
      </c>
      <c r="J164" s="8"/>
      <c r="K164" s="8"/>
      <c r="L164" s="8"/>
    </row>
    <row r="165" spans="1:12" x14ac:dyDescent="0.2">
      <c r="A165" s="30">
        <v>161</v>
      </c>
      <c r="B165" s="7" t="str">
        <f>IFERROR(IF(INDEX(Bookings!$D$5:$D$304,MATCH($A165,Bookings!$A$5:$A$304,0))="Cancelled","—",IF(INDEX(Bookings!$B$5:$B$304,MATCH($A165,Bookings!$A$5:$A$304,0))="","—",INDEX(Bookings!$B$5:$B$304,MATCH($A165,Bookings!$A$5:$A$304,0)))),"—")</f>
        <v>—</v>
      </c>
      <c r="C165" s="7" t="str">
        <f>IFERROR(IF(INDEX(Bookings!$D$5:$D$304,MATCH($A165,Bookings!$A$5:$A$304,0))="Cancelled","—",IF(INDEX(Bookings!$E$5:$E$304,MATCH($A165,Bookings!$A$5:$A$304,0))="","—",INDEX(Bookings!$E$5:$E$304,MATCH($A165,Bookings!$A$5:$A$304,0)))),"—")</f>
        <v>—</v>
      </c>
      <c r="D165" s="37" t="str">
        <f>IFERROR(IF(INDEX(Bookings!$D$5:$D$304,MATCH($A165,Bookings!$A$5:$A$304,0))="Cancelled","—",IF(INDEX(Bookings!$G$5:$G$304,MATCH($A165,Bookings!$A$5:$A$304,0))="","—",INDEX(Bookings!$G$5:$G$304,MATCH($A165,Bookings!$A$5:$A$304,0)))),"—")</f>
        <v>—</v>
      </c>
      <c r="E165" s="38" t="str">
        <f t="shared" ca="1" si="2"/>
        <v>—</v>
      </c>
      <c r="F165" s="39" t="str">
        <f>IF(OR(NOT(ISNUMBER($D165)),$B165="—",$B165=""),"—",IF(COUNTIFS(Bookings!$B$5:$B$304,$B165,Bookings!$F$5:$F$304,$D165)-COUNTIFS(Bookings!$B$5:$B$304,$B165,Bookings!$F$5:$F$304,$D165,Bookings!$D$5:$D$304,"Cancelled")-COUNTIFS(Bookings!$B$5:$B$304,$B165,Bookings!$F$5:$F$304,$D165,Bookings!$D$5:$D$304,"Owner block")&gt;0,"SAME-DAY TURN","No same-day guest"))</f>
        <v>—</v>
      </c>
      <c r="G165" s="38" t="str">
        <f>IFERROR(IF(INDEX(Bookings!$D$5:$D$304,MATCH($A165,Bookings!$A$5:$A$304,0))="Cancelled","—",IF(INDEX(Bookings!$I$5:$I$304,MATCH($A165,Bookings!$A$5:$A$304,0))="","—",INDEX(Bookings!$I$5:$I$304,MATCH($A165,Bookings!$A$5:$A$304,0)))),"—")</f>
        <v>—</v>
      </c>
      <c r="H165" s="38" t="str">
        <f>IFERROR(IF(INDEX(Setup!$I$25:$I$36,MATCH($B165,Setup!$A$25:$A$36,0))=0,"—",INDEX(Setup!$I$25:$I$36,MATCH($B165,Setup!$A$25:$A$36,0))),"—")</f>
        <v>—</v>
      </c>
      <c r="I165" s="21" t="str">
        <f>IFERROR(IF(INDEX(Setup!$E$25:$E$36,MATCH($B165,Setup!$A$25:$A$36,0))=0,"—",INDEX(Setup!$E$25:$E$36,MATCH($B165,Setup!$A$25:$A$36,0))),"—")</f>
        <v>—</v>
      </c>
      <c r="J165" s="3"/>
      <c r="K165" s="3"/>
      <c r="L165" s="3"/>
    </row>
    <row r="166" spans="1:12" x14ac:dyDescent="0.2">
      <c r="A166" s="30">
        <v>162</v>
      </c>
      <c r="B166" s="7" t="str">
        <f>IFERROR(IF(INDEX(Bookings!$D$5:$D$304,MATCH($A166,Bookings!$A$5:$A$304,0))="Cancelled","—",IF(INDEX(Bookings!$B$5:$B$304,MATCH($A166,Bookings!$A$5:$A$304,0))="","—",INDEX(Bookings!$B$5:$B$304,MATCH($A166,Bookings!$A$5:$A$304,0)))),"—")</f>
        <v>—</v>
      </c>
      <c r="C166" s="7" t="str">
        <f>IFERROR(IF(INDEX(Bookings!$D$5:$D$304,MATCH($A166,Bookings!$A$5:$A$304,0))="Cancelled","—",IF(INDEX(Bookings!$E$5:$E$304,MATCH($A166,Bookings!$A$5:$A$304,0))="","—",INDEX(Bookings!$E$5:$E$304,MATCH($A166,Bookings!$A$5:$A$304,0)))),"—")</f>
        <v>—</v>
      </c>
      <c r="D166" s="37" t="str">
        <f>IFERROR(IF(INDEX(Bookings!$D$5:$D$304,MATCH($A166,Bookings!$A$5:$A$304,0))="Cancelled","—",IF(INDEX(Bookings!$G$5:$G$304,MATCH($A166,Bookings!$A$5:$A$304,0))="","—",INDEX(Bookings!$G$5:$G$304,MATCH($A166,Bookings!$A$5:$A$304,0)))),"—")</f>
        <v>—</v>
      </c>
      <c r="E166" s="38" t="str">
        <f t="shared" ca="1" si="2"/>
        <v>—</v>
      </c>
      <c r="F166" s="39" t="str">
        <f>IF(OR(NOT(ISNUMBER($D166)),$B166="—",$B166=""),"—",IF(COUNTIFS(Bookings!$B$5:$B$304,$B166,Bookings!$F$5:$F$304,$D166)-COUNTIFS(Bookings!$B$5:$B$304,$B166,Bookings!$F$5:$F$304,$D166,Bookings!$D$5:$D$304,"Cancelled")-COUNTIFS(Bookings!$B$5:$B$304,$B166,Bookings!$F$5:$F$304,$D166,Bookings!$D$5:$D$304,"Owner block")&gt;0,"SAME-DAY TURN","No same-day guest"))</f>
        <v>—</v>
      </c>
      <c r="G166" s="38" t="str">
        <f>IFERROR(IF(INDEX(Bookings!$D$5:$D$304,MATCH($A166,Bookings!$A$5:$A$304,0))="Cancelled","—",IF(INDEX(Bookings!$I$5:$I$304,MATCH($A166,Bookings!$A$5:$A$304,0))="","—",INDEX(Bookings!$I$5:$I$304,MATCH($A166,Bookings!$A$5:$A$304,0)))),"—")</f>
        <v>—</v>
      </c>
      <c r="H166" s="38" t="str">
        <f>IFERROR(IF(INDEX(Setup!$I$25:$I$36,MATCH($B166,Setup!$A$25:$A$36,0))=0,"—",INDEX(Setup!$I$25:$I$36,MATCH($B166,Setup!$A$25:$A$36,0))),"—")</f>
        <v>—</v>
      </c>
      <c r="I166" s="21" t="str">
        <f>IFERROR(IF(INDEX(Setup!$E$25:$E$36,MATCH($B166,Setup!$A$25:$A$36,0))=0,"—",INDEX(Setup!$E$25:$E$36,MATCH($B166,Setup!$A$25:$A$36,0))),"—")</f>
        <v>—</v>
      </c>
      <c r="J166" s="8"/>
      <c r="K166" s="8"/>
      <c r="L166" s="8"/>
    </row>
    <row r="167" spans="1:12" x14ac:dyDescent="0.2">
      <c r="A167" s="30">
        <v>163</v>
      </c>
      <c r="B167" s="7" t="str">
        <f>IFERROR(IF(INDEX(Bookings!$D$5:$D$304,MATCH($A167,Bookings!$A$5:$A$304,0))="Cancelled","—",IF(INDEX(Bookings!$B$5:$B$304,MATCH($A167,Bookings!$A$5:$A$304,0))="","—",INDEX(Bookings!$B$5:$B$304,MATCH($A167,Bookings!$A$5:$A$304,0)))),"—")</f>
        <v>—</v>
      </c>
      <c r="C167" s="7" t="str">
        <f>IFERROR(IF(INDEX(Bookings!$D$5:$D$304,MATCH($A167,Bookings!$A$5:$A$304,0))="Cancelled","—",IF(INDEX(Bookings!$E$5:$E$304,MATCH($A167,Bookings!$A$5:$A$304,0))="","—",INDEX(Bookings!$E$5:$E$304,MATCH($A167,Bookings!$A$5:$A$304,0)))),"—")</f>
        <v>—</v>
      </c>
      <c r="D167" s="37" t="str">
        <f>IFERROR(IF(INDEX(Bookings!$D$5:$D$304,MATCH($A167,Bookings!$A$5:$A$304,0))="Cancelled","—",IF(INDEX(Bookings!$G$5:$G$304,MATCH($A167,Bookings!$A$5:$A$304,0))="","—",INDEX(Bookings!$G$5:$G$304,MATCH($A167,Bookings!$A$5:$A$304,0)))),"—")</f>
        <v>—</v>
      </c>
      <c r="E167" s="38" t="str">
        <f t="shared" ca="1" si="2"/>
        <v>—</v>
      </c>
      <c r="F167" s="39" t="str">
        <f>IF(OR(NOT(ISNUMBER($D167)),$B167="—",$B167=""),"—",IF(COUNTIFS(Bookings!$B$5:$B$304,$B167,Bookings!$F$5:$F$304,$D167)-COUNTIFS(Bookings!$B$5:$B$304,$B167,Bookings!$F$5:$F$304,$D167,Bookings!$D$5:$D$304,"Cancelled")-COUNTIFS(Bookings!$B$5:$B$304,$B167,Bookings!$F$5:$F$304,$D167,Bookings!$D$5:$D$304,"Owner block")&gt;0,"SAME-DAY TURN","No same-day guest"))</f>
        <v>—</v>
      </c>
      <c r="G167" s="38" t="str">
        <f>IFERROR(IF(INDEX(Bookings!$D$5:$D$304,MATCH($A167,Bookings!$A$5:$A$304,0))="Cancelled","—",IF(INDEX(Bookings!$I$5:$I$304,MATCH($A167,Bookings!$A$5:$A$304,0))="","—",INDEX(Bookings!$I$5:$I$304,MATCH($A167,Bookings!$A$5:$A$304,0)))),"—")</f>
        <v>—</v>
      </c>
      <c r="H167" s="38" t="str">
        <f>IFERROR(IF(INDEX(Setup!$I$25:$I$36,MATCH($B167,Setup!$A$25:$A$36,0))=0,"—",INDEX(Setup!$I$25:$I$36,MATCH($B167,Setup!$A$25:$A$36,0))),"—")</f>
        <v>—</v>
      </c>
      <c r="I167" s="21" t="str">
        <f>IFERROR(IF(INDEX(Setup!$E$25:$E$36,MATCH($B167,Setup!$A$25:$A$36,0))=0,"—",INDEX(Setup!$E$25:$E$36,MATCH($B167,Setup!$A$25:$A$36,0))),"—")</f>
        <v>—</v>
      </c>
      <c r="J167" s="3"/>
      <c r="K167" s="3"/>
      <c r="L167" s="3"/>
    </row>
    <row r="168" spans="1:12" x14ac:dyDescent="0.2">
      <c r="A168" s="30">
        <v>164</v>
      </c>
      <c r="B168" s="7" t="str">
        <f>IFERROR(IF(INDEX(Bookings!$D$5:$D$304,MATCH($A168,Bookings!$A$5:$A$304,0))="Cancelled","—",IF(INDEX(Bookings!$B$5:$B$304,MATCH($A168,Bookings!$A$5:$A$304,0))="","—",INDEX(Bookings!$B$5:$B$304,MATCH($A168,Bookings!$A$5:$A$304,0)))),"—")</f>
        <v>—</v>
      </c>
      <c r="C168" s="7" t="str">
        <f>IFERROR(IF(INDEX(Bookings!$D$5:$D$304,MATCH($A168,Bookings!$A$5:$A$304,0))="Cancelled","—",IF(INDEX(Bookings!$E$5:$E$304,MATCH($A168,Bookings!$A$5:$A$304,0))="","—",INDEX(Bookings!$E$5:$E$304,MATCH($A168,Bookings!$A$5:$A$304,0)))),"—")</f>
        <v>—</v>
      </c>
      <c r="D168" s="37" t="str">
        <f>IFERROR(IF(INDEX(Bookings!$D$5:$D$304,MATCH($A168,Bookings!$A$5:$A$304,0))="Cancelled","—",IF(INDEX(Bookings!$G$5:$G$304,MATCH($A168,Bookings!$A$5:$A$304,0))="","—",INDEX(Bookings!$G$5:$G$304,MATCH($A168,Bookings!$A$5:$A$304,0)))),"—")</f>
        <v>—</v>
      </c>
      <c r="E168" s="38" t="str">
        <f t="shared" ca="1" si="2"/>
        <v>—</v>
      </c>
      <c r="F168" s="39" t="str">
        <f>IF(OR(NOT(ISNUMBER($D168)),$B168="—",$B168=""),"—",IF(COUNTIFS(Bookings!$B$5:$B$304,$B168,Bookings!$F$5:$F$304,$D168)-COUNTIFS(Bookings!$B$5:$B$304,$B168,Bookings!$F$5:$F$304,$D168,Bookings!$D$5:$D$304,"Cancelled")-COUNTIFS(Bookings!$B$5:$B$304,$B168,Bookings!$F$5:$F$304,$D168,Bookings!$D$5:$D$304,"Owner block")&gt;0,"SAME-DAY TURN","No same-day guest"))</f>
        <v>—</v>
      </c>
      <c r="G168" s="38" t="str">
        <f>IFERROR(IF(INDEX(Bookings!$D$5:$D$304,MATCH($A168,Bookings!$A$5:$A$304,0))="Cancelled","—",IF(INDEX(Bookings!$I$5:$I$304,MATCH($A168,Bookings!$A$5:$A$304,0))="","—",INDEX(Bookings!$I$5:$I$304,MATCH($A168,Bookings!$A$5:$A$304,0)))),"—")</f>
        <v>—</v>
      </c>
      <c r="H168" s="38" t="str">
        <f>IFERROR(IF(INDEX(Setup!$I$25:$I$36,MATCH($B168,Setup!$A$25:$A$36,0))=0,"—",INDEX(Setup!$I$25:$I$36,MATCH($B168,Setup!$A$25:$A$36,0))),"—")</f>
        <v>—</v>
      </c>
      <c r="I168" s="21" t="str">
        <f>IFERROR(IF(INDEX(Setup!$E$25:$E$36,MATCH($B168,Setup!$A$25:$A$36,0))=0,"—",INDEX(Setup!$E$25:$E$36,MATCH($B168,Setup!$A$25:$A$36,0))),"—")</f>
        <v>—</v>
      </c>
      <c r="J168" s="8"/>
      <c r="K168" s="8"/>
      <c r="L168" s="8"/>
    </row>
    <row r="169" spans="1:12" x14ac:dyDescent="0.2">
      <c r="A169" s="30">
        <v>165</v>
      </c>
      <c r="B169" s="7" t="str">
        <f>IFERROR(IF(INDEX(Bookings!$D$5:$D$304,MATCH($A169,Bookings!$A$5:$A$304,0))="Cancelled","—",IF(INDEX(Bookings!$B$5:$B$304,MATCH($A169,Bookings!$A$5:$A$304,0))="","—",INDEX(Bookings!$B$5:$B$304,MATCH($A169,Bookings!$A$5:$A$304,0)))),"—")</f>
        <v>—</v>
      </c>
      <c r="C169" s="7" t="str">
        <f>IFERROR(IF(INDEX(Bookings!$D$5:$D$304,MATCH($A169,Bookings!$A$5:$A$304,0))="Cancelled","—",IF(INDEX(Bookings!$E$5:$E$304,MATCH($A169,Bookings!$A$5:$A$304,0))="","—",INDEX(Bookings!$E$5:$E$304,MATCH($A169,Bookings!$A$5:$A$304,0)))),"—")</f>
        <v>—</v>
      </c>
      <c r="D169" s="37" t="str">
        <f>IFERROR(IF(INDEX(Bookings!$D$5:$D$304,MATCH($A169,Bookings!$A$5:$A$304,0))="Cancelled","—",IF(INDEX(Bookings!$G$5:$G$304,MATCH($A169,Bookings!$A$5:$A$304,0))="","—",INDEX(Bookings!$G$5:$G$304,MATCH($A169,Bookings!$A$5:$A$304,0)))),"—")</f>
        <v>—</v>
      </c>
      <c r="E169" s="38" t="str">
        <f t="shared" ca="1" si="2"/>
        <v>—</v>
      </c>
      <c r="F169" s="39" t="str">
        <f>IF(OR(NOT(ISNUMBER($D169)),$B169="—",$B169=""),"—",IF(COUNTIFS(Bookings!$B$5:$B$304,$B169,Bookings!$F$5:$F$304,$D169)-COUNTIFS(Bookings!$B$5:$B$304,$B169,Bookings!$F$5:$F$304,$D169,Bookings!$D$5:$D$304,"Cancelled")-COUNTIFS(Bookings!$B$5:$B$304,$B169,Bookings!$F$5:$F$304,$D169,Bookings!$D$5:$D$304,"Owner block")&gt;0,"SAME-DAY TURN","No same-day guest"))</f>
        <v>—</v>
      </c>
      <c r="G169" s="38" t="str">
        <f>IFERROR(IF(INDEX(Bookings!$D$5:$D$304,MATCH($A169,Bookings!$A$5:$A$304,0))="Cancelled","—",IF(INDEX(Bookings!$I$5:$I$304,MATCH($A169,Bookings!$A$5:$A$304,0))="","—",INDEX(Bookings!$I$5:$I$304,MATCH($A169,Bookings!$A$5:$A$304,0)))),"—")</f>
        <v>—</v>
      </c>
      <c r="H169" s="38" t="str">
        <f>IFERROR(IF(INDEX(Setup!$I$25:$I$36,MATCH($B169,Setup!$A$25:$A$36,0))=0,"—",INDEX(Setup!$I$25:$I$36,MATCH($B169,Setup!$A$25:$A$36,0))),"—")</f>
        <v>—</v>
      </c>
      <c r="I169" s="21" t="str">
        <f>IFERROR(IF(INDEX(Setup!$E$25:$E$36,MATCH($B169,Setup!$A$25:$A$36,0))=0,"—",INDEX(Setup!$E$25:$E$36,MATCH($B169,Setup!$A$25:$A$36,0))),"—")</f>
        <v>—</v>
      </c>
      <c r="J169" s="3"/>
      <c r="K169" s="3"/>
      <c r="L169" s="3"/>
    </row>
    <row r="170" spans="1:12" x14ac:dyDescent="0.2">
      <c r="A170" s="30">
        <v>166</v>
      </c>
      <c r="B170" s="7" t="str">
        <f>IFERROR(IF(INDEX(Bookings!$D$5:$D$304,MATCH($A170,Bookings!$A$5:$A$304,0))="Cancelled","—",IF(INDEX(Bookings!$B$5:$B$304,MATCH($A170,Bookings!$A$5:$A$304,0))="","—",INDEX(Bookings!$B$5:$B$304,MATCH($A170,Bookings!$A$5:$A$304,0)))),"—")</f>
        <v>—</v>
      </c>
      <c r="C170" s="7" t="str">
        <f>IFERROR(IF(INDEX(Bookings!$D$5:$D$304,MATCH($A170,Bookings!$A$5:$A$304,0))="Cancelled","—",IF(INDEX(Bookings!$E$5:$E$304,MATCH($A170,Bookings!$A$5:$A$304,0))="","—",INDEX(Bookings!$E$5:$E$304,MATCH($A170,Bookings!$A$5:$A$304,0)))),"—")</f>
        <v>—</v>
      </c>
      <c r="D170" s="37" t="str">
        <f>IFERROR(IF(INDEX(Bookings!$D$5:$D$304,MATCH($A170,Bookings!$A$5:$A$304,0))="Cancelled","—",IF(INDEX(Bookings!$G$5:$G$304,MATCH($A170,Bookings!$A$5:$A$304,0))="","—",INDEX(Bookings!$G$5:$G$304,MATCH($A170,Bookings!$A$5:$A$304,0)))),"—")</f>
        <v>—</v>
      </c>
      <c r="E170" s="38" t="str">
        <f t="shared" ca="1" si="2"/>
        <v>—</v>
      </c>
      <c r="F170" s="39" t="str">
        <f>IF(OR(NOT(ISNUMBER($D170)),$B170="—",$B170=""),"—",IF(COUNTIFS(Bookings!$B$5:$B$304,$B170,Bookings!$F$5:$F$304,$D170)-COUNTIFS(Bookings!$B$5:$B$304,$B170,Bookings!$F$5:$F$304,$D170,Bookings!$D$5:$D$304,"Cancelled")-COUNTIFS(Bookings!$B$5:$B$304,$B170,Bookings!$F$5:$F$304,$D170,Bookings!$D$5:$D$304,"Owner block")&gt;0,"SAME-DAY TURN","No same-day guest"))</f>
        <v>—</v>
      </c>
      <c r="G170" s="38" t="str">
        <f>IFERROR(IF(INDEX(Bookings!$D$5:$D$304,MATCH($A170,Bookings!$A$5:$A$304,0))="Cancelled","—",IF(INDEX(Bookings!$I$5:$I$304,MATCH($A170,Bookings!$A$5:$A$304,0))="","—",INDEX(Bookings!$I$5:$I$304,MATCH($A170,Bookings!$A$5:$A$304,0)))),"—")</f>
        <v>—</v>
      </c>
      <c r="H170" s="38" t="str">
        <f>IFERROR(IF(INDEX(Setup!$I$25:$I$36,MATCH($B170,Setup!$A$25:$A$36,0))=0,"—",INDEX(Setup!$I$25:$I$36,MATCH($B170,Setup!$A$25:$A$36,0))),"—")</f>
        <v>—</v>
      </c>
      <c r="I170" s="21" t="str">
        <f>IFERROR(IF(INDEX(Setup!$E$25:$E$36,MATCH($B170,Setup!$A$25:$A$36,0))=0,"—",INDEX(Setup!$E$25:$E$36,MATCH($B170,Setup!$A$25:$A$36,0))),"—")</f>
        <v>—</v>
      </c>
      <c r="J170" s="8"/>
      <c r="K170" s="8"/>
      <c r="L170" s="8"/>
    </row>
    <row r="171" spans="1:12" x14ac:dyDescent="0.2">
      <c r="A171" s="30">
        <v>167</v>
      </c>
      <c r="B171" s="7" t="str">
        <f>IFERROR(IF(INDEX(Bookings!$D$5:$D$304,MATCH($A171,Bookings!$A$5:$A$304,0))="Cancelled","—",IF(INDEX(Bookings!$B$5:$B$304,MATCH($A171,Bookings!$A$5:$A$304,0))="","—",INDEX(Bookings!$B$5:$B$304,MATCH($A171,Bookings!$A$5:$A$304,0)))),"—")</f>
        <v>—</v>
      </c>
      <c r="C171" s="7" t="str">
        <f>IFERROR(IF(INDEX(Bookings!$D$5:$D$304,MATCH($A171,Bookings!$A$5:$A$304,0))="Cancelled","—",IF(INDEX(Bookings!$E$5:$E$304,MATCH($A171,Bookings!$A$5:$A$304,0))="","—",INDEX(Bookings!$E$5:$E$304,MATCH($A171,Bookings!$A$5:$A$304,0)))),"—")</f>
        <v>—</v>
      </c>
      <c r="D171" s="37" t="str">
        <f>IFERROR(IF(INDEX(Bookings!$D$5:$D$304,MATCH($A171,Bookings!$A$5:$A$304,0))="Cancelled","—",IF(INDEX(Bookings!$G$5:$G$304,MATCH($A171,Bookings!$A$5:$A$304,0))="","—",INDEX(Bookings!$G$5:$G$304,MATCH($A171,Bookings!$A$5:$A$304,0)))),"—")</f>
        <v>—</v>
      </c>
      <c r="E171" s="38" t="str">
        <f t="shared" ca="1" si="2"/>
        <v>—</v>
      </c>
      <c r="F171" s="39" t="str">
        <f>IF(OR(NOT(ISNUMBER($D171)),$B171="—",$B171=""),"—",IF(COUNTIFS(Bookings!$B$5:$B$304,$B171,Bookings!$F$5:$F$304,$D171)-COUNTIFS(Bookings!$B$5:$B$304,$B171,Bookings!$F$5:$F$304,$D171,Bookings!$D$5:$D$304,"Cancelled")-COUNTIFS(Bookings!$B$5:$B$304,$B171,Bookings!$F$5:$F$304,$D171,Bookings!$D$5:$D$304,"Owner block")&gt;0,"SAME-DAY TURN","No same-day guest"))</f>
        <v>—</v>
      </c>
      <c r="G171" s="38" t="str">
        <f>IFERROR(IF(INDEX(Bookings!$D$5:$D$304,MATCH($A171,Bookings!$A$5:$A$304,0))="Cancelled","—",IF(INDEX(Bookings!$I$5:$I$304,MATCH($A171,Bookings!$A$5:$A$304,0))="","—",INDEX(Bookings!$I$5:$I$304,MATCH($A171,Bookings!$A$5:$A$304,0)))),"—")</f>
        <v>—</v>
      </c>
      <c r="H171" s="38" t="str">
        <f>IFERROR(IF(INDEX(Setup!$I$25:$I$36,MATCH($B171,Setup!$A$25:$A$36,0))=0,"—",INDEX(Setup!$I$25:$I$36,MATCH($B171,Setup!$A$25:$A$36,0))),"—")</f>
        <v>—</v>
      </c>
      <c r="I171" s="21" t="str">
        <f>IFERROR(IF(INDEX(Setup!$E$25:$E$36,MATCH($B171,Setup!$A$25:$A$36,0))=0,"—",INDEX(Setup!$E$25:$E$36,MATCH($B171,Setup!$A$25:$A$36,0))),"—")</f>
        <v>—</v>
      </c>
      <c r="J171" s="3"/>
      <c r="K171" s="3"/>
      <c r="L171" s="3"/>
    </row>
    <row r="172" spans="1:12" x14ac:dyDescent="0.2">
      <c r="A172" s="30">
        <v>168</v>
      </c>
      <c r="B172" s="7" t="str">
        <f>IFERROR(IF(INDEX(Bookings!$D$5:$D$304,MATCH($A172,Bookings!$A$5:$A$304,0))="Cancelled","—",IF(INDEX(Bookings!$B$5:$B$304,MATCH($A172,Bookings!$A$5:$A$304,0))="","—",INDEX(Bookings!$B$5:$B$304,MATCH($A172,Bookings!$A$5:$A$304,0)))),"—")</f>
        <v>—</v>
      </c>
      <c r="C172" s="7" t="str">
        <f>IFERROR(IF(INDEX(Bookings!$D$5:$D$304,MATCH($A172,Bookings!$A$5:$A$304,0))="Cancelled","—",IF(INDEX(Bookings!$E$5:$E$304,MATCH($A172,Bookings!$A$5:$A$304,0))="","—",INDEX(Bookings!$E$5:$E$304,MATCH($A172,Bookings!$A$5:$A$304,0)))),"—")</f>
        <v>—</v>
      </c>
      <c r="D172" s="37" t="str">
        <f>IFERROR(IF(INDEX(Bookings!$D$5:$D$304,MATCH($A172,Bookings!$A$5:$A$304,0))="Cancelled","—",IF(INDEX(Bookings!$G$5:$G$304,MATCH($A172,Bookings!$A$5:$A$304,0))="","—",INDEX(Bookings!$G$5:$G$304,MATCH($A172,Bookings!$A$5:$A$304,0)))),"—")</f>
        <v>—</v>
      </c>
      <c r="E172" s="38" t="str">
        <f t="shared" ca="1" si="2"/>
        <v>—</v>
      </c>
      <c r="F172" s="39" t="str">
        <f>IF(OR(NOT(ISNUMBER($D172)),$B172="—",$B172=""),"—",IF(COUNTIFS(Bookings!$B$5:$B$304,$B172,Bookings!$F$5:$F$304,$D172)-COUNTIFS(Bookings!$B$5:$B$304,$B172,Bookings!$F$5:$F$304,$D172,Bookings!$D$5:$D$304,"Cancelled")-COUNTIFS(Bookings!$B$5:$B$304,$B172,Bookings!$F$5:$F$304,$D172,Bookings!$D$5:$D$304,"Owner block")&gt;0,"SAME-DAY TURN","No same-day guest"))</f>
        <v>—</v>
      </c>
      <c r="G172" s="38" t="str">
        <f>IFERROR(IF(INDEX(Bookings!$D$5:$D$304,MATCH($A172,Bookings!$A$5:$A$304,0))="Cancelled","—",IF(INDEX(Bookings!$I$5:$I$304,MATCH($A172,Bookings!$A$5:$A$304,0))="","—",INDEX(Bookings!$I$5:$I$304,MATCH($A172,Bookings!$A$5:$A$304,0)))),"—")</f>
        <v>—</v>
      </c>
      <c r="H172" s="38" t="str">
        <f>IFERROR(IF(INDEX(Setup!$I$25:$I$36,MATCH($B172,Setup!$A$25:$A$36,0))=0,"—",INDEX(Setup!$I$25:$I$36,MATCH($B172,Setup!$A$25:$A$36,0))),"—")</f>
        <v>—</v>
      </c>
      <c r="I172" s="21" t="str">
        <f>IFERROR(IF(INDEX(Setup!$E$25:$E$36,MATCH($B172,Setup!$A$25:$A$36,0))=0,"—",INDEX(Setup!$E$25:$E$36,MATCH($B172,Setup!$A$25:$A$36,0))),"—")</f>
        <v>—</v>
      </c>
      <c r="J172" s="8"/>
      <c r="K172" s="8"/>
      <c r="L172" s="8"/>
    </row>
    <row r="173" spans="1:12" x14ac:dyDescent="0.2">
      <c r="A173" s="30">
        <v>169</v>
      </c>
      <c r="B173" s="7" t="str">
        <f>IFERROR(IF(INDEX(Bookings!$D$5:$D$304,MATCH($A173,Bookings!$A$5:$A$304,0))="Cancelled","—",IF(INDEX(Bookings!$B$5:$B$304,MATCH($A173,Bookings!$A$5:$A$304,0))="","—",INDEX(Bookings!$B$5:$B$304,MATCH($A173,Bookings!$A$5:$A$304,0)))),"—")</f>
        <v>—</v>
      </c>
      <c r="C173" s="7" t="str">
        <f>IFERROR(IF(INDEX(Bookings!$D$5:$D$304,MATCH($A173,Bookings!$A$5:$A$304,0))="Cancelled","—",IF(INDEX(Bookings!$E$5:$E$304,MATCH($A173,Bookings!$A$5:$A$304,0))="","—",INDEX(Bookings!$E$5:$E$304,MATCH($A173,Bookings!$A$5:$A$304,0)))),"—")</f>
        <v>—</v>
      </c>
      <c r="D173" s="37" t="str">
        <f>IFERROR(IF(INDEX(Bookings!$D$5:$D$304,MATCH($A173,Bookings!$A$5:$A$304,0))="Cancelled","—",IF(INDEX(Bookings!$G$5:$G$304,MATCH($A173,Bookings!$A$5:$A$304,0))="","—",INDEX(Bookings!$G$5:$G$304,MATCH($A173,Bookings!$A$5:$A$304,0)))),"—")</f>
        <v>—</v>
      </c>
      <c r="E173" s="38" t="str">
        <f t="shared" ca="1" si="2"/>
        <v>—</v>
      </c>
      <c r="F173" s="39" t="str">
        <f>IF(OR(NOT(ISNUMBER($D173)),$B173="—",$B173=""),"—",IF(COUNTIFS(Bookings!$B$5:$B$304,$B173,Bookings!$F$5:$F$304,$D173)-COUNTIFS(Bookings!$B$5:$B$304,$B173,Bookings!$F$5:$F$304,$D173,Bookings!$D$5:$D$304,"Cancelled")-COUNTIFS(Bookings!$B$5:$B$304,$B173,Bookings!$F$5:$F$304,$D173,Bookings!$D$5:$D$304,"Owner block")&gt;0,"SAME-DAY TURN","No same-day guest"))</f>
        <v>—</v>
      </c>
      <c r="G173" s="38" t="str">
        <f>IFERROR(IF(INDEX(Bookings!$D$5:$D$304,MATCH($A173,Bookings!$A$5:$A$304,0))="Cancelled","—",IF(INDEX(Bookings!$I$5:$I$304,MATCH($A173,Bookings!$A$5:$A$304,0))="","—",INDEX(Bookings!$I$5:$I$304,MATCH($A173,Bookings!$A$5:$A$304,0)))),"—")</f>
        <v>—</v>
      </c>
      <c r="H173" s="38" t="str">
        <f>IFERROR(IF(INDEX(Setup!$I$25:$I$36,MATCH($B173,Setup!$A$25:$A$36,0))=0,"—",INDEX(Setup!$I$25:$I$36,MATCH($B173,Setup!$A$25:$A$36,0))),"—")</f>
        <v>—</v>
      </c>
      <c r="I173" s="21" t="str">
        <f>IFERROR(IF(INDEX(Setup!$E$25:$E$36,MATCH($B173,Setup!$A$25:$A$36,0))=0,"—",INDEX(Setup!$E$25:$E$36,MATCH($B173,Setup!$A$25:$A$36,0))),"—")</f>
        <v>—</v>
      </c>
      <c r="J173" s="3"/>
      <c r="K173" s="3"/>
      <c r="L173" s="3"/>
    </row>
    <row r="174" spans="1:12" x14ac:dyDescent="0.2">
      <c r="A174" s="30">
        <v>170</v>
      </c>
      <c r="B174" s="7" t="str">
        <f>IFERROR(IF(INDEX(Bookings!$D$5:$D$304,MATCH($A174,Bookings!$A$5:$A$304,0))="Cancelled","—",IF(INDEX(Bookings!$B$5:$B$304,MATCH($A174,Bookings!$A$5:$A$304,0))="","—",INDEX(Bookings!$B$5:$B$304,MATCH($A174,Bookings!$A$5:$A$304,0)))),"—")</f>
        <v>—</v>
      </c>
      <c r="C174" s="7" t="str">
        <f>IFERROR(IF(INDEX(Bookings!$D$5:$D$304,MATCH($A174,Bookings!$A$5:$A$304,0))="Cancelled","—",IF(INDEX(Bookings!$E$5:$E$304,MATCH($A174,Bookings!$A$5:$A$304,0))="","—",INDEX(Bookings!$E$5:$E$304,MATCH($A174,Bookings!$A$5:$A$304,0)))),"—")</f>
        <v>—</v>
      </c>
      <c r="D174" s="37" t="str">
        <f>IFERROR(IF(INDEX(Bookings!$D$5:$D$304,MATCH($A174,Bookings!$A$5:$A$304,0))="Cancelled","—",IF(INDEX(Bookings!$G$5:$G$304,MATCH($A174,Bookings!$A$5:$A$304,0))="","—",INDEX(Bookings!$G$5:$G$304,MATCH($A174,Bookings!$A$5:$A$304,0)))),"—")</f>
        <v>—</v>
      </c>
      <c r="E174" s="38" t="str">
        <f t="shared" ca="1" si="2"/>
        <v>—</v>
      </c>
      <c r="F174" s="39" t="str">
        <f>IF(OR(NOT(ISNUMBER($D174)),$B174="—",$B174=""),"—",IF(COUNTIFS(Bookings!$B$5:$B$304,$B174,Bookings!$F$5:$F$304,$D174)-COUNTIFS(Bookings!$B$5:$B$304,$B174,Bookings!$F$5:$F$304,$D174,Bookings!$D$5:$D$304,"Cancelled")-COUNTIFS(Bookings!$B$5:$B$304,$B174,Bookings!$F$5:$F$304,$D174,Bookings!$D$5:$D$304,"Owner block")&gt;0,"SAME-DAY TURN","No same-day guest"))</f>
        <v>—</v>
      </c>
      <c r="G174" s="38" t="str">
        <f>IFERROR(IF(INDEX(Bookings!$D$5:$D$304,MATCH($A174,Bookings!$A$5:$A$304,0))="Cancelled","—",IF(INDEX(Bookings!$I$5:$I$304,MATCH($A174,Bookings!$A$5:$A$304,0))="","—",INDEX(Bookings!$I$5:$I$304,MATCH($A174,Bookings!$A$5:$A$304,0)))),"—")</f>
        <v>—</v>
      </c>
      <c r="H174" s="38" t="str">
        <f>IFERROR(IF(INDEX(Setup!$I$25:$I$36,MATCH($B174,Setup!$A$25:$A$36,0))=0,"—",INDEX(Setup!$I$25:$I$36,MATCH($B174,Setup!$A$25:$A$36,0))),"—")</f>
        <v>—</v>
      </c>
      <c r="I174" s="21" t="str">
        <f>IFERROR(IF(INDEX(Setup!$E$25:$E$36,MATCH($B174,Setup!$A$25:$A$36,0))=0,"—",INDEX(Setup!$E$25:$E$36,MATCH($B174,Setup!$A$25:$A$36,0))),"—")</f>
        <v>—</v>
      </c>
      <c r="J174" s="8"/>
      <c r="K174" s="8"/>
      <c r="L174" s="8"/>
    </row>
    <row r="175" spans="1:12" x14ac:dyDescent="0.2">
      <c r="A175" s="30">
        <v>171</v>
      </c>
      <c r="B175" s="7" t="str">
        <f>IFERROR(IF(INDEX(Bookings!$D$5:$D$304,MATCH($A175,Bookings!$A$5:$A$304,0))="Cancelled","—",IF(INDEX(Bookings!$B$5:$B$304,MATCH($A175,Bookings!$A$5:$A$304,0))="","—",INDEX(Bookings!$B$5:$B$304,MATCH($A175,Bookings!$A$5:$A$304,0)))),"—")</f>
        <v>—</v>
      </c>
      <c r="C175" s="7" t="str">
        <f>IFERROR(IF(INDEX(Bookings!$D$5:$D$304,MATCH($A175,Bookings!$A$5:$A$304,0))="Cancelled","—",IF(INDEX(Bookings!$E$5:$E$304,MATCH($A175,Bookings!$A$5:$A$304,0))="","—",INDEX(Bookings!$E$5:$E$304,MATCH($A175,Bookings!$A$5:$A$304,0)))),"—")</f>
        <v>—</v>
      </c>
      <c r="D175" s="37" t="str">
        <f>IFERROR(IF(INDEX(Bookings!$D$5:$D$304,MATCH($A175,Bookings!$A$5:$A$304,0))="Cancelled","—",IF(INDEX(Bookings!$G$5:$G$304,MATCH($A175,Bookings!$A$5:$A$304,0))="","—",INDEX(Bookings!$G$5:$G$304,MATCH($A175,Bookings!$A$5:$A$304,0)))),"—")</f>
        <v>—</v>
      </c>
      <c r="E175" s="38" t="str">
        <f t="shared" ca="1" si="2"/>
        <v>—</v>
      </c>
      <c r="F175" s="39" t="str">
        <f>IF(OR(NOT(ISNUMBER($D175)),$B175="—",$B175=""),"—",IF(COUNTIFS(Bookings!$B$5:$B$304,$B175,Bookings!$F$5:$F$304,$D175)-COUNTIFS(Bookings!$B$5:$B$304,$B175,Bookings!$F$5:$F$304,$D175,Bookings!$D$5:$D$304,"Cancelled")-COUNTIFS(Bookings!$B$5:$B$304,$B175,Bookings!$F$5:$F$304,$D175,Bookings!$D$5:$D$304,"Owner block")&gt;0,"SAME-DAY TURN","No same-day guest"))</f>
        <v>—</v>
      </c>
      <c r="G175" s="38" t="str">
        <f>IFERROR(IF(INDEX(Bookings!$D$5:$D$304,MATCH($A175,Bookings!$A$5:$A$304,0))="Cancelled","—",IF(INDEX(Bookings!$I$5:$I$304,MATCH($A175,Bookings!$A$5:$A$304,0))="","—",INDEX(Bookings!$I$5:$I$304,MATCH($A175,Bookings!$A$5:$A$304,0)))),"—")</f>
        <v>—</v>
      </c>
      <c r="H175" s="38" t="str">
        <f>IFERROR(IF(INDEX(Setup!$I$25:$I$36,MATCH($B175,Setup!$A$25:$A$36,0))=0,"—",INDEX(Setup!$I$25:$I$36,MATCH($B175,Setup!$A$25:$A$36,0))),"—")</f>
        <v>—</v>
      </c>
      <c r="I175" s="21" t="str">
        <f>IFERROR(IF(INDEX(Setup!$E$25:$E$36,MATCH($B175,Setup!$A$25:$A$36,0))=0,"—",INDEX(Setup!$E$25:$E$36,MATCH($B175,Setup!$A$25:$A$36,0))),"—")</f>
        <v>—</v>
      </c>
      <c r="J175" s="3"/>
      <c r="K175" s="3"/>
      <c r="L175" s="3"/>
    </row>
    <row r="176" spans="1:12" x14ac:dyDescent="0.2">
      <c r="A176" s="30">
        <v>172</v>
      </c>
      <c r="B176" s="7" t="str">
        <f>IFERROR(IF(INDEX(Bookings!$D$5:$D$304,MATCH($A176,Bookings!$A$5:$A$304,0))="Cancelled","—",IF(INDEX(Bookings!$B$5:$B$304,MATCH($A176,Bookings!$A$5:$A$304,0))="","—",INDEX(Bookings!$B$5:$B$304,MATCH($A176,Bookings!$A$5:$A$304,0)))),"—")</f>
        <v>—</v>
      </c>
      <c r="C176" s="7" t="str">
        <f>IFERROR(IF(INDEX(Bookings!$D$5:$D$304,MATCH($A176,Bookings!$A$5:$A$304,0))="Cancelled","—",IF(INDEX(Bookings!$E$5:$E$304,MATCH($A176,Bookings!$A$5:$A$304,0))="","—",INDEX(Bookings!$E$5:$E$304,MATCH($A176,Bookings!$A$5:$A$304,0)))),"—")</f>
        <v>—</v>
      </c>
      <c r="D176" s="37" t="str">
        <f>IFERROR(IF(INDEX(Bookings!$D$5:$D$304,MATCH($A176,Bookings!$A$5:$A$304,0))="Cancelled","—",IF(INDEX(Bookings!$G$5:$G$304,MATCH($A176,Bookings!$A$5:$A$304,0))="","—",INDEX(Bookings!$G$5:$G$304,MATCH($A176,Bookings!$A$5:$A$304,0)))),"—")</f>
        <v>—</v>
      </c>
      <c r="E176" s="38" t="str">
        <f t="shared" ca="1" si="2"/>
        <v>—</v>
      </c>
      <c r="F176" s="39" t="str">
        <f>IF(OR(NOT(ISNUMBER($D176)),$B176="—",$B176=""),"—",IF(COUNTIFS(Bookings!$B$5:$B$304,$B176,Bookings!$F$5:$F$304,$D176)-COUNTIFS(Bookings!$B$5:$B$304,$B176,Bookings!$F$5:$F$304,$D176,Bookings!$D$5:$D$304,"Cancelled")-COUNTIFS(Bookings!$B$5:$B$304,$B176,Bookings!$F$5:$F$304,$D176,Bookings!$D$5:$D$304,"Owner block")&gt;0,"SAME-DAY TURN","No same-day guest"))</f>
        <v>—</v>
      </c>
      <c r="G176" s="38" t="str">
        <f>IFERROR(IF(INDEX(Bookings!$D$5:$D$304,MATCH($A176,Bookings!$A$5:$A$304,0))="Cancelled","—",IF(INDEX(Bookings!$I$5:$I$304,MATCH($A176,Bookings!$A$5:$A$304,0))="","—",INDEX(Bookings!$I$5:$I$304,MATCH($A176,Bookings!$A$5:$A$304,0)))),"—")</f>
        <v>—</v>
      </c>
      <c r="H176" s="38" t="str">
        <f>IFERROR(IF(INDEX(Setup!$I$25:$I$36,MATCH($B176,Setup!$A$25:$A$36,0))=0,"—",INDEX(Setup!$I$25:$I$36,MATCH($B176,Setup!$A$25:$A$36,0))),"—")</f>
        <v>—</v>
      </c>
      <c r="I176" s="21" t="str">
        <f>IFERROR(IF(INDEX(Setup!$E$25:$E$36,MATCH($B176,Setup!$A$25:$A$36,0))=0,"—",INDEX(Setup!$E$25:$E$36,MATCH($B176,Setup!$A$25:$A$36,0))),"—")</f>
        <v>—</v>
      </c>
      <c r="J176" s="8"/>
      <c r="K176" s="8"/>
      <c r="L176" s="8"/>
    </row>
    <row r="177" spans="1:12" x14ac:dyDescent="0.2">
      <c r="A177" s="30">
        <v>173</v>
      </c>
      <c r="B177" s="7" t="str">
        <f>IFERROR(IF(INDEX(Bookings!$D$5:$D$304,MATCH($A177,Bookings!$A$5:$A$304,0))="Cancelled","—",IF(INDEX(Bookings!$B$5:$B$304,MATCH($A177,Bookings!$A$5:$A$304,0))="","—",INDEX(Bookings!$B$5:$B$304,MATCH($A177,Bookings!$A$5:$A$304,0)))),"—")</f>
        <v>—</v>
      </c>
      <c r="C177" s="7" t="str">
        <f>IFERROR(IF(INDEX(Bookings!$D$5:$D$304,MATCH($A177,Bookings!$A$5:$A$304,0))="Cancelled","—",IF(INDEX(Bookings!$E$5:$E$304,MATCH($A177,Bookings!$A$5:$A$304,0))="","—",INDEX(Bookings!$E$5:$E$304,MATCH($A177,Bookings!$A$5:$A$304,0)))),"—")</f>
        <v>—</v>
      </c>
      <c r="D177" s="37" t="str">
        <f>IFERROR(IF(INDEX(Bookings!$D$5:$D$304,MATCH($A177,Bookings!$A$5:$A$304,0))="Cancelled","—",IF(INDEX(Bookings!$G$5:$G$304,MATCH($A177,Bookings!$A$5:$A$304,0))="","—",INDEX(Bookings!$G$5:$G$304,MATCH($A177,Bookings!$A$5:$A$304,0)))),"—")</f>
        <v>—</v>
      </c>
      <c r="E177" s="38" t="str">
        <f t="shared" ca="1" si="2"/>
        <v>—</v>
      </c>
      <c r="F177" s="39" t="str">
        <f>IF(OR(NOT(ISNUMBER($D177)),$B177="—",$B177=""),"—",IF(COUNTIFS(Bookings!$B$5:$B$304,$B177,Bookings!$F$5:$F$304,$D177)-COUNTIFS(Bookings!$B$5:$B$304,$B177,Bookings!$F$5:$F$304,$D177,Bookings!$D$5:$D$304,"Cancelled")-COUNTIFS(Bookings!$B$5:$B$304,$B177,Bookings!$F$5:$F$304,$D177,Bookings!$D$5:$D$304,"Owner block")&gt;0,"SAME-DAY TURN","No same-day guest"))</f>
        <v>—</v>
      </c>
      <c r="G177" s="38" t="str">
        <f>IFERROR(IF(INDEX(Bookings!$D$5:$D$304,MATCH($A177,Bookings!$A$5:$A$304,0))="Cancelled","—",IF(INDEX(Bookings!$I$5:$I$304,MATCH($A177,Bookings!$A$5:$A$304,0))="","—",INDEX(Bookings!$I$5:$I$304,MATCH($A177,Bookings!$A$5:$A$304,0)))),"—")</f>
        <v>—</v>
      </c>
      <c r="H177" s="38" t="str">
        <f>IFERROR(IF(INDEX(Setup!$I$25:$I$36,MATCH($B177,Setup!$A$25:$A$36,0))=0,"—",INDEX(Setup!$I$25:$I$36,MATCH($B177,Setup!$A$25:$A$36,0))),"—")</f>
        <v>—</v>
      </c>
      <c r="I177" s="21" t="str">
        <f>IFERROR(IF(INDEX(Setup!$E$25:$E$36,MATCH($B177,Setup!$A$25:$A$36,0))=0,"—",INDEX(Setup!$E$25:$E$36,MATCH($B177,Setup!$A$25:$A$36,0))),"—")</f>
        <v>—</v>
      </c>
      <c r="J177" s="3"/>
      <c r="K177" s="3"/>
      <c r="L177" s="3"/>
    </row>
    <row r="178" spans="1:12" x14ac:dyDescent="0.2">
      <c r="A178" s="30">
        <v>174</v>
      </c>
      <c r="B178" s="7" t="str">
        <f>IFERROR(IF(INDEX(Bookings!$D$5:$D$304,MATCH($A178,Bookings!$A$5:$A$304,0))="Cancelled","—",IF(INDEX(Bookings!$B$5:$B$304,MATCH($A178,Bookings!$A$5:$A$304,0))="","—",INDEX(Bookings!$B$5:$B$304,MATCH($A178,Bookings!$A$5:$A$304,0)))),"—")</f>
        <v>—</v>
      </c>
      <c r="C178" s="7" t="str">
        <f>IFERROR(IF(INDEX(Bookings!$D$5:$D$304,MATCH($A178,Bookings!$A$5:$A$304,0))="Cancelled","—",IF(INDEX(Bookings!$E$5:$E$304,MATCH($A178,Bookings!$A$5:$A$304,0))="","—",INDEX(Bookings!$E$5:$E$304,MATCH($A178,Bookings!$A$5:$A$304,0)))),"—")</f>
        <v>—</v>
      </c>
      <c r="D178" s="37" t="str">
        <f>IFERROR(IF(INDEX(Bookings!$D$5:$D$304,MATCH($A178,Bookings!$A$5:$A$304,0))="Cancelled","—",IF(INDEX(Bookings!$G$5:$G$304,MATCH($A178,Bookings!$A$5:$A$304,0))="","—",INDEX(Bookings!$G$5:$G$304,MATCH($A178,Bookings!$A$5:$A$304,0)))),"—")</f>
        <v>—</v>
      </c>
      <c r="E178" s="38" t="str">
        <f t="shared" ca="1" si="2"/>
        <v>—</v>
      </c>
      <c r="F178" s="39" t="str">
        <f>IF(OR(NOT(ISNUMBER($D178)),$B178="—",$B178=""),"—",IF(COUNTIFS(Bookings!$B$5:$B$304,$B178,Bookings!$F$5:$F$304,$D178)-COUNTIFS(Bookings!$B$5:$B$304,$B178,Bookings!$F$5:$F$304,$D178,Bookings!$D$5:$D$304,"Cancelled")-COUNTIFS(Bookings!$B$5:$B$304,$B178,Bookings!$F$5:$F$304,$D178,Bookings!$D$5:$D$304,"Owner block")&gt;0,"SAME-DAY TURN","No same-day guest"))</f>
        <v>—</v>
      </c>
      <c r="G178" s="38" t="str">
        <f>IFERROR(IF(INDEX(Bookings!$D$5:$D$304,MATCH($A178,Bookings!$A$5:$A$304,0))="Cancelled","—",IF(INDEX(Bookings!$I$5:$I$304,MATCH($A178,Bookings!$A$5:$A$304,0))="","—",INDEX(Bookings!$I$5:$I$304,MATCH($A178,Bookings!$A$5:$A$304,0)))),"—")</f>
        <v>—</v>
      </c>
      <c r="H178" s="38" t="str">
        <f>IFERROR(IF(INDEX(Setup!$I$25:$I$36,MATCH($B178,Setup!$A$25:$A$36,0))=0,"—",INDEX(Setup!$I$25:$I$36,MATCH($B178,Setup!$A$25:$A$36,0))),"—")</f>
        <v>—</v>
      </c>
      <c r="I178" s="21" t="str">
        <f>IFERROR(IF(INDEX(Setup!$E$25:$E$36,MATCH($B178,Setup!$A$25:$A$36,0))=0,"—",INDEX(Setup!$E$25:$E$36,MATCH($B178,Setup!$A$25:$A$36,0))),"—")</f>
        <v>—</v>
      </c>
      <c r="J178" s="8"/>
      <c r="K178" s="8"/>
      <c r="L178" s="8"/>
    </row>
    <row r="179" spans="1:12" x14ac:dyDescent="0.2">
      <c r="A179" s="30">
        <v>175</v>
      </c>
      <c r="B179" s="7" t="str">
        <f>IFERROR(IF(INDEX(Bookings!$D$5:$D$304,MATCH($A179,Bookings!$A$5:$A$304,0))="Cancelled","—",IF(INDEX(Bookings!$B$5:$B$304,MATCH($A179,Bookings!$A$5:$A$304,0))="","—",INDEX(Bookings!$B$5:$B$304,MATCH($A179,Bookings!$A$5:$A$304,0)))),"—")</f>
        <v>—</v>
      </c>
      <c r="C179" s="7" t="str">
        <f>IFERROR(IF(INDEX(Bookings!$D$5:$D$304,MATCH($A179,Bookings!$A$5:$A$304,0))="Cancelled","—",IF(INDEX(Bookings!$E$5:$E$304,MATCH($A179,Bookings!$A$5:$A$304,0))="","—",INDEX(Bookings!$E$5:$E$304,MATCH($A179,Bookings!$A$5:$A$304,0)))),"—")</f>
        <v>—</v>
      </c>
      <c r="D179" s="37" t="str">
        <f>IFERROR(IF(INDEX(Bookings!$D$5:$D$304,MATCH($A179,Bookings!$A$5:$A$304,0))="Cancelled","—",IF(INDEX(Bookings!$G$5:$G$304,MATCH($A179,Bookings!$A$5:$A$304,0))="","—",INDEX(Bookings!$G$5:$G$304,MATCH($A179,Bookings!$A$5:$A$304,0)))),"—")</f>
        <v>—</v>
      </c>
      <c r="E179" s="38" t="str">
        <f t="shared" ca="1" si="2"/>
        <v>—</v>
      </c>
      <c r="F179" s="39" t="str">
        <f>IF(OR(NOT(ISNUMBER($D179)),$B179="—",$B179=""),"—",IF(COUNTIFS(Bookings!$B$5:$B$304,$B179,Bookings!$F$5:$F$304,$D179)-COUNTIFS(Bookings!$B$5:$B$304,$B179,Bookings!$F$5:$F$304,$D179,Bookings!$D$5:$D$304,"Cancelled")-COUNTIFS(Bookings!$B$5:$B$304,$B179,Bookings!$F$5:$F$304,$D179,Bookings!$D$5:$D$304,"Owner block")&gt;0,"SAME-DAY TURN","No same-day guest"))</f>
        <v>—</v>
      </c>
      <c r="G179" s="38" t="str">
        <f>IFERROR(IF(INDEX(Bookings!$D$5:$D$304,MATCH($A179,Bookings!$A$5:$A$304,0))="Cancelled","—",IF(INDEX(Bookings!$I$5:$I$304,MATCH($A179,Bookings!$A$5:$A$304,0))="","—",INDEX(Bookings!$I$5:$I$304,MATCH($A179,Bookings!$A$5:$A$304,0)))),"—")</f>
        <v>—</v>
      </c>
      <c r="H179" s="38" t="str">
        <f>IFERROR(IF(INDEX(Setup!$I$25:$I$36,MATCH($B179,Setup!$A$25:$A$36,0))=0,"—",INDEX(Setup!$I$25:$I$36,MATCH($B179,Setup!$A$25:$A$36,0))),"—")</f>
        <v>—</v>
      </c>
      <c r="I179" s="21" t="str">
        <f>IFERROR(IF(INDEX(Setup!$E$25:$E$36,MATCH($B179,Setup!$A$25:$A$36,0))=0,"—",INDEX(Setup!$E$25:$E$36,MATCH($B179,Setup!$A$25:$A$36,0))),"—")</f>
        <v>—</v>
      </c>
      <c r="J179" s="3"/>
      <c r="K179" s="3"/>
      <c r="L179" s="3"/>
    </row>
    <row r="180" spans="1:12" x14ac:dyDescent="0.2">
      <c r="A180" s="30">
        <v>176</v>
      </c>
      <c r="B180" s="7" t="str">
        <f>IFERROR(IF(INDEX(Bookings!$D$5:$D$304,MATCH($A180,Bookings!$A$5:$A$304,0))="Cancelled","—",IF(INDEX(Bookings!$B$5:$B$304,MATCH($A180,Bookings!$A$5:$A$304,0))="","—",INDEX(Bookings!$B$5:$B$304,MATCH($A180,Bookings!$A$5:$A$304,0)))),"—")</f>
        <v>—</v>
      </c>
      <c r="C180" s="7" t="str">
        <f>IFERROR(IF(INDEX(Bookings!$D$5:$D$304,MATCH($A180,Bookings!$A$5:$A$304,0))="Cancelled","—",IF(INDEX(Bookings!$E$5:$E$304,MATCH($A180,Bookings!$A$5:$A$304,0))="","—",INDEX(Bookings!$E$5:$E$304,MATCH($A180,Bookings!$A$5:$A$304,0)))),"—")</f>
        <v>—</v>
      </c>
      <c r="D180" s="37" t="str">
        <f>IFERROR(IF(INDEX(Bookings!$D$5:$D$304,MATCH($A180,Bookings!$A$5:$A$304,0))="Cancelled","—",IF(INDEX(Bookings!$G$5:$G$304,MATCH($A180,Bookings!$A$5:$A$304,0))="","—",INDEX(Bookings!$G$5:$G$304,MATCH($A180,Bookings!$A$5:$A$304,0)))),"—")</f>
        <v>—</v>
      </c>
      <c r="E180" s="38" t="str">
        <f t="shared" ca="1" si="2"/>
        <v>—</v>
      </c>
      <c r="F180" s="39" t="str">
        <f>IF(OR(NOT(ISNUMBER($D180)),$B180="—",$B180=""),"—",IF(COUNTIFS(Bookings!$B$5:$B$304,$B180,Bookings!$F$5:$F$304,$D180)-COUNTIFS(Bookings!$B$5:$B$304,$B180,Bookings!$F$5:$F$304,$D180,Bookings!$D$5:$D$304,"Cancelled")-COUNTIFS(Bookings!$B$5:$B$304,$B180,Bookings!$F$5:$F$304,$D180,Bookings!$D$5:$D$304,"Owner block")&gt;0,"SAME-DAY TURN","No same-day guest"))</f>
        <v>—</v>
      </c>
      <c r="G180" s="38" t="str">
        <f>IFERROR(IF(INDEX(Bookings!$D$5:$D$304,MATCH($A180,Bookings!$A$5:$A$304,0))="Cancelled","—",IF(INDEX(Bookings!$I$5:$I$304,MATCH($A180,Bookings!$A$5:$A$304,0))="","—",INDEX(Bookings!$I$5:$I$304,MATCH($A180,Bookings!$A$5:$A$304,0)))),"—")</f>
        <v>—</v>
      </c>
      <c r="H180" s="38" t="str">
        <f>IFERROR(IF(INDEX(Setup!$I$25:$I$36,MATCH($B180,Setup!$A$25:$A$36,0))=0,"—",INDEX(Setup!$I$25:$I$36,MATCH($B180,Setup!$A$25:$A$36,0))),"—")</f>
        <v>—</v>
      </c>
      <c r="I180" s="21" t="str">
        <f>IFERROR(IF(INDEX(Setup!$E$25:$E$36,MATCH($B180,Setup!$A$25:$A$36,0))=0,"—",INDEX(Setup!$E$25:$E$36,MATCH($B180,Setup!$A$25:$A$36,0))),"—")</f>
        <v>—</v>
      </c>
      <c r="J180" s="8"/>
      <c r="K180" s="8"/>
      <c r="L180" s="8"/>
    </row>
    <row r="181" spans="1:12" x14ac:dyDescent="0.2">
      <c r="A181" s="30">
        <v>177</v>
      </c>
      <c r="B181" s="7" t="str">
        <f>IFERROR(IF(INDEX(Bookings!$D$5:$D$304,MATCH($A181,Bookings!$A$5:$A$304,0))="Cancelled","—",IF(INDEX(Bookings!$B$5:$B$304,MATCH($A181,Bookings!$A$5:$A$304,0))="","—",INDEX(Bookings!$B$5:$B$304,MATCH($A181,Bookings!$A$5:$A$304,0)))),"—")</f>
        <v>—</v>
      </c>
      <c r="C181" s="7" t="str">
        <f>IFERROR(IF(INDEX(Bookings!$D$5:$D$304,MATCH($A181,Bookings!$A$5:$A$304,0))="Cancelled","—",IF(INDEX(Bookings!$E$5:$E$304,MATCH($A181,Bookings!$A$5:$A$304,0))="","—",INDEX(Bookings!$E$5:$E$304,MATCH($A181,Bookings!$A$5:$A$304,0)))),"—")</f>
        <v>—</v>
      </c>
      <c r="D181" s="37" t="str">
        <f>IFERROR(IF(INDEX(Bookings!$D$5:$D$304,MATCH($A181,Bookings!$A$5:$A$304,0))="Cancelled","—",IF(INDEX(Bookings!$G$5:$G$304,MATCH($A181,Bookings!$A$5:$A$304,0))="","—",INDEX(Bookings!$G$5:$G$304,MATCH($A181,Bookings!$A$5:$A$304,0)))),"—")</f>
        <v>—</v>
      </c>
      <c r="E181" s="38" t="str">
        <f t="shared" ca="1" si="2"/>
        <v>—</v>
      </c>
      <c r="F181" s="39" t="str">
        <f>IF(OR(NOT(ISNUMBER($D181)),$B181="—",$B181=""),"—",IF(COUNTIFS(Bookings!$B$5:$B$304,$B181,Bookings!$F$5:$F$304,$D181)-COUNTIFS(Bookings!$B$5:$B$304,$B181,Bookings!$F$5:$F$304,$D181,Bookings!$D$5:$D$304,"Cancelled")-COUNTIFS(Bookings!$B$5:$B$304,$B181,Bookings!$F$5:$F$304,$D181,Bookings!$D$5:$D$304,"Owner block")&gt;0,"SAME-DAY TURN","No same-day guest"))</f>
        <v>—</v>
      </c>
      <c r="G181" s="38" t="str">
        <f>IFERROR(IF(INDEX(Bookings!$D$5:$D$304,MATCH($A181,Bookings!$A$5:$A$304,0))="Cancelled","—",IF(INDEX(Bookings!$I$5:$I$304,MATCH($A181,Bookings!$A$5:$A$304,0))="","—",INDEX(Bookings!$I$5:$I$304,MATCH($A181,Bookings!$A$5:$A$304,0)))),"—")</f>
        <v>—</v>
      </c>
      <c r="H181" s="38" t="str">
        <f>IFERROR(IF(INDEX(Setup!$I$25:$I$36,MATCH($B181,Setup!$A$25:$A$36,0))=0,"—",INDEX(Setup!$I$25:$I$36,MATCH($B181,Setup!$A$25:$A$36,0))),"—")</f>
        <v>—</v>
      </c>
      <c r="I181" s="21" t="str">
        <f>IFERROR(IF(INDEX(Setup!$E$25:$E$36,MATCH($B181,Setup!$A$25:$A$36,0))=0,"—",INDEX(Setup!$E$25:$E$36,MATCH($B181,Setup!$A$25:$A$36,0))),"—")</f>
        <v>—</v>
      </c>
      <c r="J181" s="3"/>
      <c r="K181" s="3"/>
      <c r="L181" s="3"/>
    </row>
    <row r="182" spans="1:12" x14ac:dyDescent="0.2">
      <c r="A182" s="30">
        <v>178</v>
      </c>
      <c r="B182" s="7" t="str">
        <f>IFERROR(IF(INDEX(Bookings!$D$5:$D$304,MATCH($A182,Bookings!$A$5:$A$304,0))="Cancelled","—",IF(INDEX(Bookings!$B$5:$B$304,MATCH($A182,Bookings!$A$5:$A$304,0))="","—",INDEX(Bookings!$B$5:$B$304,MATCH($A182,Bookings!$A$5:$A$304,0)))),"—")</f>
        <v>—</v>
      </c>
      <c r="C182" s="7" t="str">
        <f>IFERROR(IF(INDEX(Bookings!$D$5:$D$304,MATCH($A182,Bookings!$A$5:$A$304,0))="Cancelled","—",IF(INDEX(Bookings!$E$5:$E$304,MATCH($A182,Bookings!$A$5:$A$304,0))="","—",INDEX(Bookings!$E$5:$E$304,MATCH($A182,Bookings!$A$5:$A$304,0)))),"—")</f>
        <v>—</v>
      </c>
      <c r="D182" s="37" t="str">
        <f>IFERROR(IF(INDEX(Bookings!$D$5:$D$304,MATCH($A182,Bookings!$A$5:$A$304,0))="Cancelled","—",IF(INDEX(Bookings!$G$5:$G$304,MATCH($A182,Bookings!$A$5:$A$304,0))="","—",INDEX(Bookings!$G$5:$G$304,MATCH($A182,Bookings!$A$5:$A$304,0)))),"—")</f>
        <v>—</v>
      </c>
      <c r="E182" s="38" t="str">
        <f t="shared" ca="1" si="2"/>
        <v>—</v>
      </c>
      <c r="F182" s="39" t="str">
        <f>IF(OR(NOT(ISNUMBER($D182)),$B182="—",$B182=""),"—",IF(COUNTIFS(Bookings!$B$5:$B$304,$B182,Bookings!$F$5:$F$304,$D182)-COUNTIFS(Bookings!$B$5:$B$304,$B182,Bookings!$F$5:$F$304,$D182,Bookings!$D$5:$D$304,"Cancelled")-COUNTIFS(Bookings!$B$5:$B$304,$B182,Bookings!$F$5:$F$304,$D182,Bookings!$D$5:$D$304,"Owner block")&gt;0,"SAME-DAY TURN","No same-day guest"))</f>
        <v>—</v>
      </c>
      <c r="G182" s="38" t="str">
        <f>IFERROR(IF(INDEX(Bookings!$D$5:$D$304,MATCH($A182,Bookings!$A$5:$A$304,0))="Cancelled","—",IF(INDEX(Bookings!$I$5:$I$304,MATCH($A182,Bookings!$A$5:$A$304,0))="","—",INDEX(Bookings!$I$5:$I$304,MATCH($A182,Bookings!$A$5:$A$304,0)))),"—")</f>
        <v>—</v>
      </c>
      <c r="H182" s="38" t="str">
        <f>IFERROR(IF(INDEX(Setup!$I$25:$I$36,MATCH($B182,Setup!$A$25:$A$36,0))=0,"—",INDEX(Setup!$I$25:$I$36,MATCH($B182,Setup!$A$25:$A$36,0))),"—")</f>
        <v>—</v>
      </c>
      <c r="I182" s="21" t="str">
        <f>IFERROR(IF(INDEX(Setup!$E$25:$E$36,MATCH($B182,Setup!$A$25:$A$36,0))=0,"—",INDEX(Setup!$E$25:$E$36,MATCH($B182,Setup!$A$25:$A$36,0))),"—")</f>
        <v>—</v>
      </c>
      <c r="J182" s="8"/>
      <c r="K182" s="8"/>
      <c r="L182" s="8"/>
    </row>
    <row r="183" spans="1:12" x14ac:dyDescent="0.2">
      <c r="A183" s="30">
        <v>179</v>
      </c>
      <c r="B183" s="7" t="str">
        <f>IFERROR(IF(INDEX(Bookings!$D$5:$D$304,MATCH($A183,Bookings!$A$5:$A$304,0))="Cancelled","—",IF(INDEX(Bookings!$B$5:$B$304,MATCH($A183,Bookings!$A$5:$A$304,0))="","—",INDEX(Bookings!$B$5:$B$304,MATCH($A183,Bookings!$A$5:$A$304,0)))),"—")</f>
        <v>—</v>
      </c>
      <c r="C183" s="7" t="str">
        <f>IFERROR(IF(INDEX(Bookings!$D$5:$D$304,MATCH($A183,Bookings!$A$5:$A$304,0))="Cancelled","—",IF(INDEX(Bookings!$E$5:$E$304,MATCH($A183,Bookings!$A$5:$A$304,0))="","—",INDEX(Bookings!$E$5:$E$304,MATCH($A183,Bookings!$A$5:$A$304,0)))),"—")</f>
        <v>—</v>
      </c>
      <c r="D183" s="37" t="str">
        <f>IFERROR(IF(INDEX(Bookings!$D$5:$D$304,MATCH($A183,Bookings!$A$5:$A$304,0))="Cancelled","—",IF(INDEX(Bookings!$G$5:$G$304,MATCH($A183,Bookings!$A$5:$A$304,0))="","—",INDEX(Bookings!$G$5:$G$304,MATCH($A183,Bookings!$A$5:$A$304,0)))),"—")</f>
        <v>—</v>
      </c>
      <c r="E183" s="38" t="str">
        <f t="shared" ca="1" si="2"/>
        <v>—</v>
      </c>
      <c r="F183" s="39" t="str">
        <f>IF(OR(NOT(ISNUMBER($D183)),$B183="—",$B183=""),"—",IF(COUNTIFS(Bookings!$B$5:$B$304,$B183,Bookings!$F$5:$F$304,$D183)-COUNTIFS(Bookings!$B$5:$B$304,$B183,Bookings!$F$5:$F$304,$D183,Bookings!$D$5:$D$304,"Cancelled")-COUNTIFS(Bookings!$B$5:$B$304,$B183,Bookings!$F$5:$F$304,$D183,Bookings!$D$5:$D$304,"Owner block")&gt;0,"SAME-DAY TURN","No same-day guest"))</f>
        <v>—</v>
      </c>
      <c r="G183" s="38" t="str">
        <f>IFERROR(IF(INDEX(Bookings!$D$5:$D$304,MATCH($A183,Bookings!$A$5:$A$304,0))="Cancelled","—",IF(INDEX(Bookings!$I$5:$I$304,MATCH($A183,Bookings!$A$5:$A$304,0))="","—",INDEX(Bookings!$I$5:$I$304,MATCH($A183,Bookings!$A$5:$A$304,0)))),"—")</f>
        <v>—</v>
      </c>
      <c r="H183" s="38" t="str">
        <f>IFERROR(IF(INDEX(Setup!$I$25:$I$36,MATCH($B183,Setup!$A$25:$A$36,0))=0,"—",INDEX(Setup!$I$25:$I$36,MATCH($B183,Setup!$A$25:$A$36,0))),"—")</f>
        <v>—</v>
      </c>
      <c r="I183" s="21" t="str">
        <f>IFERROR(IF(INDEX(Setup!$E$25:$E$36,MATCH($B183,Setup!$A$25:$A$36,0))=0,"—",INDEX(Setup!$E$25:$E$36,MATCH($B183,Setup!$A$25:$A$36,0))),"—")</f>
        <v>—</v>
      </c>
      <c r="J183" s="3"/>
      <c r="K183" s="3"/>
      <c r="L183" s="3"/>
    </row>
    <row r="184" spans="1:12" x14ac:dyDescent="0.2">
      <c r="A184" s="30">
        <v>180</v>
      </c>
      <c r="B184" s="7" t="str">
        <f>IFERROR(IF(INDEX(Bookings!$D$5:$D$304,MATCH($A184,Bookings!$A$5:$A$304,0))="Cancelled","—",IF(INDEX(Bookings!$B$5:$B$304,MATCH($A184,Bookings!$A$5:$A$304,0))="","—",INDEX(Bookings!$B$5:$B$304,MATCH($A184,Bookings!$A$5:$A$304,0)))),"—")</f>
        <v>—</v>
      </c>
      <c r="C184" s="7" t="str">
        <f>IFERROR(IF(INDEX(Bookings!$D$5:$D$304,MATCH($A184,Bookings!$A$5:$A$304,0))="Cancelled","—",IF(INDEX(Bookings!$E$5:$E$304,MATCH($A184,Bookings!$A$5:$A$304,0))="","—",INDEX(Bookings!$E$5:$E$304,MATCH($A184,Bookings!$A$5:$A$304,0)))),"—")</f>
        <v>—</v>
      </c>
      <c r="D184" s="37" t="str">
        <f>IFERROR(IF(INDEX(Bookings!$D$5:$D$304,MATCH($A184,Bookings!$A$5:$A$304,0))="Cancelled","—",IF(INDEX(Bookings!$G$5:$G$304,MATCH($A184,Bookings!$A$5:$A$304,0))="","—",INDEX(Bookings!$G$5:$G$304,MATCH($A184,Bookings!$A$5:$A$304,0)))),"—")</f>
        <v>—</v>
      </c>
      <c r="E184" s="38" t="str">
        <f t="shared" ca="1" si="2"/>
        <v>—</v>
      </c>
      <c r="F184" s="39" t="str">
        <f>IF(OR(NOT(ISNUMBER($D184)),$B184="—",$B184=""),"—",IF(COUNTIFS(Bookings!$B$5:$B$304,$B184,Bookings!$F$5:$F$304,$D184)-COUNTIFS(Bookings!$B$5:$B$304,$B184,Bookings!$F$5:$F$304,$D184,Bookings!$D$5:$D$304,"Cancelled")-COUNTIFS(Bookings!$B$5:$B$304,$B184,Bookings!$F$5:$F$304,$D184,Bookings!$D$5:$D$304,"Owner block")&gt;0,"SAME-DAY TURN","No same-day guest"))</f>
        <v>—</v>
      </c>
      <c r="G184" s="38" t="str">
        <f>IFERROR(IF(INDEX(Bookings!$D$5:$D$304,MATCH($A184,Bookings!$A$5:$A$304,0))="Cancelled","—",IF(INDEX(Bookings!$I$5:$I$304,MATCH($A184,Bookings!$A$5:$A$304,0))="","—",INDEX(Bookings!$I$5:$I$304,MATCH($A184,Bookings!$A$5:$A$304,0)))),"—")</f>
        <v>—</v>
      </c>
      <c r="H184" s="38" t="str">
        <f>IFERROR(IF(INDEX(Setup!$I$25:$I$36,MATCH($B184,Setup!$A$25:$A$36,0))=0,"—",INDEX(Setup!$I$25:$I$36,MATCH($B184,Setup!$A$25:$A$36,0))),"—")</f>
        <v>—</v>
      </c>
      <c r="I184" s="21" t="str">
        <f>IFERROR(IF(INDEX(Setup!$E$25:$E$36,MATCH($B184,Setup!$A$25:$A$36,0))=0,"—",INDEX(Setup!$E$25:$E$36,MATCH($B184,Setup!$A$25:$A$36,0))),"—")</f>
        <v>—</v>
      </c>
      <c r="J184" s="8"/>
      <c r="K184" s="8"/>
      <c r="L184" s="8"/>
    </row>
    <row r="185" spans="1:12" x14ac:dyDescent="0.2">
      <c r="A185" s="30">
        <v>181</v>
      </c>
      <c r="B185" s="7" t="str">
        <f>IFERROR(IF(INDEX(Bookings!$D$5:$D$304,MATCH($A185,Bookings!$A$5:$A$304,0))="Cancelled","—",IF(INDEX(Bookings!$B$5:$B$304,MATCH($A185,Bookings!$A$5:$A$304,0))="","—",INDEX(Bookings!$B$5:$B$304,MATCH($A185,Bookings!$A$5:$A$304,0)))),"—")</f>
        <v>—</v>
      </c>
      <c r="C185" s="7" t="str">
        <f>IFERROR(IF(INDEX(Bookings!$D$5:$D$304,MATCH($A185,Bookings!$A$5:$A$304,0))="Cancelled","—",IF(INDEX(Bookings!$E$5:$E$304,MATCH($A185,Bookings!$A$5:$A$304,0))="","—",INDEX(Bookings!$E$5:$E$304,MATCH($A185,Bookings!$A$5:$A$304,0)))),"—")</f>
        <v>—</v>
      </c>
      <c r="D185" s="37" t="str">
        <f>IFERROR(IF(INDEX(Bookings!$D$5:$D$304,MATCH($A185,Bookings!$A$5:$A$304,0))="Cancelled","—",IF(INDEX(Bookings!$G$5:$G$304,MATCH($A185,Bookings!$A$5:$A$304,0))="","—",INDEX(Bookings!$G$5:$G$304,MATCH($A185,Bookings!$A$5:$A$304,0)))),"—")</f>
        <v>—</v>
      </c>
      <c r="E185" s="38" t="str">
        <f t="shared" ca="1" si="2"/>
        <v>—</v>
      </c>
      <c r="F185" s="39" t="str">
        <f>IF(OR(NOT(ISNUMBER($D185)),$B185="—",$B185=""),"—",IF(COUNTIFS(Bookings!$B$5:$B$304,$B185,Bookings!$F$5:$F$304,$D185)-COUNTIFS(Bookings!$B$5:$B$304,$B185,Bookings!$F$5:$F$304,$D185,Bookings!$D$5:$D$304,"Cancelled")-COUNTIFS(Bookings!$B$5:$B$304,$B185,Bookings!$F$5:$F$304,$D185,Bookings!$D$5:$D$304,"Owner block")&gt;0,"SAME-DAY TURN","No same-day guest"))</f>
        <v>—</v>
      </c>
      <c r="G185" s="38" t="str">
        <f>IFERROR(IF(INDEX(Bookings!$D$5:$D$304,MATCH($A185,Bookings!$A$5:$A$304,0))="Cancelled","—",IF(INDEX(Bookings!$I$5:$I$304,MATCH($A185,Bookings!$A$5:$A$304,0))="","—",INDEX(Bookings!$I$5:$I$304,MATCH($A185,Bookings!$A$5:$A$304,0)))),"—")</f>
        <v>—</v>
      </c>
      <c r="H185" s="38" t="str">
        <f>IFERROR(IF(INDEX(Setup!$I$25:$I$36,MATCH($B185,Setup!$A$25:$A$36,0))=0,"—",INDEX(Setup!$I$25:$I$36,MATCH($B185,Setup!$A$25:$A$36,0))),"—")</f>
        <v>—</v>
      </c>
      <c r="I185" s="21" t="str">
        <f>IFERROR(IF(INDEX(Setup!$E$25:$E$36,MATCH($B185,Setup!$A$25:$A$36,0))=0,"—",INDEX(Setup!$E$25:$E$36,MATCH($B185,Setup!$A$25:$A$36,0))),"—")</f>
        <v>—</v>
      </c>
      <c r="J185" s="3"/>
      <c r="K185" s="3"/>
      <c r="L185" s="3"/>
    </row>
    <row r="186" spans="1:12" x14ac:dyDescent="0.2">
      <c r="A186" s="30">
        <v>182</v>
      </c>
      <c r="B186" s="7" t="str">
        <f>IFERROR(IF(INDEX(Bookings!$D$5:$D$304,MATCH($A186,Bookings!$A$5:$A$304,0))="Cancelled","—",IF(INDEX(Bookings!$B$5:$B$304,MATCH($A186,Bookings!$A$5:$A$304,0))="","—",INDEX(Bookings!$B$5:$B$304,MATCH($A186,Bookings!$A$5:$A$304,0)))),"—")</f>
        <v>—</v>
      </c>
      <c r="C186" s="7" t="str">
        <f>IFERROR(IF(INDEX(Bookings!$D$5:$D$304,MATCH($A186,Bookings!$A$5:$A$304,0))="Cancelled","—",IF(INDEX(Bookings!$E$5:$E$304,MATCH($A186,Bookings!$A$5:$A$304,0))="","—",INDEX(Bookings!$E$5:$E$304,MATCH($A186,Bookings!$A$5:$A$304,0)))),"—")</f>
        <v>—</v>
      </c>
      <c r="D186" s="37" t="str">
        <f>IFERROR(IF(INDEX(Bookings!$D$5:$D$304,MATCH($A186,Bookings!$A$5:$A$304,0))="Cancelled","—",IF(INDEX(Bookings!$G$5:$G$304,MATCH($A186,Bookings!$A$5:$A$304,0))="","—",INDEX(Bookings!$G$5:$G$304,MATCH($A186,Bookings!$A$5:$A$304,0)))),"—")</f>
        <v>—</v>
      </c>
      <c r="E186" s="38" t="str">
        <f t="shared" ca="1" si="2"/>
        <v>—</v>
      </c>
      <c r="F186" s="39" t="str">
        <f>IF(OR(NOT(ISNUMBER($D186)),$B186="—",$B186=""),"—",IF(COUNTIFS(Bookings!$B$5:$B$304,$B186,Bookings!$F$5:$F$304,$D186)-COUNTIFS(Bookings!$B$5:$B$304,$B186,Bookings!$F$5:$F$304,$D186,Bookings!$D$5:$D$304,"Cancelled")-COUNTIFS(Bookings!$B$5:$B$304,$B186,Bookings!$F$5:$F$304,$D186,Bookings!$D$5:$D$304,"Owner block")&gt;0,"SAME-DAY TURN","No same-day guest"))</f>
        <v>—</v>
      </c>
      <c r="G186" s="38" t="str">
        <f>IFERROR(IF(INDEX(Bookings!$D$5:$D$304,MATCH($A186,Bookings!$A$5:$A$304,0))="Cancelled","—",IF(INDEX(Bookings!$I$5:$I$304,MATCH($A186,Bookings!$A$5:$A$304,0))="","—",INDEX(Bookings!$I$5:$I$304,MATCH($A186,Bookings!$A$5:$A$304,0)))),"—")</f>
        <v>—</v>
      </c>
      <c r="H186" s="38" t="str">
        <f>IFERROR(IF(INDEX(Setup!$I$25:$I$36,MATCH($B186,Setup!$A$25:$A$36,0))=0,"—",INDEX(Setup!$I$25:$I$36,MATCH($B186,Setup!$A$25:$A$36,0))),"—")</f>
        <v>—</v>
      </c>
      <c r="I186" s="21" t="str">
        <f>IFERROR(IF(INDEX(Setup!$E$25:$E$36,MATCH($B186,Setup!$A$25:$A$36,0))=0,"—",INDEX(Setup!$E$25:$E$36,MATCH($B186,Setup!$A$25:$A$36,0))),"—")</f>
        <v>—</v>
      </c>
      <c r="J186" s="8"/>
      <c r="K186" s="8"/>
      <c r="L186" s="8"/>
    </row>
    <row r="187" spans="1:12" x14ac:dyDescent="0.2">
      <c r="A187" s="30">
        <v>183</v>
      </c>
      <c r="B187" s="7" t="str">
        <f>IFERROR(IF(INDEX(Bookings!$D$5:$D$304,MATCH($A187,Bookings!$A$5:$A$304,0))="Cancelled","—",IF(INDEX(Bookings!$B$5:$B$304,MATCH($A187,Bookings!$A$5:$A$304,0))="","—",INDEX(Bookings!$B$5:$B$304,MATCH($A187,Bookings!$A$5:$A$304,0)))),"—")</f>
        <v>—</v>
      </c>
      <c r="C187" s="7" t="str">
        <f>IFERROR(IF(INDEX(Bookings!$D$5:$D$304,MATCH($A187,Bookings!$A$5:$A$304,0))="Cancelled","—",IF(INDEX(Bookings!$E$5:$E$304,MATCH($A187,Bookings!$A$5:$A$304,0))="","—",INDEX(Bookings!$E$5:$E$304,MATCH($A187,Bookings!$A$5:$A$304,0)))),"—")</f>
        <v>—</v>
      </c>
      <c r="D187" s="37" t="str">
        <f>IFERROR(IF(INDEX(Bookings!$D$5:$D$304,MATCH($A187,Bookings!$A$5:$A$304,0))="Cancelled","—",IF(INDEX(Bookings!$G$5:$G$304,MATCH($A187,Bookings!$A$5:$A$304,0))="","—",INDEX(Bookings!$G$5:$G$304,MATCH($A187,Bookings!$A$5:$A$304,0)))),"—")</f>
        <v>—</v>
      </c>
      <c r="E187" s="38" t="str">
        <f t="shared" ca="1" si="2"/>
        <v>—</v>
      </c>
      <c r="F187" s="39" t="str">
        <f>IF(OR(NOT(ISNUMBER($D187)),$B187="—",$B187=""),"—",IF(COUNTIFS(Bookings!$B$5:$B$304,$B187,Bookings!$F$5:$F$304,$D187)-COUNTIFS(Bookings!$B$5:$B$304,$B187,Bookings!$F$5:$F$304,$D187,Bookings!$D$5:$D$304,"Cancelled")-COUNTIFS(Bookings!$B$5:$B$304,$B187,Bookings!$F$5:$F$304,$D187,Bookings!$D$5:$D$304,"Owner block")&gt;0,"SAME-DAY TURN","No same-day guest"))</f>
        <v>—</v>
      </c>
      <c r="G187" s="38" t="str">
        <f>IFERROR(IF(INDEX(Bookings!$D$5:$D$304,MATCH($A187,Bookings!$A$5:$A$304,0))="Cancelled","—",IF(INDEX(Bookings!$I$5:$I$304,MATCH($A187,Bookings!$A$5:$A$304,0))="","—",INDEX(Bookings!$I$5:$I$304,MATCH($A187,Bookings!$A$5:$A$304,0)))),"—")</f>
        <v>—</v>
      </c>
      <c r="H187" s="38" t="str">
        <f>IFERROR(IF(INDEX(Setup!$I$25:$I$36,MATCH($B187,Setup!$A$25:$A$36,0))=0,"—",INDEX(Setup!$I$25:$I$36,MATCH($B187,Setup!$A$25:$A$36,0))),"—")</f>
        <v>—</v>
      </c>
      <c r="I187" s="21" t="str">
        <f>IFERROR(IF(INDEX(Setup!$E$25:$E$36,MATCH($B187,Setup!$A$25:$A$36,0))=0,"—",INDEX(Setup!$E$25:$E$36,MATCH($B187,Setup!$A$25:$A$36,0))),"—")</f>
        <v>—</v>
      </c>
      <c r="J187" s="3"/>
      <c r="K187" s="3"/>
      <c r="L187" s="3"/>
    </row>
    <row r="188" spans="1:12" x14ac:dyDescent="0.2">
      <c r="A188" s="30">
        <v>184</v>
      </c>
      <c r="B188" s="7" t="str">
        <f>IFERROR(IF(INDEX(Bookings!$D$5:$D$304,MATCH($A188,Bookings!$A$5:$A$304,0))="Cancelled","—",IF(INDEX(Bookings!$B$5:$B$304,MATCH($A188,Bookings!$A$5:$A$304,0))="","—",INDEX(Bookings!$B$5:$B$304,MATCH($A188,Bookings!$A$5:$A$304,0)))),"—")</f>
        <v>—</v>
      </c>
      <c r="C188" s="7" t="str">
        <f>IFERROR(IF(INDEX(Bookings!$D$5:$D$304,MATCH($A188,Bookings!$A$5:$A$304,0))="Cancelled","—",IF(INDEX(Bookings!$E$5:$E$304,MATCH($A188,Bookings!$A$5:$A$304,0))="","—",INDEX(Bookings!$E$5:$E$304,MATCH($A188,Bookings!$A$5:$A$304,0)))),"—")</f>
        <v>—</v>
      </c>
      <c r="D188" s="37" t="str">
        <f>IFERROR(IF(INDEX(Bookings!$D$5:$D$304,MATCH($A188,Bookings!$A$5:$A$304,0))="Cancelled","—",IF(INDEX(Bookings!$G$5:$G$304,MATCH($A188,Bookings!$A$5:$A$304,0))="","—",INDEX(Bookings!$G$5:$G$304,MATCH($A188,Bookings!$A$5:$A$304,0)))),"—")</f>
        <v>—</v>
      </c>
      <c r="E188" s="38" t="str">
        <f t="shared" ca="1" si="2"/>
        <v>—</v>
      </c>
      <c r="F188" s="39" t="str">
        <f>IF(OR(NOT(ISNUMBER($D188)),$B188="—",$B188=""),"—",IF(COUNTIFS(Bookings!$B$5:$B$304,$B188,Bookings!$F$5:$F$304,$D188)-COUNTIFS(Bookings!$B$5:$B$304,$B188,Bookings!$F$5:$F$304,$D188,Bookings!$D$5:$D$304,"Cancelled")-COUNTIFS(Bookings!$B$5:$B$304,$B188,Bookings!$F$5:$F$304,$D188,Bookings!$D$5:$D$304,"Owner block")&gt;0,"SAME-DAY TURN","No same-day guest"))</f>
        <v>—</v>
      </c>
      <c r="G188" s="38" t="str">
        <f>IFERROR(IF(INDEX(Bookings!$D$5:$D$304,MATCH($A188,Bookings!$A$5:$A$304,0))="Cancelled","—",IF(INDEX(Bookings!$I$5:$I$304,MATCH($A188,Bookings!$A$5:$A$304,0))="","—",INDEX(Bookings!$I$5:$I$304,MATCH($A188,Bookings!$A$5:$A$304,0)))),"—")</f>
        <v>—</v>
      </c>
      <c r="H188" s="38" t="str">
        <f>IFERROR(IF(INDEX(Setup!$I$25:$I$36,MATCH($B188,Setup!$A$25:$A$36,0))=0,"—",INDEX(Setup!$I$25:$I$36,MATCH($B188,Setup!$A$25:$A$36,0))),"—")</f>
        <v>—</v>
      </c>
      <c r="I188" s="21" t="str">
        <f>IFERROR(IF(INDEX(Setup!$E$25:$E$36,MATCH($B188,Setup!$A$25:$A$36,0))=0,"—",INDEX(Setup!$E$25:$E$36,MATCH($B188,Setup!$A$25:$A$36,0))),"—")</f>
        <v>—</v>
      </c>
      <c r="J188" s="8"/>
      <c r="K188" s="8"/>
      <c r="L188" s="8"/>
    </row>
    <row r="189" spans="1:12" x14ac:dyDescent="0.2">
      <c r="A189" s="30">
        <v>185</v>
      </c>
      <c r="B189" s="7" t="str">
        <f>IFERROR(IF(INDEX(Bookings!$D$5:$D$304,MATCH($A189,Bookings!$A$5:$A$304,0))="Cancelled","—",IF(INDEX(Bookings!$B$5:$B$304,MATCH($A189,Bookings!$A$5:$A$304,0))="","—",INDEX(Bookings!$B$5:$B$304,MATCH($A189,Bookings!$A$5:$A$304,0)))),"—")</f>
        <v>—</v>
      </c>
      <c r="C189" s="7" t="str">
        <f>IFERROR(IF(INDEX(Bookings!$D$5:$D$304,MATCH($A189,Bookings!$A$5:$A$304,0))="Cancelled","—",IF(INDEX(Bookings!$E$5:$E$304,MATCH($A189,Bookings!$A$5:$A$304,0))="","—",INDEX(Bookings!$E$5:$E$304,MATCH($A189,Bookings!$A$5:$A$304,0)))),"—")</f>
        <v>—</v>
      </c>
      <c r="D189" s="37" t="str">
        <f>IFERROR(IF(INDEX(Bookings!$D$5:$D$304,MATCH($A189,Bookings!$A$5:$A$304,0))="Cancelled","—",IF(INDEX(Bookings!$G$5:$G$304,MATCH($A189,Bookings!$A$5:$A$304,0))="","—",INDEX(Bookings!$G$5:$G$304,MATCH($A189,Bookings!$A$5:$A$304,0)))),"—")</f>
        <v>—</v>
      </c>
      <c r="E189" s="38" t="str">
        <f t="shared" ca="1" si="2"/>
        <v>—</v>
      </c>
      <c r="F189" s="39" t="str">
        <f>IF(OR(NOT(ISNUMBER($D189)),$B189="—",$B189=""),"—",IF(COUNTIFS(Bookings!$B$5:$B$304,$B189,Bookings!$F$5:$F$304,$D189)-COUNTIFS(Bookings!$B$5:$B$304,$B189,Bookings!$F$5:$F$304,$D189,Bookings!$D$5:$D$304,"Cancelled")-COUNTIFS(Bookings!$B$5:$B$304,$B189,Bookings!$F$5:$F$304,$D189,Bookings!$D$5:$D$304,"Owner block")&gt;0,"SAME-DAY TURN","No same-day guest"))</f>
        <v>—</v>
      </c>
      <c r="G189" s="38" t="str">
        <f>IFERROR(IF(INDEX(Bookings!$D$5:$D$304,MATCH($A189,Bookings!$A$5:$A$304,0))="Cancelled","—",IF(INDEX(Bookings!$I$5:$I$304,MATCH($A189,Bookings!$A$5:$A$304,0))="","—",INDEX(Bookings!$I$5:$I$304,MATCH($A189,Bookings!$A$5:$A$304,0)))),"—")</f>
        <v>—</v>
      </c>
      <c r="H189" s="38" t="str">
        <f>IFERROR(IF(INDEX(Setup!$I$25:$I$36,MATCH($B189,Setup!$A$25:$A$36,0))=0,"—",INDEX(Setup!$I$25:$I$36,MATCH($B189,Setup!$A$25:$A$36,0))),"—")</f>
        <v>—</v>
      </c>
      <c r="I189" s="21" t="str">
        <f>IFERROR(IF(INDEX(Setup!$E$25:$E$36,MATCH($B189,Setup!$A$25:$A$36,0))=0,"—",INDEX(Setup!$E$25:$E$36,MATCH($B189,Setup!$A$25:$A$36,0))),"—")</f>
        <v>—</v>
      </c>
      <c r="J189" s="3"/>
      <c r="K189" s="3"/>
      <c r="L189" s="3"/>
    </row>
    <row r="190" spans="1:12" x14ac:dyDescent="0.2">
      <c r="A190" s="30">
        <v>186</v>
      </c>
      <c r="B190" s="7" t="str">
        <f>IFERROR(IF(INDEX(Bookings!$D$5:$D$304,MATCH($A190,Bookings!$A$5:$A$304,0))="Cancelled","—",IF(INDEX(Bookings!$B$5:$B$304,MATCH($A190,Bookings!$A$5:$A$304,0))="","—",INDEX(Bookings!$B$5:$B$304,MATCH($A190,Bookings!$A$5:$A$304,0)))),"—")</f>
        <v>—</v>
      </c>
      <c r="C190" s="7" t="str">
        <f>IFERROR(IF(INDEX(Bookings!$D$5:$D$304,MATCH($A190,Bookings!$A$5:$A$304,0))="Cancelled","—",IF(INDEX(Bookings!$E$5:$E$304,MATCH($A190,Bookings!$A$5:$A$304,0))="","—",INDEX(Bookings!$E$5:$E$304,MATCH($A190,Bookings!$A$5:$A$304,0)))),"—")</f>
        <v>—</v>
      </c>
      <c r="D190" s="37" t="str">
        <f>IFERROR(IF(INDEX(Bookings!$D$5:$D$304,MATCH($A190,Bookings!$A$5:$A$304,0))="Cancelled","—",IF(INDEX(Bookings!$G$5:$G$304,MATCH($A190,Bookings!$A$5:$A$304,0))="","—",INDEX(Bookings!$G$5:$G$304,MATCH($A190,Bookings!$A$5:$A$304,0)))),"—")</f>
        <v>—</v>
      </c>
      <c r="E190" s="38" t="str">
        <f t="shared" ca="1" si="2"/>
        <v>—</v>
      </c>
      <c r="F190" s="39" t="str">
        <f>IF(OR(NOT(ISNUMBER($D190)),$B190="—",$B190=""),"—",IF(COUNTIFS(Bookings!$B$5:$B$304,$B190,Bookings!$F$5:$F$304,$D190)-COUNTIFS(Bookings!$B$5:$B$304,$B190,Bookings!$F$5:$F$304,$D190,Bookings!$D$5:$D$304,"Cancelled")-COUNTIFS(Bookings!$B$5:$B$304,$B190,Bookings!$F$5:$F$304,$D190,Bookings!$D$5:$D$304,"Owner block")&gt;0,"SAME-DAY TURN","No same-day guest"))</f>
        <v>—</v>
      </c>
      <c r="G190" s="38" t="str">
        <f>IFERROR(IF(INDEX(Bookings!$D$5:$D$304,MATCH($A190,Bookings!$A$5:$A$304,0))="Cancelled","—",IF(INDEX(Bookings!$I$5:$I$304,MATCH($A190,Bookings!$A$5:$A$304,0))="","—",INDEX(Bookings!$I$5:$I$304,MATCH($A190,Bookings!$A$5:$A$304,0)))),"—")</f>
        <v>—</v>
      </c>
      <c r="H190" s="38" t="str">
        <f>IFERROR(IF(INDEX(Setup!$I$25:$I$36,MATCH($B190,Setup!$A$25:$A$36,0))=0,"—",INDEX(Setup!$I$25:$I$36,MATCH($B190,Setup!$A$25:$A$36,0))),"—")</f>
        <v>—</v>
      </c>
      <c r="I190" s="21" t="str">
        <f>IFERROR(IF(INDEX(Setup!$E$25:$E$36,MATCH($B190,Setup!$A$25:$A$36,0))=0,"—",INDEX(Setup!$E$25:$E$36,MATCH($B190,Setup!$A$25:$A$36,0))),"—")</f>
        <v>—</v>
      </c>
      <c r="J190" s="8"/>
      <c r="K190" s="8"/>
      <c r="L190" s="8"/>
    </row>
    <row r="191" spans="1:12" x14ac:dyDescent="0.2">
      <c r="A191" s="30">
        <v>187</v>
      </c>
      <c r="B191" s="7" t="str">
        <f>IFERROR(IF(INDEX(Bookings!$D$5:$D$304,MATCH($A191,Bookings!$A$5:$A$304,0))="Cancelled","—",IF(INDEX(Bookings!$B$5:$B$304,MATCH($A191,Bookings!$A$5:$A$304,0))="","—",INDEX(Bookings!$B$5:$B$304,MATCH($A191,Bookings!$A$5:$A$304,0)))),"—")</f>
        <v>—</v>
      </c>
      <c r="C191" s="7" t="str">
        <f>IFERROR(IF(INDEX(Bookings!$D$5:$D$304,MATCH($A191,Bookings!$A$5:$A$304,0))="Cancelled","—",IF(INDEX(Bookings!$E$5:$E$304,MATCH($A191,Bookings!$A$5:$A$304,0))="","—",INDEX(Bookings!$E$5:$E$304,MATCH($A191,Bookings!$A$5:$A$304,0)))),"—")</f>
        <v>—</v>
      </c>
      <c r="D191" s="37" t="str">
        <f>IFERROR(IF(INDEX(Bookings!$D$5:$D$304,MATCH($A191,Bookings!$A$5:$A$304,0))="Cancelled","—",IF(INDEX(Bookings!$G$5:$G$304,MATCH($A191,Bookings!$A$5:$A$304,0))="","—",INDEX(Bookings!$G$5:$G$304,MATCH($A191,Bookings!$A$5:$A$304,0)))),"—")</f>
        <v>—</v>
      </c>
      <c r="E191" s="38" t="str">
        <f t="shared" ca="1" si="2"/>
        <v>—</v>
      </c>
      <c r="F191" s="39" t="str">
        <f>IF(OR(NOT(ISNUMBER($D191)),$B191="—",$B191=""),"—",IF(COUNTIFS(Bookings!$B$5:$B$304,$B191,Bookings!$F$5:$F$304,$D191)-COUNTIFS(Bookings!$B$5:$B$304,$B191,Bookings!$F$5:$F$304,$D191,Bookings!$D$5:$D$304,"Cancelled")-COUNTIFS(Bookings!$B$5:$B$304,$B191,Bookings!$F$5:$F$304,$D191,Bookings!$D$5:$D$304,"Owner block")&gt;0,"SAME-DAY TURN","No same-day guest"))</f>
        <v>—</v>
      </c>
      <c r="G191" s="38" t="str">
        <f>IFERROR(IF(INDEX(Bookings!$D$5:$D$304,MATCH($A191,Bookings!$A$5:$A$304,0))="Cancelled","—",IF(INDEX(Bookings!$I$5:$I$304,MATCH($A191,Bookings!$A$5:$A$304,0))="","—",INDEX(Bookings!$I$5:$I$304,MATCH($A191,Bookings!$A$5:$A$304,0)))),"—")</f>
        <v>—</v>
      </c>
      <c r="H191" s="38" t="str">
        <f>IFERROR(IF(INDEX(Setup!$I$25:$I$36,MATCH($B191,Setup!$A$25:$A$36,0))=0,"—",INDEX(Setup!$I$25:$I$36,MATCH($B191,Setup!$A$25:$A$36,0))),"—")</f>
        <v>—</v>
      </c>
      <c r="I191" s="21" t="str">
        <f>IFERROR(IF(INDEX(Setup!$E$25:$E$36,MATCH($B191,Setup!$A$25:$A$36,0))=0,"—",INDEX(Setup!$E$25:$E$36,MATCH($B191,Setup!$A$25:$A$36,0))),"—")</f>
        <v>—</v>
      </c>
      <c r="J191" s="3"/>
      <c r="K191" s="3"/>
      <c r="L191" s="3"/>
    </row>
    <row r="192" spans="1:12" x14ac:dyDescent="0.2">
      <c r="A192" s="30">
        <v>188</v>
      </c>
      <c r="B192" s="7" t="str">
        <f>IFERROR(IF(INDEX(Bookings!$D$5:$D$304,MATCH($A192,Bookings!$A$5:$A$304,0))="Cancelled","—",IF(INDEX(Bookings!$B$5:$B$304,MATCH($A192,Bookings!$A$5:$A$304,0))="","—",INDEX(Bookings!$B$5:$B$304,MATCH($A192,Bookings!$A$5:$A$304,0)))),"—")</f>
        <v>—</v>
      </c>
      <c r="C192" s="7" t="str">
        <f>IFERROR(IF(INDEX(Bookings!$D$5:$D$304,MATCH($A192,Bookings!$A$5:$A$304,0))="Cancelled","—",IF(INDEX(Bookings!$E$5:$E$304,MATCH($A192,Bookings!$A$5:$A$304,0))="","—",INDEX(Bookings!$E$5:$E$304,MATCH($A192,Bookings!$A$5:$A$304,0)))),"—")</f>
        <v>—</v>
      </c>
      <c r="D192" s="37" t="str">
        <f>IFERROR(IF(INDEX(Bookings!$D$5:$D$304,MATCH($A192,Bookings!$A$5:$A$304,0))="Cancelled","—",IF(INDEX(Bookings!$G$5:$G$304,MATCH($A192,Bookings!$A$5:$A$304,0))="","—",INDEX(Bookings!$G$5:$G$304,MATCH($A192,Bookings!$A$5:$A$304,0)))),"—")</f>
        <v>—</v>
      </c>
      <c r="E192" s="38" t="str">
        <f t="shared" ca="1" si="2"/>
        <v>—</v>
      </c>
      <c r="F192" s="39" t="str">
        <f>IF(OR(NOT(ISNUMBER($D192)),$B192="—",$B192=""),"—",IF(COUNTIFS(Bookings!$B$5:$B$304,$B192,Bookings!$F$5:$F$304,$D192)-COUNTIFS(Bookings!$B$5:$B$304,$B192,Bookings!$F$5:$F$304,$D192,Bookings!$D$5:$D$304,"Cancelled")-COUNTIFS(Bookings!$B$5:$B$304,$B192,Bookings!$F$5:$F$304,$D192,Bookings!$D$5:$D$304,"Owner block")&gt;0,"SAME-DAY TURN","No same-day guest"))</f>
        <v>—</v>
      </c>
      <c r="G192" s="38" t="str">
        <f>IFERROR(IF(INDEX(Bookings!$D$5:$D$304,MATCH($A192,Bookings!$A$5:$A$304,0))="Cancelled","—",IF(INDEX(Bookings!$I$5:$I$304,MATCH($A192,Bookings!$A$5:$A$304,0))="","—",INDEX(Bookings!$I$5:$I$304,MATCH($A192,Bookings!$A$5:$A$304,0)))),"—")</f>
        <v>—</v>
      </c>
      <c r="H192" s="38" t="str">
        <f>IFERROR(IF(INDEX(Setup!$I$25:$I$36,MATCH($B192,Setup!$A$25:$A$36,0))=0,"—",INDEX(Setup!$I$25:$I$36,MATCH($B192,Setup!$A$25:$A$36,0))),"—")</f>
        <v>—</v>
      </c>
      <c r="I192" s="21" t="str">
        <f>IFERROR(IF(INDEX(Setup!$E$25:$E$36,MATCH($B192,Setup!$A$25:$A$36,0))=0,"—",INDEX(Setup!$E$25:$E$36,MATCH($B192,Setup!$A$25:$A$36,0))),"—")</f>
        <v>—</v>
      </c>
      <c r="J192" s="8"/>
      <c r="K192" s="8"/>
      <c r="L192" s="8"/>
    </row>
    <row r="193" spans="1:12" x14ac:dyDescent="0.2">
      <c r="A193" s="30">
        <v>189</v>
      </c>
      <c r="B193" s="7" t="str">
        <f>IFERROR(IF(INDEX(Bookings!$D$5:$D$304,MATCH($A193,Bookings!$A$5:$A$304,0))="Cancelled","—",IF(INDEX(Bookings!$B$5:$B$304,MATCH($A193,Bookings!$A$5:$A$304,0))="","—",INDEX(Bookings!$B$5:$B$304,MATCH($A193,Bookings!$A$5:$A$304,0)))),"—")</f>
        <v>—</v>
      </c>
      <c r="C193" s="7" t="str">
        <f>IFERROR(IF(INDEX(Bookings!$D$5:$D$304,MATCH($A193,Bookings!$A$5:$A$304,0))="Cancelled","—",IF(INDEX(Bookings!$E$5:$E$304,MATCH($A193,Bookings!$A$5:$A$304,0))="","—",INDEX(Bookings!$E$5:$E$304,MATCH($A193,Bookings!$A$5:$A$304,0)))),"—")</f>
        <v>—</v>
      </c>
      <c r="D193" s="37" t="str">
        <f>IFERROR(IF(INDEX(Bookings!$D$5:$D$304,MATCH($A193,Bookings!$A$5:$A$304,0))="Cancelled","—",IF(INDEX(Bookings!$G$5:$G$304,MATCH($A193,Bookings!$A$5:$A$304,0))="","—",INDEX(Bookings!$G$5:$G$304,MATCH($A193,Bookings!$A$5:$A$304,0)))),"—")</f>
        <v>—</v>
      </c>
      <c r="E193" s="38" t="str">
        <f t="shared" ca="1" si="2"/>
        <v>—</v>
      </c>
      <c r="F193" s="39" t="str">
        <f>IF(OR(NOT(ISNUMBER($D193)),$B193="—",$B193=""),"—",IF(COUNTIFS(Bookings!$B$5:$B$304,$B193,Bookings!$F$5:$F$304,$D193)-COUNTIFS(Bookings!$B$5:$B$304,$B193,Bookings!$F$5:$F$304,$D193,Bookings!$D$5:$D$304,"Cancelled")-COUNTIFS(Bookings!$B$5:$B$304,$B193,Bookings!$F$5:$F$304,$D193,Bookings!$D$5:$D$304,"Owner block")&gt;0,"SAME-DAY TURN","No same-day guest"))</f>
        <v>—</v>
      </c>
      <c r="G193" s="38" t="str">
        <f>IFERROR(IF(INDEX(Bookings!$D$5:$D$304,MATCH($A193,Bookings!$A$5:$A$304,0))="Cancelled","—",IF(INDEX(Bookings!$I$5:$I$304,MATCH($A193,Bookings!$A$5:$A$304,0))="","—",INDEX(Bookings!$I$5:$I$304,MATCH($A193,Bookings!$A$5:$A$304,0)))),"—")</f>
        <v>—</v>
      </c>
      <c r="H193" s="38" t="str">
        <f>IFERROR(IF(INDEX(Setup!$I$25:$I$36,MATCH($B193,Setup!$A$25:$A$36,0))=0,"—",INDEX(Setup!$I$25:$I$36,MATCH($B193,Setup!$A$25:$A$36,0))),"—")</f>
        <v>—</v>
      </c>
      <c r="I193" s="21" t="str">
        <f>IFERROR(IF(INDEX(Setup!$E$25:$E$36,MATCH($B193,Setup!$A$25:$A$36,0))=0,"—",INDEX(Setup!$E$25:$E$36,MATCH($B193,Setup!$A$25:$A$36,0))),"—")</f>
        <v>—</v>
      </c>
      <c r="J193" s="3"/>
      <c r="K193" s="3"/>
      <c r="L193" s="3"/>
    </row>
    <row r="194" spans="1:12" x14ac:dyDescent="0.2">
      <c r="A194" s="30">
        <v>190</v>
      </c>
      <c r="B194" s="7" t="str">
        <f>IFERROR(IF(INDEX(Bookings!$D$5:$D$304,MATCH($A194,Bookings!$A$5:$A$304,0))="Cancelled","—",IF(INDEX(Bookings!$B$5:$B$304,MATCH($A194,Bookings!$A$5:$A$304,0))="","—",INDEX(Bookings!$B$5:$B$304,MATCH($A194,Bookings!$A$5:$A$304,0)))),"—")</f>
        <v>—</v>
      </c>
      <c r="C194" s="7" t="str">
        <f>IFERROR(IF(INDEX(Bookings!$D$5:$D$304,MATCH($A194,Bookings!$A$5:$A$304,0))="Cancelled","—",IF(INDEX(Bookings!$E$5:$E$304,MATCH($A194,Bookings!$A$5:$A$304,0))="","—",INDEX(Bookings!$E$5:$E$304,MATCH($A194,Bookings!$A$5:$A$304,0)))),"—")</f>
        <v>—</v>
      </c>
      <c r="D194" s="37" t="str">
        <f>IFERROR(IF(INDEX(Bookings!$D$5:$D$304,MATCH($A194,Bookings!$A$5:$A$304,0))="Cancelled","—",IF(INDEX(Bookings!$G$5:$G$304,MATCH($A194,Bookings!$A$5:$A$304,0))="","—",INDEX(Bookings!$G$5:$G$304,MATCH($A194,Bookings!$A$5:$A$304,0)))),"—")</f>
        <v>—</v>
      </c>
      <c r="E194" s="38" t="str">
        <f t="shared" ca="1" si="2"/>
        <v>—</v>
      </c>
      <c r="F194" s="39" t="str">
        <f>IF(OR(NOT(ISNUMBER($D194)),$B194="—",$B194=""),"—",IF(COUNTIFS(Bookings!$B$5:$B$304,$B194,Bookings!$F$5:$F$304,$D194)-COUNTIFS(Bookings!$B$5:$B$304,$B194,Bookings!$F$5:$F$304,$D194,Bookings!$D$5:$D$304,"Cancelled")-COUNTIFS(Bookings!$B$5:$B$304,$B194,Bookings!$F$5:$F$304,$D194,Bookings!$D$5:$D$304,"Owner block")&gt;0,"SAME-DAY TURN","No same-day guest"))</f>
        <v>—</v>
      </c>
      <c r="G194" s="38" t="str">
        <f>IFERROR(IF(INDEX(Bookings!$D$5:$D$304,MATCH($A194,Bookings!$A$5:$A$304,0))="Cancelled","—",IF(INDEX(Bookings!$I$5:$I$304,MATCH($A194,Bookings!$A$5:$A$304,0))="","—",INDEX(Bookings!$I$5:$I$304,MATCH($A194,Bookings!$A$5:$A$304,0)))),"—")</f>
        <v>—</v>
      </c>
      <c r="H194" s="38" t="str">
        <f>IFERROR(IF(INDEX(Setup!$I$25:$I$36,MATCH($B194,Setup!$A$25:$A$36,0))=0,"—",INDEX(Setup!$I$25:$I$36,MATCH($B194,Setup!$A$25:$A$36,0))),"—")</f>
        <v>—</v>
      </c>
      <c r="I194" s="21" t="str">
        <f>IFERROR(IF(INDEX(Setup!$E$25:$E$36,MATCH($B194,Setup!$A$25:$A$36,0))=0,"—",INDEX(Setup!$E$25:$E$36,MATCH($B194,Setup!$A$25:$A$36,0))),"—")</f>
        <v>—</v>
      </c>
      <c r="J194" s="8"/>
      <c r="K194" s="8"/>
      <c r="L194" s="8"/>
    </row>
    <row r="195" spans="1:12" x14ac:dyDescent="0.2">
      <c r="A195" s="30">
        <v>191</v>
      </c>
      <c r="B195" s="7" t="str">
        <f>IFERROR(IF(INDEX(Bookings!$D$5:$D$304,MATCH($A195,Bookings!$A$5:$A$304,0))="Cancelled","—",IF(INDEX(Bookings!$B$5:$B$304,MATCH($A195,Bookings!$A$5:$A$304,0))="","—",INDEX(Bookings!$B$5:$B$304,MATCH($A195,Bookings!$A$5:$A$304,0)))),"—")</f>
        <v>—</v>
      </c>
      <c r="C195" s="7" t="str">
        <f>IFERROR(IF(INDEX(Bookings!$D$5:$D$304,MATCH($A195,Bookings!$A$5:$A$304,0))="Cancelled","—",IF(INDEX(Bookings!$E$5:$E$304,MATCH($A195,Bookings!$A$5:$A$304,0))="","—",INDEX(Bookings!$E$5:$E$304,MATCH($A195,Bookings!$A$5:$A$304,0)))),"—")</f>
        <v>—</v>
      </c>
      <c r="D195" s="37" t="str">
        <f>IFERROR(IF(INDEX(Bookings!$D$5:$D$304,MATCH($A195,Bookings!$A$5:$A$304,0))="Cancelled","—",IF(INDEX(Bookings!$G$5:$G$304,MATCH($A195,Bookings!$A$5:$A$304,0))="","—",INDEX(Bookings!$G$5:$G$304,MATCH($A195,Bookings!$A$5:$A$304,0)))),"—")</f>
        <v>—</v>
      </c>
      <c r="E195" s="38" t="str">
        <f t="shared" ca="1" si="2"/>
        <v>—</v>
      </c>
      <c r="F195" s="39" t="str">
        <f>IF(OR(NOT(ISNUMBER($D195)),$B195="—",$B195=""),"—",IF(COUNTIFS(Bookings!$B$5:$B$304,$B195,Bookings!$F$5:$F$304,$D195)-COUNTIFS(Bookings!$B$5:$B$304,$B195,Bookings!$F$5:$F$304,$D195,Bookings!$D$5:$D$304,"Cancelled")-COUNTIFS(Bookings!$B$5:$B$304,$B195,Bookings!$F$5:$F$304,$D195,Bookings!$D$5:$D$304,"Owner block")&gt;0,"SAME-DAY TURN","No same-day guest"))</f>
        <v>—</v>
      </c>
      <c r="G195" s="38" t="str">
        <f>IFERROR(IF(INDEX(Bookings!$D$5:$D$304,MATCH($A195,Bookings!$A$5:$A$304,0))="Cancelled","—",IF(INDEX(Bookings!$I$5:$I$304,MATCH($A195,Bookings!$A$5:$A$304,0))="","—",INDEX(Bookings!$I$5:$I$304,MATCH($A195,Bookings!$A$5:$A$304,0)))),"—")</f>
        <v>—</v>
      </c>
      <c r="H195" s="38" t="str">
        <f>IFERROR(IF(INDEX(Setup!$I$25:$I$36,MATCH($B195,Setup!$A$25:$A$36,0))=0,"—",INDEX(Setup!$I$25:$I$36,MATCH($B195,Setup!$A$25:$A$36,0))),"—")</f>
        <v>—</v>
      </c>
      <c r="I195" s="21" t="str">
        <f>IFERROR(IF(INDEX(Setup!$E$25:$E$36,MATCH($B195,Setup!$A$25:$A$36,0))=0,"—",INDEX(Setup!$E$25:$E$36,MATCH($B195,Setup!$A$25:$A$36,0))),"—")</f>
        <v>—</v>
      </c>
      <c r="J195" s="3"/>
      <c r="K195" s="3"/>
      <c r="L195" s="3"/>
    </row>
    <row r="196" spans="1:12" x14ac:dyDescent="0.2">
      <c r="A196" s="30">
        <v>192</v>
      </c>
      <c r="B196" s="7" t="str">
        <f>IFERROR(IF(INDEX(Bookings!$D$5:$D$304,MATCH($A196,Bookings!$A$5:$A$304,0))="Cancelled","—",IF(INDEX(Bookings!$B$5:$B$304,MATCH($A196,Bookings!$A$5:$A$304,0))="","—",INDEX(Bookings!$B$5:$B$304,MATCH($A196,Bookings!$A$5:$A$304,0)))),"—")</f>
        <v>—</v>
      </c>
      <c r="C196" s="7" t="str">
        <f>IFERROR(IF(INDEX(Bookings!$D$5:$D$304,MATCH($A196,Bookings!$A$5:$A$304,0))="Cancelled","—",IF(INDEX(Bookings!$E$5:$E$304,MATCH($A196,Bookings!$A$5:$A$304,0))="","—",INDEX(Bookings!$E$5:$E$304,MATCH($A196,Bookings!$A$5:$A$304,0)))),"—")</f>
        <v>—</v>
      </c>
      <c r="D196" s="37" t="str">
        <f>IFERROR(IF(INDEX(Bookings!$D$5:$D$304,MATCH($A196,Bookings!$A$5:$A$304,0))="Cancelled","—",IF(INDEX(Bookings!$G$5:$G$304,MATCH($A196,Bookings!$A$5:$A$304,0))="","—",INDEX(Bookings!$G$5:$G$304,MATCH($A196,Bookings!$A$5:$A$304,0)))),"—")</f>
        <v>—</v>
      </c>
      <c r="E196" s="38" t="str">
        <f t="shared" ca="1" si="2"/>
        <v>—</v>
      </c>
      <c r="F196" s="39" t="str">
        <f>IF(OR(NOT(ISNUMBER($D196)),$B196="—",$B196=""),"—",IF(COUNTIFS(Bookings!$B$5:$B$304,$B196,Bookings!$F$5:$F$304,$D196)-COUNTIFS(Bookings!$B$5:$B$304,$B196,Bookings!$F$5:$F$304,$D196,Bookings!$D$5:$D$304,"Cancelled")-COUNTIFS(Bookings!$B$5:$B$304,$B196,Bookings!$F$5:$F$304,$D196,Bookings!$D$5:$D$304,"Owner block")&gt;0,"SAME-DAY TURN","No same-day guest"))</f>
        <v>—</v>
      </c>
      <c r="G196" s="38" t="str">
        <f>IFERROR(IF(INDEX(Bookings!$D$5:$D$304,MATCH($A196,Bookings!$A$5:$A$304,0))="Cancelled","—",IF(INDEX(Bookings!$I$5:$I$304,MATCH($A196,Bookings!$A$5:$A$304,0))="","—",INDEX(Bookings!$I$5:$I$304,MATCH($A196,Bookings!$A$5:$A$304,0)))),"—")</f>
        <v>—</v>
      </c>
      <c r="H196" s="38" t="str">
        <f>IFERROR(IF(INDEX(Setup!$I$25:$I$36,MATCH($B196,Setup!$A$25:$A$36,0))=0,"—",INDEX(Setup!$I$25:$I$36,MATCH($B196,Setup!$A$25:$A$36,0))),"—")</f>
        <v>—</v>
      </c>
      <c r="I196" s="21" t="str">
        <f>IFERROR(IF(INDEX(Setup!$E$25:$E$36,MATCH($B196,Setup!$A$25:$A$36,0))=0,"—",INDEX(Setup!$E$25:$E$36,MATCH($B196,Setup!$A$25:$A$36,0))),"—")</f>
        <v>—</v>
      </c>
      <c r="J196" s="8"/>
      <c r="K196" s="8"/>
      <c r="L196" s="8"/>
    </row>
    <row r="197" spans="1:12" x14ac:dyDescent="0.2">
      <c r="A197" s="30">
        <v>193</v>
      </c>
      <c r="B197" s="7" t="str">
        <f>IFERROR(IF(INDEX(Bookings!$D$5:$D$304,MATCH($A197,Bookings!$A$5:$A$304,0))="Cancelled","—",IF(INDEX(Bookings!$B$5:$B$304,MATCH($A197,Bookings!$A$5:$A$304,0))="","—",INDEX(Bookings!$B$5:$B$304,MATCH($A197,Bookings!$A$5:$A$304,0)))),"—")</f>
        <v>—</v>
      </c>
      <c r="C197" s="7" t="str">
        <f>IFERROR(IF(INDEX(Bookings!$D$5:$D$304,MATCH($A197,Bookings!$A$5:$A$304,0))="Cancelled","—",IF(INDEX(Bookings!$E$5:$E$304,MATCH($A197,Bookings!$A$5:$A$304,0))="","—",INDEX(Bookings!$E$5:$E$304,MATCH($A197,Bookings!$A$5:$A$304,0)))),"—")</f>
        <v>—</v>
      </c>
      <c r="D197" s="37" t="str">
        <f>IFERROR(IF(INDEX(Bookings!$D$5:$D$304,MATCH($A197,Bookings!$A$5:$A$304,0))="Cancelled","—",IF(INDEX(Bookings!$G$5:$G$304,MATCH($A197,Bookings!$A$5:$A$304,0))="","—",INDEX(Bookings!$G$5:$G$304,MATCH($A197,Bookings!$A$5:$A$304,0)))),"—")</f>
        <v>—</v>
      </c>
      <c r="E197" s="38" t="str">
        <f t="shared" ref="E197:E260" ca="1" si="3">IF(NOT(ISNUMBER($D197)),"—",IF($D197&lt;TODAY(),"Past",IF($D197=TODAY(),"TODAY",$D197-TODAY())))</f>
        <v>—</v>
      </c>
      <c r="F197" s="39" t="str">
        <f>IF(OR(NOT(ISNUMBER($D197)),$B197="—",$B197=""),"—",IF(COUNTIFS(Bookings!$B$5:$B$304,$B197,Bookings!$F$5:$F$304,$D197)-COUNTIFS(Bookings!$B$5:$B$304,$B197,Bookings!$F$5:$F$304,$D197,Bookings!$D$5:$D$304,"Cancelled")-COUNTIFS(Bookings!$B$5:$B$304,$B197,Bookings!$F$5:$F$304,$D197,Bookings!$D$5:$D$304,"Owner block")&gt;0,"SAME-DAY TURN","No same-day guest"))</f>
        <v>—</v>
      </c>
      <c r="G197" s="38" t="str">
        <f>IFERROR(IF(INDEX(Bookings!$D$5:$D$304,MATCH($A197,Bookings!$A$5:$A$304,0))="Cancelled","—",IF(INDEX(Bookings!$I$5:$I$304,MATCH($A197,Bookings!$A$5:$A$304,0))="","—",INDEX(Bookings!$I$5:$I$304,MATCH($A197,Bookings!$A$5:$A$304,0)))),"—")</f>
        <v>—</v>
      </c>
      <c r="H197" s="38" t="str">
        <f>IFERROR(IF(INDEX(Setup!$I$25:$I$36,MATCH($B197,Setup!$A$25:$A$36,0))=0,"—",INDEX(Setup!$I$25:$I$36,MATCH($B197,Setup!$A$25:$A$36,0))),"—")</f>
        <v>—</v>
      </c>
      <c r="I197" s="21" t="str">
        <f>IFERROR(IF(INDEX(Setup!$E$25:$E$36,MATCH($B197,Setup!$A$25:$A$36,0))=0,"—",INDEX(Setup!$E$25:$E$36,MATCH($B197,Setup!$A$25:$A$36,0))),"—")</f>
        <v>—</v>
      </c>
      <c r="J197" s="3"/>
      <c r="K197" s="3"/>
      <c r="L197" s="3"/>
    </row>
    <row r="198" spans="1:12" x14ac:dyDescent="0.2">
      <c r="A198" s="30">
        <v>194</v>
      </c>
      <c r="B198" s="7" t="str">
        <f>IFERROR(IF(INDEX(Bookings!$D$5:$D$304,MATCH($A198,Bookings!$A$5:$A$304,0))="Cancelled","—",IF(INDEX(Bookings!$B$5:$B$304,MATCH($A198,Bookings!$A$5:$A$304,0))="","—",INDEX(Bookings!$B$5:$B$304,MATCH($A198,Bookings!$A$5:$A$304,0)))),"—")</f>
        <v>—</v>
      </c>
      <c r="C198" s="7" t="str">
        <f>IFERROR(IF(INDEX(Bookings!$D$5:$D$304,MATCH($A198,Bookings!$A$5:$A$304,0))="Cancelled","—",IF(INDEX(Bookings!$E$5:$E$304,MATCH($A198,Bookings!$A$5:$A$304,0))="","—",INDEX(Bookings!$E$5:$E$304,MATCH($A198,Bookings!$A$5:$A$304,0)))),"—")</f>
        <v>—</v>
      </c>
      <c r="D198" s="37" t="str">
        <f>IFERROR(IF(INDEX(Bookings!$D$5:$D$304,MATCH($A198,Bookings!$A$5:$A$304,0))="Cancelled","—",IF(INDEX(Bookings!$G$5:$G$304,MATCH($A198,Bookings!$A$5:$A$304,0))="","—",INDEX(Bookings!$G$5:$G$304,MATCH($A198,Bookings!$A$5:$A$304,0)))),"—")</f>
        <v>—</v>
      </c>
      <c r="E198" s="38" t="str">
        <f t="shared" ca="1" si="3"/>
        <v>—</v>
      </c>
      <c r="F198" s="39" t="str">
        <f>IF(OR(NOT(ISNUMBER($D198)),$B198="—",$B198=""),"—",IF(COUNTIFS(Bookings!$B$5:$B$304,$B198,Bookings!$F$5:$F$304,$D198)-COUNTIFS(Bookings!$B$5:$B$304,$B198,Bookings!$F$5:$F$304,$D198,Bookings!$D$5:$D$304,"Cancelled")-COUNTIFS(Bookings!$B$5:$B$304,$B198,Bookings!$F$5:$F$304,$D198,Bookings!$D$5:$D$304,"Owner block")&gt;0,"SAME-DAY TURN","No same-day guest"))</f>
        <v>—</v>
      </c>
      <c r="G198" s="38" t="str">
        <f>IFERROR(IF(INDEX(Bookings!$D$5:$D$304,MATCH($A198,Bookings!$A$5:$A$304,0))="Cancelled","—",IF(INDEX(Bookings!$I$5:$I$304,MATCH($A198,Bookings!$A$5:$A$304,0))="","—",INDEX(Bookings!$I$5:$I$304,MATCH($A198,Bookings!$A$5:$A$304,0)))),"—")</f>
        <v>—</v>
      </c>
      <c r="H198" s="38" t="str">
        <f>IFERROR(IF(INDEX(Setup!$I$25:$I$36,MATCH($B198,Setup!$A$25:$A$36,0))=0,"—",INDEX(Setup!$I$25:$I$36,MATCH($B198,Setup!$A$25:$A$36,0))),"—")</f>
        <v>—</v>
      </c>
      <c r="I198" s="21" t="str">
        <f>IFERROR(IF(INDEX(Setup!$E$25:$E$36,MATCH($B198,Setup!$A$25:$A$36,0))=0,"—",INDEX(Setup!$E$25:$E$36,MATCH($B198,Setup!$A$25:$A$36,0))),"—")</f>
        <v>—</v>
      </c>
      <c r="J198" s="8"/>
      <c r="K198" s="8"/>
      <c r="L198" s="8"/>
    </row>
    <row r="199" spans="1:12" x14ac:dyDescent="0.2">
      <c r="A199" s="30">
        <v>195</v>
      </c>
      <c r="B199" s="7" t="str">
        <f>IFERROR(IF(INDEX(Bookings!$D$5:$D$304,MATCH($A199,Bookings!$A$5:$A$304,0))="Cancelled","—",IF(INDEX(Bookings!$B$5:$B$304,MATCH($A199,Bookings!$A$5:$A$304,0))="","—",INDEX(Bookings!$B$5:$B$304,MATCH($A199,Bookings!$A$5:$A$304,0)))),"—")</f>
        <v>—</v>
      </c>
      <c r="C199" s="7" t="str">
        <f>IFERROR(IF(INDEX(Bookings!$D$5:$D$304,MATCH($A199,Bookings!$A$5:$A$304,0))="Cancelled","—",IF(INDEX(Bookings!$E$5:$E$304,MATCH($A199,Bookings!$A$5:$A$304,0))="","—",INDEX(Bookings!$E$5:$E$304,MATCH($A199,Bookings!$A$5:$A$304,0)))),"—")</f>
        <v>—</v>
      </c>
      <c r="D199" s="37" t="str">
        <f>IFERROR(IF(INDEX(Bookings!$D$5:$D$304,MATCH($A199,Bookings!$A$5:$A$304,0))="Cancelled","—",IF(INDEX(Bookings!$G$5:$G$304,MATCH($A199,Bookings!$A$5:$A$304,0))="","—",INDEX(Bookings!$G$5:$G$304,MATCH($A199,Bookings!$A$5:$A$304,0)))),"—")</f>
        <v>—</v>
      </c>
      <c r="E199" s="38" t="str">
        <f t="shared" ca="1" si="3"/>
        <v>—</v>
      </c>
      <c r="F199" s="39" t="str">
        <f>IF(OR(NOT(ISNUMBER($D199)),$B199="—",$B199=""),"—",IF(COUNTIFS(Bookings!$B$5:$B$304,$B199,Bookings!$F$5:$F$304,$D199)-COUNTIFS(Bookings!$B$5:$B$304,$B199,Bookings!$F$5:$F$304,$D199,Bookings!$D$5:$D$304,"Cancelled")-COUNTIFS(Bookings!$B$5:$B$304,$B199,Bookings!$F$5:$F$304,$D199,Bookings!$D$5:$D$304,"Owner block")&gt;0,"SAME-DAY TURN","No same-day guest"))</f>
        <v>—</v>
      </c>
      <c r="G199" s="38" t="str">
        <f>IFERROR(IF(INDEX(Bookings!$D$5:$D$304,MATCH($A199,Bookings!$A$5:$A$304,0))="Cancelled","—",IF(INDEX(Bookings!$I$5:$I$304,MATCH($A199,Bookings!$A$5:$A$304,0))="","—",INDEX(Bookings!$I$5:$I$304,MATCH($A199,Bookings!$A$5:$A$304,0)))),"—")</f>
        <v>—</v>
      </c>
      <c r="H199" s="38" t="str">
        <f>IFERROR(IF(INDEX(Setup!$I$25:$I$36,MATCH($B199,Setup!$A$25:$A$36,0))=0,"—",INDEX(Setup!$I$25:$I$36,MATCH($B199,Setup!$A$25:$A$36,0))),"—")</f>
        <v>—</v>
      </c>
      <c r="I199" s="21" t="str">
        <f>IFERROR(IF(INDEX(Setup!$E$25:$E$36,MATCH($B199,Setup!$A$25:$A$36,0))=0,"—",INDEX(Setup!$E$25:$E$36,MATCH($B199,Setup!$A$25:$A$36,0))),"—")</f>
        <v>—</v>
      </c>
      <c r="J199" s="3"/>
      <c r="K199" s="3"/>
      <c r="L199" s="3"/>
    </row>
    <row r="200" spans="1:12" x14ac:dyDescent="0.2">
      <c r="A200" s="30">
        <v>196</v>
      </c>
      <c r="B200" s="7" t="str">
        <f>IFERROR(IF(INDEX(Bookings!$D$5:$D$304,MATCH($A200,Bookings!$A$5:$A$304,0))="Cancelled","—",IF(INDEX(Bookings!$B$5:$B$304,MATCH($A200,Bookings!$A$5:$A$304,0))="","—",INDEX(Bookings!$B$5:$B$304,MATCH($A200,Bookings!$A$5:$A$304,0)))),"—")</f>
        <v>—</v>
      </c>
      <c r="C200" s="7" t="str">
        <f>IFERROR(IF(INDEX(Bookings!$D$5:$D$304,MATCH($A200,Bookings!$A$5:$A$304,0))="Cancelled","—",IF(INDEX(Bookings!$E$5:$E$304,MATCH($A200,Bookings!$A$5:$A$304,0))="","—",INDEX(Bookings!$E$5:$E$304,MATCH($A200,Bookings!$A$5:$A$304,0)))),"—")</f>
        <v>—</v>
      </c>
      <c r="D200" s="37" t="str">
        <f>IFERROR(IF(INDEX(Bookings!$D$5:$D$304,MATCH($A200,Bookings!$A$5:$A$304,0))="Cancelled","—",IF(INDEX(Bookings!$G$5:$G$304,MATCH($A200,Bookings!$A$5:$A$304,0))="","—",INDEX(Bookings!$G$5:$G$304,MATCH($A200,Bookings!$A$5:$A$304,0)))),"—")</f>
        <v>—</v>
      </c>
      <c r="E200" s="38" t="str">
        <f t="shared" ca="1" si="3"/>
        <v>—</v>
      </c>
      <c r="F200" s="39" t="str">
        <f>IF(OR(NOT(ISNUMBER($D200)),$B200="—",$B200=""),"—",IF(COUNTIFS(Bookings!$B$5:$B$304,$B200,Bookings!$F$5:$F$304,$D200)-COUNTIFS(Bookings!$B$5:$B$304,$B200,Bookings!$F$5:$F$304,$D200,Bookings!$D$5:$D$304,"Cancelled")-COUNTIFS(Bookings!$B$5:$B$304,$B200,Bookings!$F$5:$F$304,$D200,Bookings!$D$5:$D$304,"Owner block")&gt;0,"SAME-DAY TURN","No same-day guest"))</f>
        <v>—</v>
      </c>
      <c r="G200" s="38" t="str">
        <f>IFERROR(IF(INDEX(Bookings!$D$5:$D$304,MATCH($A200,Bookings!$A$5:$A$304,0))="Cancelled","—",IF(INDEX(Bookings!$I$5:$I$304,MATCH($A200,Bookings!$A$5:$A$304,0))="","—",INDEX(Bookings!$I$5:$I$304,MATCH($A200,Bookings!$A$5:$A$304,0)))),"—")</f>
        <v>—</v>
      </c>
      <c r="H200" s="38" t="str">
        <f>IFERROR(IF(INDEX(Setup!$I$25:$I$36,MATCH($B200,Setup!$A$25:$A$36,0))=0,"—",INDEX(Setup!$I$25:$I$36,MATCH($B200,Setup!$A$25:$A$36,0))),"—")</f>
        <v>—</v>
      </c>
      <c r="I200" s="21" t="str">
        <f>IFERROR(IF(INDEX(Setup!$E$25:$E$36,MATCH($B200,Setup!$A$25:$A$36,0))=0,"—",INDEX(Setup!$E$25:$E$36,MATCH($B200,Setup!$A$25:$A$36,0))),"—")</f>
        <v>—</v>
      </c>
      <c r="J200" s="8"/>
      <c r="K200" s="8"/>
      <c r="L200" s="8"/>
    </row>
    <row r="201" spans="1:12" x14ac:dyDescent="0.2">
      <c r="A201" s="30">
        <v>197</v>
      </c>
      <c r="B201" s="7" t="str">
        <f>IFERROR(IF(INDEX(Bookings!$D$5:$D$304,MATCH($A201,Bookings!$A$5:$A$304,0))="Cancelled","—",IF(INDEX(Bookings!$B$5:$B$304,MATCH($A201,Bookings!$A$5:$A$304,0))="","—",INDEX(Bookings!$B$5:$B$304,MATCH($A201,Bookings!$A$5:$A$304,0)))),"—")</f>
        <v>—</v>
      </c>
      <c r="C201" s="7" t="str">
        <f>IFERROR(IF(INDEX(Bookings!$D$5:$D$304,MATCH($A201,Bookings!$A$5:$A$304,0))="Cancelled","—",IF(INDEX(Bookings!$E$5:$E$304,MATCH($A201,Bookings!$A$5:$A$304,0))="","—",INDEX(Bookings!$E$5:$E$304,MATCH($A201,Bookings!$A$5:$A$304,0)))),"—")</f>
        <v>—</v>
      </c>
      <c r="D201" s="37" t="str">
        <f>IFERROR(IF(INDEX(Bookings!$D$5:$D$304,MATCH($A201,Bookings!$A$5:$A$304,0))="Cancelled","—",IF(INDEX(Bookings!$G$5:$G$304,MATCH($A201,Bookings!$A$5:$A$304,0))="","—",INDEX(Bookings!$G$5:$G$304,MATCH($A201,Bookings!$A$5:$A$304,0)))),"—")</f>
        <v>—</v>
      </c>
      <c r="E201" s="38" t="str">
        <f t="shared" ca="1" si="3"/>
        <v>—</v>
      </c>
      <c r="F201" s="39" t="str">
        <f>IF(OR(NOT(ISNUMBER($D201)),$B201="—",$B201=""),"—",IF(COUNTIFS(Bookings!$B$5:$B$304,$B201,Bookings!$F$5:$F$304,$D201)-COUNTIFS(Bookings!$B$5:$B$304,$B201,Bookings!$F$5:$F$304,$D201,Bookings!$D$5:$D$304,"Cancelled")-COUNTIFS(Bookings!$B$5:$B$304,$B201,Bookings!$F$5:$F$304,$D201,Bookings!$D$5:$D$304,"Owner block")&gt;0,"SAME-DAY TURN","No same-day guest"))</f>
        <v>—</v>
      </c>
      <c r="G201" s="38" t="str">
        <f>IFERROR(IF(INDEX(Bookings!$D$5:$D$304,MATCH($A201,Bookings!$A$5:$A$304,0))="Cancelled","—",IF(INDEX(Bookings!$I$5:$I$304,MATCH($A201,Bookings!$A$5:$A$304,0))="","—",INDEX(Bookings!$I$5:$I$304,MATCH($A201,Bookings!$A$5:$A$304,0)))),"—")</f>
        <v>—</v>
      </c>
      <c r="H201" s="38" t="str">
        <f>IFERROR(IF(INDEX(Setup!$I$25:$I$36,MATCH($B201,Setup!$A$25:$A$36,0))=0,"—",INDEX(Setup!$I$25:$I$36,MATCH($B201,Setup!$A$25:$A$36,0))),"—")</f>
        <v>—</v>
      </c>
      <c r="I201" s="21" t="str">
        <f>IFERROR(IF(INDEX(Setup!$E$25:$E$36,MATCH($B201,Setup!$A$25:$A$36,0))=0,"—",INDEX(Setup!$E$25:$E$36,MATCH($B201,Setup!$A$25:$A$36,0))),"—")</f>
        <v>—</v>
      </c>
      <c r="J201" s="3"/>
      <c r="K201" s="3"/>
      <c r="L201" s="3"/>
    </row>
    <row r="202" spans="1:12" x14ac:dyDescent="0.2">
      <c r="A202" s="30">
        <v>198</v>
      </c>
      <c r="B202" s="7" t="str">
        <f>IFERROR(IF(INDEX(Bookings!$D$5:$D$304,MATCH($A202,Bookings!$A$5:$A$304,0))="Cancelled","—",IF(INDEX(Bookings!$B$5:$B$304,MATCH($A202,Bookings!$A$5:$A$304,0))="","—",INDEX(Bookings!$B$5:$B$304,MATCH($A202,Bookings!$A$5:$A$304,0)))),"—")</f>
        <v>—</v>
      </c>
      <c r="C202" s="7" t="str">
        <f>IFERROR(IF(INDEX(Bookings!$D$5:$D$304,MATCH($A202,Bookings!$A$5:$A$304,0))="Cancelled","—",IF(INDEX(Bookings!$E$5:$E$304,MATCH($A202,Bookings!$A$5:$A$304,0))="","—",INDEX(Bookings!$E$5:$E$304,MATCH($A202,Bookings!$A$5:$A$304,0)))),"—")</f>
        <v>—</v>
      </c>
      <c r="D202" s="37" t="str">
        <f>IFERROR(IF(INDEX(Bookings!$D$5:$D$304,MATCH($A202,Bookings!$A$5:$A$304,0))="Cancelled","—",IF(INDEX(Bookings!$G$5:$G$304,MATCH($A202,Bookings!$A$5:$A$304,0))="","—",INDEX(Bookings!$G$5:$G$304,MATCH($A202,Bookings!$A$5:$A$304,0)))),"—")</f>
        <v>—</v>
      </c>
      <c r="E202" s="38" t="str">
        <f t="shared" ca="1" si="3"/>
        <v>—</v>
      </c>
      <c r="F202" s="39" t="str">
        <f>IF(OR(NOT(ISNUMBER($D202)),$B202="—",$B202=""),"—",IF(COUNTIFS(Bookings!$B$5:$B$304,$B202,Bookings!$F$5:$F$304,$D202)-COUNTIFS(Bookings!$B$5:$B$304,$B202,Bookings!$F$5:$F$304,$D202,Bookings!$D$5:$D$304,"Cancelled")-COUNTIFS(Bookings!$B$5:$B$304,$B202,Bookings!$F$5:$F$304,$D202,Bookings!$D$5:$D$304,"Owner block")&gt;0,"SAME-DAY TURN","No same-day guest"))</f>
        <v>—</v>
      </c>
      <c r="G202" s="38" t="str">
        <f>IFERROR(IF(INDEX(Bookings!$D$5:$D$304,MATCH($A202,Bookings!$A$5:$A$304,0))="Cancelled","—",IF(INDEX(Bookings!$I$5:$I$304,MATCH($A202,Bookings!$A$5:$A$304,0))="","—",INDEX(Bookings!$I$5:$I$304,MATCH($A202,Bookings!$A$5:$A$304,0)))),"—")</f>
        <v>—</v>
      </c>
      <c r="H202" s="38" t="str">
        <f>IFERROR(IF(INDEX(Setup!$I$25:$I$36,MATCH($B202,Setup!$A$25:$A$36,0))=0,"—",INDEX(Setup!$I$25:$I$36,MATCH($B202,Setup!$A$25:$A$36,0))),"—")</f>
        <v>—</v>
      </c>
      <c r="I202" s="21" t="str">
        <f>IFERROR(IF(INDEX(Setup!$E$25:$E$36,MATCH($B202,Setup!$A$25:$A$36,0))=0,"—",INDEX(Setup!$E$25:$E$36,MATCH($B202,Setup!$A$25:$A$36,0))),"—")</f>
        <v>—</v>
      </c>
      <c r="J202" s="8"/>
      <c r="K202" s="8"/>
      <c r="L202" s="8"/>
    </row>
    <row r="203" spans="1:12" x14ac:dyDescent="0.2">
      <c r="A203" s="30">
        <v>199</v>
      </c>
      <c r="B203" s="7" t="str">
        <f>IFERROR(IF(INDEX(Bookings!$D$5:$D$304,MATCH($A203,Bookings!$A$5:$A$304,0))="Cancelled","—",IF(INDEX(Bookings!$B$5:$B$304,MATCH($A203,Bookings!$A$5:$A$304,0))="","—",INDEX(Bookings!$B$5:$B$304,MATCH($A203,Bookings!$A$5:$A$304,0)))),"—")</f>
        <v>—</v>
      </c>
      <c r="C203" s="7" t="str">
        <f>IFERROR(IF(INDEX(Bookings!$D$5:$D$304,MATCH($A203,Bookings!$A$5:$A$304,0))="Cancelled","—",IF(INDEX(Bookings!$E$5:$E$304,MATCH($A203,Bookings!$A$5:$A$304,0))="","—",INDEX(Bookings!$E$5:$E$304,MATCH($A203,Bookings!$A$5:$A$304,0)))),"—")</f>
        <v>—</v>
      </c>
      <c r="D203" s="37" t="str">
        <f>IFERROR(IF(INDEX(Bookings!$D$5:$D$304,MATCH($A203,Bookings!$A$5:$A$304,0))="Cancelled","—",IF(INDEX(Bookings!$G$5:$G$304,MATCH($A203,Bookings!$A$5:$A$304,0))="","—",INDEX(Bookings!$G$5:$G$304,MATCH($A203,Bookings!$A$5:$A$304,0)))),"—")</f>
        <v>—</v>
      </c>
      <c r="E203" s="38" t="str">
        <f t="shared" ca="1" si="3"/>
        <v>—</v>
      </c>
      <c r="F203" s="39" t="str">
        <f>IF(OR(NOT(ISNUMBER($D203)),$B203="—",$B203=""),"—",IF(COUNTIFS(Bookings!$B$5:$B$304,$B203,Bookings!$F$5:$F$304,$D203)-COUNTIFS(Bookings!$B$5:$B$304,$B203,Bookings!$F$5:$F$304,$D203,Bookings!$D$5:$D$304,"Cancelled")-COUNTIFS(Bookings!$B$5:$B$304,$B203,Bookings!$F$5:$F$304,$D203,Bookings!$D$5:$D$304,"Owner block")&gt;0,"SAME-DAY TURN","No same-day guest"))</f>
        <v>—</v>
      </c>
      <c r="G203" s="38" t="str">
        <f>IFERROR(IF(INDEX(Bookings!$D$5:$D$304,MATCH($A203,Bookings!$A$5:$A$304,0))="Cancelled","—",IF(INDEX(Bookings!$I$5:$I$304,MATCH($A203,Bookings!$A$5:$A$304,0))="","—",INDEX(Bookings!$I$5:$I$304,MATCH($A203,Bookings!$A$5:$A$304,0)))),"—")</f>
        <v>—</v>
      </c>
      <c r="H203" s="38" t="str">
        <f>IFERROR(IF(INDEX(Setup!$I$25:$I$36,MATCH($B203,Setup!$A$25:$A$36,0))=0,"—",INDEX(Setup!$I$25:$I$36,MATCH($B203,Setup!$A$25:$A$36,0))),"—")</f>
        <v>—</v>
      </c>
      <c r="I203" s="21" t="str">
        <f>IFERROR(IF(INDEX(Setup!$E$25:$E$36,MATCH($B203,Setup!$A$25:$A$36,0))=0,"—",INDEX(Setup!$E$25:$E$36,MATCH($B203,Setup!$A$25:$A$36,0))),"—")</f>
        <v>—</v>
      </c>
      <c r="J203" s="3"/>
      <c r="K203" s="3"/>
      <c r="L203" s="3"/>
    </row>
    <row r="204" spans="1:12" x14ac:dyDescent="0.2">
      <c r="A204" s="30">
        <v>200</v>
      </c>
      <c r="B204" s="7" t="str">
        <f>IFERROR(IF(INDEX(Bookings!$D$5:$D$304,MATCH($A204,Bookings!$A$5:$A$304,0))="Cancelled","—",IF(INDEX(Bookings!$B$5:$B$304,MATCH($A204,Bookings!$A$5:$A$304,0))="","—",INDEX(Bookings!$B$5:$B$304,MATCH($A204,Bookings!$A$5:$A$304,0)))),"—")</f>
        <v>—</v>
      </c>
      <c r="C204" s="7" t="str">
        <f>IFERROR(IF(INDEX(Bookings!$D$5:$D$304,MATCH($A204,Bookings!$A$5:$A$304,0))="Cancelled","—",IF(INDEX(Bookings!$E$5:$E$304,MATCH($A204,Bookings!$A$5:$A$304,0))="","—",INDEX(Bookings!$E$5:$E$304,MATCH($A204,Bookings!$A$5:$A$304,0)))),"—")</f>
        <v>—</v>
      </c>
      <c r="D204" s="37" t="str">
        <f>IFERROR(IF(INDEX(Bookings!$D$5:$D$304,MATCH($A204,Bookings!$A$5:$A$304,0))="Cancelled","—",IF(INDEX(Bookings!$G$5:$G$304,MATCH($A204,Bookings!$A$5:$A$304,0))="","—",INDEX(Bookings!$G$5:$G$304,MATCH($A204,Bookings!$A$5:$A$304,0)))),"—")</f>
        <v>—</v>
      </c>
      <c r="E204" s="38" t="str">
        <f t="shared" ca="1" si="3"/>
        <v>—</v>
      </c>
      <c r="F204" s="39" t="str">
        <f>IF(OR(NOT(ISNUMBER($D204)),$B204="—",$B204=""),"—",IF(COUNTIFS(Bookings!$B$5:$B$304,$B204,Bookings!$F$5:$F$304,$D204)-COUNTIFS(Bookings!$B$5:$B$304,$B204,Bookings!$F$5:$F$304,$D204,Bookings!$D$5:$D$304,"Cancelled")-COUNTIFS(Bookings!$B$5:$B$304,$B204,Bookings!$F$5:$F$304,$D204,Bookings!$D$5:$D$304,"Owner block")&gt;0,"SAME-DAY TURN","No same-day guest"))</f>
        <v>—</v>
      </c>
      <c r="G204" s="38" t="str">
        <f>IFERROR(IF(INDEX(Bookings!$D$5:$D$304,MATCH($A204,Bookings!$A$5:$A$304,0))="Cancelled","—",IF(INDEX(Bookings!$I$5:$I$304,MATCH($A204,Bookings!$A$5:$A$304,0))="","—",INDEX(Bookings!$I$5:$I$304,MATCH($A204,Bookings!$A$5:$A$304,0)))),"—")</f>
        <v>—</v>
      </c>
      <c r="H204" s="38" t="str">
        <f>IFERROR(IF(INDEX(Setup!$I$25:$I$36,MATCH($B204,Setup!$A$25:$A$36,0))=0,"—",INDEX(Setup!$I$25:$I$36,MATCH($B204,Setup!$A$25:$A$36,0))),"—")</f>
        <v>—</v>
      </c>
      <c r="I204" s="21" t="str">
        <f>IFERROR(IF(INDEX(Setup!$E$25:$E$36,MATCH($B204,Setup!$A$25:$A$36,0))=0,"—",INDEX(Setup!$E$25:$E$36,MATCH($B204,Setup!$A$25:$A$36,0))),"—")</f>
        <v>—</v>
      </c>
      <c r="J204" s="8"/>
      <c r="K204" s="8"/>
      <c r="L204" s="8"/>
    </row>
    <row r="205" spans="1:12" x14ac:dyDescent="0.2">
      <c r="A205" s="30">
        <v>201</v>
      </c>
      <c r="B205" s="7" t="str">
        <f>IFERROR(IF(INDEX(Bookings!$D$5:$D$304,MATCH($A205,Bookings!$A$5:$A$304,0))="Cancelled","—",IF(INDEX(Bookings!$B$5:$B$304,MATCH($A205,Bookings!$A$5:$A$304,0))="","—",INDEX(Bookings!$B$5:$B$304,MATCH($A205,Bookings!$A$5:$A$304,0)))),"—")</f>
        <v>—</v>
      </c>
      <c r="C205" s="7" t="str">
        <f>IFERROR(IF(INDEX(Bookings!$D$5:$D$304,MATCH($A205,Bookings!$A$5:$A$304,0))="Cancelled","—",IF(INDEX(Bookings!$E$5:$E$304,MATCH($A205,Bookings!$A$5:$A$304,0))="","—",INDEX(Bookings!$E$5:$E$304,MATCH($A205,Bookings!$A$5:$A$304,0)))),"—")</f>
        <v>—</v>
      </c>
      <c r="D205" s="37" t="str">
        <f>IFERROR(IF(INDEX(Bookings!$D$5:$D$304,MATCH($A205,Bookings!$A$5:$A$304,0))="Cancelled","—",IF(INDEX(Bookings!$G$5:$G$304,MATCH($A205,Bookings!$A$5:$A$304,0))="","—",INDEX(Bookings!$G$5:$G$304,MATCH($A205,Bookings!$A$5:$A$304,0)))),"—")</f>
        <v>—</v>
      </c>
      <c r="E205" s="38" t="str">
        <f t="shared" ca="1" si="3"/>
        <v>—</v>
      </c>
      <c r="F205" s="39" t="str">
        <f>IF(OR(NOT(ISNUMBER($D205)),$B205="—",$B205=""),"—",IF(COUNTIFS(Bookings!$B$5:$B$304,$B205,Bookings!$F$5:$F$304,$D205)-COUNTIFS(Bookings!$B$5:$B$304,$B205,Bookings!$F$5:$F$304,$D205,Bookings!$D$5:$D$304,"Cancelled")-COUNTIFS(Bookings!$B$5:$B$304,$B205,Bookings!$F$5:$F$304,$D205,Bookings!$D$5:$D$304,"Owner block")&gt;0,"SAME-DAY TURN","No same-day guest"))</f>
        <v>—</v>
      </c>
      <c r="G205" s="38" t="str">
        <f>IFERROR(IF(INDEX(Bookings!$D$5:$D$304,MATCH($A205,Bookings!$A$5:$A$304,0))="Cancelled","—",IF(INDEX(Bookings!$I$5:$I$304,MATCH($A205,Bookings!$A$5:$A$304,0))="","—",INDEX(Bookings!$I$5:$I$304,MATCH($A205,Bookings!$A$5:$A$304,0)))),"—")</f>
        <v>—</v>
      </c>
      <c r="H205" s="38" t="str">
        <f>IFERROR(IF(INDEX(Setup!$I$25:$I$36,MATCH($B205,Setup!$A$25:$A$36,0))=0,"—",INDEX(Setup!$I$25:$I$36,MATCH($B205,Setup!$A$25:$A$36,0))),"—")</f>
        <v>—</v>
      </c>
      <c r="I205" s="21" t="str">
        <f>IFERROR(IF(INDEX(Setup!$E$25:$E$36,MATCH($B205,Setup!$A$25:$A$36,0))=0,"—",INDEX(Setup!$E$25:$E$36,MATCH($B205,Setup!$A$25:$A$36,0))),"—")</f>
        <v>—</v>
      </c>
      <c r="J205" s="3"/>
      <c r="K205" s="3"/>
      <c r="L205" s="3"/>
    </row>
    <row r="206" spans="1:12" x14ac:dyDescent="0.2">
      <c r="A206" s="30">
        <v>202</v>
      </c>
      <c r="B206" s="7" t="str">
        <f>IFERROR(IF(INDEX(Bookings!$D$5:$D$304,MATCH($A206,Bookings!$A$5:$A$304,0))="Cancelled","—",IF(INDEX(Bookings!$B$5:$B$304,MATCH($A206,Bookings!$A$5:$A$304,0))="","—",INDEX(Bookings!$B$5:$B$304,MATCH($A206,Bookings!$A$5:$A$304,0)))),"—")</f>
        <v>—</v>
      </c>
      <c r="C206" s="7" t="str">
        <f>IFERROR(IF(INDEX(Bookings!$D$5:$D$304,MATCH($A206,Bookings!$A$5:$A$304,0))="Cancelled","—",IF(INDEX(Bookings!$E$5:$E$304,MATCH($A206,Bookings!$A$5:$A$304,0))="","—",INDEX(Bookings!$E$5:$E$304,MATCH($A206,Bookings!$A$5:$A$304,0)))),"—")</f>
        <v>—</v>
      </c>
      <c r="D206" s="37" t="str">
        <f>IFERROR(IF(INDEX(Bookings!$D$5:$D$304,MATCH($A206,Bookings!$A$5:$A$304,0))="Cancelled","—",IF(INDEX(Bookings!$G$5:$G$304,MATCH($A206,Bookings!$A$5:$A$304,0))="","—",INDEX(Bookings!$G$5:$G$304,MATCH($A206,Bookings!$A$5:$A$304,0)))),"—")</f>
        <v>—</v>
      </c>
      <c r="E206" s="38" t="str">
        <f t="shared" ca="1" si="3"/>
        <v>—</v>
      </c>
      <c r="F206" s="39" t="str">
        <f>IF(OR(NOT(ISNUMBER($D206)),$B206="—",$B206=""),"—",IF(COUNTIFS(Bookings!$B$5:$B$304,$B206,Bookings!$F$5:$F$304,$D206)-COUNTIFS(Bookings!$B$5:$B$304,$B206,Bookings!$F$5:$F$304,$D206,Bookings!$D$5:$D$304,"Cancelled")-COUNTIFS(Bookings!$B$5:$B$304,$B206,Bookings!$F$5:$F$304,$D206,Bookings!$D$5:$D$304,"Owner block")&gt;0,"SAME-DAY TURN","No same-day guest"))</f>
        <v>—</v>
      </c>
      <c r="G206" s="38" t="str">
        <f>IFERROR(IF(INDEX(Bookings!$D$5:$D$304,MATCH($A206,Bookings!$A$5:$A$304,0))="Cancelled","—",IF(INDEX(Bookings!$I$5:$I$304,MATCH($A206,Bookings!$A$5:$A$304,0))="","—",INDEX(Bookings!$I$5:$I$304,MATCH($A206,Bookings!$A$5:$A$304,0)))),"—")</f>
        <v>—</v>
      </c>
      <c r="H206" s="38" t="str">
        <f>IFERROR(IF(INDEX(Setup!$I$25:$I$36,MATCH($B206,Setup!$A$25:$A$36,0))=0,"—",INDEX(Setup!$I$25:$I$36,MATCH($B206,Setup!$A$25:$A$36,0))),"—")</f>
        <v>—</v>
      </c>
      <c r="I206" s="21" t="str">
        <f>IFERROR(IF(INDEX(Setup!$E$25:$E$36,MATCH($B206,Setup!$A$25:$A$36,0))=0,"—",INDEX(Setup!$E$25:$E$36,MATCH($B206,Setup!$A$25:$A$36,0))),"—")</f>
        <v>—</v>
      </c>
      <c r="J206" s="8"/>
      <c r="K206" s="8"/>
      <c r="L206" s="8"/>
    </row>
    <row r="207" spans="1:12" x14ac:dyDescent="0.2">
      <c r="A207" s="30">
        <v>203</v>
      </c>
      <c r="B207" s="7" t="str">
        <f>IFERROR(IF(INDEX(Bookings!$D$5:$D$304,MATCH($A207,Bookings!$A$5:$A$304,0))="Cancelled","—",IF(INDEX(Bookings!$B$5:$B$304,MATCH($A207,Bookings!$A$5:$A$304,0))="","—",INDEX(Bookings!$B$5:$B$304,MATCH($A207,Bookings!$A$5:$A$304,0)))),"—")</f>
        <v>—</v>
      </c>
      <c r="C207" s="7" t="str">
        <f>IFERROR(IF(INDEX(Bookings!$D$5:$D$304,MATCH($A207,Bookings!$A$5:$A$304,0))="Cancelled","—",IF(INDEX(Bookings!$E$5:$E$304,MATCH($A207,Bookings!$A$5:$A$304,0))="","—",INDEX(Bookings!$E$5:$E$304,MATCH($A207,Bookings!$A$5:$A$304,0)))),"—")</f>
        <v>—</v>
      </c>
      <c r="D207" s="37" t="str">
        <f>IFERROR(IF(INDEX(Bookings!$D$5:$D$304,MATCH($A207,Bookings!$A$5:$A$304,0))="Cancelled","—",IF(INDEX(Bookings!$G$5:$G$304,MATCH($A207,Bookings!$A$5:$A$304,0))="","—",INDEX(Bookings!$G$5:$G$304,MATCH($A207,Bookings!$A$5:$A$304,0)))),"—")</f>
        <v>—</v>
      </c>
      <c r="E207" s="38" t="str">
        <f t="shared" ca="1" si="3"/>
        <v>—</v>
      </c>
      <c r="F207" s="39" t="str">
        <f>IF(OR(NOT(ISNUMBER($D207)),$B207="—",$B207=""),"—",IF(COUNTIFS(Bookings!$B$5:$B$304,$B207,Bookings!$F$5:$F$304,$D207)-COUNTIFS(Bookings!$B$5:$B$304,$B207,Bookings!$F$5:$F$304,$D207,Bookings!$D$5:$D$304,"Cancelled")-COUNTIFS(Bookings!$B$5:$B$304,$B207,Bookings!$F$5:$F$304,$D207,Bookings!$D$5:$D$304,"Owner block")&gt;0,"SAME-DAY TURN","No same-day guest"))</f>
        <v>—</v>
      </c>
      <c r="G207" s="38" t="str">
        <f>IFERROR(IF(INDEX(Bookings!$D$5:$D$304,MATCH($A207,Bookings!$A$5:$A$304,0))="Cancelled","—",IF(INDEX(Bookings!$I$5:$I$304,MATCH($A207,Bookings!$A$5:$A$304,0))="","—",INDEX(Bookings!$I$5:$I$304,MATCH($A207,Bookings!$A$5:$A$304,0)))),"—")</f>
        <v>—</v>
      </c>
      <c r="H207" s="38" t="str">
        <f>IFERROR(IF(INDEX(Setup!$I$25:$I$36,MATCH($B207,Setup!$A$25:$A$36,0))=0,"—",INDEX(Setup!$I$25:$I$36,MATCH($B207,Setup!$A$25:$A$36,0))),"—")</f>
        <v>—</v>
      </c>
      <c r="I207" s="21" t="str">
        <f>IFERROR(IF(INDEX(Setup!$E$25:$E$36,MATCH($B207,Setup!$A$25:$A$36,0))=0,"—",INDEX(Setup!$E$25:$E$36,MATCH($B207,Setup!$A$25:$A$36,0))),"—")</f>
        <v>—</v>
      </c>
      <c r="J207" s="3"/>
      <c r="K207" s="3"/>
      <c r="L207" s="3"/>
    </row>
    <row r="208" spans="1:12" x14ac:dyDescent="0.2">
      <c r="A208" s="30">
        <v>204</v>
      </c>
      <c r="B208" s="7" t="str">
        <f>IFERROR(IF(INDEX(Bookings!$D$5:$D$304,MATCH($A208,Bookings!$A$5:$A$304,0))="Cancelled","—",IF(INDEX(Bookings!$B$5:$B$304,MATCH($A208,Bookings!$A$5:$A$304,0))="","—",INDEX(Bookings!$B$5:$B$304,MATCH($A208,Bookings!$A$5:$A$304,0)))),"—")</f>
        <v>—</v>
      </c>
      <c r="C208" s="7" t="str">
        <f>IFERROR(IF(INDEX(Bookings!$D$5:$D$304,MATCH($A208,Bookings!$A$5:$A$304,0))="Cancelled","—",IF(INDEX(Bookings!$E$5:$E$304,MATCH($A208,Bookings!$A$5:$A$304,0))="","—",INDEX(Bookings!$E$5:$E$304,MATCH($A208,Bookings!$A$5:$A$304,0)))),"—")</f>
        <v>—</v>
      </c>
      <c r="D208" s="37" t="str">
        <f>IFERROR(IF(INDEX(Bookings!$D$5:$D$304,MATCH($A208,Bookings!$A$5:$A$304,0))="Cancelled","—",IF(INDEX(Bookings!$G$5:$G$304,MATCH($A208,Bookings!$A$5:$A$304,0))="","—",INDEX(Bookings!$G$5:$G$304,MATCH($A208,Bookings!$A$5:$A$304,0)))),"—")</f>
        <v>—</v>
      </c>
      <c r="E208" s="38" t="str">
        <f t="shared" ca="1" si="3"/>
        <v>—</v>
      </c>
      <c r="F208" s="39" t="str">
        <f>IF(OR(NOT(ISNUMBER($D208)),$B208="—",$B208=""),"—",IF(COUNTIFS(Bookings!$B$5:$B$304,$B208,Bookings!$F$5:$F$304,$D208)-COUNTIFS(Bookings!$B$5:$B$304,$B208,Bookings!$F$5:$F$304,$D208,Bookings!$D$5:$D$304,"Cancelled")-COUNTIFS(Bookings!$B$5:$B$304,$B208,Bookings!$F$5:$F$304,$D208,Bookings!$D$5:$D$304,"Owner block")&gt;0,"SAME-DAY TURN","No same-day guest"))</f>
        <v>—</v>
      </c>
      <c r="G208" s="38" t="str">
        <f>IFERROR(IF(INDEX(Bookings!$D$5:$D$304,MATCH($A208,Bookings!$A$5:$A$304,0))="Cancelled","—",IF(INDEX(Bookings!$I$5:$I$304,MATCH($A208,Bookings!$A$5:$A$304,0))="","—",INDEX(Bookings!$I$5:$I$304,MATCH($A208,Bookings!$A$5:$A$304,0)))),"—")</f>
        <v>—</v>
      </c>
      <c r="H208" s="38" t="str">
        <f>IFERROR(IF(INDEX(Setup!$I$25:$I$36,MATCH($B208,Setup!$A$25:$A$36,0))=0,"—",INDEX(Setup!$I$25:$I$36,MATCH($B208,Setup!$A$25:$A$36,0))),"—")</f>
        <v>—</v>
      </c>
      <c r="I208" s="21" t="str">
        <f>IFERROR(IF(INDEX(Setup!$E$25:$E$36,MATCH($B208,Setup!$A$25:$A$36,0))=0,"—",INDEX(Setup!$E$25:$E$36,MATCH($B208,Setup!$A$25:$A$36,0))),"—")</f>
        <v>—</v>
      </c>
      <c r="J208" s="8"/>
      <c r="K208" s="8"/>
      <c r="L208" s="8"/>
    </row>
    <row r="209" spans="1:12" x14ac:dyDescent="0.2">
      <c r="A209" s="30">
        <v>205</v>
      </c>
      <c r="B209" s="7" t="str">
        <f>IFERROR(IF(INDEX(Bookings!$D$5:$D$304,MATCH($A209,Bookings!$A$5:$A$304,0))="Cancelled","—",IF(INDEX(Bookings!$B$5:$B$304,MATCH($A209,Bookings!$A$5:$A$304,0))="","—",INDEX(Bookings!$B$5:$B$304,MATCH($A209,Bookings!$A$5:$A$304,0)))),"—")</f>
        <v>—</v>
      </c>
      <c r="C209" s="7" t="str">
        <f>IFERROR(IF(INDEX(Bookings!$D$5:$D$304,MATCH($A209,Bookings!$A$5:$A$304,0))="Cancelled","—",IF(INDEX(Bookings!$E$5:$E$304,MATCH($A209,Bookings!$A$5:$A$304,0))="","—",INDEX(Bookings!$E$5:$E$304,MATCH($A209,Bookings!$A$5:$A$304,0)))),"—")</f>
        <v>—</v>
      </c>
      <c r="D209" s="37" t="str">
        <f>IFERROR(IF(INDEX(Bookings!$D$5:$D$304,MATCH($A209,Bookings!$A$5:$A$304,0))="Cancelled","—",IF(INDEX(Bookings!$G$5:$G$304,MATCH($A209,Bookings!$A$5:$A$304,0))="","—",INDEX(Bookings!$G$5:$G$304,MATCH($A209,Bookings!$A$5:$A$304,0)))),"—")</f>
        <v>—</v>
      </c>
      <c r="E209" s="38" t="str">
        <f t="shared" ca="1" si="3"/>
        <v>—</v>
      </c>
      <c r="F209" s="39" t="str">
        <f>IF(OR(NOT(ISNUMBER($D209)),$B209="—",$B209=""),"—",IF(COUNTIFS(Bookings!$B$5:$B$304,$B209,Bookings!$F$5:$F$304,$D209)-COUNTIFS(Bookings!$B$5:$B$304,$B209,Bookings!$F$5:$F$304,$D209,Bookings!$D$5:$D$304,"Cancelled")-COUNTIFS(Bookings!$B$5:$B$304,$B209,Bookings!$F$5:$F$304,$D209,Bookings!$D$5:$D$304,"Owner block")&gt;0,"SAME-DAY TURN","No same-day guest"))</f>
        <v>—</v>
      </c>
      <c r="G209" s="38" t="str">
        <f>IFERROR(IF(INDEX(Bookings!$D$5:$D$304,MATCH($A209,Bookings!$A$5:$A$304,0))="Cancelled","—",IF(INDEX(Bookings!$I$5:$I$304,MATCH($A209,Bookings!$A$5:$A$304,0))="","—",INDEX(Bookings!$I$5:$I$304,MATCH($A209,Bookings!$A$5:$A$304,0)))),"—")</f>
        <v>—</v>
      </c>
      <c r="H209" s="38" t="str">
        <f>IFERROR(IF(INDEX(Setup!$I$25:$I$36,MATCH($B209,Setup!$A$25:$A$36,0))=0,"—",INDEX(Setup!$I$25:$I$36,MATCH($B209,Setup!$A$25:$A$36,0))),"—")</f>
        <v>—</v>
      </c>
      <c r="I209" s="21" t="str">
        <f>IFERROR(IF(INDEX(Setup!$E$25:$E$36,MATCH($B209,Setup!$A$25:$A$36,0))=0,"—",INDEX(Setup!$E$25:$E$36,MATCH($B209,Setup!$A$25:$A$36,0))),"—")</f>
        <v>—</v>
      </c>
      <c r="J209" s="3"/>
      <c r="K209" s="3"/>
      <c r="L209" s="3"/>
    </row>
    <row r="210" spans="1:12" x14ac:dyDescent="0.2">
      <c r="A210" s="30">
        <v>206</v>
      </c>
      <c r="B210" s="7" t="str">
        <f>IFERROR(IF(INDEX(Bookings!$D$5:$D$304,MATCH($A210,Bookings!$A$5:$A$304,0))="Cancelled","—",IF(INDEX(Bookings!$B$5:$B$304,MATCH($A210,Bookings!$A$5:$A$304,0))="","—",INDEX(Bookings!$B$5:$B$304,MATCH($A210,Bookings!$A$5:$A$304,0)))),"—")</f>
        <v>—</v>
      </c>
      <c r="C210" s="7" t="str">
        <f>IFERROR(IF(INDEX(Bookings!$D$5:$D$304,MATCH($A210,Bookings!$A$5:$A$304,0))="Cancelled","—",IF(INDEX(Bookings!$E$5:$E$304,MATCH($A210,Bookings!$A$5:$A$304,0))="","—",INDEX(Bookings!$E$5:$E$304,MATCH($A210,Bookings!$A$5:$A$304,0)))),"—")</f>
        <v>—</v>
      </c>
      <c r="D210" s="37" t="str">
        <f>IFERROR(IF(INDEX(Bookings!$D$5:$D$304,MATCH($A210,Bookings!$A$5:$A$304,0))="Cancelled","—",IF(INDEX(Bookings!$G$5:$G$304,MATCH($A210,Bookings!$A$5:$A$304,0))="","—",INDEX(Bookings!$G$5:$G$304,MATCH($A210,Bookings!$A$5:$A$304,0)))),"—")</f>
        <v>—</v>
      </c>
      <c r="E210" s="38" t="str">
        <f t="shared" ca="1" si="3"/>
        <v>—</v>
      </c>
      <c r="F210" s="39" t="str">
        <f>IF(OR(NOT(ISNUMBER($D210)),$B210="—",$B210=""),"—",IF(COUNTIFS(Bookings!$B$5:$B$304,$B210,Bookings!$F$5:$F$304,$D210)-COUNTIFS(Bookings!$B$5:$B$304,$B210,Bookings!$F$5:$F$304,$D210,Bookings!$D$5:$D$304,"Cancelled")-COUNTIFS(Bookings!$B$5:$B$304,$B210,Bookings!$F$5:$F$304,$D210,Bookings!$D$5:$D$304,"Owner block")&gt;0,"SAME-DAY TURN","No same-day guest"))</f>
        <v>—</v>
      </c>
      <c r="G210" s="38" t="str">
        <f>IFERROR(IF(INDEX(Bookings!$D$5:$D$304,MATCH($A210,Bookings!$A$5:$A$304,0))="Cancelled","—",IF(INDEX(Bookings!$I$5:$I$304,MATCH($A210,Bookings!$A$5:$A$304,0))="","—",INDEX(Bookings!$I$5:$I$304,MATCH($A210,Bookings!$A$5:$A$304,0)))),"—")</f>
        <v>—</v>
      </c>
      <c r="H210" s="38" t="str">
        <f>IFERROR(IF(INDEX(Setup!$I$25:$I$36,MATCH($B210,Setup!$A$25:$A$36,0))=0,"—",INDEX(Setup!$I$25:$I$36,MATCH($B210,Setup!$A$25:$A$36,0))),"—")</f>
        <v>—</v>
      </c>
      <c r="I210" s="21" t="str">
        <f>IFERROR(IF(INDEX(Setup!$E$25:$E$36,MATCH($B210,Setup!$A$25:$A$36,0))=0,"—",INDEX(Setup!$E$25:$E$36,MATCH($B210,Setup!$A$25:$A$36,0))),"—")</f>
        <v>—</v>
      </c>
      <c r="J210" s="8"/>
      <c r="K210" s="8"/>
      <c r="L210" s="8"/>
    </row>
    <row r="211" spans="1:12" x14ac:dyDescent="0.2">
      <c r="A211" s="30">
        <v>207</v>
      </c>
      <c r="B211" s="7" t="str">
        <f>IFERROR(IF(INDEX(Bookings!$D$5:$D$304,MATCH($A211,Bookings!$A$5:$A$304,0))="Cancelled","—",IF(INDEX(Bookings!$B$5:$B$304,MATCH($A211,Bookings!$A$5:$A$304,0))="","—",INDEX(Bookings!$B$5:$B$304,MATCH($A211,Bookings!$A$5:$A$304,0)))),"—")</f>
        <v>—</v>
      </c>
      <c r="C211" s="7" t="str">
        <f>IFERROR(IF(INDEX(Bookings!$D$5:$D$304,MATCH($A211,Bookings!$A$5:$A$304,0))="Cancelled","—",IF(INDEX(Bookings!$E$5:$E$304,MATCH($A211,Bookings!$A$5:$A$304,0))="","—",INDEX(Bookings!$E$5:$E$304,MATCH($A211,Bookings!$A$5:$A$304,0)))),"—")</f>
        <v>—</v>
      </c>
      <c r="D211" s="37" t="str">
        <f>IFERROR(IF(INDEX(Bookings!$D$5:$D$304,MATCH($A211,Bookings!$A$5:$A$304,0))="Cancelled","—",IF(INDEX(Bookings!$G$5:$G$304,MATCH($A211,Bookings!$A$5:$A$304,0))="","—",INDEX(Bookings!$G$5:$G$304,MATCH($A211,Bookings!$A$5:$A$304,0)))),"—")</f>
        <v>—</v>
      </c>
      <c r="E211" s="38" t="str">
        <f t="shared" ca="1" si="3"/>
        <v>—</v>
      </c>
      <c r="F211" s="39" t="str">
        <f>IF(OR(NOT(ISNUMBER($D211)),$B211="—",$B211=""),"—",IF(COUNTIFS(Bookings!$B$5:$B$304,$B211,Bookings!$F$5:$F$304,$D211)-COUNTIFS(Bookings!$B$5:$B$304,$B211,Bookings!$F$5:$F$304,$D211,Bookings!$D$5:$D$304,"Cancelled")-COUNTIFS(Bookings!$B$5:$B$304,$B211,Bookings!$F$5:$F$304,$D211,Bookings!$D$5:$D$304,"Owner block")&gt;0,"SAME-DAY TURN","No same-day guest"))</f>
        <v>—</v>
      </c>
      <c r="G211" s="38" t="str">
        <f>IFERROR(IF(INDEX(Bookings!$D$5:$D$304,MATCH($A211,Bookings!$A$5:$A$304,0))="Cancelled","—",IF(INDEX(Bookings!$I$5:$I$304,MATCH($A211,Bookings!$A$5:$A$304,0))="","—",INDEX(Bookings!$I$5:$I$304,MATCH($A211,Bookings!$A$5:$A$304,0)))),"—")</f>
        <v>—</v>
      </c>
      <c r="H211" s="38" t="str">
        <f>IFERROR(IF(INDEX(Setup!$I$25:$I$36,MATCH($B211,Setup!$A$25:$A$36,0))=0,"—",INDEX(Setup!$I$25:$I$36,MATCH($B211,Setup!$A$25:$A$36,0))),"—")</f>
        <v>—</v>
      </c>
      <c r="I211" s="21" t="str">
        <f>IFERROR(IF(INDEX(Setup!$E$25:$E$36,MATCH($B211,Setup!$A$25:$A$36,0))=0,"—",INDEX(Setup!$E$25:$E$36,MATCH($B211,Setup!$A$25:$A$36,0))),"—")</f>
        <v>—</v>
      </c>
      <c r="J211" s="3"/>
      <c r="K211" s="3"/>
      <c r="L211" s="3"/>
    </row>
    <row r="212" spans="1:12" x14ac:dyDescent="0.2">
      <c r="A212" s="30">
        <v>208</v>
      </c>
      <c r="B212" s="7" t="str">
        <f>IFERROR(IF(INDEX(Bookings!$D$5:$D$304,MATCH($A212,Bookings!$A$5:$A$304,0))="Cancelled","—",IF(INDEX(Bookings!$B$5:$B$304,MATCH($A212,Bookings!$A$5:$A$304,0))="","—",INDEX(Bookings!$B$5:$B$304,MATCH($A212,Bookings!$A$5:$A$304,0)))),"—")</f>
        <v>—</v>
      </c>
      <c r="C212" s="7" t="str">
        <f>IFERROR(IF(INDEX(Bookings!$D$5:$D$304,MATCH($A212,Bookings!$A$5:$A$304,0))="Cancelled","—",IF(INDEX(Bookings!$E$5:$E$304,MATCH($A212,Bookings!$A$5:$A$304,0))="","—",INDEX(Bookings!$E$5:$E$304,MATCH($A212,Bookings!$A$5:$A$304,0)))),"—")</f>
        <v>—</v>
      </c>
      <c r="D212" s="37" t="str">
        <f>IFERROR(IF(INDEX(Bookings!$D$5:$D$304,MATCH($A212,Bookings!$A$5:$A$304,0))="Cancelled","—",IF(INDEX(Bookings!$G$5:$G$304,MATCH($A212,Bookings!$A$5:$A$304,0))="","—",INDEX(Bookings!$G$5:$G$304,MATCH($A212,Bookings!$A$5:$A$304,0)))),"—")</f>
        <v>—</v>
      </c>
      <c r="E212" s="38" t="str">
        <f t="shared" ca="1" si="3"/>
        <v>—</v>
      </c>
      <c r="F212" s="39" t="str">
        <f>IF(OR(NOT(ISNUMBER($D212)),$B212="—",$B212=""),"—",IF(COUNTIFS(Bookings!$B$5:$B$304,$B212,Bookings!$F$5:$F$304,$D212)-COUNTIFS(Bookings!$B$5:$B$304,$B212,Bookings!$F$5:$F$304,$D212,Bookings!$D$5:$D$304,"Cancelled")-COUNTIFS(Bookings!$B$5:$B$304,$B212,Bookings!$F$5:$F$304,$D212,Bookings!$D$5:$D$304,"Owner block")&gt;0,"SAME-DAY TURN","No same-day guest"))</f>
        <v>—</v>
      </c>
      <c r="G212" s="38" t="str">
        <f>IFERROR(IF(INDEX(Bookings!$D$5:$D$304,MATCH($A212,Bookings!$A$5:$A$304,0))="Cancelled","—",IF(INDEX(Bookings!$I$5:$I$304,MATCH($A212,Bookings!$A$5:$A$304,0))="","—",INDEX(Bookings!$I$5:$I$304,MATCH($A212,Bookings!$A$5:$A$304,0)))),"—")</f>
        <v>—</v>
      </c>
      <c r="H212" s="38" t="str">
        <f>IFERROR(IF(INDEX(Setup!$I$25:$I$36,MATCH($B212,Setup!$A$25:$A$36,0))=0,"—",INDEX(Setup!$I$25:$I$36,MATCH($B212,Setup!$A$25:$A$36,0))),"—")</f>
        <v>—</v>
      </c>
      <c r="I212" s="21" t="str">
        <f>IFERROR(IF(INDEX(Setup!$E$25:$E$36,MATCH($B212,Setup!$A$25:$A$36,0))=0,"—",INDEX(Setup!$E$25:$E$36,MATCH($B212,Setup!$A$25:$A$36,0))),"—")</f>
        <v>—</v>
      </c>
      <c r="J212" s="8"/>
      <c r="K212" s="8"/>
      <c r="L212" s="8"/>
    </row>
    <row r="213" spans="1:12" x14ac:dyDescent="0.2">
      <c r="A213" s="30">
        <v>209</v>
      </c>
      <c r="B213" s="7" t="str">
        <f>IFERROR(IF(INDEX(Bookings!$D$5:$D$304,MATCH($A213,Bookings!$A$5:$A$304,0))="Cancelled","—",IF(INDEX(Bookings!$B$5:$B$304,MATCH($A213,Bookings!$A$5:$A$304,0))="","—",INDEX(Bookings!$B$5:$B$304,MATCH($A213,Bookings!$A$5:$A$304,0)))),"—")</f>
        <v>—</v>
      </c>
      <c r="C213" s="7" t="str">
        <f>IFERROR(IF(INDEX(Bookings!$D$5:$D$304,MATCH($A213,Bookings!$A$5:$A$304,0))="Cancelled","—",IF(INDEX(Bookings!$E$5:$E$304,MATCH($A213,Bookings!$A$5:$A$304,0))="","—",INDEX(Bookings!$E$5:$E$304,MATCH($A213,Bookings!$A$5:$A$304,0)))),"—")</f>
        <v>—</v>
      </c>
      <c r="D213" s="37" t="str">
        <f>IFERROR(IF(INDEX(Bookings!$D$5:$D$304,MATCH($A213,Bookings!$A$5:$A$304,0))="Cancelled","—",IF(INDEX(Bookings!$G$5:$G$304,MATCH($A213,Bookings!$A$5:$A$304,0))="","—",INDEX(Bookings!$G$5:$G$304,MATCH($A213,Bookings!$A$5:$A$304,0)))),"—")</f>
        <v>—</v>
      </c>
      <c r="E213" s="38" t="str">
        <f t="shared" ca="1" si="3"/>
        <v>—</v>
      </c>
      <c r="F213" s="39" t="str">
        <f>IF(OR(NOT(ISNUMBER($D213)),$B213="—",$B213=""),"—",IF(COUNTIFS(Bookings!$B$5:$B$304,$B213,Bookings!$F$5:$F$304,$D213)-COUNTIFS(Bookings!$B$5:$B$304,$B213,Bookings!$F$5:$F$304,$D213,Bookings!$D$5:$D$304,"Cancelled")-COUNTIFS(Bookings!$B$5:$B$304,$B213,Bookings!$F$5:$F$304,$D213,Bookings!$D$5:$D$304,"Owner block")&gt;0,"SAME-DAY TURN","No same-day guest"))</f>
        <v>—</v>
      </c>
      <c r="G213" s="38" t="str">
        <f>IFERROR(IF(INDEX(Bookings!$D$5:$D$304,MATCH($A213,Bookings!$A$5:$A$304,0))="Cancelled","—",IF(INDEX(Bookings!$I$5:$I$304,MATCH($A213,Bookings!$A$5:$A$304,0))="","—",INDEX(Bookings!$I$5:$I$304,MATCH($A213,Bookings!$A$5:$A$304,0)))),"—")</f>
        <v>—</v>
      </c>
      <c r="H213" s="38" t="str">
        <f>IFERROR(IF(INDEX(Setup!$I$25:$I$36,MATCH($B213,Setup!$A$25:$A$36,0))=0,"—",INDEX(Setup!$I$25:$I$36,MATCH($B213,Setup!$A$25:$A$36,0))),"—")</f>
        <v>—</v>
      </c>
      <c r="I213" s="21" t="str">
        <f>IFERROR(IF(INDEX(Setup!$E$25:$E$36,MATCH($B213,Setup!$A$25:$A$36,0))=0,"—",INDEX(Setup!$E$25:$E$36,MATCH($B213,Setup!$A$25:$A$36,0))),"—")</f>
        <v>—</v>
      </c>
      <c r="J213" s="3"/>
      <c r="K213" s="3"/>
      <c r="L213" s="3"/>
    </row>
    <row r="214" spans="1:12" x14ac:dyDescent="0.2">
      <c r="A214" s="30">
        <v>210</v>
      </c>
      <c r="B214" s="7" t="str">
        <f>IFERROR(IF(INDEX(Bookings!$D$5:$D$304,MATCH($A214,Bookings!$A$5:$A$304,0))="Cancelled","—",IF(INDEX(Bookings!$B$5:$B$304,MATCH($A214,Bookings!$A$5:$A$304,0))="","—",INDEX(Bookings!$B$5:$B$304,MATCH($A214,Bookings!$A$5:$A$304,0)))),"—")</f>
        <v>—</v>
      </c>
      <c r="C214" s="7" t="str">
        <f>IFERROR(IF(INDEX(Bookings!$D$5:$D$304,MATCH($A214,Bookings!$A$5:$A$304,0))="Cancelled","—",IF(INDEX(Bookings!$E$5:$E$304,MATCH($A214,Bookings!$A$5:$A$304,0))="","—",INDEX(Bookings!$E$5:$E$304,MATCH($A214,Bookings!$A$5:$A$304,0)))),"—")</f>
        <v>—</v>
      </c>
      <c r="D214" s="37" t="str">
        <f>IFERROR(IF(INDEX(Bookings!$D$5:$D$304,MATCH($A214,Bookings!$A$5:$A$304,0))="Cancelled","—",IF(INDEX(Bookings!$G$5:$G$304,MATCH($A214,Bookings!$A$5:$A$304,0))="","—",INDEX(Bookings!$G$5:$G$304,MATCH($A214,Bookings!$A$5:$A$304,0)))),"—")</f>
        <v>—</v>
      </c>
      <c r="E214" s="38" t="str">
        <f t="shared" ca="1" si="3"/>
        <v>—</v>
      </c>
      <c r="F214" s="39" t="str">
        <f>IF(OR(NOT(ISNUMBER($D214)),$B214="—",$B214=""),"—",IF(COUNTIFS(Bookings!$B$5:$B$304,$B214,Bookings!$F$5:$F$304,$D214)-COUNTIFS(Bookings!$B$5:$B$304,$B214,Bookings!$F$5:$F$304,$D214,Bookings!$D$5:$D$304,"Cancelled")-COUNTIFS(Bookings!$B$5:$B$304,$B214,Bookings!$F$5:$F$304,$D214,Bookings!$D$5:$D$304,"Owner block")&gt;0,"SAME-DAY TURN","No same-day guest"))</f>
        <v>—</v>
      </c>
      <c r="G214" s="38" t="str">
        <f>IFERROR(IF(INDEX(Bookings!$D$5:$D$304,MATCH($A214,Bookings!$A$5:$A$304,0))="Cancelled","—",IF(INDEX(Bookings!$I$5:$I$304,MATCH($A214,Bookings!$A$5:$A$304,0))="","—",INDEX(Bookings!$I$5:$I$304,MATCH($A214,Bookings!$A$5:$A$304,0)))),"—")</f>
        <v>—</v>
      </c>
      <c r="H214" s="38" t="str">
        <f>IFERROR(IF(INDEX(Setup!$I$25:$I$36,MATCH($B214,Setup!$A$25:$A$36,0))=0,"—",INDEX(Setup!$I$25:$I$36,MATCH($B214,Setup!$A$25:$A$36,0))),"—")</f>
        <v>—</v>
      </c>
      <c r="I214" s="21" t="str">
        <f>IFERROR(IF(INDEX(Setup!$E$25:$E$36,MATCH($B214,Setup!$A$25:$A$36,0))=0,"—",INDEX(Setup!$E$25:$E$36,MATCH($B214,Setup!$A$25:$A$36,0))),"—")</f>
        <v>—</v>
      </c>
      <c r="J214" s="8"/>
      <c r="K214" s="8"/>
      <c r="L214" s="8"/>
    </row>
    <row r="215" spans="1:12" x14ac:dyDescent="0.2">
      <c r="A215" s="30">
        <v>211</v>
      </c>
      <c r="B215" s="7" t="str">
        <f>IFERROR(IF(INDEX(Bookings!$D$5:$D$304,MATCH($A215,Bookings!$A$5:$A$304,0))="Cancelled","—",IF(INDEX(Bookings!$B$5:$B$304,MATCH($A215,Bookings!$A$5:$A$304,0))="","—",INDEX(Bookings!$B$5:$B$304,MATCH($A215,Bookings!$A$5:$A$304,0)))),"—")</f>
        <v>—</v>
      </c>
      <c r="C215" s="7" t="str">
        <f>IFERROR(IF(INDEX(Bookings!$D$5:$D$304,MATCH($A215,Bookings!$A$5:$A$304,0))="Cancelled","—",IF(INDEX(Bookings!$E$5:$E$304,MATCH($A215,Bookings!$A$5:$A$304,0))="","—",INDEX(Bookings!$E$5:$E$304,MATCH($A215,Bookings!$A$5:$A$304,0)))),"—")</f>
        <v>—</v>
      </c>
      <c r="D215" s="37" t="str">
        <f>IFERROR(IF(INDEX(Bookings!$D$5:$D$304,MATCH($A215,Bookings!$A$5:$A$304,0))="Cancelled","—",IF(INDEX(Bookings!$G$5:$G$304,MATCH($A215,Bookings!$A$5:$A$304,0))="","—",INDEX(Bookings!$G$5:$G$304,MATCH($A215,Bookings!$A$5:$A$304,0)))),"—")</f>
        <v>—</v>
      </c>
      <c r="E215" s="38" t="str">
        <f t="shared" ca="1" si="3"/>
        <v>—</v>
      </c>
      <c r="F215" s="39" t="str">
        <f>IF(OR(NOT(ISNUMBER($D215)),$B215="—",$B215=""),"—",IF(COUNTIFS(Bookings!$B$5:$B$304,$B215,Bookings!$F$5:$F$304,$D215)-COUNTIFS(Bookings!$B$5:$B$304,$B215,Bookings!$F$5:$F$304,$D215,Bookings!$D$5:$D$304,"Cancelled")-COUNTIFS(Bookings!$B$5:$B$304,$B215,Bookings!$F$5:$F$304,$D215,Bookings!$D$5:$D$304,"Owner block")&gt;0,"SAME-DAY TURN","No same-day guest"))</f>
        <v>—</v>
      </c>
      <c r="G215" s="38" t="str">
        <f>IFERROR(IF(INDEX(Bookings!$D$5:$D$304,MATCH($A215,Bookings!$A$5:$A$304,0))="Cancelled","—",IF(INDEX(Bookings!$I$5:$I$304,MATCH($A215,Bookings!$A$5:$A$304,0))="","—",INDEX(Bookings!$I$5:$I$304,MATCH($A215,Bookings!$A$5:$A$304,0)))),"—")</f>
        <v>—</v>
      </c>
      <c r="H215" s="38" t="str">
        <f>IFERROR(IF(INDEX(Setup!$I$25:$I$36,MATCH($B215,Setup!$A$25:$A$36,0))=0,"—",INDEX(Setup!$I$25:$I$36,MATCH($B215,Setup!$A$25:$A$36,0))),"—")</f>
        <v>—</v>
      </c>
      <c r="I215" s="21" t="str">
        <f>IFERROR(IF(INDEX(Setup!$E$25:$E$36,MATCH($B215,Setup!$A$25:$A$36,0))=0,"—",INDEX(Setup!$E$25:$E$36,MATCH($B215,Setup!$A$25:$A$36,0))),"—")</f>
        <v>—</v>
      </c>
      <c r="J215" s="3"/>
      <c r="K215" s="3"/>
      <c r="L215" s="3"/>
    </row>
    <row r="216" spans="1:12" x14ac:dyDescent="0.2">
      <c r="A216" s="30">
        <v>212</v>
      </c>
      <c r="B216" s="7" t="str">
        <f>IFERROR(IF(INDEX(Bookings!$D$5:$D$304,MATCH($A216,Bookings!$A$5:$A$304,0))="Cancelled","—",IF(INDEX(Bookings!$B$5:$B$304,MATCH($A216,Bookings!$A$5:$A$304,0))="","—",INDEX(Bookings!$B$5:$B$304,MATCH($A216,Bookings!$A$5:$A$304,0)))),"—")</f>
        <v>—</v>
      </c>
      <c r="C216" s="7" t="str">
        <f>IFERROR(IF(INDEX(Bookings!$D$5:$D$304,MATCH($A216,Bookings!$A$5:$A$304,0))="Cancelled","—",IF(INDEX(Bookings!$E$5:$E$304,MATCH($A216,Bookings!$A$5:$A$304,0))="","—",INDEX(Bookings!$E$5:$E$304,MATCH($A216,Bookings!$A$5:$A$304,0)))),"—")</f>
        <v>—</v>
      </c>
      <c r="D216" s="37" t="str">
        <f>IFERROR(IF(INDEX(Bookings!$D$5:$D$304,MATCH($A216,Bookings!$A$5:$A$304,0))="Cancelled","—",IF(INDEX(Bookings!$G$5:$G$304,MATCH($A216,Bookings!$A$5:$A$304,0))="","—",INDEX(Bookings!$G$5:$G$304,MATCH($A216,Bookings!$A$5:$A$304,0)))),"—")</f>
        <v>—</v>
      </c>
      <c r="E216" s="38" t="str">
        <f t="shared" ca="1" si="3"/>
        <v>—</v>
      </c>
      <c r="F216" s="39" t="str">
        <f>IF(OR(NOT(ISNUMBER($D216)),$B216="—",$B216=""),"—",IF(COUNTIFS(Bookings!$B$5:$B$304,$B216,Bookings!$F$5:$F$304,$D216)-COUNTIFS(Bookings!$B$5:$B$304,$B216,Bookings!$F$5:$F$304,$D216,Bookings!$D$5:$D$304,"Cancelled")-COUNTIFS(Bookings!$B$5:$B$304,$B216,Bookings!$F$5:$F$304,$D216,Bookings!$D$5:$D$304,"Owner block")&gt;0,"SAME-DAY TURN","No same-day guest"))</f>
        <v>—</v>
      </c>
      <c r="G216" s="38" t="str">
        <f>IFERROR(IF(INDEX(Bookings!$D$5:$D$304,MATCH($A216,Bookings!$A$5:$A$304,0))="Cancelled","—",IF(INDEX(Bookings!$I$5:$I$304,MATCH($A216,Bookings!$A$5:$A$304,0))="","—",INDEX(Bookings!$I$5:$I$304,MATCH($A216,Bookings!$A$5:$A$304,0)))),"—")</f>
        <v>—</v>
      </c>
      <c r="H216" s="38" t="str">
        <f>IFERROR(IF(INDEX(Setup!$I$25:$I$36,MATCH($B216,Setup!$A$25:$A$36,0))=0,"—",INDEX(Setup!$I$25:$I$36,MATCH($B216,Setup!$A$25:$A$36,0))),"—")</f>
        <v>—</v>
      </c>
      <c r="I216" s="21" t="str">
        <f>IFERROR(IF(INDEX(Setup!$E$25:$E$36,MATCH($B216,Setup!$A$25:$A$36,0))=0,"—",INDEX(Setup!$E$25:$E$36,MATCH($B216,Setup!$A$25:$A$36,0))),"—")</f>
        <v>—</v>
      </c>
      <c r="J216" s="8"/>
      <c r="K216" s="8"/>
      <c r="L216" s="8"/>
    </row>
    <row r="217" spans="1:12" x14ac:dyDescent="0.2">
      <c r="A217" s="30">
        <v>213</v>
      </c>
      <c r="B217" s="7" t="str">
        <f>IFERROR(IF(INDEX(Bookings!$D$5:$D$304,MATCH($A217,Bookings!$A$5:$A$304,0))="Cancelled","—",IF(INDEX(Bookings!$B$5:$B$304,MATCH($A217,Bookings!$A$5:$A$304,0))="","—",INDEX(Bookings!$B$5:$B$304,MATCH($A217,Bookings!$A$5:$A$304,0)))),"—")</f>
        <v>—</v>
      </c>
      <c r="C217" s="7" t="str">
        <f>IFERROR(IF(INDEX(Bookings!$D$5:$D$304,MATCH($A217,Bookings!$A$5:$A$304,0))="Cancelled","—",IF(INDEX(Bookings!$E$5:$E$304,MATCH($A217,Bookings!$A$5:$A$304,0))="","—",INDEX(Bookings!$E$5:$E$304,MATCH($A217,Bookings!$A$5:$A$304,0)))),"—")</f>
        <v>—</v>
      </c>
      <c r="D217" s="37" t="str">
        <f>IFERROR(IF(INDEX(Bookings!$D$5:$D$304,MATCH($A217,Bookings!$A$5:$A$304,0))="Cancelled","—",IF(INDEX(Bookings!$G$5:$G$304,MATCH($A217,Bookings!$A$5:$A$304,0))="","—",INDEX(Bookings!$G$5:$G$304,MATCH($A217,Bookings!$A$5:$A$304,0)))),"—")</f>
        <v>—</v>
      </c>
      <c r="E217" s="38" t="str">
        <f t="shared" ca="1" si="3"/>
        <v>—</v>
      </c>
      <c r="F217" s="39" t="str">
        <f>IF(OR(NOT(ISNUMBER($D217)),$B217="—",$B217=""),"—",IF(COUNTIFS(Bookings!$B$5:$B$304,$B217,Bookings!$F$5:$F$304,$D217)-COUNTIFS(Bookings!$B$5:$B$304,$B217,Bookings!$F$5:$F$304,$D217,Bookings!$D$5:$D$304,"Cancelled")-COUNTIFS(Bookings!$B$5:$B$304,$B217,Bookings!$F$5:$F$304,$D217,Bookings!$D$5:$D$304,"Owner block")&gt;0,"SAME-DAY TURN","No same-day guest"))</f>
        <v>—</v>
      </c>
      <c r="G217" s="38" t="str">
        <f>IFERROR(IF(INDEX(Bookings!$D$5:$D$304,MATCH($A217,Bookings!$A$5:$A$304,0))="Cancelled","—",IF(INDEX(Bookings!$I$5:$I$304,MATCH($A217,Bookings!$A$5:$A$304,0))="","—",INDEX(Bookings!$I$5:$I$304,MATCH($A217,Bookings!$A$5:$A$304,0)))),"—")</f>
        <v>—</v>
      </c>
      <c r="H217" s="38" t="str">
        <f>IFERROR(IF(INDEX(Setup!$I$25:$I$36,MATCH($B217,Setup!$A$25:$A$36,0))=0,"—",INDEX(Setup!$I$25:$I$36,MATCH($B217,Setup!$A$25:$A$36,0))),"—")</f>
        <v>—</v>
      </c>
      <c r="I217" s="21" t="str">
        <f>IFERROR(IF(INDEX(Setup!$E$25:$E$36,MATCH($B217,Setup!$A$25:$A$36,0))=0,"—",INDEX(Setup!$E$25:$E$36,MATCH($B217,Setup!$A$25:$A$36,0))),"—")</f>
        <v>—</v>
      </c>
      <c r="J217" s="3"/>
      <c r="K217" s="3"/>
      <c r="L217" s="3"/>
    </row>
    <row r="218" spans="1:12" x14ac:dyDescent="0.2">
      <c r="A218" s="30">
        <v>214</v>
      </c>
      <c r="B218" s="7" t="str">
        <f>IFERROR(IF(INDEX(Bookings!$D$5:$D$304,MATCH($A218,Bookings!$A$5:$A$304,0))="Cancelled","—",IF(INDEX(Bookings!$B$5:$B$304,MATCH($A218,Bookings!$A$5:$A$304,0))="","—",INDEX(Bookings!$B$5:$B$304,MATCH($A218,Bookings!$A$5:$A$304,0)))),"—")</f>
        <v>—</v>
      </c>
      <c r="C218" s="7" t="str">
        <f>IFERROR(IF(INDEX(Bookings!$D$5:$D$304,MATCH($A218,Bookings!$A$5:$A$304,0))="Cancelled","—",IF(INDEX(Bookings!$E$5:$E$304,MATCH($A218,Bookings!$A$5:$A$304,0))="","—",INDEX(Bookings!$E$5:$E$304,MATCH($A218,Bookings!$A$5:$A$304,0)))),"—")</f>
        <v>—</v>
      </c>
      <c r="D218" s="37" t="str">
        <f>IFERROR(IF(INDEX(Bookings!$D$5:$D$304,MATCH($A218,Bookings!$A$5:$A$304,0))="Cancelled","—",IF(INDEX(Bookings!$G$5:$G$304,MATCH($A218,Bookings!$A$5:$A$304,0))="","—",INDEX(Bookings!$G$5:$G$304,MATCH($A218,Bookings!$A$5:$A$304,0)))),"—")</f>
        <v>—</v>
      </c>
      <c r="E218" s="38" t="str">
        <f t="shared" ca="1" si="3"/>
        <v>—</v>
      </c>
      <c r="F218" s="39" t="str">
        <f>IF(OR(NOT(ISNUMBER($D218)),$B218="—",$B218=""),"—",IF(COUNTIFS(Bookings!$B$5:$B$304,$B218,Bookings!$F$5:$F$304,$D218)-COUNTIFS(Bookings!$B$5:$B$304,$B218,Bookings!$F$5:$F$304,$D218,Bookings!$D$5:$D$304,"Cancelled")-COUNTIFS(Bookings!$B$5:$B$304,$B218,Bookings!$F$5:$F$304,$D218,Bookings!$D$5:$D$304,"Owner block")&gt;0,"SAME-DAY TURN","No same-day guest"))</f>
        <v>—</v>
      </c>
      <c r="G218" s="38" t="str">
        <f>IFERROR(IF(INDEX(Bookings!$D$5:$D$304,MATCH($A218,Bookings!$A$5:$A$304,0))="Cancelled","—",IF(INDEX(Bookings!$I$5:$I$304,MATCH($A218,Bookings!$A$5:$A$304,0))="","—",INDEX(Bookings!$I$5:$I$304,MATCH($A218,Bookings!$A$5:$A$304,0)))),"—")</f>
        <v>—</v>
      </c>
      <c r="H218" s="38" t="str">
        <f>IFERROR(IF(INDEX(Setup!$I$25:$I$36,MATCH($B218,Setup!$A$25:$A$36,0))=0,"—",INDEX(Setup!$I$25:$I$36,MATCH($B218,Setup!$A$25:$A$36,0))),"—")</f>
        <v>—</v>
      </c>
      <c r="I218" s="21" t="str">
        <f>IFERROR(IF(INDEX(Setup!$E$25:$E$36,MATCH($B218,Setup!$A$25:$A$36,0))=0,"—",INDEX(Setup!$E$25:$E$36,MATCH($B218,Setup!$A$25:$A$36,0))),"—")</f>
        <v>—</v>
      </c>
      <c r="J218" s="8"/>
      <c r="K218" s="8"/>
      <c r="L218" s="8"/>
    </row>
    <row r="219" spans="1:12" x14ac:dyDescent="0.2">
      <c r="A219" s="30">
        <v>215</v>
      </c>
      <c r="B219" s="7" t="str">
        <f>IFERROR(IF(INDEX(Bookings!$D$5:$D$304,MATCH($A219,Bookings!$A$5:$A$304,0))="Cancelled","—",IF(INDEX(Bookings!$B$5:$B$304,MATCH($A219,Bookings!$A$5:$A$304,0))="","—",INDEX(Bookings!$B$5:$B$304,MATCH($A219,Bookings!$A$5:$A$304,0)))),"—")</f>
        <v>—</v>
      </c>
      <c r="C219" s="7" t="str">
        <f>IFERROR(IF(INDEX(Bookings!$D$5:$D$304,MATCH($A219,Bookings!$A$5:$A$304,0))="Cancelled","—",IF(INDEX(Bookings!$E$5:$E$304,MATCH($A219,Bookings!$A$5:$A$304,0))="","—",INDEX(Bookings!$E$5:$E$304,MATCH($A219,Bookings!$A$5:$A$304,0)))),"—")</f>
        <v>—</v>
      </c>
      <c r="D219" s="37" t="str">
        <f>IFERROR(IF(INDEX(Bookings!$D$5:$D$304,MATCH($A219,Bookings!$A$5:$A$304,0))="Cancelled","—",IF(INDEX(Bookings!$G$5:$G$304,MATCH($A219,Bookings!$A$5:$A$304,0))="","—",INDEX(Bookings!$G$5:$G$304,MATCH($A219,Bookings!$A$5:$A$304,0)))),"—")</f>
        <v>—</v>
      </c>
      <c r="E219" s="38" t="str">
        <f t="shared" ca="1" si="3"/>
        <v>—</v>
      </c>
      <c r="F219" s="39" t="str">
        <f>IF(OR(NOT(ISNUMBER($D219)),$B219="—",$B219=""),"—",IF(COUNTIFS(Bookings!$B$5:$B$304,$B219,Bookings!$F$5:$F$304,$D219)-COUNTIFS(Bookings!$B$5:$B$304,$B219,Bookings!$F$5:$F$304,$D219,Bookings!$D$5:$D$304,"Cancelled")-COUNTIFS(Bookings!$B$5:$B$304,$B219,Bookings!$F$5:$F$304,$D219,Bookings!$D$5:$D$304,"Owner block")&gt;0,"SAME-DAY TURN","No same-day guest"))</f>
        <v>—</v>
      </c>
      <c r="G219" s="38" t="str">
        <f>IFERROR(IF(INDEX(Bookings!$D$5:$D$304,MATCH($A219,Bookings!$A$5:$A$304,0))="Cancelled","—",IF(INDEX(Bookings!$I$5:$I$304,MATCH($A219,Bookings!$A$5:$A$304,0))="","—",INDEX(Bookings!$I$5:$I$304,MATCH($A219,Bookings!$A$5:$A$304,0)))),"—")</f>
        <v>—</v>
      </c>
      <c r="H219" s="38" t="str">
        <f>IFERROR(IF(INDEX(Setup!$I$25:$I$36,MATCH($B219,Setup!$A$25:$A$36,0))=0,"—",INDEX(Setup!$I$25:$I$36,MATCH($B219,Setup!$A$25:$A$36,0))),"—")</f>
        <v>—</v>
      </c>
      <c r="I219" s="21" t="str">
        <f>IFERROR(IF(INDEX(Setup!$E$25:$E$36,MATCH($B219,Setup!$A$25:$A$36,0))=0,"—",INDEX(Setup!$E$25:$E$36,MATCH($B219,Setup!$A$25:$A$36,0))),"—")</f>
        <v>—</v>
      </c>
      <c r="J219" s="3"/>
      <c r="K219" s="3"/>
      <c r="L219" s="3"/>
    </row>
    <row r="220" spans="1:12" x14ac:dyDescent="0.2">
      <c r="A220" s="30">
        <v>216</v>
      </c>
      <c r="B220" s="7" t="str">
        <f>IFERROR(IF(INDEX(Bookings!$D$5:$D$304,MATCH($A220,Bookings!$A$5:$A$304,0))="Cancelled","—",IF(INDEX(Bookings!$B$5:$B$304,MATCH($A220,Bookings!$A$5:$A$304,0))="","—",INDEX(Bookings!$B$5:$B$304,MATCH($A220,Bookings!$A$5:$A$304,0)))),"—")</f>
        <v>—</v>
      </c>
      <c r="C220" s="7" t="str">
        <f>IFERROR(IF(INDEX(Bookings!$D$5:$D$304,MATCH($A220,Bookings!$A$5:$A$304,0))="Cancelled","—",IF(INDEX(Bookings!$E$5:$E$304,MATCH($A220,Bookings!$A$5:$A$304,0))="","—",INDEX(Bookings!$E$5:$E$304,MATCH($A220,Bookings!$A$5:$A$304,0)))),"—")</f>
        <v>—</v>
      </c>
      <c r="D220" s="37" t="str">
        <f>IFERROR(IF(INDEX(Bookings!$D$5:$D$304,MATCH($A220,Bookings!$A$5:$A$304,0))="Cancelled","—",IF(INDEX(Bookings!$G$5:$G$304,MATCH($A220,Bookings!$A$5:$A$304,0))="","—",INDEX(Bookings!$G$5:$G$304,MATCH($A220,Bookings!$A$5:$A$304,0)))),"—")</f>
        <v>—</v>
      </c>
      <c r="E220" s="38" t="str">
        <f t="shared" ca="1" si="3"/>
        <v>—</v>
      </c>
      <c r="F220" s="39" t="str">
        <f>IF(OR(NOT(ISNUMBER($D220)),$B220="—",$B220=""),"—",IF(COUNTIFS(Bookings!$B$5:$B$304,$B220,Bookings!$F$5:$F$304,$D220)-COUNTIFS(Bookings!$B$5:$B$304,$B220,Bookings!$F$5:$F$304,$D220,Bookings!$D$5:$D$304,"Cancelled")-COUNTIFS(Bookings!$B$5:$B$304,$B220,Bookings!$F$5:$F$304,$D220,Bookings!$D$5:$D$304,"Owner block")&gt;0,"SAME-DAY TURN","No same-day guest"))</f>
        <v>—</v>
      </c>
      <c r="G220" s="38" t="str">
        <f>IFERROR(IF(INDEX(Bookings!$D$5:$D$304,MATCH($A220,Bookings!$A$5:$A$304,0))="Cancelled","—",IF(INDEX(Bookings!$I$5:$I$304,MATCH($A220,Bookings!$A$5:$A$304,0))="","—",INDEX(Bookings!$I$5:$I$304,MATCH($A220,Bookings!$A$5:$A$304,0)))),"—")</f>
        <v>—</v>
      </c>
      <c r="H220" s="38" t="str">
        <f>IFERROR(IF(INDEX(Setup!$I$25:$I$36,MATCH($B220,Setup!$A$25:$A$36,0))=0,"—",INDEX(Setup!$I$25:$I$36,MATCH($B220,Setup!$A$25:$A$36,0))),"—")</f>
        <v>—</v>
      </c>
      <c r="I220" s="21" t="str">
        <f>IFERROR(IF(INDEX(Setup!$E$25:$E$36,MATCH($B220,Setup!$A$25:$A$36,0))=0,"—",INDEX(Setup!$E$25:$E$36,MATCH($B220,Setup!$A$25:$A$36,0))),"—")</f>
        <v>—</v>
      </c>
      <c r="J220" s="8"/>
      <c r="K220" s="8"/>
      <c r="L220" s="8"/>
    </row>
    <row r="221" spans="1:12" x14ac:dyDescent="0.2">
      <c r="A221" s="30">
        <v>217</v>
      </c>
      <c r="B221" s="7" t="str">
        <f>IFERROR(IF(INDEX(Bookings!$D$5:$D$304,MATCH($A221,Bookings!$A$5:$A$304,0))="Cancelled","—",IF(INDEX(Bookings!$B$5:$B$304,MATCH($A221,Bookings!$A$5:$A$304,0))="","—",INDEX(Bookings!$B$5:$B$304,MATCH($A221,Bookings!$A$5:$A$304,0)))),"—")</f>
        <v>—</v>
      </c>
      <c r="C221" s="7" t="str">
        <f>IFERROR(IF(INDEX(Bookings!$D$5:$D$304,MATCH($A221,Bookings!$A$5:$A$304,0))="Cancelled","—",IF(INDEX(Bookings!$E$5:$E$304,MATCH($A221,Bookings!$A$5:$A$304,0))="","—",INDEX(Bookings!$E$5:$E$304,MATCH($A221,Bookings!$A$5:$A$304,0)))),"—")</f>
        <v>—</v>
      </c>
      <c r="D221" s="37" t="str">
        <f>IFERROR(IF(INDEX(Bookings!$D$5:$D$304,MATCH($A221,Bookings!$A$5:$A$304,0))="Cancelled","—",IF(INDEX(Bookings!$G$5:$G$304,MATCH($A221,Bookings!$A$5:$A$304,0))="","—",INDEX(Bookings!$G$5:$G$304,MATCH($A221,Bookings!$A$5:$A$304,0)))),"—")</f>
        <v>—</v>
      </c>
      <c r="E221" s="38" t="str">
        <f t="shared" ca="1" si="3"/>
        <v>—</v>
      </c>
      <c r="F221" s="39" t="str">
        <f>IF(OR(NOT(ISNUMBER($D221)),$B221="—",$B221=""),"—",IF(COUNTIFS(Bookings!$B$5:$B$304,$B221,Bookings!$F$5:$F$304,$D221)-COUNTIFS(Bookings!$B$5:$B$304,$B221,Bookings!$F$5:$F$304,$D221,Bookings!$D$5:$D$304,"Cancelled")-COUNTIFS(Bookings!$B$5:$B$304,$B221,Bookings!$F$5:$F$304,$D221,Bookings!$D$5:$D$304,"Owner block")&gt;0,"SAME-DAY TURN","No same-day guest"))</f>
        <v>—</v>
      </c>
      <c r="G221" s="38" t="str">
        <f>IFERROR(IF(INDEX(Bookings!$D$5:$D$304,MATCH($A221,Bookings!$A$5:$A$304,0))="Cancelled","—",IF(INDEX(Bookings!$I$5:$I$304,MATCH($A221,Bookings!$A$5:$A$304,0))="","—",INDEX(Bookings!$I$5:$I$304,MATCH($A221,Bookings!$A$5:$A$304,0)))),"—")</f>
        <v>—</v>
      </c>
      <c r="H221" s="38" t="str">
        <f>IFERROR(IF(INDEX(Setup!$I$25:$I$36,MATCH($B221,Setup!$A$25:$A$36,0))=0,"—",INDEX(Setup!$I$25:$I$36,MATCH($B221,Setup!$A$25:$A$36,0))),"—")</f>
        <v>—</v>
      </c>
      <c r="I221" s="21" t="str">
        <f>IFERROR(IF(INDEX(Setup!$E$25:$E$36,MATCH($B221,Setup!$A$25:$A$36,0))=0,"—",INDEX(Setup!$E$25:$E$36,MATCH($B221,Setup!$A$25:$A$36,0))),"—")</f>
        <v>—</v>
      </c>
      <c r="J221" s="3"/>
      <c r="K221" s="3"/>
      <c r="L221" s="3"/>
    </row>
    <row r="222" spans="1:12" x14ac:dyDescent="0.2">
      <c r="A222" s="30">
        <v>218</v>
      </c>
      <c r="B222" s="7" t="str">
        <f>IFERROR(IF(INDEX(Bookings!$D$5:$D$304,MATCH($A222,Bookings!$A$5:$A$304,0))="Cancelled","—",IF(INDEX(Bookings!$B$5:$B$304,MATCH($A222,Bookings!$A$5:$A$304,0))="","—",INDEX(Bookings!$B$5:$B$304,MATCH($A222,Bookings!$A$5:$A$304,0)))),"—")</f>
        <v>—</v>
      </c>
      <c r="C222" s="7" t="str">
        <f>IFERROR(IF(INDEX(Bookings!$D$5:$D$304,MATCH($A222,Bookings!$A$5:$A$304,0))="Cancelled","—",IF(INDEX(Bookings!$E$5:$E$304,MATCH($A222,Bookings!$A$5:$A$304,0))="","—",INDEX(Bookings!$E$5:$E$304,MATCH($A222,Bookings!$A$5:$A$304,0)))),"—")</f>
        <v>—</v>
      </c>
      <c r="D222" s="37" t="str">
        <f>IFERROR(IF(INDEX(Bookings!$D$5:$D$304,MATCH($A222,Bookings!$A$5:$A$304,0))="Cancelled","—",IF(INDEX(Bookings!$G$5:$G$304,MATCH($A222,Bookings!$A$5:$A$304,0))="","—",INDEX(Bookings!$G$5:$G$304,MATCH($A222,Bookings!$A$5:$A$304,0)))),"—")</f>
        <v>—</v>
      </c>
      <c r="E222" s="38" t="str">
        <f t="shared" ca="1" si="3"/>
        <v>—</v>
      </c>
      <c r="F222" s="39" t="str">
        <f>IF(OR(NOT(ISNUMBER($D222)),$B222="—",$B222=""),"—",IF(COUNTIFS(Bookings!$B$5:$B$304,$B222,Bookings!$F$5:$F$304,$D222)-COUNTIFS(Bookings!$B$5:$B$304,$B222,Bookings!$F$5:$F$304,$D222,Bookings!$D$5:$D$304,"Cancelled")-COUNTIFS(Bookings!$B$5:$B$304,$B222,Bookings!$F$5:$F$304,$D222,Bookings!$D$5:$D$304,"Owner block")&gt;0,"SAME-DAY TURN","No same-day guest"))</f>
        <v>—</v>
      </c>
      <c r="G222" s="38" t="str">
        <f>IFERROR(IF(INDEX(Bookings!$D$5:$D$304,MATCH($A222,Bookings!$A$5:$A$304,0))="Cancelled","—",IF(INDEX(Bookings!$I$5:$I$304,MATCH($A222,Bookings!$A$5:$A$304,0))="","—",INDEX(Bookings!$I$5:$I$304,MATCH($A222,Bookings!$A$5:$A$304,0)))),"—")</f>
        <v>—</v>
      </c>
      <c r="H222" s="38" t="str">
        <f>IFERROR(IF(INDEX(Setup!$I$25:$I$36,MATCH($B222,Setup!$A$25:$A$36,0))=0,"—",INDEX(Setup!$I$25:$I$36,MATCH($B222,Setup!$A$25:$A$36,0))),"—")</f>
        <v>—</v>
      </c>
      <c r="I222" s="21" t="str">
        <f>IFERROR(IF(INDEX(Setup!$E$25:$E$36,MATCH($B222,Setup!$A$25:$A$36,0))=0,"—",INDEX(Setup!$E$25:$E$36,MATCH($B222,Setup!$A$25:$A$36,0))),"—")</f>
        <v>—</v>
      </c>
      <c r="J222" s="8"/>
      <c r="K222" s="8"/>
      <c r="L222" s="8"/>
    </row>
    <row r="223" spans="1:12" x14ac:dyDescent="0.2">
      <c r="A223" s="30">
        <v>219</v>
      </c>
      <c r="B223" s="7" t="str">
        <f>IFERROR(IF(INDEX(Bookings!$D$5:$D$304,MATCH($A223,Bookings!$A$5:$A$304,0))="Cancelled","—",IF(INDEX(Bookings!$B$5:$B$304,MATCH($A223,Bookings!$A$5:$A$304,0))="","—",INDEX(Bookings!$B$5:$B$304,MATCH($A223,Bookings!$A$5:$A$304,0)))),"—")</f>
        <v>—</v>
      </c>
      <c r="C223" s="7" t="str">
        <f>IFERROR(IF(INDEX(Bookings!$D$5:$D$304,MATCH($A223,Bookings!$A$5:$A$304,0))="Cancelled","—",IF(INDEX(Bookings!$E$5:$E$304,MATCH($A223,Bookings!$A$5:$A$304,0))="","—",INDEX(Bookings!$E$5:$E$304,MATCH($A223,Bookings!$A$5:$A$304,0)))),"—")</f>
        <v>—</v>
      </c>
      <c r="D223" s="37" t="str">
        <f>IFERROR(IF(INDEX(Bookings!$D$5:$D$304,MATCH($A223,Bookings!$A$5:$A$304,0))="Cancelled","—",IF(INDEX(Bookings!$G$5:$G$304,MATCH($A223,Bookings!$A$5:$A$304,0))="","—",INDEX(Bookings!$G$5:$G$304,MATCH($A223,Bookings!$A$5:$A$304,0)))),"—")</f>
        <v>—</v>
      </c>
      <c r="E223" s="38" t="str">
        <f t="shared" ca="1" si="3"/>
        <v>—</v>
      </c>
      <c r="F223" s="39" t="str">
        <f>IF(OR(NOT(ISNUMBER($D223)),$B223="—",$B223=""),"—",IF(COUNTIFS(Bookings!$B$5:$B$304,$B223,Bookings!$F$5:$F$304,$D223)-COUNTIFS(Bookings!$B$5:$B$304,$B223,Bookings!$F$5:$F$304,$D223,Bookings!$D$5:$D$304,"Cancelled")-COUNTIFS(Bookings!$B$5:$B$304,$B223,Bookings!$F$5:$F$304,$D223,Bookings!$D$5:$D$304,"Owner block")&gt;0,"SAME-DAY TURN","No same-day guest"))</f>
        <v>—</v>
      </c>
      <c r="G223" s="38" t="str">
        <f>IFERROR(IF(INDEX(Bookings!$D$5:$D$304,MATCH($A223,Bookings!$A$5:$A$304,0))="Cancelled","—",IF(INDEX(Bookings!$I$5:$I$304,MATCH($A223,Bookings!$A$5:$A$304,0))="","—",INDEX(Bookings!$I$5:$I$304,MATCH($A223,Bookings!$A$5:$A$304,0)))),"—")</f>
        <v>—</v>
      </c>
      <c r="H223" s="38" t="str">
        <f>IFERROR(IF(INDEX(Setup!$I$25:$I$36,MATCH($B223,Setup!$A$25:$A$36,0))=0,"—",INDEX(Setup!$I$25:$I$36,MATCH($B223,Setup!$A$25:$A$36,0))),"—")</f>
        <v>—</v>
      </c>
      <c r="I223" s="21" t="str">
        <f>IFERROR(IF(INDEX(Setup!$E$25:$E$36,MATCH($B223,Setup!$A$25:$A$36,0))=0,"—",INDEX(Setup!$E$25:$E$36,MATCH($B223,Setup!$A$25:$A$36,0))),"—")</f>
        <v>—</v>
      </c>
      <c r="J223" s="3"/>
      <c r="K223" s="3"/>
      <c r="L223" s="3"/>
    </row>
    <row r="224" spans="1:12" x14ac:dyDescent="0.2">
      <c r="A224" s="30">
        <v>220</v>
      </c>
      <c r="B224" s="7" t="str">
        <f>IFERROR(IF(INDEX(Bookings!$D$5:$D$304,MATCH($A224,Bookings!$A$5:$A$304,0))="Cancelled","—",IF(INDEX(Bookings!$B$5:$B$304,MATCH($A224,Bookings!$A$5:$A$304,0))="","—",INDEX(Bookings!$B$5:$B$304,MATCH($A224,Bookings!$A$5:$A$304,0)))),"—")</f>
        <v>—</v>
      </c>
      <c r="C224" s="7" t="str">
        <f>IFERROR(IF(INDEX(Bookings!$D$5:$D$304,MATCH($A224,Bookings!$A$5:$A$304,0))="Cancelled","—",IF(INDEX(Bookings!$E$5:$E$304,MATCH($A224,Bookings!$A$5:$A$304,0))="","—",INDEX(Bookings!$E$5:$E$304,MATCH($A224,Bookings!$A$5:$A$304,0)))),"—")</f>
        <v>—</v>
      </c>
      <c r="D224" s="37" t="str">
        <f>IFERROR(IF(INDEX(Bookings!$D$5:$D$304,MATCH($A224,Bookings!$A$5:$A$304,0))="Cancelled","—",IF(INDEX(Bookings!$G$5:$G$304,MATCH($A224,Bookings!$A$5:$A$304,0))="","—",INDEX(Bookings!$G$5:$G$304,MATCH($A224,Bookings!$A$5:$A$304,0)))),"—")</f>
        <v>—</v>
      </c>
      <c r="E224" s="38" t="str">
        <f t="shared" ca="1" si="3"/>
        <v>—</v>
      </c>
      <c r="F224" s="39" t="str">
        <f>IF(OR(NOT(ISNUMBER($D224)),$B224="—",$B224=""),"—",IF(COUNTIFS(Bookings!$B$5:$B$304,$B224,Bookings!$F$5:$F$304,$D224)-COUNTIFS(Bookings!$B$5:$B$304,$B224,Bookings!$F$5:$F$304,$D224,Bookings!$D$5:$D$304,"Cancelled")-COUNTIFS(Bookings!$B$5:$B$304,$B224,Bookings!$F$5:$F$304,$D224,Bookings!$D$5:$D$304,"Owner block")&gt;0,"SAME-DAY TURN","No same-day guest"))</f>
        <v>—</v>
      </c>
      <c r="G224" s="38" t="str">
        <f>IFERROR(IF(INDEX(Bookings!$D$5:$D$304,MATCH($A224,Bookings!$A$5:$A$304,0))="Cancelled","—",IF(INDEX(Bookings!$I$5:$I$304,MATCH($A224,Bookings!$A$5:$A$304,0))="","—",INDEX(Bookings!$I$5:$I$304,MATCH($A224,Bookings!$A$5:$A$304,0)))),"—")</f>
        <v>—</v>
      </c>
      <c r="H224" s="38" t="str">
        <f>IFERROR(IF(INDEX(Setup!$I$25:$I$36,MATCH($B224,Setup!$A$25:$A$36,0))=0,"—",INDEX(Setup!$I$25:$I$36,MATCH($B224,Setup!$A$25:$A$36,0))),"—")</f>
        <v>—</v>
      </c>
      <c r="I224" s="21" t="str">
        <f>IFERROR(IF(INDEX(Setup!$E$25:$E$36,MATCH($B224,Setup!$A$25:$A$36,0))=0,"—",INDEX(Setup!$E$25:$E$36,MATCH($B224,Setup!$A$25:$A$36,0))),"—")</f>
        <v>—</v>
      </c>
      <c r="J224" s="8"/>
      <c r="K224" s="8"/>
      <c r="L224" s="8"/>
    </row>
    <row r="225" spans="1:12" x14ac:dyDescent="0.2">
      <c r="A225" s="30">
        <v>221</v>
      </c>
      <c r="B225" s="7" t="str">
        <f>IFERROR(IF(INDEX(Bookings!$D$5:$D$304,MATCH($A225,Bookings!$A$5:$A$304,0))="Cancelled","—",IF(INDEX(Bookings!$B$5:$B$304,MATCH($A225,Bookings!$A$5:$A$304,0))="","—",INDEX(Bookings!$B$5:$B$304,MATCH($A225,Bookings!$A$5:$A$304,0)))),"—")</f>
        <v>—</v>
      </c>
      <c r="C225" s="7" t="str">
        <f>IFERROR(IF(INDEX(Bookings!$D$5:$D$304,MATCH($A225,Bookings!$A$5:$A$304,0))="Cancelled","—",IF(INDEX(Bookings!$E$5:$E$304,MATCH($A225,Bookings!$A$5:$A$304,0))="","—",INDEX(Bookings!$E$5:$E$304,MATCH($A225,Bookings!$A$5:$A$304,0)))),"—")</f>
        <v>—</v>
      </c>
      <c r="D225" s="37" t="str">
        <f>IFERROR(IF(INDEX(Bookings!$D$5:$D$304,MATCH($A225,Bookings!$A$5:$A$304,0))="Cancelled","—",IF(INDEX(Bookings!$G$5:$G$304,MATCH($A225,Bookings!$A$5:$A$304,0))="","—",INDEX(Bookings!$G$5:$G$304,MATCH($A225,Bookings!$A$5:$A$304,0)))),"—")</f>
        <v>—</v>
      </c>
      <c r="E225" s="38" t="str">
        <f t="shared" ca="1" si="3"/>
        <v>—</v>
      </c>
      <c r="F225" s="39" t="str">
        <f>IF(OR(NOT(ISNUMBER($D225)),$B225="—",$B225=""),"—",IF(COUNTIFS(Bookings!$B$5:$B$304,$B225,Bookings!$F$5:$F$304,$D225)-COUNTIFS(Bookings!$B$5:$B$304,$B225,Bookings!$F$5:$F$304,$D225,Bookings!$D$5:$D$304,"Cancelled")-COUNTIFS(Bookings!$B$5:$B$304,$B225,Bookings!$F$5:$F$304,$D225,Bookings!$D$5:$D$304,"Owner block")&gt;0,"SAME-DAY TURN","No same-day guest"))</f>
        <v>—</v>
      </c>
      <c r="G225" s="38" t="str">
        <f>IFERROR(IF(INDEX(Bookings!$D$5:$D$304,MATCH($A225,Bookings!$A$5:$A$304,0))="Cancelled","—",IF(INDEX(Bookings!$I$5:$I$304,MATCH($A225,Bookings!$A$5:$A$304,0))="","—",INDEX(Bookings!$I$5:$I$304,MATCH($A225,Bookings!$A$5:$A$304,0)))),"—")</f>
        <v>—</v>
      </c>
      <c r="H225" s="38" t="str">
        <f>IFERROR(IF(INDEX(Setup!$I$25:$I$36,MATCH($B225,Setup!$A$25:$A$36,0))=0,"—",INDEX(Setup!$I$25:$I$36,MATCH($B225,Setup!$A$25:$A$36,0))),"—")</f>
        <v>—</v>
      </c>
      <c r="I225" s="21" t="str">
        <f>IFERROR(IF(INDEX(Setup!$E$25:$E$36,MATCH($B225,Setup!$A$25:$A$36,0))=0,"—",INDEX(Setup!$E$25:$E$36,MATCH($B225,Setup!$A$25:$A$36,0))),"—")</f>
        <v>—</v>
      </c>
      <c r="J225" s="3"/>
      <c r="K225" s="3"/>
      <c r="L225" s="3"/>
    </row>
    <row r="226" spans="1:12" x14ac:dyDescent="0.2">
      <c r="A226" s="30">
        <v>222</v>
      </c>
      <c r="B226" s="7" t="str">
        <f>IFERROR(IF(INDEX(Bookings!$D$5:$D$304,MATCH($A226,Bookings!$A$5:$A$304,0))="Cancelled","—",IF(INDEX(Bookings!$B$5:$B$304,MATCH($A226,Bookings!$A$5:$A$304,0))="","—",INDEX(Bookings!$B$5:$B$304,MATCH($A226,Bookings!$A$5:$A$304,0)))),"—")</f>
        <v>—</v>
      </c>
      <c r="C226" s="7" t="str">
        <f>IFERROR(IF(INDEX(Bookings!$D$5:$D$304,MATCH($A226,Bookings!$A$5:$A$304,0))="Cancelled","—",IF(INDEX(Bookings!$E$5:$E$304,MATCH($A226,Bookings!$A$5:$A$304,0))="","—",INDEX(Bookings!$E$5:$E$304,MATCH($A226,Bookings!$A$5:$A$304,0)))),"—")</f>
        <v>—</v>
      </c>
      <c r="D226" s="37" t="str">
        <f>IFERROR(IF(INDEX(Bookings!$D$5:$D$304,MATCH($A226,Bookings!$A$5:$A$304,0))="Cancelled","—",IF(INDEX(Bookings!$G$5:$G$304,MATCH($A226,Bookings!$A$5:$A$304,0))="","—",INDEX(Bookings!$G$5:$G$304,MATCH($A226,Bookings!$A$5:$A$304,0)))),"—")</f>
        <v>—</v>
      </c>
      <c r="E226" s="38" t="str">
        <f t="shared" ca="1" si="3"/>
        <v>—</v>
      </c>
      <c r="F226" s="39" t="str">
        <f>IF(OR(NOT(ISNUMBER($D226)),$B226="—",$B226=""),"—",IF(COUNTIFS(Bookings!$B$5:$B$304,$B226,Bookings!$F$5:$F$304,$D226)-COUNTIFS(Bookings!$B$5:$B$304,$B226,Bookings!$F$5:$F$304,$D226,Bookings!$D$5:$D$304,"Cancelled")-COUNTIFS(Bookings!$B$5:$B$304,$B226,Bookings!$F$5:$F$304,$D226,Bookings!$D$5:$D$304,"Owner block")&gt;0,"SAME-DAY TURN","No same-day guest"))</f>
        <v>—</v>
      </c>
      <c r="G226" s="38" t="str">
        <f>IFERROR(IF(INDEX(Bookings!$D$5:$D$304,MATCH($A226,Bookings!$A$5:$A$304,0))="Cancelled","—",IF(INDEX(Bookings!$I$5:$I$304,MATCH($A226,Bookings!$A$5:$A$304,0))="","—",INDEX(Bookings!$I$5:$I$304,MATCH($A226,Bookings!$A$5:$A$304,0)))),"—")</f>
        <v>—</v>
      </c>
      <c r="H226" s="38" t="str">
        <f>IFERROR(IF(INDEX(Setup!$I$25:$I$36,MATCH($B226,Setup!$A$25:$A$36,0))=0,"—",INDEX(Setup!$I$25:$I$36,MATCH($B226,Setup!$A$25:$A$36,0))),"—")</f>
        <v>—</v>
      </c>
      <c r="I226" s="21" t="str">
        <f>IFERROR(IF(INDEX(Setup!$E$25:$E$36,MATCH($B226,Setup!$A$25:$A$36,0))=0,"—",INDEX(Setup!$E$25:$E$36,MATCH($B226,Setup!$A$25:$A$36,0))),"—")</f>
        <v>—</v>
      </c>
      <c r="J226" s="8"/>
      <c r="K226" s="8"/>
      <c r="L226" s="8"/>
    </row>
    <row r="227" spans="1:12" x14ac:dyDescent="0.2">
      <c r="A227" s="30">
        <v>223</v>
      </c>
      <c r="B227" s="7" t="str">
        <f>IFERROR(IF(INDEX(Bookings!$D$5:$D$304,MATCH($A227,Bookings!$A$5:$A$304,0))="Cancelled","—",IF(INDEX(Bookings!$B$5:$B$304,MATCH($A227,Bookings!$A$5:$A$304,0))="","—",INDEX(Bookings!$B$5:$B$304,MATCH($A227,Bookings!$A$5:$A$304,0)))),"—")</f>
        <v>—</v>
      </c>
      <c r="C227" s="7" t="str">
        <f>IFERROR(IF(INDEX(Bookings!$D$5:$D$304,MATCH($A227,Bookings!$A$5:$A$304,0))="Cancelled","—",IF(INDEX(Bookings!$E$5:$E$304,MATCH($A227,Bookings!$A$5:$A$304,0))="","—",INDEX(Bookings!$E$5:$E$304,MATCH($A227,Bookings!$A$5:$A$304,0)))),"—")</f>
        <v>—</v>
      </c>
      <c r="D227" s="37" t="str">
        <f>IFERROR(IF(INDEX(Bookings!$D$5:$D$304,MATCH($A227,Bookings!$A$5:$A$304,0))="Cancelled","—",IF(INDEX(Bookings!$G$5:$G$304,MATCH($A227,Bookings!$A$5:$A$304,0))="","—",INDEX(Bookings!$G$5:$G$304,MATCH($A227,Bookings!$A$5:$A$304,0)))),"—")</f>
        <v>—</v>
      </c>
      <c r="E227" s="38" t="str">
        <f t="shared" ca="1" si="3"/>
        <v>—</v>
      </c>
      <c r="F227" s="39" t="str">
        <f>IF(OR(NOT(ISNUMBER($D227)),$B227="—",$B227=""),"—",IF(COUNTIFS(Bookings!$B$5:$B$304,$B227,Bookings!$F$5:$F$304,$D227)-COUNTIFS(Bookings!$B$5:$B$304,$B227,Bookings!$F$5:$F$304,$D227,Bookings!$D$5:$D$304,"Cancelled")-COUNTIFS(Bookings!$B$5:$B$304,$B227,Bookings!$F$5:$F$304,$D227,Bookings!$D$5:$D$304,"Owner block")&gt;0,"SAME-DAY TURN","No same-day guest"))</f>
        <v>—</v>
      </c>
      <c r="G227" s="38" t="str">
        <f>IFERROR(IF(INDEX(Bookings!$D$5:$D$304,MATCH($A227,Bookings!$A$5:$A$304,0))="Cancelled","—",IF(INDEX(Bookings!$I$5:$I$304,MATCH($A227,Bookings!$A$5:$A$304,0))="","—",INDEX(Bookings!$I$5:$I$304,MATCH($A227,Bookings!$A$5:$A$304,0)))),"—")</f>
        <v>—</v>
      </c>
      <c r="H227" s="38" t="str">
        <f>IFERROR(IF(INDEX(Setup!$I$25:$I$36,MATCH($B227,Setup!$A$25:$A$36,0))=0,"—",INDEX(Setup!$I$25:$I$36,MATCH($B227,Setup!$A$25:$A$36,0))),"—")</f>
        <v>—</v>
      </c>
      <c r="I227" s="21" t="str">
        <f>IFERROR(IF(INDEX(Setup!$E$25:$E$36,MATCH($B227,Setup!$A$25:$A$36,0))=0,"—",INDEX(Setup!$E$25:$E$36,MATCH($B227,Setup!$A$25:$A$36,0))),"—")</f>
        <v>—</v>
      </c>
      <c r="J227" s="3"/>
      <c r="K227" s="3"/>
      <c r="L227" s="3"/>
    </row>
    <row r="228" spans="1:12" x14ac:dyDescent="0.2">
      <c r="A228" s="30">
        <v>224</v>
      </c>
      <c r="B228" s="7" t="str">
        <f>IFERROR(IF(INDEX(Bookings!$D$5:$D$304,MATCH($A228,Bookings!$A$5:$A$304,0))="Cancelled","—",IF(INDEX(Bookings!$B$5:$B$304,MATCH($A228,Bookings!$A$5:$A$304,0))="","—",INDEX(Bookings!$B$5:$B$304,MATCH($A228,Bookings!$A$5:$A$304,0)))),"—")</f>
        <v>—</v>
      </c>
      <c r="C228" s="7" t="str">
        <f>IFERROR(IF(INDEX(Bookings!$D$5:$D$304,MATCH($A228,Bookings!$A$5:$A$304,0))="Cancelled","—",IF(INDEX(Bookings!$E$5:$E$304,MATCH($A228,Bookings!$A$5:$A$304,0))="","—",INDEX(Bookings!$E$5:$E$304,MATCH($A228,Bookings!$A$5:$A$304,0)))),"—")</f>
        <v>—</v>
      </c>
      <c r="D228" s="37" t="str">
        <f>IFERROR(IF(INDEX(Bookings!$D$5:$D$304,MATCH($A228,Bookings!$A$5:$A$304,0))="Cancelled","—",IF(INDEX(Bookings!$G$5:$G$304,MATCH($A228,Bookings!$A$5:$A$304,0))="","—",INDEX(Bookings!$G$5:$G$304,MATCH($A228,Bookings!$A$5:$A$304,0)))),"—")</f>
        <v>—</v>
      </c>
      <c r="E228" s="38" t="str">
        <f t="shared" ca="1" si="3"/>
        <v>—</v>
      </c>
      <c r="F228" s="39" t="str">
        <f>IF(OR(NOT(ISNUMBER($D228)),$B228="—",$B228=""),"—",IF(COUNTIFS(Bookings!$B$5:$B$304,$B228,Bookings!$F$5:$F$304,$D228)-COUNTIFS(Bookings!$B$5:$B$304,$B228,Bookings!$F$5:$F$304,$D228,Bookings!$D$5:$D$304,"Cancelled")-COUNTIFS(Bookings!$B$5:$B$304,$B228,Bookings!$F$5:$F$304,$D228,Bookings!$D$5:$D$304,"Owner block")&gt;0,"SAME-DAY TURN","No same-day guest"))</f>
        <v>—</v>
      </c>
      <c r="G228" s="38" t="str">
        <f>IFERROR(IF(INDEX(Bookings!$D$5:$D$304,MATCH($A228,Bookings!$A$5:$A$304,0))="Cancelled","—",IF(INDEX(Bookings!$I$5:$I$304,MATCH($A228,Bookings!$A$5:$A$304,0))="","—",INDEX(Bookings!$I$5:$I$304,MATCH($A228,Bookings!$A$5:$A$304,0)))),"—")</f>
        <v>—</v>
      </c>
      <c r="H228" s="38" t="str">
        <f>IFERROR(IF(INDEX(Setup!$I$25:$I$36,MATCH($B228,Setup!$A$25:$A$36,0))=0,"—",INDEX(Setup!$I$25:$I$36,MATCH($B228,Setup!$A$25:$A$36,0))),"—")</f>
        <v>—</v>
      </c>
      <c r="I228" s="21" t="str">
        <f>IFERROR(IF(INDEX(Setup!$E$25:$E$36,MATCH($B228,Setup!$A$25:$A$36,0))=0,"—",INDEX(Setup!$E$25:$E$36,MATCH($B228,Setup!$A$25:$A$36,0))),"—")</f>
        <v>—</v>
      </c>
      <c r="J228" s="8"/>
      <c r="K228" s="8"/>
      <c r="L228" s="8"/>
    </row>
    <row r="229" spans="1:12" x14ac:dyDescent="0.2">
      <c r="A229" s="30">
        <v>225</v>
      </c>
      <c r="B229" s="7" t="str">
        <f>IFERROR(IF(INDEX(Bookings!$D$5:$D$304,MATCH($A229,Bookings!$A$5:$A$304,0))="Cancelled","—",IF(INDEX(Bookings!$B$5:$B$304,MATCH($A229,Bookings!$A$5:$A$304,0))="","—",INDEX(Bookings!$B$5:$B$304,MATCH($A229,Bookings!$A$5:$A$304,0)))),"—")</f>
        <v>—</v>
      </c>
      <c r="C229" s="7" t="str">
        <f>IFERROR(IF(INDEX(Bookings!$D$5:$D$304,MATCH($A229,Bookings!$A$5:$A$304,0))="Cancelled","—",IF(INDEX(Bookings!$E$5:$E$304,MATCH($A229,Bookings!$A$5:$A$304,0))="","—",INDEX(Bookings!$E$5:$E$304,MATCH($A229,Bookings!$A$5:$A$304,0)))),"—")</f>
        <v>—</v>
      </c>
      <c r="D229" s="37" t="str">
        <f>IFERROR(IF(INDEX(Bookings!$D$5:$D$304,MATCH($A229,Bookings!$A$5:$A$304,0))="Cancelled","—",IF(INDEX(Bookings!$G$5:$G$304,MATCH($A229,Bookings!$A$5:$A$304,0))="","—",INDEX(Bookings!$G$5:$G$304,MATCH($A229,Bookings!$A$5:$A$304,0)))),"—")</f>
        <v>—</v>
      </c>
      <c r="E229" s="38" t="str">
        <f t="shared" ca="1" si="3"/>
        <v>—</v>
      </c>
      <c r="F229" s="39" t="str">
        <f>IF(OR(NOT(ISNUMBER($D229)),$B229="—",$B229=""),"—",IF(COUNTIFS(Bookings!$B$5:$B$304,$B229,Bookings!$F$5:$F$304,$D229)-COUNTIFS(Bookings!$B$5:$B$304,$B229,Bookings!$F$5:$F$304,$D229,Bookings!$D$5:$D$304,"Cancelled")-COUNTIFS(Bookings!$B$5:$B$304,$B229,Bookings!$F$5:$F$304,$D229,Bookings!$D$5:$D$304,"Owner block")&gt;0,"SAME-DAY TURN","No same-day guest"))</f>
        <v>—</v>
      </c>
      <c r="G229" s="38" t="str">
        <f>IFERROR(IF(INDEX(Bookings!$D$5:$D$304,MATCH($A229,Bookings!$A$5:$A$304,0))="Cancelled","—",IF(INDEX(Bookings!$I$5:$I$304,MATCH($A229,Bookings!$A$5:$A$304,0))="","—",INDEX(Bookings!$I$5:$I$304,MATCH($A229,Bookings!$A$5:$A$304,0)))),"—")</f>
        <v>—</v>
      </c>
      <c r="H229" s="38" t="str">
        <f>IFERROR(IF(INDEX(Setup!$I$25:$I$36,MATCH($B229,Setup!$A$25:$A$36,0))=0,"—",INDEX(Setup!$I$25:$I$36,MATCH($B229,Setup!$A$25:$A$36,0))),"—")</f>
        <v>—</v>
      </c>
      <c r="I229" s="21" t="str">
        <f>IFERROR(IF(INDEX(Setup!$E$25:$E$36,MATCH($B229,Setup!$A$25:$A$36,0))=0,"—",INDEX(Setup!$E$25:$E$36,MATCH($B229,Setup!$A$25:$A$36,0))),"—")</f>
        <v>—</v>
      </c>
      <c r="J229" s="3"/>
      <c r="K229" s="3"/>
      <c r="L229" s="3"/>
    </row>
    <row r="230" spans="1:12" x14ac:dyDescent="0.2">
      <c r="A230" s="30">
        <v>226</v>
      </c>
      <c r="B230" s="7" t="str">
        <f>IFERROR(IF(INDEX(Bookings!$D$5:$D$304,MATCH($A230,Bookings!$A$5:$A$304,0))="Cancelled","—",IF(INDEX(Bookings!$B$5:$B$304,MATCH($A230,Bookings!$A$5:$A$304,0))="","—",INDEX(Bookings!$B$5:$B$304,MATCH($A230,Bookings!$A$5:$A$304,0)))),"—")</f>
        <v>—</v>
      </c>
      <c r="C230" s="7" t="str">
        <f>IFERROR(IF(INDEX(Bookings!$D$5:$D$304,MATCH($A230,Bookings!$A$5:$A$304,0))="Cancelled","—",IF(INDEX(Bookings!$E$5:$E$304,MATCH($A230,Bookings!$A$5:$A$304,0))="","—",INDEX(Bookings!$E$5:$E$304,MATCH($A230,Bookings!$A$5:$A$304,0)))),"—")</f>
        <v>—</v>
      </c>
      <c r="D230" s="37" t="str">
        <f>IFERROR(IF(INDEX(Bookings!$D$5:$D$304,MATCH($A230,Bookings!$A$5:$A$304,0))="Cancelled","—",IF(INDEX(Bookings!$G$5:$G$304,MATCH($A230,Bookings!$A$5:$A$304,0))="","—",INDEX(Bookings!$G$5:$G$304,MATCH($A230,Bookings!$A$5:$A$304,0)))),"—")</f>
        <v>—</v>
      </c>
      <c r="E230" s="38" t="str">
        <f t="shared" ca="1" si="3"/>
        <v>—</v>
      </c>
      <c r="F230" s="39" t="str">
        <f>IF(OR(NOT(ISNUMBER($D230)),$B230="—",$B230=""),"—",IF(COUNTIFS(Bookings!$B$5:$B$304,$B230,Bookings!$F$5:$F$304,$D230)-COUNTIFS(Bookings!$B$5:$B$304,$B230,Bookings!$F$5:$F$304,$D230,Bookings!$D$5:$D$304,"Cancelled")-COUNTIFS(Bookings!$B$5:$B$304,$B230,Bookings!$F$5:$F$304,$D230,Bookings!$D$5:$D$304,"Owner block")&gt;0,"SAME-DAY TURN","No same-day guest"))</f>
        <v>—</v>
      </c>
      <c r="G230" s="38" t="str">
        <f>IFERROR(IF(INDEX(Bookings!$D$5:$D$304,MATCH($A230,Bookings!$A$5:$A$304,0))="Cancelled","—",IF(INDEX(Bookings!$I$5:$I$304,MATCH($A230,Bookings!$A$5:$A$304,0))="","—",INDEX(Bookings!$I$5:$I$304,MATCH($A230,Bookings!$A$5:$A$304,0)))),"—")</f>
        <v>—</v>
      </c>
      <c r="H230" s="38" t="str">
        <f>IFERROR(IF(INDEX(Setup!$I$25:$I$36,MATCH($B230,Setup!$A$25:$A$36,0))=0,"—",INDEX(Setup!$I$25:$I$36,MATCH($B230,Setup!$A$25:$A$36,0))),"—")</f>
        <v>—</v>
      </c>
      <c r="I230" s="21" t="str">
        <f>IFERROR(IF(INDEX(Setup!$E$25:$E$36,MATCH($B230,Setup!$A$25:$A$36,0))=0,"—",INDEX(Setup!$E$25:$E$36,MATCH($B230,Setup!$A$25:$A$36,0))),"—")</f>
        <v>—</v>
      </c>
      <c r="J230" s="8"/>
      <c r="K230" s="8"/>
      <c r="L230" s="8"/>
    </row>
    <row r="231" spans="1:12" x14ac:dyDescent="0.2">
      <c r="A231" s="30">
        <v>227</v>
      </c>
      <c r="B231" s="7" t="str">
        <f>IFERROR(IF(INDEX(Bookings!$D$5:$D$304,MATCH($A231,Bookings!$A$5:$A$304,0))="Cancelled","—",IF(INDEX(Bookings!$B$5:$B$304,MATCH($A231,Bookings!$A$5:$A$304,0))="","—",INDEX(Bookings!$B$5:$B$304,MATCH($A231,Bookings!$A$5:$A$304,0)))),"—")</f>
        <v>—</v>
      </c>
      <c r="C231" s="7" t="str">
        <f>IFERROR(IF(INDEX(Bookings!$D$5:$D$304,MATCH($A231,Bookings!$A$5:$A$304,0))="Cancelled","—",IF(INDEX(Bookings!$E$5:$E$304,MATCH($A231,Bookings!$A$5:$A$304,0))="","—",INDEX(Bookings!$E$5:$E$304,MATCH($A231,Bookings!$A$5:$A$304,0)))),"—")</f>
        <v>—</v>
      </c>
      <c r="D231" s="37" t="str">
        <f>IFERROR(IF(INDEX(Bookings!$D$5:$D$304,MATCH($A231,Bookings!$A$5:$A$304,0))="Cancelled","—",IF(INDEX(Bookings!$G$5:$G$304,MATCH($A231,Bookings!$A$5:$A$304,0))="","—",INDEX(Bookings!$G$5:$G$304,MATCH($A231,Bookings!$A$5:$A$304,0)))),"—")</f>
        <v>—</v>
      </c>
      <c r="E231" s="38" t="str">
        <f t="shared" ca="1" si="3"/>
        <v>—</v>
      </c>
      <c r="F231" s="39" t="str">
        <f>IF(OR(NOT(ISNUMBER($D231)),$B231="—",$B231=""),"—",IF(COUNTIFS(Bookings!$B$5:$B$304,$B231,Bookings!$F$5:$F$304,$D231)-COUNTIFS(Bookings!$B$5:$B$304,$B231,Bookings!$F$5:$F$304,$D231,Bookings!$D$5:$D$304,"Cancelled")-COUNTIFS(Bookings!$B$5:$B$304,$B231,Bookings!$F$5:$F$304,$D231,Bookings!$D$5:$D$304,"Owner block")&gt;0,"SAME-DAY TURN","No same-day guest"))</f>
        <v>—</v>
      </c>
      <c r="G231" s="38" t="str">
        <f>IFERROR(IF(INDEX(Bookings!$D$5:$D$304,MATCH($A231,Bookings!$A$5:$A$304,0))="Cancelled","—",IF(INDEX(Bookings!$I$5:$I$304,MATCH($A231,Bookings!$A$5:$A$304,0))="","—",INDEX(Bookings!$I$5:$I$304,MATCH($A231,Bookings!$A$5:$A$304,0)))),"—")</f>
        <v>—</v>
      </c>
      <c r="H231" s="38" t="str">
        <f>IFERROR(IF(INDEX(Setup!$I$25:$I$36,MATCH($B231,Setup!$A$25:$A$36,0))=0,"—",INDEX(Setup!$I$25:$I$36,MATCH($B231,Setup!$A$25:$A$36,0))),"—")</f>
        <v>—</v>
      </c>
      <c r="I231" s="21" t="str">
        <f>IFERROR(IF(INDEX(Setup!$E$25:$E$36,MATCH($B231,Setup!$A$25:$A$36,0))=0,"—",INDEX(Setup!$E$25:$E$36,MATCH($B231,Setup!$A$25:$A$36,0))),"—")</f>
        <v>—</v>
      </c>
      <c r="J231" s="3"/>
      <c r="K231" s="3"/>
      <c r="L231" s="3"/>
    </row>
    <row r="232" spans="1:12" x14ac:dyDescent="0.2">
      <c r="A232" s="30">
        <v>228</v>
      </c>
      <c r="B232" s="7" t="str">
        <f>IFERROR(IF(INDEX(Bookings!$D$5:$D$304,MATCH($A232,Bookings!$A$5:$A$304,0))="Cancelled","—",IF(INDEX(Bookings!$B$5:$B$304,MATCH($A232,Bookings!$A$5:$A$304,0))="","—",INDEX(Bookings!$B$5:$B$304,MATCH($A232,Bookings!$A$5:$A$304,0)))),"—")</f>
        <v>—</v>
      </c>
      <c r="C232" s="7" t="str">
        <f>IFERROR(IF(INDEX(Bookings!$D$5:$D$304,MATCH($A232,Bookings!$A$5:$A$304,0))="Cancelled","—",IF(INDEX(Bookings!$E$5:$E$304,MATCH($A232,Bookings!$A$5:$A$304,0))="","—",INDEX(Bookings!$E$5:$E$304,MATCH($A232,Bookings!$A$5:$A$304,0)))),"—")</f>
        <v>—</v>
      </c>
      <c r="D232" s="37" t="str">
        <f>IFERROR(IF(INDEX(Bookings!$D$5:$D$304,MATCH($A232,Bookings!$A$5:$A$304,0))="Cancelled","—",IF(INDEX(Bookings!$G$5:$G$304,MATCH($A232,Bookings!$A$5:$A$304,0))="","—",INDEX(Bookings!$G$5:$G$304,MATCH($A232,Bookings!$A$5:$A$304,0)))),"—")</f>
        <v>—</v>
      </c>
      <c r="E232" s="38" t="str">
        <f t="shared" ca="1" si="3"/>
        <v>—</v>
      </c>
      <c r="F232" s="39" t="str">
        <f>IF(OR(NOT(ISNUMBER($D232)),$B232="—",$B232=""),"—",IF(COUNTIFS(Bookings!$B$5:$B$304,$B232,Bookings!$F$5:$F$304,$D232)-COUNTIFS(Bookings!$B$5:$B$304,$B232,Bookings!$F$5:$F$304,$D232,Bookings!$D$5:$D$304,"Cancelled")-COUNTIFS(Bookings!$B$5:$B$304,$B232,Bookings!$F$5:$F$304,$D232,Bookings!$D$5:$D$304,"Owner block")&gt;0,"SAME-DAY TURN","No same-day guest"))</f>
        <v>—</v>
      </c>
      <c r="G232" s="38" t="str">
        <f>IFERROR(IF(INDEX(Bookings!$D$5:$D$304,MATCH($A232,Bookings!$A$5:$A$304,0))="Cancelled","—",IF(INDEX(Bookings!$I$5:$I$304,MATCH($A232,Bookings!$A$5:$A$304,0))="","—",INDEX(Bookings!$I$5:$I$304,MATCH($A232,Bookings!$A$5:$A$304,0)))),"—")</f>
        <v>—</v>
      </c>
      <c r="H232" s="38" t="str">
        <f>IFERROR(IF(INDEX(Setup!$I$25:$I$36,MATCH($B232,Setup!$A$25:$A$36,0))=0,"—",INDEX(Setup!$I$25:$I$36,MATCH($B232,Setup!$A$25:$A$36,0))),"—")</f>
        <v>—</v>
      </c>
      <c r="I232" s="21" t="str">
        <f>IFERROR(IF(INDEX(Setup!$E$25:$E$36,MATCH($B232,Setup!$A$25:$A$36,0))=0,"—",INDEX(Setup!$E$25:$E$36,MATCH($B232,Setup!$A$25:$A$36,0))),"—")</f>
        <v>—</v>
      </c>
      <c r="J232" s="8"/>
      <c r="K232" s="8"/>
      <c r="L232" s="8"/>
    </row>
    <row r="233" spans="1:12" x14ac:dyDescent="0.2">
      <c r="A233" s="30">
        <v>229</v>
      </c>
      <c r="B233" s="7" t="str">
        <f>IFERROR(IF(INDEX(Bookings!$D$5:$D$304,MATCH($A233,Bookings!$A$5:$A$304,0))="Cancelled","—",IF(INDEX(Bookings!$B$5:$B$304,MATCH($A233,Bookings!$A$5:$A$304,0))="","—",INDEX(Bookings!$B$5:$B$304,MATCH($A233,Bookings!$A$5:$A$304,0)))),"—")</f>
        <v>—</v>
      </c>
      <c r="C233" s="7" t="str">
        <f>IFERROR(IF(INDEX(Bookings!$D$5:$D$304,MATCH($A233,Bookings!$A$5:$A$304,0))="Cancelled","—",IF(INDEX(Bookings!$E$5:$E$304,MATCH($A233,Bookings!$A$5:$A$304,0))="","—",INDEX(Bookings!$E$5:$E$304,MATCH($A233,Bookings!$A$5:$A$304,0)))),"—")</f>
        <v>—</v>
      </c>
      <c r="D233" s="37" t="str">
        <f>IFERROR(IF(INDEX(Bookings!$D$5:$D$304,MATCH($A233,Bookings!$A$5:$A$304,0))="Cancelled","—",IF(INDEX(Bookings!$G$5:$G$304,MATCH($A233,Bookings!$A$5:$A$304,0))="","—",INDEX(Bookings!$G$5:$G$304,MATCH($A233,Bookings!$A$5:$A$304,0)))),"—")</f>
        <v>—</v>
      </c>
      <c r="E233" s="38" t="str">
        <f t="shared" ca="1" si="3"/>
        <v>—</v>
      </c>
      <c r="F233" s="39" t="str">
        <f>IF(OR(NOT(ISNUMBER($D233)),$B233="—",$B233=""),"—",IF(COUNTIFS(Bookings!$B$5:$B$304,$B233,Bookings!$F$5:$F$304,$D233)-COUNTIFS(Bookings!$B$5:$B$304,$B233,Bookings!$F$5:$F$304,$D233,Bookings!$D$5:$D$304,"Cancelled")-COUNTIFS(Bookings!$B$5:$B$304,$B233,Bookings!$F$5:$F$304,$D233,Bookings!$D$5:$D$304,"Owner block")&gt;0,"SAME-DAY TURN","No same-day guest"))</f>
        <v>—</v>
      </c>
      <c r="G233" s="38" t="str">
        <f>IFERROR(IF(INDEX(Bookings!$D$5:$D$304,MATCH($A233,Bookings!$A$5:$A$304,0))="Cancelled","—",IF(INDEX(Bookings!$I$5:$I$304,MATCH($A233,Bookings!$A$5:$A$304,0))="","—",INDEX(Bookings!$I$5:$I$304,MATCH($A233,Bookings!$A$5:$A$304,0)))),"—")</f>
        <v>—</v>
      </c>
      <c r="H233" s="38" t="str">
        <f>IFERROR(IF(INDEX(Setup!$I$25:$I$36,MATCH($B233,Setup!$A$25:$A$36,0))=0,"—",INDEX(Setup!$I$25:$I$36,MATCH($B233,Setup!$A$25:$A$36,0))),"—")</f>
        <v>—</v>
      </c>
      <c r="I233" s="21" t="str">
        <f>IFERROR(IF(INDEX(Setup!$E$25:$E$36,MATCH($B233,Setup!$A$25:$A$36,0))=0,"—",INDEX(Setup!$E$25:$E$36,MATCH($B233,Setup!$A$25:$A$36,0))),"—")</f>
        <v>—</v>
      </c>
      <c r="J233" s="3"/>
      <c r="K233" s="3"/>
      <c r="L233" s="3"/>
    </row>
    <row r="234" spans="1:12" x14ac:dyDescent="0.2">
      <c r="A234" s="30">
        <v>230</v>
      </c>
      <c r="B234" s="7" t="str">
        <f>IFERROR(IF(INDEX(Bookings!$D$5:$D$304,MATCH($A234,Bookings!$A$5:$A$304,0))="Cancelled","—",IF(INDEX(Bookings!$B$5:$B$304,MATCH($A234,Bookings!$A$5:$A$304,0))="","—",INDEX(Bookings!$B$5:$B$304,MATCH($A234,Bookings!$A$5:$A$304,0)))),"—")</f>
        <v>—</v>
      </c>
      <c r="C234" s="7" t="str">
        <f>IFERROR(IF(INDEX(Bookings!$D$5:$D$304,MATCH($A234,Bookings!$A$5:$A$304,0))="Cancelled","—",IF(INDEX(Bookings!$E$5:$E$304,MATCH($A234,Bookings!$A$5:$A$304,0))="","—",INDEX(Bookings!$E$5:$E$304,MATCH($A234,Bookings!$A$5:$A$304,0)))),"—")</f>
        <v>—</v>
      </c>
      <c r="D234" s="37" t="str">
        <f>IFERROR(IF(INDEX(Bookings!$D$5:$D$304,MATCH($A234,Bookings!$A$5:$A$304,0))="Cancelled","—",IF(INDEX(Bookings!$G$5:$G$304,MATCH($A234,Bookings!$A$5:$A$304,0))="","—",INDEX(Bookings!$G$5:$G$304,MATCH($A234,Bookings!$A$5:$A$304,0)))),"—")</f>
        <v>—</v>
      </c>
      <c r="E234" s="38" t="str">
        <f t="shared" ca="1" si="3"/>
        <v>—</v>
      </c>
      <c r="F234" s="39" t="str">
        <f>IF(OR(NOT(ISNUMBER($D234)),$B234="—",$B234=""),"—",IF(COUNTIFS(Bookings!$B$5:$B$304,$B234,Bookings!$F$5:$F$304,$D234)-COUNTIFS(Bookings!$B$5:$B$304,$B234,Bookings!$F$5:$F$304,$D234,Bookings!$D$5:$D$304,"Cancelled")-COUNTIFS(Bookings!$B$5:$B$304,$B234,Bookings!$F$5:$F$304,$D234,Bookings!$D$5:$D$304,"Owner block")&gt;0,"SAME-DAY TURN","No same-day guest"))</f>
        <v>—</v>
      </c>
      <c r="G234" s="38" t="str">
        <f>IFERROR(IF(INDEX(Bookings!$D$5:$D$304,MATCH($A234,Bookings!$A$5:$A$304,0))="Cancelled","—",IF(INDEX(Bookings!$I$5:$I$304,MATCH($A234,Bookings!$A$5:$A$304,0))="","—",INDEX(Bookings!$I$5:$I$304,MATCH($A234,Bookings!$A$5:$A$304,0)))),"—")</f>
        <v>—</v>
      </c>
      <c r="H234" s="38" t="str">
        <f>IFERROR(IF(INDEX(Setup!$I$25:$I$36,MATCH($B234,Setup!$A$25:$A$36,0))=0,"—",INDEX(Setup!$I$25:$I$36,MATCH($B234,Setup!$A$25:$A$36,0))),"—")</f>
        <v>—</v>
      </c>
      <c r="I234" s="21" t="str">
        <f>IFERROR(IF(INDEX(Setup!$E$25:$E$36,MATCH($B234,Setup!$A$25:$A$36,0))=0,"—",INDEX(Setup!$E$25:$E$36,MATCH($B234,Setup!$A$25:$A$36,0))),"—")</f>
        <v>—</v>
      </c>
      <c r="J234" s="8"/>
      <c r="K234" s="8"/>
      <c r="L234" s="8"/>
    </row>
    <row r="235" spans="1:12" x14ac:dyDescent="0.2">
      <c r="A235" s="30">
        <v>231</v>
      </c>
      <c r="B235" s="7" t="str">
        <f>IFERROR(IF(INDEX(Bookings!$D$5:$D$304,MATCH($A235,Bookings!$A$5:$A$304,0))="Cancelled","—",IF(INDEX(Bookings!$B$5:$B$304,MATCH($A235,Bookings!$A$5:$A$304,0))="","—",INDEX(Bookings!$B$5:$B$304,MATCH($A235,Bookings!$A$5:$A$304,0)))),"—")</f>
        <v>—</v>
      </c>
      <c r="C235" s="7" t="str">
        <f>IFERROR(IF(INDEX(Bookings!$D$5:$D$304,MATCH($A235,Bookings!$A$5:$A$304,0))="Cancelled","—",IF(INDEX(Bookings!$E$5:$E$304,MATCH($A235,Bookings!$A$5:$A$304,0))="","—",INDEX(Bookings!$E$5:$E$304,MATCH($A235,Bookings!$A$5:$A$304,0)))),"—")</f>
        <v>—</v>
      </c>
      <c r="D235" s="37" t="str">
        <f>IFERROR(IF(INDEX(Bookings!$D$5:$D$304,MATCH($A235,Bookings!$A$5:$A$304,0))="Cancelled","—",IF(INDEX(Bookings!$G$5:$G$304,MATCH($A235,Bookings!$A$5:$A$304,0))="","—",INDEX(Bookings!$G$5:$G$304,MATCH($A235,Bookings!$A$5:$A$304,0)))),"—")</f>
        <v>—</v>
      </c>
      <c r="E235" s="38" t="str">
        <f t="shared" ca="1" si="3"/>
        <v>—</v>
      </c>
      <c r="F235" s="39" t="str">
        <f>IF(OR(NOT(ISNUMBER($D235)),$B235="—",$B235=""),"—",IF(COUNTIFS(Bookings!$B$5:$B$304,$B235,Bookings!$F$5:$F$304,$D235)-COUNTIFS(Bookings!$B$5:$B$304,$B235,Bookings!$F$5:$F$304,$D235,Bookings!$D$5:$D$304,"Cancelled")-COUNTIFS(Bookings!$B$5:$B$304,$B235,Bookings!$F$5:$F$304,$D235,Bookings!$D$5:$D$304,"Owner block")&gt;0,"SAME-DAY TURN","No same-day guest"))</f>
        <v>—</v>
      </c>
      <c r="G235" s="38" t="str">
        <f>IFERROR(IF(INDEX(Bookings!$D$5:$D$304,MATCH($A235,Bookings!$A$5:$A$304,0))="Cancelled","—",IF(INDEX(Bookings!$I$5:$I$304,MATCH($A235,Bookings!$A$5:$A$304,0))="","—",INDEX(Bookings!$I$5:$I$304,MATCH($A235,Bookings!$A$5:$A$304,0)))),"—")</f>
        <v>—</v>
      </c>
      <c r="H235" s="38" t="str">
        <f>IFERROR(IF(INDEX(Setup!$I$25:$I$36,MATCH($B235,Setup!$A$25:$A$36,0))=0,"—",INDEX(Setup!$I$25:$I$36,MATCH($B235,Setup!$A$25:$A$36,0))),"—")</f>
        <v>—</v>
      </c>
      <c r="I235" s="21" t="str">
        <f>IFERROR(IF(INDEX(Setup!$E$25:$E$36,MATCH($B235,Setup!$A$25:$A$36,0))=0,"—",INDEX(Setup!$E$25:$E$36,MATCH($B235,Setup!$A$25:$A$36,0))),"—")</f>
        <v>—</v>
      </c>
      <c r="J235" s="3"/>
      <c r="K235" s="3"/>
      <c r="L235" s="3"/>
    </row>
    <row r="236" spans="1:12" x14ac:dyDescent="0.2">
      <c r="A236" s="30">
        <v>232</v>
      </c>
      <c r="B236" s="7" t="str">
        <f>IFERROR(IF(INDEX(Bookings!$D$5:$D$304,MATCH($A236,Bookings!$A$5:$A$304,0))="Cancelled","—",IF(INDEX(Bookings!$B$5:$B$304,MATCH($A236,Bookings!$A$5:$A$304,0))="","—",INDEX(Bookings!$B$5:$B$304,MATCH($A236,Bookings!$A$5:$A$304,0)))),"—")</f>
        <v>—</v>
      </c>
      <c r="C236" s="7" t="str">
        <f>IFERROR(IF(INDEX(Bookings!$D$5:$D$304,MATCH($A236,Bookings!$A$5:$A$304,0))="Cancelled","—",IF(INDEX(Bookings!$E$5:$E$304,MATCH($A236,Bookings!$A$5:$A$304,0))="","—",INDEX(Bookings!$E$5:$E$304,MATCH($A236,Bookings!$A$5:$A$304,0)))),"—")</f>
        <v>—</v>
      </c>
      <c r="D236" s="37" t="str">
        <f>IFERROR(IF(INDEX(Bookings!$D$5:$D$304,MATCH($A236,Bookings!$A$5:$A$304,0))="Cancelled","—",IF(INDEX(Bookings!$G$5:$G$304,MATCH($A236,Bookings!$A$5:$A$304,0))="","—",INDEX(Bookings!$G$5:$G$304,MATCH($A236,Bookings!$A$5:$A$304,0)))),"—")</f>
        <v>—</v>
      </c>
      <c r="E236" s="38" t="str">
        <f t="shared" ca="1" si="3"/>
        <v>—</v>
      </c>
      <c r="F236" s="39" t="str">
        <f>IF(OR(NOT(ISNUMBER($D236)),$B236="—",$B236=""),"—",IF(COUNTIFS(Bookings!$B$5:$B$304,$B236,Bookings!$F$5:$F$304,$D236)-COUNTIFS(Bookings!$B$5:$B$304,$B236,Bookings!$F$5:$F$304,$D236,Bookings!$D$5:$D$304,"Cancelled")-COUNTIFS(Bookings!$B$5:$B$304,$B236,Bookings!$F$5:$F$304,$D236,Bookings!$D$5:$D$304,"Owner block")&gt;0,"SAME-DAY TURN","No same-day guest"))</f>
        <v>—</v>
      </c>
      <c r="G236" s="38" t="str">
        <f>IFERROR(IF(INDEX(Bookings!$D$5:$D$304,MATCH($A236,Bookings!$A$5:$A$304,0))="Cancelled","—",IF(INDEX(Bookings!$I$5:$I$304,MATCH($A236,Bookings!$A$5:$A$304,0))="","—",INDEX(Bookings!$I$5:$I$304,MATCH($A236,Bookings!$A$5:$A$304,0)))),"—")</f>
        <v>—</v>
      </c>
      <c r="H236" s="38" t="str">
        <f>IFERROR(IF(INDEX(Setup!$I$25:$I$36,MATCH($B236,Setup!$A$25:$A$36,0))=0,"—",INDEX(Setup!$I$25:$I$36,MATCH($B236,Setup!$A$25:$A$36,0))),"—")</f>
        <v>—</v>
      </c>
      <c r="I236" s="21" t="str">
        <f>IFERROR(IF(INDEX(Setup!$E$25:$E$36,MATCH($B236,Setup!$A$25:$A$36,0))=0,"—",INDEX(Setup!$E$25:$E$36,MATCH($B236,Setup!$A$25:$A$36,0))),"—")</f>
        <v>—</v>
      </c>
      <c r="J236" s="8"/>
      <c r="K236" s="8"/>
      <c r="L236" s="8"/>
    </row>
    <row r="237" spans="1:12" x14ac:dyDescent="0.2">
      <c r="A237" s="30">
        <v>233</v>
      </c>
      <c r="B237" s="7" t="str">
        <f>IFERROR(IF(INDEX(Bookings!$D$5:$D$304,MATCH($A237,Bookings!$A$5:$A$304,0))="Cancelled","—",IF(INDEX(Bookings!$B$5:$B$304,MATCH($A237,Bookings!$A$5:$A$304,0))="","—",INDEX(Bookings!$B$5:$B$304,MATCH($A237,Bookings!$A$5:$A$304,0)))),"—")</f>
        <v>—</v>
      </c>
      <c r="C237" s="7" t="str">
        <f>IFERROR(IF(INDEX(Bookings!$D$5:$D$304,MATCH($A237,Bookings!$A$5:$A$304,0))="Cancelled","—",IF(INDEX(Bookings!$E$5:$E$304,MATCH($A237,Bookings!$A$5:$A$304,0))="","—",INDEX(Bookings!$E$5:$E$304,MATCH($A237,Bookings!$A$5:$A$304,0)))),"—")</f>
        <v>—</v>
      </c>
      <c r="D237" s="37" t="str">
        <f>IFERROR(IF(INDEX(Bookings!$D$5:$D$304,MATCH($A237,Bookings!$A$5:$A$304,0))="Cancelled","—",IF(INDEX(Bookings!$G$5:$G$304,MATCH($A237,Bookings!$A$5:$A$304,0))="","—",INDEX(Bookings!$G$5:$G$304,MATCH($A237,Bookings!$A$5:$A$304,0)))),"—")</f>
        <v>—</v>
      </c>
      <c r="E237" s="38" t="str">
        <f t="shared" ca="1" si="3"/>
        <v>—</v>
      </c>
      <c r="F237" s="39" t="str">
        <f>IF(OR(NOT(ISNUMBER($D237)),$B237="—",$B237=""),"—",IF(COUNTIFS(Bookings!$B$5:$B$304,$B237,Bookings!$F$5:$F$304,$D237)-COUNTIFS(Bookings!$B$5:$B$304,$B237,Bookings!$F$5:$F$304,$D237,Bookings!$D$5:$D$304,"Cancelled")-COUNTIFS(Bookings!$B$5:$B$304,$B237,Bookings!$F$5:$F$304,$D237,Bookings!$D$5:$D$304,"Owner block")&gt;0,"SAME-DAY TURN","No same-day guest"))</f>
        <v>—</v>
      </c>
      <c r="G237" s="38" t="str">
        <f>IFERROR(IF(INDEX(Bookings!$D$5:$D$304,MATCH($A237,Bookings!$A$5:$A$304,0))="Cancelled","—",IF(INDEX(Bookings!$I$5:$I$304,MATCH($A237,Bookings!$A$5:$A$304,0))="","—",INDEX(Bookings!$I$5:$I$304,MATCH($A237,Bookings!$A$5:$A$304,0)))),"—")</f>
        <v>—</v>
      </c>
      <c r="H237" s="38" t="str">
        <f>IFERROR(IF(INDEX(Setup!$I$25:$I$36,MATCH($B237,Setup!$A$25:$A$36,0))=0,"—",INDEX(Setup!$I$25:$I$36,MATCH($B237,Setup!$A$25:$A$36,0))),"—")</f>
        <v>—</v>
      </c>
      <c r="I237" s="21" t="str">
        <f>IFERROR(IF(INDEX(Setup!$E$25:$E$36,MATCH($B237,Setup!$A$25:$A$36,0))=0,"—",INDEX(Setup!$E$25:$E$36,MATCH($B237,Setup!$A$25:$A$36,0))),"—")</f>
        <v>—</v>
      </c>
      <c r="J237" s="3"/>
      <c r="K237" s="3"/>
      <c r="L237" s="3"/>
    </row>
    <row r="238" spans="1:12" x14ac:dyDescent="0.2">
      <c r="A238" s="30">
        <v>234</v>
      </c>
      <c r="B238" s="7" t="str">
        <f>IFERROR(IF(INDEX(Bookings!$D$5:$D$304,MATCH($A238,Bookings!$A$5:$A$304,0))="Cancelled","—",IF(INDEX(Bookings!$B$5:$B$304,MATCH($A238,Bookings!$A$5:$A$304,0))="","—",INDEX(Bookings!$B$5:$B$304,MATCH($A238,Bookings!$A$5:$A$304,0)))),"—")</f>
        <v>—</v>
      </c>
      <c r="C238" s="7" t="str">
        <f>IFERROR(IF(INDEX(Bookings!$D$5:$D$304,MATCH($A238,Bookings!$A$5:$A$304,0))="Cancelled","—",IF(INDEX(Bookings!$E$5:$E$304,MATCH($A238,Bookings!$A$5:$A$304,0))="","—",INDEX(Bookings!$E$5:$E$304,MATCH($A238,Bookings!$A$5:$A$304,0)))),"—")</f>
        <v>—</v>
      </c>
      <c r="D238" s="37" t="str">
        <f>IFERROR(IF(INDEX(Bookings!$D$5:$D$304,MATCH($A238,Bookings!$A$5:$A$304,0))="Cancelled","—",IF(INDEX(Bookings!$G$5:$G$304,MATCH($A238,Bookings!$A$5:$A$304,0))="","—",INDEX(Bookings!$G$5:$G$304,MATCH($A238,Bookings!$A$5:$A$304,0)))),"—")</f>
        <v>—</v>
      </c>
      <c r="E238" s="38" t="str">
        <f t="shared" ca="1" si="3"/>
        <v>—</v>
      </c>
      <c r="F238" s="39" t="str">
        <f>IF(OR(NOT(ISNUMBER($D238)),$B238="—",$B238=""),"—",IF(COUNTIFS(Bookings!$B$5:$B$304,$B238,Bookings!$F$5:$F$304,$D238)-COUNTIFS(Bookings!$B$5:$B$304,$B238,Bookings!$F$5:$F$304,$D238,Bookings!$D$5:$D$304,"Cancelled")-COUNTIFS(Bookings!$B$5:$B$304,$B238,Bookings!$F$5:$F$304,$D238,Bookings!$D$5:$D$304,"Owner block")&gt;0,"SAME-DAY TURN","No same-day guest"))</f>
        <v>—</v>
      </c>
      <c r="G238" s="38" t="str">
        <f>IFERROR(IF(INDEX(Bookings!$D$5:$D$304,MATCH($A238,Bookings!$A$5:$A$304,0))="Cancelled","—",IF(INDEX(Bookings!$I$5:$I$304,MATCH($A238,Bookings!$A$5:$A$304,0))="","—",INDEX(Bookings!$I$5:$I$304,MATCH($A238,Bookings!$A$5:$A$304,0)))),"—")</f>
        <v>—</v>
      </c>
      <c r="H238" s="38" t="str">
        <f>IFERROR(IF(INDEX(Setup!$I$25:$I$36,MATCH($B238,Setup!$A$25:$A$36,0))=0,"—",INDEX(Setup!$I$25:$I$36,MATCH($B238,Setup!$A$25:$A$36,0))),"—")</f>
        <v>—</v>
      </c>
      <c r="I238" s="21" t="str">
        <f>IFERROR(IF(INDEX(Setup!$E$25:$E$36,MATCH($B238,Setup!$A$25:$A$36,0))=0,"—",INDEX(Setup!$E$25:$E$36,MATCH($B238,Setup!$A$25:$A$36,0))),"—")</f>
        <v>—</v>
      </c>
      <c r="J238" s="8"/>
      <c r="K238" s="8"/>
      <c r="L238" s="8"/>
    </row>
    <row r="239" spans="1:12" x14ac:dyDescent="0.2">
      <c r="A239" s="30">
        <v>235</v>
      </c>
      <c r="B239" s="7" t="str">
        <f>IFERROR(IF(INDEX(Bookings!$D$5:$D$304,MATCH($A239,Bookings!$A$5:$A$304,0))="Cancelled","—",IF(INDEX(Bookings!$B$5:$B$304,MATCH($A239,Bookings!$A$5:$A$304,0))="","—",INDEX(Bookings!$B$5:$B$304,MATCH($A239,Bookings!$A$5:$A$304,0)))),"—")</f>
        <v>—</v>
      </c>
      <c r="C239" s="7" t="str">
        <f>IFERROR(IF(INDEX(Bookings!$D$5:$D$304,MATCH($A239,Bookings!$A$5:$A$304,0))="Cancelled","—",IF(INDEX(Bookings!$E$5:$E$304,MATCH($A239,Bookings!$A$5:$A$304,0))="","—",INDEX(Bookings!$E$5:$E$304,MATCH($A239,Bookings!$A$5:$A$304,0)))),"—")</f>
        <v>—</v>
      </c>
      <c r="D239" s="37" t="str">
        <f>IFERROR(IF(INDEX(Bookings!$D$5:$D$304,MATCH($A239,Bookings!$A$5:$A$304,0))="Cancelled","—",IF(INDEX(Bookings!$G$5:$G$304,MATCH($A239,Bookings!$A$5:$A$304,0))="","—",INDEX(Bookings!$G$5:$G$304,MATCH($A239,Bookings!$A$5:$A$304,0)))),"—")</f>
        <v>—</v>
      </c>
      <c r="E239" s="38" t="str">
        <f t="shared" ca="1" si="3"/>
        <v>—</v>
      </c>
      <c r="F239" s="39" t="str">
        <f>IF(OR(NOT(ISNUMBER($D239)),$B239="—",$B239=""),"—",IF(COUNTIFS(Bookings!$B$5:$B$304,$B239,Bookings!$F$5:$F$304,$D239)-COUNTIFS(Bookings!$B$5:$B$304,$B239,Bookings!$F$5:$F$304,$D239,Bookings!$D$5:$D$304,"Cancelled")-COUNTIFS(Bookings!$B$5:$B$304,$B239,Bookings!$F$5:$F$304,$D239,Bookings!$D$5:$D$304,"Owner block")&gt;0,"SAME-DAY TURN","No same-day guest"))</f>
        <v>—</v>
      </c>
      <c r="G239" s="38" t="str">
        <f>IFERROR(IF(INDEX(Bookings!$D$5:$D$304,MATCH($A239,Bookings!$A$5:$A$304,0))="Cancelled","—",IF(INDEX(Bookings!$I$5:$I$304,MATCH($A239,Bookings!$A$5:$A$304,0))="","—",INDEX(Bookings!$I$5:$I$304,MATCH($A239,Bookings!$A$5:$A$304,0)))),"—")</f>
        <v>—</v>
      </c>
      <c r="H239" s="38" t="str">
        <f>IFERROR(IF(INDEX(Setup!$I$25:$I$36,MATCH($B239,Setup!$A$25:$A$36,0))=0,"—",INDEX(Setup!$I$25:$I$36,MATCH($B239,Setup!$A$25:$A$36,0))),"—")</f>
        <v>—</v>
      </c>
      <c r="I239" s="21" t="str">
        <f>IFERROR(IF(INDEX(Setup!$E$25:$E$36,MATCH($B239,Setup!$A$25:$A$36,0))=0,"—",INDEX(Setup!$E$25:$E$36,MATCH($B239,Setup!$A$25:$A$36,0))),"—")</f>
        <v>—</v>
      </c>
      <c r="J239" s="3"/>
      <c r="K239" s="3"/>
      <c r="L239" s="3"/>
    </row>
    <row r="240" spans="1:12" x14ac:dyDescent="0.2">
      <c r="A240" s="30">
        <v>236</v>
      </c>
      <c r="B240" s="7" t="str">
        <f>IFERROR(IF(INDEX(Bookings!$D$5:$D$304,MATCH($A240,Bookings!$A$5:$A$304,0))="Cancelled","—",IF(INDEX(Bookings!$B$5:$B$304,MATCH($A240,Bookings!$A$5:$A$304,0))="","—",INDEX(Bookings!$B$5:$B$304,MATCH($A240,Bookings!$A$5:$A$304,0)))),"—")</f>
        <v>—</v>
      </c>
      <c r="C240" s="7" t="str">
        <f>IFERROR(IF(INDEX(Bookings!$D$5:$D$304,MATCH($A240,Bookings!$A$5:$A$304,0))="Cancelled","—",IF(INDEX(Bookings!$E$5:$E$304,MATCH($A240,Bookings!$A$5:$A$304,0))="","—",INDEX(Bookings!$E$5:$E$304,MATCH($A240,Bookings!$A$5:$A$304,0)))),"—")</f>
        <v>—</v>
      </c>
      <c r="D240" s="37" t="str">
        <f>IFERROR(IF(INDEX(Bookings!$D$5:$D$304,MATCH($A240,Bookings!$A$5:$A$304,0))="Cancelled","—",IF(INDEX(Bookings!$G$5:$G$304,MATCH($A240,Bookings!$A$5:$A$304,0))="","—",INDEX(Bookings!$G$5:$G$304,MATCH($A240,Bookings!$A$5:$A$304,0)))),"—")</f>
        <v>—</v>
      </c>
      <c r="E240" s="38" t="str">
        <f t="shared" ca="1" si="3"/>
        <v>—</v>
      </c>
      <c r="F240" s="39" t="str">
        <f>IF(OR(NOT(ISNUMBER($D240)),$B240="—",$B240=""),"—",IF(COUNTIFS(Bookings!$B$5:$B$304,$B240,Bookings!$F$5:$F$304,$D240)-COUNTIFS(Bookings!$B$5:$B$304,$B240,Bookings!$F$5:$F$304,$D240,Bookings!$D$5:$D$304,"Cancelled")-COUNTIFS(Bookings!$B$5:$B$304,$B240,Bookings!$F$5:$F$304,$D240,Bookings!$D$5:$D$304,"Owner block")&gt;0,"SAME-DAY TURN","No same-day guest"))</f>
        <v>—</v>
      </c>
      <c r="G240" s="38" t="str">
        <f>IFERROR(IF(INDEX(Bookings!$D$5:$D$304,MATCH($A240,Bookings!$A$5:$A$304,0))="Cancelled","—",IF(INDEX(Bookings!$I$5:$I$304,MATCH($A240,Bookings!$A$5:$A$304,0))="","—",INDEX(Bookings!$I$5:$I$304,MATCH($A240,Bookings!$A$5:$A$304,0)))),"—")</f>
        <v>—</v>
      </c>
      <c r="H240" s="38" t="str">
        <f>IFERROR(IF(INDEX(Setup!$I$25:$I$36,MATCH($B240,Setup!$A$25:$A$36,0))=0,"—",INDEX(Setup!$I$25:$I$36,MATCH($B240,Setup!$A$25:$A$36,0))),"—")</f>
        <v>—</v>
      </c>
      <c r="I240" s="21" t="str">
        <f>IFERROR(IF(INDEX(Setup!$E$25:$E$36,MATCH($B240,Setup!$A$25:$A$36,0))=0,"—",INDEX(Setup!$E$25:$E$36,MATCH($B240,Setup!$A$25:$A$36,0))),"—")</f>
        <v>—</v>
      </c>
      <c r="J240" s="8"/>
      <c r="K240" s="8"/>
      <c r="L240" s="8"/>
    </row>
    <row r="241" spans="1:12" x14ac:dyDescent="0.2">
      <c r="A241" s="30">
        <v>237</v>
      </c>
      <c r="B241" s="7" t="str">
        <f>IFERROR(IF(INDEX(Bookings!$D$5:$D$304,MATCH($A241,Bookings!$A$5:$A$304,0))="Cancelled","—",IF(INDEX(Bookings!$B$5:$B$304,MATCH($A241,Bookings!$A$5:$A$304,0))="","—",INDEX(Bookings!$B$5:$B$304,MATCH($A241,Bookings!$A$5:$A$304,0)))),"—")</f>
        <v>—</v>
      </c>
      <c r="C241" s="7" t="str">
        <f>IFERROR(IF(INDEX(Bookings!$D$5:$D$304,MATCH($A241,Bookings!$A$5:$A$304,0))="Cancelled","—",IF(INDEX(Bookings!$E$5:$E$304,MATCH($A241,Bookings!$A$5:$A$304,0))="","—",INDEX(Bookings!$E$5:$E$304,MATCH($A241,Bookings!$A$5:$A$304,0)))),"—")</f>
        <v>—</v>
      </c>
      <c r="D241" s="37" t="str">
        <f>IFERROR(IF(INDEX(Bookings!$D$5:$D$304,MATCH($A241,Bookings!$A$5:$A$304,0))="Cancelled","—",IF(INDEX(Bookings!$G$5:$G$304,MATCH($A241,Bookings!$A$5:$A$304,0))="","—",INDEX(Bookings!$G$5:$G$304,MATCH($A241,Bookings!$A$5:$A$304,0)))),"—")</f>
        <v>—</v>
      </c>
      <c r="E241" s="38" t="str">
        <f t="shared" ca="1" si="3"/>
        <v>—</v>
      </c>
      <c r="F241" s="39" t="str">
        <f>IF(OR(NOT(ISNUMBER($D241)),$B241="—",$B241=""),"—",IF(COUNTIFS(Bookings!$B$5:$B$304,$B241,Bookings!$F$5:$F$304,$D241)-COUNTIFS(Bookings!$B$5:$B$304,$B241,Bookings!$F$5:$F$304,$D241,Bookings!$D$5:$D$304,"Cancelled")-COUNTIFS(Bookings!$B$5:$B$304,$B241,Bookings!$F$5:$F$304,$D241,Bookings!$D$5:$D$304,"Owner block")&gt;0,"SAME-DAY TURN","No same-day guest"))</f>
        <v>—</v>
      </c>
      <c r="G241" s="38" t="str">
        <f>IFERROR(IF(INDEX(Bookings!$D$5:$D$304,MATCH($A241,Bookings!$A$5:$A$304,0))="Cancelled","—",IF(INDEX(Bookings!$I$5:$I$304,MATCH($A241,Bookings!$A$5:$A$304,0))="","—",INDEX(Bookings!$I$5:$I$304,MATCH($A241,Bookings!$A$5:$A$304,0)))),"—")</f>
        <v>—</v>
      </c>
      <c r="H241" s="38" t="str">
        <f>IFERROR(IF(INDEX(Setup!$I$25:$I$36,MATCH($B241,Setup!$A$25:$A$36,0))=0,"—",INDEX(Setup!$I$25:$I$36,MATCH($B241,Setup!$A$25:$A$36,0))),"—")</f>
        <v>—</v>
      </c>
      <c r="I241" s="21" t="str">
        <f>IFERROR(IF(INDEX(Setup!$E$25:$E$36,MATCH($B241,Setup!$A$25:$A$36,0))=0,"—",INDEX(Setup!$E$25:$E$36,MATCH($B241,Setup!$A$25:$A$36,0))),"—")</f>
        <v>—</v>
      </c>
      <c r="J241" s="3"/>
      <c r="K241" s="3"/>
      <c r="L241" s="3"/>
    </row>
    <row r="242" spans="1:12" x14ac:dyDescent="0.2">
      <c r="A242" s="30">
        <v>238</v>
      </c>
      <c r="B242" s="7" t="str">
        <f>IFERROR(IF(INDEX(Bookings!$D$5:$D$304,MATCH($A242,Bookings!$A$5:$A$304,0))="Cancelled","—",IF(INDEX(Bookings!$B$5:$B$304,MATCH($A242,Bookings!$A$5:$A$304,0))="","—",INDEX(Bookings!$B$5:$B$304,MATCH($A242,Bookings!$A$5:$A$304,0)))),"—")</f>
        <v>—</v>
      </c>
      <c r="C242" s="7" t="str">
        <f>IFERROR(IF(INDEX(Bookings!$D$5:$D$304,MATCH($A242,Bookings!$A$5:$A$304,0))="Cancelled","—",IF(INDEX(Bookings!$E$5:$E$304,MATCH($A242,Bookings!$A$5:$A$304,0))="","—",INDEX(Bookings!$E$5:$E$304,MATCH($A242,Bookings!$A$5:$A$304,0)))),"—")</f>
        <v>—</v>
      </c>
      <c r="D242" s="37" t="str">
        <f>IFERROR(IF(INDEX(Bookings!$D$5:$D$304,MATCH($A242,Bookings!$A$5:$A$304,0))="Cancelled","—",IF(INDEX(Bookings!$G$5:$G$304,MATCH($A242,Bookings!$A$5:$A$304,0))="","—",INDEX(Bookings!$G$5:$G$304,MATCH($A242,Bookings!$A$5:$A$304,0)))),"—")</f>
        <v>—</v>
      </c>
      <c r="E242" s="38" t="str">
        <f t="shared" ca="1" si="3"/>
        <v>—</v>
      </c>
      <c r="F242" s="39" t="str">
        <f>IF(OR(NOT(ISNUMBER($D242)),$B242="—",$B242=""),"—",IF(COUNTIFS(Bookings!$B$5:$B$304,$B242,Bookings!$F$5:$F$304,$D242)-COUNTIFS(Bookings!$B$5:$B$304,$B242,Bookings!$F$5:$F$304,$D242,Bookings!$D$5:$D$304,"Cancelled")-COUNTIFS(Bookings!$B$5:$B$304,$B242,Bookings!$F$5:$F$304,$D242,Bookings!$D$5:$D$304,"Owner block")&gt;0,"SAME-DAY TURN","No same-day guest"))</f>
        <v>—</v>
      </c>
      <c r="G242" s="38" t="str">
        <f>IFERROR(IF(INDEX(Bookings!$D$5:$D$304,MATCH($A242,Bookings!$A$5:$A$304,0))="Cancelled","—",IF(INDEX(Bookings!$I$5:$I$304,MATCH($A242,Bookings!$A$5:$A$304,0))="","—",INDEX(Bookings!$I$5:$I$304,MATCH($A242,Bookings!$A$5:$A$304,0)))),"—")</f>
        <v>—</v>
      </c>
      <c r="H242" s="38" t="str">
        <f>IFERROR(IF(INDEX(Setup!$I$25:$I$36,MATCH($B242,Setup!$A$25:$A$36,0))=0,"—",INDEX(Setup!$I$25:$I$36,MATCH($B242,Setup!$A$25:$A$36,0))),"—")</f>
        <v>—</v>
      </c>
      <c r="I242" s="21" t="str">
        <f>IFERROR(IF(INDEX(Setup!$E$25:$E$36,MATCH($B242,Setup!$A$25:$A$36,0))=0,"—",INDEX(Setup!$E$25:$E$36,MATCH($B242,Setup!$A$25:$A$36,0))),"—")</f>
        <v>—</v>
      </c>
      <c r="J242" s="8"/>
      <c r="K242" s="8"/>
      <c r="L242" s="8"/>
    </row>
    <row r="243" spans="1:12" x14ac:dyDescent="0.2">
      <c r="A243" s="30">
        <v>239</v>
      </c>
      <c r="B243" s="7" t="str">
        <f>IFERROR(IF(INDEX(Bookings!$D$5:$D$304,MATCH($A243,Bookings!$A$5:$A$304,0))="Cancelled","—",IF(INDEX(Bookings!$B$5:$B$304,MATCH($A243,Bookings!$A$5:$A$304,0))="","—",INDEX(Bookings!$B$5:$B$304,MATCH($A243,Bookings!$A$5:$A$304,0)))),"—")</f>
        <v>—</v>
      </c>
      <c r="C243" s="7" t="str">
        <f>IFERROR(IF(INDEX(Bookings!$D$5:$D$304,MATCH($A243,Bookings!$A$5:$A$304,0))="Cancelled","—",IF(INDEX(Bookings!$E$5:$E$304,MATCH($A243,Bookings!$A$5:$A$304,0))="","—",INDEX(Bookings!$E$5:$E$304,MATCH($A243,Bookings!$A$5:$A$304,0)))),"—")</f>
        <v>—</v>
      </c>
      <c r="D243" s="37" t="str">
        <f>IFERROR(IF(INDEX(Bookings!$D$5:$D$304,MATCH($A243,Bookings!$A$5:$A$304,0))="Cancelled","—",IF(INDEX(Bookings!$G$5:$G$304,MATCH($A243,Bookings!$A$5:$A$304,0))="","—",INDEX(Bookings!$G$5:$G$304,MATCH($A243,Bookings!$A$5:$A$304,0)))),"—")</f>
        <v>—</v>
      </c>
      <c r="E243" s="38" t="str">
        <f t="shared" ca="1" si="3"/>
        <v>—</v>
      </c>
      <c r="F243" s="39" t="str">
        <f>IF(OR(NOT(ISNUMBER($D243)),$B243="—",$B243=""),"—",IF(COUNTIFS(Bookings!$B$5:$B$304,$B243,Bookings!$F$5:$F$304,$D243)-COUNTIFS(Bookings!$B$5:$B$304,$B243,Bookings!$F$5:$F$304,$D243,Bookings!$D$5:$D$304,"Cancelled")-COUNTIFS(Bookings!$B$5:$B$304,$B243,Bookings!$F$5:$F$304,$D243,Bookings!$D$5:$D$304,"Owner block")&gt;0,"SAME-DAY TURN","No same-day guest"))</f>
        <v>—</v>
      </c>
      <c r="G243" s="38" t="str">
        <f>IFERROR(IF(INDEX(Bookings!$D$5:$D$304,MATCH($A243,Bookings!$A$5:$A$304,0))="Cancelled","—",IF(INDEX(Bookings!$I$5:$I$304,MATCH($A243,Bookings!$A$5:$A$304,0))="","—",INDEX(Bookings!$I$5:$I$304,MATCH($A243,Bookings!$A$5:$A$304,0)))),"—")</f>
        <v>—</v>
      </c>
      <c r="H243" s="38" t="str">
        <f>IFERROR(IF(INDEX(Setup!$I$25:$I$36,MATCH($B243,Setup!$A$25:$A$36,0))=0,"—",INDEX(Setup!$I$25:$I$36,MATCH($B243,Setup!$A$25:$A$36,0))),"—")</f>
        <v>—</v>
      </c>
      <c r="I243" s="21" t="str">
        <f>IFERROR(IF(INDEX(Setup!$E$25:$E$36,MATCH($B243,Setup!$A$25:$A$36,0))=0,"—",INDEX(Setup!$E$25:$E$36,MATCH($B243,Setup!$A$25:$A$36,0))),"—")</f>
        <v>—</v>
      </c>
      <c r="J243" s="3"/>
      <c r="K243" s="3"/>
      <c r="L243" s="3"/>
    </row>
    <row r="244" spans="1:12" x14ac:dyDescent="0.2">
      <c r="A244" s="30">
        <v>240</v>
      </c>
      <c r="B244" s="7" t="str">
        <f>IFERROR(IF(INDEX(Bookings!$D$5:$D$304,MATCH($A244,Bookings!$A$5:$A$304,0))="Cancelled","—",IF(INDEX(Bookings!$B$5:$B$304,MATCH($A244,Bookings!$A$5:$A$304,0))="","—",INDEX(Bookings!$B$5:$B$304,MATCH($A244,Bookings!$A$5:$A$304,0)))),"—")</f>
        <v>—</v>
      </c>
      <c r="C244" s="7" t="str">
        <f>IFERROR(IF(INDEX(Bookings!$D$5:$D$304,MATCH($A244,Bookings!$A$5:$A$304,0))="Cancelled","—",IF(INDEX(Bookings!$E$5:$E$304,MATCH($A244,Bookings!$A$5:$A$304,0))="","—",INDEX(Bookings!$E$5:$E$304,MATCH($A244,Bookings!$A$5:$A$304,0)))),"—")</f>
        <v>—</v>
      </c>
      <c r="D244" s="37" t="str">
        <f>IFERROR(IF(INDEX(Bookings!$D$5:$D$304,MATCH($A244,Bookings!$A$5:$A$304,0))="Cancelled","—",IF(INDEX(Bookings!$G$5:$G$304,MATCH($A244,Bookings!$A$5:$A$304,0))="","—",INDEX(Bookings!$G$5:$G$304,MATCH($A244,Bookings!$A$5:$A$304,0)))),"—")</f>
        <v>—</v>
      </c>
      <c r="E244" s="38" t="str">
        <f t="shared" ca="1" si="3"/>
        <v>—</v>
      </c>
      <c r="F244" s="39" t="str">
        <f>IF(OR(NOT(ISNUMBER($D244)),$B244="—",$B244=""),"—",IF(COUNTIFS(Bookings!$B$5:$B$304,$B244,Bookings!$F$5:$F$304,$D244)-COUNTIFS(Bookings!$B$5:$B$304,$B244,Bookings!$F$5:$F$304,$D244,Bookings!$D$5:$D$304,"Cancelled")-COUNTIFS(Bookings!$B$5:$B$304,$B244,Bookings!$F$5:$F$304,$D244,Bookings!$D$5:$D$304,"Owner block")&gt;0,"SAME-DAY TURN","No same-day guest"))</f>
        <v>—</v>
      </c>
      <c r="G244" s="38" t="str">
        <f>IFERROR(IF(INDEX(Bookings!$D$5:$D$304,MATCH($A244,Bookings!$A$5:$A$304,0))="Cancelled","—",IF(INDEX(Bookings!$I$5:$I$304,MATCH($A244,Bookings!$A$5:$A$304,0))="","—",INDEX(Bookings!$I$5:$I$304,MATCH($A244,Bookings!$A$5:$A$304,0)))),"—")</f>
        <v>—</v>
      </c>
      <c r="H244" s="38" t="str">
        <f>IFERROR(IF(INDEX(Setup!$I$25:$I$36,MATCH($B244,Setup!$A$25:$A$36,0))=0,"—",INDEX(Setup!$I$25:$I$36,MATCH($B244,Setup!$A$25:$A$36,0))),"—")</f>
        <v>—</v>
      </c>
      <c r="I244" s="21" t="str">
        <f>IFERROR(IF(INDEX(Setup!$E$25:$E$36,MATCH($B244,Setup!$A$25:$A$36,0))=0,"—",INDEX(Setup!$E$25:$E$36,MATCH($B244,Setup!$A$25:$A$36,0))),"—")</f>
        <v>—</v>
      </c>
      <c r="J244" s="8"/>
      <c r="K244" s="8"/>
      <c r="L244" s="8"/>
    </row>
    <row r="245" spans="1:12" x14ac:dyDescent="0.2">
      <c r="A245" s="30">
        <v>241</v>
      </c>
      <c r="B245" s="7" t="str">
        <f>IFERROR(IF(INDEX(Bookings!$D$5:$D$304,MATCH($A245,Bookings!$A$5:$A$304,0))="Cancelled","—",IF(INDEX(Bookings!$B$5:$B$304,MATCH($A245,Bookings!$A$5:$A$304,0))="","—",INDEX(Bookings!$B$5:$B$304,MATCH($A245,Bookings!$A$5:$A$304,0)))),"—")</f>
        <v>—</v>
      </c>
      <c r="C245" s="7" t="str">
        <f>IFERROR(IF(INDEX(Bookings!$D$5:$D$304,MATCH($A245,Bookings!$A$5:$A$304,0))="Cancelled","—",IF(INDEX(Bookings!$E$5:$E$304,MATCH($A245,Bookings!$A$5:$A$304,0))="","—",INDEX(Bookings!$E$5:$E$304,MATCH($A245,Bookings!$A$5:$A$304,0)))),"—")</f>
        <v>—</v>
      </c>
      <c r="D245" s="37" t="str">
        <f>IFERROR(IF(INDEX(Bookings!$D$5:$D$304,MATCH($A245,Bookings!$A$5:$A$304,0))="Cancelled","—",IF(INDEX(Bookings!$G$5:$G$304,MATCH($A245,Bookings!$A$5:$A$304,0))="","—",INDEX(Bookings!$G$5:$G$304,MATCH($A245,Bookings!$A$5:$A$304,0)))),"—")</f>
        <v>—</v>
      </c>
      <c r="E245" s="38" t="str">
        <f t="shared" ca="1" si="3"/>
        <v>—</v>
      </c>
      <c r="F245" s="39" t="str">
        <f>IF(OR(NOT(ISNUMBER($D245)),$B245="—",$B245=""),"—",IF(COUNTIFS(Bookings!$B$5:$B$304,$B245,Bookings!$F$5:$F$304,$D245)-COUNTIFS(Bookings!$B$5:$B$304,$B245,Bookings!$F$5:$F$304,$D245,Bookings!$D$5:$D$304,"Cancelled")-COUNTIFS(Bookings!$B$5:$B$304,$B245,Bookings!$F$5:$F$304,$D245,Bookings!$D$5:$D$304,"Owner block")&gt;0,"SAME-DAY TURN","No same-day guest"))</f>
        <v>—</v>
      </c>
      <c r="G245" s="38" t="str">
        <f>IFERROR(IF(INDEX(Bookings!$D$5:$D$304,MATCH($A245,Bookings!$A$5:$A$304,0))="Cancelled","—",IF(INDEX(Bookings!$I$5:$I$304,MATCH($A245,Bookings!$A$5:$A$304,0))="","—",INDEX(Bookings!$I$5:$I$304,MATCH($A245,Bookings!$A$5:$A$304,0)))),"—")</f>
        <v>—</v>
      </c>
      <c r="H245" s="38" t="str">
        <f>IFERROR(IF(INDEX(Setup!$I$25:$I$36,MATCH($B245,Setup!$A$25:$A$36,0))=0,"—",INDEX(Setup!$I$25:$I$36,MATCH($B245,Setup!$A$25:$A$36,0))),"—")</f>
        <v>—</v>
      </c>
      <c r="I245" s="21" t="str">
        <f>IFERROR(IF(INDEX(Setup!$E$25:$E$36,MATCH($B245,Setup!$A$25:$A$36,0))=0,"—",INDEX(Setup!$E$25:$E$36,MATCH($B245,Setup!$A$25:$A$36,0))),"—")</f>
        <v>—</v>
      </c>
      <c r="J245" s="3"/>
      <c r="K245" s="3"/>
      <c r="L245" s="3"/>
    </row>
    <row r="246" spans="1:12" x14ac:dyDescent="0.2">
      <c r="A246" s="30">
        <v>242</v>
      </c>
      <c r="B246" s="7" t="str">
        <f>IFERROR(IF(INDEX(Bookings!$D$5:$D$304,MATCH($A246,Bookings!$A$5:$A$304,0))="Cancelled","—",IF(INDEX(Bookings!$B$5:$B$304,MATCH($A246,Bookings!$A$5:$A$304,0))="","—",INDEX(Bookings!$B$5:$B$304,MATCH($A246,Bookings!$A$5:$A$304,0)))),"—")</f>
        <v>—</v>
      </c>
      <c r="C246" s="7" t="str">
        <f>IFERROR(IF(INDEX(Bookings!$D$5:$D$304,MATCH($A246,Bookings!$A$5:$A$304,0))="Cancelled","—",IF(INDEX(Bookings!$E$5:$E$304,MATCH($A246,Bookings!$A$5:$A$304,0))="","—",INDEX(Bookings!$E$5:$E$304,MATCH($A246,Bookings!$A$5:$A$304,0)))),"—")</f>
        <v>—</v>
      </c>
      <c r="D246" s="37" t="str">
        <f>IFERROR(IF(INDEX(Bookings!$D$5:$D$304,MATCH($A246,Bookings!$A$5:$A$304,0))="Cancelled","—",IF(INDEX(Bookings!$G$5:$G$304,MATCH($A246,Bookings!$A$5:$A$304,0))="","—",INDEX(Bookings!$G$5:$G$304,MATCH($A246,Bookings!$A$5:$A$304,0)))),"—")</f>
        <v>—</v>
      </c>
      <c r="E246" s="38" t="str">
        <f t="shared" ca="1" si="3"/>
        <v>—</v>
      </c>
      <c r="F246" s="39" t="str">
        <f>IF(OR(NOT(ISNUMBER($D246)),$B246="—",$B246=""),"—",IF(COUNTIFS(Bookings!$B$5:$B$304,$B246,Bookings!$F$5:$F$304,$D246)-COUNTIFS(Bookings!$B$5:$B$304,$B246,Bookings!$F$5:$F$304,$D246,Bookings!$D$5:$D$304,"Cancelled")-COUNTIFS(Bookings!$B$5:$B$304,$B246,Bookings!$F$5:$F$304,$D246,Bookings!$D$5:$D$304,"Owner block")&gt;0,"SAME-DAY TURN","No same-day guest"))</f>
        <v>—</v>
      </c>
      <c r="G246" s="38" t="str">
        <f>IFERROR(IF(INDEX(Bookings!$D$5:$D$304,MATCH($A246,Bookings!$A$5:$A$304,0))="Cancelled","—",IF(INDEX(Bookings!$I$5:$I$304,MATCH($A246,Bookings!$A$5:$A$304,0))="","—",INDEX(Bookings!$I$5:$I$304,MATCH($A246,Bookings!$A$5:$A$304,0)))),"—")</f>
        <v>—</v>
      </c>
      <c r="H246" s="38" t="str">
        <f>IFERROR(IF(INDEX(Setup!$I$25:$I$36,MATCH($B246,Setup!$A$25:$A$36,0))=0,"—",INDEX(Setup!$I$25:$I$36,MATCH($B246,Setup!$A$25:$A$36,0))),"—")</f>
        <v>—</v>
      </c>
      <c r="I246" s="21" t="str">
        <f>IFERROR(IF(INDEX(Setup!$E$25:$E$36,MATCH($B246,Setup!$A$25:$A$36,0))=0,"—",INDEX(Setup!$E$25:$E$36,MATCH($B246,Setup!$A$25:$A$36,0))),"—")</f>
        <v>—</v>
      </c>
      <c r="J246" s="8"/>
      <c r="K246" s="8"/>
      <c r="L246" s="8"/>
    </row>
    <row r="247" spans="1:12" x14ac:dyDescent="0.2">
      <c r="A247" s="30">
        <v>243</v>
      </c>
      <c r="B247" s="7" t="str">
        <f>IFERROR(IF(INDEX(Bookings!$D$5:$D$304,MATCH($A247,Bookings!$A$5:$A$304,0))="Cancelled","—",IF(INDEX(Bookings!$B$5:$B$304,MATCH($A247,Bookings!$A$5:$A$304,0))="","—",INDEX(Bookings!$B$5:$B$304,MATCH($A247,Bookings!$A$5:$A$304,0)))),"—")</f>
        <v>—</v>
      </c>
      <c r="C247" s="7" t="str">
        <f>IFERROR(IF(INDEX(Bookings!$D$5:$D$304,MATCH($A247,Bookings!$A$5:$A$304,0))="Cancelled","—",IF(INDEX(Bookings!$E$5:$E$304,MATCH($A247,Bookings!$A$5:$A$304,0))="","—",INDEX(Bookings!$E$5:$E$304,MATCH($A247,Bookings!$A$5:$A$304,0)))),"—")</f>
        <v>—</v>
      </c>
      <c r="D247" s="37" t="str">
        <f>IFERROR(IF(INDEX(Bookings!$D$5:$D$304,MATCH($A247,Bookings!$A$5:$A$304,0))="Cancelled","—",IF(INDEX(Bookings!$G$5:$G$304,MATCH($A247,Bookings!$A$5:$A$304,0))="","—",INDEX(Bookings!$G$5:$G$304,MATCH($A247,Bookings!$A$5:$A$304,0)))),"—")</f>
        <v>—</v>
      </c>
      <c r="E247" s="38" t="str">
        <f t="shared" ca="1" si="3"/>
        <v>—</v>
      </c>
      <c r="F247" s="39" t="str">
        <f>IF(OR(NOT(ISNUMBER($D247)),$B247="—",$B247=""),"—",IF(COUNTIFS(Bookings!$B$5:$B$304,$B247,Bookings!$F$5:$F$304,$D247)-COUNTIFS(Bookings!$B$5:$B$304,$B247,Bookings!$F$5:$F$304,$D247,Bookings!$D$5:$D$304,"Cancelled")-COUNTIFS(Bookings!$B$5:$B$304,$B247,Bookings!$F$5:$F$304,$D247,Bookings!$D$5:$D$304,"Owner block")&gt;0,"SAME-DAY TURN","No same-day guest"))</f>
        <v>—</v>
      </c>
      <c r="G247" s="38" t="str">
        <f>IFERROR(IF(INDEX(Bookings!$D$5:$D$304,MATCH($A247,Bookings!$A$5:$A$304,0))="Cancelled","—",IF(INDEX(Bookings!$I$5:$I$304,MATCH($A247,Bookings!$A$5:$A$304,0))="","—",INDEX(Bookings!$I$5:$I$304,MATCH($A247,Bookings!$A$5:$A$304,0)))),"—")</f>
        <v>—</v>
      </c>
      <c r="H247" s="38" t="str">
        <f>IFERROR(IF(INDEX(Setup!$I$25:$I$36,MATCH($B247,Setup!$A$25:$A$36,0))=0,"—",INDEX(Setup!$I$25:$I$36,MATCH($B247,Setup!$A$25:$A$36,0))),"—")</f>
        <v>—</v>
      </c>
      <c r="I247" s="21" t="str">
        <f>IFERROR(IF(INDEX(Setup!$E$25:$E$36,MATCH($B247,Setup!$A$25:$A$36,0))=0,"—",INDEX(Setup!$E$25:$E$36,MATCH($B247,Setup!$A$25:$A$36,0))),"—")</f>
        <v>—</v>
      </c>
      <c r="J247" s="3"/>
      <c r="K247" s="3"/>
      <c r="L247" s="3"/>
    </row>
    <row r="248" spans="1:12" x14ac:dyDescent="0.2">
      <c r="A248" s="30">
        <v>244</v>
      </c>
      <c r="B248" s="7" t="str">
        <f>IFERROR(IF(INDEX(Bookings!$D$5:$D$304,MATCH($A248,Bookings!$A$5:$A$304,0))="Cancelled","—",IF(INDEX(Bookings!$B$5:$B$304,MATCH($A248,Bookings!$A$5:$A$304,0))="","—",INDEX(Bookings!$B$5:$B$304,MATCH($A248,Bookings!$A$5:$A$304,0)))),"—")</f>
        <v>—</v>
      </c>
      <c r="C248" s="7" t="str">
        <f>IFERROR(IF(INDEX(Bookings!$D$5:$D$304,MATCH($A248,Bookings!$A$5:$A$304,0))="Cancelled","—",IF(INDEX(Bookings!$E$5:$E$304,MATCH($A248,Bookings!$A$5:$A$304,0))="","—",INDEX(Bookings!$E$5:$E$304,MATCH($A248,Bookings!$A$5:$A$304,0)))),"—")</f>
        <v>—</v>
      </c>
      <c r="D248" s="37" t="str">
        <f>IFERROR(IF(INDEX(Bookings!$D$5:$D$304,MATCH($A248,Bookings!$A$5:$A$304,0))="Cancelled","—",IF(INDEX(Bookings!$G$5:$G$304,MATCH($A248,Bookings!$A$5:$A$304,0))="","—",INDEX(Bookings!$G$5:$G$304,MATCH($A248,Bookings!$A$5:$A$304,0)))),"—")</f>
        <v>—</v>
      </c>
      <c r="E248" s="38" t="str">
        <f t="shared" ca="1" si="3"/>
        <v>—</v>
      </c>
      <c r="F248" s="39" t="str">
        <f>IF(OR(NOT(ISNUMBER($D248)),$B248="—",$B248=""),"—",IF(COUNTIFS(Bookings!$B$5:$B$304,$B248,Bookings!$F$5:$F$304,$D248)-COUNTIFS(Bookings!$B$5:$B$304,$B248,Bookings!$F$5:$F$304,$D248,Bookings!$D$5:$D$304,"Cancelled")-COUNTIFS(Bookings!$B$5:$B$304,$B248,Bookings!$F$5:$F$304,$D248,Bookings!$D$5:$D$304,"Owner block")&gt;0,"SAME-DAY TURN","No same-day guest"))</f>
        <v>—</v>
      </c>
      <c r="G248" s="38" t="str">
        <f>IFERROR(IF(INDEX(Bookings!$D$5:$D$304,MATCH($A248,Bookings!$A$5:$A$304,0))="Cancelled","—",IF(INDEX(Bookings!$I$5:$I$304,MATCH($A248,Bookings!$A$5:$A$304,0))="","—",INDEX(Bookings!$I$5:$I$304,MATCH($A248,Bookings!$A$5:$A$304,0)))),"—")</f>
        <v>—</v>
      </c>
      <c r="H248" s="38" t="str">
        <f>IFERROR(IF(INDEX(Setup!$I$25:$I$36,MATCH($B248,Setup!$A$25:$A$36,0))=0,"—",INDEX(Setup!$I$25:$I$36,MATCH($B248,Setup!$A$25:$A$36,0))),"—")</f>
        <v>—</v>
      </c>
      <c r="I248" s="21" t="str">
        <f>IFERROR(IF(INDEX(Setup!$E$25:$E$36,MATCH($B248,Setup!$A$25:$A$36,0))=0,"—",INDEX(Setup!$E$25:$E$36,MATCH($B248,Setup!$A$25:$A$36,0))),"—")</f>
        <v>—</v>
      </c>
      <c r="J248" s="8"/>
      <c r="K248" s="8"/>
      <c r="L248" s="8"/>
    </row>
    <row r="249" spans="1:12" x14ac:dyDescent="0.2">
      <c r="A249" s="30">
        <v>245</v>
      </c>
      <c r="B249" s="7" t="str">
        <f>IFERROR(IF(INDEX(Bookings!$D$5:$D$304,MATCH($A249,Bookings!$A$5:$A$304,0))="Cancelled","—",IF(INDEX(Bookings!$B$5:$B$304,MATCH($A249,Bookings!$A$5:$A$304,0))="","—",INDEX(Bookings!$B$5:$B$304,MATCH($A249,Bookings!$A$5:$A$304,0)))),"—")</f>
        <v>—</v>
      </c>
      <c r="C249" s="7" t="str">
        <f>IFERROR(IF(INDEX(Bookings!$D$5:$D$304,MATCH($A249,Bookings!$A$5:$A$304,0))="Cancelled","—",IF(INDEX(Bookings!$E$5:$E$304,MATCH($A249,Bookings!$A$5:$A$304,0))="","—",INDEX(Bookings!$E$5:$E$304,MATCH($A249,Bookings!$A$5:$A$304,0)))),"—")</f>
        <v>—</v>
      </c>
      <c r="D249" s="37" t="str">
        <f>IFERROR(IF(INDEX(Bookings!$D$5:$D$304,MATCH($A249,Bookings!$A$5:$A$304,0))="Cancelled","—",IF(INDEX(Bookings!$G$5:$G$304,MATCH($A249,Bookings!$A$5:$A$304,0))="","—",INDEX(Bookings!$G$5:$G$304,MATCH($A249,Bookings!$A$5:$A$304,0)))),"—")</f>
        <v>—</v>
      </c>
      <c r="E249" s="38" t="str">
        <f t="shared" ca="1" si="3"/>
        <v>—</v>
      </c>
      <c r="F249" s="39" t="str">
        <f>IF(OR(NOT(ISNUMBER($D249)),$B249="—",$B249=""),"—",IF(COUNTIFS(Bookings!$B$5:$B$304,$B249,Bookings!$F$5:$F$304,$D249)-COUNTIFS(Bookings!$B$5:$B$304,$B249,Bookings!$F$5:$F$304,$D249,Bookings!$D$5:$D$304,"Cancelled")-COUNTIFS(Bookings!$B$5:$B$304,$B249,Bookings!$F$5:$F$304,$D249,Bookings!$D$5:$D$304,"Owner block")&gt;0,"SAME-DAY TURN","No same-day guest"))</f>
        <v>—</v>
      </c>
      <c r="G249" s="38" t="str">
        <f>IFERROR(IF(INDEX(Bookings!$D$5:$D$304,MATCH($A249,Bookings!$A$5:$A$304,0))="Cancelled","—",IF(INDEX(Bookings!$I$5:$I$304,MATCH($A249,Bookings!$A$5:$A$304,0))="","—",INDEX(Bookings!$I$5:$I$304,MATCH($A249,Bookings!$A$5:$A$304,0)))),"—")</f>
        <v>—</v>
      </c>
      <c r="H249" s="38" t="str">
        <f>IFERROR(IF(INDEX(Setup!$I$25:$I$36,MATCH($B249,Setup!$A$25:$A$36,0))=0,"—",INDEX(Setup!$I$25:$I$36,MATCH($B249,Setup!$A$25:$A$36,0))),"—")</f>
        <v>—</v>
      </c>
      <c r="I249" s="21" t="str">
        <f>IFERROR(IF(INDEX(Setup!$E$25:$E$36,MATCH($B249,Setup!$A$25:$A$36,0))=0,"—",INDEX(Setup!$E$25:$E$36,MATCH($B249,Setup!$A$25:$A$36,0))),"—")</f>
        <v>—</v>
      </c>
      <c r="J249" s="3"/>
      <c r="K249" s="3"/>
      <c r="L249" s="3"/>
    </row>
    <row r="250" spans="1:12" x14ac:dyDescent="0.2">
      <c r="A250" s="30">
        <v>246</v>
      </c>
      <c r="B250" s="7" t="str">
        <f>IFERROR(IF(INDEX(Bookings!$D$5:$D$304,MATCH($A250,Bookings!$A$5:$A$304,0))="Cancelled","—",IF(INDEX(Bookings!$B$5:$B$304,MATCH($A250,Bookings!$A$5:$A$304,0))="","—",INDEX(Bookings!$B$5:$B$304,MATCH($A250,Bookings!$A$5:$A$304,0)))),"—")</f>
        <v>—</v>
      </c>
      <c r="C250" s="7" t="str">
        <f>IFERROR(IF(INDEX(Bookings!$D$5:$D$304,MATCH($A250,Bookings!$A$5:$A$304,0))="Cancelled","—",IF(INDEX(Bookings!$E$5:$E$304,MATCH($A250,Bookings!$A$5:$A$304,0))="","—",INDEX(Bookings!$E$5:$E$304,MATCH($A250,Bookings!$A$5:$A$304,0)))),"—")</f>
        <v>—</v>
      </c>
      <c r="D250" s="37" t="str">
        <f>IFERROR(IF(INDEX(Bookings!$D$5:$D$304,MATCH($A250,Bookings!$A$5:$A$304,0))="Cancelled","—",IF(INDEX(Bookings!$G$5:$G$304,MATCH($A250,Bookings!$A$5:$A$304,0))="","—",INDEX(Bookings!$G$5:$G$304,MATCH($A250,Bookings!$A$5:$A$304,0)))),"—")</f>
        <v>—</v>
      </c>
      <c r="E250" s="38" t="str">
        <f t="shared" ca="1" si="3"/>
        <v>—</v>
      </c>
      <c r="F250" s="39" t="str">
        <f>IF(OR(NOT(ISNUMBER($D250)),$B250="—",$B250=""),"—",IF(COUNTIFS(Bookings!$B$5:$B$304,$B250,Bookings!$F$5:$F$304,$D250)-COUNTIFS(Bookings!$B$5:$B$304,$B250,Bookings!$F$5:$F$304,$D250,Bookings!$D$5:$D$304,"Cancelled")-COUNTIFS(Bookings!$B$5:$B$304,$B250,Bookings!$F$5:$F$304,$D250,Bookings!$D$5:$D$304,"Owner block")&gt;0,"SAME-DAY TURN","No same-day guest"))</f>
        <v>—</v>
      </c>
      <c r="G250" s="38" t="str">
        <f>IFERROR(IF(INDEX(Bookings!$D$5:$D$304,MATCH($A250,Bookings!$A$5:$A$304,0))="Cancelled","—",IF(INDEX(Bookings!$I$5:$I$304,MATCH($A250,Bookings!$A$5:$A$304,0))="","—",INDEX(Bookings!$I$5:$I$304,MATCH($A250,Bookings!$A$5:$A$304,0)))),"—")</f>
        <v>—</v>
      </c>
      <c r="H250" s="38" t="str">
        <f>IFERROR(IF(INDEX(Setup!$I$25:$I$36,MATCH($B250,Setup!$A$25:$A$36,0))=0,"—",INDEX(Setup!$I$25:$I$36,MATCH($B250,Setup!$A$25:$A$36,0))),"—")</f>
        <v>—</v>
      </c>
      <c r="I250" s="21" t="str">
        <f>IFERROR(IF(INDEX(Setup!$E$25:$E$36,MATCH($B250,Setup!$A$25:$A$36,0))=0,"—",INDEX(Setup!$E$25:$E$36,MATCH($B250,Setup!$A$25:$A$36,0))),"—")</f>
        <v>—</v>
      </c>
      <c r="J250" s="8"/>
      <c r="K250" s="8"/>
      <c r="L250" s="8"/>
    </row>
    <row r="251" spans="1:12" x14ac:dyDescent="0.2">
      <c r="A251" s="30">
        <v>247</v>
      </c>
      <c r="B251" s="7" t="str">
        <f>IFERROR(IF(INDEX(Bookings!$D$5:$D$304,MATCH($A251,Bookings!$A$5:$A$304,0))="Cancelled","—",IF(INDEX(Bookings!$B$5:$B$304,MATCH($A251,Bookings!$A$5:$A$304,0))="","—",INDEX(Bookings!$B$5:$B$304,MATCH($A251,Bookings!$A$5:$A$304,0)))),"—")</f>
        <v>—</v>
      </c>
      <c r="C251" s="7" t="str">
        <f>IFERROR(IF(INDEX(Bookings!$D$5:$D$304,MATCH($A251,Bookings!$A$5:$A$304,0))="Cancelled","—",IF(INDEX(Bookings!$E$5:$E$304,MATCH($A251,Bookings!$A$5:$A$304,0))="","—",INDEX(Bookings!$E$5:$E$304,MATCH($A251,Bookings!$A$5:$A$304,0)))),"—")</f>
        <v>—</v>
      </c>
      <c r="D251" s="37" t="str">
        <f>IFERROR(IF(INDEX(Bookings!$D$5:$D$304,MATCH($A251,Bookings!$A$5:$A$304,0))="Cancelled","—",IF(INDEX(Bookings!$G$5:$G$304,MATCH($A251,Bookings!$A$5:$A$304,0))="","—",INDEX(Bookings!$G$5:$G$304,MATCH($A251,Bookings!$A$5:$A$304,0)))),"—")</f>
        <v>—</v>
      </c>
      <c r="E251" s="38" t="str">
        <f t="shared" ca="1" si="3"/>
        <v>—</v>
      </c>
      <c r="F251" s="39" t="str">
        <f>IF(OR(NOT(ISNUMBER($D251)),$B251="—",$B251=""),"—",IF(COUNTIFS(Bookings!$B$5:$B$304,$B251,Bookings!$F$5:$F$304,$D251)-COUNTIFS(Bookings!$B$5:$B$304,$B251,Bookings!$F$5:$F$304,$D251,Bookings!$D$5:$D$304,"Cancelled")-COUNTIFS(Bookings!$B$5:$B$304,$B251,Bookings!$F$5:$F$304,$D251,Bookings!$D$5:$D$304,"Owner block")&gt;0,"SAME-DAY TURN","No same-day guest"))</f>
        <v>—</v>
      </c>
      <c r="G251" s="38" t="str">
        <f>IFERROR(IF(INDEX(Bookings!$D$5:$D$304,MATCH($A251,Bookings!$A$5:$A$304,0))="Cancelled","—",IF(INDEX(Bookings!$I$5:$I$304,MATCH($A251,Bookings!$A$5:$A$304,0))="","—",INDEX(Bookings!$I$5:$I$304,MATCH($A251,Bookings!$A$5:$A$304,0)))),"—")</f>
        <v>—</v>
      </c>
      <c r="H251" s="38" t="str">
        <f>IFERROR(IF(INDEX(Setup!$I$25:$I$36,MATCH($B251,Setup!$A$25:$A$36,0))=0,"—",INDEX(Setup!$I$25:$I$36,MATCH($B251,Setup!$A$25:$A$36,0))),"—")</f>
        <v>—</v>
      </c>
      <c r="I251" s="21" t="str">
        <f>IFERROR(IF(INDEX(Setup!$E$25:$E$36,MATCH($B251,Setup!$A$25:$A$36,0))=0,"—",INDEX(Setup!$E$25:$E$36,MATCH($B251,Setup!$A$25:$A$36,0))),"—")</f>
        <v>—</v>
      </c>
      <c r="J251" s="3"/>
      <c r="K251" s="3"/>
      <c r="L251" s="3"/>
    </row>
    <row r="252" spans="1:12" x14ac:dyDescent="0.2">
      <c r="A252" s="30">
        <v>248</v>
      </c>
      <c r="B252" s="7" t="str">
        <f>IFERROR(IF(INDEX(Bookings!$D$5:$D$304,MATCH($A252,Bookings!$A$5:$A$304,0))="Cancelled","—",IF(INDEX(Bookings!$B$5:$B$304,MATCH($A252,Bookings!$A$5:$A$304,0))="","—",INDEX(Bookings!$B$5:$B$304,MATCH($A252,Bookings!$A$5:$A$304,0)))),"—")</f>
        <v>—</v>
      </c>
      <c r="C252" s="7" t="str">
        <f>IFERROR(IF(INDEX(Bookings!$D$5:$D$304,MATCH($A252,Bookings!$A$5:$A$304,0))="Cancelled","—",IF(INDEX(Bookings!$E$5:$E$304,MATCH($A252,Bookings!$A$5:$A$304,0))="","—",INDEX(Bookings!$E$5:$E$304,MATCH($A252,Bookings!$A$5:$A$304,0)))),"—")</f>
        <v>—</v>
      </c>
      <c r="D252" s="37" t="str">
        <f>IFERROR(IF(INDEX(Bookings!$D$5:$D$304,MATCH($A252,Bookings!$A$5:$A$304,0))="Cancelled","—",IF(INDEX(Bookings!$G$5:$G$304,MATCH($A252,Bookings!$A$5:$A$304,0))="","—",INDEX(Bookings!$G$5:$G$304,MATCH($A252,Bookings!$A$5:$A$304,0)))),"—")</f>
        <v>—</v>
      </c>
      <c r="E252" s="38" t="str">
        <f t="shared" ca="1" si="3"/>
        <v>—</v>
      </c>
      <c r="F252" s="39" t="str">
        <f>IF(OR(NOT(ISNUMBER($D252)),$B252="—",$B252=""),"—",IF(COUNTIFS(Bookings!$B$5:$B$304,$B252,Bookings!$F$5:$F$304,$D252)-COUNTIFS(Bookings!$B$5:$B$304,$B252,Bookings!$F$5:$F$304,$D252,Bookings!$D$5:$D$304,"Cancelled")-COUNTIFS(Bookings!$B$5:$B$304,$B252,Bookings!$F$5:$F$304,$D252,Bookings!$D$5:$D$304,"Owner block")&gt;0,"SAME-DAY TURN","No same-day guest"))</f>
        <v>—</v>
      </c>
      <c r="G252" s="38" t="str">
        <f>IFERROR(IF(INDEX(Bookings!$D$5:$D$304,MATCH($A252,Bookings!$A$5:$A$304,0))="Cancelled","—",IF(INDEX(Bookings!$I$5:$I$304,MATCH($A252,Bookings!$A$5:$A$304,0))="","—",INDEX(Bookings!$I$5:$I$304,MATCH($A252,Bookings!$A$5:$A$304,0)))),"—")</f>
        <v>—</v>
      </c>
      <c r="H252" s="38" t="str">
        <f>IFERROR(IF(INDEX(Setup!$I$25:$I$36,MATCH($B252,Setup!$A$25:$A$36,0))=0,"—",INDEX(Setup!$I$25:$I$36,MATCH($B252,Setup!$A$25:$A$36,0))),"—")</f>
        <v>—</v>
      </c>
      <c r="I252" s="21" t="str">
        <f>IFERROR(IF(INDEX(Setup!$E$25:$E$36,MATCH($B252,Setup!$A$25:$A$36,0))=0,"—",INDEX(Setup!$E$25:$E$36,MATCH($B252,Setup!$A$25:$A$36,0))),"—")</f>
        <v>—</v>
      </c>
      <c r="J252" s="8"/>
      <c r="K252" s="8"/>
      <c r="L252" s="8"/>
    </row>
    <row r="253" spans="1:12" x14ac:dyDescent="0.2">
      <c r="A253" s="30">
        <v>249</v>
      </c>
      <c r="B253" s="7" t="str">
        <f>IFERROR(IF(INDEX(Bookings!$D$5:$D$304,MATCH($A253,Bookings!$A$5:$A$304,0))="Cancelled","—",IF(INDEX(Bookings!$B$5:$B$304,MATCH($A253,Bookings!$A$5:$A$304,0))="","—",INDEX(Bookings!$B$5:$B$304,MATCH($A253,Bookings!$A$5:$A$304,0)))),"—")</f>
        <v>—</v>
      </c>
      <c r="C253" s="7" t="str">
        <f>IFERROR(IF(INDEX(Bookings!$D$5:$D$304,MATCH($A253,Bookings!$A$5:$A$304,0))="Cancelled","—",IF(INDEX(Bookings!$E$5:$E$304,MATCH($A253,Bookings!$A$5:$A$304,0))="","—",INDEX(Bookings!$E$5:$E$304,MATCH($A253,Bookings!$A$5:$A$304,0)))),"—")</f>
        <v>—</v>
      </c>
      <c r="D253" s="37" t="str">
        <f>IFERROR(IF(INDEX(Bookings!$D$5:$D$304,MATCH($A253,Bookings!$A$5:$A$304,0))="Cancelled","—",IF(INDEX(Bookings!$G$5:$G$304,MATCH($A253,Bookings!$A$5:$A$304,0))="","—",INDEX(Bookings!$G$5:$G$304,MATCH($A253,Bookings!$A$5:$A$304,0)))),"—")</f>
        <v>—</v>
      </c>
      <c r="E253" s="38" t="str">
        <f t="shared" ca="1" si="3"/>
        <v>—</v>
      </c>
      <c r="F253" s="39" t="str">
        <f>IF(OR(NOT(ISNUMBER($D253)),$B253="—",$B253=""),"—",IF(COUNTIFS(Bookings!$B$5:$B$304,$B253,Bookings!$F$5:$F$304,$D253)-COUNTIFS(Bookings!$B$5:$B$304,$B253,Bookings!$F$5:$F$304,$D253,Bookings!$D$5:$D$304,"Cancelled")-COUNTIFS(Bookings!$B$5:$B$304,$B253,Bookings!$F$5:$F$304,$D253,Bookings!$D$5:$D$304,"Owner block")&gt;0,"SAME-DAY TURN","No same-day guest"))</f>
        <v>—</v>
      </c>
      <c r="G253" s="38" t="str">
        <f>IFERROR(IF(INDEX(Bookings!$D$5:$D$304,MATCH($A253,Bookings!$A$5:$A$304,0))="Cancelled","—",IF(INDEX(Bookings!$I$5:$I$304,MATCH($A253,Bookings!$A$5:$A$304,0))="","—",INDEX(Bookings!$I$5:$I$304,MATCH($A253,Bookings!$A$5:$A$304,0)))),"—")</f>
        <v>—</v>
      </c>
      <c r="H253" s="38" t="str">
        <f>IFERROR(IF(INDEX(Setup!$I$25:$I$36,MATCH($B253,Setup!$A$25:$A$36,0))=0,"—",INDEX(Setup!$I$25:$I$36,MATCH($B253,Setup!$A$25:$A$36,0))),"—")</f>
        <v>—</v>
      </c>
      <c r="I253" s="21" t="str">
        <f>IFERROR(IF(INDEX(Setup!$E$25:$E$36,MATCH($B253,Setup!$A$25:$A$36,0))=0,"—",INDEX(Setup!$E$25:$E$36,MATCH($B253,Setup!$A$25:$A$36,0))),"—")</f>
        <v>—</v>
      </c>
      <c r="J253" s="3"/>
      <c r="K253" s="3"/>
      <c r="L253" s="3"/>
    </row>
    <row r="254" spans="1:12" x14ac:dyDescent="0.2">
      <c r="A254" s="30">
        <v>250</v>
      </c>
      <c r="B254" s="7" t="str">
        <f>IFERROR(IF(INDEX(Bookings!$D$5:$D$304,MATCH($A254,Bookings!$A$5:$A$304,0))="Cancelled","—",IF(INDEX(Bookings!$B$5:$B$304,MATCH($A254,Bookings!$A$5:$A$304,0))="","—",INDEX(Bookings!$B$5:$B$304,MATCH($A254,Bookings!$A$5:$A$304,0)))),"—")</f>
        <v>—</v>
      </c>
      <c r="C254" s="7" t="str">
        <f>IFERROR(IF(INDEX(Bookings!$D$5:$D$304,MATCH($A254,Bookings!$A$5:$A$304,0))="Cancelled","—",IF(INDEX(Bookings!$E$5:$E$304,MATCH($A254,Bookings!$A$5:$A$304,0))="","—",INDEX(Bookings!$E$5:$E$304,MATCH($A254,Bookings!$A$5:$A$304,0)))),"—")</f>
        <v>—</v>
      </c>
      <c r="D254" s="37" t="str">
        <f>IFERROR(IF(INDEX(Bookings!$D$5:$D$304,MATCH($A254,Bookings!$A$5:$A$304,0))="Cancelled","—",IF(INDEX(Bookings!$G$5:$G$304,MATCH($A254,Bookings!$A$5:$A$304,0))="","—",INDEX(Bookings!$G$5:$G$304,MATCH($A254,Bookings!$A$5:$A$304,0)))),"—")</f>
        <v>—</v>
      </c>
      <c r="E254" s="38" t="str">
        <f t="shared" ca="1" si="3"/>
        <v>—</v>
      </c>
      <c r="F254" s="39" t="str">
        <f>IF(OR(NOT(ISNUMBER($D254)),$B254="—",$B254=""),"—",IF(COUNTIFS(Bookings!$B$5:$B$304,$B254,Bookings!$F$5:$F$304,$D254)-COUNTIFS(Bookings!$B$5:$B$304,$B254,Bookings!$F$5:$F$304,$D254,Bookings!$D$5:$D$304,"Cancelled")-COUNTIFS(Bookings!$B$5:$B$304,$B254,Bookings!$F$5:$F$304,$D254,Bookings!$D$5:$D$304,"Owner block")&gt;0,"SAME-DAY TURN","No same-day guest"))</f>
        <v>—</v>
      </c>
      <c r="G254" s="38" t="str">
        <f>IFERROR(IF(INDEX(Bookings!$D$5:$D$304,MATCH($A254,Bookings!$A$5:$A$304,0))="Cancelled","—",IF(INDEX(Bookings!$I$5:$I$304,MATCH($A254,Bookings!$A$5:$A$304,0))="","—",INDEX(Bookings!$I$5:$I$304,MATCH($A254,Bookings!$A$5:$A$304,0)))),"—")</f>
        <v>—</v>
      </c>
      <c r="H254" s="38" t="str">
        <f>IFERROR(IF(INDEX(Setup!$I$25:$I$36,MATCH($B254,Setup!$A$25:$A$36,0))=0,"—",INDEX(Setup!$I$25:$I$36,MATCH($B254,Setup!$A$25:$A$36,0))),"—")</f>
        <v>—</v>
      </c>
      <c r="I254" s="21" t="str">
        <f>IFERROR(IF(INDEX(Setup!$E$25:$E$36,MATCH($B254,Setup!$A$25:$A$36,0))=0,"—",INDEX(Setup!$E$25:$E$36,MATCH($B254,Setup!$A$25:$A$36,0))),"—")</f>
        <v>—</v>
      </c>
      <c r="J254" s="8"/>
      <c r="K254" s="8"/>
      <c r="L254" s="8"/>
    </row>
    <row r="255" spans="1:12" x14ac:dyDescent="0.2">
      <c r="A255" s="30">
        <v>251</v>
      </c>
      <c r="B255" s="7" t="str">
        <f>IFERROR(IF(INDEX(Bookings!$D$5:$D$304,MATCH($A255,Bookings!$A$5:$A$304,0))="Cancelled","—",IF(INDEX(Bookings!$B$5:$B$304,MATCH($A255,Bookings!$A$5:$A$304,0))="","—",INDEX(Bookings!$B$5:$B$304,MATCH($A255,Bookings!$A$5:$A$304,0)))),"—")</f>
        <v>—</v>
      </c>
      <c r="C255" s="7" t="str">
        <f>IFERROR(IF(INDEX(Bookings!$D$5:$D$304,MATCH($A255,Bookings!$A$5:$A$304,0))="Cancelled","—",IF(INDEX(Bookings!$E$5:$E$304,MATCH($A255,Bookings!$A$5:$A$304,0))="","—",INDEX(Bookings!$E$5:$E$304,MATCH($A255,Bookings!$A$5:$A$304,0)))),"—")</f>
        <v>—</v>
      </c>
      <c r="D255" s="37" t="str">
        <f>IFERROR(IF(INDEX(Bookings!$D$5:$D$304,MATCH($A255,Bookings!$A$5:$A$304,0))="Cancelled","—",IF(INDEX(Bookings!$G$5:$G$304,MATCH($A255,Bookings!$A$5:$A$304,0))="","—",INDEX(Bookings!$G$5:$G$304,MATCH($A255,Bookings!$A$5:$A$304,0)))),"—")</f>
        <v>—</v>
      </c>
      <c r="E255" s="38" t="str">
        <f t="shared" ca="1" si="3"/>
        <v>—</v>
      </c>
      <c r="F255" s="39" t="str">
        <f>IF(OR(NOT(ISNUMBER($D255)),$B255="—",$B255=""),"—",IF(COUNTIFS(Bookings!$B$5:$B$304,$B255,Bookings!$F$5:$F$304,$D255)-COUNTIFS(Bookings!$B$5:$B$304,$B255,Bookings!$F$5:$F$304,$D255,Bookings!$D$5:$D$304,"Cancelled")-COUNTIFS(Bookings!$B$5:$B$304,$B255,Bookings!$F$5:$F$304,$D255,Bookings!$D$5:$D$304,"Owner block")&gt;0,"SAME-DAY TURN","No same-day guest"))</f>
        <v>—</v>
      </c>
      <c r="G255" s="38" t="str">
        <f>IFERROR(IF(INDEX(Bookings!$D$5:$D$304,MATCH($A255,Bookings!$A$5:$A$304,0))="Cancelled","—",IF(INDEX(Bookings!$I$5:$I$304,MATCH($A255,Bookings!$A$5:$A$304,0))="","—",INDEX(Bookings!$I$5:$I$304,MATCH($A255,Bookings!$A$5:$A$304,0)))),"—")</f>
        <v>—</v>
      </c>
      <c r="H255" s="38" t="str">
        <f>IFERROR(IF(INDEX(Setup!$I$25:$I$36,MATCH($B255,Setup!$A$25:$A$36,0))=0,"—",INDEX(Setup!$I$25:$I$36,MATCH($B255,Setup!$A$25:$A$36,0))),"—")</f>
        <v>—</v>
      </c>
      <c r="I255" s="21" t="str">
        <f>IFERROR(IF(INDEX(Setup!$E$25:$E$36,MATCH($B255,Setup!$A$25:$A$36,0))=0,"—",INDEX(Setup!$E$25:$E$36,MATCH($B255,Setup!$A$25:$A$36,0))),"—")</f>
        <v>—</v>
      </c>
      <c r="J255" s="3"/>
      <c r="K255" s="3"/>
      <c r="L255" s="3"/>
    </row>
    <row r="256" spans="1:12" x14ac:dyDescent="0.2">
      <c r="A256" s="30">
        <v>252</v>
      </c>
      <c r="B256" s="7" t="str">
        <f>IFERROR(IF(INDEX(Bookings!$D$5:$D$304,MATCH($A256,Bookings!$A$5:$A$304,0))="Cancelled","—",IF(INDEX(Bookings!$B$5:$B$304,MATCH($A256,Bookings!$A$5:$A$304,0))="","—",INDEX(Bookings!$B$5:$B$304,MATCH($A256,Bookings!$A$5:$A$304,0)))),"—")</f>
        <v>—</v>
      </c>
      <c r="C256" s="7" t="str">
        <f>IFERROR(IF(INDEX(Bookings!$D$5:$D$304,MATCH($A256,Bookings!$A$5:$A$304,0))="Cancelled","—",IF(INDEX(Bookings!$E$5:$E$304,MATCH($A256,Bookings!$A$5:$A$304,0))="","—",INDEX(Bookings!$E$5:$E$304,MATCH($A256,Bookings!$A$5:$A$304,0)))),"—")</f>
        <v>—</v>
      </c>
      <c r="D256" s="37" t="str">
        <f>IFERROR(IF(INDEX(Bookings!$D$5:$D$304,MATCH($A256,Bookings!$A$5:$A$304,0))="Cancelled","—",IF(INDEX(Bookings!$G$5:$G$304,MATCH($A256,Bookings!$A$5:$A$304,0))="","—",INDEX(Bookings!$G$5:$G$304,MATCH($A256,Bookings!$A$5:$A$304,0)))),"—")</f>
        <v>—</v>
      </c>
      <c r="E256" s="38" t="str">
        <f t="shared" ca="1" si="3"/>
        <v>—</v>
      </c>
      <c r="F256" s="39" t="str">
        <f>IF(OR(NOT(ISNUMBER($D256)),$B256="—",$B256=""),"—",IF(COUNTIFS(Bookings!$B$5:$B$304,$B256,Bookings!$F$5:$F$304,$D256)-COUNTIFS(Bookings!$B$5:$B$304,$B256,Bookings!$F$5:$F$304,$D256,Bookings!$D$5:$D$304,"Cancelled")-COUNTIFS(Bookings!$B$5:$B$304,$B256,Bookings!$F$5:$F$304,$D256,Bookings!$D$5:$D$304,"Owner block")&gt;0,"SAME-DAY TURN","No same-day guest"))</f>
        <v>—</v>
      </c>
      <c r="G256" s="38" t="str">
        <f>IFERROR(IF(INDEX(Bookings!$D$5:$D$304,MATCH($A256,Bookings!$A$5:$A$304,0))="Cancelled","—",IF(INDEX(Bookings!$I$5:$I$304,MATCH($A256,Bookings!$A$5:$A$304,0))="","—",INDEX(Bookings!$I$5:$I$304,MATCH($A256,Bookings!$A$5:$A$304,0)))),"—")</f>
        <v>—</v>
      </c>
      <c r="H256" s="38" t="str">
        <f>IFERROR(IF(INDEX(Setup!$I$25:$I$36,MATCH($B256,Setup!$A$25:$A$36,0))=0,"—",INDEX(Setup!$I$25:$I$36,MATCH($B256,Setup!$A$25:$A$36,0))),"—")</f>
        <v>—</v>
      </c>
      <c r="I256" s="21" t="str">
        <f>IFERROR(IF(INDEX(Setup!$E$25:$E$36,MATCH($B256,Setup!$A$25:$A$36,0))=0,"—",INDEX(Setup!$E$25:$E$36,MATCH($B256,Setup!$A$25:$A$36,0))),"—")</f>
        <v>—</v>
      </c>
      <c r="J256" s="8"/>
      <c r="K256" s="8"/>
      <c r="L256" s="8"/>
    </row>
    <row r="257" spans="1:12" x14ac:dyDescent="0.2">
      <c r="A257" s="30">
        <v>253</v>
      </c>
      <c r="B257" s="7" t="str">
        <f>IFERROR(IF(INDEX(Bookings!$D$5:$D$304,MATCH($A257,Bookings!$A$5:$A$304,0))="Cancelled","—",IF(INDEX(Bookings!$B$5:$B$304,MATCH($A257,Bookings!$A$5:$A$304,0))="","—",INDEX(Bookings!$B$5:$B$304,MATCH($A257,Bookings!$A$5:$A$304,0)))),"—")</f>
        <v>—</v>
      </c>
      <c r="C257" s="7" t="str">
        <f>IFERROR(IF(INDEX(Bookings!$D$5:$D$304,MATCH($A257,Bookings!$A$5:$A$304,0))="Cancelled","—",IF(INDEX(Bookings!$E$5:$E$304,MATCH($A257,Bookings!$A$5:$A$304,0))="","—",INDEX(Bookings!$E$5:$E$304,MATCH($A257,Bookings!$A$5:$A$304,0)))),"—")</f>
        <v>—</v>
      </c>
      <c r="D257" s="37" t="str">
        <f>IFERROR(IF(INDEX(Bookings!$D$5:$D$304,MATCH($A257,Bookings!$A$5:$A$304,0))="Cancelled","—",IF(INDEX(Bookings!$G$5:$G$304,MATCH($A257,Bookings!$A$5:$A$304,0))="","—",INDEX(Bookings!$G$5:$G$304,MATCH($A257,Bookings!$A$5:$A$304,0)))),"—")</f>
        <v>—</v>
      </c>
      <c r="E257" s="38" t="str">
        <f t="shared" ca="1" si="3"/>
        <v>—</v>
      </c>
      <c r="F257" s="39" t="str">
        <f>IF(OR(NOT(ISNUMBER($D257)),$B257="—",$B257=""),"—",IF(COUNTIFS(Bookings!$B$5:$B$304,$B257,Bookings!$F$5:$F$304,$D257)-COUNTIFS(Bookings!$B$5:$B$304,$B257,Bookings!$F$5:$F$304,$D257,Bookings!$D$5:$D$304,"Cancelled")-COUNTIFS(Bookings!$B$5:$B$304,$B257,Bookings!$F$5:$F$304,$D257,Bookings!$D$5:$D$304,"Owner block")&gt;0,"SAME-DAY TURN","No same-day guest"))</f>
        <v>—</v>
      </c>
      <c r="G257" s="38" t="str">
        <f>IFERROR(IF(INDEX(Bookings!$D$5:$D$304,MATCH($A257,Bookings!$A$5:$A$304,0))="Cancelled","—",IF(INDEX(Bookings!$I$5:$I$304,MATCH($A257,Bookings!$A$5:$A$304,0))="","—",INDEX(Bookings!$I$5:$I$304,MATCH($A257,Bookings!$A$5:$A$304,0)))),"—")</f>
        <v>—</v>
      </c>
      <c r="H257" s="38" t="str">
        <f>IFERROR(IF(INDEX(Setup!$I$25:$I$36,MATCH($B257,Setup!$A$25:$A$36,0))=0,"—",INDEX(Setup!$I$25:$I$36,MATCH($B257,Setup!$A$25:$A$36,0))),"—")</f>
        <v>—</v>
      </c>
      <c r="I257" s="21" t="str">
        <f>IFERROR(IF(INDEX(Setup!$E$25:$E$36,MATCH($B257,Setup!$A$25:$A$36,0))=0,"—",INDEX(Setup!$E$25:$E$36,MATCH($B257,Setup!$A$25:$A$36,0))),"—")</f>
        <v>—</v>
      </c>
      <c r="J257" s="3"/>
      <c r="K257" s="3"/>
      <c r="L257" s="3"/>
    </row>
    <row r="258" spans="1:12" x14ac:dyDescent="0.2">
      <c r="A258" s="30">
        <v>254</v>
      </c>
      <c r="B258" s="7" t="str">
        <f>IFERROR(IF(INDEX(Bookings!$D$5:$D$304,MATCH($A258,Bookings!$A$5:$A$304,0))="Cancelled","—",IF(INDEX(Bookings!$B$5:$B$304,MATCH($A258,Bookings!$A$5:$A$304,0))="","—",INDEX(Bookings!$B$5:$B$304,MATCH($A258,Bookings!$A$5:$A$304,0)))),"—")</f>
        <v>—</v>
      </c>
      <c r="C258" s="7" t="str">
        <f>IFERROR(IF(INDEX(Bookings!$D$5:$D$304,MATCH($A258,Bookings!$A$5:$A$304,0))="Cancelled","—",IF(INDEX(Bookings!$E$5:$E$304,MATCH($A258,Bookings!$A$5:$A$304,0))="","—",INDEX(Bookings!$E$5:$E$304,MATCH($A258,Bookings!$A$5:$A$304,0)))),"—")</f>
        <v>—</v>
      </c>
      <c r="D258" s="37" t="str">
        <f>IFERROR(IF(INDEX(Bookings!$D$5:$D$304,MATCH($A258,Bookings!$A$5:$A$304,0))="Cancelled","—",IF(INDEX(Bookings!$G$5:$G$304,MATCH($A258,Bookings!$A$5:$A$304,0))="","—",INDEX(Bookings!$G$5:$G$304,MATCH($A258,Bookings!$A$5:$A$304,0)))),"—")</f>
        <v>—</v>
      </c>
      <c r="E258" s="38" t="str">
        <f t="shared" ca="1" si="3"/>
        <v>—</v>
      </c>
      <c r="F258" s="39" t="str">
        <f>IF(OR(NOT(ISNUMBER($D258)),$B258="—",$B258=""),"—",IF(COUNTIFS(Bookings!$B$5:$B$304,$B258,Bookings!$F$5:$F$304,$D258)-COUNTIFS(Bookings!$B$5:$B$304,$B258,Bookings!$F$5:$F$304,$D258,Bookings!$D$5:$D$304,"Cancelled")-COUNTIFS(Bookings!$B$5:$B$304,$B258,Bookings!$F$5:$F$304,$D258,Bookings!$D$5:$D$304,"Owner block")&gt;0,"SAME-DAY TURN","No same-day guest"))</f>
        <v>—</v>
      </c>
      <c r="G258" s="38" t="str">
        <f>IFERROR(IF(INDEX(Bookings!$D$5:$D$304,MATCH($A258,Bookings!$A$5:$A$304,0))="Cancelled","—",IF(INDEX(Bookings!$I$5:$I$304,MATCH($A258,Bookings!$A$5:$A$304,0))="","—",INDEX(Bookings!$I$5:$I$304,MATCH($A258,Bookings!$A$5:$A$304,0)))),"—")</f>
        <v>—</v>
      </c>
      <c r="H258" s="38" t="str">
        <f>IFERROR(IF(INDEX(Setup!$I$25:$I$36,MATCH($B258,Setup!$A$25:$A$36,0))=0,"—",INDEX(Setup!$I$25:$I$36,MATCH($B258,Setup!$A$25:$A$36,0))),"—")</f>
        <v>—</v>
      </c>
      <c r="I258" s="21" t="str">
        <f>IFERROR(IF(INDEX(Setup!$E$25:$E$36,MATCH($B258,Setup!$A$25:$A$36,0))=0,"—",INDEX(Setup!$E$25:$E$36,MATCH($B258,Setup!$A$25:$A$36,0))),"—")</f>
        <v>—</v>
      </c>
      <c r="J258" s="8"/>
      <c r="K258" s="8"/>
      <c r="L258" s="8"/>
    </row>
    <row r="259" spans="1:12" x14ac:dyDescent="0.2">
      <c r="A259" s="30">
        <v>255</v>
      </c>
      <c r="B259" s="7" t="str">
        <f>IFERROR(IF(INDEX(Bookings!$D$5:$D$304,MATCH($A259,Bookings!$A$5:$A$304,0))="Cancelled","—",IF(INDEX(Bookings!$B$5:$B$304,MATCH($A259,Bookings!$A$5:$A$304,0))="","—",INDEX(Bookings!$B$5:$B$304,MATCH($A259,Bookings!$A$5:$A$304,0)))),"—")</f>
        <v>—</v>
      </c>
      <c r="C259" s="7" t="str">
        <f>IFERROR(IF(INDEX(Bookings!$D$5:$D$304,MATCH($A259,Bookings!$A$5:$A$304,0))="Cancelled","—",IF(INDEX(Bookings!$E$5:$E$304,MATCH($A259,Bookings!$A$5:$A$304,0))="","—",INDEX(Bookings!$E$5:$E$304,MATCH($A259,Bookings!$A$5:$A$304,0)))),"—")</f>
        <v>—</v>
      </c>
      <c r="D259" s="37" t="str">
        <f>IFERROR(IF(INDEX(Bookings!$D$5:$D$304,MATCH($A259,Bookings!$A$5:$A$304,0))="Cancelled","—",IF(INDEX(Bookings!$G$5:$G$304,MATCH($A259,Bookings!$A$5:$A$304,0))="","—",INDEX(Bookings!$G$5:$G$304,MATCH($A259,Bookings!$A$5:$A$304,0)))),"—")</f>
        <v>—</v>
      </c>
      <c r="E259" s="38" t="str">
        <f t="shared" ca="1" si="3"/>
        <v>—</v>
      </c>
      <c r="F259" s="39" t="str">
        <f>IF(OR(NOT(ISNUMBER($D259)),$B259="—",$B259=""),"—",IF(COUNTIFS(Bookings!$B$5:$B$304,$B259,Bookings!$F$5:$F$304,$D259)-COUNTIFS(Bookings!$B$5:$B$304,$B259,Bookings!$F$5:$F$304,$D259,Bookings!$D$5:$D$304,"Cancelled")-COUNTIFS(Bookings!$B$5:$B$304,$B259,Bookings!$F$5:$F$304,$D259,Bookings!$D$5:$D$304,"Owner block")&gt;0,"SAME-DAY TURN","No same-day guest"))</f>
        <v>—</v>
      </c>
      <c r="G259" s="38" t="str">
        <f>IFERROR(IF(INDEX(Bookings!$D$5:$D$304,MATCH($A259,Bookings!$A$5:$A$304,0))="Cancelled","—",IF(INDEX(Bookings!$I$5:$I$304,MATCH($A259,Bookings!$A$5:$A$304,0))="","—",INDEX(Bookings!$I$5:$I$304,MATCH($A259,Bookings!$A$5:$A$304,0)))),"—")</f>
        <v>—</v>
      </c>
      <c r="H259" s="38" t="str">
        <f>IFERROR(IF(INDEX(Setup!$I$25:$I$36,MATCH($B259,Setup!$A$25:$A$36,0))=0,"—",INDEX(Setup!$I$25:$I$36,MATCH($B259,Setup!$A$25:$A$36,0))),"—")</f>
        <v>—</v>
      </c>
      <c r="I259" s="21" t="str">
        <f>IFERROR(IF(INDEX(Setup!$E$25:$E$36,MATCH($B259,Setup!$A$25:$A$36,0))=0,"—",INDEX(Setup!$E$25:$E$36,MATCH($B259,Setup!$A$25:$A$36,0))),"—")</f>
        <v>—</v>
      </c>
      <c r="J259" s="3"/>
      <c r="K259" s="3"/>
      <c r="L259" s="3"/>
    </row>
    <row r="260" spans="1:12" x14ac:dyDescent="0.2">
      <c r="A260" s="30">
        <v>256</v>
      </c>
      <c r="B260" s="7" t="str">
        <f>IFERROR(IF(INDEX(Bookings!$D$5:$D$304,MATCH($A260,Bookings!$A$5:$A$304,0))="Cancelled","—",IF(INDEX(Bookings!$B$5:$B$304,MATCH($A260,Bookings!$A$5:$A$304,0))="","—",INDEX(Bookings!$B$5:$B$304,MATCH($A260,Bookings!$A$5:$A$304,0)))),"—")</f>
        <v>—</v>
      </c>
      <c r="C260" s="7" t="str">
        <f>IFERROR(IF(INDEX(Bookings!$D$5:$D$304,MATCH($A260,Bookings!$A$5:$A$304,0))="Cancelled","—",IF(INDEX(Bookings!$E$5:$E$304,MATCH($A260,Bookings!$A$5:$A$304,0))="","—",INDEX(Bookings!$E$5:$E$304,MATCH($A260,Bookings!$A$5:$A$304,0)))),"—")</f>
        <v>—</v>
      </c>
      <c r="D260" s="37" t="str">
        <f>IFERROR(IF(INDEX(Bookings!$D$5:$D$304,MATCH($A260,Bookings!$A$5:$A$304,0))="Cancelled","—",IF(INDEX(Bookings!$G$5:$G$304,MATCH($A260,Bookings!$A$5:$A$304,0))="","—",INDEX(Bookings!$G$5:$G$304,MATCH($A260,Bookings!$A$5:$A$304,0)))),"—")</f>
        <v>—</v>
      </c>
      <c r="E260" s="38" t="str">
        <f t="shared" ca="1" si="3"/>
        <v>—</v>
      </c>
      <c r="F260" s="39" t="str">
        <f>IF(OR(NOT(ISNUMBER($D260)),$B260="—",$B260=""),"—",IF(COUNTIFS(Bookings!$B$5:$B$304,$B260,Bookings!$F$5:$F$304,$D260)-COUNTIFS(Bookings!$B$5:$B$304,$B260,Bookings!$F$5:$F$304,$D260,Bookings!$D$5:$D$304,"Cancelled")-COUNTIFS(Bookings!$B$5:$B$304,$B260,Bookings!$F$5:$F$304,$D260,Bookings!$D$5:$D$304,"Owner block")&gt;0,"SAME-DAY TURN","No same-day guest"))</f>
        <v>—</v>
      </c>
      <c r="G260" s="38" t="str">
        <f>IFERROR(IF(INDEX(Bookings!$D$5:$D$304,MATCH($A260,Bookings!$A$5:$A$304,0))="Cancelled","—",IF(INDEX(Bookings!$I$5:$I$304,MATCH($A260,Bookings!$A$5:$A$304,0))="","—",INDEX(Bookings!$I$5:$I$304,MATCH($A260,Bookings!$A$5:$A$304,0)))),"—")</f>
        <v>—</v>
      </c>
      <c r="H260" s="38" t="str">
        <f>IFERROR(IF(INDEX(Setup!$I$25:$I$36,MATCH($B260,Setup!$A$25:$A$36,0))=0,"—",INDEX(Setup!$I$25:$I$36,MATCH($B260,Setup!$A$25:$A$36,0))),"—")</f>
        <v>—</v>
      </c>
      <c r="I260" s="21" t="str">
        <f>IFERROR(IF(INDEX(Setup!$E$25:$E$36,MATCH($B260,Setup!$A$25:$A$36,0))=0,"—",INDEX(Setup!$E$25:$E$36,MATCH($B260,Setup!$A$25:$A$36,0))),"—")</f>
        <v>—</v>
      </c>
      <c r="J260" s="8"/>
      <c r="K260" s="8"/>
      <c r="L260" s="8"/>
    </row>
    <row r="261" spans="1:12" x14ac:dyDescent="0.2">
      <c r="A261" s="30">
        <v>257</v>
      </c>
      <c r="B261" s="7" t="str">
        <f>IFERROR(IF(INDEX(Bookings!$D$5:$D$304,MATCH($A261,Bookings!$A$5:$A$304,0))="Cancelled","—",IF(INDEX(Bookings!$B$5:$B$304,MATCH($A261,Bookings!$A$5:$A$304,0))="","—",INDEX(Bookings!$B$5:$B$304,MATCH($A261,Bookings!$A$5:$A$304,0)))),"—")</f>
        <v>—</v>
      </c>
      <c r="C261" s="7" t="str">
        <f>IFERROR(IF(INDEX(Bookings!$D$5:$D$304,MATCH($A261,Bookings!$A$5:$A$304,0))="Cancelled","—",IF(INDEX(Bookings!$E$5:$E$304,MATCH($A261,Bookings!$A$5:$A$304,0))="","—",INDEX(Bookings!$E$5:$E$304,MATCH($A261,Bookings!$A$5:$A$304,0)))),"—")</f>
        <v>—</v>
      </c>
      <c r="D261" s="37" t="str">
        <f>IFERROR(IF(INDEX(Bookings!$D$5:$D$304,MATCH($A261,Bookings!$A$5:$A$304,0))="Cancelled","—",IF(INDEX(Bookings!$G$5:$G$304,MATCH($A261,Bookings!$A$5:$A$304,0))="","—",INDEX(Bookings!$G$5:$G$304,MATCH($A261,Bookings!$A$5:$A$304,0)))),"—")</f>
        <v>—</v>
      </c>
      <c r="E261" s="38" t="str">
        <f t="shared" ref="E261:E304" ca="1" si="4">IF(NOT(ISNUMBER($D261)),"—",IF($D261&lt;TODAY(),"Past",IF($D261=TODAY(),"TODAY",$D261-TODAY())))</f>
        <v>—</v>
      </c>
      <c r="F261" s="39" t="str">
        <f>IF(OR(NOT(ISNUMBER($D261)),$B261="—",$B261=""),"—",IF(COUNTIFS(Bookings!$B$5:$B$304,$B261,Bookings!$F$5:$F$304,$D261)-COUNTIFS(Bookings!$B$5:$B$304,$B261,Bookings!$F$5:$F$304,$D261,Bookings!$D$5:$D$304,"Cancelled")-COUNTIFS(Bookings!$B$5:$B$304,$B261,Bookings!$F$5:$F$304,$D261,Bookings!$D$5:$D$304,"Owner block")&gt;0,"SAME-DAY TURN","No same-day guest"))</f>
        <v>—</v>
      </c>
      <c r="G261" s="38" t="str">
        <f>IFERROR(IF(INDEX(Bookings!$D$5:$D$304,MATCH($A261,Bookings!$A$5:$A$304,0))="Cancelled","—",IF(INDEX(Bookings!$I$5:$I$304,MATCH($A261,Bookings!$A$5:$A$304,0))="","—",INDEX(Bookings!$I$5:$I$304,MATCH($A261,Bookings!$A$5:$A$304,0)))),"—")</f>
        <v>—</v>
      </c>
      <c r="H261" s="38" t="str">
        <f>IFERROR(IF(INDEX(Setup!$I$25:$I$36,MATCH($B261,Setup!$A$25:$A$36,0))=0,"—",INDEX(Setup!$I$25:$I$36,MATCH($B261,Setup!$A$25:$A$36,0))),"—")</f>
        <v>—</v>
      </c>
      <c r="I261" s="21" t="str">
        <f>IFERROR(IF(INDEX(Setup!$E$25:$E$36,MATCH($B261,Setup!$A$25:$A$36,0))=0,"—",INDEX(Setup!$E$25:$E$36,MATCH($B261,Setup!$A$25:$A$36,0))),"—")</f>
        <v>—</v>
      </c>
      <c r="J261" s="3"/>
      <c r="K261" s="3"/>
      <c r="L261" s="3"/>
    </row>
    <row r="262" spans="1:12" x14ac:dyDescent="0.2">
      <c r="A262" s="30">
        <v>258</v>
      </c>
      <c r="B262" s="7" t="str">
        <f>IFERROR(IF(INDEX(Bookings!$D$5:$D$304,MATCH($A262,Bookings!$A$5:$A$304,0))="Cancelled","—",IF(INDEX(Bookings!$B$5:$B$304,MATCH($A262,Bookings!$A$5:$A$304,0))="","—",INDEX(Bookings!$B$5:$B$304,MATCH($A262,Bookings!$A$5:$A$304,0)))),"—")</f>
        <v>—</v>
      </c>
      <c r="C262" s="7" t="str">
        <f>IFERROR(IF(INDEX(Bookings!$D$5:$D$304,MATCH($A262,Bookings!$A$5:$A$304,0))="Cancelled","—",IF(INDEX(Bookings!$E$5:$E$304,MATCH($A262,Bookings!$A$5:$A$304,0))="","—",INDEX(Bookings!$E$5:$E$304,MATCH($A262,Bookings!$A$5:$A$304,0)))),"—")</f>
        <v>—</v>
      </c>
      <c r="D262" s="37" t="str">
        <f>IFERROR(IF(INDEX(Bookings!$D$5:$D$304,MATCH($A262,Bookings!$A$5:$A$304,0))="Cancelled","—",IF(INDEX(Bookings!$G$5:$G$304,MATCH($A262,Bookings!$A$5:$A$304,0))="","—",INDEX(Bookings!$G$5:$G$304,MATCH($A262,Bookings!$A$5:$A$304,0)))),"—")</f>
        <v>—</v>
      </c>
      <c r="E262" s="38" t="str">
        <f t="shared" ca="1" si="4"/>
        <v>—</v>
      </c>
      <c r="F262" s="39" t="str">
        <f>IF(OR(NOT(ISNUMBER($D262)),$B262="—",$B262=""),"—",IF(COUNTIFS(Bookings!$B$5:$B$304,$B262,Bookings!$F$5:$F$304,$D262)-COUNTIFS(Bookings!$B$5:$B$304,$B262,Bookings!$F$5:$F$304,$D262,Bookings!$D$5:$D$304,"Cancelled")-COUNTIFS(Bookings!$B$5:$B$304,$B262,Bookings!$F$5:$F$304,$D262,Bookings!$D$5:$D$304,"Owner block")&gt;0,"SAME-DAY TURN","No same-day guest"))</f>
        <v>—</v>
      </c>
      <c r="G262" s="38" t="str">
        <f>IFERROR(IF(INDEX(Bookings!$D$5:$D$304,MATCH($A262,Bookings!$A$5:$A$304,0))="Cancelled","—",IF(INDEX(Bookings!$I$5:$I$304,MATCH($A262,Bookings!$A$5:$A$304,0))="","—",INDEX(Bookings!$I$5:$I$304,MATCH($A262,Bookings!$A$5:$A$304,0)))),"—")</f>
        <v>—</v>
      </c>
      <c r="H262" s="38" t="str">
        <f>IFERROR(IF(INDEX(Setup!$I$25:$I$36,MATCH($B262,Setup!$A$25:$A$36,0))=0,"—",INDEX(Setup!$I$25:$I$36,MATCH($B262,Setup!$A$25:$A$36,0))),"—")</f>
        <v>—</v>
      </c>
      <c r="I262" s="21" t="str">
        <f>IFERROR(IF(INDEX(Setup!$E$25:$E$36,MATCH($B262,Setup!$A$25:$A$36,0))=0,"—",INDEX(Setup!$E$25:$E$36,MATCH($B262,Setup!$A$25:$A$36,0))),"—")</f>
        <v>—</v>
      </c>
      <c r="J262" s="8"/>
      <c r="K262" s="8"/>
      <c r="L262" s="8"/>
    </row>
    <row r="263" spans="1:12" x14ac:dyDescent="0.2">
      <c r="A263" s="30">
        <v>259</v>
      </c>
      <c r="B263" s="7" t="str">
        <f>IFERROR(IF(INDEX(Bookings!$D$5:$D$304,MATCH($A263,Bookings!$A$5:$A$304,0))="Cancelled","—",IF(INDEX(Bookings!$B$5:$B$304,MATCH($A263,Bookings!$A$5:$A$304,0))="","—",INDEX(Bookings!$B$5:$B$304,MATCH($A263,Bookings!$A$5:$A$304,0)))),"—")</f>
        <v>—</v>
      </c>
      <c r="C263" s="7" t="str">
        <f>IFERROR(IF(INDEX(Bookings!$D$5:$D$304,MATCH($A263,Bookings!$A$5:$A$304,0))="Cancelled","—",IF(INDEX(Bookings!$E$5:$E$304,MATCH($A263,Bookings!$A$5:$A$304,0))="","—",INDEX(Bookings!$E$5:$E$304,MATCH($A263,Bookings!$A$5:$A$304,0)))),"—")</f>
        <v>—</v>
      </c>
      <c r="D263" s="37" t="str">
        <f>IFERROR(IF(INDEX(Bookings!$D$5:$D$304,MATCH($A263,Bookings!$A$5:$A$304,0))="Cancelled","—",IF(INDEX(Bookings!$G$5:$G$304,MATCH($A263,Bookings!$A$5:$A$304,0))="","—",INDEX(Bookings!$G$5:$G$304,MATCH($A263,Bookings!$A$5:$A$304,0)))),"—")</f>
        <v>—</v>
      </c>
      <c r="E263" s="38" t="str">
        <f t="shared" ca="1" si="4"/>
        <v>—</v>
      </c>
      <c r="F263" s="39" t="str">
        <f>IF(OR(NOT(ISNUMBER($D263)),$B263="—",$B263=""),"—",IF(COUNTIFS(Bookings!$B$5:$B$304,$B263,Bookings!$F$5:$F$304,$D263)-COUNTIFS(Bookings!$B$5:$B$304,$B263,Bookings!$F$5:$F$304,$D263,Bookings!$D$5:$D$304,"Cancelled")-COUNTIFS(Bookings!$B$5:$B$304,$B263,Bookings!$F$5:$F$304,$D263,Bookings!$D$5:$D$304,"Owner block")&gt;0,"SAME-DAY TURN","No same-day guest"))</f>
        <v>—</v>
      </c>
      <c r="G263" s="38" t="str">
        <f>IFERROR(IF(INDEX(Bookings!$D$5:$D$304,MATCH($A263,Bookings!$A$5:$A$304,0))="Cancelled","—",IF(INDEX(Bookings!$I$5:$I$304,MATCH($A263,Bookings!$A$5:$A$304,0))="","—",INDEX(Bookings!$I$5:$I$304,MATCH($A263,Bookings!$A$5:$A$304,0)))),"—")</f>
        <v>—</v>
      </c>
      <c r="H263" s="38" t="str">
        <f>IFERROR(IF(INDEX(Setup!$I$25:$I$36,MATCH($B263,Setup!$A$25:$A$36,0))=0,"—",INDEX(Setup!$I$25:$I$36,MATCH($B263,Setup!$A$25:$A$36,0))),"—")</f>
        <v>—</v>
      </c>
      <c r="I263" s="21" t="str">
        <f>IFERROR(IF(INDEX(Setup!$E$25:$E$36,MATCH($B263,Setup!$A$25:$A$36,0))=0,"—",INDEX(Setup!$E$25:$E$36,MATCH($B263,Setup!$A$25:$A$36,0))),"—")</f>
        <v>—</v>
      </c>
      <c r="J263" s="3"/>
      <c r="K263" s="3"/>
      <c r="L263" s="3"/>
    </row>
    <row r="264" spans="1:12" x14ac:dyDescent="0.2">
      <c r="A264" s="30">
        <v>260</v>
      </c>
      <c r="B264" s="7" t="str">
        <f>IFERROR(IF(INDEX(Bookings!$D$5:$D$304,MATCH($A264,Bookings!$A$5:$A$304,0))="Cancelled","—",IF(INDEX(Bookings!$B$5:$B$304,MATCH($A264,Bookings!$A$5:$A$304,0))="","—",INDEX(Bookings!$B$5:$B$304,MATCH($A264,Bookings!$A$5:$A$304,0)))),"—")</f>
        <v>—</v>
      </c>
      <c r="C264" s="7" t="str">
        <f>IFERROR(IF(INDEX(Bookings!$D$5:$D$304,MATCH($A264,Bookings!$A$5:$A$304,0))="Cancelled","—",IF(INDEX(Bookings!$E$5:$E$304,MATCH($A264,Bookings!$A$5:$A$304,0))="","—",INDEX(Bookings!$E$5:$E$304,MATCH($A264,Bookings!$A$5:$A$304,0)))),"—")</f>
        <v>—</v>
      </c>
      <c r="D264" s="37" t="str">
        <f>IFERROR(IF(INDEX(Bookings!$D$5:$D$304,MATCH($A264,Bookings!$A$5:$A$304,0))="Cancelled","—",IF(INDEX(Bookings!$G$5:$G$304,MATCH($A264,Bookings!$A$5:$A$304,0))="","—",INDEX(Bookings!$G$5:$G$304,MATCH($A264,Bookings!$A$5:$A$304,0)))),"—")</f>
        <v>—</v>
      </c>
      <c r="E264" s="38" t="str">
        <f t="shared" ca="1" si="4"/>
        <v>—</v>
      </c>
      <c r="F264" s="39" t="str">
        <f>IF(OR(NOT(ISNUMBER($D264)),$B264="—",$B264=""),"—",IF(COUNTIFS(Bookings!$B$5:$B$304,$B264,Bookings!$F$5:$F$304,$D264)-COUNTIFS(Bookings!$B$5:$B$304,$B264,Bookings!$F$5:$F$304,$D264,Bookings!$D$5:$D$304,"Cancelled")-COUNTIFS(Bookings!$B$5:$B$304,$B264,Bookings!$F$5:$F$304,$D264,Bookings!$D$5:$D$304,"Owner block")&gt;0,"SAME-DAY TURN","No same-day guest"))</f>
        <v>—</v>
      </c>
      <c r="G264" s="38" t="str">
        <f>IFERROR(IF(INDEX(Bookings!$D$5:$D$304,MATCH($A264,Bookings!$A$5:$A$304,0))="Cancelled","—",IF(INDEX(Bookings!$I$5:$I$304,MATCH($A264,Bookings!$A$5:$A$304,0))="","—",INDEX(Bookings!$I$5:$I$304,MATCH($A264,Bookings!$A$5:$A$304,0)))),"—")</f>
        <v>—</v>
      </c>
      <c r="H264" s="38" t="str">
        <f>IFERROR(IF(INDEX(Setup!$I$25:$I$36,MATCH($B264,Setup!$A$25:$A$36,0))=0,"—",INDEX(Setup!$I$25:$I$36,MATCH($B264,Setup!$A$25:$A$36,0))),"—")</f>
        <v>—</v>
      </c>
      <c r="I264" s="21" t="str">
        <f>IFERROR(IF(INDEX(Setup!$E$25:$E$36,MATCH($B264,Setup!$A$25:$A$36,0))=0,"—",INDEX(Setup!$E$25:$E$36,MATCH($B264,Setup!$A$25:$A$36,0))),"—")</f>
        <v>—</v>
      </c>
      <c r="J264" s="8"/>
      <c r="K264" s="8"/>
      <c r="L264" s="8"/>
    </row>
    <row r="265" spans="1:12" x14ac:dyDescent="0.2">
      <c r="A265" s="30">
        <v>261</v>
      </c>
      <c r="B265" s="7" t="str">
        <f>IFERROR(IF(INDEX(Bookings!$D$5:$D$304,MATCH($A265,Bookings!$A$5:$A$304,0))="Cancelled","—",IF(INDEX(Bookings!$B$5:$B$304,MATCH($A265,Bookings!$A$5:$A$304,0))="","—",INDEX(Bookings!$B$5:$B$304,MATCH($A265,Bookings!$A$5:$A$304,0)))),"—")</f>
        <v>—</v>
      </c>
      <c r="C265" s="7" t="str">
        <f>IFERROR(IF(INDEX(Bookings!$D$5:$D$304,MATCH($A265,Bookings!$A$5:$A$304,0))="Cancelled","—",IF(INDEX(Bookings!$E$5:$E$304,MATCH($A265,Bookings!$A$5:$A$304,0))="","—",INDEX(Bookings!$E$5:$E$304,MATCH($A265,Bookings!$A$5:$A$304,0)))),"—")</f>
        <v>—</v>
      </c>
      <c r="D265" s="37" t="str">
        <f>IFERROR(IF(INDEX(Bookings!$D$5:$D$304,MATCH($A265,Bookings!$A$5:$A$304,0))="Cancelled","—",IF(INDEX(Bookings!$G$5:$G$304,MATCH($A265,Bookings!$A$5:$A$304,0))="","—",INDEX(Bookings!$G$5:$G$304,MATCH($A265,Bookings!$A$5:$A$304,0)))),"—")</f>
        <v>—</v>
      </c>
      <c r="E265" s="38" t="str">
        <f t="shared" ca="1" si="4"/>
        <v>—</v>
      </c>
      <c r="F265" s="39" t="str">
        <f>IF(OR(NOT(ISNUMBER($D265)),$B265="—",$B265=""),"—",IF(COUNTIFS(Bookings!$B$5:$B$304,$B265,Bookings!$F$5:$F$304,$D265)-COUNTIFS(Bookings!$B$5:$B$304,$B265,Bookings!$F$5:$F$304,$D265,Bookings!$D$5:$D$304,"Cancelled")-COUNTIFS(Bookings!$B$5:$B$304,$B265,Bookings!$F$5:$F$304,$D265,Bookings!$D$5:$D$304,"Owner block")&gt;0,"SAME-DAY TURN","No same-day guest"))</f>
        <v>—</v>
      </c>
      <c r="G265" s="38" t="str">
        <f>IFERROR(IF(INDEX(Bookings!$D$5:$D$304,MATCH($A265,Bookings!$A$5:$A$304,0))="Cancelled","—",IF(INDEX(Bookings!$I$5:$I$304,MATCH($A265,Bookings!$A$5:$A$304,0))="","—",INDEX(Bookings!$I$5:$I$304,MATCH($A265,Bookings!$A$5:$A$304,0)))),"—")</f>
        <v>—</v>
      </c>
      <c r="H265" s="38" t="str">
        <f>IFERROR(IF(INDEX(Setup!$I$25:$I$36,MATCH($B265,Setup!$A$25:$A$36,0))=0,"—",INDEX(Setup!$I$25:$I$36,MATCH($B265,Setup!$A$25:$A$36,0))),"—")</f>
        <v>—</v>
      </c>
      <c r="I265" s="21" t="str">
        <f>IFERROR(IF(INDEX(Setup!$E$25:$E$36,MATCH($B265,Setup!$A$25:$A$36,0))=0,"—",INDEX(Setup!$E$25:$E$36,MATCH($B265,Setup!$A$25:$A$36,0))),"—")</f>
        <v>—</v>
      </c>
      <c r="J265" s="3"/>
      <c r="K265" s="3"/>
      <c r="L265" s="3"/>
    </row>
    <row r="266" spans="1:12" x14ac:dyDescent="0.2">
      <c r="A266" s="30">
        <v>262</v>
      </c>
      <c r="B266" s="7" t="str">
        <f>IFERROR(IF(INDEX(Bookings!$D$5:$D$304,MATCH($A266,Bookings!$A$5:$A$304,0))="Cancelled","—",IF(INDEX(Bookings!$B$5:$B$304,MATCH($A266,Bookings!$A$5:$A$304,0))="","—",INDEX(Bookings!$B$5:$B$304,MATCH($A266,Bookings!$A$5:$A$304,0)))),"—")</f>
        <v>—</v>
      </c>
      <c r="C266" s="7" t="str">
        <f>IFERROR(IF(INDEX(Bookings!$D$5:$D$304,MATCH($A266,Bookings!$A$5:$A$304,0))="Cancelled","—",IF(INDEX(Bookings!$E$5:$E$304,MATCH($A266,Bookings!$A$5:$A$304,0))="","—",INDEX(Bookings!$E$5:$E$304,MATCH($A266,Bookings!$A$5:$A$304,0)))),"—")</f>
        <v>—</v>
      </c>
      <c r="D266" s="37" t="str">
        <f>IFERROR(IF(INDEX(Bookings!$D$5:$D$304,MATCH($A266,Bookings!$A$5:$A$304,0))="Cancelled","—",IF(INDEX(Bookings!$G$5:$G$304,MATCH($A266,Bookings!$A$5:$A$304,0))="","—",INDEX(Bookings!$G$5:$G$304,MATCH($A266,Bookings!$A$5:$A$304,0)))),"—")</f>
        <v>—</v>
      </c>
      <c r="E266" s="38" t="str">
        <f t="shared" ca="1" si="4"/>
        <v>—</v>
      </c>
      <c r="F266" s="39" t="str">
        <f>IF(OR(NOT(ISNUMBER($D266)),$B266="—",$B266=""),"—",IF(COUNTIFS(Bookings!$B$5:$B$304,$B266,Bookings!$F$5:$F$304,$D266)-COUNTIFS(Bookings!$B$5:$B$304,$B266,Bookings!$F$5:$F$304,$D266,Bookings!$D$5:$D$304,"Cancelled")-COUNTIFS(Bookings!$B$5:$B$304,$B266,Bookings!$F$5:$F$304,$D266,Bookings!$D$5:$D$304,"Owner block")&gt;0,"SAME-DAY TURN","No same-day guest"))</f>
        <v>—</v>
      </c>
      <c r="G266" s="38" t="str">
        <f>IFERROR(IF(INDEX(Bookings!$D$5:$D$304,MATCH($A266,Bookings!$A$5:$A$304,0))="Cancelled","—",IF(INDEX(Bookings!$I$5:$I$304,MATCH($A266,Bookings!$A$5:$A$304,0))="","—",INDEX(Bookings!$I$5:$I$304,MATCH($A266,Bookings!$A$5:$A$304,0)))),"—")</f>
        <v>—</v>
      </c>
      <c r="H266" s="38" t="str">
        <f>IFERROR(IF(INDEX(Setup!$I$25:$I$36,MATCH($B266,Setup!$A$25:$A$36,0))=0,"—",INDEX(Setup!$I$25:$I$36,MATCH($B266,Setup!$A$25:$A$36,0))),"—")</f>
        <v>—</v>
      </c>
      <c r="I266" s="21" t="str">
        <f>IFERROR(IF(INDEX(Setup!$E$25:$E$36,MATCH($B266,Setup!$A$25:$A$36,0))=0,"—",INDEX(Setup!$E$25:$E$36,MATCH($B266,Setup!$A$25:$A$36,0))),"—")</f>
        <v>—</v>
      </c>
      <c r="J266" s="8"/>
      <c r="K266" s="8"/>
      <c r="L266" s="8"/>
    </row>
    <row r="267" spans="1:12" x14ac:dyDescent="0.2">
      <c r="A267" s="30">
        <v>263</v>
      </c>
      <c r="B267" s="7" t="str">
        <f>IFERROR(IF(INDEX(Bookings!$D$5:$D$304,MATCH($A267,Bookings!$A$5:$A$304,0))="Cancelled","—",IF(INDEX(Bookings!$B$5:$B$304,MATCH($A267,Bookings!$A$5:$A$304,0))="","—",INDEX(Bookings!$B$5:$B$304,MATCH($A267,Bookings!$A$5:$A$304,0)))),"—")</f>
        <v>—</v>
      </c>
      <c r="C267" s="7" t="str">
        <f>IFERROR(IF(INDEX(Bookings!$D$5:$D$304,MATCH($A267,Bookings!$A$5:$A$304,0))="Cancelled","—",IF(INDEX(Bookings!$E$5:$E$304,MATCH($A267,Bookings!$A$5:$A$304,0))="","—",INDEX(Bookings!$E$5:$E$304,MATCH($A267,Bookings!$A$5:$A$304,0)))),"—")</f>
        <v>—</v>
      </c>
      <c r="D267" s="37" t="str">
        <f>IFERROR(IF(INDEX(Bookings!$D$5:$D$304,MATCH($A267,Bookings!$A$5:$A$304,0))="Cancelled","—",IF(INDEX(Bookings!$G$5:$G$304,MATCH($A267,Bookings!$A$5:$A$304,0))="","—",INDEX(Bookings!$G$5:$G$304,MATCH($A267,Bookings!$A$5:$A$304,0)))),"—")</f>
        <v>—</v>
      </c>
      <c r="E267" s="38" t="str">
        <f t="shared" ca="1" si="4"/>
        <v>—</v>
      </c>
      <c r="F267" s="39" t="str">
        <f>IF(OR(NOT(ISNUMBER($D267)),$B267="—",$B267=""),"—",IF(COUNTIFS(Bookings!$B$5:$B$304,$B267,Bookings!$F$5:$F$304,$D267)-COUNTIFS(Bookings!$B$5:$B$304,$B267,Bookings!$F$5:$F$304,$D267,Bookings!$D$5:$D$304,"Cancelled")-COUNTIFS(Bookings!$B$5:$B$304,$B267,Bookings!$F$5:$F$304,$D267,Bookings!$D$5:$D$304,"Owner block")&gt;0,"SAME-DAY TURN","No same-day guest"))</f>
        <v>—</v>
      </c>
      <c r="G267" s="38" t="str">
        <f>IFERROR(IF(INDEX(Bookings!$D$5:$D$304,MATCH($A267,Bookings!$A$5:$A$304,0))="Cancelled","—",IF(INDEX(Bookings!$I$5:$I$304,MATCH($A267,Bookings!$A$5:$A$304,0))="","—",INDEX(Bookings!$I$5:$I$304,MATCH($A267,Bookings!$A$5:$A$304,0)))),"—")</f>
        <v>—</v>
      </c>
      <c r="H267" s="38" t="str">
        <f>IFERROR(IF(INDEX(Setup!$I$25:$I$36,MATCH($B267,Setup!$A$25:$A$36,0))=0,"—",INDEX(Setup!$I$25:$I$36,MATCH($B267,Setup!$A$25:$A$36,0))),"—")</f>
        <v>—</v>
      </c>
      <c r="I267" s="21" t="str">
        <f>IFERROR(IF(INDEX(Setup!$E$25:$E$36,MATCH($B267,Setup!$A$25:$A$36,0))=0,"—",INDEX(Setup!$E$25:$E$36,MATCH($B267,Setup!$A$25:$A$36,0))),"—")</f>
        <v>—</v>
      </c>
      <c r="J267" s="3"/>
      <c r="K267" s="3"/>
      <c r="L267" s="3"/>
    </row>
    <row r="268" spans="1:12" x14ac:dyDescent="0.2">
      <c r="A268" s="30">
        <v>264</v>
      </c>
      <c r="B268" s="7" t="str">
        <f>IFERROR(IF(INDEX(Bookings!$D$5:$D$304,MATCH($A268,Bookings!$A$5:$A$304,0))="Cancelled","—",IF(INDEX(Bookings!$B$5:$B$304,MATCH($A268,Bookings!$A$5:$A$304,0))="","—",INDEX(Bookings!$B$5:$B$304,MATCH($A268,Bookings!$A$5:$A$304,0)))),"—")</f>
        <v>—</v>
      </c>
      <c r="C268" s="7" t="str">
        <f>IFERROR(IF(INDEX(Bookings!$D$5:$D$304,MATCH($A268,Bookings!$A$5:$A$304,0))="Cancelled","—",IF(INDEX(Bookings!$E$5:$E$304,MATCH($A268,Bookings!$A$5:$A$304,0))="","—",INDEX(Bookings!$E$5:$E$304,MATCH($A268,Bookings!$A$5:$A$304,0)))),"—")</f>
        <v>—</v>
      </c>
      <c r="D268" s="37" t="str">
        <f>IFERROR(IF(INDEX(Bookings!$D$5:$D$304,MATCH($A268,Bookings!$A$5:$A$304,0))="Cancelled","—",IF(INDEX(Bookings!$G$5:$G$304,MATCH($A268,Bookings!$A$5:$A$304,0))="","—",INDEX(Bookings!$G$5:$G$304,MATCH($A268,Bookings!$A$5:$A$304,0)))),"—")</f>
        <v>—</v>
      </c>
      <c r="E268" s="38" t="str">
        <f t="shared" ca="1" si="4"/>
        <v>—</v>
      </c>
      <c r="F268" s="39" t="str">
        <f>IF(OR(NOT(ISNUMBER($D268)),$B268="—",$B268=""),"—",IF(COUNTIFS(Bookings!$B$5:$B$304,$B268,Bookings!$F$5:$F$304,$D268)-COUNTIFS(Bookings!$B$5:$B$304,$B268,Bookings!$F$5:$F$304,$D268,Bookings!$D$5:$D$304,"Cancelled")-COUNTIFS(Bookings!$B$5:$B$304,$B268,Bookings!$F$5:$F$304,$D268,Bookings!$D$5:$D$304,"Owner block")&gt;0,"SAME-DAY TURN","No same-day guest"))</f>
        <v>—</v>
      </c>
      <c r="G268" s="38" t="str">
        <f>IFERROR(IF(INDEX(Bookings!$D$5:$D$304,MATCH($A268,Bookings!$A$5:$A$304,0))="Cancelled","—",IF(INDEX(Bookings!$I$5:$I$304,MATCH($A268,Bookings!$A$5:$A$304,0))="","—",INDEX(Bookings!$I$5:$I$304,MATCH($A268,Bookings!$A$5:$A$304,0)))),"—")</f>
        <v>—</v>
      </c>
      <c r="H268" s="38" t="str">
        <f>IFERROR(IF(INDEX(Setup!$I$25:$I$36,MATCH($B268,Setup!$A$25:$A$36,0))=0,"—",INDEX(Setup!$I$25:$I$36,MATCH($B268,Setup!$A$25:$A$36,0))),"—")</f>
        <v>—</v>
      </c>
      <c r="I268" s="21" t="str">
        <f>IFERROR(IF(INDEX(Setup!$E$25:$E$36,MATCH($B268,Setup!$A$25:$A$36,0))=0,"—",INDEX(Setup!$E$25:$E$36,MATCH($B268,Setup!$A$25:$A$36,0))),"—")</f>
        <v>—</v>
      </c>
      <c r="J268" s="8"/>
      <c r="K268" s="8"/>
      <c r="L268" s="8"/>
    </row>
    <row r="269" spans="1:12" x14ac:dyDescent="0.2">
      <c r="A269" s="30">
        <v>265</v>
      </c>
      <c r="B269" s="7" t="str">
        <f>IFERROR(IF(INDEX(Bookings!$D$5:$D$304,MATCH($A269,Bookings!$A$5:$A$304,0))="Cancelled","—",IF(INDEX(Bookings!$B$5:$B$304,MATCH($A269,Bookings!$A$5:$A$304,0))="","—",INDEX(Bookings!$B$5:$B$304,MATCH($A269,Bookings!$A$5:$A$304,0)))),"—")</f>
        <v>—</v>
      </c>
      <c r="C269" s="7" t="str">
        <f>IFERROR(IF(INDEX(Bookings!$D$5:$D$304,MATCH($A269,Bookings!$A$5:$A$304,0))="Cancelled","—",IF(INDEX(Bookings!$E$5:$E$304,MATCH($A269,Bookings!$A$5:$A$304,0))="","—",INDEX(Bookings!$E$5:$E$304,MATCH($A269,Bookings!$A$5:$A$304,0)))),"—")</f>
        <v>—</v>
      </c>
      <c r="D269" s="37" t="str">
        <f>IFERROR(IF(INDEX(Bookings!$D$5:$D$304,MATCH($A269,Bookings!$A$5:$A$304,0))="Cancelled","—",IF(INDEX(Bookings!$G$5:$G$304,MATCH($A269,Bookings!$A$5:$A$304,0))="","—",INDEX(Bookings!$G$5:$G$304,MATCH($A269,Bookings!$A$5:$A$304,0)))),"—")</f>
        <v>—</v>
      </c>
      <c r="E269" s="38" t="str">
        <f t="shared" ca="1" si="4"/>
        <v>—</v>
      </c>
      <c r="F269" s="39" t="str">
        <f>IF(OR(NOT(ISNUMBER($D269)),$B269="—",$B269=""),"—",IF(COUNTIFS(Bookings!$B$5:$B$304,$B269,Bookings!$F$5:$F$304,$D269)-COUNTIFS(Bookings!$B$5:$B$304,$B269,Bookings!$F$5:$F$304,$D269,Bookings!$D$5:$D$304,"Cancelled")-COUNTIFS(Bookings!$B$5:$B$304,$B269,Bookings!$F$5:$F$304,$D269,Bookings!$D$5:$D$304,"Owner block")&gt;0,"SAME-DAY TURN","No same-day guest"))</f>
        <v>—</v>
      </c>
      <c r="G269" s="38" t="str">
        <f>IFERROR(IF(INDEX(Bookings!$D$5:$D$304,MATCH($A269,Bookings!$A$5:$A$304,0))="Cancelled","—",IF(INDEX(Bookings!$I$5:$I$304,MATCH($A269,Bookings!$A$5:$A$304,0))="","—",INDEX(Bookings!$I$5:$I$304,MATCH($A269,Bookings!$A$5:$A$304,0)))),"—")</f>
        <v>—</v>
      </c>
      <c r="H269" s="38" t="str">
        <f>IFERROR(IF(INDEX(Setup!$I$25:$I$36,MATCH($B269,Setup!$A$25:$A$36,0))=0,"—",INDEX(Setup!$I$25:$I$36,MATCH($B269,Setup!$A$25:$A$36,0))),"—")</f>
        <v>—</v>
      </c>
      <c r="I269" s="21" t="str">
        <f>IFERROR(IF(INDEX(Setup!$E$25:$E$36,MATCH($B269,Setup!$A$25:$A$36,0))=0,"—",INDEX(Setup!$E$25:$E$36,MATCH($B269,Setup!$A$25:$A$36,0))),"—")</f>
        <v>—</v>
      </c>
      <c r="J269" s="3"/>
      <c r="K269" s="3"/>
      <c r="L269" s="3"/>
    </row>
    <row r="270" spans="1:12" x14ac:dyDescent="0.2">
      <c r="A270" s="30">
        <v>266</v>
      </c>
      <c r="B270" s="7" t="str">
        <f>IFERROR(IF(INDEX(Bookings!$D$5:$D$304,MATCH($A270,Bookings!$A$5:$A$304,0))="Cancelled","—",IF(INDEX(Bookings!$B$5:$B$304,MATCH($A270,Bookings!$A$5:$A$304,0))="","—",INDEX(Bookings!$B$5:$B$304,MATCH($A270,Bookings!$A$5:$A$304,0)))),"—")</f>
        <v>—</v>
      </c>
      <c r="C270" s="7" t="str">
        <f>IFERROR(IF(INDEX(Bookings!$D$5:$D$304,MATCH($A270,Bookings!$A$5:$A$304,0))="Cancelled","—",IF(INDEX(Bookings!$E$5:$E$304,MATCH($A270,Bookings!$A$5:$A$304,0))="","—",INDEX(Bookings!$E$5:$E$304,MATCH($A270,Bookings!$A$5:$A$304,0)))),"—")</f>
        <v>—</v>
      </c>
      <c r="D270" s="37" t="str">
        <f>IFERROR(IF(INDEX(Bookings!$D$5:$D$304,MATCH($A270,Bookings!$A$5:$A$304,0))="Cancelled","—",IF(INDEX(Bookings!$G$5:$G$304,MATCH($A270,Bookings!$A$5:$A$304,0))="","—",INDEX(Bookings!$G$5:$G$304,MATCH($A270,Bookings!$A$5:$A$304,0)))),"—")</f>
        <v>—</v>
      </c>
      <c r="E270" s="38" t="str">
        <f t="shared" ca="1" si="4"/>
        <v>—</v>
      </c>
      <c r="F270" s="39" t="str">
        <f>IF(OR(NOT(ISNUMBER($D270)),$B270="—",$B270=""),"—",IF(COUNTIFS(Bookings!$B$5:$B$304,$B270,Bookings!$F$5:$F$304,$D270)-COUNTIFS(Bookings!$B$5:$B$304,$B270,Bookings!$F$5:$F$304,$D270,Bookings!$D$5:$D$304,"Cancelled")-COUNTIFS(Bookings!$B$5:$B$304,$B270,Bookings!$F$5:$F$304,$D270,Bookings!$D$5:$D$304,"Owner block")&gt;0,"SAME-DAY TURN","No same-day guest"))</f>
        <v>—</v>
      </c>
      <c r="G270" s="38" t="str">
        <f>IFERROR(IF(INDEX(Bookings!$D$5:$D$304,MATCH($A270,Bookings!$A$5:$A$304,0))="Cancelled","—",IF(INDEX(Bookings!$I$5:$I$304,MATCH($A270,Bookings!$A$5:$A$304,0))="","—",INDEX(Bookings!$I$5:$I$304,MATCH($A270,Bookings!$A$5:$A$304,0)))),"—")</f>
        <v>—</v>
      </c>
      <c r="H270" s="38" t="str">
        <f>IFERROR(IF(INDEX(Setup!$I$25:$I$36,MATCH($B270,Setup!$A$25:$A$36,0))=0,"—",INDEX(Setup!$I$25:$I$36,MATCH($B270,Setup!$A$25:$A$36,0))),"—")</f>
        <v>—</v>
      </c>
      <c r="I270" s="21" t="str">
        <f>IFERROR(IF(INDEX(Setup!$E$25:$E$36,MATCH($B270,Setup!$A$25:$A$36,0))=0,"—",INDEX(Setup!$E$25:$E$36,MATCH($B270,Setup!$A$25:$A$36,0))),"—")</f>
        <v>—</v>
      </c>
      <c r="J270" s="8"/>
      <c r="K270" s="8"/>
      <c r="L270" s="8"/>
    </row>
    <row r="271" spans="1:12" x14ac:dyDescent="0.2">
      <c r="A271" s="30">
        <v>267</v>
      </c>
      <c r="B271" s="7" t="str">
        <f>IFERROR(IF(INDEX(Bookings!$D$5:$D$304,MATCH($A271,Bookings!$A$5:$A$304,0))="Cancelled","—",IF(INDEX(Bookings!$B$5:$B$304,MATCH($A271,Bookings!$A$5:$A$304,0))="","—",INDEX(Bookings!$B$5:$B$304,MATCH($A271,Bookings!$A$5:$A$304,0)))),"—")</f>
        <v>—</v>
      </c>
      <c r="C271" s="7" t="str">
        <f>IFERROR(IF(INDEX(Bookings!$D$5:$D$304,MATCH($A271,Bookings!$A$5:$A$304,0))="Cancelled","—",IF(INDEX(Bookings!$E$5:$E$304,MATCH($A271,Bookings!$A$5:$A$304,0))="","—",INDEX(Bookings!$E$5:$E$304,MATCH($A271,Bookings!$A$5:$A$304,0)))),"—")</f>
        <v>—</v>
      </c>
      <c r="D271" s="37" t="str">
        <f>IFERROR(IF(INDEX(Bookings!$D$5:$D$304,MATCH($A271,Bookings!$A$5:$A$304,0))="Cancelled","—",IF(INDEX(Bookings!$G$5:$G$304,MATCH($A271,Bookings!$A$5:$A$304,0))="","—",INDEX(Bookings!$G$5:$G$304,MATCH($A271,Bookings!$A$5:$A$304,0)))),"—")</f>
        <v>—</v>
      </c>
      <c r="E271" s="38" t="str">
        <f t="shared" ca="1" si="4"/>
        <v>—</v>
      </c>
      <c r="F271" s="39" t="str">
        <f>IF(OR(NOT(ISNUMBER($D271)),$B271="—",$B271=""),"—",IF(COUNTIFS(Bookings!$B$5:$B$304,$B271,Bookings!$F$5:$F$304,$D271)-COUNTIFS(Bookings!$B$5:$B$304,$B271,Bookings!$F$5:$F$304,$D271,Bookings!$D$5:$D$304,"Cancelled")-COUNTIFS(Bookings!$B$5:$B$304,$B271,Bookings!$F$5:$F$304,$D271,Bookings!$D$5:$D$304,"Owner block")&gt;0,"SAME-DAY TURN","No same-day guest"))</f>
        <v>—</v>
      </c>
      <c r="G271" s="38" t="str">
        <f>IFERROR(IF(INDEX(Bookings!$D$5:$D$304,MATCH($A271,Bookings!$A$5:$A$304,0))="Cancelled","—",IF(INDEX(Bookings!$I$5:$I$304,MATCH($A271,Bookings!$A$5:$A$304,0))="","—",INDEX(Bookings!$I$5:$I$304,MATCH($A271,Bookings!$A$5:$A$304,0)))),"—")</f>
        <v>—</v>
      </c>
      <c r="H271" s="38" t="str">
        <f>IFERROR(IF(INDEX(Setup!$I$25:$I$36,MATCH($B271,Setup!$A$25:$A$36,0))=0,"—",INDEX(Setup!$I$25:$I$36,MATCH($B271,Setup!$A$25:$A$36,0))),"—")</f>
        <v>—</v>
      </c>
      <c r="I271" s="21" t="str">
        <f>IFERROR(IF(INDEX(Setup!$E$25:$E$36,MATCH($B271,Setup!$A$25:$A$36,0))=0,"—",INDEX(Setup!$E$25:$E$36,MATCH($B271,Setup!$A$25:$A$36,0))),"—")</f>
        <v>—</v>
      </c>
      <c r="J271" s="3"/>
      <c r="K271" s="3"/>
      <c r="L271" s="3"/>
    </row>
    <row r="272" spans="1:12" x14ac:dyDescent="0.2">
      <c r="A272" s="30">
        <v>268</v>
      </c>
      <c r="B272" s="7" t="str">
        <f>IFERROR(IF(INDEX(Bookings!$D$5:$D$304,MATCH($A272,Bookings!$A$5:$A$304,0))="Cancelled","—",IF(INDEX(Bookings!$B$5:$B$304,MATCH($A272,Bookings!$A$5:$A$304,0))="","—",INDEX(Bookings!$B$5:$B$304,MATCH($A272,Bookings!$A$5:$A$304,0)))),"—")</f>
        <v>—</v>
      </c>
      <c r="C272" s="7" t="str">
        <f>IFERROR(IF(INDEX(Bookings!$D$5:$D$304,MATCH($A272,Bookings!$A$5:$A$304,0))="Cancelled","—",IF(INDEX(Bookings!$E$5:$E$304,MATCH($A272,Bookings!$A$5:$A$304,0))="","—",INDEX(Bookings!$E$5:$E$304,MATCH($A272,Bookings!$A$5:$A$304,0)))),"—")</f>
        <v>—</v>
      </c>
      <c r="D272" s="37" t="str">
        <f>IFERROR(IF(INDEX(Bookings!$D$5:$D$304,MATCH($A272,Bookings!$A$5:$A$304,0))="Cancelled","—",IF(INDEX(Bookings!$G$5:$G$304,MATCH($A272,Bookings!$A$5:$A$304,0))="","—",INDEX(Bookings!$G$5:$G$304,MATCH($A272,Bookings!$A$5:$A$304,0)))),"—")</f>
        <v>—</v>
      </c>
      <c r="E272" s="38" t="str">
        <f t="shared" ca="1" si="4"/>
        <v>—</v>
      </c>
      <c r="F272" s="39" t="str">
        <f>IF(OR(NOT(ISNUMBER($D272)),$B272="—",$B272=""),"—",IF(COUNTIFS(Bookings!$B$5:$B$304,$B272,Bookings!$F$5:$F$304,$D272)-COUNTIFS(Bookings!$B$5:$B$304,$B272,Bookings!$F$5:$F$304,$D272,Bookings!$D$5:$D$304,"Cancelled")-COUNTIFS(Bookings!$B$5:$B$304,$B272,Bookings!$F$5:$F$304,$D272,Bookings!$D$5:$D$304,"Owner block")&gt;0,"SAME-DAY TURN","No same-day guest"))</f>
        <v>—</v>
      </c>
      <c r="G272" s="38" t="str">
        <f>IFERROR(IF(INDEX(Bookings!$D$5:$D$304,MATCH($A272,Bookings!$A$5:$A$304,0))="Cancelled","—",IF(INDEX(Bookings!$I$5:$I$304,MATCH($A272,Bookings!$A$5:$A$304,0))="","—",INDEX(Bookings!$I$5:$I$304,MATCH($A272,Bookings!$A$5:$A$304,0)))),"—")</f>
        <v>—</v>
      </c>
      <c r="H272" s="38" t="str">
        <f>IFERROR(IF(INDEX(Setup!$I$25:$I$36,MATCH($B272,Setup!$A$25:$A$36,0))=0,"—",INDEX(Setup!$I$25:$I$36,MATCH($B272,Setup!$A$25:$A$36,0))),"—")</f>
        <v>—</v>
      </c>
      <c r="I272" s="21" t="str">
        <f>IFERROR(IF(INDEX(Setup!$E$25:$E$36,MATCH($B272,Setup!$A$25:$A$36,0))=0,"—",INDEX(Setup!$E$25:$E$36,MATCH($B272,Setup!$A$25:$A$36,0))),"—")</f>
        <v>—</v>
      </c>
      <c r="J272" s="8"/>
      <c r="K272" s="8"/>
      <c r="L272" s="8"/>
    </row>
    <row r="273" spans="1:12" x14ac:dyDescent="0.2">
      <c r="A273" s="30">
        <v>269</v>
      </c>
      <c r="B273" s="7" t="str">
        <f>IFERROR(IF(INDEX(Bookings!$D$5:$D$304,MATCH($A273,Bookings!$A$5:$A$304,0))="Cancelled","—",IF(INDEX(Bookings!$B$5:$B$304,MATCH($A273,Bookings!$A$5:$A$304,0))="","—",INDEX(Bookings!$B$5:$B$304,MATCH($A273,Bookings!$A$5:$A$304,0)))),"—")</f>
        <v>—</v>
      </c>
      <c r="C273" s="7" t="str">
        <f>IFERROR(IF(INDEX(Bookings!$D$5:$D$304,MATCH($A273,Bookings!$A$5:$A$304,0))="Cancelled","—",IF(INDEX(Bookings!$E$5:$E$304,MATCH($A273,Bookings!$A$5:$A$304,0))="","—",INDEX(Bookings!$E$5:$E$304,MATCH($A273,Bookings!$A$5:$A$304,0)))),"—")</f>
        <v>—</v>
      </c>
      <c r="D273" s="37" t="str">
        <f>IFERROR(IF(INDEX(Bookings!$D$5:$D$304,MATCH($A273,Bookings!$A$5:$A$304,0))="Cancelled","—",IF(INDEX(Bookings!$G$5:$G$304,MATCH($A273,Bookings!$A$5:$A$304,0))="","—",INDEX(Bookings!$G$5:$G$304,MATCH($A273,Bookings!$A$5:$A$304,0)))),"—")</f>
        <v>—</v>
      </c>
      <c r="E273" s="38" t="str">
        <f t="shared" ca="1" si="4"/>
        <v>—</v>
      </c>
      <c r="F273" s="39" t="str">
        <f>IF(OR(NOT(ISNUMBER($D273)),$B273="—",$B273=""),"—",IF(COUNTIFS(Bookings!$B$5:$B$304,$B273,Bookings!$F$5:$F$304,$D273)-COUNTIFS(Bookings!$B$5:$B$304,$B273,Bookings!$F$5:$F$304,$D273,Bookings!$D$5:$D$304,"Cancelled")-COUNTIFS(Bookings!$B$5:$B$304,$B273,Bookings!$F$5:$F$304,$D273,Bookings!$D$5:$D$304,"Owner block")&gt;0,"SAME-DAY TURN","No same-day guest"))</f>
        <v>—</v>
      </c>
      <c r="G273" s="38" t="str">
        <f>IFERROR(IF(INDEX(Bookings!$D$5:$D$304,MATCH($A273,Bookings!$A$5:$A$304,0))="Cancelled","—",IF(INDEX(Bookings!$I$5:$I$304,MATCH($A273,Bookings!$A$5:$A$304,0))="","—",INDEX(Bookings!$I$5:$I$304,MATCH($A273,Bookings!$A$5:$A$304,0)))),"—")</f>
        <v>—</v>
      </c>
      <c r="H273" s="38" t="str">
        <f>IFERROR(IF(INDEX(Setup!$I$25:$I$36,MATCH($B273,Setup!$A$25:$A$36,0))=0,"—",INDEX(Setup!$I$25:$I$36,MATCH($B273,Setup!$A$25:$A$36,0))),"—")</f>
        <v>—</v>
      </c>
      <c r="I273" s="21" t="str">
        <f>IFERROR(IF(INDEX(Setup!$E$25:$E$36,MATCH($B273,Setup!$A$25:$A$36,0))=0,"—",INDEX(Setup!$E$25:$E$36,MATCH($B273,Setup!$A$25:$A$36,0))),"—")</f>
        <v>—</v>
      </c>
      <c r="J273" s="3"/>
      <c r="K273" s="3"/>
      <c r="L273" s="3"/>
    </row>
    <row r="274" spans="1:12" x14ac:dyDescent="0.2">
      <c r="A274" s="30">
        <v>270</v>
      </c>
      <c r="B274" s="7" t="str">
        <f>IFERROR(IF(INDEX(Bookings!$D$5:$D$304,MATCH($A274,Bookings!$A$5:$A$304,0))="Cancelled","—",IF(INDEX(Bookings!$B$5:$B$304,MATCH($A274,Bookings!$A$5:$A$304,0))="","—",INDEX(Bookings!$B$5:$B$304,MATCH($A274,Bookings!$A$5:$A$304,0)))),"—")</f>
        <v>—</v>
      </c>
      <c r="C274" s="7" t="str">
        <f>IFERROR(IF(INDEX(Bookings!$D$5:$D$304,MATCH($A274,Bookings!$A$5:$A$304,0))="Cancelled","—",IF(INDEX(Bookings!$E$5:$E$304,MATCH($A274,Bookings!$A$5:$A$304,0))="","—",INDEX(Bookings!$E$5:$E$304,MATCH($A274,Bookings!$A$5:$A$304,0)))),"—")</f>
        <v>—</v>
      </c>
      <c r="D274" s="37" t="str">
        <f>IFERROR(IF(INDEX(Bookings!$D$5:$D$304,MATCH($A274,Bookings!$A$5:$A$304,0))="Cancelled","—",IF(INDEX(Bookings!$G$5:$G$304,MATCH($A274,Bookings!$A$5:$A$304,0))="","—",INDEX(Bookings!$G$5:$G$304,MATCH($A274,Bookings!$A$5:$A$304,0)))),"—")</f>
        <v>—</v>
      </c>
      <c r="E274" s="38" t="str">
        <f t="shared" ca="1" si="4"/>
        <v>—</v>
      </c>
      <c r="F274" s="39" t="str">
        <f>IF(OR(NOT(ISNUMBER($D274)),$B274="—",$B274=""),"—",IF(COUNTIFS(Bookings!$B$5:$B$304,$B274,Bookings!$F$5:$F$304,$D274)-COUNTIFS(Bookings!$B$5:$B$304,$B274,Bookings!$F$5:$F$304,$D274,Bookings!$D$5:$D$304,"Cancelled")-COUNTIFS(Bookings!$B$5:$B$304,$B274,Bookings!$F$5:$F$304,$D274,Bookings!$D$5:$D$304,"Owner block")&gt;0,"SAME-DAY TURN","No same-day guest"))</f>
        <v>—</v>
      </c>
      <c r="G274" s="38" t="str">
        <f>IFERROR(IF(INDEX(Bookings!$D$5:$D$304,MATCH($A274,Bookings!$A$5:$A$304,0))="Cancelled","—",IF(INDEX(Bookings!$I$5:$I$304,MATCH($A274,Bookings!$A$5:$A$304,0))="","—",INDEX(Bookings!$I$5:$I$304,MATCH($A274,Bookings!$A$5:$A$304,0)))),"—")</f>
        <v>—</v>
      </c>
      <c r="H274" s="38" t="str">
        <f>IFERROR(IF(INDEX(Setup!$I$25:$I$36,MATCH($B274,Setup!$A$25:$A$36,0))=0,"—",INDEX(Setup!$I$25:$I$36,MATCH($B274,Setup!$A$25:$A$36,0))),"—")</f>
        <v>—</v>
      </c>
      <c r="I274" s="21" t="str">
        <f>IFERROR(IF(INDEX(Setup!$E$25:$E$36,MATCH($B274,Setup!$A$25:$A$36,0))=0,"—",INDEX(Setup!$E$25:$E$36,MATCH($B274,Setup!$A$25:$A$36,0))),"—")</f>
        <v>—</v>
      </c>
      <c r="J274" s="8"/>
      <c r="K274" s="8"/>
      <c r="L274" s="8"/>
    </row>
    <row r="275" spans="1:12" x14ac:dyDescent="0.2">
      <c r="A275" s="30">
        <v>271</v>
      </c>
      <c r="B275" s="7" t="str">
        <f>IFERROR(IF(INDEX(Bookings!$D$5:$D$304,MATCH($A275,Bookings!$A$5:$A$304,0))="Cancelled","—",IF(INDEX(Bookings!$B$5:$B$304,MATCH($A275,Bookings!$A$5:$A$304,0))="","—",INDEX(Bookings!$B$5:$B$304,MATCH($A275,Bookings!$A$5:$A$304,0)))),"—")</f>
        <v>—</v>
      </c>
      <c r="C275" s="7" t="str">
        <f>IFERROR(IF(INDEX(Bookings!$D$5:$D$304,MATCH($A275,Bookings!$A$5:$A$304,0))="Cancelled","—",IF(INDEX(Bookings!$E$5:$E$304,MATCH($A275,Bookings!$A$5:$A$304,0))="","—",INDEX(Bookings!$E$5:$E$304,MATCH($A275,Bookings!$A$5:$A$304,0)))),"—")</f>
        <v>—</v>
      </c>
      <c r="D275" s="37" t="str">
        <f>IFERROR(IF(INDEX(Bookings!$D$5:$D$304,MATCH($A275,Bookings!$A$5:$A$304,0))="Cancelled","—",IF(INDEX(Bookings!$G$5:$G$304,MATCH($A275,Bookings!$A$5:$A$304,0))="","—",INDEX(Bookings!$G$5:$G$304,MATCH($A275,Bookings!$A$5:$A$304,0)))),"—")</f>
        <v>—</v>
      </c>
      <c r="E275" s="38" t="str">
        <f t="shared" ca="1" si="4"/>
        <v>—</v>
      </c>
      <c r="F275" s="39" t="str">
        <f>IF(OR(NOT(ISNUMBER($D275)),$B275="—",$B275=""),"—",IF(COUNTIFS(Bookings!$B$5:$B$304,$B275,Bookings!$F$5:$F$304,$D275)-COUNTIFS(Bookings!$B$5:$B$304,$B275,Bookings!$F$5:$F$304,$D275,Bookings!$D$5:$D$304,"Cancelled")-COUNTIFS(Bookings!$B$5:$B$304,$B275,Bookings!$F$5:$F$304,$D275,Bookings!$D$5:$D$304,"Owner block")&gt;0,"SAME-DAY TURN","No same-day guest"))</f>
        <v>—</v>
      </c>
      <c r="G275" s="38" t="str">
        <f>IFERROR(IF(INDEX(Bookings!$D$5:$D$304,MATCH($A275,Bookings!$A$5:$A$304,0))="Cancelled","—",IF(INDEX(Bookings!$I$5:$I$304,MATCH($A275,Bookings!$A$5:$A$304,0))="","—",INDEX(Bookings!$I$5:$I$304,MATCH($A275,Bookings!$A$5:$A$304,0)))),"—")</f>
        <v>—</v>
      </c>
      <c r="H275" s="38" t="str">
        <f>IFERROR(IF(INDEX(Setup!$I$25:$I$36,MATCH($B275,Setup!$A$25:$A$36,0))=0,"—",INDEX(Setup!$I$25:$I$36,MATCH($B275,Setup!$A$25:$A$36,0))),"—")</f>
        <v>—</v>
      </c>
      <c r="I275" s="21" t="str">
        <f>IFERROR(IF(INDEX(Setup!$E$25:$E$36,MATCH($B275,Setup!$A$25:$A$36,0))=0,"—",INDEX(Setup!$E$25:$E$36,MATCH($B275,Setup!$A$25:$A$36,0))),"—")</f>
        <v>—</v>
      </c>
      <c r="J275" s="3"/>
      <c r="K275" s="3"/>
      <c r="L275" s="3"/>
    </row>
    <row r="276" spans="1:12" x14ac:dyDescent="0.2">
      <c r="A276" s="30">
        <v>272</v>
      </c>
      <c r="B276" s="7" t="str">
        <f>IFERROR(IF(INDEX(Bookings!$D$5:$D$304,MATCH($A276,Bookings!$A$5:$A$304,0))="Cancelled","—",IF(INDEX(Bookings!$B$5:$B$304,MATCH($A276,Bookings!$A$5:$A$304,0))="","—",INDEX(Bookings!$B$5:$B$304,MATCH($A276,Bookings!$A$5:$A$304,0)))),"—")</f>
        <v>—</v>
      </c>
      <c r="C276" s="7" t="str">
        <f>IFERROR(IF(INDEX(Bookings!$D$5:$D$304,MATCH($A276,Bookings!$A$5:$A$304,0))="Cancelled","—",IF(INDEX(Bookings!$E$5:$E$304,MATCH($A276,Bookings!$A$5:$A$304,0))="","—",INDEX(Bookings!$E$5:$E$304,MATCH($A276,Bookings!$A$5:$A$304,0)))),"—")</f>
        <v>—</v>
      </c>
      <c r="D276" s="37" t="str">
        <f>IFERROR(IF(INDEX(Bookings!$D$5:$D$304,MATCH($A276,Bookings!$A$5:$A$304,0))="Cancelled","—",IF(INDEX(Bookings!$G$5:$G$304,MATCH($A276,Bookings!$A$5:$A$304,0))="","—",INDEX(Bookings!$G$5:$G$304,MATCH($A276,Bookings!$A$5:$A$304,0)))),"—")</f>
        <v>—</v>
      </c>
      <c r="E276" s="38" t="str">
        <f t="shared" ca="1" si="4"/>
        <v>—</v>
      </c>
      <c r="F276" s="39" t="str">
        <f>IF(OR(NOT(ISNUMBER($D276)),$B276="—",$B276=""),"—",IF(COUNTIFS(Bookings!$B$5:$B$304,$B276,Bookings!$F$5:$F$304,$D276)-COUNTIFS(Bookings!$B$5:$B$304,$B276,Bookings!$F$5:$F$304,$D276,Bookings!$D$5:$D$304,"Cancelled")-COUNTIFS(Bookings!$B$5:$B$304,$B276,Bookings!$F$5:$F$304,$D276,Bookings!$D$5:$D$304,"Owner block")&gt;0,"SAME-DAY TURN","No same-day guest"))</f>
        <v>—</v>
      </c>
      <c r="G276" s="38" t="str">
        <f>IFERROR(IF(INDEX(Bookings!$D$5:$D$304,MATCH($A276,Bookings!$A$5:$A$304,0))="Cancelled","—",IF(INDEX(Bookings!$I$5:$I$304,MATCH($A276,Bookings!$A$5:$A$304,0))="","—",INDEX(Bookings!$I$5:$I$304,MATCH($A276,Bookings!$A$5:$A$304,0)))),"—")</f>
        <v>—</v>
      </c>
      <c r="H276" s="38" t="str">
        <f>IFERROR(IF(INDEX(Setup!$I$25:$I$36,MATCH($B276,Setup!$A$25:$A$36,0))=0,"—",INDEX(Setup!$I$25:$I$36,MATCH($B276,Setup!$A$25:$A$36,0))),"—")</f>
        <v>—</v>
      </c>
      <c r="I276" s="21" t="str">
        <f>IFERROR(IF(INDEX(Setup!$E$25:$E$36,MATCH($B276,Setup!$A$25:$A$36,0))=0,"—",INDEX(Setup!$E$25:$E$36,MATCH($B276,Setup!$A$25:$A$36,0))),"—")</f>
        <v>—</v>
      </c>
      <c r="J276" s="8"/>
      <c r="K276" s="8"/>
      <c r="L276" s="8"/>
    </row>
    <row r="277" spans="1:12" x14ac:dyDescent="0.2">
      <c r="A277" s="30">
        <v>273</v>
      </c>
      <c r="B277" s="7" t="str">
        <f>IFERROR(IF(INDEX(Bookings!$D$5:$D$304,MATCH($A277,Bookings!$A$5:$A$304,0))="Cancelled","—",IF(INDEX(Bookings!$B$5:$B$304,MATCH($A277,Bookings!$A$5:$A$304,0))="","—",INDEX(Bookings!$B$5:$B$304,MATCH($A277,Bookings!$A$5:$A$304,0)))),"—")</f>
        <v>—</v>
      </c>
      <c r="C277" s="7" t="str">
        <f>IFERROR(IF(INDEX(Bookings!$D$5:$D$304,MATCH($A277,Bookings!$A$5:$A$304,0))="Cancelled","—",IF(INDEX(Bookings!$E$5:$E$304,MATCH($A277,Bookings!$A$5:$A$304,0))="","—",INDEX(Bookings!$E$5:$E$304,MATCH($A277,Bookings!$A$5:$A$304,0)))),"—")</f>
        <v>—</v>
      </c>
      <c r="D277" s="37" t="str">
        <f>IFERROR(IF(INDEX(Bookings!$D$5:$D$304,MATCH($A277,Bookings!$A$5:$A$304,0))="Cancelled","—",IF(INDEX(Bookings!$G$5:$G$304,MATCH($A277,Bookings!$A$5:$A$304,0))="","—",INDEX(Bookings!$G$5:$G$304,MATCH($A277,Bookings!$A$5:$A$304,0)))),"—")</f>
        <v>—</v>
      </c>
      <c r="E277" s="38" t="str">
        <f t="shared" ca="1" si="4"/>
        <v>—</v>
      </c>
      <c r="F277" s="39" t="str">
        <f>IF(OR(NOT(ISNUMBER($D277)),$B277="—",$B277=""),"—",IF(COUNTIFS(Bookings!$B$5:$B$304,$B277,Bookings!$F$5:$F$304,$D277)-COUNTIFS(Bookings!$B$5:$B$304,$B277,Bookings!$F$5:$F$304,$D277,Bookings!$D$5:$D$304,"Cancelled")-COUNTIFS(Bookings!$B$5:$B$304,$B277,Bookings!$F$5:$F$304,$D277,Bookings!$D$5:$D$304,"Owner block")&gt;0,"SAME-DAY TURN","No same-day guest"))</f>
        <v>—</v>
      </c>
      <c r="G277" s="38" t="str">
        <f>IFERROR(IF(INDEX(Bookings!$D$5:$D$304,MATCH($A277,Bookings!$A$5:$A$304,0))="Cancelled","—",IF(INDEX(Bookings!$I$5:$I$304,MATCH($A277,Bookings!$A$5:$A$304,0))="","—",INDEX(Bookings!$I$5:$I$304,MATCH($A277,Bookings!$A$5:$A$304,0)))),"—")</f>
        <v>—</v>
      </c>
      <c r="H277" s="38" t="str">
        <f>IFERROR(IF(INDEX(Setup!$I$25:$I$36,MATCH($B277,Setup!$A$25:$A$36,0))=0,"—",INDEX(Setup!$I$25:$I$36,MATCH($B277,Setup!$A$25:$A$36,0))),"—")</f>
        <v>—</v>
      </c>
      <c r="I277" s="21" t="str">
        <f>IFERROR(IF(INDEX(Setup!$E$25:$E$36,MATCH($B277,Setup!$A$25:$A$36,0))=0,"—",INDEX(Setup!$E$25:$E$36,MATCH($B277,Setup!$A$25:$A$36,0))),"—")</f>
        <v>—</v>
      </c>
      <c r="J277" s="3"/>
      <c r="K277" s="3"/>
      <c r="L277" s="3"/>
    </row>
    <row r="278" spans="1:12" x14ac:dyDescent="0.2">
      <c r="A278" s="30">
        <v>274</v>
      </c>
      <c r="B278" s="7" t="str">
        <f>IFERROR(IF(INDEX(Bookings!$D$5:$D$304,MATCH($A278,Bookings!$A$5:$A$304,0))="Cancelled","—",IF(INDEX(Bookings!$B$5:$B$304,MATCH($A278,Bookings!$A$5:$A$304,0))="","—",INDEX(Bookings!$B$5:$B$304,MATCH($A278,Bookings!$A$5:$A$304,0)))),"—")</f>
        <v>—</v>
      </c>
      <c r="C278" s="7" t="str">
        <f>IFERROR(IF(INDEX(Bookings!$D$5:$D$304,MATCH($A278,Bookings!$A$5:$A$304,0))="Cancelled","—",IF(INDEX(Bookings!$E$5:$E$304,MATCH($A278,Bookings!$A$5:$A$304,0))="","—",INDEX(Bookings!$E$5:$E$304,MATCH($A278,Bookings!$A$5:$A$304,0)))),"—")</f>
        <v>—</v>
      </c>
      <c r="D278" s="37" t="str">
        <f>IFERROR(IF(INDEX(Bookings!$D$5:$D$304,MATCH($A278,Bookings!$A$5:$A$304,0))="Cancelled","—",IF(INDEX(Bookings!$G$5:$G$304,MATCH($A278,Bookings!$A$5:$A$304,0))="","—",INDEX(Bookings!$G$5:$G$304,MATCH($A278,Bookings!$A$5:$A$304,0)))),"—")</f>
        <v>—</v>
      </c>
      <c r="E278" s="38" t="str">
        <f t="shared" ca="1" si="4"/>
        <v>—</v>
      </c>
      <c r="F278" s="39" t="str">
        <f>IF(OR(NOT(ISNUMBER($D278)),$B278="—",$B278=""),"—",IF(COUNTIFS(Bookings!$B$5:$B$304,$B278,Bookings!$F$5:$F$304,$D278)-COUNTIFS(Bookings!$B$5:$B$304,$B278,Bookings!$F$5:$F$304,$D278,Bookings!$D$5:$D$304,"Cancelled")-COUNTIFS(Bookings!$B$5:$B$304,$B278,Bookings!$F$5:$F$304,$D278,Bookings!$D$5:$D$304,"Owner block")&gt;0,"SAME-DAY TURN","No same-day guest"))</f>
        <v>—</v>
      </c>
      <c r="G278" s="38" t="str">
        <f>IFERROR(IF(INDEX(Bookings!$D$5:$D$304,MATCH($A278,Bookings!$A$5:$A$304,0))="Cancelled","—",IF(INDEX(Bookings!$I$5:$I$304,MATCH($A278,Bookings!$A$5:$A$304,0))="","—",INDEX(Bookings!$I$5:$I$304,MATCH($A278,Bookings!$A$5:$A$304,0)))),"—")</f>
        <v>—</v>
      </c>
      <c r="H278" s="38" t="str">
        <f>IFERROR(IF(INDEX(Setup!$I$25:$I$36,MATCH($B278,Setup!$A$25:$A$36,0))=0,"—",INDEX(Setup!$I$25:$I$36,MATCH($B278,Setup!$A$25:$A$36,0))),"—")</f>
        <v>—</v>
      </c>
      <c r="I278" s="21" t="str">
        <f>IFERROR(IF(INDEX(Setup!$E$25:$E$36,MATCH($B278,Setup!$A$25:$A$36,0))=0,"—",INDEX(Setup!$E$25:$E$36,MATCH($B278,Setup!$A$25:$A$36,0))),"—")</f>
        <v>—</v>
      </c>
      <c r="J278" s="8"/>
      <c r="K278" s="8"/>
      <c r="L278" s="8"/>
    </row>
    <row r="279" spans="1:12" x14ac:dyDescent="0.2">
      <c r="A279" s="30">
        <v>275</v>
      </c>
      <c r="B279" s="7" t="str">
        <f>IFERROR(IF(INDEX(Bookings!$D$5:$D$304,MATCH($A279,Bookings!$A$5:$A$304,0))="Cancelled","—",IF(INDEX(Bookings!$B$5:$B$304,MATCH($A279,Bookings!$A$5:$A$304,0))="","—",INDEX(Bookings!$B$5:$B$304,MATCH($A279,Bookings!$A$5:$A$304,0)))),"—")</f>
        <v>—</v>
      </c>
      <c r="C279" s="7" t="str">
        <f>IFERROR(IF(INDEX(Bookings!$D$5:$D$304,MATCH($A279,Bookings!$A$5:$A$304,0))="Cancelled","—",IF(INDEX(Bookings!$E$5:$E$304,MATCH($A279,Bookings!$A$5:$A$304,0))="","—",INDEX(Bookings!$E$5:$E$304,MATCH($A279,Bookings!$A$5:$A$304,0)))),"—")</f>
        <v>—</v>
      </c>
      <c r="D279" s="37" t="str">
        <f>IFERROR(IF(INDEX(Bookings!$D$5:$D$304,MATCH($A279,Bookings!$A$5:$A$304,0))="Cancelled","—",IF(INDEX(Bookings!$G$5:$G$304,MATCH($A279,Bookings!$A$5:$A$304,0))="","—",INDEX(Bookings!$G$5:$G$304,MATCH($A279,Bookings!$A$5:$A$304,0)))),"—")</f>
        <v>—</v>
      </c>
      <c r="E279" s="38" t="str">
        <f t="shared" ca="1" si="4"/>
        <v>—</v>
      </c>
      <c r="F279" s="39" t="str">
        <f>IF(OR(NOT(ISNUMBER($D279)),$B279="—",$B279=""),"—",IF(COUNTIFS(Bookings!$B$5:$B$304,$B279,Bookings!$F$5:$F$304,$D279)-COUNTIFS(Bookings!$B$5:$B$304,$B279,Bookings!$F$5:$F$304,$D279,Bookings!$D$5:$D$304,"Cancelled")-COUNTIFS(Bookings!$B$5:$B$304,$B279,Bookings!$F$5:$F$304,$D279,Bookings!$D$5:$D$304,"Owner block")&gt;0,"SAME-DAY TURN","No same-day guest"))</f>
        <v>—</v>
      </c>
      <c r="G279" s="38" t="str">
        <f>IFERROR(IF(INDEX(Bookings!$D$5:$D$304,MATCH($A279,Bookings!$A$5:$A$304,0))="Cancelled","—",IF(INDEX(Bookings!$I$5:$I$304,MATCH($A279,Bookings!$A$5:$A$304,0))="","—",INDEX(Bookings!$I$5:$I$304,MATCH($A279,Bookings!$A$5:$A$304,0)))),"—")</f>
        <v>—</v>
      </c>
      <c r="H279" s="38" t="str">
        <f>IFERROR(IF(INDEX(Setup!$I$25:$I$36,MATCH($B279,Setup!$A$25:$A$36,0))=0,"—",INDEX(Setup!$I$25:$I$36,MATCH($B279,Setup!$A$25:$A$36,0))),"—")</f>
        <v>—</v>
      </c>
      <c r="I279" s="21" t="str">
        <f>IFERROR(IF(INDEX(Setup!$E$25:$E$36,MATCH($B279,Setup!$A$25:$A$36,0))=0,"—",INDEX(Setup!$E$25:$E$36,MATCH($B279,Setup!$A$25:$A$36,0))),"—")</f>
        <v>—</v>
      </c>
      <c r="J279" s="3"/>
      <c r="K279" s="3"/>
      <c r="L279" s="3"/>
    </row>
    <row r="280" spans="1:12" x14ac:dyDescent="0.2">
      <c r="A280" s="30">
        <v>276</v>
      </c>
      <c r="B280" s="7" t="str">
        <f>IFERROR(IF(INDEX(Bookings!$D$5:$D$304,MATCH($A280,Bookings!$A$5:$A$304,0))="Cancelled","—",IF(INDEX(Bookings!$B$5:$B$304,MATCH($A280,Bookings!$A$5:$A$304,0))="","—",INDEX(Bookings!$B$5:$B$304,MATCH($A280,Bookings!$A$5:$A$304,0)))),"—")</f>
        <v>—</v>
      </c>
      <c r="C280" s="7" t="str">
        <f>IFERROR(IF(INDEX(Bookings!$D$5:$D$304,MATCH($A280,Bookings!$A$5:$A$304,0))="Cancelled","—",IF(INDEX(Bookings!$E$5:$E$304,MATCH($A280,Bookings!$A$5:$A$304,0))="","—",INDEX(Bookings!$E$5:$E$304,MATCH($A280,Bookings!$A$5:$A$304,0)))),"—")</f>
        <v>—</v>
      </c>
      <c r="D280" s="37" t="str">
        <f>IFERROR(IF(INDEX(Bookings!$D$5:$D$304,MATCH($A280,Bookings!$A$5:$A$304,0))="Cancelled","—",IF(INDEX(Bookings!$G$5:$G$304,MATCH($A280,Bookings!$A$5:$A$304,0))="","—",INDEX(Bookings!$G$5:$G$304,MATCH($A280,Bookings!$A$5:$A$304,0)))),"—")</f>
        <v>—</v>
      </c>
      <c r="E280" s="38" t="str">
        <f t="shared" ca="1" si="4"/>
        <v>—</v>
      </c>
      <c r="F280" s="39" t="str">
        <f>IF(OR(NOT(ISNUMBER($D280)),$B280="—",$B280=""),"—",IF(COUNTIFS(Bookings!$B$5:$B$304,$B280,Bookings!$F$5:$F$304,$D280)-COUNTIFS(Bookings!$B$5:$B$304,$B280,Bookings!$F$5:$F$304,$D280,Bookings!$D$5:$D$304,"Cancelled")-COUNTIFS(Bookings!$B$5:$B$304,$B280,Bookings!$F$5:$F$304,$D280,Bookings!$D$5:$D$304,"Owner block")&gt;0,"SAME-DAY TURN","No same-day guest"))</f>
        <v>—</v>
      </c>
      <c r="G280" s="38" t="str">
        <f>IFERROR(IF(INDEX(Bookings!$D$5:$D$304,MATCH($A280,Bookings!$A$5:$A$304,0))="Cancelled","—",IF(INDEX(Bookings!$I$5:$I$304,MATCH($A280,Bookings!$A$5:$A$304,0))="","—",INDEX(Bookings!$I$5:$I$304,MATCH($A280,Bookings!$A$5:$A$304,0)))),"—")</f>
        <v>—</v>
      </c>
      <c r="H280" s="38" t="str">
        <f>IFERROR(IF(INDEX(Setup!$I$25:$I$36,MATCH($B280,Setup!$A$25:$A$36,0))=0,"—",INDEX(Setup!$I$25:$I$36,MATCH($B280,Setup!$A$25:$A$36,0))),"—")</f>
        <v>—</v>
      </c>
      <c r="I280" s="21" t="str">
        <f>IFERROR(IF(INDEX(Setup!$E$25:$E$36,MATCH($B280,Setup!$A$25:$A$36,0))=0,"—",INDEX(Setup!$E$25:$E$36,MATCH($B280,Setup!$A$25:$A$36,0))),"—")</f>
        <v>—</v>
      </c>
      <c r="J280" s="8"/>
      <c r="K280" s="8"/>
      <c r="L280" s="8"/>
    </row>
    <row r="281" spans="1:12" x14ac:dyDescent="0.2">
      <c r="A281" s="30">
        <v>277</v>
      </c>
      <c r="B281" s="7" t="str">
        <f>IFERROR(IF(INDEX(Bookings!$D$5:$D$304,MATCH($A281,Bookings!$A$5:$A$304,0))="Cancelled","—",IF(INDEX(Bookings!$B$5:$B$304,MATCH($A281,Bookings!$A$5:$A$304,0))="","—",INDEX(Bookings!$B$5:$B$304,MATCH($A281,Bookings!$A$5:$A$304,0)))),"—")</f>
        <v>—</v>
      </c>
      <c r="C281" s="7" t="str">
        <f>IFERROR(IF(INDEX(Bookings!$D$5:$D$304,MATCH($A281,Bookings!$A$5:$A$304,0))="Cancelled","—",IF(INDEX(Bookings!$E$5:$E$304,MATCH($A281,Bookings!$A$5:$A$304,0))="","—",INDEX(Bookings!$E$5:$E$304,MATCH($A281,Bookings!$A$5:$A$304,0)))),"—")</f>
        <v>—</v>
      </c>
      <c r="D281" s="37" t="str">
        <f>IFERROR(IF(INDEX(Bookings!$D$5:$D$304,MATCH($A281,Bookings!$A$5:$A$304,0))="Cancelled","—",IF(INDEX(Bookings!$G$5:$G$304,MATCH($A281,Bookings!$A$5:$A$304,0))="","—",INDEX(Bookings!$G$5:$G$304,MATCH($A281,Bookings!$A$5:$A$304,0)))),"—")</f>
        <v>—</v>
      </c>
      <c r="E281" s="38" t="str">
        <f t="shared" ca="1" si="4"/>
        <v>—</v>
      </c>
      <c r="F281" s="39" t="str">
        <f>IF(OR(NOT(ISNUMBER($D281)),$B281="—",$B281=""),"—",IF(COUNTIFS(Bookings!$B$5:$B$304,$B281,Bookings!$F$5:$F$304,$D281)-COUNTIFS(Bookings!$B$5:$B$304,$B281,Bookings!$F$5:$F$304,$D281,Bookings!$D$5:$D$304,"Cancelled")-COUNTIFS(Bookings!$B$5:$B$304,$B281,Bookings!$F$5:$F$304,$D281,Bookings!$D$5:$D$304,"Owner block")&gt;0,"SAME-DAY TURN","No same-day guest"))</f>
        <v>—</v>
      </c>
      <c r="G281" s="38" t="str">
        <f>IFERROR(IF(INDEX(Bookings!$D$5:$D$304,MATCH($A281,Bookings!$A$5:$A$304,0))="Cancelled","—",IF(INDEX(Bookings!$I$5:$I$304,MATCH($A281,Bookings!$A$5:$A$304,0))="","—",INDEX(Bookings!$I$5:$I$304,MATCH($A281,Bookings!$A$5:$A$304,0)))),"—")</f>
        <v>—</v>
      </c>
      <c r="H281" s="38" t="str">
        <f>IFERROR(IF(INDEX(Setup!$I$25:$I$36,MATCH($B281,Setup!$A$25:$A$36,0))=0,"—",INDEX(Setup!$I$25:$I$36,MATCH($B281,Setup!$A$25:$A$36,0))),"—")</f>
        <v>—</v>
      </c>
      <c r="I281" s="21" t="str">
        <f>IFERROR(IF(INDEX(Setup!$E$25:$E$36,MATCH($B281,Setup!$A$25:$A$36,0))=0,"—",INDEX(Setup!$E$25:$E$36,MATCH($B281,Setup!$A$25:$A$36,0))),"—")</f>
        <v>—</v>
      </c>
      <c r="J281" s="3"/>
      <c r="K281" s="3"/>
      <c r="L281" s="3"/>
    </row>
    <row r="282" spans="1:12" x14ac:dyDescent="0.2">
      <c r="A282" s="30">
        <v>278</v>
      </c>
      <c r="B282" s="7" t="str">
        <f>IFERROR(IF(INDEX(Bookings!$D$5:$D$304,MATCH($A282,Bookings!$A$5:$A$304,0))="Cancelled","—",IF(INDEX(Bookings!$B$5:$B$304,MATCH($A282,Bookings!$A$5:$A$304,0))="","—",INDEX(Bookings!$B$5:$B$304,MATCH($A282,Bookings!$A$5:$A$304,0)))),"—")</f>
        <v>—</v>
      </c>
      <c r="C282" s="7" t="str">
        <f>IFERROR(IF(INDEX(Bookings!$D$5:$D$304,MATCH($A282,Bookings!$A$5:$A$304,0))="Cancelled","—",IF(INDEX(Bookings!$E$5:$E$304,MATCH($A282,Bookings!$A$5:$A$304,0))="","—",INDEX(Bookings!$E$5:$E$304,MATCH($A282,Bookings!$A$5:$A$304,0)))),"—")</f>
        <v>—</v>
      </c>
      <c r="D282" s="37" t="str">
        <f>IFERROR(IF(INDEX(Bookings!$D$5:$D$304,MATCH($A282,Bookings!$A$5:$A$304,0))="Cancelled","—",IF(INDEX(Bookings!$G$5:$G$304,MATCH($A282,Bookings!$A$5:$A$304,0))="","—",INDEX(Bookings!$G$5:$G$304,MATCH($A282,Bookings!$A$5:$A$304,0)))),"—")</f>
        <v>—</v>
      </c>
      <c r="E282" s="38" t="str">
        <f t="shared" ca="1" si="4"/>
        <v>—</v>
      </c>
      <c r="F282" s="39" t="str">
        <f>IF(OR(NOT(ISNUMBER($D282)),$B282="—",$B282=""),"—",IF(COUNTIFS(Bookings!$B$5:$B$304,$B282,Bookings!$F$5:$F$304,$D282)-COUNTIFS(Bookings!$B$5:$B$304,$B282,Bookings!$F$5:$F$304,$D282,Bookings!$D$5:$D$304,"Cancelled")-COUNTIFS(Bookings!$B$5:$B$304,$B282,Bookings!$F$5:$F$304,$D282,Bookings!$D$5:$D$304,"Owner block")&gt;0,"SAME-DAY TURN","No same-day guest"))</f>
        <v>—</v>
      </c>
      <c r="G282" s="38" t="str">
        <f>IFERROR(IF(INDEX(Bookings!$D$5:$D$304,MATCH($A282,Bookings!$A$5:$A$304,0))="Cancelled","—",IF(INDEX(Bookings!$I$5:$I$304,MATCH($A282,Bookings!$A$5:$A$304,0))="","—",INDEX(Bookings!$I$5:$I$304,MATCH($A282,Bookings!$A$5:$A$304,0)))),"—")</f>
        <v>—</v>
      </c>
      <c r="H282" s="38" t="str">
        <f>IFERROR(IF(INDEX(Setup!$I$25:$I$36,MATCH($B282,Setup!$A$25:$A$36,0))=0,"—",INDEX(Setup!$I$25:$I$36,MATCH($B282,Setup!$A$25:$A$36,0))),"—")</f>
        <v>—</v>
      </c>
      <c r="I282" s="21" t="str">
        <f>IFERROR(IF(INDEX(Setup!$E$25:$E$36,MATCH($B282,Setup!$A$25:$A$36,0))=0,"—",INDEX(Setup!$E$25:$E$36,MATCH($B282,Setup!$A$25:$A$36,0))),"—")</f>
        <v>—</v>
      </c>
      <c r="J282" s="8"/>
      <c r="K282" s="8"/>
      <c r="L282" s="8"/>
    </row>
    <row r="283" spans="1:12" x14ac:dyDescent="0.2">
      <c r="A283" s="30">
        <v>279</v>
      </c>
      <c r="B283" s="7" t="str">
        <f>IFERROR(IF(INDEX(Bookings!$D$5:$D$304,MATCH($A283,Bookings!$A$5:$A$304,0))="Cancelled","—",IF(INDEX(Bookings!$B$5:$B$304,MATCH($A283,Bookings!$A$5:$A$304,0))="","—",INDEX(Bookings!$B$5:$B$304,MATCH($A283,Bookings!$A$5:$A$304,0)))),"—")</f>
        <v>—</v>
      </c>
      <c r="C283" s="7" t="str">
        <f>IFERROR(IF(INDEX(Bookings!$D$5:$D$304,MATCH($A283,Bookings!$A$5:$A$304,0))="Cancelled","—",IF(INDEX(Bookings!$E$5:$E$304,MATCH($A283,Bookings!$A$5:$A$304,0))="","—",INDEX(Bookings!$E$5:$E$304,MATCH($A283,Bookings!$A$5:$A$304,0)))),"—")</f>
        <v>—</v>
      </c>
      <c r="D283" s="37" t="str">
        <f>IFERROR(IF(INDEX(Bookings!$D$5:$D$304,MATCH($A283,Bookings!$A$5:$A$304,0))="Cancelled","—",IF(INDEX(Bookings!$G$5:$G$304,MATCH($A283,Bookings!$A$5:$A$304,0))="","—",INDEX(Bookings!$G$5:$G$304,MATCH($A283,Bookings!$A$5:$A$304,0)))),"—")</f>
        <v>—</v>
      </c>
      <c r="E283" s="38" t="str">
        <f t="shared" ca="1" si="4"/>
        <v>—</v>
      </c>
      <c r="F283" s="39" t="str">
        <f>IF(OR(NOT(ISNUMBER($D283)),$B283="—",$B283=""),"—",IF(COUNTIFS(Bookings!$B$5:$B$304,$B283,Bookings!$F$5:$F$304,$D283)-COUNTIFS(Bookings!$B$5:$B$304,$B283,Bookings!$F$5:$F$304,$D283,Bookings!$D$5:$D$304,"Cancelled")-COUNTIFS(Bookings!$B$5:$B$304,$B283,Bookings!$F$5:$F$304,$D283,Bookings!$D$5:$D$304,"Owner block")&gt;0,"SAME-DAY TURN","No same-day guest"))</f>
        <v>—</v>
      </c>
      <c r="G283" s="38" t="str">
        <f>IFERROR(IF(INDEX(Bookings!$D$5:$D$304,MATCH($A283,Bookings!$A$5:$A$304,0))="Cancelled","—",IF(INDEX(Bookings!$I$5:$I$304,MATCH($A283,Bookings!$A$5:$A$304,0))="","—",INDEX(Bookings!$I$5:$I$304,MATCH($A283,Bookings!$A$5:$A$304,0)))),"—")</f>
        <v>—</v>
      </c>
      <c r="H283" s="38" t="str">
        <f>IFERROR(IF(INDEX(Setup!$I$25:$I$36,MATCH($B283,Setup!$A$25:$A$36,0))=0,"—",INDEX(Setup!$I$25:$I$36,MATCH($B283,Setup!$A$25:$A$36,0))),"—")</f>
        <v>—</v>
      </c>
      <c r="I283" s="21" t="str">
        <f>IFERROR(IF(INDEX(Setup!$E$25:$E$36,MATCH($B283,Setup!$A$25:$A$36,0))=0,"—",INDEX(Setup!$E$25:$E$36,MATCH($B283,Setup!$A$25:$A$36,0))),"—")</f>
        <v>—</v>
      </c>
      <c r="J283" s="3"/>
      <c r="K283" s="3"/>
      <c r="L283" s="3"/>
    </row>
    <row r="284" spans="1:12" x14ac:dyDescent="0.2">
      <c r="A284" s="30">
        <v>280</v>
      </c>
      <c r="B284" s="7" t="str">
        <f>IFERROR(IF(INDEX(Bookings!$D$5:$D$304,MATCH($A284,Bookings!$A$5:$A$304,0))="Cancelled","—",IF(INDEX(Bookings!$B$5:$B$304,MATCH($A284,Bookings!$A$5:$A$304,0))="","—",INDEX(Bookings!$B$5:$B$304,MATCH($A284,Bookings!$A$5:$A$304,0)))),"—")</f>
        <v>—</v>
      </c>
      <c r="C284" s="7" t="str">
        <f>IFERROR(IF(INDEX(Bookings!$D$5:$D$304,MATCH($A284,Bookings!$A$5:$A$304,0))="Cancelled","—",IF(INDEX(Bookings!$E$5:$E$304,MATCH($A284,Bookings!$A$5:$A$304,0))="","—",INDEX(Bookings!$E$5:$E$304,MATCH($A284,Bookings!$A$5:$A$304,0)))),"—")</f>
        <v>—</v>
      </c>
      <c r="D284" s="37" t="str">
        <f>IFERROR(IF(INDEX(Bookings!$D$5:$D$304,MATCH($A284,Bookings!$A$5:$A$304,0))="Cancelled","—",IF(INDEX(Bookings!$G$5:$G$304,MATCH($A284,Bookings!$A$5:$A$304,0))="","—",INDEX(Bookings!$G$5:$G$304,MATCH($A284,Bookings!$A$5:$A$304,0)))),"—")</f>
        <v>—</v>
      </c>
      <c r="E284" s="38" t="str">
        <f t="shared" ca="1" si="4"/>
        <v>—</v>
      </c>
      <c r="F284" s="39" t="str">
        <f>IF(OR(NOT(ISNUMBER($D284)),$B284="—",$B284=""),"—",IF(COUNTIFS(Bookings!$B$5:$B$304,$B284,Bookings!$F$5:$F$304,$D284)-COUNTIFS(Bookings!$B$5:$B$304,$B284,Bookings!$F$5:$F$304,$D284,Bookings!$D$5:$D$304,"Cancelled")-COUNTIFS(Bookings!$B$5:$B$304,$B284,Bookings!$F$5:$F$304,$D284,Bookings!$D$5:$D$304,"Owner block")&gt;0,"SAME-DAY TURN","No same-day guest"))</f>
        <v>—</v>
      </c>
      <c r="G284" s="38" t="str">
        <f>IFERROR(IF(INDEX(Bookings!$D$5:$D$304,MATCH($A284,Bookings!$A$5:$A$304,0))="Cancelled","—",IF(INDEX(Bookings!$I$5:$I$304,MATCH($A284,Bookings!$A$5:$A$304,0))="","—",INDEX(Bookings!$I$5:$I$304,MATCH($A284,Bookings!$A$5:$A$304,0)))),"—")</f>
        <v>—</v>
      </c>
      <c r="H284" s="38" t="str">
        <f>IFERROR(IF(INDEX(Setup!$I$25:$I$36,MATCH($B284,Setup!$A$25:$A$36,0))=0,"—",INDEX(Setup!$I$25:$I$36,MATCH($B284,Setup!$A$25:$A$36,0))),"—")</f>
        <v>—</v>
      </c>
      <c r="I284" s="21" t="str">
        <f>IFERROR(IF(INDEX(Setup!$E$25:$E$36,MATCH($B284,Setup!$A$25:$A$36,0))=0,"—",INDEX(Setup!$E$25:$E$36,MATCH($B284,Setup!$A$25:$A$36,0))),"—")</f>
        <v>—</v>
      </c>
      <c r="J284" s="8"/>
      <c r="K284" s="8"/>
      <c r="L284" s="8"/>
    </row>
    <row r="285" spans="1:12" x14ac:dyDescent="0.2">
      <c r="A285" s="30">
        <v>281</v>
      </c>
      <c r="B285" s="7" t="str">
        <f>IFERROR(IF(INDEX(Bookings!$D$5:$D$304,MATCH($A285,Bookings!$A$5:$A$304,0))="Cancelled","—",IF(INDEX(Bookings!$B$5:$B$304,MATCH($A285,Bookings!$A$5:$A$304,0))="","—",INDEX(Bookings!$B$5:$B$304,MATCH($A285,Bookings!$A$5:$A$304,0)))),"—")</f>
        <v>—</v>
      </c>
      <c r="C285" s="7" t="str">
        <f>IFERROR(IF(INDEX(Bookings!$D$5:$D$304,MATCH($A285,Bookings!$A$5:$A$304,0))="Cancelled","—",IF(INDEX(Bookings!$E$5:$E$304,MATCH($A285,Bookings!$A$5:$A$304,0))="","—",INDEX(Bookings!$E$5:$E$304,MATCH($A285,Bookings!$A$5:$A$304,0)))),"—")</f>
        <v>—</v>
      </c>
      <c r="D285" s="37" t="str">
        <f>IFERROR(IF(INDEX(Bookings!$D$5:$D$304,MATCH($A285,Bookings!$A$5:$A$304,0))="Cancelled","—",IF(INDEX(Bookings!$G$5:$G$304,MATCH($A285,Bookings!$A$5:$A$304,0))="","—",INDEX(Bookings!$G$5:$G$304,MATCH($A285,Bookings!$A$5:$A$304,0)))),"—")</f>
        <v>—</v>
      </c>
      <c r="E285" s="38" t="str">
        <f t="shared" ca="1" si="4"/>
        <v>—</v>
      </c>
      <c r="F285" s="39" t="str">
        <f>IF(OR(NOT(ISNUMBER($D285)),$B285="—",$B285=""),"—",IF(COUNTIFS(Bookings!$B$5:$B$304,$B285,Bookings!$F$5:$F$304,$D285)-COUNTIFS(Bookings!$B$5:$B$304,$B285,Bookings!$F$5:$F$304,$D285,Bookings!$D$5:$D$304,"Cancelled")-COUNTIFS(Bookings!$B$5:$B$304,$B285,Bookings!$F$5:$F$304,$D285,Bookings!$D$5:$D$304,"Owner block")&gt;0,"SAME-DAY TURN","No same-day guest"))</f>
        <v>—</v>
      </c>
      <c r="G285" s="38" t="str">
        <f>IFERROR(IF(INDEX(Bookings!$D$5:$D$304,MATCH($A285,Bookings!$A$5:$A$304,0))="Cancelled","—",IF(INDEX(Bookings!$I$5:$I$304,MATCH($A285,Bookings!$A$5:$A$304,0))="","—",INDEX(Bookings!$I$5:$I$304,MATCH($A285,Bookings!$A$5:$A$304,0)))),"—")</f>
        <v>—</v>
      </c>
      <c r="H285" s="38" t="str">
        <f>IFERROR(IF(INDEX(Setup!$I$25:$I$36,MATCH($B285,Setup!$A$25:$A$36,0))=0,"—",INDEX(Setup!$I$25:$I$36,MATCH($B285,Setup!$A$25:$A$36,0))),"—")</f>
        <v>—</v>
      </c>
      <c r="I285" s="21" t="str">
        <f>IFERROR(IF(INDEX(Setup!$E$25:$E$36,MATCH($B285,Setup!$A$25:$A$36,0))=0,"—",INDEX(Setup!$E$25:$E$36,MATCH($B285,Setup!$A$25:$A$36,0))),"—")</f>
        <v>—</v>
      </c>
      <c r="J285" s="3"/>
      <c r="K285" s="3"/>
      <c r="L285" s="3"/>
    </row>
    <row r="286" spans="1:12" x14ac:dyDescent="0.2">
      <c r="A286" s="30">
        <v>282</v>
      </c>
      <c r="B286" s="7" t="str">
        <f>IFERROR(IF(INDEX(Bookings!$D$5:$D$304,MATCH($A286,Bookings!$A$5:$A$304,0))="Cancelled","—",IF(INDEX(Bookings!$B$5:$B$304,MATCH($A286,Bookings!$A$5:$A$304,0))="","—",INDEX(Bookings!$B$5:$B$304,MATCH($A286,Bookings!$A$5:$A$304,0)))),"—")</f>
        <v>—</v>
      </c>
      <c r="C286" s="7" t="str">
        <f>IFERROR(IF(INDEX(Bookings!$D$5:$D$304,MATCH($A286,Bookings!$A$5:$A$304,0))="Cancelled","—",IF(INDEX(Bookings!$E$5:$E$304,MATCH($A286,Bookings!$A$5:$A$304,0))="","—",INDEX(Bookings!$E$5:$E$304,MATCH($A286,Bookings!$A$5:$A$304,0)))),"—")</f>
        <v>—</v>
      </c>
      <c r="D286" s="37" t="str">
        <f>IFERROR(IF(INDEX(Bookings!$D$5:$D$304,MATCH($A286,Bookings!$A$5:$A$304,0))="Cancelled","—",IF(INDEX(Bookings!$G$5:$G$304,MATCH($A286,Bookings!$A$5:$A$304,0))="","—",INDEX(Bookings!$G$5:$G$304,MATCH($A286,Bookings!$A$5:$A$304,0)))),"—")</f>
        <v>—</v>
      </c>
      <c r="E286" s="38" t="str">
        <f t="shared" ca="1" si="4"/>
        <v>—</v>
      </c>
      <c r="F286" s="39" t="str">
        <f>IF(OR(NOT(ISNUMBER($D286)),$B286="—",$B286=""),"—",IF(COUNTIFS(Bookings!$B$5:$B$304,$B286,Bookings!$F$5:$F$304,$D286)-COUNTIFS(Bookings!$B$5:$B$304,$B286,Bookings!$F$5:$F$304,$D286,Bookings!$D$5:$D$304,"Cancelled")-COUNTIFS(Bookings!$B$5:$B$304,$B286,Bookings!$F$5:$F$304,$D286,Bookings!$D$5:$D$304,"Owner block")&gt;0,"SAME-DAY TURN","No same-day guest"))</f>
        <v>—</v>
      </c>
      <c r="G286" s="38" t="str">
        <f>IFERROR(IF(INDEX(Bookings!$D$5:$D$304,MATCH($A286,Bookings!$A$5:$A$304,0))="Cancelled","—",IF(INDEX(Bookings!$I$5:$I$304,MATCH($A286,Bookings!$A$5:$A$304,0))="","—",INDEX(Bookings!$I$5:$I$304,MATCH($A286,Bookings!$A$5:$A$304,0)))),"—")</f>
        <v>—</v>
      </c>
      <c r="H286" s="38" t="str">
        <f>IFERROR(IF(INDEX(Setup!$I$25:$I$36,MATCH($B286,Setup!$A$25:$A$36,0))=0,"—",INDEX(Setup!$I$25:$I$36,MATCH($B286,Setup!$A$25:$A$36,0))),"—")</f>
        <v>—</v>
      </c>
      <c r="I286" s="21" t="str">
        <f>IFERROR(IF(INDEX(Setup!$E$25:$E$36,MATCH($B286,Setup!$A$25:$A$36,0))=0,"—",INDEX(Setup!$E$25:$E$36,MATCH($B286,Setup!$A$25:$A$36,0))),"—")</f>
        <v>—</v>
      </c>
      <c r="J286" s="8"/>
      <c r="K286" s="8"/>
      <c r="L286" s="8"/>
    </row>
    <row r="287" spans="1:12" x14ac:dyDescent="0.2">
      <c r="A287" s="30">
        <v>283</v>
      </c>
      <c r="B287" s="7" t="str">
        <f>IFERROR(IF(INDEX(Bookings!$D$5:$D$304,MATCH($A287,Bookings!$A$5:$A$304,0))="Cancelled","—",IF(INDEX(Bookings!$B$5:$B$304,MATCH($A287,Bookings!$A$5:$A$304,0))="","—",INDEX(Bookings!$B$5:$B$304,MATCH($A287,Bookings!$A$5:$A$304,0)))),"—")</f>
        <v>—</v>
      </c>
      <c r="C287" s="7" t="str">
        <f>IFERROR(IF(INDEX(Bookings!$D$5:$D$304,MATCH($A287,Bookings!$A$5:$A$304,0))="Cancelled","—",IF(INDEX(Bookings!$E$5:$E$304,MATCH($A287,Bookings!$A$5:$A$304,0))="","—",INDEX(Bookings!$E$5:$E$304,MATCH($A287,Bookings!$A$5:$A$304,0)))),"—")</f>
        <v>—</v>
      </c>
      <c r="D287" s="37" t="str">
        <f>IFERROR(IF(INDEX(Bookings!$D$5:$D$304,MATCH($A287,Bookings!$A$5:$A$304,0))="Cancelled","—",IF(INDEX(Bookings!$G$5:$G$304,MATCH($A287,Bookings!$A$5:$A$304,0))="","—",INDEX(Bookings!$G$5:$G$304,MATCH($A287,Bookings!$A$5:$A$304,0)))),"—")</f>
        <v>—</v>
      </c>
      <c r="E287" s="38" t="str">
        <f t="shared" ca="1" si="4"/>
        <v>—</v>
      </c>
      <c r="F287" s="39" t="str">
        <f>IF(OR(NOT(ISNUMBER($D287)),$B287="—",$B287=""),"—",IF(COUNTIFS(Bookings!$B$5:$B$304,$B287,Bookings!$F$5:$F$304,$D287)-COUNTIFS(Bookings!$B$5:$B$304,$B287,Bookings!$F$5:$F$304,$D287,Bookings!$D$5:$D$304,"Cancelled")-COUNTIFS(Bookings!$B$5:$B$304,$B287,Bookings!$F$5:$F$304,$D287,Bookings!$D$5:$D$304,"Owner block")&gt;0,"SAME-DAY TURN","No same-day guest"))</f>
        <v>—</v>
      </c>
      <c r="G287" s="38" t="str">
        <f>IFERROR(IF(INDEX(Bookings!$D$5:$D$304,MATCH($A287,Bookings!$A$5:$A$304,0))="Cancelled","—",IF(INDEX(Bookings!$I$5:$I$304,MATCH($A287,Bookings!$A$5:$A$304,0))="","—",INDEX(Bookings!$I$5:$I$304,MATCH($A287,Bookings!$A$5:$A$304,0)))),"—")</f>
        <v>—</v>
      </c>
      <c r="H287" s="38" t="str">
        <f>IFERROR(IF(INDEX(Setup!$I$25:$I$36,MATCH($B287,Setup!$A$25:$A$36,0))=0,"—",INDEX(Setup!$I$25:$I$36,MATCH($B287,Setup!$A$25:$A$36,0))),"—")</f>
        <v>—</v>
      </c>
      <c r="I287" s="21" t="str">
        <f>IFERROR(IF(INDEX(Setup!$E$25:$E$36,MATCH($B287,Setup!$A$25:$A$36,0))=0,"—",INDEX(Setup!$E$25:$E$36,MATCH($B287,Setup!$A$25:$A$36,0))),"—")</f>
        <v>—</v>
      </c>
      <c r="J287" s="3"/>
      <c r="K287" s="3"/>
      <c r="L287" s="3"/>
    </row>
    <row r="288" spans="1:12" x14ac:dyDescent="0.2">
      <c r="A288" s="30">
        <v>284</v>
      </c>
      <c r="B288" s="7" t="str">
        <f>IFERROR(IF(INDEX(Bookings!$D$5:$D$304,MATCH($A288,Bookings!$A$5:$A$304,0))="Cancelled","—",IF(INDEX(Bookings!$B$5:$B$304,MATCH($A288,Bookings!$A$5:$A$304,0))="","—",INDEX(Bookings!$B$5:$B$304,MATCH($A288,Bookings!$A$5:$A$304,0)))),"—")</f>
        <v>—</v>
      </c>
      <c r="C288" s="7" t="str">
        <f>IFERROR(IF(INDEX(Bookings!$D$5:$D$304,MATCH($A288,Bookings!$A$5:$A$304,0))="Cancelled","—",IF(INDEX(Bookings!$E$5:$E$304,MATCH($A288,Bookings!$A$5:$A$304,0))="","—",INDEX(Bookings!$E$5:$E$304,MATCH($A288,Bookings!$A$5:$A$304,0)))),"—")</f>
        <v>—</v>
      </c>
      <c r="D288" s="37" t="str">
        <f>IFERROR(IF(INDEX(Bookings!$D$5:$D$304,MATCH($A288,Bookings!$A$5:$A$304,0))="Cancelled","—",IF(INDEX(Bookings!$G$5:$G$304,MATCH($A288,Bookings!$A$5:$A$304,0))="","—",INDEX(Bookings!$G$5:$G$304,MATCH($A288,Bookings!$A$5:$A$304,0)))),"—")</f>
        <v>—</v>
      </c>
      <c r="E288" s="38" t="str">
        <f t="shared" ca="1" si="4"/>
        <v>—</v>
      </c>
      <c r="F288" s="39" t="str">
        <f>IF(OR(NOT(ISNUMBER($D288)),$B288="—",$B288=""),"—",IF(COUNTIFS(Bookings!$B$5:$B$304,$B288,Bookings!$F$5:$F$304,$D288)-COUNTIFS(Bookings!$B$5:$B$304,$B288,Bookings!$F$5:$F$304,$D288,Bookings!$D$5:$D$304,"Cancelled")-COUNTIFS(Bookings!$B$5:$B$304,$B288,Bookings!$F$5:$F$304,$D288,Bookings!$D$5:$D$304,"Owner block")&gt;0,"SAME-DAY TURN","No same-day guest"))</f>
        <v>—</v>
      </c>
      <c r="G288" s="38" t="str">
        <f>IFERROR(IF(INDEX(Bookings!$D$5:$D$304,MATCH($A288,Bookings!$A$5:$A$304,0))="Cancelled","—",IF(INDEX(Bookings!$I$5:$I$304,MATCH($A288,Bookings!$A$5:$A$304,0))="","—",INDEX(Bookings!$I$5:$I$304,MATCH($A288,Bookings!$A$5:$A$304,0)))),"—")</f>
        <v>—</v>
      </c>
      <c r="H288" s="38" t="str">
        <f>IFERROR(IF(INDEX(Setup!$I$25:$I$36,MATCH($B288,Setup!$A$25:$A$36,0))=0,"—",INDEX(Setup!$I$25:$I$36,MATCH($B288,Setup!$A$25:$A$36,0))),"—")</f>
        <v>—</v>
      </c>
      <c r="I288" s="21" t="str">
        <f>IFERROR(IF(INDEX(Setup!$E$25:$E$36,MATCH($B288,Setup!$A$25:$A$36,0))=0,"—",INDEX(Setup!$E$25:$E$36,MATCH($B288,Setup!$A$25:$A$36,0))),"—")</f>
        <v>—</v>
      </c>
      <c r="J288" s="8"/>
      <c r="K288" s="8"/>
      <c r="L288" s="8"/>
    </row>
    <row r="289" spans="1:12" x14ac:dyDescent="0.2">
      <c r="A289" s="30">
        <v>285</v>
      </c>
      <c r="B289" s="7" t="str">
        <f>IFERROR(IF(INDEX(Bookings!$D$5:$D$304,MATCH($A289,Bookings!$A$5:$A$304,0))="Cancelled","—",IF(INDEX(Bookings!$B$5:$B$304,MATCH($A289,Bookings!$A$5:$A$304,0))="","—",INDEX(Bookings!$B$5:$B$304,MATCH($A289,Bookings!$A$5:$A$304,0)))),"—")</f>
        <v>—</v>
      </c>
      <c r="C289" s="7" t="str">
        <f>IFERROR(IF(INDEX(Bookings!$D$5:$D$304,MATCH($A289,Bookings!$A$5:$A$304,0))="Cancelled","—",IF(INDEX(Bookings!$E$5:$E$304,MATCH($A289,Bookings!$A$5:$A$304,0))="","—",INDEX(Bookings!$E$5:$E$304,MATCH($A289,Bookings!$A$5:$A$304,0)))),"—")</f>
        <v>—</v>
      </c>
      <c r="D289" s="37" t="str">
        <f>IFERROR(IF(INDEX(Bookings!$D$5:$D$304,MATCH($A289,Bookings!$A$5:$A$304,0))="Cancelled","—",IF(INDEX(Bookings!$G$5:$G$304,MATCH($A289,Bookings!$A$5:$A$304,0))="","—",INDEX(Bookings!$G$5:$G$304,MATCH($A289,Bookings!$A$5:$A$304,0)))),"—")</f>
        <v>—</v>
      </c>
      <c r="E289" s="38" t="str">
        <f t="shared" ca="1" si="4"/>
        <v>—</v>
      </c>
      <c r="F289" s="39" t="str">
        <f>IF(OR(NOT(ISNUMBER($D289)),$B289="—",$B289=""),"—",IF(COUNTIFS(Bookings!$B$5:$B$304,$B289,Bookings!$F$5:$F$304,$D289)-COUNTIFS(Bookings!$B$5:$B$304,$B289,Bookings!$F$5:$F$304,$D289,Bookings!$D$5:$D$304,"Cancelled")-COUNTIFS(Bookings!$B$5:$B$304,$B289,Bookings!$F$5:$F$304,$D289,Bookings!$D$5:$D$304,"Owner block")&gt;0,"SAME-DAY TURN","No same-day guest"))</f>
        <v>—</v>
      </c>
      <c r="G289" s="38" t="str">
        <f>IFERROR(IF(INDEX(Bookings!$D$5:$D$304,MATCH($A289,Bookings!$A$5:$A$304,0))="Cancelled","—",IF(INDEX(Bookings!$I$5:$I$304,MATCH($A289,Bookings!$A$5:$A$304,0))="","—",INDEX(Bookings!$I$5:$I$304,MATCH($A289,Bookings!$A$5:$A$304,0)))),"—")</f>
        <v>—</v>
      </c>
      <c r="H289" s="38" t="str">
        <f>IFERROR(IF(INDEX(Setup!$I$25:$I$36,MATCH($B289,Setup!$A$25:$A$36,0))=0,"—",INDEX(Setup!$I$25:$I$36,MATCH($B289,Setup!$A$25:$A$36,0))),"—")</f>
        <v>—</v>
      </c>
      <c r="I289" s="21" t="str">
        <f>IFERROR(IF(INDEX(Setup!$E$25:$E$36,MATCH($B289,Setup!$A$25:$A$36,0))=0,"—",INDEX(Setup!$E$25:$E$36,MATCH($B289,Setup!$A$25:$A$36,0))),"—")</f>
        <v>—</v>
      </c>
      <c r="J289" s="3"/>
      <c r="K289" s="3"/>
      <c r="L289" s="3"/>
    </row>
    <row r="290" spans="1:12" x14ac:dyDescent="0.2">
      <c r="A290" s="30">
        <v>286</v>
      </c>
      <c r="B290" s="7" t="str">
        <f>IFERROR(IF(INDEX(Bookings!$D$5:$D$304,MATCH($A290,Bookings!$A$5:$A$304,0))="Cancelled","—",IF(INDEX(Bookings!$B$5:$B$304,MATCH($A290,Bookings!$A$5:$A$304,0))="","—",INDEX(Bookings!$B$5:$B$304,MATCH($A290,Bookings!$A$5:$A$304,0)))),"—")</f>
        <v>—</v>
      </c>
      <c r="C290" s="7" t="str">
        <f>IFERROR(IF(INDEX(Bookings!$D$5:$D$304,MATCH($A290,Bookings!$A$5:$A$304,0))="Cancelled","—",IF(INDEX(Bookings!$E$5:$E$304,MATCH($A290,Bookings!$A$5:$A$304,0))="","—",INDEX(Bookings!$E$5:$E$304,MATCH($A290,Bookings!$A$5:$A$304,0)))),"—")</f>
        <v>—</v>
      </c>
      <c r="D290" s="37" t="str">
        <f>IFERROR(IF(INDEX(Bookings!$D$5:$D$304,MATCH($A290,Bookings!$A$5:$A$304,0))="Cancelled","—",IF(INDEX(Bookings!$G$5:$G$304,MATCH($A290,Bookings!$A$5:$A$304,0))="","—",INDEX(Bookings!$G$5:$G$304,MATCH($A290,Bookings!$A$5:$A$304,0)))),"—")</f>
        <v>—</v>
      </c>
      <c r="E290" s="38" t="str">
        <f t="shared" ca="1" si="4"/>
        <v>—</v>
      </c>
      <c r="F290" s="39" t="str">
        <f>IF(OR(NOT(ISNUMBER($D290)),$B290="—",$B290=""),"—",IF(COUNTIFS(Bookings!$B$5:$B$304,$B290,Bookings!$F$5:$F$304,$D290)-COUNTIFS(Bookings!$B$5:$B$304,$B290,Bookings!$F$5:$F$304,$D290,Bookings!$D$5:$D$304,"Cancelled")-COUNTIFS(Bookings!$B$5:$B$304,$B290,Bookings!$F$5:$F$304,$D290,Bookings!$D$5:$D$304,"Owner block")&gt;0,"SAME-DAY TURN","No same-day guest"))</f>
        <v>—</v>
      </c>
      <c r="G290" s="38" t="str">
        <f>IFERROR(IF(INDEX(Bookings!$D$5:$D$304,MATCH($A290,Bookings!$A$5:$A$304,0))="Cancelled","—",IF(INDEX(Bookings!$I$5:$I$304,MATCH($A290,Bookings!$A$5:$A$304,0))="","—",INDEX(Bookings!$I$5:$I$304,MATCH($A290,Bookings!$A$5:$A$304,0)))),"—")</f>
        <v>—</v>
      </c>
      <c r="H290" s="38" t="str">
        <f>IFERROR(IF(INDEX(Setup!$I$25:$I$36,MATCH($B290,Setup!$A$25:$A$36,0))=0,"—",INDEX(Setup!$I$25:$I$36,MATCH($B290,Setup!$A$25:$A$36,0))),"—")</f>
        <v>—</v>
      </c>
      <c r="I290" s="21" t="str">
        <f>IFERROR(IF(INDEX(Setup!$E$25:$E$36,MATCH($B290,Setup!$A$25:$A$36,0))=0,"—",INDEX(Setup!$E$25:$E$36,MATCH($B290,Setup!$A$25:$A$36,0))),"—")</f>
        <v>—</v>
      </c>
      <c r="J290" s="8"/>
      <c r="K290" s="8"/>
      <c r="L290" s="8"/>
    </row>
    <row r="291" spans="1:12" x14ac:dyDescent="0.2">
      <c r="A291" s="30">
        <v>287</v>
      </c>
      <c r="B291" s="7" t="str">
        <f>IFERROR(IF(INDEX(Bookings!$D$5:$D$304,MATCH($A291,Bookings!$A$5:$A$304,0))="Cancelled","—",IF(INDEX(Bookings!$B$5:$B$304,MATCH($A291,Bookings!$A$5:$A$304,0))="","—",INDEX(Bookings!$B$5:$B$304,MATCH($A291,Bookings!$A$5:$A$304,0)))),"—")</f>
        <v>—</v>
      </c>
      <c r="C291" s="7" t="str">
        <f>IFERROR(IF(INDEX(Bookings!$D$5:$D$304,MATCH($A291,Bookings!$A$5:$A$304,0))="Cancelled","—",IF(INDEX(Bookings!$E$5:$E$304,MATCH($A291,Bookings!$A$5:$A$304,0))="","—",INDEX(Bookings!$E$5:$E$304,MATCH($A291,Bookings!$A$5:$A$304,0)))),"—")</f>
        <v>—</v>
      </c>
      <c r="D291" s="37" t="str">
        <f>IFERROR(IF(INDEX(Bookings!$D$5:$D$304,MATCH($A291,Bookings!$A$5:$A$304,0))="Cancelled","—",IF(INDEX(Bookings!$G$5:$G$304,MATCH($A291,Bookings!$A$5:$A$304,0))="","—",INDEX(Bookings!$G$5:$G$304,MATCH($A291,Bookings!$A$5:$A$304,0)))),"—")</f>
        <v>—</v>
      </c>
      <c r="E291" s="38" t="str">
        <f t="shared" ca="1" si="4"/>
        <v>—</v>
      </c>
      <c r="F291" s="39" t="str">
        <f>IF(OR(NOT(ISNUMBER($D291)),$B291="—",$B291=""),"—",IF(COUNTIFS(Bookings!$B$5:$B$304,$B291,Bookings!$F$5:$F$304,$D291)-COUNTIFS(Bookings!$B$5:$B$304,$B291,Bookings!$F$5:$F$304,$D291,Bookings!$D$5:$D$304,"Cancelled")-COUNTIFS(Bookings!$B$5:$B$304,$B291,Bookings!$F$5:$F$304,$D291,Bookings!$D$5:$D$304,"Owner block")&gt;0,"SAME-DAY TURN","No same-day guest"))</f>
        <v>—</v>
      </c>
      <c r="G291" s="38" t="str">
        <f>IFERROR(IF(INDEX(Bookings!$D$5:$D$304,MATCH($A291,Bookings!$A$5:$A$304,0))="Cancelled","—",IF(INDEX(Bookings!$I$5:$I$304,MATCH($A291,Bookings!$A$5:$A$304,0))="","—",INDEX(Bookings!$I$5:$I$304,MATCH($A291,Bookings!$A$5:$A$304,0)))),"—")</f>
        <v>—</v>
      </c>
      <c r="H291" s="38" t="str">
        <f>IFERROR(IF(INDEX(Setup!$I$25:$I$36,MATCH($B291,Setup!$A$25:$A$36,0))=0,"—",INDEX(Setup!$I$25:$I$36,MATCH($B291,Setup!$A$25:$A$36,0))),"—")</f>
        <v>—</v>
      </c>
      <c r="I291" s="21" t="str">
        <f>IFERROR(IF(INDEX(Setup!$E$25:$E$36,MATCH($B291,Setup!$A$25:$A$36,0))=0,"—",INDEX(Setup!$E$25:$E$36,MATCH($B291,Setup!$A$25:$A$36,0))),"—")</f>
        <v>—</v>
      </c>
      <c r="J291" s="3"/>
      <c r="K291" s="3"/>
      <c r="L291" s="3"/>
    </row>
    <row r="292" spans="1:12" x14ac:dyDescent="0.2">
      <c r="A292" s="30">
        <v>288</v>
      </c>
      <c r="B292" s="7" t="str">
        <f>IFERROR(IF(INDEX(Bookings!$D$5:$D$304,MATCH($A292,Bookings!$A$5:$A$304,0))="Cancelled","—",IF(INDEX(Bookings!$B$5:$B$304,MATCH($A292,Bookings!$A$5:$A$304,0))="","—",INDEX(Bookings!$B$5:$B$304,MATCH($A292,Bookings!$A$5:$A$304,0)))),"—")</f>
        <v>—</v>
      </c>
      <c r="C292" s="7" t="str">
        <f>IFERROR(IF(INDEX(Bookings!$D$5:$D$304,MATCH($A292,Bookings!$A$5:$A$304,0))="Cancelled","—",IF(INDEX(Bookings!$E$5:$E$304,MATCH($A292,Bookings!$A$5:$A$304,0))="","—",INDEX(Bookings!$E$5:$E$304,MATCH($A292,Bookings!$A$5:$A$304,0)))),"—")</f>
        <v>—</v>
      </c>
      <c r="D292" s="37" t="str">
        <f>IFERROR(IF(INDEX(Bookings!$D$5:$D$304,MATCH($A292,Bookings!$A$5:$A$304,0))="Cancelled","—",IF(INDEX(Bookings!$G$5:$G$304,MATCH($A292,Bookings!$A$5:$A$304,0))="","—",INDEX(Bookings!$G$5:$G$304,MATCH($A292,Bookings!$A$5:$A$304,0)))),"—")</f>
        <v>—</v>
      </c>
      <c r="E292" s="38" t="str">
        <f t="shared" ca="1" si="4"/>
        <v>—</v>
      </c>
      <c r="F292" s="39" t="str">
        <f>IF(OR(NOT(ISNUMBER($D292)),$B292="—",$B292=""),"—",IF(COUNTIFS(Bookings!$B$5:$B$304,$B292,Bookings!$F$5:$F$304,$D292)-COUNTIFS(Bookings!$B$5:$B$304,$B292,Bookings!$F$5:$F$304,$D292,Bookings!$D$5:$D$304,"Cancelled")-COUNTIFS(Bookings!$B$5:$B$304,$B292,Bookings!$F$5:$F$304,$D292,Bookings!$D$5:$D$304,"Owner block")&gt;0,"SAME-DAY TURN","No same-day guest"))</f>
        <v>—</v>
      </c>
      <c r="G292" s="38" t="str">
        <f>IFERROR(IF(INDEX(Bookings!$D$5:$D$304,MATCH($A292,Bookings!$A$5:$A$304,0))="Cancelled","—",IF(INDEX(Bookings!$I$5:$I$304,MATCH($A292,Bookings!$A$5:$A$304,0))="","—",INDEX(Bookings!$I$5:$I$304,MATCH($A292,Bookings!$A$5:$A$304,0)))),"—")</f>
        <v>—</v>
      </c>
      <c r="H292" s="38" t="str">
        <f>IFERROR(IF(INDEX(Setup!$I$25:$I$36,MATCH($B292,Setup!$A$25:$A$36,0))=0,"—",INDEX(Setup!$I$25:$I$36,MATCH($B292,Setup!$A$25:$A$36,0))),"—")</f>
        <v>—</v>
      </c>
      <c r="I292" s="21" t="str">
        <f>IFERROR(IF(INDEX(Setup!$E$25:$E$36,MATCH($B292,Setup!$A$25:$A$36,0))=0,"—",INDEX(Setup!$E$25:$E$36,MATCH($B292,Setup!$A$25:$A$36,0))),"—")</f>
        <v>—</v>
      </c>
      <c r="J292" s="8"/>
      <c r="K292" s="8"/>
      <c r="L292" s="8"/>
    </row>
    <row r="293" spans="1:12" x14ac:dyDescent="0.2">
      <c r="A293" s="30">
        <v>289</v>
      </c>
      <c r="B293" s="7" t="str">
        <f>IFERROR(IF(INDEX(Bookings!$D$5:$D$304,MATCH($A293,Bookings!$A$5:$A$304,0))="Cancelled","—",IF(INDEX(Bookings!$B$5:$B$304,MATCH($A293,Bookings!$A$5:$A$304,0))="","—",INDEX(Bookings!$B$5:$B$304,MATCH($A293,Bookings!$A$5:$A$304,0)))),"—")</f>
        <v>—</v>
      </c>
      <c r="C293" s="7" t="str">
        <f>IFERROR(IF(INDEX(Bookings!$D$5:$D$304,MATCH($A293,Bookings!$A$5:$A$304,0))="Cancelled","—",IF(INDEX(Bookings!$E$5:$E$304,MATCH($A293,Bookings!$A$5:$A$304,0))="","—",INDEX(Bookings!$E$5:$E$304,MATCH($A293,Bookings!$A$5:$A$304,0)))),"—")</f>
        <v>—</v>
      </c>
      <c r="D293" s="37" t="str">
        <f>IFERROR(IF(INDEX(Bookings!$D$5:$D$304,MATCH($A293,Bookings!$A$5:$A$304,0))="Cancelled","—",IF(INDEX(Bookings!$G$5:$G$304,MATCH($A293,Bookings!$A$5:$A$304,0))="","—",INDEX(Bookings!$G$5:$G$304,MATCH($A293,Bookings!$A$5:$A$304,0)))),"—")</f>
        <v>—</v>
      </c>
      <c r="E293" s="38" t="str">
        <f t="shared" ca="1" si="4"/>
        <v>—</v>
      </c>
      <c r="F293" s="39" t="str">
        <f>IF(OR(NOT(ISNUMBER($D293)),$B293="—",$B293=""),"—",IF(COUNTIFS(Bookings!$B$5:$B$304,$B293,Bookings!$F$5:$F$304,$D293)-COUNTIFS(Bookings!$B$5:$B$304,$B293,Bookings!$F$5:$F$304,$D293,Bookings!$D$5:$D$304,"Cancelled")-COUNTIFS(Bookings!$B$5:$B$304,$B293,Bookings!$F$5:$F$304,$D293,Bookings!$D$5:$D$304,"Owner block")&gt;0,"SAME-DAY TURN","No same-day guest"))</f>
        <v>—</v>
      </c>
      <c r="G293" s="38" t="str">
        <f>IFERROR(IF(INDEX(Bookings!$D$5:$D$304,MATCH($A293,Bookings!$A$5:$A$304,0))="Cancelled","—",IF(INDEX(Bookings!$I$5:$I$304,MATCH($A293,Bookings!$A$5:$A$304,0))="","—",INDEX(Bookings!$I$5:$I$304,MATCH($A293,Bookings!$A$5:$A$304,0)))),"—")</f>
        <v>—</v>
      </c>
      <c r="H293" s="38" t="str">
        <f>IFERROR(IF(INDEX(Setup!$I$25:$I$36,MATCH($B293,Setup!$A$25:$A$36,0))=0,"—",INDEX(Setup!$I$25:$I$36,MATCH($B293,Setup!$A$25:$A$36,0))),"—")</f>
        <v>—</v>
      </c>
      <c r="I293" s="21" t="str">
        <f>IFERROR(IF(INDEX(Setup!$E$25:$E$36,MATCH($B293,Setup!$A$25:$A$36,0))=0,"—",INDEX(Setup!$E$25:$E$36,MATCH($B293,Setup!$A$25:$A$36,0))),"—")</f>
        <v>—</v>
      </c>
      <c r="J293" s="3"/>
      <c r="K293" s="3"/>
      <c r="L293" s="3"/>
    </row>
    <row r="294" spans="1:12" x14ac:dyDescent="0.2">
      <c r="A294" s="30">
        <v>290</v>
      </c>
      <c r="B294" s="7" t="str">
        <f>IFERROR(IF(INDEX(Bookings!$D$5:$D$304,MATCH($A294,Bookings!$A$5:$A$304,0))="Cancelled","—",IF(INDEX(Bookings!$B$5:$B$304,MATCH($A294,Bookings!$A$5:$A$304,0))="","—",INDEX(Bookings!$B$5:$B$304,MATCH($A294,Bookings!$A$5:$A$304,0)))),"—")</f>
        <v>—</v>
      </c>
      <c r="C294" s="7" t="str">
        <f>IFERROR(IF(INDEX(Bookings!$D$5:$D$304,MATCH($A294,Bookings!$A$5:$A$304,0))="Cancelled","—",IF(INDEX(Bookings!$E$5:$E$304,MATCH($A294,Bookings!$A$5:$A$304,0))="","—",INDEX(Bookings!$E$5:$E$304,MATCH($A294,Bookings!$A$5:$A$304,0)))),"—")</f>
        <v>—</v>
      </c>
      <c r="D294" s="37" t="str">
        <f>IFERROR(IF(INDEX(Bookings!$D$5:$D$304,MATCH($A294,Bookings!$A$5:$A$304,0))="Cancelled","—",IF(INDEX(Bookings!$G$5:$G$304,MATCH($A294,Bookings!$A$5:$A$304,0))="","—",INDEX(Bookings!$G$5:$G$304,MATCH($A294,Bookings!$A$5:$A$304,0)))),"—")</f>
        <v>—</v>
      </c>
      <c r="E294" s="38" t="str">
        <f t="shared" ca="1" si="4"/>
        <v>—</v>
      </c>
      <c r="F294" s="39" t="str">
        <f>IF(OR(NOT(ISNUMBER($D294)),$B294="—",$B294=""),"—",IF(COUNTIFS(Bookings!$B$5:$B$304,$B294,Bookings!$F$5:$F$304,$D294)-COUNTIFS(Bookings!$B$5:$B$304,$B294,Bookings!$F$5:$F$304,$D294,Bookings!$D$5:$D$304,"Cancelled")-COUNTIFS(Bookings!$B$5:$B$304,$B294,Bookings!$F$5:$F$304,$D294,Bookings!$D$5:$D$304,"Owner block")&gt;0,"SAME-DAY TURN","No same-day guest"))</f>
        <v>—</v>
      </c>
      <c r="G294" s="38" t="str">
        <f>IFERROR(IF(INDEX(Bookings!$D$5:$D$304,MATCH($A294,Bookings!$A$5:$A$304,0))="Cancelled","—",IF(INDEX(Bookings!$I$5:$I$304,MATCH($A294,Bookings!$A$5:$A$304,0))="","—",INDEX(Bookings!$I$5:$I$304,MATCH($A294,Bookings!$A$5:$A$304,0)))),"—")</f>
        <v>—</v>
      </c>
      <c r="H294" s="38" t="str">
        <f>IFERROR(IF(INDEX(Setup!$I$25:$I$36,MATCH($B294,Setup!$A$25:$A$36,0))=0,"—",INDEX(Setup!$I$25:$I$36,MATCH($B294,Setup!$A$25:$A$36,0))),"—")</f>
        <v>—</v>
      </c>
      <c r="I294" s="21" t="str">
        <f>IFERROR(IF(INDEX(Setup!$E$25:$E$36,MATCH($B294,Setup!$A$25:$A$36,0))=0,"—",INDEX(Setup!$E$25:$E$36,MATCH($B294,Setup!$A$25:$A$36,0))),"—")</f>
        <v>—</v>
      </c>
      <c r="J294" s="8"/>
      <c r="K294" s="8"/>
      <c r="L294" s="8"/>
    </row>
    <row r="295" spans="1:12" x14ac:dyDescent="0.2">
      <c r="A295" s="30">
        <v>291</v>
      </c>
      <c r="B295" s="7" t="str">
        <f>IFERROR(IF(INDEX(Bookings!$D$5:$D$304,MATCH($A295,Bookings!$A$5:$A$304,0))="Cancelled","—",IF(INDEX(Bookings!$B$5:$B$304,MATCH($A295,Bookings!$A$5:$A$304,0))="","—",INDEX(Bookings!$B$5:$B$304,MATCH($A295,Bookings!$A$5:$A$304,0)))),"—")</f>
        <v>—</v>
      </c>
      <c r="C295" s="7" t="str">
        <f>IFERROR(IF(INDEX(Bookings!$D$5:$D$304,MATCH($A295,Bookings!$A$5:$A$304,0))="Cancelled","—",IF(INDEX(Bookings!$E$5:$E$304,MATCH($A295,Bookings!$A$5:$A$304,0))="","—",INDEX(Bookings!$E$5:$E$304,MATCH($A295,Bookings!$A$5:$A$304,0)))),"—")</f>
        <v>—</v>
      </c>
      <c r="D295" s="37" t="str">
        <f>IFERROR(IF(INDEX(Bookings!$D$5:$D$304,MATCH($A295,Bookings!$A$5:$A$304,0))="Cancelled","—",IF(INDEX(Bookings!$G$5:$G$304,MATCH($A295,Bookings!$A$5:$A$304,0))="","—",INDEX(Bookings!$G$5:$G$304,MATCH($A295,Bookings!$A$5:$A$304,0)))),"—")</f>
        <v>—</v>
      </c>
      <c r="E295" s="38" t="str">
        <f t="shared" ca="1" si="4"/>
        <v>—</v>
      </c>
      <c r="F295" s="39" t="str">
        <f>IF(OR(NOT(ISNUMBER($D295)),$B295="—",$B295=""),"—",IF(COUNTIFS(Bookings!$B$5:$B$304,$B295,Bookings!$F$5:$F$304,$D295)-COUNTIFS(Bookings!$B$5:$B$304,$B295,Bookings!$F$5:$F$304,$D295,Bookings!$D$5:$D$304,"Cancelled")-COUNTIFS(Bookings!$B$5:$B$304,$B295,Bookings!$F$5:$F$304,$D295,Bookings!$D$5:$D$304,"Owner block")&gt;0,"SAME-DAY TURN","No same-day guest"))</f>
        <v>—</v>
      </c>
      <c r="G295" s="38" t="str">
        <f>IFERROR(IF(INDEX(Bookings!$D$5:$D$304,MATCH($A295,Bookings!$A$5:$A$304,0))="Cancelled","—",IF(INDEX(Bookings!$I$5:$I$304,MATCH($A295,Bookings!$A$5:$A$304,0))="","—",INDEX(Bookings!$I$5:$I$304,MATCH($A295,Bookings!$A$5:$A$304,0)))),"—")</f>
        <v>—</v>
      </c>
      <c r="H295" s="38" t="str">
        <f>IFERROR(IF(INDEX(Setup!$I$25:$I$36,MATCH($B295,Setup!$A$25:$A$36,0))=0,"—",INDEX(Setup!$I$25:$I$36,MATCH($B295,Setup!$A$25:$A$36,0))),"—")</f>
        <v>—</v>
      </c>
      <c r="I295" s="21" t="str">
        <f>IFERROR(IF(INDEX(Setup!$E$25:$E$36,MATCH($B295,Setup!$A$25:$A$36,0))=0,"—",INDEX(Setup!$E$25:$E$36,MATCH($B295,Setup!$A$25:$A$36,0))),"—")</f>
        <v>—</v>
      </c>
      <c r="J295" s="3"/>
      <c r="K295" s="3"/>
      <c r="L295" s="3"/>
    </row>
    <row r="296" spans="1:12" x14ac:dyDescent="0.2">
      <c r="A296" s="30">
        <v>292</v>
      </c>
      <c r="B296" s="7" t="str">
        <f>IFERROR(IF(INDEX(Bookings!$D$5:$D$304,MATCH($A296,Bookings!$A$5:$A$304,0))="Cancelled","—",IF(INDEX(Bookings!$B$5:$B$304,MATCH($A296,Bookings!$A$5:$A$304,0))="","—",INDEX(Bookings!$B$5:$B$304,MATCH($A296,Bookings!$A$5:$A$304,0)))),"—")</f>
        <v>—</v>
      </c>
      <c r="C296" s="7" t="str">
        <f>IFERROR(IF(INDEX(Bookings!$D$5:$D$304,MATCH($A296,Bookings!$A$5:$A$304,0))="Cancelled","—",IF(INDEX(Bookings!$E$5:$E$304,MATCH($A296,Bookings!$A$5:$A$304,0))="","—",INDEX(Bookings!$E$5:$E$304,MATCH($A296,Bookings!$A$5:$A$304,0)))),"—")</f>
        <v>—</v>
      </c>
      <c r="D296" s="37" t="str">
        <f>IFERROR(IF(INDEX(Bookings!$D$5:$D$304,MATCH($A296,Bookings!$A$5:$A$304,0))="Cancelled","—",IF(INDEX(Bookings!$G$5:$G$304,MATCH($A296,Bookings!$A$5:$A$304,0))="","—",INDEX(Bookings!$G$5:$G$304,MATCH($A296,Bookings!$A$5:$A$304,0)))),"—")</f>
        <v>—</v>
      </c>
      <c r="E296" s="38" t="str">
        <f t="shared" ca="1" si="4"/>
        <v>—</v>
      </c>
      <c r="F296" s="39" t="str">
        <f>IF(OR(NOT(ISNUMBER($D296)),$B296="—",$B296=""),"—",IF(COUNTIFS(Bookings!$B$5:$B$304,$B296,Bookings!$F$5:$F$304,$D296)-COUNTIFS(Bookings!$B$5:$B$304,$B296,Bookings!$F$5:$F$304,$D296,Bookings!$D$5:$D$304,"Cancelled")-COUNTIFS(Bookings!$B$5:$B$304,$B296,Bookings!$F$5:$F$304,$D296,Bookings!$D$5:$D$304,"Owner block")&gt;0,"SAME-DAY TURN","No same-day guest"))</f>
        <v>—</v>
      </c>
      <c r="G296" s="38" t="str">
        <f>IFERROR(IF(INDEX(Bookings!$D$5:$D$304,MATCH($A296,Bookings!$A$5:$A$304,0))="Cancelled","—",IF(INDEX(Bookings!$I$5:$I$304,MATCH($A296,Bookings!$A$5:$A$304,0))="","—",INDEX(Bookings!$I$5:$I$304,MATCH($A296,Bookings!$A$5:$A$304,0)))),"—")</f>
        <v>—</v>
      </c>
      <c r="H296" s="38" t="str">
        <f>IFERROR(IF(INDEX(Setup!$I$25:$I$36,MATCH($B296,Setup!$A$25:$A$36,0))=0,"—",INDEX(Setup!$I$25:$I$36,MATCH($B296,Setup!$A$25:$A$36,0))),"—")</f>
        <v>—</v>
      </c>
      <c r="I296" s="21" t="str">
        <f>IFERROR(IF(INDEX(Setup!$E$25:$E$36,MATCH($B296,Setup!$A$25:$A$36,0))=0,"—",INDEX(Setup!$E$25:$E$36,MATCH($B296,Setup!$A$25:$A$36,0))),"—")</f>
        <v>—</v>
      </c>
      <c r="J296" s="8"/>
      <c r="K296" s="8"/>
      <c r="L296" s="8"/>
    </row>
    <row r="297" spans="1:12" x14ac:dyDescent="0.2">
      <c r="A297" s="30">
        <v>293</v>
      </c>
      <c r="B297" s="7" t="str">
        <f>IFERROR(IF(INDEX(Bookings!$D$5:$D$304,MATCH($A297,Bookings!$A$5:$A$304,0))="Cancelled","—",IF(INDEX(Bookings!$B$5:$B$304,MATCH($A297,Bookings!$A$5:$A$304,0))="","—",INDEX(Bookings!$B$5:$B$304,MATCH($A297,Bookings!$A$5:$A$304,0)))),"—")</f>
        <v>—</v>
      </c>
      <c r="C297" s="7" t="str">
        <f>IFERROR(IF(INDEX(Bookings!$D$5:$D$304,MATCH($A297,Bookings!$A$5:$A$304,0))="Cancelled","—",IF(INDEX(Bookings!$E$5:$E$304,MATCH($A297,Bookings!$A$5:$A$304,0))="","—",INDEX(Bookings!$E$5:$E$304,MATCH($A297,Bookings!$A$5:$A$304,0)))),"—")</f>
        <v>—</v>
      </c>
      <c r="D297" s="37" t="str">
        <f>IFERROR(IF(INDEX(Bookings!$D$5:$D$304,MATCH($A297,Bookings!$A$5:$A$304,0))="Cancelled","—",IF(INDEX(Bookings!$G$5:$G$304,MATCH($A297,Bookings!$A$5:$A$304,0))="","—",INDEX(Bookings!$G$5:$G$304,MATCH($A297,Bookings!$A$5:$A$304,0)))),"—")</f>
        <v>—</v>
      </c>
      <c r="E297" s="38" t="str">
        <f t="shared" ca="1" si="4"/>
        <v>—</v>
      </c>
      <c r="F297" s="39" t="str">
        <f>IF(OR(NOT(ISNUMBER($D297)),$B297="—",$B297=""),"—",IF(COUNTIFS(Bookings!$B$5:$B$304,$B297,Bookings!$F$5:$F$304,$D297)-COUNTIFS(Bookings!$B$5:$B$304,$B297,Bookings!$F$5:$F$304,$D297,Bookings!$D$5:$D$304,"Cancelled")-COUNTIFS(Bookings!$B$5:$B$304,$B297,Bookings!$F$5:$F$304,$D297,Bookings!$D$5:$D$304,"Owner block")&gt;0,"SAME-DAY TURN","No same-day guest"))</f>
        <v>—</v>
      </c>
      <c r="G297" s="38" t="str">
        <f>IFERROR(IF(INDEX(Bookings!$D$5:$D$304,MATCH($A297,Bookings!$A$5:$A$304,0))="Cancelled","—",IF(INDEX(Bookings!$I$5:$I$304,MATCH($A297,Bookings!$A$5:$A$304,0))="","—",INDEX(Bookings!$I$5:$I$304,MATCH($A297,Bookings!$A$5:$A$304,0)))),"—")</f>
        <v>—</v>
      </c>
      <c r="H297" s="38" t="str">
        <f>IFERROR(IF(INDEX(Setup!$I$25:$I$36,MATCH($B297,Setup!$A$25:$A$36,0))=0,"—",INDEX(Setup!$I$25:$I$36,MATCH($B297,Setup!$A$25:$A$36,0))),"—")</f>
        <v>—</v>
      </c>
      <c r="I297" s="21" t="str">
        <f>IFERROR(IF(INDEX(Setup!$E$25:$E$36,MATCH($B297,Setup!$A$25:$A$36,0))=0,"—",INDEX(Setup!$E$25:$E$36,MATCH($B297,Setup!$A$25:$A$36,0))),"—")</f>
        <v>—</v>
      </c>
      <c r="J297" s="3"/>
      <c r="K297" s="3"/>
      <c r="L297" s="3"/>
    </row>
    <row r="298" spans="1:12" x14ac:dyDescent="0.2">
      <c r="A298" s="30">
        <v>294</v>
      </c>
      <c r="B298" s="7" t="str">
        <f>IFERROR(IF(INDEX(Bookings!$D$5:$D$304,MATCH($A298,Bookings!$A$5:$A$304,0))="Cancelled","—",IF(INDEX(Bookings!$B$5:$B$304,MATCH($A298,Bookings!$A$5:$A$304,0))="","—",INDEX(Bookings!$B$5:$B$304,MATCH($A298,Bookings!$A$5:$A$304,0)))),"—")</f>
        <v>—</v>
      </c>
      <c r="C298" s="7" t="str">
        <f>IFERROR(IF(INDEX(Bookings!$D$5:$D$304,MATCH($A298,Bookings!$A$5:$A$304,0))="Cancelled","—",IF(INDEX(Bookings!$E$5:$E$304,MATCH($A298,Bookings!$A$5:$A$304,0))="","—",INDEX(Bookings!$E$5:$E$304,MATCH($A298,Bookings!$A$5:$A$304,0)))),"—")</f>
        <v>—</v>
      </c>
      <c r="D298" s="37" t="str">
        <f>IFERROR(IF(INDEX(Bookings!$D$5:$D$304,MATCH($A298,Bookings!$A$5:$A$304,0))="Cancelled","—",IF(INDEX(Bookings!$G$5:$G$304,MATCH($A298,Bookings!$A$5:$A$304,0))="","—",INDEX(Bookings!$G$5:$G$304,MATCH($A298,Bookings!$A$5:$A$304,0)))),"—")</f>
        <v>—</v>
      </c>
      <c r="E298" s="38" t="str">
        <f t="shared" ca="1" si="4"/>
        <v>—</v>
      </c>
      <c r="F298" s="39" t="str">
        <f>IF(OR(NOT(ISNUMBER($D298)),$B298="—",$B298=""),"—",IF(COUNTIFS(Bookings!$B$5:$B$304,$B298,Bookings!$F$5:$F$304,$D298)-COUNTIFS(Bookings!$B$5:$B$304,$B298,Bookings!$F$5:$F$304,$D298,Bookings!$D$5:$D$304,"Cancelled")-COUNTIFS(Bookings!$B$5:$B$304,$B298,Bookings!$F$5:$F$304,$D298,Bookings!$D$5:$D$304,"Owner block")&gt;0,"SAME-DAY TURN","No same-day guest"))</f>
        <v>—</v>
      </c>
      <c r="G298" s="38" t="str">
        <f>IFERROR(IF(INDEX(Bookings!$D$5:$D$304,MATCH($A298,Bookings!$A$5:$A$304,0))="Cancelled","—",IF(INDEX(Bookings!$I$5:$I$304,MATCH($A298,Bookings!$A$5:$A$304,0))="","—",INDEX(Bookings!$I$5:$I$304,MATCH($A298,Bookings!$A$5:$A$304,0)))),"—")</f>
        <v>—</v>
      </c>
      <c r="H298" s="38" t="str">
        <f>IFERROR(IF(INDEX(Setup!$I$25:$I$36,MATCH($B298,Setup!$A$25:$A$36,0))=0,"—",INDEX(Setup!$I$25:$I$36,MATCH($B298,Setup!$A$25:$A$36,0))),"—")</f>
        <v>—</v>
      </c>
      <c r="I298" s="21" t="str">
        <f>IFERROR(IF(INDEX(Setup!$E$25:$E$36,MATCH($B298,Setup!$A$25:$A$36,0))=0,"—",INDEX(Setup!$E$25:$E$36,MATCH($B298,Setup!$A$25:$A$36,0))),"—")</f>
        <v>—</v>
      </c>
      <c r="J298" s="8"/>
      <c r="K298" s="8"/>
      <c r="L298" s="8"/>
    </row>
    <row r="299" spans="1:12" x14ac:dyDescent="0.2">
      <c r="A299" s="30">
        <v>295</v>
      </c>
      <c r="B299" s="7" t="str">
        <f>IFERROR(IF(INDEX(Bookings!$D$5:$D$304,MATCH($A299,Bookings!$A$5:$A$304,0))="Cancelled","—",IF(INDEX(Bookings!$B$5:$B$304,MATCH($A299,Bookings!$A$5:$A$304,0))="","—",INDEX(Bookings!$B$5:$B$304,MATCH($A299,Bookings!$A$5:$A$304,0)))),"—")</f>
        <v>—</v>
      </c>
      <c r="C299" s="7" t="str">
        <f>IFERROR(IF(INDEX(Bookings!$D$5:$D$304,MATCH($A299,Bookings!$A$5:$A$304,0))="Cancelled","—",IF(INDEX(Bookings!$E$5:$E$304,MATCH($A299,Bookings!$A$5:$A$304,0))="","—",INDEX(Bookings!$E$5:$E$304,MATCH($A299,Bookings!$A$5:$A$304,0)))),"—")</f>
        <v>—</v>
      </c>
      <c r="D299" s="37" t="str">
        <f>IFERROR(IF(INDEX(Bookings!$D$5:$D$304,MATCH($A299,Bookings!$A$5:$A$304,0))="Cancelled","—",IF(INDEX(Bookings!$G$5:$G$304,MATCH($A299,Bookings!$A$5:$A$304,0))="","—",INDEX(Bookings!$G$5:$G$304,MATCH($A299,Bookings!$A$5:$A$304,0)))),"—")</f>
        <v>—</v>
      </c>
      <c r="E299" s="38" t="str">
        <f t="shared" ca="1" si="4"/>
        <v>—</v>
      </c>
      <c r="F299" s="39" t="str">
        <f>IF(OR(NOT(ISNUMBER($D299)),$B299="—",$B299=""),"—",IF(COUNTIFS(Bookings!$B$5:$B$304,$B299,Bookings!$F$5:$F$304,$D299)-COUNTIFS(Bookings!$B$5:$B$304,$B299,Bookings!$F$5:$F$304,$D299,Bookings!$D$5:$D$304,"Cancelled")-COUNTIFS(Bookings!$B$5:$B$304,$B299,Bookings!$F$5:$F$304,$D299,Bookings!$D$5:$D$304,"Owner block")&gt;0,"SAME-DAY TURN","No same-day guest"))</f>
        <v>—</v>
      </c>
      <c r="G299" s="38" t="str">
        <f>IFERROR(IF(INDEX(Bookings!$D$5:$D$304,MATCH($A299,Bookings!$A$5:$A$304,0))="Cancelled","—",IF(INDEX(Bookings!$I$5:$I$304,MATCH($A299,Bookings!$A$5:$A$304,0))="","—",INDEX(Bookings!$I$5:$I$304,MATCH($A299,Bookings!$A$5:$A$304,0)))),"—")</f>
        <v>—</v>
      </c>
      <c r="H299" s="38" t="str">
        <f>IFERROR(IF(INDEX(Setup!$I$25:$I$36,MATCH($B299,Setup!$A$25:$A$36,0))=0,"—",INDEX(Setup!$I$25:$I$36,MATCH($B299,Setup!$A$25:$A$36,0))),"—")</f>
        <v>—</v>
      </c>
      <c r="I299" s="21" t="str">
        <f>IFERROR(IF(INDEX(Setup!$E$25:$E$36,MATCH($B299,Setup!$A$25:$A$36,0))=0,"—",INDEX(Setup!$E$25:$E$36,MATCH($B299,Setup!$A$25:$A$36,0))),"—")</f>
        <v>—</v>
      </c>
      <c r="J299" s="3"/>
      <c r="K299" s="3"/>
      <c r="L299" s="3"/>
    </row>
    <row r="300" spans="1:12" x14ac:dyDescent="0.2">
      <c r="A300" s="30">
        <v>296</v>
      </c>
      <c r="B300" s="7" t="str">
        <f>IFERROR(IF(INDEX(Bookings!$D$5:$D$304,MATCH($A300,Bookings!$A$5:$A$304,0))="Cancelled","—",IF(INDEX(Bookings!$B$5:$B$304,MATCH($A300,Bookings!$A$5:$A$304,0))="","—",INDEX(Bookings!$B$5:$B$304,MATCH($A300,Bookings!$A$5:$A$304,0)))),"—")</f>
        <v>—</v>
      </c>
      <c r="C300" s="7" t="str">
        <f>IFERROR(IF(INDEX(Bookings!$D$5:$D$304,MATCH($A300,Bookings!$A$5:$A$304,0))="Cancelled","—",IF(INDEX(Bookings!$E$5:$E$304,MATCH($A300,Bookings!$A$5:$A$304,0))="","—",INDEX(Bookings!$E$5:$E$304,MATCH($A300,Bookings!$A$5:$A$304,0)))),"—")</f>
        <v>—</v>
      </c>
      <c r="D300" s="37" t="str">
        <f>IFERROR(IF(INDEX(Bookings!$D$5:$D$304,MATCH($A300,Bookings!$A$5:$A$304,0))="Cancelled","—",IF(INDEX(Bookings!$G$5:$G$304,MATCH($A300,Bookings!$A$5:$A$304,0))="","—",INDEX(Bookings!$G$5:$G$304,MATCH($A300,Bookings!$A$5:$A$304,0)))),"—")</f>
        <v>—</v>
      </c>
      <c r="E300" s="38" t="str">
        <f t="shared" ca="1" si="4"/>
        <v>—</v>
      </c>
      <c r="F300" s="39" t="str">
        <f>IF(OR(NOT(ISNUMBER($D300)),$B300="—",$B300=""),"—",IF(COUNTIFS(Bookings!$B$5:$B$304,$B300,Bookings!$F$5:$F$304,$D300)-COUNTIFS(Bookings!$B$5:$B$304,$B300,Bookings!$F$5:$F$304,$D300,Bookings!$D$5:$D$304,"Cancelled")-COUNTIFS(Bookings!$B$5:$B$304,$B300,Bookings!$F$5:$F$304,$D300,Bookings!$D$5:$D$304,"Owner block")&gt;0,"SAME-DAY TURN","No same-day guest"))</f>
        <v>—</v>
      </c>
      <c r="G300" s="38" t="str">
        <f>IFERROR(IF(INDEX(Bookings!$D$5:$D$304,MATCH($A300,Bookings!$A$5:$A$304,0))="Cancelled","—",IF(INDEX(Bookings!$I$5:$I$304,MATCH($A300,Bookings!$A$5:$A$304,0))="","—",INDEX(Bookings!$I$5:$I$304,MATCH($A300,Bookings!$A$5:$A$304,0)))),"—")</f>
        <v>—</v>
      </c>
      <c r="H300" s="38" t="str">
        <f>IFERROR(IF(INDEX(Setup!$I$25:$I$36,MATCH($B300,Setup!$A$25:$A$36,0))=0,"—",INDEX(Setup!$I$25:$I$36,MATCH($B300,Setup!$A$25:$A$36,0))),"—")</f>
        <v>—</v>
      </c>
      <c r="I300" s="21" t="str">
        <f>IFERROR(IF(INDEX(Setup!$E$25:$E$36,MATCH($B300,Setup!$A$25:$A$36,0))=0,"—",INDEX(Setup!$E$25:$E$36,MATCH($B300,Setup!$A$25:$A$36,0))),"—")</f>
        <v>—</v>
      </c>
      <c r="J300" s="8"/>
      <c r="K300" s="8"/>
      <c r="L300" s="8"/>
    </row>
    <row r="301" spans="1:12" x14ac:dyDescent="0.2">
      <c r="A301" s="30">
        <v>297</v>
      </c>
      <c r="B301" s="7" t="str">
        <f>IFERROR(IF(INDEX(Bookings!$D$5:$D$304,MATCH($A301,Bookings!$A$5:$A$304,0))="Cancelled","—",IF(INDEX(Bookings!$B$5:$B$304,MATCH($A301,Bookings!$A$5:$A$304,0))="","—",INDEX(Bookings!$B$5:$B$304,MATCH($A301,Bookings!$A$5:$A$304,0)))),"—")</f>
        <v>—</v>
      </c>
      <c r="C301" s="7" t="str">
        <f>IFERROR(IF(INDEX(Bookings!$D$5:$D$304,MATCH($A301,Bookings!$A$5:$A$304,0))="Cancelled","—",IF(INDEX(Bookings!$E$5:$E$304,MATCH($A301,Bookings!$A$5:$A$304,0))="","—",INDEX(Bookings!$E$5:$E$304,MATCH($A301,Bookings!$A$5:$A$304,0)))),"—")</f>
        <v>—</v>
      </c>
      <c r="D301" s="37" t="str">
        <f>IFERROR(IF(INDEX(Bookings!$D$5:$D$304,MATCH($A301,Bookings!$A$5:$A$304,0))="Cancelled","—",IF(INDEX(Bookings!$G$5:$G$304,MATCH($A301,Bookings!$A$5:$A$304,0))="","—",INDEX(Bookings!$G$5:$G$304,MATCH($A301,Bookings!$A$5:$A$304,0)))),"—")</f>
        <v>—</v>
      </c>
      <c r="E301" s="38" t="str">
        <f t="shared" ca="1" si="4"/>
        <v>—</v>
      </c>
      <c r="F301" s="39" t="str">
        <f>IF(OR(NOT(ISNUMBER($D301)),$B301="—",$B301=""),"—",IF(COUNTIFS(Bookings!$B$5:$B$304,$B301,Bookings!$F$5:$F$304,$D301)-COUNTIFS(Bookings!$B$5:$B$304,$B301,Bookings!$F$5:$F$304,$D301,Bookings!$D$5:$D$304,"Cancelled")-COUNTIFS(Bookings!$B$5:$B$304,$B301,Bookings!$F$5:$F$304,$D301,Bookings!$D$5:$D$304,"Owner block")&gt;0,"SAME-DAY TURN","No same-day guest"))</f>
        <v>—</v>
      </c>
      <c r="G301" s="38" t="str">
        <f>IFERROR(IF(INDEX(Bookings!$D$5:$D$304,MATCH($A301,Bookings!$A$5:$A$304,0))="Cancelled","—",IF(INDEX(Bookings!$I$5:$I$304,MATCH($A301,Bookings!$A$5:$A$304,0))="","—",INDEX(Bookings!$I$5:$I$304,MATCH($A301,Bookings!$A$5:$A$304,0)))),"—")</f>
        <v>—</v>
      </c>
      <c r="H301" s="38" t="str">
        <f>IFERROR(IF(INDEX(Setup!$I$25:$I$36,MATCH($B301,Setup!$A$25:$A$36,0))=0,"—",INDEX(Setup!$I$25:$I$36,MATCH($B301,Setup!$A$25:$A$36,0))),"—")</f>
        <v>—</v>
      </c>
      <c r="I301" s="21" t="str">
        <f>IFERROR(IF(INDEX(Setup!$E$25:$E$36,MATCH($B301,Setup!$A$25:$A$36,0))=0,"—",INDEX(Setup!$E$25:$E$36,MATCH($B301,Setup!$A$25:$A$36,0))),"—")</f>
        <v>—</v>
      </c>
      <c r="J301" s="3"/>
      <c r="K301" s="3"/>
      <c r="L301" s="3"/>
    </row>
    <row r="302" spans="1:12" x14ac:dyDescent="0.2">
      <c r="A302" s="30">
        <v>298</v>
      </c>
      <c r="B302" s="7" t="str">
        <f>IFERROR(IF(INDEX(Bookings!$D$5:$D$304,MATCH($A302,Bookings!$A$5:$A$304,0))="Cancelled","—",IF(INDEX(Bookings!$B$5:$B$304,MATCH($A302,Bookings!$A$5:$A$304,0))="","—",INDEX(Bookings!$B$5:$B$304,MATCH($A302,Bookings!$A$5:$A$304,0)))),"—")</f>
        <v>—</v>
      </c>
      <c r="C302" s="7" t="str">
        <f>IFERROR(IF(INDEX(Bookings!$D$5:$D$304,MATCH($A302,Bookings!$A$5:$A$304,0))="Cancelled","—",IF(INDEX(Bookings!$E$5:$E$304,MATCH($A302,Bookings!$A$5:$A$304,0))="","—",INDEX(Bookings!$E$5:$E$304,MATCH($A302,Bookings!$A$5:$A$304,0)))),"—")</f>
        <v>—</v>
      </c>
      <c r="D302" s="37" t="str">
        <f>IFERROR(IF(INDEX(Bookings!$D$5:$D$304,MATCH($A302,Bookings!$A$5:$A$304,0))="Cancelled","—",IF(INDEX(Bookings!$G$5:$G$304,MATCH($A302,Bookings!$A$5:$A$304,0))="","—",INDEX(Bookings!$G$5:$G$304,MATCH($A302,Bookings!$A$5:$A$304,0)))),"—")</f>
        <v>—</v>
      </c>
      <c r="E302" s="38" t="str">
        <f t="shared" ca="1" si="4"/>
        <v>—</v>
      </c>
      <c r="F302" s="39" t="str">
        <f>IF(OR(NOT(ISNUMBER($D302)),$B302="—",$B302=""),"—",IF(COUNTIFS(Bookings!$B$5:$B$304,$B302,Bookings!$F$5:$F$304,$D302)-COUNTIFS(Bookings!$B$5:$B$304,$B302,Bookings!$F$5:$F$304,$D302,Bookings!$D$5:$D$304,"Cancelled")-COUNTIFS(Bookings!$B$5:$B$304,$B302,Bookings!$F$5:$F$304,$D302,Bookings!$D$5:$D$304,"Owner block")&gt;0,"SAME-DAY TURN","No same-day guest"))</f>
        <v>—</v>
      </c>
      <c r="G302" s="38" t="str">
        <f>IFERROR(IF(INDEX(Bookings!$D$5:$D$304,MATCH($A302,Bookings!$A$5:$A$304,0))="Cancelled","—",IF(INDEX(Bookings!$I$5:$I$304,MATCH($A302,Bookings!$A$5:$A$304,0))="","—",INDEX(Bookings!$I$5:$I$304,MATCH($A302,Bookings!$A$5:$A$304,0)))),"—")</f>
        <v>—</v>
      </c>
      <c r="H302" s="38" t="str">
        <f>IFERROR(IF(INDEX(Setup!$I$25:$I$36,MATCH($B302,Setup!$A$25:$A$36,0))=0,"—",INDEX(Setup!$I$25:$I$36,MATCH($B302,Setup!$A$25:$A$36,0))),"—")</f>
        <v>—</v>
      </c>
      <c r="I302" s="21" t="str">
        <f>IFERROR(IF(INDEX(Setup!$E$25:$E$36,MATCH($B302,Setup!$A$25:$A$36,0))=0,"—",INDEX(Setup!$E$25:$E$36,MATCH($B302,Setup!$A$25:$A$36,0))),"—")</f>
        <v>—</v>
      </c>
      <c r="J302" s="8"/>
      <c r="K302" s="8"/>
      <c r="L302" s="8"/>
    </row>
    <row r="303" spans="1:12" x14ac:dyDescent="0.2">
      <c r="A303" s="30">
        <v>299</v>
      </c>
      <c r="B303" s="7" t="str">
        <f>IFERROR(IF(INDEX(Bookings!$D$5:$D$304,MATCH($A303,Bookings!$A$5:$A$304,0))="Cancelled","—",IF(INDEX(Bookings!$B$5:$B$304,MATCH($A303,Bookings!$A$5:$A$304,0))="","—",INDEX(Bookings!$B$5:$B$304,MATCH($A303,Bookings!$A$5:$A$304,0)))),"—")</f>
        <v>—</v>
      </c>
      <c r="C303" s="7" t="str">
        <f>IFERROR(IF(INDEX(Bookings!$D$5:$D$304,MATCH($A303,Bookings!$A$5:$A$304,0))="Cancelled","—",IF(INDEX(Bookings!$E$5:$E$304,MATCH($A303,Bookings!$A$5:$A$304,0))="","—",INDEX(Bookings!$E$5:$E$304,MATCH($A303,Bookings!$A$5:$A$304,0)))),"—")</f>
        <v>—</v>
      </c>
      <c r="D303" s="37" t="str">
        <f>IFERROR(IF(INDEX(Bookings!$D$5:$D$304,MATCH($A303,Bookings!$A$5:$A$304,0))="Cancelled","—",IF(INDEX(Bookings!$G$5:$G$304,MATCH($A303,Bookings!$A$5:$A$304,0))="","—",INDEX(Bookings!$G$5:$G$304,MATCH($A303,Bookings!$A$5:$A$304,0)))),"—")</f>
        <v>—</v>
      </c>
      <c r="E303" s="38" t="str">
        <f t="shared" ca="1" si="4"/>
        <v>—</v>
      </c>
      <c r="F303" s="39" t="str">
        <f>IF(OR(NOT(ISNUMBER($D303)),$B303="—",$B303=""),"—",IF(COUNTIFS(Bookings!$B$5:$B$304,$B303,Bookings!$F$5:$F$304,$D303)-COUNTIFS(Bookings!$B$5:$B$304,$B303,Bookings!$F$5:$F$304,$D303,Bookings!$D$5:$D$304,"Cancelled")-COUNTIFS(Bookings!$B$5:$B$304,$B303,Bookings!$F$5:$F$304,$D303,Bookings!$D$5:$D$304,"Owner block")&gt;0,"SAME-DAY TURN","No same-day guest"))</f>
        <v>—</v>
      </c>
      <c r="G303" s="38" t="str">
        <f>IFERROR(IF(INDEX(Bookings!$D$5:$D$304,MATCH($A303,Bookings!$A$5:$A$304,0))="Cancelled","—",IF(INDEX(Bookings!$I$5:$I$304,MATCH($A303,Bookings!$A$5:$A$304,0))="","—",INDEX(Bookings!$I$5:$I$304,MATCH($A303,Bookings!$A$5:$A$304,0)))),"—")</f>
        <v>—</v>
      </c>
      <c r="H303" s="38" t="str">
        <f>IFERROR(IF(INDEX(Setup!$I$25:$I$36,MATCH($B303,Setup!$A$25:$A$36,0))=0,"—",INDEX(Setup!$I$25:$I$36,MATCH($B303,Setup!$A$25:$A$36,0))),"—")</f>
        <v>—</v>
      </c>
      <c r="I303" s="21" t="str">
        <f>IFERROR(IF(INDEX(Setup!$E$25:$E$36,MATCH($B303,Setup!$A$25:$A$36,0))=0,"—",INDEX(Setup!$E$25:$E$36,MATCH($B303,Setup!$A$25:$A$36,0))),"—")</f>
        <v>—</v>
      </c>
      <c r="J303" s="3"/>
      <c r="K303" s="3"/>
      <c r="L303" s="3"/>
    </row>
    <row r="304" spans="1:12" x14ac:dyDescent="0.2">
      <c r="A304" s="30">
        <v>300</v>
      </c>
      <c r="B304" s="7" t="str">
        <f>IFERROR(IF(INDEX(Bookings!$D$5:$D$304,MATCH($A304,Bookings!$A$5:$A$304,0))="Cancelled","—",IF(INDEX(Bookings!$B$5:$B$304,MATCH($A304,Bookings!$A$5:$A$304,0))="","—",INDEX(Bookings!$B$5:$B$304,MATCH($A304,Bookings!$A$5:$A$304,0)))),"—")</f>
        <v>—</v>
      </c>
      <c r="C304" s="7" t="str">
        <f>IFERROR(IF(INDEX(Bookings!$D$5:$D$304,MATCH($A304,Bookings!$A$5:$A$304,0))="Cancelled","—",IF(INDEX(Bookings!$E$5:$E$304,MATCH($A304,Bookings!$A$5:$A$304,0))="","—",INDEX(Bookings!$E$5:$E$304,MATCH($A304,Bookings!$A$5:$A$304,0)))),"—")</f>
        <v>—</v>
      </c>
      <c r="D304" s="37" t="str">
        <f>IFERROR(IF(INDEX(Bookings!$D$5:$D$304,MATCH($A304,Bookings!$A$5:$A$304,0))="Cancelled","—",IF(INDEX(Bookings!$G$5:$G$304,MATCH($A304,Bookings!$A$5:$A$304,0))="","—",INDEX(Bookings!$G$5:$G$304,MATCH($A304,Bookings!$A$5:$A$304,0)))),"—")</f>
        <v>—</v>
      </c>
      <c r="E304" s="38" t="str">
        <f t="shared" ca="1" si="4"/>
        <v>—</v>
      </c>
      <c r="F304" s="39" t="str">
        <f>IF(OR(NOT(ISNUMBER($D304)),$B304="—",$B304=""),"—",IF(COUNTIFS(Bookings!$B$5:$B$304,$B304,Bookings!$F$5:$F$304,$D304)-COUNTIFS(Bookings!$B$5:$B$304,$B304,Bookings!$F$5:$F$304,$D304,Bookings!$D$5:$D$304,"Cancelled")-COUNTIFS(Bookings!$B$5:$B$304,$B304,Bookings!$F$5:$F$304,$D304,Bookings!$D$5:$D$304,"Owner block")&gt;0,"SAME-DAY TURN","No same-day guest"))</f>
        <v>—</v>
      </c>
      <c r="G304" s="38" t="str">
        <f>IFERROR(IF(INDEX(Bookings!$D$5:$D$304,MATCH($A304,Bookings!$A$5:$A$304,0))="Cancelled","—",IF(INDEX(Bookings!$I$5:$I$304,MATCH($A304,Bookings!$A$5:$A$304,0))="","—",INDEX(Bookings!$I$5:$I$304,MATCH($A304,Bookings!$A$5:$A$304,0)))),"—")</f>
        <v>—</v>
      </c>
      <c r="H304" s="38" t="str">
        <f>IFERROR(IF(INDEX(Setup!$I$25:$I$36,MATCH($B304,Setup!$A$25:$A$36,0))=0,"—",INDEX(Setup!$I$25:$I$36,MATCH($B304,Setup!$A$25:$A$36,0))),"—")</f>
        <v>—</v>
      </c>
      <c r="I304" s="21" t="str">
        <f>IFERROR(IF(INDEX(Setup!$E$25:$E$36,MATCH($B304,Setup!$A$25:$A$36,0))=0,"—",INDEX(Setup!$E$25:$E$36,MATCH($B304,Setup!$A$25:$A$36,0))),"—")</f>
        <v>—</v>
      </c>
      <c r="J304" s="8"/>
      <c r="K304" s="8"/>
      <c r="L304" s="8"/>
    </row>
  </sheetData>
  <autoFilter ref="A4:L304" xr:uid="{00000000-0009-0000-0000-000003000000}"/>
  <mergeCells count="2">
    <mergeCell ref="A2:L2"/>
    <mergeCell ref="A1:L1"/>
  </mergeCells>
  <conditionalFormatting sqref="E5:E304">
    <cfRule type="expression" dxfId="9" priority="6">
      <formula>AND($E5="TODAY",$K5&lt;&gt;"Done")</formula>
    </cfRule>
    <cfRule type="expression" dxfId="8" priority="7">
      <formula>AND(ISNUMBER($E5),$E5&lt;=3,$K5&lt;&gt;"Done")</formula>
    </cfRule>
    <cfRule type="expression" dxfId="7" priority="8">
      <formula>$E5="Past"</formula>
    </cfRule>
  </conditionalFormatting>
  <conditionalFormatting sqref="F5:F304">
    <cfRule type="cellIs" dxfId="6" priority="9" operator="equal">
      <formula>"SAME-DAY TURN"</formula>
    </cfRule>
  </conditionalFormatting>
  <conditionalFormatting sqref="K5:K304">
    <cfRule type="cellIs" dxfId="5" priority="1" operator="equal">
      <formula>"Not scheduled"</formula>
    </cfRule>
    <cfRule type="cellIs" dxfId="4" priority="2" operator="equal">
      <formula>"Scheduled"</formula>
    </cfRule>
    <cfRule type="cellIs" dxfId="3" priority="3" operator="equal">
      <formula>"In progress"</formula>
    </cfRule>
    <cfRule type="cellIs" dxfId="2" priority="4" operator="equal">
      <formula>"Done"</formula>
    </cfRule>
    <cfRule type="cellIs" dxfId="1" priority="5" operator="equal">
      <formula>"Issue"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Setup!$A$40:$A$47</xm:f>
          </x14:formula1>
          <xm:sqref>J5:J304</xm:sqref>
        </x14:dataValidation>
        <x14:dataValidation type="list" allowBlank="1" xr:uid="{00000000-0002-0000-0300-000001000000}">
          <x14:formula1>
            <xm:f>Lists!$C$1:$C$5</xm:f>
          </x14:formula1>
          <xm:sqref>K5:K304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2" width="14" customWidth="1"/>
    <col min="3" max="3" width="22" customWidth="1"/>
    <col min="4" max="4" width="26" customWidth="1"/>
    <col min="5" max="5" width="34" customWidth="1"/>
    <col min="6" max="6" width="13" customWidth="1"/>
    <col min="7" max="7" width="14" customWidth="1"/>
    <col min="8" max="8" width="30" customWidth="1"/>
    <col min="9" max="9" width="24" customWidth="1"/>
  </cols>
  <sheetData>
    <row r="1" spans="1:9" ht="26" customHeight="1" x14ac:dyDescent="0.25">
      <c r="A1" s="47" t="s">
        <v>159</v>
      </c>
      <c r="B1" s="43"/>
      <c r="C1" s="43"/>
      <c r="D1" s="43"/>
      <c r="E1" s="43"/>
      <c r="F1" s="43"/>
      <c r="G1" s="43"/>
      <c r="H1" s="43"/>
      <c r="I1" s="43"/>
    </row>
    <row r="2" spans="1:9" x14ac:dyDescent="0.2">
      <c r="A2" s="54" t="s">
        <v>160</v>
      </c>
      <c r="B2" s="43"/>
      <c r="C2" s="43"/>
      <c r="D2" s="43"/>
      <c r="E2" s="43"/>
      <c r="F2" s="43"/>
      <c r="G2" s="43"/>
      <c r="H2" s="43"/>
      <c r="I2" s="43"/>
    </row>
    <row r="4" spans="1:9" ht="30" customHeight="1" x14ac:dyDescent="0.2">
      <c r="A4" s="2" t="s">
        <v>96</v>
      </c>
      <c r="B4" s="2" t="s">
        <v>161</v>
      </c>
      <c r="C4" s="2" t="s">
        <v>75</v>
      </c>
      <c r="D4" s="2" t="s">
        <v>162</v>
      </c>
      <c r="E4" s="2" t="s">
        <v>163</v>
      </c>
      <c r="F4" s="2" t="s">
        <v>164</v>
      </c>
      <c r="G4" s="2" t="s">
        <v>165</v>
      </c>
      <c r="H4" s="2" t="s">
        <v>166</v>
      </c>
      <c r="I4" s="2" t="s">
        <v>29</v>
      </c>
    </row>
    <row r="5" spans="1:9" ht="16" x14ac:dyDescent="0.2">
      <c r="A5" s="40">
        <f t="shared" ref="A5:A68" si="0">IF($F5="","",ROW()-4)</f>
        <v>1</v>
      </c>
      <c r="B5" s="31">
        <f ca="1">IFERROR(DATE(YEAR(TODAY()),MONTH(TODAY()),4),"")</f>
        <v>46207</v>
      </c>
      <c r="C5" s="3" t="s">
        <v>30</v>
      </c>
      <c r="D5" s="3" t="s">
        <v>167</v>
      </c>
      <c r="E5" s="3" t="s">
        <v>168</v>
      </c>
      <c r="F5" s="6">
        <v>120</v>
      </c>
      <c r="G5" s="3" t="s">
        <v>169</v>
      </c>
      <c r="H5" s="3" t="s">
        <v>170</v>
      </c>
      <c r="I5" s="7" t="str">
        <f>IF($F5="","",IF($C5="","⚠ no property — not counted",IF(COUNTIF(Setup!$A$25:$A$36,$C5)=0,"⚠ unknown property","OK")))</f>
        <v>OK</v>
      </c>
    </row>
    <row r="6" spans="1:9" ht="16" x14ac:dyDescent="0.2">
      <c r="A6" s="40">
        <f t="shared" si="0"/>
        <v>2</v>
      </c>
      <c r="B6" s="34">
        <f ca="1">IFERROR(DATE(YEAR(TODAY()),MONTH(TODAY()),6),"")</f>
        <v>46209</v>
      </c>
      <c r="C6" s="8" t="s">
        <v>33</v>
      </c>
      <c r="D6" s="8" t="s">
        <v>171</v>
      </c>
      <c r="E6" s="8" t="s">
        <v>172</v>
      </c>
      <c r="F6" s="11">
        <v>34.9</v>
      </c>
      <c r="G6" s="8" t="s">
        <v>169</v>
      </c>
      <c r="H6" s="8" t="s">
        <v>173</v>
      </c>
      <c r="I6" s="7" t="str">
        <f>IF($F6="","",IF($C6="","⚠ no property — not counted",IF(COUNTIF(Setup!$A$25:$A$36,$C6)=0,"⚠ unknown property","OK")))</f>
        <v>OK</v>
      </c>
    </row>
    <row r="7" spans="1:9" ht="16" x14ac:dyDescent="0.2">
      <c r="A7" s="40">
        <f t="shared" si="0"/>
        <v>3</v>
      </c>
      <c r="B7" s="31">
        <f ca="1">IFERROR(DATE(YEAR(TODAY()),MONTH(TODAY()),10),"")</f>
        <v>46213</v>
      </c>
      <c r="C7" s="3" t="s">
        <v>34</v>
      </c>
      <c r="D7" s="3" t="s">
        <v>174</v>
      </c>
      <c r="E7" s="3" t="s">
        <v>175</v>
      </c>
      <c r="F7" s="6">
        <v>42</v>
      </c>
      <c r="G7" s="3" t="s">
        <v>176</v>
      </c>
      <c r="H7" s="3" t="s">
        <v>177</v>
      </c>
      <c r="I7" s="7" t="str">
        <f>IF($F7="","",IF($C7="","⚠ no property — not counted",IF(COUNTIF(Setup!$A$25:$A$36,$C7)=0,"⚠ unknown property","OK")))</f>
        <v>OK</v>
      </c>
    </row>
    <row r="8" spans="1:9" ht="16" x14ac:dyDescent="0.2">
      <c r="A8" s="40">
        <f t="shared" si="0"/>
        <v>4</v>
      </c>
      <c r="B8" s="34">
        <f ca="1">IFERROR(DATE(YEAR(TODAY()),MONTH(TODAY()),13),"")</f>
        <v>46216</v>
      </c>
      <c r="C8" s="8" t="s">
        <v>30</v>
      </c>
      <c r="D8" s="8" t="s">
        <v>171</v>
      </c>
      <c r="E8" s="8" t="s">
        <v>178</v>
      </c>
      <c r="F8" s="11">
        <v>28.5</v>
      </c>
      <c r="G8" s="8" t="s">
        <v>169</v>
      </c>
      <c r="H8" s="8" t="s">
        <v>179</v>
      </c>
      <c r="I8" s="7" t="str">
        <f>IF($F8="","",IF($C8="","⚠ no property — not counted",IF(COUNTIF(Setup!$A$25:$A$36,$C8)=0,"⚠ unknown property","OK")))</f>
        <v>OK</v>
      </c>
    </row>
    <row r="9" spans="1:9" ht="32" x14ac:dyDescent="0.2">
      <c r="A9" s="40">
        <f t="shared" si="0"/>
        <v>5</v>
      </c>
      <c r="B9" s="31">
        <f ca="1">IFERROR(DATE(YEAR(TODAY()),MONTH(TODAY()),18),"")</f>
        <v>46221</v>
      </c>
      <c r="C9" s="3" t="s">
        <v>34</v>
      </c>
      <c r="D9" s="3" t="s">
        <v>180</v>
      </c>
      <c r="E9" s="3" t="s">
        <v>181</v>
      </c>
      <c r="F9" s="6">
        <v>45</v>
      </c>
      <c r="G9" s="3" t="s">
        <v>147</v>
      </c>
      <c r="H9" s="3" t="s">
        <v>182</v>
      </c>
      <c r="I9" s="7" t="str">
        <f>IF($F9="","",IF($C9="","⚠ no property — not counted",IF(COUNTIF(Setup!$A$25:$A$36,$C9)=0,"⚠ unknown property","OK")))</f>
        <v>OK</v>
      </c>
    </row>
    <row r="10" spans="1:9" x14ac:dyDescent="0.2">
      <c r="A10" s="40" t="str">
        <f t="shared" si="0"/>
        <v/>
      </c>
      <c r="B10" s="34"/>
      <c r="C10" s="8"/>
      <c r="D10" s="8"/>
      <c r="E10" s="8"/>
      <c r="F10" s="11"/>
      <c r="G10" s="8"/>
      <c r="H10" s="8"/>
      <c r="I10" s="7" t="str">
        <f>IF($F10="","",IF($C10="","⚠ no property — not counted",IF(COUNTIF(Setup!$A$25:$A$36,$C10)=0,"⚠ unknown property","OK")))</f>
        <v/>
      </c>
    </row>
    <row r="11" spans="1:9" x14ac:dyDescent="0.2">
      <c r="A11" s="40" t="str">
        <f t="shared" si="0"/>
        <v/>
      </c>
      <c r="B11" s="31"/>
      <c r="C11" s="3"/>
      <c r="D11" s="3"/>
      <c r="E11" s="3"/>
      <c r="F11" s="6"/>
      <c r="G11" s="3"/>
      <c r="H11" s="3"/>
      <c r="I11" s="7" t="str">
        <f>IF($F11="","",IF($C11="","⚠ no property — not counted",IF(COUNTIF(Setup!$A$25:$A$36,$C11)=0,"⚠ unknown property","OK")))</f>
        <v/>
      </c>
    </row>
    <row r="12" spans="1:9" x14ac:dyDescent="0.2">
      <c r="A12" s="40" t="str">
        <f t="shared" si="0"/>
        <v/>
      </c>
      <c r="B12" s="34"/>
      <c r="C12" s="8"/>
      <c r="D12" s="8"/>
      <c r="E12" s="8"/>
      <c r="F12" s="11"/>
      <c r="G12" s="8"/>
      <c r="H12" s="8"/>
      <c r="I12" s="7" t="str">
        <f>IF($F12="","",IF($C12="","⚠ no property — not counted",IF(COUNTIF(Setup!$A$25:$A$36,$C12)=0,"⚠ unknown property","OK")))</f>
        <v/>
      </c>
    </row>
    <row r="13" spans="1:9" x14ac:dyDescent="0.2">
      <c r="A13" s="40" t="str">
        <f t="shared" si="0"/>
        <v/>
      </c>
      <c r="B13" s="31"/>
      <c r="C13" s="3"/>
      <c r="D13" s="3"/>
      <c r="E13" s="3"/>
      <c r="F13" s="6"/>
      <c r="G13" s="3"/>
      <c r="H13" s="3"/>
      <c r="I13" s="7" t="str">
        <f>IF($F13="","",IF($C13="","⚠ no property — not counted",IF(COUNTIF(Setup!$A$25:$A$36,$C13)=0,"⚠ unknown property","OK")))</f>
        <v/>
      </c>
    </row>
    <row r="14" spans="1:9" x14ac:dyDescent="0.2">
      <c r="A14" s="40" t="str">
        <f t="shared" si="0"/>
        <v/>
      </c>
      <c r="B14" s="34"/>
      <c r="C14" s="8"/>
      <c r="D14" s="8"/>
      <c r="E14" s="8"/>
      <c r="F14" s="11"/>
      <c r="G14" s="8"/>
      <c r="H14" s="8"/>
      <c r="I14" s="7" t="str">
        <f>IF($F14="","",IF($C14="","⚠ no property — not counted",IF(COUNTIF(Setup!$A$25:$A$36,$C14)=0,"⚠ unknown property","OK")))</f>
        <v/>
      </c>
    </row>
    <row r="15" spans="1:9" x14ac:dyDescent="0.2">
      <c r="A15" s="40" t="str">
        <f t="shared" si="0"/>
        <v/>
      </c>
      <c r="B15" s="31"/>
      <c r="C15" s="3"/>
      <c r="D15" s="3"/>
      <c r="E15" s="3"/>
      <c r="F15" s="6"/>
      <c r="G15" s="3"/>
      <c r="H15" s="3"/>
      <c r="I15" s="7" t="str">
        <f>IF($F15="","",IF($C15="","⚠ no property — not counted",IF(COUNTIF(Setup!$A$25:$A$36,$C15)=0,"⚠ unknown property","OK")))</f>
        <v/>
      </c>
    </row>
    <row r="16" spans="1:9" x14ac:dyDescent="0.2">
      <c r="A16" s="40" t="str">
        <f t="shared" si="0"/>
        <v/>
      </c>
      <c r="B16" s="34"/>
      <c r="C16" s="8"/>
      <c r="D16" s="8"/>
      <c r="E16" s="8"/>
      <c r="F16" s="11"/>
      <c r="G16" s="8"/>
      <c r="H16" s="8"/>
      <c r="I16" s="7" t="str">
        <f>IF($F16="","",IF($C16="","⚠ no property — not counted",IF(COUNTIF(Setup!$A$25:$A$36,$C16)=0,"⚠ unknown property","OK")))</f>
        <v/>
      </c>
    </row>
    <row r="17" spans="1:9" x14ac:dyDescent="0.2">
      <c r="A17" s="40" t="str">
        <f t="shared" si="0"/>
        <v/>
      </c>
      <c r="B17" s="31"/>
      <c r="C17" s="3"/>
      <c r="D17" s="3"/>
      <c r="E17" s="3"/>
      <c r="F17" s="6"/>
      <c r="G17" s="3"/>
      <c r="H17" s="3"/>
      <c r="I17" s="7" t="str">
        <f>IF($F17="","",IF($C17="","⚠ no property — not counted",IF(COUNTIF(Setup!$A$25:$A$36,$C17)=0,"⚠ unknown property","OK")))</f>
        <v/>
      </c>
    </row>
    <row r="18" spans="1:9" x14ac:dyDescent="0.2">
      <c r="A18" s="40" t="str">
        <f t="shared" si="0"/>
        <v/>
      </c>
      <c r="B18" s="34"/>
      <c r="C18" s="8"/>
      <c r="D18" s="8"/>
      <c r="E18" s="8"/>
      <c r="F18" s="11"/>
      <c r="G18" s="8"/>
      <c r="H18" s="8"/>
      <c r="I18" s="7" t="str">
        <f>IF($F18="","",IF($C18="","⚠ no property — not counted",IF(COUNTIF(Setup!$A$25:$A$36,$C18)=0,"⚠ unknown property","OK")))</f>
        <v/>
      </c>
    </row>
    <row r="19" spans="1:9" x14ac:dyDescent="0.2">
      <c r="A19" s="40" t="str">
        <f t="shared" si="0"/>
        <v/>
      </c>
      <c r="B19" s="31"/>
      <c r="C19" s="3"/>
      <c r="D19" s="3"/>
      <c r="E19" s="3"/>
      <c r="F19" s="6"/>
      <c r="G19" s="3"/>
      <c r="H19" s="3"/>
      <c r="I19" s="7" t="str">
        <f>IF($F19="","",IF($C19="","⚠ no property — not counted",IF(COUNTIF(Setup!$A$25:$A$36,$C19)=0,"⚠ unknown property","OK")))</f>
        <v/>
      </c>
    </row>
    <row r="20" spans="1:9" x14ac:dyDescent="0.2">
      <c r="A20" s="40" t="str">
        <f t="shared" si="0"/>
        <v/>
      </c>
      <c r="B20" s="34"/>
      <c r="C20" s="8"/>
      <c r="D20" s="8"/>
      <c r="E20" s="8"/>
      <c r="F20" s="11"/>
      <c r="G20" s="8"/>
      <c r="H20" s="8"/>
      <c r="I20" s="7" t="str">
        <f>IF($F20="","",IF($C20="","⚠ no property — not counted",IF(COUNTIF(Setup!$A$25:$A$36,$C20)=0,"⚠ unknown property","OK")))</f>
        <v/>
      </c>
    </row>
    <row r="21" spans="1:9" x14ac:dyDescent="0.2">
      <c r="A21" s="40" t="str">
        <f t="shared" si="0"/>
        <v/>
      </c>
      <c r="B21" s="31"/>
      <c r="C21" s="3"/>
      <c r="D21" s="3"/>
      <c r="E21" s="3"/>
      <c r="F21" s="6"/>
      <c r="G21" s="3"/>
      <c r="H21" s="3"/>
      <c r="I21" s="7" t="str">
        <f>IF($F21="","",IF($C21="","⚠ no property — not counted",IF(COUNTIF(Setup!$A$25:$A$36,$C21)=0,"⚠ unknown property","OK")))</f>
        <v/>
      </c>
    </row>
    <row r="22" spans="1:9" x14ac:dyDescent="0.2">
      <c r="A22" s="40" t="str">
        <f t="shared" si="0"/>
        <v/>
      </c>
      <c r="B22" s="34"/>
      <c r="C22" s="8"/>
      <c r="D22" s="8"/>
      <c r="E22" s="8"/>
      <c r="F22" s="11"/>
      <c r="G22" s="8"/>
      <c r="H22" s="8"/>
      <c r="I22" s="7" t="str">
        <f>IF($F22="","",IF($C22="","⚠ no property — not counted",IF(COUNTIF(Setup!$A$25:$A$36,$C22)=0,"⚠ unknown property","OK")))</f>
        <v/>
      </c>
    </row>
    <row r="23" spans="1:9" x14ac:dyDescent="0.2">
      <c r="A23" s="40" t="str">
        <f t="shared" si="0"/>
        <v/>
      </c>
      <c r="B23" s="31"/>
      <c r="C23" s="3"/>
      <c r="D23" s="3"/>
      <c r="E23" s="3"/>
      <c r="F23" s="6"/>
      <c r="G23" s="3"/>
      <c r="H23" s="3"/>
      <c r="I23" s="7" t="str">
        <f>IF($F23="","",IF($C23="","⚠ no property — not counted",IF(COUNTIF(Setup!$A$25:$A$36,$C23)=0,"⚠ unknown property","OK")))</f>
        <v/>
      </c>
    </row>
    <row r="24" spans="1:9" x14ac:dyDescent="0.2">
      <c r="A24" s="40" t="str">
        <f t="shared" si="0"/>
        <v/>
      </c>
      <c r="B24" s="34"/>
      <c r="C24" s="8"/>
      <c r="D24" s="8"/>
      <c r="E24" s="8"/>
      <c r="F24" s="11"/>
      <c r="G24" s="8"/>
      <c r="H24" s="8"/>
      <c r="I24" s="7" t="str">
        <f>IF($F24="","",IF($C24="","⚠ no property — not counted",IF(COUNTIF(Setup!$A$25:$A$36,$C24)=0,"⚠ unknown property","OK")))</f>
        <v/>
      </c>
    </row>
    <row r="25" spans="1:9" x14ac:dyDescent="0.2">
      <c r="A25" s="40" t="str">
        <f t="shared" si="0"/>
        <v/>
      </c>
      <c r="B25" s="31"/>
      <c r="C25" s="3"/>
      <c r="D25" s="3"/>
      <c r="E25" s="3"/>
      <c r="F25" s="6"/>
      <c r="G25" s="3"/>
      <c r="H25" s="3"/>
      <c r="I25" s="7" t="str">
        <f>IF($F25="","",IF($C25="","⚠ no property — not counted",IF(COUNTIF(Setup!$A$25:$A$36,$C25)=0,"⚠ unknown property","OK")))</f>
        <v/>
      </c>
    </row>
    <row r="26" spans="1:9" x14ac:dyDescent="0.2">
      <c r="A26" s="40" t="str">
        <f t="shared" si="0"/>
        <v/>
      </c>
      <c r="B26" s="34"/>
      <c r="C26" s="8"/>
      <c r="D26" s="8"/>
      <c r="E26" s="8"/>
      <c r="F26" s="11"/>
      <c r="G26" s="8"/>
      <c r="H26" s="8"/>
      <c r="I26" s="7" t="str">
        <f>IF($F26="","",IF($C26="","⚠ no property — not counted",IF(COUNTIF(Setup!$A$25:$A$36,$C26)=0,"⚠ unknown property","OK")))</f>
        <v/>
      </c>
    </row>
    <row r="27" spans="1:9" x14ac:dyDescent="0.2">
      <c r="A27" s="40" t="str">
        <f t="shared" si="0"/>
        <v/>
      </c>
      <c r="B27" s="31"/>
      <c r="C27" s="3"/>
      <c r="D27" s="3"/>
      <c r="E27" s="3"/>
      <c r="F27" s="6"/>
      <c r="G27" s="3"/>
      <c r="H27" s="3"/>
      <c r="I27" s="7" t="str">
        <f>IF($F27="","",IF($C27="","⚠ no property — not counted",IF(COUNTIF(Setup!$A$25:$A$36,$C27)=0,"⚠ unknown property","OK")))</f>
        <v/>
      </c>
    </row>
    <row r="28" spans="1:9" x14ac:dyDescent="0.2">
      <c r="A28" s="40" t="str">
        <f t="shared" si="0"/>
        <v/>
      </c>
      <c r="B28" s="34"/>
      <c r="C28" s="8"/>
      <c r="D28" s="8"/>
      <c r="E28" s="8"/>
      <c r="F28" s="11"/>
      <c r="G28" s="8"/>
      <c r="H28" s="8"/>
      <c r="I28" s="7" t="str">
        <f>IF($F28="","",IF($C28="","⚠ no property — not counted",IF(COUNTIF(Setup!$A$25:$A$36,$C28)=0,"⚠ unknown property","OK")))</f>
        <v/>
      </c>
    </row>
    <row r="29" spans="1:9" x14ac:dyDescent="0.2">
      <c r="A29" s="40" t="str">
        <f t="shared" si="0"/>
        <v/>
      </c>
      <c r="B29" s="31"/>
      <c r="C29" s="3"/>
      <c r="D29" s="3"/>
      <c r="E29" s="3"/>
      <c r="F29" s="6"/>
      <c r="G29" s="3"/>
      <c r="H29" s="3"/>
      <c r="I29" s="7" t="str">
        <f>IF($F29="","",IF($C29="","⚠ no property — not counted",IF(COUNTIF(Setup!$A$25:$A$36,$C29)=0,"⚠ unknown property","OK")))</f>
        <v/>
      </c>
    </row>
    <row r="30" spans="1:9" x14ac:dyDescent="0.2">
      <c r="A30" s="40" t="str">
        <f t="shared" si="0"/>
        <v/>
      </c>
      <c r="B30" s="34"/>
      <c r="C30" s="8"/>
      <c r="D30" s="8"/>
      <c r="E30" s="8"/>
      <c r="F30" s="11"/>
      <c r="G30" s="8"/>
      <c r="H30" s="8"/>
      <c r="I30" s="7" t="str">
        <f>IF($F30="","",IF($C30="","⚠ no property — not counted",IF(COUNTIF(Setup!$A$25:$A$36,$C30)=0,"⚠ unknown property","OK")))</f>
        <v/>
      </c>
    </row>
    <row r="31" spans="1:9" x14ac:dyDescent="0.2">
      <c r="A31" s="40" t="str">
        <f t="shared" si="0"/>
        <v/>
      </c>
      <c r="B31" s="31"/>
      <c r="C31" s="3"/>
      <c r="D31" s="3"/>
      <c r="E31" s="3"/>
      <c r="F31" s="6"/>
      <c r="G31" s="3"/>
      <c r="H31" s="3"/>
      <c r="I31" s="7" t="str">
        <f>IF($F31="","",IF($C31="","⚠ no property — not counted",IF(COUNTIF(Setup!$A$25:$A$36,$C31)=0,"⚠ unknown property","OK")))</f>
        <v/>
      </c>
    </row>
    <row r="32" spans="1:9" x14ac:dyDescent="0.2">
      <c r="A32" s="40" t="str">
        <f t="shared" si="0"/>
        <v/>
      </c>
      <c r="B32" s="34"/>
      <c r="C32" s="8"/>
      <c r="D32" s="8"/>
      <c r="E32" s="8"/>
      <c r="F32" s="11"/>
      <c r="G32" s="8"/>
      <c r="H32" s="8"/>
      <c r="I32" s="7" t="str">
        <f>IF($F32="","",IF($C32="","⚠ no property — not counted",IF(COUNTIF(Setup!$A$25:$A$36,$C32)=0,"⚠ unknown property","OK")))</f>
        <v/>
      </c>
    </row>
    <row r="33" spans="1:9" x14ac:dyDescent="0.2">
      <c r="A33" s="40" t="str">
        <f t="shared" si="0"/>
        <v/>
      </c>
      <c r="B33" s="31"/>
      <c r="C33" s="3"/>
      <c r="D33" s="3"/>
      <c r="E33" s="3"/>
      <c r="F33" s="6"/>
      <c r="G33" s="3"/>
      <c r="H33" s="3"/>
      <c r="I33" s="7" t="str">
        <f>IF($F33="","",IF($C33="","⚠ no property — not counted",IF(COUNTIF(Setup!$A$25:$A$36,$C33)=0,"⚠ unknown property","OK")))</f>
        <v/>
      </c>
    </row>
    <row r="34" spans="1:9" x14ac:dyDescent="0.2">
      <c r="A34" s="40" t="str">
        <f t="shared" si="0"/>
        <v/>
      </c>
      <c r="B34" s="34"/>
      <c r="C34" s="8"/>
      <c r="D34" s="8"/>
      <c r="E34" s="8"/>
      <c r="F34" s="11"/>
      <c r="G34" s="8"/>
      <c r="H34" s="8"/>
      <c r="I34" s="7" t="str">
        <f>IF($F34="","",IF($C34="","⚠ no property — not counted",IF(COUNTIF(Setup!$A$25:$A$36,$C34)=0,"⚠ unknown property","OK")))</f>
        <v/>
      </c>
    </row>
    <row r="35" spans="1:9" x14ac:dyDescent="0.2">
      <c r="A35" s="40" t="str">
        <f t="shared" si="0"/>
        <v/>
      </c>
      <c r="B35" s="31"/>
      <c r="C35" s="3"/>
      <c r="D35" s="3"/>
      <c r="E35" s="3"/>
      <c r="F35" s="6"/>
      <c r="G35" s="3"/>
      <c r="H35" s="3"/>
      <c r="I35" s="7" t="str">
        <f>IF($F35="","",IF($C35="","⚠ no property — not counted",IF(COUNTIF(Setup!$A$25:$A$36,$C35)=0,"⚠ unknown property","OK")))</f>
        <v/>
      </c>
    </row>
    <row r="36" spans="1:9" x14ac:dyDescent="0.2">
      <c r="A36" s="40" t="str">
        <f t="shared" si="0"/>
        <v/>
      </c>
      <c r="B36" s="34"/>
      <c r="C36" s="8"/>
      <c r="D36" s="8"/>
      <c r="E36" s="8"/>
      <c r="F36" s="11"/>
      <c r="G36" s="8"/>
      <c r="H36" s="8"/>
      <c r="I36" s="7" t="str">
        <f>IF($F36="","",IF($C36="","⚠ no property — not counted",IF(COUNTIF(Setup!$A$25:$A$36,$C36)=0,"⚠ unknown property","OK")))</f>
        <v/>
      </c>
    </row>
    <row r="37" spans="1:9" x14ac:dyDescent="0.2">
      <c r="A37" s="40" t="str">
        <f t="shared" si="0"/>
        <v/>
      </c>
      <c r="B37" s="31"/>
      <c r="C37" s="3"/>
      <c r="D37" s="3"/>
      <c r="E37" s="3"/>
      <c r="F37" s="6"/>
      <c r="G37" s="3"/>
      <c r="H37" s="3"/>
      <c r="I37" s="7" t="str">
        <f>IF($F37="","",IF($C37="","⚠ no property — not counted",IF(COUNTIF(Setup!$A$25:$A$36,$C37)=0,"⚠ unknown property","OK")))</f>
        <v/>
      </c>
    </row>
    <row r="38" spans="1:9" x14ac:dyDescent="0.2">
      <c r="A38" s="40" t="str">
        <f t="shared" si="0"/>
        <v/>
      </c>
      <c r="B38" s="34"/>
      <c r="C38" s="8"/>
      <c r="D38" s="8"/>
      <c r="E38" s="8"/>
      <c r="F38" s="11"/>
      <c r="G38" s="8"/>
      <c r="H38" s="8"/>
      <c r="I38" s="7" t="str">
        <f>IF($F38="","",IF($C38="","⚠ no property — not counted",IF(COUNTIF(Setup!$A$25:$A$36,$C38)=0,"⚠ unknown property","OK")))</f>
        <v/>
      </c>
    </row>
    <row r="39" spans="1:9" x14ac:dyDescent="0.2">
      <c r="A39" s="40" t="str">
        <f t="shared" si="0"/>
        <v/>
      </c>
      <c r="B39" s="31"/>
      <c r="C39" s="3"/>
      <c r="D39" s="3"/>
      <c r="E39" s="3"/>
      <c r="F39" s="6"/>
      <c r="G39" s="3"/>
      <c r="H39" s="3"/>
      <c r="I39" s="7" t="str">
        <f>IF($F39="","",IF($C39="","⚠ no property — not counted",IF(COUNTIF(Setup!$A$25:$A$36,$C39)=0,"⚠ unknown property","OK")))</f>
        <v/>
      </c>
    </row>
    <row r="40" spans="1:9" x14ac:dyDescent="0.2">
      <c r="A40" s="40" t="str">
        <f t="shared" si="0"/>
        <v/>
      </c>
      <c r="B40" s="34"/>
      <c r="C40" s="8"/>
      <c r="D40" s="8"/>
      <c r="E40" s="8"/>
      <c r="F40" s="11"/>
      <c r="G40" s="8"/>
      <c r="H40" s="8"/>
      <c r="I40" s="7" t="str">
        <f>IF($F40="","",IF($C40="","⚠ no property — not counted",IF(COUNTIF(Setup!$A$25:$A$36,$C40)=0,"⚠ unknown property","OK")))</f>
        <v/>
      </c>
    </row>
    <row r="41" spans="1:9" x14ac:dyDescent="0.2">
      <c r="A41" s="40" t="str">
        <f t="shared" si="0"/>
        <v/>
      </c>
      <c r="B41" s="31"/>
      <c r="C41" s="3"/>
      <c r="D41" s="3"/>
      <c r="E41" s="3"/>
      <c r="F41" s="6"/>
      <c r="G41" s="3"/>
      <c r="H41" s="3"/>
      <c r="I41" s="7" t="str">
        <f>IF($F41="","",IF($C41="","⚠ no property — not counted",IF(COUNTIF(Setup!$A$25:$A$36,$C41)=0,"⚠ unknown property","OK")))</f>
        <v/>
      </c>
    </row>
    <row r="42" spans="1:9" x14ac:dyDescent="0.2">
      <c r="A42" s="40" t="str">
        <f t="shared" si="0"/>
        <v/>
      </c>
      <c r="B42" s="34"/>
      <c r="C42" s="8"/>
      <c r="D42" s="8"/>
      <c r="E42" s="8"/>
      <c r="F42" s="11"/>
      <c r="G42" s="8"/>
      <c r="H42" s="8"/>
      <c r="I42" s="7" t="str">
        <f>IF($F42="","",IF($C42="","⚠ no property — not counted",IF(COUNTIF(Setup!$A$25:$A$36,$C42)=0,"⚠ unknown property","OK")))</f>
        <v/>
      </c>
    </row>
    <row r="43" spans="1:9" x14ac:dyDescent="0.2">
      <c r="A43" s="40" t="str">
        <f t="shared" si="0"/>
        <v/>
      </c>
      <c r="B43" s="31"/>
      <c r="C43" s="3"/>
      <c r="D43" s="3"/>
      <c r="E43" s="3"/>
      <c r="F43" s="6"/>
      <c r="G43" s="3"/>
      <c r="H43" s="3"/>
      <c r="I43" s="7" t="str">
        <f>IF($F43="","",IF($C43="","⚠ no property — not counted",IF(COUNTIF(Setup!$A$25:$A$36,$C43)=0,"⚠ unknown property","OK")))</f>
        <v/>
      </c>
    </row>
    <row r="44" spans="1:9" x14ac:dyDescent="0.2">
      <c r="A44" s="40" t="str">
        <f t="shared" si="0"/>
        <v/>
      </c>
      <c r="B44" s="34"/>
      <c r="C44" s="8"/>
      <c r="D44" s="8"/>
      <c r="E44" s="8"/>
      <c r="F44" s="11"/>
      <c r="G44" s="8"/>
      <c r="H44" s="8"/>
      <c r="I44" s="7" t="str">
        <f>IF($F44="","",IF($C44="","⚠ no property — not counted",IF(COUNTIF(Setup!$A$25:$A$36,$C44)=0,"⚠ unknown property","OK")))</f>
        <v/>
      </c>
    </row>
    <row r="45" spans="1:9" x14ac:dyDescent="0.2">
      <c r="A45" s="40" t="str">
        <f t="shared" si="0"/>
        <v/>
      </c>
      <c r="B45" s="31"/>
      <c r="C45" s="3"/>
      <c r="D45" s="3"/>
      <c r="E45" s="3"/>
      <c r="F45" s="6"/>
      <c r="G45" s="3"/>
      <c r="H45" s="3"/>
      <c r="I45" s="7" t="str">
        <f>IF($F45="","",IF($C45="","⚠ no property — not counted",IF(COUNTIF(Setup!$A$25:$A$36,$C45)=0,"⚠ unknown property","OK")))</f>
        <v/>
      </c>
    </row>
    <row r="46" spans="1:9" x14ac:dyDescent="0.2">
      <c r="A46" s="40" t="str">
        <f t="shared" si="0"/>
        <v/>
      </c>
      <c r="B46" s="34"/>
      <c r="C46" s="8"/>
      <c r="D46" s="8"/>
      <c r="E46" s="8"/>
      <c r="F46" s="11"/>
      <c r="G46" s="8"/>
      <c r="H46" s="8"/>
      <c r="I46" s="7" t="str">
        <f>IF($F46="","",IF($C46="","⚠ no property — not counted",IF(COUNTIF(Setup!$A$25:$A$36,$C46)=0,"⚠ unknown property","OK")))</f>
        <v/>
      </c>
    </row>
    <row r="47" spans="1:9" x14ac:dyDescent="0.2">
      <c r="A47" s="40" t="str">
        <f t="shared" si="0"/>
        <v/>
      </c>
      <c r="B47" s="31"/>
      <c r="C47" s="3"/>
      <c r="D47" s="3"/>
      <c r="E47" s="3"/>
      <c r="F47" s="6"/>
      <c r="G47" s="3"/>
      <c r="H47" s="3"/>
      <c r="I47" s="7" t="str">
        <f>IF($F47="","",IF($C47="","⚠ no property — not counted",IF(COUNTIF(Setup!$A$25:$A$36,$C47)=0,"⚠ unknown property","OK")))</f>
        <v/>
      </c>
    </row>
    <row r="48" spans="1:9" x14ac:dyDescent="0.2">
      <c r="A48" s="40" t="str">
        <f t="shared" si="0"/>
        <v/>
      </c>
      <c r="B48" s="34"/>
      <c r="C48" s="8"/>
      <c r="D48" s="8"/>
      <c r="E48" s="8"/>
      <c r="F48" s="11"/>
      <c r="G48" s="8"/>
      <c r="H48" s="8"/>
      <c r="I48" s="7" t="str">
        <f>IF($F48="","",IF($C48="","⚠ no property — not counted",IF(COUNTIF(Setup!$A$25:$A$36,$C48)=0,"⚠ unknown property","OK")))</f>
        <v/>
      </c>
    </row>
    <row r="49" spans="1:9" x14ac:dyDescent="0.2">
      <c r="A49" s="40" t="str">
        <f t="shared" si="0"/>
        <v/>
      </c>
      <c r="B49" s="31"/>
      <c r="C49" s="3"/>
      <c r="D49" s="3"/>
      <c r="E49" s="3"/>
      <c r="F49" s="6"/>
      <c r="G49" s="3"/>
      <c r="H49" s="3"/>
      <c r="I49" s="7" t="str">
        <f>IF($F49="","",IF($C49="","⚠ no property — not counted",IF(COUNTIF(Setup!$A$25:$A$36,$C49)=0,"⚠ unknown property","OK")))</f>
        <v/>
      </c>
    </row>
    <row r="50" spans="1:9" x14ac:dyDescent="0.2">
      <c r="A50" s="40" t="str">
        <f t="shared" si="0"/>
        <v/>
      </c>
      <c r="B50" s="34"/>
      <c r="C50" s="8"/>
      <c r="D50" s="8"/>
      <c r="E50" s="8"/>
      <c r="F50" s="11"/>
      <c r="G50" s="8"/>
      <c r="H50" s="8"/>
      <c r="I50" s="7" t="str">
        <f>IF($F50="","",IF($C50="","⚠ no property — not counted",IF(COUNTIF(Setup!$A$25:$A$36,$C50)=0,"⚠ unknown property","OK")))</f>
        <v/>
      </c>
    </row>
    <row r="51" spans="1:9" x14ac:dyDescent="0.2">
      <c r="A51" s="40" t="str">
        <f t="shared" si="0"/>
        <v/>
      </c>
      <c r="B51" s="31"/>
      <c r="C51" s="3"/>
      <c r="D51" s="3"/>
      <c r="E51" s="3"/>
      <c r="F51" s="6"/>
      <c r="G51" s="3"/>
      <c r="H51" s="3"/>
      <c r="I51" s="7" t="str">
        <f>IF($F51="","",IF($C51="","⚠ no property — not counted",IF(COUNTIF(Setup!$A$25:$A$36,$C51)=0,"⚠ unknown property","OK")))</f>
        <v/>
      </c>
    </row>
    <row r="52" spans="1:9" x14ac:dyDescent="0.2">
      <c r="A52" s="40" t="str">
        <f t="shared" si="0"/>
        <v/>
      </c>
      <c r="B52" s="34"/>
      <c r="C52" s="8"/>
      <c r="D52" s="8"/>
      <c r="E52" s="8"/>
      <c r="F52" s="11"/>
      <c r="G52" s="8"/>
      <c r="H52" s="8"/>
      <c r="I52" s="7" t="str">
        <f>IF($F52="","",IF($C52="","⚠ no property — not counted",IF(COUNTIF(Setup!$A$25:$A$36,$C52)=0,"⚠ unknown property","OK")))</f>
        <v/>
      </c>
    </row>
    <row r="53" spans="1:9" x14ac:dyDescent="0.2">
      <c r="A53" s="40" t="str">
        <f t="shared" si="0"/>
        <v/>
      </c>
      <c r="B53" s="31"/>
      <c r="C53" s="3"/>
      <c r="D53" s="3"/>
      <c r="E53" s="3"/>
      <c r="F53" s="6"/>
      <c r="G53" s="3"/>
      <c r="H53" s="3"/>
      <c r="I53" s="7" t="str">
        <f>IF($F53="","",IF($C53="","⚠ no property — not counted",IF(COUNTIF(Setup!$A$25:$A$36,$C53)=0,"⚠ unknown property","OK")))</f>
        <v/>
      </c>
    </row>
    <row r="54" spans="1:9" x14ac:dyDescent="0.2">
      <c r="A54" s="40" t="str">
        <f t="shared" si="0"/>
        <v/>
      </c>
      <c r="B54" s="34"/>
      <c r="C54" s="8"/>
      <c r="D54" s="8"/>
      <c r="E54" s="8"/>
      <c r="F54" s="11"/>
      <c r="G54" s="8"/>
      <c r="H54" s="8"/>
      <c r="I54" s="7" t="str">
        <f>IF($F54="","",IF($C54="","⚠ no property — not counted",IF(COUNTIF(Setup!$A$25:$A$36,$C54)=0,"⚠ unknown property","OK")))</f>
        <v/>
      </c>
    </row>
    <row r="55" spans="1:9" x14ac:dyDescent="0.2">
      <c r="A55" s="40" t="str">
        <f t="shared" si="0"/>
        <v/>
      </c>
      <c r="B55" s="31"/>
      <c r="C55" s="3"/>
      <c r="D55" s="3"/>
      <c r="E55" s="3"/>
      <c r="F55" s="6"/>
      <c r="G55" s="3"/>
      <c r="H55" s="3"/>
      <c r="I55" s="7" t="str">
        <f>IF($F55="","",IF($C55="","⚠ no property — not counted",IF(COUNTIF(Setup!$A$25:$A$36,$C55)=0,"⚠ unknown property","OK")))</f>
        <v/>
      </c>
    </row>
    <row r="56" spans="1:9" x14ac:dyDescent="0.2">
      <c r="A56" s="40" t="str">
        <f t="shared" si="0"/>
        <v/>
      </c>
      <c r="B56" s="34"/>
      <c r="C56" s="8"/>
      <c r="D56" s="8"/>
      <c r="E56" s="8"/>
      <c r="F56" s="11"/>
      <c r="G56" s="8"/>
      <c r="H56" s="8"/>
      <c r="I56" s="7" t="str">
        <f>IF($F56="","",IF($C56="","⚠ no property — not counted",IF(COUNTIF(Setup!$A$25:$A$36,$C56)=0,"⚠ unknown property","OK")))</f>
        <v/>
      </c>
    </row>
    <row r="57" spans="1:9" x14ac:dyDescent="0.2">
      <c r="A57" s="40" t="str">
        <f t="shared" si="0"/>
        <v/>
      </c>
      <c r="B57" s="31"/>
      <c r="C57" s="3"/>
      <c r="D57" s="3"/>
      <c r="E57" s="3"/>
      <c r="F57" s="6"/>
      <c r="G57" s="3"/>
      <c r="H57" s="3"/>
      <c r="I57" s="7" t="str">
        <f>IF($F57="","",IF($C57="","⚠ no property — not counted",IF(COUNTIF(Setup!$A$25:$A$36,$C57)=0,"⚠ unknown property","OK")))</f>
        <v/>
      </c>
    </row>
    <row r="58" spans="1:9" x14ac:dyDescent="0.2">
      <c r="A58" s="40" t="str">
        <f t="shared" si="0"/>
        <v/>
      </c>
      <c r="B58" s="34"/>
      <c r="C58" s="8"/>
      <c r="D58" s="8"/>
      <c r="E58" s="8"/>
      <c r="F58" s="11"/>
      <c r="G58" s="8"/>
      <c r="H58" s="8"/>
      <c r="I58" s="7" t="str">
        <f>IF($F58="","",IF($C58="","⚠ no property — not counted",IF(COUNTIF(Setup!$A$25:$A$36,$C58)=0,"⚠ unknown property","OK")))</f>
        <v/>
      </c>
    </row>
    <row r="59" spans="1:9" x14ac:dyDescent="0.2">
      <c r="A59" s="40" t="str">
        <f t="shared" si="0"/>
        <v/>
      </c>
      <c r="B59" s="31"/>
      <c r="C59" s="3"/>
      <c r="D59" s="3"/>
      <c r="E59" s="3"/>
      <c r="F59" s="6"/>
      <c r="G59" s="3"/>
      <c r="H59" s="3"/>
      <c r="I59" s="7" t="str">
        <f>IF($F59="","",IF($C59="","⚠ no property — not counted",IF(COUNTIF(Setup!$A$25:$A$36,$C59)=0,"⚠ unknown property","OK")))</f>
        <v/>
      </c>
    </row>
    <row r="60" spans="1:9" x14ac:dyDescent="0.2">
      <c r="A60" s="40" t="str">
        <f t="shared" si="0"/>
        <v/>
      </c>
      <c r="B60" s="34"/>
      <c r="C60" s="8"/>
      <c r="D60" s="8"/>
      <c r="E60" s="8"/>
      <c r="F60" s="11"/>
      <c r="G60" s="8"/>
      <c r="H60" s="8"/>
      <c r="I60" s="7" t="str">
        <f>IF($F60="","",IF($C60="","⚠ no property — not counted",IF(COUNTIF(Setup!$A$25:$A$36,$C60)=0,"⚠ unknown property","OK")))</f>
        <v/>
      </c>
    </row>
    <row r="61" spans="1:9" x14ac:dyDescent="0.2">
      <c r="A61" s="40" t="str">
        <f t="shared" si="0"/>
        <v/>
      </c>
      <c r="B61" s="31"/>
      <c r="C61" s="3"/>
      <c r="D61" s="3"/>
      <c r="E61" s="3"/>
      <c r="F61" s="6"/>
      <c r="G61" s="3"/>
      <c r="H61" s="3"/>
      <c r="I61" s="7" t="str">
        <f>IF($F61="","",IF($C61="","⚠ no property — not counted",IF(COUNTIF(Setup!$A$25:$A$36,$C61)=0,"⚠ unknown property","OK")))</f>
        <v/>
      </c>
    </row>
    <row r="62" spans="1:9" x14ac:dyDescent="0.2">
      <c r="A62" s="40" t="str">
        <f t="shared" si="0"/>
        <v/>
      </c>
      <c r="B62" s="34"/>
      <c r="C62" s="8"/>
      <c r="D62" s="8"/>
      <c r="E62" s="8"/>
      <c r="F62" s="11"/>
      <c r="G62" s="8"/>
      <c r="H62" s="8"/>
      <c r="I62" s="7" t="str">
        <f>IF($F62="","",IF($C62="","⚠ no property — not counted",IF(COUNTIF(Setup!$A$25:$A$36,$C62)=0,"⚠ unknown property","OK")))</f>
        <v/>
      </c>
    </row>
    <row r="63" spans="1:9" x14ac:dyDescent="0.2">
      <c r="A63" s="40" t="str">
        <f t="shared" si="0"/>
        <v/>
      </c>
      <c r="B63" s="31"/>
      <c r="C63" s="3"/>
      <c r="D63" s="3"/>
      <c r="E63" s="3"/>
      <c r="F63" s="6"/>
      <c r="G63" s="3"/>
      <c r="H63" s="3"/>
      <c r="I63" s="7" t="str">
        <f>IF($F63="","",IF($C63="","⚠ no property — not counted",IF(COUNTIF(Setup!$A$25:$A$36,$C63)=0,"⚠ unknown property","OK")))</f>
        <v/>
      </c>
    </row>
    <row r="64" spans="1:9" x14ac:dyDescent="0.2">
      <c r="A64" s="40" t="str">
        <f t="shared" si="0"/>
        <v/>
      </c>
      <c r="B64" s="34"/>
      <c r="C64" s="8"/>
      <c r="D64" s="8"/>
      <c r="E64" s="8"/>
      <c r="F64" s="11"/>
      <c r="G64" s="8"/>
      <c r="H64" s="8"/>
      <c r="I64" s="7" t="str">
        <f>IF($F64="","",IF($C64="","⚠ no property — not counted",IF(COUNTIF(Setup!$A$25:$A$36,$C64)=0,"⚠ unknown property","OK")))</f>
        <v/>
      </c>
    </row>
    <row r="65" spans="1:9" x14ac:dyDescent="0.2">
      <c r="A65" s="40" t="str">
        <f t="shared" si="0"/>
        <v/>
      </c>
      <c r="B65" s="31"/>
      <c r="C65" s="3"/>
      <c r="D65" s="3"/>
      <c r="E65" s="3"/>
      <c r="F65" s="6"/>
      <c r="G65" s="3"/>
      <c r="H65" s="3"/>
      <c r="I65" s="7" t="str">
        <f>IF($F65="","",IF($C65="","⚠ no property — not counted",IF(COUNTIF(Setup!$A$25:$A$36,$C65)=0,"⚠ unknown property","OK")))</f>
        <v/>
      </c>
    </row>
    <row r="66" spans="1:9" x14ac:dyDescent="0.2">
      <c r="A66" s="40" t="str">
        <f t="shared" si="0"/>
        <v/>
      </c>
      <c r="B66" s="34"/>
      <c r="C66" s="8"/>
      <c r="D66" s="8"/>
      <c r="E66" s="8"/>
      <c r="F66" s="11"/>
      <c r="G66" s="8"/>
      <c r="H66" s="8"/>
      <c r="I66" s="7" t="str">
        <f>IF($F66="","",IF($C66="","⚠ no property — not counted",IF(COUNTIF(Setup!$A$25:$A$36,$C66)=0,"⚠ unknown property","OK")))</f>
        <v/>
      </c>
    </row>
    <row r="67" spans="1:9" x14ac:dyDescent="0.2">
      <c r="A67" s="40" t="str">
        <f t="shared" si="0"/>
        <v/>
      </c>
      <c r="B67" s="31"/>
      <c r="C67" s="3"/>
      <c r="D67" s="3"/>
      <c r="E67" s="3"/>
      <c r="F67" s="6"/>
      <c r="G67" s="3"/>
      <c r="H67" s="3"/>
      <c r="I67" s="7" t="str">
        <f>IF($F67="","",IF($C67="","⚠ no property — not counted",IF(COUNTIF(Setup!$A$25:$A$36,$C67)=0,"⚠ unknown property","OK")))</f>
        <v/>
      </c>
    </row>
    <row r="68" spans="1:9" x14ac:dyDescent="0.2">
      <c r="A68" s="40" t="str">
        <f t="shared" si="0"/>
        <v/>
      </c>
      <c r="B68" s="34"/>
      <c r="C68" s="8"/>
      <c r="D68" s="8"/>
      <c r="E68" s="8"/>
      <c r="F68" s="11"/>
      <c r="G68" s="8"/>
      <c r="H68" s="8"/>
      <c r="I68" s="7" t="str">
        <f>IF($F68="","",IF($C68="","⚠ no property — not counted",IF(COUNTIF(Setup!$A$25:$A$36,$C68)=0,"⚠ unknown property","OK")))</f>
        <v/>
      </c>
    </row>
    <row r="69" spans="1:9" x14ac:dyDescent="0.2">
      <c r="A69" s="40" t="str">
        <f t="shared" ref="A69:A132" si="1">IF($F69="","",ROW()-4)</f>
        <v/>
      </c>
      <c r="B69" s="31"/>
      <c r="C69" s="3"/>
      <c r="D69" s="3"/>
      <c r="E69" s="3"/>
      <c r="F69" s="6"/>
      <c r="G69" s="3"/>
      <c r="H69" s="3"/>
      <c r="I69" s="7" t="str">
        <f>IF($F69="","",IF($C69="","⚠ no property — not counted",IF(COUNTIF(Setup!$A$25:$A$36,$C69)=0,"⚠ unknown property","OK")))</f>
        <v/>
      </c>
    </row>
    <row r="70" spans="1:9" x14ac:dyDescent="0.2">
      <c r="A70" s="40" t="str">
        <f t="shared" si="1"/>
        <v/>
      </c>
      <c r="B70" s="34"/>
      <c r="C70" s="8"/>
      <c r="D70" s="8"/>
      <c r="E70" s="8"/>
      <c r="F70" s="11"/>
      <c r="G70" s="8"/>
      <c r="H70" s="8"/>
      <c r="I70" s="7" t="str">
        <f>IF($F70="","",IF($C70="","⚠ no property — not counted",IF(COUNTIF(Setup!$A$25:$A$36,$C70)=0,"⚠ unknown property","OK")))</f>
        <v/>
      </c>
    </row>
    <row r="71" spans="1:9" x14ac:dyDescent="0.2">
      <c r="A71" s="40" t="str">
        <f t="shared" si="1"/>
        <v/>
      </c>
      <c r="B71" s="31"/>
      <c r="C71" s="3"/>
      <c r="D71" s="3"/>
      <c r="E71" s="3"/>
      <c r="F71" s="6"/>
      <c r="G71" s="3"/>
      <c r="H71" s="3"/>
      <c r="I71" s="7" t="str">
        <f>IF($F71="","",IF($C71="","⚠ no property — not counted",IF(COUNTIF(Setup!$A$25:$A$36,$C71)=0,"⚠ unknown property","OK")))</f>
        <v/>
      </c>
    </row>
    <row r="72" spans="1:9" x14ac:dyDescent="0.2">
      <c r="A72" s="40" t="str">
        <f t="shared" si="1"/>
        <v/>
      </c>
      <c r="B72" s="34"/>
      <c r="C72" s="8"/>
      <c r="D72" s="8"/>
      <c r="E72" s="8"/>
      <c r="F72" s="11"/>
      <c r="G72" s="8"/>
      <c r="H72" s="8"/>
      <c r="I72" s="7" t="str">
        <f>IF($F72="","",IF($C72="","⚠ no property — not counted",IF(COUNTIF(Setup!$A$25:$A$36,$C72)=0,"⚠ unknown property","OK")))</f>
        <v/>
      </c>
    </row>
    <row r="73" spans="1:9" x14ac:dyDescent="0.2">
      <c r="A73" s="40" t="str">
        <f t="shared" si="1"/>
        <v/>
      </c>
      <c r="B73" s="31"/>
      <c r="C73" s="3"/>
      <c r="D73" s="3"/>
      <c r="E73" s="3"/>
      <c r="F73" s="6"/>
      <c r="G73" s="3"/>
      <c r="H73" s="3"/>
      <c r="I73" s="7" t="str">
        <f>IF($F73="","",IF($C73="","⚠ no property — not counted",IF(COUNTIF(Setup!$A$25:$A$36,$C73)=0,"⚠ unknown property","OK")))</f>
        <v/>
      </c>
    </row>
    <row r="74" spans="1:9" x14ac:dyDescent="0.2">
      <c r="A74" s="40" t="str">
        <f t="shared" si="1"/>
        <v/>
      </c>
      <c r="B74" s="34"/>
      <c r="C74" s="8"/>
      <c r="D74" s="8"/>
      <c r="E74" s="8"/>
      <c r="F74" s="11"/>
      <c r="G74" s="8"/>
      <c r="H74" s="8"/>
      <c r="I74" s="7" t="str">
        <f>IF($F74="","",IF($C74="","⚠ no property — not counted",IF(COUNTIF(Setup!$A$25:$A$36,$C74)=0,"⚠ unknown property","OK")))</f>
        <v/>
      </c>
    </row>
    <row r="75" spans="1:9" x14ac:dyDescent="0.2">
      <c r="A75" s="40" t="str">
        <f t="shared" si="1"/>
        <v/>
      </c>
      <c r="B75" s="31"/>
      <c r="C75" s="3"/>
      <c r="D75" s="3"/>
      <c r="E75" s="3"/>
      <c r="F75" s="6"/>
      <c r="G75" s="3"/>
      <c r="H75" s="3"/>
      <c r="I75" s="7" t="str">
        <f>IF($F75="","",IF($C75="","⚠ no property — not counted",IF(COUNTIF(Setup!$A$25:$A$36,$C75)=0,"⚠ unknown property","OK")))</f>
        <v/>
      </c>
    </row>
    <row r="76" spans="1:9" x14ac:dyDescent="0.2">
      <c r="A76" s="40" t="str">
        <f t="shared" si="1"/>
        <v/>
      </c>
      <c r="B76" s="34"/>
      <c r="C76" s="8"/>
      <c r="D76" s="8"/>
      <c r="E76" s="8"/>
      <c r="F76" s="11"/>
      <c r="G76" s="8"/>
      <c r="H76" s="8"/>
      <c r="I76" s="7" t="str">
        <f>IF($F76="","",IF($C76="","⚠ no property — not counted",IF(COUNTIF(Setup!$A$25:$A$36,$C76)=0,"⚠ unknown property","OK")))</f>
        <v/>
      </c>
    </row>
    <row r="77" spans="1:9" x14ac:dyDescent="0.2">
      <c r="A77" s="40" t="str">
        <f t="shared" si="1"/>
        <v/>
      </c>
      <c r="B77" s="31"/>
      <c r="C77" s="3"/>
      <c r="D77" s="3"/>
      <c r="E77" s="3"/>
      <c r="F77" s="6"/>
      <c r="G77" s="3"/>
      <c r="H77" s="3"/>
      <c r="I77" s="7" t="str">
        <f>IF($F77="","",IF($C77="","⚠ no property — not counted",IF(COUNTIF(Setup!$A$25:$A$36,$C77)=0,"⚠ unknown property","OK")))</f>
        <v/>
      </c>
    </row>
    <row r="78" spans="1:9" x14ac:dyDescent="0.2">
      <c r="A78" s="40" t="str">
        <f t="shared" si="1"/>
        <v/>
      </c>
      <c r="B78" s="34"/>
      <c r="C78" s="8"/>
      <c r="D78" s="8"/>
      <c r="E78" s="8"/>
      <c r="F78" s="11"/>
      <c r="G78" s="8"/>
      <c r="H78" s="8"/>
      <c r="I78" s="7" t="str">
        <f>IF($F78="","",IF($C78="","⚠ no property — not counted",IF(COUNTIF(Setup!$A$25:$A$36,$C78)=0,"⚠ unknown property","OK")))</f>
        <v/>
      </c>
    </row>
    <row r="79" spans="1:9" x14ac:dyDescent="0.2">
      <c r="A79" s="40" t="str">
        <f t="shared" si="1"/>
        <v/>
      </c>
      <c r="B79" s="31"/>
      <c r="C79" s="3"/>
      <c r="D79" s="3"/>
      <c r="E79" s="3"/>
      <c r="F79" s="6"/>
      <c r="G79" s="3"/>
      <c r="H79" s="3"/>
      <c r="I79" s="7" t="str">
        <f>IF($F79="","",IF($C79="","⚠ no property — not counted",IF(COUNTIF(Setup!$A$25:$A$36,$C79)=0,"⚠ unknown property","OK")))</f>
        <v/>
      </c>
    </row>
    <row r="80" spans="1:9" x14ac:dyDescent="0.2">
      <c r="A80" s="40" t="str">
        <f t="shared" si="1"/>
        <v/>
      </c>
      <c r="B80" s="34"/>
      <c r="C80" s="8"/>
      <c r="D80" s="8"/>
      <c r="E80" s="8"/>
      <c r="F80" s="11"/>
      <c r="G80" s="8"/>
      <c r="H80" s="8"/>
      <c r="I80" s="7" t="str">
        <f>IF($F80="","",IF($C80="","⚠ no property — not counted",IF(COUNTIF(Setup!$A$25:$A$36,$C80)=0,"⚠ unknown property","OK")))</f>
        <v/>
      </c>
    </row>
    <row r="81" spans="1:9" x14ac:dyDescent="0.2">
      <c r="A81" s="40" t="str">
        <f t="shared" si="1"/>
        <v/>
      </c>
      <c r="B81" s="31"/>
      <c r="C81" s="3"/>
      <c r="D81" s="3"/>
      <c r="E81" s="3"/>
      <c r="F81" s="6"/>
      <c r="G81" s="3"/>
      <c r="H81" s="3"/>
      <c r="I81" s="7" t="str">
        <f>IF($F81="","",IF($C81="","⚠ no property — not counted",IF(COUNTIF(Setup!$A$25:$A$36,$C81)=0,"⚠ unknown property","OK")))</f>
        <v/>
      </c>
    </row>
    <row r="82" spans="1:9" x14ac:dyDescent="0.2">
      <c r="A82" s="40" t="str">
        <f t="shared" si="1"/>
        <v/>
      </c>
      <c r="B82" s="34"/>
      <c r="C82" s="8"/>
      <c r="D82" s="8"/>
      <c r="E82" s="8"/>
      <c r="F82" s="11"/>
      <c r="G82" s="8"/>
      <c r="H82" s="8"/>
      <c r="I82" s="7" t="str">
        <f>IF($F82="","",IF($C82="","⚠ no property — not counted",IF(COUNTIF(Setup!$A$25:$A$36,$C82)=0,"⚠ unknown property","OK")))</f>
        <v/>
      </c>
    </row>
    <row r="83" spans="1:9" x14ac:dyDescent="0.2">
      <c r="A83" s="40" t="str">
        <f t="shared" si="1"/>
        <v/>
      </c>
      <c r="B83" s="31"/>
      <c r="C83" s="3"/>
      <c r="D83" s="3"/>
      <c r="E83" s="3"/>
      <c r="F83" s="6"/>
      <c r="G83" s="3"/>
      <c r="H83" s="3"/>
      <c r="I83" s="7" t="str">
        <f>IF($F83="","",IF($C83="","⚠ no property — not counted",IF(COUNTIF(Setup!$A$25:$A$36,$C83)=0,"⚠ unknown property","OK")))</f>
        <v/>
      </c>
    </row>
    <row r="84" spans="1:9" x14ac:dyDescent="0.2">
      <c r="A84" s="40" t="str">
        <f t="shared" si="1"/>
        <v/>
      </c>
      <c r="B84" s="34"/>
      <c r="C84" s="8"/>
      <c r="D84" s="8"/>
      <c r="E84" s="8"/>
      <c r="F84" s="11"/>
      <c r="G84" s="8"/>
      <c r="H84" s="8"/>
      <c r="I84" s="7" t="str">
        <f>IF($F84="","",IF($C84="","⚠ no property — not counted",IF(COUNTIF(Setup!$A$25:$A$36,$C84)=0,"⚠ unknown property","OK")))</f>
        <v/>
      </c>
    </row>
    <row r="85" spans="1:9" x14ac:dyDescent="0.2">
      <c r="A85" s="40" t="str">
        <f t="shared" si="1"/>
        <v/>
      </c>
      <c r="B85" s="31"/>
      <c r="C85" s="3"/>
      <c r="D85" s="3"/>
      <c r="E85" s="3"/>
      <c r="F85" s="6"/>
      <c r="G85" s="3"/>
      <c r="H85" s="3"/>
      <c r="I85" s="7" t="str">
        <f>IF($F85="","",IF($C85="","⚠ no property — not counted",IF(COUNTIF(Setup!$A$25:$A$36,$C85)=0,"⚠ unknown property","OK")))</f>
        <v/>
      </c>
    </row>
    <row r="86" spans="1:9" x14ac:dyDescent="0.2">
      <c r="A86" s="40" t="str">
        <f t="shared" si="1"/>
        <v/>
      </c>
      <c r="B86" s="34"/>
      <c r="C86" s="8"/>
      <c r="D86" s="8"/>
      <c r="E86" s="8"/>
      <c r="F86" s="11"/>
      <c r="G86" s="8"/>
      <c r="H86" s="8"/>
      <c r="I86" s="7" t="str">
        <f>IF($F86="","",IF($C86="","⚠ no property — not counted",IF(COUNTIF(Setup!$A$25:$A$36,$C86)=0,"⚠ unknown property","OK")))</f>
        <v/>
      </c>
    </row>
    <row r="87" spans="1:9" x14ac:dyDescent="0.2">
      <c r="A87" s="40" t="str">
        <f t="shared" si="1"/>
        <v/>
      </c>
      <c r="B87" s="31"/>
      <c r="C87" s="3"/>
      <c r="D87" s="3"/>
      <c r="E87" s="3"/>
      <c r="F87" s="6"/>
      <c r="G87" s="3"/>
      <c r="H87" s="3"/>
      <c r="I87" s="7" t="str">
        <f>IF($F87="","",IF($C87="","⚠ no property — not counted",IF(COUNTIF(Setup!$A$25:$A$36,$C87)=0,"⚠ unknown property","OK")))</f>
        <v/>
      </c>
    </row>
    <row r="88" spans="1:9" x14ac:dyDescent="0.2">
      <c r="A88" s="40" t="str">
        <f t="shared" si="1"/>
        <v/>
      </c>
      <c r="B88" s="34"/>
      <c r="C88" s="8"/>
      <c r="D88" s="8"/>
      <c r="E88" s="8"/>
      <c r="F88" s="11"/>
      <c r="G88" s="8"/>
      <c r="H88" s="8"/>
      <c r="I88" s="7" t="str">
        <f>IF($F88="","",IF($C88="","⚠ no property — not counted",IF(COUNTIF(Setup!$A$25:$A$36,$C88)=0,"⚠ unknown property","OK")))</f>
        <v/>
      </c>
    </row>
    <row r="89" spans="1:9" x14ac:dyDescent="0.2">
      <c r="A89" s="40" t="str">
        <f t="shared" si="1"/>
        <v/>
      </c>
      <c r="B89" s="31"/>
      <c r="C89" s="3"/>
      <c r="D89" s="3"/>
      <c r="E89" s="3"/>
      <c r="F89" s="6"/>
      <c r="G89" s="3"/>
      <c r="H89" s="3"/>
      <c r="I89" s="7" t="str">
        <f>IF($F89="","",IF($C89="","⚠ no property — not counted",IF(COUNTIF(Setup!$A$25:$A$36,$C89)=0,"⚠ unknown property","OK")))</f>
        <v/>
      </c>
    </row>
    <row r="90" spans="1:9" x14ac:dyDescent="0.2">
      <c r="A90" s="40" t="str">
        <f t="shared" si="1"/>
        <v/>
      </c>
      <c r="B90" s="34"/>
      <c r="C90" s="8"/>
      <c r="D90" s="8"/>
      <c r="E90" s="8"/>
      <c r="F90" s="11"/>
      <c r="G90" s="8"/>
      <c r="H90" s="8"/>
      <c r="I90" s="7" t="str">
        <f>IF($F90="","",IF($C90="","⚠ no property — not counted",IF(COUNTIF(Setup!$A$25:$A$36,$C90)=0,"⚠ unknown property","OK")))</f>
        <v/>
      </c>
    </row>
    <row r="91" spans="1:9" x14ac:dyDescent="0.2">
      <c r="A91" s="40" t="str">
        <f t="shared" si="1"/>
        <v/>
      </c>
      <c r="B91" s="31"/>
      <c r="C91" s="3"/>
      <c r="D91" s="3"/>
      <c r="E91" s="3"/>
      <c r="F91" s="6"/>
      <c r="G91" s="3"/>
      <c r="H91" s="3"/>
      <c r="I91" s="7" t="str">
        <f>IF($F91="","",IF($C91="","⚠ no property — not counted",IF(COUNTIF(Setup!$A$25:$A$36,$C91)=0,"⚠ unknown property","OK")))</f>
        <v/>
      </c>
    </row>
    <row r="92" spans="1:9" x14ac:dyDescent="0.2">
      <c r="A92" s="40" t="str">
        <f t="shared" si="1"/>
        <v/>
      </c>
      <c r="B92" s="34"/>
      <c r="C92" s="8"/>
      <c r="D92" s="8"/>
      <c r="E92" s="8"/>
      <c r="F92" s="11"/>
      <c r="G92" s="8"/>
      <c r="H92" s="8"/>
      <c r="I92" s="7" t="str">
        <f>IF($F92="","",IF($C92="","⚠ no property — not counted",IF(COUNTIF(Setup!$A$25:$A$36,$C92)=0,"⚠ unknown property","OK")))</f>
        <v/>
      </c>
    </row>
    <row r="93" spans="1:9" x14ac:dyDescent="0.2">
      <c r="A93" s="40" t="str">
        <f t="shared" si="1"/>
        <v/>
      </c>
      <c r="B93" s="31"/>
      <c r="C93" s="3"/>
      <c r="D93" s="3"/>
      <c r="E93" s="3"/>
      <c r="F93" s="6"/>
      <c r="G93" s="3"/>
      <c r="H93" s="3"/>
      <c r="I93" s="7" t="str">
        <f>IF($F93="","",IF($C93="","⚠ no property — not counted",IF(COUNTIF(Setup!$A$25:$A$36,$C93)=0,"⚠ unknown property","OK")))</f>
        <v/>
      </c>
    </row>
    <row r="94" spans="1:9" x14ac:dyDescent="0.2">
      <c r="A94" s="40" t="str">
        <f t="shared" si="1"/>
        <v/>
      </c>
      <c r="B94" s="34"/>
      <c r="C94" s="8"/>
      <c r="D94" s="8"/>
      <c r="E94" s="8"/>
      <c r="F94" s="11"/>
      <c r="G94" s="8"/>
      <c r="H94" s="8"/>
      <c r="I94" s="7" t="str">
        <f>IF($F94="","",IF($C94="","⚠ no property — not counted",IF(COUNTIF(Setup!$A$25:$A$36,$C94)=0,"⚠ unknown property","OK")))</f>
        <v/>
      </c>
    </row>
    <row r="95" spans="1:9" x14ac:dyDescent="0.2">
      <c r="A95" s="40" t="str">
        <f t="shared" si="1"/>
        <v/>
      </c>
      <c r="B95" s="31"/>
      <c r="C95" s="3"/>
      <c r="D95" s="3"/>
      <c r="E95" s="3"/>
      <c r="F95" s="6"/>
      <c r="G95" s="3"/>
      <c r="H95" s="3"/>
      <c r="I95" s="7" t="str">
        <f>IF($F95="","",IF($C95="","⚠ no property — not counted",IF(COUNTIF(Setup!$A$25:$A$36,$C95)=0,"⚠ unknown property","OK")))</f>
        <v/>
      </c>
    </row>
    <row r="96" spans="1:9" x14ac:dyDescent="0.2">
      <c r="A96" s="40" t="str">
        <f t="shared" si="1"/>
        <v/>
      </c>
      <c r="B96" s="34"/>
      <c r="C96" s="8"/>
      <c r="D96" s="8"/>
      <c r="E96" s="8"/>
      <c r="F96" s="11"/>
      <c r="G96" s="8"/>
      <c r="H96" s="8"/>
      <c r="I96" s="7" t="str">
        <f>IF($F96="","",IF($C96="","⚠ no property — not counted",IF(COUNTIF(Setup!$A$25:$A$36,$C96)=0,"⚠ unknown property","OK")))</f>
        <v/>
      </c>
    </row>
    <row r="97" spans="1:9" x14ac:dyDescent="0.2">
      <c r="A97" s="40" t="str">
        <f t="shared" si="1"/>
        <v/>
      </c>
      <c r="B97" s="31"/>
      <c r="C97" s="3"/>
      <c r="D97" s="3"/>
      <c r="E97" s="3"/>
      <c r="F97" s="6"/>
      <c r="G97" s="3"/>
      <c r="H97" s="3"/>
      <c r="I97" s="7" t="str">
        <f>IF($F97="","",IF($C97="","⚠ no property — not counted",IF(COUNTIF(Setup!$A$25:$A$36,$C97)=0,"⚠ unknown property","OK")))</f>
        <v/>
      </c>
    </row>
    <row r="98" spans="1:9" x14ac:dyDescent="0.2">
      <c r="A98" s="40" t="str">
        <f t="shared" si="1"/>
        <v/>
      </c>
      <c r="B98" s="34"/>
      <c r="C98" s="8"/>
      <c r="D98" s="8"/>
      <c r="E98" s="8"/>
      <c r="F98" s="11"/>
      <c r="G98" s="8"/>
      <c r="H98" s="8"/>
      <c r="I98" s="7" t="str">
        <f>IF($F98="","",IF($C98="","⚠ no property — not counted",IF(COUNTIF(Setup!$A$25:$A$36,$C98)=0,"⚠ unknown property","OK")))</f>
        <v/>
      </c>
    </row>
    <row r="99" spans="1:9" x14ac:dyDescent="0.2">
      <c r="A99" s="40" t="str">
        <f t="shared" si="1"/>
        <v/>
      </c>
      <c r="B99" s="31"/>
      <c r="C99" s="3"/>
      <c r="D99" s="3"/>
      <c r="E99" s="3"/>
      <c r="F99" s="6"/>
      <c r="G99" s="3"/>
      <c r="H99" s="3"/>
      <c r="I99" s="7" t="str">
        <f>IF($F99="","",IF($C99="","⚠ no property — not counted",IF(COUNTIF(Setup!$A$25:$A$36,$C99)=0,"⚠ unknown property","OK")))</f>
        <v/>
      </c>
    </row>
    <row r="100" spans="1:9" x14ac:dyDescent="0.2">
      <c r="A100" s="40" t="str">
        <f t="shared" si="1"/>
        <v/>
      </c>
      <c r="B100" s="34"/>
      <c r="C100" s="8"/>
      <c r="D100" s="8"/>
      <c r="E100" s="8"/>
      <c r="F100" s="11"/>
      <c r="G100" s="8"/>
      <c r="H100" s="8"/>
      <c r="I100" s="7" t="str">
        <f>IF($F100="","",IF($C100="","⚠ no property — not counted",IF(COUNTIF(Setup!$A$25:$A$36,$C100)=0,"⚠ unknown property","OK")))</f>
        <v/>
      </c>
    </row>
    <row r="101" spans="1:9" x14ac:dyDescent="0.2">
      <c r="A101" s="40" t="str">
        <f t="shared" si="1"/>
        <v/>
      </c>
      <c r="B101" s="31"/>
      <c r="C101" s="3"/>
      <c r="D101" s="3"/>
      <c r="E101" s="3"/>
      <c r="F101" s="6"/>
      <c r="G101" s="3"/>
      <c r="H101" s="3"/>
      <c r="I101" s="7" t="str">
        <f>IF($F101="","",IF($C101="","⚠ no property — not counted",IF(COUNTIF(Setup!$A$25:$A$36,$C101)=0,"⚠ unknown property","OK")))</f>
        <v/>
      </c>
    </row>
    <row r="102" spans="1:9" x14ac:dyDescent="0.2">
      <c r="A102" s="40" t="str">
        <f t="shared" si="1"/>
        <v/>
      </c>
      <c r="B102" s="34"/>
      <c r="C102" s="8"/>
      <c r="D102" s="8"/>
      <c r="E102" s="8"/>
      <c r="F102" s="11"/>
      <c r="G102" s="8"/>
      <c r="H102" s="8"/>
      <c r="I102" s="7" t="str">
        <f>IF($F102="","",IF($C102="","⚠ no property — not counted",IF(COUNTIF(Setup!$A$25:$A$36,$C102)=0,"⚠ unknown property","OK")))</f>
        <v/>
      </c>
    </row>
    <row r="103" spans="1:9" x14ac:dyDescent="0.2">
      <c r="A103" s="40" t="str">
        <f t="shared" si="1"/>
        <v/>
      </c>
      <c r="B103" s="31"/>
      <c r="C103" s="3"/>
      <c r="D103" s="3"/>
      <c r="E103" s="3"/>
      <c r="F103" s="6"/>
      <c r="G103" s="3"/>
      <c r="H103" s="3"/>
      <c r="I103" s="7" t="str">
        <f>IF($F103="","",IF($C103="","⚠ no property — not counted",IF(COUNTIF(Setup!$A$25:$A$36,$C103)=0,"⚠ unknown property","OK")))</f>
        <v/>
      </c>
    </row>
    <row r="104" spans="1:9" x14ac:dyDescent="0.2">
      <c r="A104" s="40" t="str">
        <f t="shared" si="1"/>
        <v/>
      </c>
      <c r="B104" s="34"/>
      <c r="C104" s="8"/>
      <c r="D104" s="8"/>
      <c r="E104" s="8"/>
      <c r="F104" s="11"/>
      <c r="G104" s="8"/>
      <c r="H104" s="8"/>
      <c r="I104" s="7" t="str">
        <f>IF($F104="","",IF($C104="","⚠ no property — not counted",IF(COUNTIF(Setup!$A$25:$A$36,$C104)=0,"⚠ unknown property","OK")))</f>
        <v/>
      </c>
    </row>
    <row r="105" spans="1:9" x14ac:dyDescent="0.2">
      <c r="A105" s="40" t="str">
        <f t="shared" si="1"/>
        <v/>
      </c>
      <c r="B105" s="31"/>
      <c r="C105" s="3"/>
      <c r="D105" s="3"/>
      <c r="E105" s="3"/>
      <c r="F105" s="6"/>
      <c r="G105" s="3"/>
      <c r="H105" s="3"/>
      <c r="I105" s="7" t="str">
        <f>IF($F105="","",IF($C105="","⚠ no property — not counted",IF(COUNTIF(Setup!$A$25:$A$36,$C105)=0,"⚠ unknown property","OK")))</f>
        <v/>
      </c>
    </row>
    <row r="106" spans="1:9" x14ac:dyDescent="0.2">
      <c r="A106" s="40" t="str">
        <f t="shared" si="1"/>
        <v/>
      </c>
      <c r="B106" s="34"/>
      <c r="C106" s="8"/>
      <c r="D106" s="8"/>
      <c r="E106" s="8"/>
      <c r="F106" s="11"/>
      <c r="G106" s="8"/>
      <c r="H106" s="8"/>
      <c r="I106" s="7" t="str">
        <f>IF($F106="","",IF($C106="","⚠ no property — not counted",IF(COUNTIF(Setup!$A$25:$A$36,$C106)=0,"⚠ unknown property","OK")))</f>
        <v/>
      </c>
    </row>
    <row r="107" spans="1:9" x14ac:dyDescent="0.2">
      <c r="A107" s="40" t="str">
        <f t="shared" si="1"/>
        <v/>
      </c>
      <c r="B107" s="31"/>
      <c r="C107" s="3"/>
      <c r="D107" s="3"/>
      <c r="E107" s="3"/>
      <c r="F107" s="6"/>
      <c r="G107" s="3"/>
      <c r="H107" s="3"/>
      <c r="I107" s="7" t="str">
        <f>IF($F107="","",IF($C107="","⚠ no property — not counted",IF(COUNTIF(Setup!$A$25:$A$36,$C107)=0,"⚠ unknown property","OK")))</f>
        <v/>
      </c>
    </row>
    <row r="108" spans="1:9" x14ac:dyDescent="0.2">
      <c r="A108" s="40" t="str">
        <f t="shared" si="1"/>
        <v/>
      </c>
      <c r="B108" s="34"/>
      <c r="C108" s="8"/>
      <c r="D108" s="8"/>
      <c r="E108" s="8"/>
      <c r="F108" s="11"/>
      <c r="G108" s="8"/>
      <c r="H108" s="8"/>
      <c r="I108" s="7" t="str">
        <f>IF($F108="","",IF($C108="","⚠ no property — not counted",IF(COUNTIF(Setup!$A$25:$A$36,$C108)=0,"⚠ unknown property","OK")))</f>
        <v/>
      </c>
    </row>
    <row r="109" spans="1:9" x14ac:dyDescent="0.2">
      <c r="A109" s="40" t="str">
        <f t="shared" si="1"/>
        <v/>
      </c>
      <c r="B109" s="31"/>
      <c r="C109" s="3"/>
      <c r="D109" s="3"/>
      <c r="E109" s="3"/>
      <c r="F109" s="6"/>
      <c r="G109" s="3"/>
      <c r="H109" s="3"/>
      <c r="I109" s="7" t="str">
        <f>IF($F109="","",IF($C109="","⚠ no property — not counted",IF(COUNTIF(Setup!$A$25:$A$36,$C109)=0,"⚠ unknown property","OK")))</f>
        <v/>
      </c>
    </row>
    <row r="110" spans="1:9" x14ac:dyDescent="0.2">
      <c r="A110" s="40" t="str">
        <f t="shared" si="1"/>
        <v/>
      </c>
      <c r="B110" s="34"/>
      <c r="C110" s="8"/>
      <c r="D110" s="8"/>
      <c r="E110" s="8"/>
      <c r="F110" s="11"/>
      <c r="G110" s="8"/>
      <c r="H110" s="8"/>
      <c r="I110" s="7" t="str">
        <f>IF($F110="","",IF($C110="","⚠ no property — not counted",IF(COUNTIF(Setup!$A$25:$A$36,$C110)=0,"⚠ unknown property","OK")))</f>
        <v/>
      </c>
    </row>
    <row r="111" spans="1:9" x14ac:dyDescent="0.2">
      <c r="A111" s="40" t="str">
        <f t="shared" si="1"/>
        <v/>
      </c>
      <c r="B111" s="31"/>
      <c r="C111" s="3"/>
      <c r="D111" s="3"/>
      <c r="E111" s="3"/>
      <c r="F111" s="6"/>
      <c r="G111" s="3"/>
      <c r="H111" s="3"/>
      <c r="I111" s="7" t="str">
        <f>IF($F111="","",IF($C111="","⚠ no property — not counted",IF(COUNTIF(Setup!$A$25:$A$36,$C111)=0,"⚠ unknown property","OK")))</f>
        <v/>
      </c>
    </row>
    <row r="112" spans="1:9" x14ac:dyDescent="0.2">
      <c r="A112" s="40" t="str">
        <f t="shared" si="1"/>
        <v/>
      </c>
      <c r="B112" s="34"/>
      <c r="C112" s="8"/>
      <c r="D112" s="8"/>
      <c r="E112" s="8"/>
      <c r="F112" s="11"/>
      <c r="G112" s="8"/>
      <c r="H112" s="8"/>
      <c r="I112" s="7" t="str">
        <f>IF($F112="","",IF($C112="","⚠ no property — not counted",IF(COUNTIF(Setup!$A$25:$A$36,$C112)=0,"⚠ unknown property","OK")))</f>
        <v/>
      </c>
    </row>
    <row r="113" spans="1:9" x14ac:dyDescent="0.2">
      <c r="A113" s="40" t="str">
        <f t="shared" si="1"/>
        <v/>
      </c>
      <c r="B113" s="31"/>
      <c r="C113" s="3"/>
      <c r="D113" s="3"/>
      <c r="E113" s="3"/>
      <c r="F113" s="6"/>
      <c r="G113" s="3"/>
      <c r="H113" s="3"/>
      <c r="I113" s="7" t="str">
        <f>IF($F113="","",IF($C113="","⚠ no property — not counted",IF(COUNTIF(Setup!$A$25:$A$36,$C113)=0,"⚠ unknown property","OK")))</f>
        <v/>
      </c>
    </row>
    <row r="114" spans="1:9" x14ac:dyDescent="0.2">
      <c r="A114" s="40" t="str">
        <f t="shared" si="1"/>
        <v/>
      </c>
      <c r="B114" s="34"/>
      <c r="C114" s="8"/>
      <c r="D114" s="8"/>
      <c r="E114" s="8"/>
      <c r="F114" s="11"/>
      <c r="G114" s="8"/>
      <c r="H114" s="8"/>
      <c r="I114" s="7" t="str">
        <f>IF($F114="","",IF($C114="","⚠ no property — not counted",IF(COUNTIF(Setup!$A$25:$A$36,$C114)=0,"⚠ unknown property","OK")))</f>
        <v/>
      </c>
    </row>
    <row r="115" spans="1:9" x14ac:dyDescent="0.2">
      <c r="A115" s="40" t="str">
        <f t="shared" si="1"/>
        <v/>
      </c>
      <c r="B115" s="31"/>
      <c r="C115" s="3"/>
      <c r="D115" s="3"/>
      <c r="E115" s="3"/>
      <c r="F115" s="6"/>
      <c r="G115" s="3"/>
      <c r="H115" s="3"/>
      <c r="I115" s="7" t="str">
        <f>IF($F115="","",IF($C115="","⚠ no property — not counted",IF(COUNTIF(Setup!$A$25:$A$36,$C115)=0,"⚠ unknown property","OK")))</f>
        <v/>
      </c>
    </row>
    <row r="116" spans="1:9" x14ac:dyDescent="0.2">
      <c r="A116" s="40" t="str">
        <f t="shared" si="1"/>
        <v/>
      </c>
      <c r="B116" s="34"/>
      <c r="C116" s="8"/>
      <c r="D116" s="8"/>
      <c r="E116" s="8"/>
      <c r="F116" s="11"/>
      <c r="G116" s="8"/>
      <c r="H116" s="8"/>
      <c r="I116" s="7" t="str">
        <f>IF($F116="","",IF($C116="","⚠ no property — not counted",IF(COUNTIF(Setup!$A$25:$A$36,$C116)=0,"⚠ unknown property","OK")))</f>
        <v/>
      </c>
    </row>
    <row r="117" spans="1:9" x14ac:dyDescent="0.2">
      <c r="A117" s="40" t="str">
        <f t="shared" si="1"/>
        <v/>
      </c>
      <c r="B117" s="31"/>
      <c r="C117" s="3"/>
      <c r="D117" s="3"/>
      <c r="E117" s="3"/>
      <c r="F117" s="6"/>
      <c r="G117" s="3"/>
      <c r="H117" s="3"/>
      <c r="I117" s="7" t="str">
        <f>IF($F117="","",IF($C117="","⚠ no property — not counted",IF(COUNTIF(Setup!$A$25:$A$36,$C117)=0,"⚠ unknown property","OK")))</f>
        <v/>
      </c>
    </row>
    <row r="118" spans="1:9" x14ac:dyDescent="0.2">
      <c r="A118" s="40" t="str">
        <f t="shared" si="1"/>
        <v/>
      </c>
      <c r="B118" s="34"/>
      <c r="C118" s="8"/>
      <c r="D118" s="8"/>
      <c r="E118" s="8"/>
      <c r="F118" s="11"/>
      <c r="G118" s="8"/>
      <c r="H118" s="8"/>
      <c r="I118" s="7" t="str">
        <f>IF($F118="","",IF($C118="","⚠ no property — not counted",IF(COUNTIF(Setup!$A$25:$A$36,$C118)=0,"⚠ unknown property","OK")))</f>
        <v/>
      </c>
    </row>
    <row r="119" spans="1:9" x14ac:dyDescent="0.2">
      <c r="A119" s="40" t="str">
        <f t="shared" si="1"/>
        <v/>
      </c>
      <c r="B119" s="31"/>
      <c r="C119" s="3"/>
      <c r="D119" s="3"/>
      <c r="E119" s="3"/>
      <c r="F119" s="6"/>
      <c r="G119" s="3"/>
      <c r="H119" s="3"/>
      <c r="I119" s="7" t="str">
        <f>IF($F119="","",IF($C119="","⚠ no property — not counted",IF(COUNTIF(Setup!$A$25:$A$36,$C119)=0,"⚠ unknown property","OK")))</f>
        <v/>
      </c>
    </row>
    <row r="120" spans="1:9" x14ac:dyDescent="0.2">
      <c r="A120" s="40" t="str">
        <f t="shared" si="1"/>
        <v/>
      </c>
      <c r="B120" s="34"/>
      <c r="C120" s="8"/>
      <c r="D120" s="8"/>
      <c r="E120" s="8"/>
      <c r="F120" s="11"/>
      <c r="G120" s="8"/>
      <c r="H120" s="8"/>
      <c r="I120" s="7" t="str">
        <f>IF($F120="","",IF($C120="","⚠ no property — not counted",IF(COUNTIF(Setup!$A$25:$A$36,$C120)=0,"⚠ unknown property","OK")))</f>
        <v/>
      </c>
    </row>
    <row r="121" spans="1:9" x14ac:dyDescent="0.2">
      <c r="A121" s="40" t="str">
        <f t="shared" si="1"/>
        <v/>
      </c>
      <c r="B121" s="31"/>
      <c r="C121" s="3"/>
      <c r="D121" s="3"/>
      <c r="E121" s="3"/>
      <c r="F121" s="6"/>
      <c r="G121" s="3"/>
      <c r="H121" s="3"/>
      <c r="I121" s="7" t="str">
        <f>IF($F121="","",IF($C121="","⚠ no property — not counted",IF(COUNTIF(Setup!$A$25:$A$36,$C121)=0,"⚠ unknown property","OK")))</f>
        <v/>
      </c>
    </row>
    <row r="122" spans="1:9" x14ac:dyDescent="0.2">
      <c r="A122" s="40" t="str">
        <f t="shared" si="1"/>
        <v/>
      </c>
      <c r="B122" s="34"/>
      <c r="C122" s="8"/>
      <c r="D122" s="8"/>
      <c r="E122" s="8"/>
      <c r="F122" s="11"/>
      <c r="G122" s="8"/>
      <c r="H122" s="8"/>
      <c r="I122" s="7" t="str">
        <f>IF($F122="","",IF($C122="","⚠ no property — not counted",IF(COUNTIF(Setup!$A$25:$A$36,$C122)=0,"⚠ unknown property","OK")))</f>
        <v/>
      </c>
    </row>
    <row r="123" spans="1:9" x14ac:dyDescent="0.2">
      <c r="A123" s="40" t="str">
        <f t="shared" si="1"/>
        <v/>
      </c>
      <c r="B123" s="31"/>
      <c r="C123" s="3"/>
      <c r="D123" s="3"/>
      <c r="E123" s="3"/>
      <c r="F123" s="6"/>
      <c r="G123" s="3"/>
      <c r="H123" s="3"/>
      <c r="I123" s="7" t="str">
        <f>IF($F123="","",IF($C123="","⚠ no property — not counted",IF(COUNTIF(Setup!$A$25:$A$36,$C123)=0,"⚠ unknown property","OK")))</f>
        <v/>
      </c>
    </row>
    <row r="124" spans="1:9" x14ac:dyDescent="0.2">
      <c r="A124" s="40" t="str">
        <f t="shared" si="1"/>
        <v/>
      </c>
      <c r="B124" s="34"/>
      <c r="C124" s="8"/>
      <c r="D124" s="8"/>
      <c r="E124" s="8"/>
      <c r="F124" s="11"/>
      <c r="G124" s="8"/>
      <c r="H124" s="8"/>
      <c r="I124" s="7" t="str">
        <f>IF($F124="","",IF($C124="","⚠ no property — not counted",IF(COUNTIF(Setup!$A$25:$A$36,$C124)=0,"⚠ unknown property","OK")))</f>
        <v/>
      </c>
    </row>
    <row r="125" spans="1:9" x14ac:dyDescent="0.2">
      <c r="A125" s="40" t="str">
        <f t="shared" si="1"/>
        <v/>
      </c>
      <c r="B125" s="31"/>
      <c r="C125" s="3"/>
      <c r="D125" s="3"/>
      <c r="E125" s="3"/>
      <c r="F125" s="6"/>
      <c r="G125" s="3"/>
      <c r="H125" s="3"/>
      <c r="I125" s="7" t="str">
        <f>IF($F125="","",IF($C125="","⚠ no property — not counted",IF(COUNTIF(Setup!$A$25:$A$36,$C125)=0,"⚠ unknown property","OK")))</f>
        <v/>
      </c>
    </row>
    <row r="126" spans="1:9" x14ac:dyDescent="0.2">
      <c r="A126" s="40" t="str">
        <f t="shared" si="1"/>
        <v/>
      </c>
      <c r="B126" s="34"/>
      <c r="C126" s="8"/>
      <c r="D126" s="8"/>
      <c r="E126" s="8"/>
      <c r="F126" s="11"/>
      <c r="G126" s="8"/>
      <c r="H126" s="8"/>
      <c r="I126" s="7" t="str">
        <f>IF($F126="","",IF($C126="","⚠ no property — not counted",IF(COUNTIF(Setup!$A$25:$A$36,$C126)=0,"⚠ unknown property","OK")))</f>
        <v/>
      </c>
    </row>
    <row r="127" spans="1:9" x14ac:dyDescent="0.2">
      <c r="A127" s="40" t="str">
        <f t="shared" si="1"/>
        <v/>
      </c>
      <c r="B127" s="31"/>
      <c r="C127" s="3"/>
      <c r="D127" s="3"/>
      <c r="E127" s="3"/>
      <c r="F127" s="6"/>
      <c r="G127" s="3"/>
      <c r="H127" s="3"/>
      <c r="I127" s="7" t="str">
        <f>IF($F127="","",IF($C127="","⚠ no property — not counted",IF(COUNTIF(Setup!$A$25:$A$36,$C127)=0,"⚠ unknown property","OK")))</f>
        <v/>
      </c>
    </row>
    <row r="128" spans="1:9" x14ac:dyDescent="0.2">
      <c r="A128" s="40" t="str">
        <f t="shared" si="1"/>
        <v/>
      </c>
      <c r="B128" s="34"/>
      <c r="C128" s="8"/>
      <c r="D128" s="8"/>
      <c r="E128" s="8"/>
      <c r="F128" s="11"/>
      <c r="G128" s="8"/>
      <c r="H128" s="8"/>
      <c r="I128" s="7" t="str">
        <f>IF($F128="","",IF($C128="","⚠ no property — not counted",IF(COUNTIF(Setup!$A$25:$A$36,$C128)=0,"⚠ unknown property","OK")))</f>
        <v/>
      </c>
    </row>
    <row r="129" spans="1:9" x14ac:dyDescent="0.2">
      <c r="A129" s="40" t="str">
        <f t="shared" si="1"/>
        <v/>
      </c>
      <c r="B129" s="31"/>
      <c r="C129" s="3"/>
      <c r="D129" s="3"/>
      <c r="E129" s="3"/>
      <c r="F129" s="6"/>
      <c r="G129" s="3"/>
      <c r="H129" s="3"/>
      <c r="I129" s="7" t="str">
        <f>IF($F129="","",IF($C129="","⚠ no property — not counted",IF(COUNTIF(Setup!$A$25:$A$36,$C129)=0,"⚠ unknown property","OK")))</f>
        <v/>
      </c>
    </row>
    <row r="130" spans="1:9" x14ac:dyDescent="0.2">
      <c r="A130" s="40" t="str">
        <f t="shared" si="1"/>
        <v/>
      </c>
      <c r="B130" s="34"/>
      <c r="C130" s="8"/>
      <c r="D130" s="8"/>
      <c r="E130" s="8"/>
      <c r="F130" s="11"/>
      <c r="G130" s="8"/>
      <c r="H130" s="8"/>
      <c r="I130" s="7" t="str">
        <f>IF($F130="","",IF($C130="","⚠ no property — not counted",IF(COUNTIF(Setup!$A$25:$A$36,$C130)=0,"⚠ unknown property","OK")))</f>
        <v/>
      </c>
    </row>
    <row r="131" spans="1:9" x14ac:dyDescent="0.2">
      <c r="A131" s="40" t="str">
        <f t="shared" si="1"/>
        <v/>
      </c>
      <c r="B131" s="31"/>
      <c r="C131" s="3"/>
      <c r="D131" s="3"/>
      <c r="E131" s="3"/>
      <c r="F131" s="6"/>
      <c r="G131" s="3"/>
      <c r="H131" s="3"/>
      <c r="I131" s="7" t="str">
        <f>IF($F131="","",IF($C131="","⚠ no property — not counted",IF(COUNTIF(Setup!$A$25:$A$36,$C131)=0,"⚠ unknown property","OK")))</f>
        <v/>
      </c>
    </row>
    <row r="132" spans="1:9" x14ac:dyDescent="0.2">
      <c r="A132" s="40" t="str">
        <f t="shared" si="1"/>
        <v/>
      </c>
      <c r="B132" s="34"/>
      <c r="C132" s="8"/>
      <c r="D132" s="8"/>
      <c r="E132" s="8"/>
      <c r="F132" s="11"/>
      <c r="G132" s="8"/>
      <c r="H132" s="8"/>
      <c r="I132" s="7" t="str">
        <f>IF($F132="","",IF($C132="","⚠ no property — not counted",IF(COUNTIF(Setup!$A$25:$A$36,$C132)=0,"⚠ unknown property","OK")))</f>
        <v/>
      </c>
    </row>
    <row r="133" spans="1:9" x14ac:dyDescent="0.2">
      <c r="A133" s="40" t="str">
        <f t="shared" ref="A133:A196" si="2">IF($F133="","",ROW()-4)</f>
        <v/>
      </c>
      <c r="B133" s="31"/>
      <c r="C133" s="3"/>
      <c r="D133" s="3"/>
      <c r="E133" s="3"/>
      <c r="F133" s="6"/>
      <c r="G133" s="3"/>
      <c r="H133" s="3"/>
      <c r="I133" s="7" t="str">
        <f>IF($F133="","",IF($C133="","⚠ no property — not counted",IF(COUNTIF(Setup!$A$25:$A$36,$C133)=0,"⚠ unknown property","OK")))</f>
        <v/>
      </c>
    </row>
    <row r="134" spans="1:9" x14ac:dyDescent="0.2">
      <c r="A134" s="40" t="str">
        <f t="shared" si="2"/>
        <v/>
      </c>
      <c r="B134" s="34"/>
      <c r="C134" s="8"/>
      <c r="D134" s="8"/>
      <c r="E134" s="8"/>
      <c r="F134" s="11"/>
      <c r="G134" s="8"/>
      <c r="H134" s="8"/>
      <c r="I134" s="7" t="str">
        <f>IF($F134="","",IF($C134="","⚠ no property — not counted",IF(COUNTIF(Setup!$A$25:$A$36,$C134)=0,"⚠ unknown property","OK")))</f>
        <v/>
      </c>
    </row>
    <row r="135" spans="1:9" x14ac:dyDescent="0.2">
      <c r="A135" s="40" t="str">
        <f t="shared" si="2"/>
        <v/>
      </c>
      <c r="B135" s="31"/>
      <c r="C135" s="3"/>
      <c r="D135" s="3"/>
      <c r="E135" s="3"/>
      <c r="F135" s="6"/>
      <c r="G135" s="3"/>
      <c r="H135" s="3"/>
      <c r="I135" s="7" t="str">
        <f>IF($F135="","",IF($C135="","⚠ no property — not counted",IF(COUNTIF(Setup!$A$25:$A$36,$C135)=0,"⚠ unknown property","OK")))</f>
        <v/>
      </c>
    </row>
    <row r="136" spans="1:9" x14ac:dyDescent="0.2">
      <c r="A136" s="40" t="str">
        <f t="shared" si="2"/>
        <v/>
      </c>
      <c r="B136" s="34"/>
      <c r="C136" s="8"/>
      <c r="D136" s="8"/>
      <c r="E136" s="8"/>
      <c r="F136" s="11"/>
      <c r="G136" s="8"/>
      <c r="H136" s="8"/>
      <c r="I136" s="7" t="str">
        <f>IF($F136="","",IF($C136="","⚠ no property — not counted",IF(COUNTIF(Setup!$A$25:$A$36,$C136)=0,"⚠ unknown property","OK")))</f>
        <v/>
      </c>
    </row>
    <row r="137" spans="1:9" x14ac:dyDescent="0.2">
      <c r="A137" s="40" t="str">
        <f t="shared" si="2"/>
        <v/>
      </c>
      <c r="B137" s="31"/>
      <c r="C137" s="3"/>
      <c r="D137" s="3"/>
      <c r="E137" s="3"/>
      <c r="F137" s="6"/>
      <c r="G137" s="3"/>
      <c r="H137" s="3"/>
      <c r="I137" s="7" t="str">
        <f>IF($F137="","",IF($C137="","⚠ no property — not counted",IF(COUNTIF(Setup!$A$25:$A$36,$C137)=0,"⚠ unknown property","OK")))</f>
        <v/>
      </c>
    </row>
    <row r="138" spans="1:9" x14ac:dyDescent="0.2">
      <c r="A138" s="40" t="str">
        <f t="shared" si="2"/>
        <v/>
      </c>
      <c r="B138" s="34"/>
      <c r="C138" s="8"/>
      <c r="D138" s="8"/>
      <c r="E138" s="8"/>
      <c r="F138" s="11"/>
      <c r="G138" s="8"/>
      <c r="H138" s="8"/>
      <c r="I138" s="7" t="str">
        <f>IF($F138="","",IF($C138="","⚠ no property — not counted",IF(COUNTIF(Setup!$A$25:$A$36,$C138)=0,"⚠ unknown property","OK")))</f>
        <v/>
      </c>
    </row>
    <row r="139" spans="1:9" x14ac:dyDescent="0.2">
      <c r="A139" s="40" t="str">
        <f t="shared" si="2"/>
        <v/>
      </c>
      <c r="B139" s="31"/>
      <c r="C139" s="3"/>
      <c r="D139" s="3"/>
      <c r="E139" s="3"/>
      <c r="F139" s="6"/>
      <c r="G139" s="3"/>
      <c r="H139" s="3"/>
      <c r="I139" s="7" t="str">
        <f>IF($F139="","",IF($C139="","⚠ no property — not counted",IF(COUNTIF(Setup!$A$25:$A$36,$C139)=0,"⚠ unknown property","OK")))</f>
        <v/>
      </c>
    </row>
    <row r="140" spans="1:9" x14ac:dyDescent="0.2">
      <c r="A140" s="40" t="str">
        <f t="shared" si="2"/>
        <v/>
      </c>
      <c r="B140" s="34"/>
      <c r="C140" s="8"/>
      <c r="D140" s="8"/>
      <c r="E140" s="8"/>
      <c r="F140" s="11"/>
      <c r="G140" s="8"/>
      <c r="H140" s="8"/>
      <c r="I140" s="7" t="str">
        <f>IF($F140="","",IF($C140="","⚠ no property — not counted",IF(COUNTIF(Setup!$A$25:$A$36,$C140)=0,"⚠ unknown property","OK")))</f>
        <v/>
      </c>
    </row>
    <row r="141" spans="1:9" x14ac:dyDescent="0.2">
      <c r="A141" s="40" t="str">
        <f t="shared" si="2"/>
        <v/>
      </c>
      <c r="B141" s="31"/>
      <c r="C141" s="3"/>
      <c r="D141" s="3"/>
      <c r="E141" s="3"/>
      <c r="F141" s="6"/>
      <c r="G141" s="3"/>
      <c r="H141" s="3"/>
      <c r="I141" s="7" t="str">
        <f>IF($F141="","",IF($C141="","⚠ no property — not counted",IF(COUNTIF(Setup!$A$25:$A$36,$C141)=0,"⚠ unknown property","OK")))</f>
        <v/>
      </c>
    </row>
    <row r="142" spans="1:9" x14ac:dyDescent="0.2">
      <c r="A142" s="40" t="str">
        <f t="shared" si="2"/>
        <v/>
      </c>
      <c r="B142" s="34"/>
      <c r="C142" s="8"/>
      <c r="D142" s="8"/>
      <c r="E142" s="8"/>
      <c r="F142" s="11"/>
      <c r="G142" s="8"/>
      <c r="H142" s="8"/>
      <c r="I142" s="7" t="str">
        <f>IF($F142="","",IF($C142="","⚠ no property — not counted",IF(COUNTIF(Setup!$A$25:$A$36,$C142)=0,"⚠ unknown property","OK")))</f>
        <v/>
      </c>
    </row>
    <row r="143" spans="1:9" x14ac:dyDescent="0.2">
      <c r="A143" s="40" t="str">
        <f t="shared" si="2"/>
        <v/>
      </c>
      <c r="B143" s="31"/>
      <c r="C143" s="3"/>
      <c r="D143" s="3"/>
      <c r="E143" s="3"/>
      <c r="F143" s="6"/>
      <c r="G143" s="3"/>
      <c r="H143" s="3"/>
      <c r="I143" s="7" t="str">
        <f>IF($F143="","",IF($C143="","⚠ no property — not counted",IF(COUNTIF(Setup!$A$25:$A$36,$C143)=0,"⚠ unknown property","OK")))</f>
        <v/>
      </c>
    </row>
    <row r="144" spans="1:9" x14ac:dyDescent="0.2">
      <c r="A144" s="40" t="str">
        <f t="shared" si="2"/>
        <v/>
      </c>
      <c r="B144" s="34"/>
      <c r="C144" s="8"/>
      <c r="D144" s="8"/>
      <c r="E144" s="8"/>
      <c r="F144" s="11"/>
      <c r="G144" s="8"/>
      <c r="H144" s="8"/>
      <c r="I144" s="7" t="str">
        <f>IF($F144="","",IF($C144="","⚠ no property — not counted",IF(COUNTIF(Setup!$A$25:$A$36,$C144)=0,"⚠ unknown property","OK")))</f>
        <v/>
      </c>
    </row>
    <row r="145" spans="1:9" x14ac:dyDescent="0.2">
      <c r="A145" s="40" t="str">
        <f t="shared" si="2"/>
        <v/>
      </c>
      <c r="B145" s="31"/>
      <c r="C145" s="3"/>
      <c r="D145" s="3"/>
      <c r="E145" s="3"/>
      <c r="F145" s="6"/>
      <c r="G145" s="3"/>
      <c r="H145" s="3"/>
      <c r="I145" s="7" t="str">
        <f>IF($F145="","",IF($C145="","⚠ no property — not counted",IF(COUNTIF(Setup!$A$25:$A$36,$C145)=0,"⚠ unknown property","OK")))</f>
        <v/>
      </c>
    </row>
    <row r="146" spans="1:9" x14ac:dyDescent="0.2">
      <c r="A146" s="40" t="str">
        <f t="shared" si="2"/>
        <v/>
      </c>
      <c r="B146" s="34"/>
      <c r="C146" s="8"/>
      <c r="D146" s="8"/>
      <c r="E146" s="8"/>
      <c r="F146" s="11"/>
      <c r="G146" s="8"/>
      <c r="H146" s="8"/>
      <c r="I146" s="7" t="str">
        <f>IF($F146="","",IF($C146="","⚠ no property — not counted",IF(COUNTIF(Setup!$A$25:$A$36,$C146)=0,"⚠ unknown property","OK")))</f>
        <v/>
      </c>
    </row>
    <row r="147" spans="1:9" x14ac:dyDescent="0.2">
      <c r="A147" s="40" t="str">
        <f t="shared" si="2"/>
        <v/>
      </c>
      <c r="B147" s="31"/>
      <c r="C147" s="3"/>
      <c r="D147" s="3"/>
      <c r="E147" s="3"/>
      <c r="F147" s="6"/>
      <c r="G147" s="3"/>
      <c r="H147" s="3"/>
      <c r="I147" s="7" t="str">
        <f>IF($F147="","",IF($C147="","⚠ no property — not counted",IF(COUNTIF(Setup!$A$25:$A$36,$C147)=0,"⚠ unknown property","OK")))</f>
        <v/>
      </c>
    </row>
    <row r="148" spans="1:9" x14ac:dyDescent="0.2">
      <c r="A148" s="40" t="str">
        <f t="shared" si="2"/>
        <v/>
      </c>
      <c r="B148" s="34"/>
      <c r="C148" s="8"/>
      <c r="D148" s="8"/>
      <c r="E148" s="8"/>
      <c r="F148" s="11"/>
      <c r="G148" s="8"/>
      <c r="H148" s="8"/>
      <c r="I148" s="7" t="str">
        <f>IF($F148="","",IF($C148="","⚠ no property — not counted",IF(COUNTIF(Setup!$A$25:$A$36,$C148)=0,"⚠ unknown property","OK")))</f>
        <v/>
      </c>
    </row>
    <row r="149" spans="1:9" x14ac:dyDescent="0.2">
      <c r="A149" s="40" t="str">
        <f t="shared" si="2"/>
        <v/>
      </c>
      <c r="B149" s="31"/>
      <c r="C149" s="3"/>
      <c r="D149" s="3"/>
      <c r="E149" s="3"/>
      <c r="F149" s="6"/>
      <c r="G149" s="3"/>
      <c r="H149" s="3"/>
      <c r="I149" s="7" t="str">
        <f>IF($F149="","",IF($C149="","⚠ no property — not counted",IF(COUNTIF(Setup!$A$25:$A$36,$C149)=0,"⚠ unknown property","OK")))</f>
        <v/>
      </c>
    </row>
    <row r="150" spans="1:9" x14ac:dyDescent="0.2">
      <c r="A150" s="40" t="str">
        <f t="shared" si="2"/>
        <v/>
      </c>
      <c r="B150" s="34"/>
      <c r="C150" s="8"/>
      <c r="D150" s="8"/>
      <c r="E150" s="8"/>
      <c r="F150" s="11"/>
      <c r="G150" s="8"/>
      <c r="H150" s="8"/>
      <c r="I150" s="7" t="str">
        <f>IF($F150="","",IF($C150="","⚠ no property — not counted",IF(COUNTIF(Setup!$A$25:$A$36,$C150)=0,"⚠ unknown property","OK")))</f>
        <v/>
      </c>
    </row>
    <row r="151" spans="1:9" x14ac:dyDescent="0.2">
      <c r="A151" s="40" t="str">
        <f t="shared" si="2"/>
        <v/>
      </c>
      <c r="B151" s="31"/>
      <c r="C151" s="3"/>
      <c r="D151" s="3"/>
      <c r="E151" s="3"/>
      <c r="F151" s="6"/>
      <c r="G151" s="3"/>
      <c r="H151" s="3"/>
      <c r="I151" s="7" t="str">
        <f>IF($F151="","",IF($C151="","⚠ no property — not counted",IF(COUNTIF(Setup!$A$25:$A$36,$C151)=0,"⚠ unknown property","OK")))</f>
        <v/>
      </c>
    </row>
    <row r="152" spans="1:9" x14ac:dyDescent="0.2">
      <c r="A152" s="40" t="str">
        <f t="shared" si="2"/>
        <v/>
      </c>
      <c r="B152" s="34"/>
      <c r="C152" s="8"/>
      <c r="D152" s="8"/>
      <c r="E152" s="8"/>
      <c r="F152" s="11"/>
      <c r="G152" s="8"/>
      <c r="H152" s="8"/>
      <c r="I152" s="7" t="str">
        <f>IF($F152="","",IF($C152="","⚠ no property — not counted",IF(COUNTIF(Setup!$A$25:$A$36,$C152)=0,"⚠ unknown property","OK")))</f>
        <v/>
      </c>
    </row>
    <row r="153" spans="1:9" x14ac:dyDescent="0.2">
      <c r="A153" s="40" t="str">
        <f t="shared" si="2"/>
        <v/>
      </c>
      <c r="B153" s="31"/>
      <c r="C153" s="3"/>
      <c r="D153" s="3"/>
      <c r="E153" s="3"/>
      <c r="F153" s="6"/>
      <c r="G153" s="3"/>
      <c r="H153" s="3"/>
      <c r="I153" s="7" t="str">
        <f>IF($F153="","",IF($C153="","⚠ no property — not counted",IF(COUNTIF(Setup!$A$25:$A$36,$C153)=0,"⚠ unknown property","OK")))</f>
        <v/>
      </c>
    </row>
    <row r="154" spans="1:9" x14ac:dyDescent="0.2">
      <c r="A154" s="40" t="str">
        <f t="shared" si="2"/>
        <v/>
      </c>
      <c r="B154" s="34"/>
      <c r="C154" s="8"/>
      <c r="D154" s="8"/>
      <c r="E154" s="8"/>
      <c r="F154" s="11"/>
      <c r="G154" s="8"/>
      <c r="H154" s="8"/>
      <c r="I154" s="7" t="str">
        <f>IF($F154="","",IF($C154="","⚠ no property — not counted",IF(COUNTIF(Setup!$A$25:$A$36,$C154)=0,"⚠ unknown property","OK")))</f>
        <v/>
      </c>
    </row>
    <row r="155" spans="1:9" x14ac:dyDescent="0.2">
      <c r="A155" s="40" t="str">
        <f t="shared" si="2"/>
        <v/>
      </c>
      <c r="B155" s="31"/>
      <c r="C155" s="3"/>
      <c r="D155" s="3"/>
      <c r="E155" s="3"/>
      <c r="F155" s="6"/>
      <c r="G155" s="3"/>
      <c r="H155" s="3"/>
      <c r="I155" s="7" t="str">
        <f>IF($F155="","",IF($C155="","⚠ no property — not counted",IF(COUNTIF(Setup!$A$25:$A$36,$C155)=0,"⚠ unknown property","OK")))</f>
        <v/>
      </c>
    </row>
    <row r="156" spans="1:9" x14ac:dyDescent="0.2">
      <c r="A156" s="40" t="str">
        <f t="shared" si="2"/>
        <v/>
      </c>
      <c r="B156" s="34"/>
      <c r="C156" s="8"/>
      <c r="D156" s="8"/>
      <c r="E156" s="8"/>
      <c r="F156" s="11"/>
      <c r="G156" s="8"/>
      <c r="H156" s="8"/>
      <c r="I156" s="7" t="str">
        <f>IF($F156="","",IF($C156="","⚠ no property — not counted",IF(COUNTIF(Setup!$A$25:$A$36,$C156)=0,"⚠ unknown property","OK")))</f>
        <v/>
      </c>
    </row>
    <row r="157" spans="1:9" x14ac:dyDescent="0.2">
      <c r="A157" s="40" t="str">
        <f t="shared" si="2"/>
        <v/>
      </c>
      <c r="B157" s="31"/>
      <c r="C157" s="3"/>
      <c r="D157" s="3"/>
      <c r="E157" s="3"/>
      <c r="F157" s="6"/>
      <c r="G157" s="3"/>
      <c r="H157" s="3"/>
      <c r="I157" s="7" t="str">
        <f>IF($F157="","",IF($C157="","⚠ no property — not counted",IF(COUNTIF(Setup!$A$25:$A$36,$C157)=0,"⚠ unknown property","OK")))</f>
        <v/>
      </c>
    </row>
    <row r="158" spans="1:9" x14ac:dyDescent="0.2">
      <c r="A158" s="40" t="str">
        <f t="shared" si="2"/>
        <v/>
      </c>
      <c r="B158" s="34"/>
      <c r="C158" s="8"/>
      <c r="D158" s="8"/>
      <c r="E158" s="8"/>
      <c r="F158" s="11"/>
      <c r="G158" s="8"/>
      <c r="H158" s="8"/>
      <c r="I158" s="7" t="str">
        <f>IF($F158="","",IF($C158="","⚠ no property — not counted",IF(COUNTIF(Setup!$A$25:$A$36,$C158)=0,"⚠ unknown property","OK")))</f>
        <v/>
      </c>
    </row>
    <row r="159" spans="1:9" x14ac:dyDescent="0.2">
      <c r="A159" s="40" t="str">
        <f t="shared" si="2"/>
        <v/>
      </c>
      <c r="B159" s="31"/>
      <c r="C159" s="3"/>
      <c r="D159" s="3"/>
      <c r="E159" s="3"/>
      <c r="F159" s="6"/>
      <c r="G159" s="3"/>
      <c r="H159" s="3"/>
      <c r="I159" s="7" t="str">
        <f>IF($F159="","",IF($C159="","⚠ no property — not counted",IF(COUNTIF(Setup!$A$25:$A$36,$C159)=0,"⚠ unknown property","OK")))</f>
        <v/>
      </c>
    </row>
    <row r="160" spans="1:9" x14ac:dyDescent="0.2">
      <c r="A160" s="40" t="str">
        <f t="shared" si="2"/>
        <v/>
      </c>
      <c r="B160" s="34"/>
      <c r="C160" s="8"/>
      <c r="D160" s="8"/>
      <c r="E160" s="8"/>
      <c r="F160" s="11"/>
      <c r="G160" s="8"/>
      <c r="H160" s="8"/>
      <c r="I160" s="7" t="str">
        <f>IF($F160="","",IF($C160="","⚠ no property — not counted",IF(COUNTIF(Setup!$A$25:$A$36,$C160)=0,"⚠ unknown property","OK")))</f>
        <v/>
      </c>
    </row>
    <row r="161" spans="1:9" x14ac:dyDescent="0.2">
      <c r="A161" s="40" t="str">
        <f t="shared" si="2"/>
        <v/>
      </c>
      <c r="B161" s="31"/>
      <c r="C161" s="3"/>
      <c r="D161" s="3"/>
      <c r="E161" s="3"/>
      <c r="F161" s="6"/>
      <c r="G161" s="3"/>
      <c r="H161" s="3"/>
      <c r="I161" s="7" t="str">
        <f>IF($F161="","",IF($C161="","⚠ no property — not counted",IF(COUNTIF(Setup!$A$25:$A$36,$C161)=0,"⚠ unknown property","OK")))</f>
        <v/>
      </c>
    </row>
    <row r="162" spans="1:9" x14ac:dyDescent="0.2">
      <c r="A162" s="40" t="str">
        <f t="shared" si="2"/>
        <v/>
      </c>
      <c r="B162" s="34"/>
      <c r="C162" s="8"/>
      <c r="D162" s="8"/>
      <c r="E162" s="8"/>
      <c r="F162" s="11"/>
      <c r="G162" s="8"/>
      <c r="H162" s="8"/>
      <c r="I162" s="7" t="str">
        <f>IF($F162="","",IF($C162="","⚠ no property — not counted",IF(COUNTIF(Setup!$A$25:$A$36,$C162)=0,"⚠ unknown property","OK")))</f>
        <v/>
      </c>
    </row>
    <row r="163" spans="1:9" x14ac:dyDescent="0.2">
      <c r="A163" s="40" t="str">
        <f t="shared" si="2"/>
        <v/>
      </c>
      <c r="B163" s="31"/>
      <c r="C163" s="3"/>
      <c r="D163" s="3"/>
      <c r="E163" s="3"/>
      <c r="F163" s="6"/>
      <c r="G163" s="3"/>
      <c r="H163" s="3"/>
      <c r="I163" s="7" t="str">
        <f>IF($F163="","",IF($C163="","⚠ no property — not counted",IF(COUNTIF(Setup!$A$25:$A$36,$C163)=0,"⚠ unknown property","OK")))</f>
        <v/>
      </c>
    </row>
    <row r="164" spans="1:9" x14ac:dyDescent="0.2">
      <c r="A164" s="40" t="str">
        <f t="shared" si="2"/>
        <v/>
      </c>
      <c r="B164" s="34"/>
      <c r="C164" s="8"/>
      <c r="D164" s="8"/>
      <c r="E164" s="8"/>
      <c r="F164" s="11"/>
      <c r="G164" s="8"/>
      <c r="H164" s="8"/>
      <c r="I164" s="7" t="str">
        <f>IF($F164="","",IF($C164="","⚠ no property — not counted",IF(COUNTIF(Setup!$A$25:$A$36,$C164)=0,"⚠ unknown property","OK")))</f>
        <v/>
      </c>
    </row>
    <row r="165" spans="1:9" x14ac:dyDescent="0.2">
      <c r="A165" s="40" t="str">
        <f t="shared" si="2"/>
        <v/>
      </c>
      <c r="B165" s="31"/>
      <c r="C165" s="3"/>
      <c r="D165" s="3"/>
      <c r="E165" s="3"/>
      <c r="F165" s="6"/>
      <c r="G165" s="3"/>
      <c r="H165" s="3"/>
      <c r="I165" s="7" t="str">
        <f>IF($F165="","",IF($C165="","⚠ no property — not counted",IF(COUNTIF(Setup!$A$25:$A$36,$C165)=0,"⚠ unknown property","OK")))</f>
        <v/>
      </c>
    </row>
    <row r="166" spans="1:9" x14ac:dyDescent="0.2">
      <c r="A166" s="40" t="str">
        <f t="shared" si="2"/>
        <v/>
      </c>
      <c r="B166" s="34"/>
      <c r="C166" s="8"/>
      <c r="D166" s="8"/>
      <c r="E166" s="8"/>
      <c r="F166" s="11"/>
      <c r="G166" s="8"/>
      <c r="H166" s="8"/>
      <c r="I166" s="7" t="str">
        <f>IF($F166="","",IF($C166="","⚠ no property — not counted",IF(COUNTIF(Setup!$A$25:$A$36,$C166)=0,"⚠ unknown property","OK")))</f>
        <v/>
      </c>
    </row>
    <row r="167" spans="1:9" x14ac:dyDescent="0.2">
      <c r="A167" s="40" t="str">
        <f t="shared" si="2"/>
        <v/>
      </c>
      <c r="B167" s="31"/>
      <c r="C167" s="3"/>
      <c r="D167" s="3"/>
      <c r="E167" s="3"/>
      <c r="F167" s="6"/>
      <c r="G167" s="3"/>
      <c r="H167" s="3"/>
      <c r="I167" s="7" t="str">
        <f>IF($F167="","",IF($C167="","⚠ no property — not counted",IF(COUNTIF(Setup!$A$25:$A$36,$C167)=0,"⚠ unknown property","OK")))</f>
        <v/>
      </c>
    </row>
    <row r="168" spans="1:9" x14ac:dyDescent="0.2">
      <c r="A168" s="40" t="str">
        <f t="shared" si="2"/>
        <v/>
      </c>
      <c r="B168" s="34"/>
      <c r="C168" s="8"/>
      <c r="D168" s="8"/>
      <c r="E168" s="8"/>
      <c r="F168" s="11"/>
      <c r="G168" s="8"/>
      <c r="H168" s="8"/>
      <c r="I168" s="7" t="str">
        <f>IF($F168="","",IF($C168="","⚠ no property — not counted",IF(COUNTIF(Setup!$A$25:$A$36,$C168)=0,"⚠ unknown property","OK")))</f>
        <v/>
      </c>
    </row>
    <row r="169" spans="1:9" x14ac:dyDescent="0.2">
      <c r="A169" s="40" t="str">
        <f t="shared" si="2"/>
        <v/>
      </c>
      <c r="B169" s="31"/>
      <c r="C169" s="3"/>
      <c r="D169" s="3"/>
      <c r="E169" s="3"/>
      <c r="F169" s="6"/>
      <c r="G169" s="3"/>
      <c r="H169" s="3"/>
      <c r="I169" s="7" t="str">
        <f>IF($F169="","",IF($C169="","⚠ no property — not counted",IF(COUNTIF(Setup!$A$25:$A$36,$C169)=0,"⚠ unknown property","OK")))</f>
        <v/>
      </c>
    </row>
    <row r="170" spans="1:9" x14ac:dyDescent="0.2">
      <c r="A170" s="40" t="str">
        <f t="shared" si="2"/>
        <v/>
      </c>
      <c r="B170" s="34"/>
      <c r="C170" s="8"/>
      <c r="D170" s="8"/>
      <c r="E170" s="8"/>
      <c r="F170" s="11"/>
      <c r="G170" s="8"/>
      <c r="H170" s="8"/>
      <c r="I170" s="7" t="str">
        <f>IF($F170="","",IF($C170="","⚠ no property — not counted",IF(COUNTIF(Setup!$A$25:$A$36,$C170)=0,"⚠ unknown property","OK")))</f>
        <v/>
      </c>
    </row>
    <row r="171" spans="1:9" x14ac:dyDescent="0.2">
      <c r="A171" s="40" t="str">
        <f t="shared" si="2"/>
        <v/>
      </c>
      <c r="B171" s="31"/>
      <c r="C171" s="3"/>
      <c r="D171" s="3"/>
      <c r="E171" s="3"/>
      <c r="F171" s="6"/>
      <c r="G171" s="3"/>
      <c r="H171" s="3"/>
      <c r="I171" s="7" t="str">
        <f>IF($F171="","",IF($C171="","⚠ no property — not counted",IF(COUNTIF(Setup!$A$25:$A$36,$C171)=0,"⚠ unknown property","OK")))</f>
        <v/>
      </c>
    </row>
    <row r="172" spans="1:9" x14ac:dyDescent="0.2">
      <c r="A172" s="40" t="str">
        <f t="shared" si="2"/>
        <v/>
      </c>
      <c r="B172" s="34"/>
      <c r="C172" s="8"/>
      <c r="D172" s="8"/>
      <c r="E172" s="8"/>
      <c r="F172" s="11"/>
      <c r="G172" s="8"/>
      <c r="H172" s="8"/>
      <c r="I172" s="7" t="str">
        <f>IF($F172="","",IF($C172="","⚠ no property — not counted",IF(COUNTIF(Setup!$A$25:$A$36,$C172)=0,"⚠ unknown property","OK")))</f>
        <v/>
      </c>
    </row>
    <row r="173" spans="1:9" x14ac:dyDescent="0.2">
      <c r="A173" s="40" t="str">
        <f t="shared" si="2"/>
        <v/>
      </c>
      <c r="B173" s="31"/>
      <c r="C173" s="3"/>
      <c r="D173" s="3"/>
      <c r="E173" s="3"/>
      <c r="F173" s="6"/>
      <c r="G173" s="3"/>
      <c r="H173" s="3"/>
      <c r="I173" s="7" t="str">
        <f>IF($F173="","",IF($C173="","⚠ no property — not counted",IF(COUNTIF(Setup!$A$25:$A$36,$C173)=0,"⚠ unknown property","OK")))</f>
        <v/>
      </c>
    </row>
    <row r="174" spans="1:9" x14ac:dyDescent="0.2">
      <c r="A174" s="40" t="str">
        <f t="shared" si="2"/>
        <v/>
      </c>
      <c r="B174" s="34"/>
      <c r="C174" s="8"/>
      <c r="D174" s="8"/>
      <c r="E174" s="8"/>
      <c r="F174" s="11"/>
      <c r="G174" s="8"/>
      <c r="H174" s="8"/>
      <c r="I174" s="7" t="str">
        <f>IF($F174="","",IF($C174="","⚠ no property — not counted",IF(COUNTIF(Setup!$A$25:$A$36,$C174)=0,"⚠ unknown property","OK")))</f>
        <v/>
      </c>
    </row>
    <row r="175" spans="1:9" x14ac:dyDescent="0.2">
      <c r="A175" s="40" t="str">
        <f t="shared" si="2"/>
        <v/>
      </c>
      <c r="B175" s="31"/>
      <c r="C175" s="3"/>
      <c r="D175" s="3"/>
      <c r="E175" s="3"/>
      <c r="F175" s="6"/>
      <c r="G175" s="3"/>
      <c r="H175" s="3"/>
      <c r="I175" s="7" t="str">
        <f>IF($F175="","",IF($C175="","⚠ no property — not counted",IF(COUNTIF(Setup!$A$25:$A$36,$C175)=0,"⚠ unknown property","OK")))</f>
        <v/>
      </c>
    </row>
    <row r="176" spans="1:9" x14ac:dyDescent="0.2">
      <c r="A176" s="40" t="str">
        <f t="shared" si="2"/>
        <v/>
      </c>
      <c r="B176" s="34"/>
      <c r="C176" s="8"/>
      <c r="D176" s="8"/>
      <c r="E176" s="8"/>
      <c r="F176" s="11"/>
      <c r="G176" s="8"/>
      <c r="H176" s="8"/>
      <c r="I176" s="7" t="str">
        <f>IF($F176="","",IF($C176="","⚠ no property — not counted",IF(COUNTIF(Setup!$A$25:$A$36,$C176)=0,"⚠ unknown property","OK")))</f>
        <v/>
      </c>
    </row>
    <row r="177" spans="1:9" x14ac:dyDescent="0.2">
      <c r="A177" s="40" t="str">
        <f t="shared" si="2"/>
        <v/>
      </c>
      <c r="B177" s="31"/>
      <c r="C177" s="3"/>
      <c r="D177" s="3"/>
      <c r="E177" s="3"/>
      <c r="F177" s="6"/>
      <c r="G177" s="3"/>
      <c r="H177" s="3"/>
      <c r="I177" s="7" t="str">
        <f>IF($F177="","",IF($C177="","⚠ no property — not counted",IF(COUNTIF(Setup!$A$25:$A$36,$C177)=0,"⚠ unknown property","OK")))</f>
        <v/>
      </c>
    </row>
    <row r="178" spans="1:9" x14ac:dyDescent="0.2">
      <c r="A178" s="40" t="str">
        <f t="shared" si="2"/>
        <v/>
      </c>
      <c r="B178" s="34"/>
      <c r="C178" s="8"/>
      <c r="D178" s="8"/>
      <c r="E178" s="8"/>
      <c r="F178" s="11"/>
      <c r="G178" s="8"/>
      <c r="H178" s="8"/>
      <c r="I178" s="7" t="str">
        <f>IF($F178="","",IF($C178="","⚠ no property — not counted",IF(COUNTIF(Setup!$A$25:$A$36,$C178)=0,"⚠ unknown property","OK")))</f>
        <v/>
      </c>
    </row>
    <row r="179" spans="1:9" x14ac:dyDescent="0.2">
      <c r="A179" s="40" t="str">
        <f t="shared" si="2"/>
        <v/>
      </c>
      <c r="B179" s="31"/>
      <c r="C179" s="3"/>
      <c r="D179" s="3"/>
      <c r="E179" s="3"/>
      <c r="F179" s="6"/>
      <c r="G179" s="3"/>
      <c r="H179" s="3"/>
      <c r="I179" s="7" t="str">
        <f>IF($F179="","",IF($C179="","⚠ no property — not counted",IF(COUNTIF(Setup!$A$25:$A$36,$C179)=0,"⚠ unknown property","OK")))</f>
        <v/>
      </c>
    </row>
    <row r="180" spans="1:9" x14ac:dyDescent="0.2">
      <c r="A180" s="40" t="str">
        <f t="shared" si="2"/>
        <v/>
      </c>
      <c r="B180" s="34"/>
      <c r="C180" s="8"/>
      <c r="D180" s="8"/>
      <c r="E180" s="8"/>
      <c r="F180" s="11"/>
      <c r="G180" s="8"/>
      <c r="H180" s="8"/>
      <c r="I180" s="7" t="str">
        <f>IF($F180="","",IF($C180="","⚠ no property — not counted",IF(COUNTIF(Setup!$A$25:$A$36,$C180)=0,"⚠ unknown property","OK")))</f>
        <v/>
      </c>
    </row>
    <row r="181" spans="1:9" x14ac:dyDescent="0.2">
      <c r="A181" s="40" t="str">
        <f t="shared" si="2"/>
        <v/>
      </c>
      <c r="B181" s="31"/>
      <c r="C181" s="3"/>
      <c r="D181" s="3"/>
      <c r="E181" s="3"/>
      <c r="F181" s="6"/>
      <c r="G181" s="3"/>
      <c r="H181" s="3"/>
      <c r="I181" s="7" t="str">
        <f>IF($F181="","",IF($C181="","⚠ no property — not counted",IF(COUNTIF(Setup!$A$25:$A$36,$C181)=0,"⚠ unknown property","OK")))</f>
        <v/>
      </c>
    </row>
    <row r="182" spans="1:9" x14ac:dyDescent="0.2">
      <c r="A182" s="40" t="str">
        <f t="shared" si="2"/>
        <v/>
      </c>
      <c r="B182" s="34"/>
      <c r="C182" s="8"/>
      <c r="D182" s="8"/>
      <c r="E182" s="8"/>
      <c r="F182" s="11"/>
      <c r="G182" s="8"/>
      <c r="H182" s="8"/>
      <c r="I182" s="7" t="str">
        <f>IF($F182="","",IF($C182="","⚠ no property — not counted",IF(COUNTIF(Setup!$A$25:$A$36,$C182)=0,"⚠ unknown property","OK")))</f>
        <v/>
      </c>
    </row>
    <row r="183" spans="1:9" x14ac:dyDescent="0.2">
      <c r="A183" s="40" t="str">
        <f t="shared" si="2"/>
        <v/>
      </c>
      <c r="B183" s="31"/>
      <c r="C183" s="3"/>
      <c r="D183" s="3"/>
      <c r="E183" s="3"/>
      <c r="F183" s="6"/>
      <c r="G183" s="3"/>
      <c r="H183" s="3"/>
      <c r="I183" s="7" t="str">
        <f>IF($F183="","",IF($C183="","⚠ no property — not counted",IF(COUNTIF(Setup!$A$25:$A$36,$C183)=0,"⚠ unknown property","OK")))</f>
        <v/>
      </c>
    </row>
    <row r="184" spans="1:9" x14ac:dyDescent="0.2">
      <c r="A184" s="40" t="str">
        <f t="shared" si="2"/>
        <v/>
      </c>
      <c r="B184" s="34"/>
      <c r="C184" s="8"/>
      <c r="D184" s="8"/>
      <c r="E184" s="8"/>
      <c r="F184" s="11"/>
      <c r="G184" s="8"/>
      <c r="H184" s="8"/>
      <c r="I184" s="7" t="str">
        <f>IF($F184="","",IF($C184="","⚠ no property — not counted",IF(COUNTIF(Setup!$A$25:$A$36,$C184)=0,"⚠ unknown property","OK")))</f>
        <v/>
      </c>
    </row>
    <row r="185" spans="1:9" x14ac:dyDescent="0.2">
      <c r="A185" s="40" t="str">
        <f t="shared" si="2"/>
        <v/>
      </c>
      <c r="B185" s="31"/>
      <c r="C185" s="3"/>
      <c r="D185" s="3"/>
      <c r="E185" s="3"/>
      <c r="F185" s="6"/>
      <c r="G185" s="3"/>
      <c r="H185" s="3"/>
      <c r="I185" s="7" t="str">
        <f>IF($F185="","",IF($C185="","⚠ no property — not counted",IF(COUNTIF(Setup!$A$25:$A$36,$C185)=0,"⚠ unknown property","OK")))</f>
        <v/>
      </c>
    </row>
    <row r="186" spans="1:9" x14ac:dyDescent="0.2">
      <c r="A186" s="40" t="str">
        <f t="shared" si="2"/>
        <v/>
      </c>
      <c r="B186" s="34"/>
      <c r="C186" s="8"/>
      <c r="D186" s="8"/>
      <c r="E186" s="8"/>
      <c r="F186" s="11"/>
      <c r="G186" s="8"/>
      <c r="H186" s="8"/>
      <c r="I186" s="7" t="str">
        <f>IF($F186="","",IF($C186="","⚠ no property — not counted",IF(COUNTIF(Setup!$A$25:$A$36,$C186)=0,"⚠ unknown property","OK")))</f>
        <v/>
      </c>
    </row>
    <row r="187" spans="1:9" x14ac:dyDescent="0.2">
      <c r="A187" s="40" t="str">
        <f t="shared" si="2"/>
        <v/>
      </c>
      <c r="B187" s="31"/>
      <c r="C187" s="3"/>
      <c r="D187" s="3"/>
      <c r="E187" s="3"/>
      <c r="F187" s="6"/>
      <c r="G187" s="3"/>
      <c r="H187" s="3"/>
      <c r="I187" s="7" t="str">
        <f>IF($F187="","",IF($C187="","⚠ no property — not counted",IF(COUNTIF(Setup!$A$25:$A$36,$C187)=0,"⚠ unknown property","OK")))</f>
        <v/>
      </c>
    </row>
    <row r="188" spans="1:9" x14ac:dyDescent="0.2">
      <c r="A188" s="40" t="str">
        <f t="shared" si="2"/>
        <v/>
      </c>
      <c r="B188" s="34"/>
      <c r="C188" s="8"/>
      <c r="D188" s="8"/>
      <c r="E188" s="8"/>
      <c r="F188" s="11"/>
      <c r="G188" s="8"/>
      <c r="H188" s="8"/>
      <c r="I188" s="7" t="str">
        <f>IF($F188="","",IF($C188="","⚠ no property — not counted",IF(COUNTIF(Setup!$A$25:$A$36,$C188)=0,"⚠ unknown property","OK")))</f>
        <v/>
      </c>
    </row>
    <row r="189" spans="1:9" x14ac:dyDescent="0.2">
      <c r="A189" s="40" t="str">
        <f t="shared" si="2"/>
        <v/>
      </c>
      <c r="B189" s="31"/>
      <c r="C189" s="3"/>
      <c r="D189" s="3"/>
      <c r="E189" s="3"/>
      <c r="F189" s="6"/>
      <c r="G189" s="3"/>
      <c r="H189" s="3"/>
      <c r="I189" s="7" t="str">
        <f>IF($F189="","",IF($C189="","⚠ no property — not counted",IF(COUNTIF(Setup!$A$25:$A$36,$C189)=0,"⚠ unknown property","OK")))</f>
        <v/>
      </c>
    </row>
    <row r="190" spans="1:9" x14ac:dyDescent="0.2">
      <c r="A190" s="40" t="str">
        <f t="shared" si="2"/>
        <v/>
      </c>
      <c r="B190" s="34"/>
      <c r="C190" s="8"/>
      <c r="D190" s="8"/>
      <c r="E190" s="8"/>
      <c r="F190" s="11"/>
      <c r="G190" s="8"/>
      <c r="H190" s="8"/>
      <c r="I190" s="7" t="str">
        <f>IF($F190="","",IF($C190="","⚠ no property — not counted",IF(COUNTIF(Setup!$A$25:$A$36,$C190)=0,"⚠ unknown property","OK")))</f>
        <v/>
      </c>
    </row>
    <row r="191" spans="1:9" x14ac:dyDescent="0.2">
      <c r="A191" s="40" t="str">
        <f t="shared" si="2"/>
        <v/>
      </c>
      <c r="B191" s="31"/>
      <c r="C191" s="3"/>
      <c r="D191" s="3"/>
      <c r="E191" s="3"/>
      <c r="F191" s="6"/>
      <c r="G191" s="3"/>
      <c r="H191" s="3"/>
      <c r="I191" s="7" t="str">
        <f>IF($F191="","",IF($C191="","⚠ no property — not counted",IF(COUNTIF(Setup!$A$25:$A$36,$C191)=0,"⚠ unknown property","OK")))</f>
        <v/>
      </c>
    </row>
    <row r="192" spans="1:9" x14ac:dyDescent="0.2">
      <c r="A192" s="40" t="str">
        <f t="shared" si="2"/>
        <v/>
      </c>
      <c r="B192" s="34"/>
      <c r="C192" s="8"/>
      <c r="D192" s="8"/>
      <c r="E192" s="8"/>
      <c r="F192" s="11"/>
      <c r="G192" s="8"/>
      <c r="H192" s="8"/>
      <c r="I192" s="7" t="str">
        <f>IF($F192="","",IF($C192="","⚠ no property — not counted",IF(COUNTIF(Setup!$A$25:$A$36,$C192)=0,"⚠ unknown property","OK")))</f>
        <v/>
      </c>
    </row>
    <row r="193" spans="1:9" x14ac:dyDescent="0.2">
      <c r="A193" s="40" t="str">
        <f t="shared" si="2"/>
        <v/>
      </c>
      <c r="B193" s="31"/>
      <c r="C193" s="3"/>
      <c r="D193" s="3"/>
      <c r="E193" s="3"/>
      <c r="F193" s="6"/>
      <c r="G193" s="3"/>
      <c r="H193" s="3"/>
      <c r="I193" s="7" t="str">
        <f>IF($F193="","",IF($C193="","⚠ no property — not counted",IF(COUNTIF(Setup!$A$25:$A$36,$C193)=0,"⚠ unknown property","OK")))</f>
        <v/>
      </c>
    </row>
    <row r="194" spans="1:9" x14ac:dyDescent="0.2">
      <c r="A194" s="40" t="str">
        <f t="shared" si="2"/>
        <v/>
      </c>
      <c r="B194" s="34"/>
      <c r="C194" s="8"/>
      <c r="D194" s="8"/>
      <c r="E194" s="8"/>
      <c r="F194" s="11"/>
      <c r="G194" s="8"/>
      <c r="H194" s="8"/>
      <c r="I194" s="7" t="str">
        <f>IF($F194="","",IF($C194="","⚠ no property — not counted",IF(COUNTIF(Setup!$A$25:$A$36,$C194)=0,"⚠ unknown property","OK")))</f>
        <v/>
      </c>
    </row>
    <row r="195" spans="1:9" x14ac:dyDescent="0.2">
      <c r="A195" s="40" t="str">
        <f t="shared" si="2"/>
        <v/>
      </c>
      <c r="B195" s="31"/>
      <c r="C195" s="3"/>
      <c r="D195" s="3"/>
      <c r="E195" s="3"/>
      <c r="F195" s="6"/>
      <c r="G195" s="3"/>
      <c r="H195" s="3"/>
      <c r="I195" s="7" t="str">
        <f>IF($F195="","",IF($C195="","⚠ no property — not counted",IF(COUNTIF(Setup!$A$25:$A$36,$C195)=0,"⚠ unknown property","OK")))</f>
        <v/>
      </c>
    </row>
    <row r="196" spans="1:9" x14ac:dyDescent="0.2">
      <c r="A196" s="40" t="str">
        <f t="shared" si="2"/>
        <v/>
      </c>
      <c r="B196" s="34"/>
      <c r="C196" s="8"/>
      <c r="D196" s="8"/>
      <c r="E196" s="8"/>
      <c r="F196" s="11"/>
      <c r="G196" s="8"/>
      <c r="H196" s="8"/>
      <c r="I196" s="7" t="str">
        <f>IF($F196="","",IF($C196="","⚠ no property — not counted",IF(COUNTIF(Setup!$A$25:$A$36,$C196)=0,"⚠ unknown property","OK")))</f>
        <v/>
      </c>
    </row>
    <row r="197" spans="1:9" x14ac:dyDescent="0.2">
      <c r="A197" s="40" t="str">
        <f t="shared" ref="A197:A254" si="3">IF($F197="","",ROW()-4)</f>
        <v/>
      </c>
      <c r="B197" s="31"/>
      <c r="C197" s="3"/>
      <c r="D197" s="3"/>
      <c r="E197" s="3"/>
      <c r="F197" s="6"/>
      <c r="G197" s="3"/>
      <c r="H197" s="3"/>
      <c r="I197" s="7" t="str">
        <f>IF($F197="","",IF($C197="","⚠ no property — not counted",IF(COUNTIF(Setup!$A$25:$A$36,$C197)=0,"⚠ unknown property","OK")))</f>
        <v/>
      </c>
    </row>
    <row r="198" spans="1:9" x14ac:dyDescent="0.2">
      <c r="A198" s="40" t="str">
        <f t="shared" si="3"/>
        <v/>
      </c>
      <c r="B198" s="34"/>
      <c r="C198" s="8"/>
      <c r="D198" s="8"/>
      <c r="E198" s="8"/>
      <c r="F198" s="11"/>
      <c r="G198" s="8"/>
      <c r="H198" s="8"/>
      <c r="I198" s="7" t="str">
        <f>IF($F198="","",IF($C198="","⚠ no property — not counted",IF(COUNTIF(Setup!$A$25:$A$36,$C198)=0,"⚠ unknown property","OK")))</f>
        <v/>
      </c>
    </row>
    <row r="199" spans="1:9" x14ac:dyDescent="0.2">
      <c r="A199" s="40" t="str">
        <f t="shared" si="3"/>
        <v/>
      </c>
      <c r="B199" s="31"/>
      <c r="C199" s="3"/>
      <c r="D199" s="3"/>
      <c r="E199" s="3"/>
      <c r="F199" s="6"/>
      <c r="G199" s="3"/>
      <c r="H199" s="3"/>
      <c r="I199" s="7" t="str">
        <f>IF($F199="","",IF($C199="","⚠ no property — not counted",IF(COUNTIF(Setup!$A$25:$A$36,$C199)=0,"⚠ unknown property","OK")))</f>
        <v/>
      </c>
    </row>
    <row r="200" spans="1:9" x14ac:dyDescent="0.2">
      <c r="A200" s="40" t="str">
        <f t="shared" si="3"/>
        <v/>
      </c>
      <c r="B200" s="34"/>
      <c r="C200" s="8"/>
      <c r="D200" s="8"/>
      <c r="E200" s="8"/>
      <c r="F200" s="11"/>
      <c r="G200" s="8"/>
      <c r="H200" s="8"/>
      <c r="I200" s="7" t="str">
        <f>IF($F200="","",IF($C200="","⚠ no property — not counted",IF(COUNTIF(Setup!$A$25:$A$36,$C200)=0,"⚠ unknown property","OK")))</f>
        <v/>
      </c>
    </row>
    <row r="201" spans="1:9" x14ac:dyDescent="0.2">
      <c r="A201" s="40" t="str">
        <f t="shared" si="3"/>
        <v/>
      </c>
      <c r="B201" s="31"/>
      <c r="C201" s="3"/>
      <c r="D201" s="3"/>
      <c r="E201" s="3"/>
      <c r="F201" s="6"/>
      <c r="G201" s="3"/>
      <c r="H201" s="3"/>
      <c r="I201" s="7" t="str">
        <f>IF($F201="","",IF($C201="","⚠ no property — not counted",IF(COUNTIF(Setup!$A$25:$A$36,$C201)=0,"⚠ unknown property","OK")))</f>
        <v/>
      </c>
    </row>
    <row r="202" spans="1:9" x14ac:dyDescent="0.2">
      <c r="A202" s="40" t="str">
        <f t="shared" si="3"/>
        <v/>
      </c>
      <c r="B202" s="34"/>
      <c r="C202" s="8"/>
      <c r="D202" s="8"/>
      <c r="E202" s="8"/>
      <c r="F202" s="11"/>
      <c r="G202" s="8"/>
      <c r="H202" s="8"/>
      <c r="I202" s="7" t="str">
        <f>IF($F202="","",IF($C202="","⚠ no property — not counted",IF(COUNTIF(Setup!$A$25:$A$36,$C202)=0,"⚠ unknown property","OK")))</f>
        <v/>
      </c>
    </row>
    <row r="203" spans="1:9" x14ac:dyDescent="0.2">
      <c r="A203" s="40" t="str">
        <f t="shared" si="3"/>
        <v/>
      </c>
      <c r="B203" s="31"/>
      <c r="C203" s="3"/>
      <c r="D203" s="3"/>
      <c r="E203" s="3"/>
      <c r="F203" s="6"/>
      <c r="G203" s="3"/>
      <c r="H203" s="3"/>
      <c r="I203" s="7" t="str">
        <f>IF($F203="","",IF($C203="","⚠ no property — not counted",IF(COUNTIF(Setup!$A$25:$A$36,$C203)=0,"⚠ unknown property","OK")))</f>
        <v/>
      </c>
    </row>
    <row r="204" spans="1:9" x14ac:dyDescent="0.2">
      <c r="A204" s="40" t="str">
        <f t="shared" si="3"/>
        <v/>
      </c>
      <c r="B204" s="34"/>
      <c r="C204" s="8"/>
      <c r="D204" s="8"/>
      <c r="E204" s="8"/>
      <c r="F204" s="11"/>
      <c r="G204" s="8"/>
      <c r="H204" s="8"/>
      <c r="I204" s="7" t="str">
        <f>IF($F204="","",IF($C204="","⚠ no property — not counted",IF(COUNTIF(Setup!$A$25:$A$36,$C204)=0,"⚠ unknown property","OK")))</f>
        <v/>
      </c>
    </row>
    <row r="205" spans="1:9" x14ac:dyDescent="0.2">
      <c r="A205" s="40" t="str">
        <f t="shared" si="3"/>
        <v/>
      </c>
      <c r="B205" s="31"/>
      <c r="C205" s="3"/>
      <c r="D205" s="3"/>
      <c r="E205" s="3"/>
      <c r="F205" s="6"/>
      <c r="G205" s="3"/>
      <c r="H205" s="3"/>
      <c r="I205" s="7" t="str">
        <f>IF($F205="","",IF($C205="","⚠ no property — not counted",IF(COUNTIF(Setup!$A$25:$A$36,$C205)=0,"⚠ unknown property","OK")))</f>
        <v/>
      </c>
    </row>
    <row r="206" spans="1:9" x14ac:dyDescent="0.2">
      <c r="A206" s="40" t="str">
        <f t="shared" si="3"/>
        <v/>
      </c>
      <c r="B206" s="34"/>
      <c r="C206" s="8"/>
      <c r="D206" s="8"/>
      <c r="E206" s="8"/>
      <c r="F206" s="11"/>
      <c r="G206" s="8"/>
      <c r="H206" s="8"/>
      <c r="I206" s="7" t="str">
        <f>IF($F206="","",IF($C206="","⚠ no property — not counted",IF(COUNTIF(Setup!$A$25:$A$36,$C206)=0,"⚠ unknown property","OK")))</f>
        <v/>
      </c>
    </row>
    <row r="207" spans="1:9" x14ac:dyDescent="0.2">
      <c r="A207" s="40" t="str">
        <f t="shared" si="3"/>
        <v/>
      </c>
      <c r="B207" s="31"/>
      <c r="C207" s="3"/>
      <c r="D207" s="3"/>
      <c r="E207" s="3"/>
      <c r="F207" s="6"/>
      <c r="G207" s="3"/>
      <c r="H207" s="3"/>
      <c r="I207" s="7" t="str">
        <f>IF($F207="","",IF($C207="","⚠ no property — not counted",IF(COUNTIF(Setup!$A$25:$A$36,$C207)=0,"⚠ unknown property","OK")))</f>
        <v/>
      </c>
    </row>
    <row r="208" spans="1:9" x14ac:dyDescent="0.2">
      <c r="A208" s="40" t="str">
        <f t="shared" si="3"/>
        <v/>
      </c>
      <c r="B208" s="34"/>
      <c r="C208" s="8"/>
      <c r="D208" s="8"/>
      <c r="E208" s="8"/>
      <c r="F208" s="11"/>
      <c r="G208" s="8"/>
      <c r="H208" s="8"/>
      <c r="I208" s="7" t="str">
        <f>IF($F208="","",IF($C208="","⚠ no property — not counted",IF(COUNTIF(Setup!$A$25:$A$36,$C208)=0,"⚠ unknown property","OK")))</f>
        <v/>
      </c>
    </row>
    <row r="209" spans="1:9" x14ac:dyDescent="0.2">
      <c r="A209" s="40" t="str">
        <f t="shared" si="3"/>
        <v/>
      </c>
      <c r="B209" s="31"/>
      <c r="C209" s="3"/>
      <c r="D209" s="3"/>
      <c r="E209" s="3"/>
      <c r="F209" s="6"/>
      <c r="G209" s="3"/>
      <c r="H209" s="3"/>
      <c r="I209" s="7" t="str">
        <f>IF($F209="","",IF($C209="","⚠ no property — not counted",IF(COUNTIF(Setup!$A$25:$A$36,$C209)=0,"⚠ unknown property","OK")))</f>
        <v/>
      </c>
    </row>
    <row r="210" spans="1:9" x14ac:dyDescent="0.2">
      <c r="A210" s="40" t="str">
        <f t="shared" si="3"/>
        <v/>
      </c>
      <c r="B210" s="34"/>
      <c r="C210" s="8"/>
      <c r="D210" s="8"/>
      <c r="E210" s="8"/>
      <c r="F210" s="11"/>
      <c r="G210" s="8"/>
      <c r="H210" s="8"/>
      <c r="I210" s="7" t="str">
        <f>IF($F210="","",IF($C210="","⚠ no property — not counted",IF(COUNTIF(Setup!$A$25:$A$36,$C210)=0,"⚠ unknown property","OK")))</f>
        <v/>
      </c>
    </row>
    <row r="211" spans="1:9" x14ac:dyDescent="0.2">
      <c r="A211" s="40" t="str">
        <f t="shared" si="3"/>
        <v/>
      </c>
      <c r="B211" s="31"/>
      <c r="C211" s="3"/>
      <c r="D211" s="3"/>
      <c r="E211" s="3"/>
      <c r="F211" s="6"/>
      <c r="G211" s="3"/>
      <c r="H211" s="3"/>
      <c r="I211" s="7" t="str">
        <f>IF($F211="","",IF($C211="","⚠ no property — not counted",IF(COUNTIF(Setup!$A$25:$A$36,$C211)=0,"⚠ unknown property","OK")))</f>
        <v/>
      </c>
    </row>
    <row r="212" spans="1:9" x14ac:dyDescent="0.2">
      <c r="A212" s="40" t="str">
        <f t="shared" si="3"/>
        <v/>
      </c>
      <c r="B212" s="34"/>
      <c r="C212" s="8"/>
      <c r="D212" s="8"/>
      <c r="E212" s="8"/>
      <c r="F212" s="11"/>
      <c r="G212" s="8"/>
      <c r="H212" s="8"/>
      <c r="I212" s="7" t="str">
        <f>IF($F212="","",IF($C212="","⚠ no property — not counted",IF(COUNTIF(Setup!$A$25:$A$36,$C212)=0,"⚠ unknown property","OK")))</f>
        <v/>
      </c>
    </row>
    <row r="213" spans="1:9" x14ac:dyDescent="0.2">
      <c r="A213" s="40" t="str">
        <f t="shared" si="3"/>
        <v/>
      </c>
      <c r="B213" s="31"/>
      <c r="C213" s="3"/>
      <c r="D213" s="3"/>
      <c r="E213" s="3"/>
      <c r="F213" s="6"/>
      <c r="G213" s="3"/>
      <c r="H213" s="3"/>
      <c r="I213" s="7" t="str">
        <f>IF($F213="","",IF($C213="","⚠ no property — not counted",IF(COUNTIF(Setup!$A$25:$A$36,$C213)=0,"⚠ unknown property","OK")))</f>
        <v/>
      </c>
    </row>
    <row r="214" spans="1:9" x14ac:dyDescent="0.2">
      <c r="A214" s="40" t="str">
        <f t="shared" si="3"/>
        <v/>
      </c>
      <c r="B214" s="34"/>
      <c r="C214" s="8"/>
      <c r="D214" s="8"/>
      <c r="E214" s="8"/>
      <c r="F214" s="11"/>
      <c r="G214" s="8"/>
      <c r="H214" s="8"/>
      <c r="I214" s="7" t="str">
        <f>IF($F214="","",IF($C214="","⚠ no property — not counted",IF(COUNTIF(Setup!$A$25:$A$36,$C214)=0,"⚠ unknown property","OK")))</f>
        <v/>
      </c>
    </row>
    <row r="215" spans="1:9" x14ac:dyDescent="0.2">
      <c r="A215" s="40" t="str">
        <f t="shared" si="3"/>
        <v/>
      </c>
      <c r="B215" s="31"/>
      <c r="C215" s="3"/>
      <c r="D215" s="3"/>
      <c r="E215" s="3"/>
      <c r="F215" s="6"/>
      <c r="G215" s="3"/>
      <c r="H215" s="3"/>
      <c r="I215" s="7" t="str">
        <f>IF($F215="","",IF($C215="","⚠ no property — not counted",IF(COUNTIF(Setup!$A$25:$A$36,$C215)=0,"⚠ unknown property","OK")))</f>
        <v/>
      </c>
    </row>
    <row r="216" spans="1:9" x14ac:dyDescent="0.2">
      <c r="A216" s="40" t="str">
        <f t="shared" si="3"/>
        <v/>
      </c>
      <c r="B216" s="34"/>
      <c r="C216" s="8"/>
      <c r="D216" s="8"/>
      <c r="E216" s="8"/>
      <c r="F216" s="11"/>
      <c r="G216" s="8"/>
      <c r="H216" s="8"/>
      <c r="I216" s="7" t="str">
        <f>IF($F216="","",IF($C216="","⚠ no property — not counted",IF(COUNTIF(Setup!$A$25:$A$36,$C216)=0,"⚠ unknown property","OK")))</f>
        <v/>
      </c>
    </row>
    <row r="217" spans="1:9" x14ac:dyDescent="0.2">
      <c r="A217" s="40" t="str">
        <f t="shared" si="3"/>
        <v/>
      </c>
      <c r="B217" s="31"/>
      <c r="C217" s="3"/>
      <c r="D217" s="3"/>
      <c r="E217" s="3"/>
      <c r="F217" s="6"/>
      <c r="G217" s="3"/>
      <c r="H217" s="3"/>
      <c r="I217" s="7" t="str">
        <f>IF($F217="","",IF($C217="","⚠ no property — not counted",IF(COUNTIF(Setup!$A$25:$A$36,$C217)=0,"⚠ unknown property","OK")))</f>
        <v/>
      </c>
    </row>
    <row r="218" spans="1:9" x14ac:dyDescent="0.2">
      <c r="A218" s="40" t="str">
        <f t="shared" si="3"/>
        <v/>
      </c>
      <c r="B218" s="34"/>
      <c r="C218" s="8"/>
      <c r="D218" s="8"/>
      <c r="E218" s="8"/>
      <c r="F218" s="11"/>
      <c r="G218" s="8"/>
      <c r="H218" s="8"/>
      <c r="I218" s="7" t="str">
        <f>IF($F218="","",IF($C218="","⚠ no property — not counted",IF(COUNTIF(Setup!$A$25:$A$36,$C218)=0,"⚠ unknown property","OK")))</f>
        <v/>
      </c>
    </row>
    <row r="219" spans="1:9" x14ac:dyDescent="0.2">
      <c r="A219" s="40" t="str">
        <f t="shared" si="3"/>
        <v/>
      </c>
      <c r="B219" s="31"/>
      <c r="C219" s="3"/>
      <c r="D219" s="3"/>
      <c r="E219" s="3"/>
      <c r="F219" s="6"/>
      <c r="G219" s="3"/>
      <c r="H219" s="3"/>
      <c r="I219" s="7" t="str">
        <f>IF($F219="","",IF($C219="","⚠ no property — not counted",IF(COUNTIF(Setup!$A$25:$A$36,$C219)=0,"⚠ unknown property","OK")))</f>
        <v/>
      </c>
    </row>
    <row r="220" spans="1:9" x14ac:dyDescent="0.2">
      <c r="A220" s="40" t="str">
        <f t="shared" si="3"/>
        <v/>
      </c>
      <c r="B220" s="34"/>
      <c r="C220" s="8"/>
      <c r="D220" s="8"/>
      <c r="E220" s="8"/>
      <c r="F220" s="11"/>
      <c r="G220" s="8"/>
      <c r="H220" s="8"/>
      <c r="I220" s="7" t="str">
        <f>IF($F220="","",IF($C220="","⚠ no property — not counted",IF(COUNTIF(Setup!$A$25:$A$36,$C220)=0,"⚠ unknown property","OK")))</f>
        <v/>
      </c>
    </row>
    <row r="221" spans="1:9" x14ac:dyDescent="0.2">
      <c r="A221" s="40" t="str">
        <f t="shared" si="3"/>
        <v/>
      </c>
      <c r="B221" s="31"/>
      <c r="C221" s="3"/>
      <c r="D221" s="3"/>
      <c r="E221" s="3"/>
      <c r="F221" s="6"/>
      <c r="G221" s="3"/>
      <c r="H221" s="3"/>
      <c r="I221" s="7" t="str">
        <f>IF($F221="","",IF($C221="","⚠ no property — not counted",IF(COUNTIF(Setup!$A$25:$A$36,$C221)=0,"⚠ unknown property","OK")))</f>
        <v/>
      </c>
    </row>
    <row r="222" spans="1:9" x14ac:dyDescent="0.2">
      <c r="A222" s="40" t="str">
        <f t="shared" si="3"/>
        <v/>
      </c>
      <c r="B222" s="34"/>
      <c r="C222" s="8"/>
      <c r="D222" s="8"/>
      <c r="E222" s="8"/>
      <c r="F222" s="11"/>
      <c r="G222" s="8"/>
      <c r="H222" s="8"/>
      <c r="I222" s="7" t="str">
        <f>IF($F222="","",IF($C222="","⚠ no property — not counted",IF(COUNTIF(Setup!$A$25:$A$36,$C222)=0,"⚠ unknown property","OK")))</f>
        <v/>
      </c>
    </row>
    <row r="223" spans="1:9" x14ac:dyDescent="0.2">
      <c r="A223" s="40" t="str">
        <f t="shared" si="3"/>
        <v/>
      </c>
      <c r="B223" s="31"/>
      <c r="C223" s="3"/>
      <c r="D223" s="3"/>
      <c r="E223" s="3"/>
      <c r="F223" s="6"/>
      <c r="G223" s="3"/>
      <c r="H223" s="3"/>
      <c r="I223" s="7" t="str">
        <f>IF($F223="","",IF($C223="","⚠ no property — not counted",IF(COUNTIF(Setup!$A$25:$A$36,$C223)=0,"⚠ unknown property","OK")))</f>
        <v/>
      </c>
    </row>
    <row r="224" spans="1:9" x14ac:dyDescent="0.2">
      <c r="A224" s="40" t="str">
        <f t="shared" si="3"/>
        <v/>
      </c>
      <c r="B224" s="34"/>
      <c r="C224" s="8"/>
      <c r="D224" s="8"/>
      <c r="E224" s="8"/>
      <c r="F224" s="11"/>
      <c r="G224" s="8"/>
      <c r="H224" s="8"/>
      <c r="I224" s="7" t="str">
        <f>IF($F224="","",IF($C224="","⚠ no property — not counted",IF(COUNTIF(Setup!$A$25:$A$36,$C224)=0,"⚠ unknown property","OK")))</f>
        <v/>
      </c>
    </row>
    <row r="225" spans="1:9" x14ac:dyDescent="0.2">
      <c r="A225" s="40" t="str">
        <f t="shared" si="3"/>
        <v/>
      </c>
      <c r="B225" s="31"/>
      <c r="C225" s="3"/>
      <c r="D225" s="3"/>
      <c r="E225" s="3"/>
      <c r="F225" s="6"/>
      <c r="G225" s="3"/>
      <c r="H225" s="3"/>
      <c r="I225" s="7" t="str">
        <f>IF($F225="","",IF($C225="","⚠ no property — not counted",IF(COUNTIF(Setup!$A$25:$A$36,$C225)=0,"⚠ unknown property","OK")))</f>
        <v/>
      </c>
    </row>
    <row r="226" spans="1:9" x14ac:dyDescent="0.2">
      <c r="A226" s="40" t="str">
        <f t="shared" si="3"/>
        <v/>
      </c>
      <c r="B226" s="34"/>
      <c r="C226" s="8"/>
      <c r="D226" s="8"/>
      <c r="E226" s="8"/>
      <c r="F226" s="11"/>
      <c r="G226" s="8"/>
      <c r="H226" s="8"/>
      <c r="I226" s="7" t="str">
        <f>IF($F226="","",IF($C226="","⚠ no property — not counted",IF(COUNTIF(Setup!$A$25:$A$36,$C226)=0,"⚠ unknown property","OK")))</f>
        <v/>
      </c>
    </row>
    <row r="227" spans="1:9" x14ac:dyDescent="0.2">
      <c r="A227" s="40" t="str">
        <f t="shared" si="3"/>
        <v/>
      </c>
      <c r="B227" s="31"/>
      <c r="C227" s="3"/>
      <c r="D227" s="3"/>
      <c r="E227" s="3"/>
      <c r="F227" s="6"/>
      <c r="G227" s="3"/>
      <c r="H227" s="3"/>
      <c r="I227" s="7" t="str">
        <f>IF($F227="","",IF($C227="","⚠ no property — not counted",IF(COUNTIF(Setup!$A$25:$A$36,$C227)=0,"⚠ unknown property","OK")))</f>
        <v/>
      </c>
    </row>
    <row r="228" spans="1:9" x14ac:dyDescent="0.2">
      <c r="A228" s="40" t="str">
        <f t="shared" si="3"/>
        <v/>
      </c>
      <c r="B228" s="34"/>
      <c r="C228" s="8"/>
      <c r="D228" s="8"/>
      <c r="E228" s="8"/>
      <c r="F228" s="11"/>
      <c r="G228" s="8"/>
      <c r="H228" s="8"/>
      <c r="I228" s="7" t="str">
        <f>IF($F228="","",IF($C228="","⚠ no property — not counted",IF(COUNTIF(Setup!$A$25:$A$36,$C228)=0,"⚠ unknown property","OK")))</f>
        <v/>
      </c>
    </row>
    <row r="229" spans="1:9" x14ac:dyDescent="0.2">
      <c r="A229" s="40" t="str">
        <f t="shared" si="3"/>
        <v/>
      </c>
      <c r="B229" s="31"/>
      <c r="C229" s="3"/>
      <c r="D229" s="3"/>
      <c r="E229" s="3"/>
      <c r="F229" s="6"/>
      <c r="G229" s="3"/>
      <c r="H229" s="3"/>
      <c r="I229" s="7" t="str">
        <f>IF($F229="","",IF($C229="","⚠ no property — not counted",IF(COUNTIF(Setup!$A$25:$A$36,$C229)=0,"⚠ unknown property","OK")))</f>
        <v/>
      </c>
    </row>
    <row r="230" spans="1:9" x14ac:dyDescent="0.2">
      <c r="A230" s="40" t="str">
        <f t="shared" si="3"/>
        <v/>
      </c>
      <c r="B230" s="34"/>
      <c r="C230" s="8"/>
      <c r="D230" s="8"/>
      <c r="E230" s="8"/>
      <c r="F230" s="11"/>
      <c r="G230" s="8"/>
      <c r="H230" s="8"/>
      <c r="I230" s="7" t="str">
        <f>IF($F230="","",IF($C230="","⚠ no property — not counted",IF(COUNTIF(Setup!$A$25:$A$36,$C230)=0,"⚠ unknown property","OK")))</f>
        <v/>
      </c>
    </row>
    <row r="231" spans="1:9" x14ac:dyDescent="0.2">
      <c r="A231" s="40" t="str">
        <f t="shared" si="3"/>
        <v/>
      </c>
      <c r="B231" s="31"/>
      <c r="C231" s="3"/>
      <c r="D231" s="3"/>
      <c r="E231" s="3"/>
      <c r="F231" s="6"/>
      <c r="G231" s="3"/>
      <c r="H231" s="3"/>
      <c r="I231" s="7" t="str">
        <f>IF($F231="","",IF($C231="","⚠ no property — not counted",IF(COUNTIF(Setup!$A$25:$A$36,$C231)=0,"⚠ unknown property","OK")))</f>
        <v/>
      </c>
    </row>
    <row r="232" spans="1:9" x14ac:dyDescent="0.2">
      <c r="A232" s="40" t="str">
        <f t="shared" si="3"/>
        <v/>
      </c>
      <c r="B232" s="34"/>
      <c r="C232" s="8"/>
      <c r="D232" s="8"/>
      <c r="E232" s="8"/>
      <c r="F232" s="11"/>
      <c r="G232" s="8"/>
      <c r="H232" s="8"/>
      <c r="I232" s="7" t="str">
        <f>IF($F232="","",IF($C232="","⚠ no property — not counted",IF(COUNTIF(Setup!$A$25:$A$36,$C232)=0,"⚠ unknown property","OK")))</f>
        <v/>
      </c>
    </row>
    <row r="233" spans="1:9" x14ac:dyDescent="0.2">
      <c r="A233" s="40" t="str">
        <f t="shared" si="3"/>
        <v/>
      </c>
      <c r="B233" s="31"/>
      <c r="C233" s="3"/>
      <c r="D233" s="3"/>
      <c r="E233" s="3"/>
      <c r="F233" s="6"/>
      <c r="G233" s="3"/>
      <c r="H233" s="3"/>
      <c r="I233" s="7" t="str">
        <f>IF($F233="","",IF($C233="","⚠ no property — not counted",IF(COUNTIF(Setup!$A$25:$A$36,$C233)=0,"⚠ unknown property","OK")))</f>
        <v/>
      </c>
    </row>
    <row r="234" spans="1:9" x14ac:dyDescent="0.2">
      <c r="A234" s="40" t="str">
        <f t="shared" si="3"/>
        <v/>
      </c>
      <c r="B234" s="34"/>
      <c r="C234" s="8"/>
      <c r="D234" s="8"/>
      <c r="E234" s="8"/>
      <c r="F234" s="11"/>
      <c r="G234" s="8"/>
      <c r="H234" s="8"/>
      <c r="I234" s="7" t="str">
        <f>IF($F234="","",IF($C234="","⚠ no property — not counted",IF(COUNTIF(Setup!$A$25:$A$36,$C234)=0,"⚠ unknown property","OK")))</f>
        <v/>
      </c>
    </row>
    <row r="235" spans="1:9" x14ac:dyDescent="0.2">
      <c r="A235" s="40" t="str">
        <f t="shared" si="3"/>
        <v/>
      </c>
      <c r="B235" s="31"/>
      <c r="C235" s="3"/>
      <c r="D235" s="3"/>
      <c r="E235" s="3"/>
      <c r="F235" s="6"/>
      <c r="G235" s="3"/>
      <c r="H235" s="3"/>
      <c r="I235" s="7" t="str">
        <f>IF($F235="","",IF($C235="","⚠ no property — not counted",IF(COUNTIF(Setup!$A$25:$A$36,$C235)=0,"⚠ unknown property","OK")))</f>
        <v/>
      </c>
    </row>
    <row r="236" spans="1:9" x14ac:dyDescent="0.2">
      <c r="A236" s="40" t="str">
        <f t="shared" si="3"/>
        <v/>
      </c>
      <c r="B236" s="34"/>
      <c r="C236" s="8"/>
      <c r="D236" s="8"/>
      <c r="E236" s="8"/>
      <c r="F236" s="11"/>
      <c r="G236" s="8"/>
      <c r="H236" s="8"/>
      <c r="I236" s="7" t="str">
        <f>IF($F236="","",IF($C236="","⚠ no property — not counted",IF(COUNTIF(Setup!$A$25:$A$36,$C236)=0,"⚠ unknown property","OK")))</f>
        <v/>
      </c>
    </row>
    <row r="237" spans="1:9" x14ac:dyDescent="0.2">
      <c r="A237" s="40" t="str">
        <f t="shared" si="3"/>
        <v/>
      </c>
      <c r="B237" s="31"/>
      <c r="C237" s="3"/>
      <c r="D237" s="3"/>
      <c r="E237" s="3"/>
      <c r="F237" s="6"/>
      <c r="G237" s="3"/>
      <c r="H237" s="3"/>
      <c r="I237" s="7" t="str">
        <f>IF($F237="","",IF($C237="","⚠ no property — not counted",IF(COUNTIF(Setup!$A$25:$A$36,$C237)=0,"⚠ unknown property","OK")))</f>
        <v/>
      </c>
    </row>
    <row r="238" spans="1:9" x14ac:dyDescent="0.2">
      <c r="A238" s="40" t="str">
        <f t="shared" si="3"/>
        <v/>
      </c>
      <c r="B238" s="34"/>
      <c r="C238" s="8"/>
      <c r="D238" s="8"/>
      <c r="E238" s="8"/>
      <c r="F238" s="11"/>
      <c r="G238" s="8"/>
      <c r="H238" s="8"/>
      <c r="I238" s="7" t="str">
        <f>IF($F238="","",IF($C238="","⚠ no property — not counted",IF(COUNTIF(Setup!$A$25:$A$36,$C238)=0,"⚠ unknown property","OK")))</f>
        <v/>
      </c>
    </row>
    <row r="239" spans="1:9" x14ac:dyDescent="0.2">
      <c r="A239" s="40" t="str">
        <f t="shared" si="3"/>
        <v/>
      </c>
      <c r="B239" s="31"/>
      <c r="C239" s="3"/>
      <c r="D239" s="3"/>
      <c r="E239" s="3"/>
      <c r="F239" s="6"/>
      <c r="G239" s="3"/>
      <c r="H239" s="3"/>
      <c r="I239" s="7" t="str">
        <f>IF($F239="","",IF($C239="","⚠ no property — not counted",IF(COUNTIF(Setup!$A$25:$A$36,$C239)=0,"⚠ unknown property","OK")))</f>
        <v/>
      </c>
    </row>
    <row r="240" spans="1:9" x14ac:dyDescent="0.2">
      <c r="A240" s="40" t="str">
        <f t="shared" si="3"/>
        <v/>
      </c>
      <c r="B240" s="34"/>
      <c r="C240" s="8"/>
      <c r="D240" s="8"/>
      <c r="E240" s="8"/>
      <c r="F240" s="11"/>
      <c r="G240" s="8"/>
      <c r="H240" s="8"/>
      <c r="I240" s="7" t="str">
        <f>IF($F240="","",IF($C240="","⚠ no property — not counted",IF(COUNTIF(Setup!$A$25:$A$36,$C240)=0,"⚠ unknown property","OK")))</f>
        <v/>
      </c>
    </row>
    <row r="241" spans="1:9" x14ac:dyDescent="0.2">
      <c r="A241" s="40" t="str">
        <f t="shared" si="3"/>
        <v/>
      </c>
      <c r="B241" s="31"/>
      <c r="C241" s="3"/>
      <c r="D241" s="3"/>
      <c r="E241" s="3"/>
      <c r="F241" s="6"/>
      <c r="G241" s="3"/>
      <c r="H241" s="3"/>
      <c r="I241" s="7" t="str">
        <f>IF($F241="","",IF($C241="","⚠ no property — not counted",IF(COUNTIF(Setup!$A$25:$A$36,$C241)=0,"⚠ unknown property","OK")))</f>
        <v/>
      </c>
    </row>
    <row r="242" spans="1:9" x14ac:dyDescent="0.2">
      <c r="A242" s="40" t="str">
        <f t="shared" si="3"/>
        <v/>
      </c>
      <c r="B242" s="34"/>
      <c r="C242" s="8"/>
      <c r="D242" s="8"/>
      <c r="E242" s="8"/>
      <c r="F242" s="11"/>
      <c r="G242" s="8"/>
      <c r="H242" s="8"/>
      <c r="I242" s="7" t="str">
        <f>IF($F242="","",IF($C242="","⚠ no property — not counted",IF(COUNTIF(Setup!$A$25:$A$36,$C242)=0,"⚠ unknown property","OK")))</f>
        <v/>
      </c>
    </row>
    <row r="243" spans="1:9" x14ac:dyDescent="0.2">
      <c r="A243" s="40" t="str">
        <f t="shared" si="3"/>
        <v/>
      </c>
      <c r="B243" s="31"/>
      <c r="C243" s="3"/>
      <c r="D243" s="3"/>
      <c r="E243" s="3"/>
      <c r="F243" s="6"/>
      <c r="G243" s="3"/>
      <c r="H243" s="3"/>
      <c r="I243" s="7" t="str">
        <f>IF($F243="","",IF($C243="","⚠ no property — not counted",IF(COUNTIF(Setup!$A$25:$A$36,$C243)=0,"⚠ unknown property","OK")))</f>
        <v/>
      </c>
    </row>
    <row r="244" spans="1:9" x14ac:dyDescent="0.2">
      <c r="A244" s="40" t="str">
        <f t="shared" si="3"/>
        <v/>
      </c>
      <c r="B244" s="34"/>
      <c r="C244" s="8"/>
      <c r="D244" s="8"/>
      <c r="E244" s="8"/>
      <c r="F244" s="11"/>
      <c r="G244" s="8"/>
      <c r="H244" s="8"/>
      <c r="I244" s="7" t="str">
        <f>IF($F244="","",IF($C244="","⚠ no property — not counted",IF(COUNTIF(Setup!$A$25:$A$36,$C244)=0,"⚠ unknown property","OK")))</f>
        <v/>
      </c>
    </row>
    <row r="245" spans="1:9" x14ac:dyDescent="0.2">
      <c r="A245" s="40" t="str">
        <f t="shared" si="3"/>
        <v/>
      </c>
      <c r="B245" s="31"/>
      <c r="C245" s="3"/>
      <c r="D245" s="3"/>
      <c r="E245" s="3"/>
      <c r="F245" s="6"/>
      <c r="G245" s="3"/>
      <c r="H245" s="3"/>
      <c r="I245" s="7" t="str">
        <f>IF($F245="","",IF($C245="","⚠ no property — not counted",IF(COUNTIF(Setup!$A$25:$A$36,$C245)=0,"⚠ unknown property","OK")))</f>
        <v/>
      </c>
    </row>
    <row r="246" spans="1:9" x14ac:dyDescent="0.2">
      <c r="A246" s="40" t="str">
        <f t="shared" si="3"/>
        <v/>
      </c>
      <c r="B246" s="34"/>
      <c r="C246" s="8"/>
      <c r="D246" s="8"/>
      <c r="E246" s="8"/>
      <c r="F246" s="11"/>
      <c r="G246" s="8"/>
      <c r="H246" s="8"/>
      <c r="I246" s="7" t="str">
        <f>IF($F246="","",IF($C246="","⚠ no property — not counted",IF(COUNTIF(Setup!$A$25:$A$36,$C246)=0,"⚠ unknown property","OK")))</f>
        <v/>
      </c>
    </row>
    <row r="247" spans="1:9" x14ac:dyDescent="0.2">
      <c r="A247" s="40" t="str">
        <f t="shared" si="3"/>
        <v/>
      </c>
      <c r="B247" s="31"/>
      <c r="C247" s="3"/>
      <c r="D247" s="3"/>
      <c r="E247" s="3"/>
      <c r="F247" s="6"/>
      <c r="G247" s="3"/>
      <c r="H247" s="3"/>
      <c r="I247" s="7" t="str">
        <f>IF($F247="","",IF($C247="","⚠ no property — not counted",IF(COUNTIF(Setup!$A$25:$A$36,$C247)=0,"⚠ unknown property","OK")))</f>
        <v/>
      </c>
    </row>
    <row r="248" spans="1:9" x14ac:dyDescent="0.2">
      <c r="A248" s="40" t="str">
        <f t="shared" si="3"/>
        <v/>
      </c>
      <c r="B248" s="34"/>
      <c r="C248" s="8"/>
      <c r="D248" s="8"/>
      <c r="E248" s="8"/>
      <c r="F248" s="11"/>
      <c r="G248" s="8"/>
      <c r="H248" s="8"/>
      <c r="I248" s="7" t="str">
        <f>IF($F248="","",IF($C248="","⚠ no property — not counted",IF(COUNTIF(Setup!$A$25:$A$36,$C248)=0,"⚠ unknown property","OK")))</f>
        <v/>
      </c>
    </row>
    <row r="249" spans="1:9" x14ac:dyDescent="0.2">
      <c r="A249" s="40" t="str">
        <f t="shared" si="3"/>
        <v/>
      </c>
      <c r="B249" s="31"/>
      <c r="C249" s="3"/>
      <c r="D249" s="3"/>
      <c r="E249" s="3"/>
      <c r="F249" s="6"/>
      <c r="G249" s="3"/>
      <c r="H249" s="3"/>
      <c r="I249" s="7" t="str">
        <f>IF($F249="","",IF($C249="","⚠ no property — not counted",IF(COUNTIF(Setup!$A$25:$A$36,$C249)=0,"⚠ unknown property","OK")))</f>
        <v/>
      </c>
    </row>
    <row r="250" spans="1:9" x14ac:dyDescent="0.2">
      <c r="A250" s="40" t="str">
        <f t="shared" si="3"/>
        <v/>
      </c>
      <c r="B250" s="34"/>
      <c r="C250" s="8"/>
      <c r="D250" s="8"/>
      <c r="E250" s="8"/>
      <c r="F250" s="11"/>
      <c r="G250" s="8"/>
      <c r="H250" s="8"/>
      <c r="I250" s="7" t="str">
        <f>IF($F250="","",IF($C250="","⚠ no property — not counted",IF(COUNTIF(Setup!$A$25:$A$36,$C250)=0,"⚠ unknown property","OK")))</f>
        <v/>
      </c>
    </row>
    <row r="251" spans="1:9" x14ac:dyDescent="0.2">
      <c r="A251" s="40" t="str">
        <f t="shared" si="3"/>
        <v/>
      </c>
      <c r="B251" s="31"/>
      <c r="C251" s="3"/>
      <c r="D251" s="3"/>
      <c r="E251" s="3"/>
      <c r="F251" s="6"/>
      <c r="G251" s="3"/>
      <c r="H251" s="3"/>
      <c r="I251" s="7" t="str">
        <f>IF($F251="","",IF($C251="","⚠ no property — not counted",IF(COUNTIF(Setup!$A$25:$A$36,$C251)=0,"⚠ unknown property","OK")))</f>
        <v/>
      </c>
    </row>
    <row r="252" spans="1:9" x14ac:dyDescent="0.2">
      <c r="A252" s="40" t="str">
        <f t="shared" si="3"/>
        <v/>
      </c>
      <c r="B252" s="34"/>
      <c r="C252" s="8"/>
      <c r="D252" s="8"/>
      <c r="E252" s="8"/>
      <c r="F252" s="11"/>
      <c r="G252" s="8"/>
      <c r="H252" s="8"/>
      <c r="I252" s="7" t="str">
        <f>IF($F252="","",IF($C252="","⚠ no property — not counted",IF(COUNTIF(Setup!$A$25:$A$36,$C252)=0,"⚠ unknown property","OK")))</f>
        <v/>
      </c>
    </row>
    <row r="253" spans="1:9" x14ac:dyDescent="0.2">
      <c r="A253" s="40" t="str">
        <f t="shared" si="3"/>
        <v/>
      </c>
      <c r="B253" s="31"/>
      <c r="C253" s="3"/>
      <c r="D253" s="3"/>
      <c r="E253" s="3"/>
      <c r="F253" s="6"/>
      <c r="G253" s="3"/>
      <c r="H253" s="3"/>
      <c r="I253" s="7" t="str">
        <f>IF($F253="","",IF($C253="","⚠ no property — not counted",IF(COUNTIF(Setup!$A$25:$A$36,$C253)=0,"⚠ unknown property","OK")))</f>
        <v/>
      </c>
    </row>
    <row r="254" spans="1:9" x14ac:dyDescent="0.2">
      <c r="A254" s="40" t="str">
        <f t="shared" si="3"/>
        <v/>
      </c>
      <c r="B254" s="34"/>
      <c r="C254" s="8"/>
      <c r="D254" s="8"/>
      <c r="E254" s="8"/>
      <c r="F254" s="11"/>
      <c r="G254" s="8"/>
      <c r="H254" s="8"/>
      <c r="I254" s="7" t="str">
        <f>IF($F254="","",IF($C254="","⚠ no property — not counted",IF(COUNTIF(Setup!$A$25:$A$36,$C254)=0,"⚠ unknown property","OK")))</f>
        <v/>
      </c>
    </row>
  </sheetData>
  <autoFilter ref="A4:I254" xr:uid="{00000000-0009-0000-0000-000004000000}"/>
  <mergeCells count="2">
    <mergeCell ref="A1:I1"/>
    <mergeCell ref="A2:I2"/>
  </mergeCells>
  <conditionalFormatting sqref="I5:I254">
    <cfRule type="expression" dxfId="0" priority="1">
      <formula>LEFT($I5,1)="⚠"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Setup!$A$25:$A$36</xm:f>
          </x14:formula1>
          <xm:sqref>C5:C254</xm:sqref>
        </x14:dataValidation>
        <x14:dataValidation type="list" allowBlank="1" xr:uid="{00000000-0002-0000-0400-000001000000}">
          <x14:formula1>
            <xm:f>Lists!$D$1:$D$12</xm:f>
          </x14:formula1>
          <xm:sqref>D5:D254</xm:sqref>
        </x14:dataValidation>
        <x14:dataValidation type="list" allowBlank="1" xr:uid="{00000000-0002-0000-0400-000002000000}">
          <x14:formula1>
            <xm:f>Lists!$E$1:$E$4</xm:f>
          </x14:formula1>
          <xm:sqref>G5:G254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114</v>
      </c>
      <c r="B1" t="s">
        <v>120</v>
      </c>
      <c r="C1" t="s">
        <v>155</v>
      </c>
      <c r="D1" t="s">
        <v>167</v>
      </c>
      <c r="E1" t="s">
        <v>169</v>
      </c>
      <c r="F1">
        <v>2025</v>
      </c>
      <c r="G1" t="s">
        <v>183</v>
      </c>
      <c r="H1">
        <v>1</v>
      </c>
    </row>
    <row r="2" spans="1:8" x14ac:dyDescent="0.2">
      <c r="A2" t="s">
        <v>118</v>
      </c>
      <c r="B2" t="s">
        <v>115</v>
      </c>
      <c r="C2" t="s">
        <v>152</v>
      </c>
      <c r="D2" t="s">
        <v>171</v>
      </c>
      <c r="E2" t="s">
        <v>176</v>
      </c>
      <c r="F2">
        <v>2026</v>
      </c>
      <c r="G2" t="s">
        <v>184</v>
      </c>
      <c r="H2">
        <v>2</v>
      </c>
    </row>
    <row r="3" spans="1:8" x14ac:dyDescent="0.2">
      <c r="A3" t="s">
        <v>123</v>
      </c>
      <c r="B3" t="s">
        <v>129</v>
      </c>
      <c r="C3" t="s">
        <v>185</v>
      </c>
      <c r="D3" t="s">
        <v>186</v>
      </c>
      <c r="E3" t="s">
        <v>147</v>
      </c>
      <c r="F3">
        <v>2027</v>
      </c>
      <c r="G3" t="s">
        <v>187</v>
      </c>
      <c r="H3">
        <v>3</v>
      </c>
    </row>
    <row r="4" spans="1:8" x14ac:dyDescent="0.2">
      <c r="A4" t="s">
        <v>188</v>
      </c>
      <c r="B4" t="s">
        <v>134</v>
      </c>
      <c r="C4" t="s">
        <v>150</v>
      </c>
      <c r="D4" t="s">
        <v>189</v>
      </c>
      <c r="E4" t="s">
        <v>97</v>
      </c>
      <c r="F4">
        <v>2028</v>
      </c>
      <c r="G4" t="s">
        <v>190</v>
      </c>
      <c r="H4">
        <v>4</v>
      </c>
    </row>
    <row r="5" spans="1:8" x14ac:dyDescent="0.2">
      <c r="A5" t="s">
        <v>133</v>
      </c>
      <c r="C5" t="s">
        <v>156</v>
      </c>
      <c r="D5" t="s">
        <v>191</v>
      </c>
      <c r="F5">
        <v>2029</v>
      </c>
      <c r="G5" t="s">
        <v>192</v>
      </c>
      <c r="H5">
        <v>5</v>
      </c>
    </row>
    <row r="6" spans="1:8" x14ac:dyDescent="0.2">
      <c r="D6" t="s">
        <v>193</v>
      </c>
      <c r="F6">
        <v>2030</v>
      </c>
      <c r="G6" t="s">
        <v>194</v>
      </c>
      <c r="H6">
        <v>6</v>
      </c>
    </row>
    <row r="7" spans="1:8" x14ac:dyDescent="0.2">
      <c r="D7" t="s">
        <v>195</v>
      </c>
      <c r="F7">
        <v>2031</v>
      </c>
      <c r="G7" t="s">
        <v>196</v>
      </c>
      <c r="H7">
        <v>7</v>
      </c>
    </row>
    <row r="8" spans="1:8" x14ac:dyDescent="0.2">
      <c r="D8" t="s">
        <v>174</v>
      </c>
      <c r="F8">
        <v>2032</v>
      </c>
      <c r="G8" t="s">
        <v>197</v>
      </c>
      <c r="H8">
        <v>8</v>
      </c>
    </row>
    <row r="9" spans="1:8" x14ac:dyDescent="0.2">
      <c r="D9" t="s">
        <v>180</v>
      </c>
      <c r="F9">
        <v>2033</v>
      </c>
      <c r="G9" t="s">
        <v>198</v>
      </c>
      <c r="H9">
        <v>9</v>
      </c>
    </row>
    <row r="10" spans="1:8" x14ac:dyDescent="0.2">
      <c r="D10" t="s">
        <v>199</v>
      </c>
      <c r="F10">
        <v>2034</v>
      </c>
      <c r="G10" t="s">
        <v>200</v>
      </c>
      <c r="H10">
        <v>10</v>
      </c>
    </row>
    <row r="11" spans="1:8" x14ac:dyDescent="0.2">
      <c r="D11" t="s">
        <v>201</v>
      </c>
      <c r="G11" t="s">
        <v>202</v>
      </c>
      <c r="H11">
        <v>11</v>
      </c>
    </row>
    <row r="12" spans="1:8" x14ac:dyDescent="0.2">
      <c r="D12" t="s">
        <v>133</v>
      </c>
      <c r="G12" t="s">
        <v>203</v>
      </c>
      <c r="H12">
        <v>12</v>
      </c>
    </row>
    <row r="14" spans="1:8" x14ac:dyDescent="0.2">
      <c r="A14" s="41" t="s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Setup</vt:lpstr>
      <vt:lpstr>Dashboard</vt:lpstr>
      <vt:lpstr>Bookings</vt:lpstr>
      <vt:lpstr>Cleaning</vt:lpstr>
      <vt:lpstr>Costs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Hönes</cp:lastModifiedBy>
  <dcterms:created xsi:type="dcterms:W3CDTF">2026-07-29T11:17:20Z</dcterms:created>
  <dcterms:modified xsi:type="dcterms:W3CDTF">2026-07-29T11:25:16Z</dcterms:modified>
</cp:coreProperties>
</file>