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9"/>
  <workbookPr/>
  <mc:AlternateContent xmlns:mc="http://schemas.openxmlformats.org/markup-compatibility/2006">
    <mc:Choice Requires="x15">
      <x15ac:absPath xmlns:x15ac="http://schemas.microsoft.com/office/spreadsheetml/2010/11/ac" url="/Users/fabianhones/Desktop/Geld_verdienen/experiment/products/expense-splitter/"/>
    </mc:Choice>
  </mc:AlternateContent>
  <xr:revisionPtr revIDLastSave="0" documentId="13_ncr:1_{90DA64B1-8079-A54C-BBB4-2E1C45D08B0F}" xr6:coauthVersionLast="47" xr6:coauthVersionMax="47" xr10:uidLastSave="{00000000-0000-0000-0000-000000000000}"/>
  <bookViews>
    <workbookView xWindow="0" yWindow="660" windowWidth="34560" windowHeight="20100" xr2:uid="{00000000-000D-0000-FFFF-FFFF00000000}"/>
  </bookViews>
  <sheets>
    <sheet name="Setup" sheetId="1" r:id="rId1"/>
    <sheet name="Expenses" sheetId="2" r:id="rId2"/>
    <sheet name="Who Owes What" sheetId="3" r:id="rId3"/>
    <sheet name="Settle Up" sheetId="4" r:id="rId4"/>
  </sheets>
  <definedNames>
    <definedName name="_xlnm.Print_Area" localSheetId="1">Expenses!$A$8:$S$307</definedName>
    <definedName name="_xlnm.Print_Area" localSheetId="3">'Settle Up'!$A$1:$G$24</definedName>
    <definedName name="_xlnm.Print_Area" localSheetId="0">Setup!$A$1:$G$36</definedName>
    <definedName name="_xlnm.Print_Area" localSheetId="2">'Who Owes What'!$A$1:$H$23</definedName>
    <definedName name="_xlnm.Print_Titles" localSheetId="1">Expenses!$7:$7</definedName>
  </definedNames>
  <calcPr calcId="18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E9" i="4" l="1"/>
  <c r="B19" i="3"/>
  <c r="C18" i="3"/>
  <c r="B18" i="3"/>
  <c r="B17" i="3"/>
  <c r="C17" i="3" s="1"/>
  <c r="B16" i="3"/>
  <c r="C16" i="3" s="1"/>
  <c r="C15" i="3"/>
  <c r="B15" i="3"/>
  <c r="B14" i="3"/>
  <c r="B13" i="3"/>
  <c r="C12" i="3"/>
  <c r="B12" i="3"/>
  <c r="B11" i="3"/>
  <c r="B10" i="3"/>
  <c r="F9" i="3"/>
  <c r="E9" i="3"/>
  <c r="D9" i="3"/>
  <c r="D6" i="3"/>
  <c r="E4" i="3"/>
  <c r="B4" i="3"/>
  <c r="AG307" i="2"/>
  <c r="AC307" i="2"/>
  <c r="T307" i="2"/>
  <c r="AB307" i="2" s="1"/>
  <c r="A307" i="2"/>
  <c r="AG306" i="2"/>
  <c r="V306" i="2"/>
  <c r="T306" i="2"/>
  <c r="U306" i="2" s="1"/>
  <c r="AG305" i="2"/>
  <c r="AD305" i="2"/>
  <c r="AA305" i="2"/>
  <c r="Y305" i="2"/>
  <c r="T305" i="2"/>
  <c r="Z305" i="2" s="1"/>
  <c r="R305" i="2"/>
  <c r="AG304" i="2"/>
  <c r="AD304" i="2"/>
  <c r="T304" i="2"/>
  <c r="R304" i="2"/>
  <c r="AG303" i="2"/>
  <c r="Y303" i="2"/>
  <c r="W303" i="2"/>
  <c r="T303" i="2"/>
  <c r="X303" i="2" s="1"/>
  <c r="AG302" i="2"/>
  <c r="AD302" i="2"/>
  <c r="AB302" i="2"/>
  <c r="Y302" i="2"/>
  <c r="U302" i="2"/>
  <c r="T302" i="2"/>
  <c r="AC302" i="2" s="1"/>
  <c r="R302" i="2"/>
  <c r="AG301" i="2"/>
  <c r="AD301" i="2"/>
  <c r="W301" i="2"/>
  <c r="U301" i="2"/>
  <c r="T301" i="2"/>
  <c r="V301" i="2" s="1"/>
  <c r="R301" i="2"/>
  <c r="AG300" i="2"/>
  <c r="AB300" i="2"/>
  <c r="Z300" i="2"/>
  <c r="Y300" i="2"/>
  <c r="W300" i="2"/>
  <c r="U300" i="2"/>
  <c r="T300" i="2"/>
  <c r="AA300" i="2" s="1"/>
  <c r="AG299" i="2"/>
  <c r="AE299" i="2"/>
  <c r="AF299" i="2" s="1"/>
  <c r="AD299" i="2"/>
  <c r="AB299" i="2"/>
  <c r="Z299" i="2"/>
  <c r="Y299" i="2"/>
  <c r="U299" i="2"/>
  <c r="T299" i="2"/>
  <c r="AC299" i="2" s="1"/>
  <c r="S299" i="2"/>
  <c r="R299" i="2"/>
  <c r="AG298" i="2"/>
  <c r="AE298" i="2"/>
  <c r="AF298" i="2" s="1"/>
  <c r="AD298" i="2"/>
  <c r="Z298" i="2"/>
  <c r="Y298" i="2"/>
  <c r="X298" i="2"/>
  <c r="W298" i="2"/>
  <c r="U298" i="2"/>
  <c r="T298" i="2"/>
  <c r="V298" i="2" s="1"/>
  <c r="S298" i="2"/>
  <c r="R298" i="2"/>
  <c r="AG297" i="2"/>
  <c r="AE297" i="2"/>
  <c r="AF297" i="2" s="1"/>
  <c r="AD297" i="2"/>
  <c r="AC297" i="2"/>
  <c r="AB297" i="2"/>
  <c r="Z297" i="2"/>
  <c r="Y297" i="2"/>
  <c r="X297" i="2"/>
  <c r="W297" i="2"/>
  <c r="V297" i="2"/>
  <c r="U297" i="2"/>
  <c r="T297" i="2"/>
  <c r="AA297" i="2" s="1"/>
  <c r="S297" i="2"/>
  <c r="R297" i="2"/>
  <c r="A297" i="2"/>
  <c r="AG296" i="2"/>
  <c r="AE296" i="2"/>
  <c r="AF296" i="2" s="1"/>
  <c r="AD296" i="2"/>
  <c r="AC296" i="2"/>
  <c r="AB296" i="2"/>
  <c r="AA296" i="2"/>
  <c r="X296" i="2"/>
  <c r="W296" i="2"/>
  <c r="V296" i="2"/>
  <c r="U296" i="2"/>
  <c r="T296" i="2"/>
  <c r="Z296" i="2" s="1"/>
  <c r="S296" i="2"/>
  <c r="R296" i="2"/>
  <c r="A296" i="2"/>
  <c r="AG295" i="2"/>
  <c r="AA295" i="2"/>
  <c r="Z295" i="2"/>
  <c r="W295" i="2"/>
  <c r="U295" i="2"/>
  <c r="T295" i="2"/>
  <c r="AG294" i="2"/>
  <c r="U294" i="2"/>
  <c r="T294" i="2"/>
  <c r="S294" i="2"/>
  <c r="AG293" i="2"/>
  <c r="T293" i="2"/>
  <c r="AG292" i="2"/>
  <c r="AE292" i="2"/>
  <c r="AF292" i="2" s="1"/>
  <c r="AD292" i="2"/>
  <c r="AC292" i="2"/>
  <c r="AA292" i="2"/>
  <c r="Z292" i="2"/>
  <c r="Y292" i="2"/>
  <c r="X292" i="2"/>
  <c r="W292" i="2"/>
  <c r="T292" i="2"/>
  <c r="S292" i="2" s="1"/>
  <c r="R292" i="2"/>
  <c r="A292" i="2"/>
  <c r="AG291" i="2"/>
  <c r="AE291" i="2"/>
  <c r="AF291" i="2" s="1"/>
  <c r="AD291" i="2"/>
  <c r="AC291" i="2"/>
  <c r="AB291" i="2"/>
  <c r="Y291" i="2"/>
  <c r="X291" i="2"/>
  <c r="T291" i="2"/>
  <c r="S291" i="2"/>
  <c r="R291" i="2"/>
  <c r="A291" i="2"/>
  <c r="AG290" i="2"/>
  <c r="AD290" i="2"/>
  <c r="AC290" i="2"/>
  <c r="AB290" i="2"/>
  <c r="AA290" i="2"/>
  <c r="Z290" i="2"/>
  <c r="Y290" i="2"/>
  <c r="X290" i="2"/>
  <c r="W290" i="2"/>
  <c r="V290" i="2"/>
  <c r="U290" i="2"/>
  <c r="T290" i="2"/>
  <c r="AE290" i="2" s="1"/>
  <c r="AF290" i="2" s="1"/>
  <c r="R290" i="2"/>
  <c r="A290" i="2"/>
  <c r="AG289" i="2"/>
  <c r="AD289" i="2"/>
  <c r="U289" i="2"/>
  <c r="T289" i="2"/>
  <c r="R289" i="2"/>
  <c r="AG288" i="2"/>
  <c r="AE288" i="2"/>
  <c r="AF288" i="2" s="1"/>
  <c r="Y288" i="2"/>
  <c r="W288" i="2"/>
  <c r="V288" i="2"/>
  <c r="T288" i="2"/>
  <c r="AG287" i="2"/>
  <c r="Z287" i="2"/>
  <c r="Y287" i="2"/>
  <c r="T287" i="2"/>
  <c r="R287" i="2"/>
  <c r="AG286" i="2"/>
  <c r="Z286" i="2"/>
  <c r="Y286" i="2"/>
  <c r="X286" i="2"/>
  <c r="W286" i="2"/>
  <c r="U286" i="2"/>
  <c r="T286" i="2"/>
  <c r="S286" i="2"/>
  <c r="R286" i="2"/>
  <c r="A286" i="2"/>
  <c r="AG285" i="2"/>
  <c r="AE285" i="2"/>
  <c r="AF285" i="2" s="1"/>
  <c r="AD285" i="2"/>
  <c r="AC285" i="2"/>
  <c r="AB285" i="2"/>
  <c r="AA285" i="2"/>
  <c r="Z285" i="2"/>
  <c r="Y285" i="2"/>
  <c r="X285" i="2"/>
  <c r="W285" i="2"/>
  <c r="V285" i="2"/>
  <c r="U285" i="2"/>
  <c r="T285" i="2"/>
  <c r="S285" i="2"/>
  <c r="R285" i="2"/>
  <c r="A285" i="2"/>
  <c r="AG284" i="2"/>
  <c r="AE284" i="2"/>
  <c r="AF284" i="2" s="1"/>
  <c r="AD284" i="2"/>
  <c r="AC284" i="2"/>
  <c r="AB284" i="2"/>
  <c r="AA284" i="2"/>
  <c r="X284" i="2"/>
  <c r="W284" i="2"/>
  <c r="V284" i="2"/>
  <c r="U284" i="2"/>
  <c r="T284" i="2"/>
  <c r="Z284" i="2" s="1"/>
  <c r="S284" i="2"/>
  <c r="R284" i="2"/>
  <c r="A284" i="2"/>
  <c r="AG283" i="2"/>
  <c r="AB283" i="2"/>
  <c r="AA283" i="2"/>
  <c r="U283" i="2"/>
  <c r="T283" i="2"/>
  <c r="A283" i="2"/>
  <c r="AG282" i="2"/>
  <c r="T282" i="2"/>
  <c r="S282" i="2"/>
  <c r="A282" i="2"/>
  <c r="AG281" i="2"/>
  <c r="T281" i="2"/>
  <c r="AG280" i="2"/>
  <c r="AF280" i="2"/>
  <c r="AE280" i="2"/>
  <c r="AD280" i="2"/>
  <c r="Y280" i="2"/>
  <c r="X280" i="2"/>
  <c r="T280" i="2"/>
  <c r="S280" i="2"/>
  <c r="A280" i="2"/>
  <c r="AG279" i="2"/>
  <c r="AB279" i="2"/>
  <c r="Y279" i="2"/>
  <c r="X279" i="2"/>
  <c r="W279" i="2"/>
  <c r="V279" i="2"/>
  <c r="T279" i="2"/>
  <c r="S279" i="2"/>
  <c r="R279" i="2"/>
  <c r="A279" i="2"/>
  <c r="AG278" i="2"/>
  <c r="AD278" i="2"/>
  <c r="AC278" i="2"/>
  <c r="AB278" i="2"/>
  <c r="AA278" i="2"/>
  <c r="Z278" i="2"/>
  <c r="Y278" i="2"/>
  <c r="X278" i="2"/>
  <c r="W278" i="2"/>
  <c r="V278" i="2"/>
  <c r="U278" i="2"/>
  <c r="T278" i="2"/>
  <c r="AE278" i="2" s="1"/>
  <c r="AF278" i="2" s="1"/>
  <c r="R278" i="2"/>
  <c r="A278" i="2"/>
  <c r="AG277" i="2"/>
  <c r="AD277" i="2"/>
  <c r="AC277" i="2"/>
  <c r="AB277" i="2"/>
  <c r="AA277" i="2"/>
  <c r="Z277" i="2"/>
  <c r="W277" i="2"/>
  <c r="V277" i="2"/>
  <c r="U277" i="2"/>
  <c r="T277" i="2"/>
  <c r="R277" i="2" s="1"/>
  <c r="AG276" i="2"/>
  <c r="AF276" i="2"/>
  <c r="AE276" i="2"/>
  <c r="AB276" i="2"/>
  <c r="AA276" i="2"/>
  <c r="Z276" i="2"/>
  <c r="Y276" i="2"/>
  <c r="W276" i="2"/>
  <c r="V276" i="2"/>
  <c r="U276" i="2"/>
  <c r="T276" i="2"/>
  <c r="S276" i="2"/>
  <c r="AG275" i="2"/>
  <c r="AF275" i="2"/>
  <c r="AE275" i="2"/>
  <c r="AD275" i="2"/>
  <c r="AB275" i="2"/>
  <c r="AA275" i="2"/>
  <c r="Z275" i="2"/>
  <c r="Y275" i="2"/>
  <c r="X275" i="2"/>
  <c r="U275" i="2"/>
  <c r="T275" i="2"/>
  <c r="S275" i="2"/>
  <c r="R275" i="2"/>
  <c r="AG274" i="2"/>
  <c r="AE274" i="2"/>
  <c r="AF274" i="2" s="1"/>
  <c r="AD274" i="2"/>
  <c r="AC274" i="2"/>
  <c r="Z274" i="2"/>
  <c r="Y274" i="2"/>
  <c r="X274" i="2"/>
  <c r="T274" i="2"/>
  <c r="S274" i="2"/>
  <c r="R274" i="2"/>
  <c r="A274" i="2"/>
  <c r="AG273" i="2"/>
  <c r="AE273" i="2"/>
  <c r="AF273" i="2" s="1"/>
  <c r="AD273" i="2"/>
  <c r="AC273" i="2"/>
  <c r="AB273" i="2"/>
  <c r="AA273" i="2"/>
  <c r="Z273" i="2"/>
  <c r="Y273" i="2"/>
  <c r="X273" i="2"/>
  <c r="W273" i="2"/>
  <c r="V273" i="2"/>
  <c r="U273" i="2"/>
  <c r="T273" i="2"/>
  <c r="S273" i="2"/>
  <c r="R273" i="2"/>
  <c r="A273" i="2"/>
  <c r="AG272" i="2"/>
  <c r="T272" i="2"/>
  <c r="S272" i="2"/>
  <c r="R272" i="2"/>
  <c r="AG271" i="2"/>
  <c r="AC271" i="2"/>
  <c r="AB271" i="2"/>
  <c r="AA271" i="2"/>
  <c r="Z271" i="2"/>
  <c r="Y271" i="2"/>
  <c r="X271" i="2"/>
  <c r="W271" i="2"/>
  <c r="V271" i="2"/>
  <c r="U271" i="2"/>
  <c r="T271" i="2"/>
  <c r="A271" i="2" s="1"/>
  <c r="AG270" i="2"/>
  <c r="AE270" i="2"/>
  <c r="AF270" i="2" s="1"/>
  <c r="AD270" i="2"/>
  <c r="AC270" i="2"/>
  <c r="AB270" i="2"/>
  <c r="AA270" i="2"/>
  <c r="Z270" i="2"/>
  <c r="Y270" i="2"/>
  <c r="V270" i="2"/>
  <c r="U270" i="2"/>
  <c r="T270" i="2"/>
  <c r="S270" i="2"/>
  <c r="R270" i="2"/>
  <c r="A270" i="2"/>
  <c r="AG269" i="2"/>
  <c r="T269" i="2"/>
  <c r="S269" i="2"/>
  <c r="R269" i="2"/>
  <c r="AG268" i="2"/>
  <c r="T268" i="2"/>
  <c r="AG267" i="2"/>
  <c r="T267" i="2"/>
  <c r="A267" i="2"/>
  <c r="AG266" i="2"/>
  <c r="AD266" i="2"/>
  <c r="AC266" i="2"/>
  <c r="AB266" i="2"/>
  <c r="AA266" i="2"/>
  <c r="Z266" i="2"/>
  <c r="Y266" i="2"/>
  <c r="X266" i="2"/>
  <c r="W266" i="2"/>
  <c r="V266" i="2"/>
  <c r="U266" i="2"/>
  <c r="T266" i="2"/>
  <c r="AE266" i="2" s="1"/>
  <c r="AF266" i="2" s="1"/>
  <c r="R266" i="2"/>
  <c r="A266" i="2"/>
  <c r="AG265" i="2"/>
  <c r="AE265" i="2"/>
  <c r="AF265" i="2" s="1"/>
  <c r="AD265" i="2"/>
  <c r="AC265" i="2"/>
  <c r="AB265" i="2"/>
  <c r="AA265" i="2"/>
  <c r="Z265" i="2"/>
  <c r="W265" i="2"/>
  <c r="V265" i="2"/>
  <c r="T265" i="2"/>
  <c r="S265" i="2"/>
  <c r="R265" i="2"/>
  <c r="A265" i="2"/>
  <c r="AG264" i="2"/>
  <c r="V264" i="2"/>
  <c r="T264" i="2"/>
  <c r="S264" i="2"/>
  <c r="AG263" i="2"/>
  <c r="T263" i="2"/>
  <c r="AG262" i="2"/>
  <c r="AE262" i="2"/>
  <c r="AF262" i="2" s="1"/>
  <c r="AD262" i="2"/>
  <c r="AC262" i="2"/>
  <c r="AB262" i="2"/>
  <c r="Z262" i="2"/>
  <c r="Y262" i="2"/>
  <c r="X262" i="2"/>
  <c r="W262" i="2"/>
  <c r="V262" i="2"/>
  <c r="U262" i="2"/>
  <c r="T262" i="2"/>
  <c r="AA262" i="2" s="1"/>
  <c r="S262" i="2"/>
  <c r="R262" i="2"/>
  <c r="A262" i="2"/>
  <c r="AG261" i="2"/>
  <c r="AE261" i="2"/>
  <c r="AF261" i="2" s="1"/>
  <c r="AD261" i="2"/>
  <c r="AC261" i="2"/>
  <c r="AB261" i="2"/>
  <c r="AA261" i="2"/>
  <c r="Z261" i="2"/>
  <c r="Y261" i="2"/>
  <c r="X261" i="2"/>
  <c r="W261" i="2"/>
  <c r="V261" i="2"/>
  <c r="U261" i="2"/>
  <c r="T261" i="2"/>
  <c r="S261" i="2"/>
  <c r="R261" i="2"/>
  <c r="A261" i="2"/>
  <c r="AG260" i="2"/>
  <c r="AF260" i="2"/>
  <c r="AE260" i="2"/>
  <c r="T260" i="2"/>
  <c r="S260" i="2"/>
  <c r="AG259" i="2"/>
  <c r="AE259" i="2"/>
  <c r="AF259" i="2" s="1"/>
  <c r="AC259" i="2"/>
  <c r="AB259" i="2"/>
  <c r="AA259" i="2"/>
  <c r="Z259" i="2"/>
  <c r="Y259" i="2"/>
  <c r="X259" i="2"/>
  <c r="W259" i="2"/>
  <c r="V259" i="2"/>
  <c r="U259" i="2"/>
  <c r="T259" i="2"/>
  <c r="S259" i="2"/>
  <c r="A259" i="2"/>
  <c r="AG258" i="2"/>
  <c r="AE258" i="2"/>
  <c r="AF258" i="2" s="1"/>
  <c r="U258" i="2"/>
  <c r="T258" i="2"/>
  <c r="AG257" i="2"/>
  <c r="T257" i="2"/>
  <c r="AG256" i="2"/>
  <c r="AE256" i="2"/>
  <c r="AF256" i="2" s="1"/>
  <c r="AD256" i="2"/>
  <c r="AC256" i="2"/>
  <c r="AB256" i="2"/>
  <c r="AA256" i="2"/>
  <c r="Z256" i="2"/>
  <c r="Y256" i="2"/>
  <c r="X256" i="2"/>
  <c r="W256" i="2"/>
  <c r="V256" i="2"/>
  <c r="T256" i="2"/>
  <c r="U256" i="2" s="1"/>
  <c r="S256" i="2"/>
  <c r="R256" i="2"/>
  <c r="A256" i="2"/>
  <c r="AG255" i="2"/>
  <c r="AD255" i="2"/>
  <c r="AC255" i="2"/>
  <c r="AB255" i="2"/>
  <c r="AA255" i="2"/>
  <c r="X255" i="2"/>
  <c r="W255" i="2"/>
  <c r="V255" i="2"/>
  <c r="T255" i="2"/>
  <c r="R255" i="2"/>
  <c r="A255" i="2"/>
  <c r="AG254" i="2"/>
  <c r="AC254" i="2"/>
  <c r="AB254" i="2"/>
  <c r="AA254" i="2"/>
  <c r="Z254" i="2"/>
  <c r="Y254" i="2"/>
  <c r="W254" i="2"/>
  <c r="T254" i="2"/>
  <c r="A254" i="2"/>
  <c r="AG253" i="2"/>
  <c r="AE253" i="2"/>
  <c r="AF253" i="2" s="1"/>
  <c r="AD253" i="2"/>
  <c r="AB253" i="2"/>
  <c r="AA253" i="2"/>
  <c r="Z253" i="2"/>
  <c r="Y253" i="2"/>
  <c r="T253" i="2"/>
  <c r="S253" i="2"/>
  <c r="R253" i="2"/>
  <c r="AG252" i="2"/>
  <c r="AD252" i="2"/>
  <c r="AA252" i="2"/>
  <c r="Z252" i="2"/>
  <c r="Y252" i="2"/>
  <c r="T252" i="2"/>
  <c r="S252" i="2"/>
  <c r="R252" i="2"/>
  <c r="AG251" i="2"/>
  <c r="T251" i="2"/>
  <c r="S251" i="2"/>
  <c r="AG250" i="2"/>
  <c r="AE250" i="2"/>
  <c r="AF250" i="2" s="1"/>
  <c r="AD250" i="2"/>
  <c r="AC250" i="2"/>
  <c r="AB250" i="2"/>
  <c r="Y250" i="2"/>
  <c r="X250" i="2"/>
  <c r="W250" i="2"/>
  <c r="V250" i="2"/>
  <c r="U250" i="2"/>
  <c r="T250" i="2"/>
  <c r="AA250" i="2" s="1"/>
  <c r="S250" i="2"/>
  <c r="R250" i="2"/>
  <c r="A250" i="2"/>
  <c r="AG249" i="2"/>
  <c r="AE249" i="2"/>
  <c r="AF249" i="2" s="1"/>
  <c r="AD249" i="2"/>
  <c r="AC249" i="2"/>
  <c r="AB249" i="2"/>
  <c r="AA249" i="2"/>
  <c r="Z249" i="2"/>
  <c r="Y249" i="2"/>
  <c r="X249" i="2"/>
  <c r="W249" i="2"/>
  <c r="V249" i="2"/>
  <c r="U249" i="2"/>
  <c r="T249" i="2"/>
  <c r="S249" i="2"/>
  <c r="R249" i="2"/>
  <c r="A249" i="2"/>
  <c r="AG248" i="2"/>
  <c r="AE248" i="2"/>
  <c r="AF248" i="2" s="1"/>
  <c r="AC248" i="2"/>
  <c r="AB248" i="2"/>
  <c r="AA248" i="2"/>
  <c r="Z248" i="2"/>
  <c r="W248" i="2"/>
  <c r="V248" i="2"/>
  <c r="U248" i="2"/>
  <c r="T248" i="2"/>
  <c r="S248" i="2"/>
  <c r="A248" i="2"/>
  <c r="AG247" i="2"/>
  <c r="AF247" i="2"/>
  <c r="AE247" i="2"/>
  <c r="AB247" i="2"/>
  <c r="AA247" i="2"/>
  <c r="Z247" i="2"/>
  <c r="Y247" i="2"/>
  <c r="X247" i="2"/>
  <c r="V247" i="2"/>
  <c r="T247" i="2"/>
  <c r="S247" i="2"/>
  <c r="AG246" i="2"/>
  <c r="AE246" i="2"/>
  <c r="AF246" i="2" s="1"/>
  <c r="AD246" i="2"/>
  <c r="AC246" i="2"/>
  <c r="AA246" i="2"/>
  <c r="Z246" i="2"/>
  <c r="Y246" i="2"/>
  <c r="X246" i="2"/>
  <c r="T246" i="2"/>
  <c r="S246" i="2"/>
  <c r="R246" i="2"/>
  <c r="A246" i="2"/>
  <c r="AG245" i="2"/>
  <c r="AF245" i="2"/>
  <c r="AE245" i="2"/>
  <c r="AD245" i="2"/>
  <c r="AC245" i="2"/>
  <c r="Z245" i="2"/>
  <c r="Y245" i="2"/>
  <c r="T245" i="2"/>
  <c r="S245" i="2" s="1"/>
  <c r="A245" i="2"/>
  <c r="AG244" i="2"/>
  <c r="AE244" i="2"/>
  <c r="AF244" i="2" s="1"/>
  <c r="AD244" i="2"/>
  <c r="AC244" i="2"/>
  <c r="AB244" i="2"/>
  <c r="AA244" i="2"/>
  <c r="Z244" i="2"/>
  <c r="Y244" i="2"/>
  <c r="X244" i="2"/>
  <c r="W244" i="2"/>
  <c r="V244" i="2"/>
  <c r="T244" i="2"/>
  <c r="U244" i="2" s="1"/>
  <c r="S244" i="2"/>
  <c r="R244" i="2"/>
  <c r="A244" i="2"/>
  <c r="AG243" i="2"/>
  <c r="AA243" i="2"/>
  <c r="X243" i="2"/>
  <c r="W243" i="2"/>
  <c r="V243" i="2"/>
  <c r="T243" i="2"/>
  <c r="R243" i="2"/>
  <c r="A243" i="2"/>
  <c r="AG242" i="2"/>
  <c r="AA242" i="2"/>
  <c r="Z242" i="2"/>
  <c r="Y242" i="2"/>
  <c r="W242" i="2"/>
  <c r="V242" i="2"/>
  <c r="U242" i="2"/>
  <c r="T242" i="2"/>
  <c r="A242" i="2" s="1"/>
  <c r="AG241" i="2"/>
  <c r="AA241" i="2"/>
  <c r="Z241" i="2"/>
  <c r="T241" i="2"/>
  <c r="S241" i="2"/>
  <c r="R241" i="2"/>
  <c r="AG240" i="2"/>
  <c r="Y240" i="2"/>
  <c r="X240" i="2"/>
  <c r="W240" i="2"/>
  <c r="U240" i="2"/>
  <c r="T240" i="2"/>
  <c r="S240" i="2"/>
  <c r="AG239" i="2"/>
  <c r="T239" i="2"/>
  <c r="AG238" i="2"/>
  <c r="AE238" i="2"/>
  <c r="AF238" i="2" s="1"/>
  <c r="AD238" i="2"/>
  <c r="AC238" i="2"/>
  <c r="AB238" i="2"/>
  <c r="Y238" i="2"/>
  <c r="X238" i="2"/>
  <c r="W238" i="2"/>
  <c r="V238" i="2"/>
  <c r="U238" i="2"/>
  <c r="T238" i="2"/>
  <c r="AA238" i="2" s="1"/>
  <c r="S238" i="2"/>
  <c r="R238" i="2"/>
  <c r="A238" i="2"/>
  <c r="AG237" i="2"/>
  <c r="AE237" i="2"/>
  <c r="AF237" i="2" s="1"/>
  <c r="AD237" i="2"/>
  <c r="AC237" i="2"/>
  <c r="AB237" i="2"/>
  <c r="AA237" i="2"/>
  <c r="Z237" i="2"/>
  <c r="Y237" i="2"/>
  <c r="X237" i="2"/>
  <c r="W237" i="2"/>
  <c r="V237" i="2"/>
  <c r="U237" i="2"/>
  <c r="T237" i="2"/>
  <c r="S237" i="2"/>
  <c r="R237" i="2"/>
  <c r="A237" i="2"/>
  <c r="AG236" i="2"/>
  <c r="T236" i="2"/>
  <c r="AG235" i="2"/>
  <c r="X235" i="2"/>
  <c r="V235" i="2"/>
  <c r="U235" i="2"/>
  <c r="T235" i="2"/>
  <c r="AG234" i="2"/>
  <c r="T234" i="2"/>
  <c r="R234" i="2" s="1"/>
  <c r="AG233" i="2"/>
  <c r="AD233" i="2"/>
  <c r="AC233" i="2"/>
  <c r="Z233" i="2"/>
  <c r="T233" i="2"/>
  <c r="S233" i="2" s="1"/>
  <c r="AG232" i="2"/>
  <c r="AE232" i="2"/>
  <c r="AF232" i="2" s="1"/>
  <c r="AD232" i="2"/>
  <c r="AC232" i="2"/>
  <c r="AB232" i="2"/>
  <c r="AA232" i="2"/>
  <c r="Z232" i="2"/>
  <c r="Y232" i="2"/>
  <c r="X232" i="2"/>
  <c r="W232" i="2"/>
  <c r="V232" i="2"/>
  <c r="T232" i="2"/>
  <c r="U232" i="2" s="1"/>
  <c r="S232" i="2"/>
  <c r="R232" i="2"/>
  <c r="A232" i="2"/>
  <c r="AG231" i="2"/>
  <c r="AE231" i="2"/>
  <c r="AF231" i="2" s="1"/>
  <c r="U231" i="2"/>
  <c r="T231" i="2"/>
  <c r="S231" i="2"/>
  <c r="R231" i="2"/>
  <c r="AG230" i="2"/>
  <c r="T230" i="2"/>
  <c r="A230" i="2" s="1"/>
  <c r="AG229" i="2"/>
  <c r="AE229" i="2"/>
  <c r="AF229" i="2" s="1"/>
  <c r="AA229" i="2"/>
  <c r="T229" i="2"/>
  <c r="S229" i="2"/>
  <c r="AG228" i="2"/>
  <c r="AE228" i="2"/>
  <c r="AF228" i="2" s="1"/>
  <c r="AD228" i="2"/>
  <c r="AB228" i="2"/>
  <c r="AA228" i="2"/>
  <c r="Z228" i="2"/>
  <c r="Y228" i="2"/>
  <c r="X228" i="2"/>
  <c r="W228" i="2"/>
  <c r="V228" i="2"/>
  <c r="T228" i="2"/>
  <c r="S228" i="2"/>
  <c r="R228" i="2"/>
  <c r="AG227" i="2"/>
  <c r="T227" i="2"/>
  <c r="S227" i="2" s="1"/>
  <c r="AG226" i="2"/>
  <c r="T226" i="2"/>
  <c r="S226" i="2"/>
  <c r="A226" i="2"/>
  <c r="AG225" i="2"/>
  <c r="AE225" i="2"/>
  <c r="AF225" i="2" s="1"/>
  <c r="AD225" i="2"/>
  <c r="AC225" i="2"/>
  <c r="AB225" i="2"/>
  <c r="AA225" i="2"/>
  <c r="Z225" i="2"/>
  <c r="Y225" i="2"/>
  <c r="X225" i="2"/>
  <c r="W225" i="2"/>
  <c r="V225" i="2"/>
  <c r="U225" i="2"/>
  <c r="T225" i="2"/>
  <c r="S225" i="2"/>
  <c r="R225" i="2"/>
  <c r="A225" i="2"/>
  <c r="AG224" i="2"/>
  <c r="AE224" i="2"/>
  <c r="AF224" i="2" s="1"/>
  <c r="AD224" i="2"/>
  <c r="AC224" i="2"/>
  <c r="AB224" i="2"/>
  <c r="AA224" i="2"/>
  <c r="Z224" i="2"/>
  <c r="V224" i="2"/>
  <c r="U224" i="2"/>
  <c r="T224" i="2"/>
  <c r="S224" i="2" s="1"/>
  <c r="A224" i="2"/>
  <c r="AG223" i="2"/>
  <c r="AE223" i="2"/>
  <c r="AF223" i="2" s="1"/>
  <c r="AC223" i="2"/>
  <c r="Z223" i="2"/>
  <c r="Y223" i="2"/>
  <c r="X223" i="2"/>
  <c r="W223" i="2"/>
  <c r="V223" i="2"/>
  <c r="T223" i="2"/>
  <c r="S223" i="2"/>
  <c r="A223" i="2"/>
  <c r="AG222" i="2"/>
  <c r="AD222" i="2"/>
  <c r="AC222" i="2"/>
  <c r="AB222" i="2"/>
  <c r="AA222" i="2"/>
  <c r="Z222" i="2"/>
  <c r="Y222" i="2"/>
  <c r="T222" i="2"/>
  <c r="A222" i="2"/>
  <c r="AG221" i="2"/>
  <c r="AE221" i="2"/>
  <c r="AF221" i="2" s="1"/>
  <c r="AD221" i="2"/>
  <c r="AC221" i="2"/>
  <c r="AA221" i="2"/>
  <c r="Z221" i="2"/>
  <c r="T221" i="2"/>
  <c r="S221" i="2"/>
  <c r="R221" i="2"/>
  <c r="A221" i="2"/>
  <c r="AG220" i="2"/>
  <c r="AE220" i="2"/>
  <c r="AF220" i="2" s="1"/>
  <c r="T220" i="2"/>
  <c r="S220" i="2" s="1"/>
  <c r="AG219" i="2"/>
  <c r="W219" i="2"/>
  <c r="V219" i="2"/>
  <c r="U219" i="2"/>
  <c r="T219" i="2"/>
  <c r="AG218" i="2"/>
  <c r="AD218" i="2"/>
  <c r="Y218" i="2"/>
  <c r="T218" i="2"/>
  <c r="A218" i="2"/>
  <c r="AG217" i="2"/>
  <c r="Y217" i="2"/>
  <c r="W217" i="2"/>
  <c r="V217" i="2"/>
  <c r="U217" i="2"/>
  <c r="T217" i="2"/>
  <c r="S217" i="2"/>
  <c r="R217" i="2"/>
  <c r="A217" i="2"/>
  <c r="AG216" i="2"/>
  <c r="Y216" i="2"/>
  <c r="X216" i="2"/>
  <c r="W216" i="2"/>
  <c r="V216" i="2"/>
  <c r="U216" i="2"/>
  <c r="T216" i="2"/>
  <c r="S216" i="2"/>
  <c r="AG215" i="2"/>
  <c r="AE215" i="2"/>
  <c r="AF215" i="2" s="1"/>
  <c r="AD215" i="2"/>
  <c r="AC215" i="2"/>
  <c r="AB215" i="2"/>
  <c r="AA215" i="2"/>
  <c r="Z215" i="2"/>
  <c r="Y215" i="2"/>
  <c r="X215" i="2"/>
  <c r="W215" i="2"/>
  <c r="T215" i="2"/>
  <c r="V215" i="2" s="1"/>
  <c r="S215" i="2"/>
  <c r="R215" i="2"/>
  <c r="A215" i="2"/>
  <c r="AG214" i="2"/>
  <c r="AE214" i="2"/>
  <c r="AF214" i="2" s="1"/>
  <c r="AD214" i="2"/>
  <c r="AC214" i="2"/>
  <c r="AB214" i="2"/>
  <c r="Z214" i="2"/>
  <c r="X214" i="2"/>
  <c r="W214" i="2"/>
  <c r="T214" i="2"/>
  <c r="S214" i="2"/>
  <c r="R214" i="2"/>
  <c r="A214" i="2"/>
  <c r="AG213" i="2"/>
  <c r="T213" i="2"/>
  <c r="S213" i="2"/>
  <c r="AG212" i="2"/>
  <c r="Z212" i="2"/>
  <c r="Y212" i="2"/>
  <c r="X212" i="2"/>
  <c r="V212" i="2"/>
  <c r="U212" i="2"/>
  <c r="T212" i="2"/>
  <c r="S212" i="2"/>
  <c r="R212" i="2"/>
  <c r="AG211" i="2"/>
  <c r="AE211" i="2"/>
  <c r="AF211" i="2" s="1"/>
  <c r="AD211" i="2"/>
  <c r="AC211" i="2"/>
  <c r="AA211" i="2"/>
  <c r="Z211" i="2"/>
  <c r="Y211" i="2"/>
  <c r="X211" i="2"/>
  <c r="W211" i="2"/>
  <c r="V211" i="2"/>
  <c r="U211" i="2"/>
  <c r="T211" i="2"/>
  <c r="AB211" i="2" s="1"/>
  <c r="S211" i="2"/>
  <c r="R211" i="2"/>
  <c r="A211" i="2"/>
  <c r="AG210" i="2"/>
  <c r="AE210" i="2"/>
  <c r="AF210" i="2" s="1"/>
  <c r="AD210" i="2"/>
  <c r="AC210" i="2"/>
  <c r="AB210" i="2"/>
  <c r="T210" i="2"/>
  <c r="AG209" i="2"/>
  <c r="AE209" i="2"/>
  <c r="AF209" i="2" s="1"/>
  <c r="Y209" i="2"/>
  <c r="X209" i="2"/>
  <c r="W209" i="2"/>
  <c r="U209" i="2"/>
  <c r="T209" i="2"/>
  <c r="AG208" i="2"/>
  <c r="AD208" i="2"/>
  <c r="AC208" i="2"/>
  <c r="AB208" i="2"/>
  <c r="AA208" i="2"/>
  <c r="Z208" i="2"/>
  <c r="Y208" i="2"/>
  <c r="X208" i="2"/>
  <c r="W208" i="2"/>
  <c r="V208" i="2"/>
  <c r="U208" i="2"/>
  <c r="T208" i="2"/>
  <c r="R208" i="2"/>
  <c r="A208" i="2"/>
  <c r="AG207" i="2"/>
  <c r="AF207" i="2"/>
  <c r="AE207" i="2"/>
  <c r="AD207" i="2"/>
  <c r="AC207" i="2"/>
  <c r="AB207" i="2"/>
  <c r="AA207" i="2"/>
  <c r="Z207" i="2"/>
  <c r="T207" i="2"/>
  <c r="S207" i="2" s="1"/>
  <c r="R207" i="2"/>
  <c r="A207" i="2"/>
  <c r="AG206" i="2"/>
  <c r="AE206" i="2"/>
  <c r="AF206" i="2" s="1"/>
  <c r="AD206" i="2"/>
  <c r="X206" i="2"/>
  <c r="W206" i="2"/>
  <c r="V206" i="2"/>
  <c r="U206" i="2"/>
  <c r="T206" i="2"/>
  <c r="S206" i="2" s="1"/>
  <c r="R206" i="2"/>
  <c r="AG205" i="2"/>
  <c r="T205" i="2"/>
  <c r="AG204" i="2"/>
  <c r="AE204" i="2"/>
  <c r="AF204" i="2" s="1"/>
  <c r="AD204" i="2"/>
  <c r="AC204" i="2"/>
  <c r="AB204" i="2"/>
  <c r="Z204" i="2"/>
  <c r="Y204" i="2"/>
  <c r="X204" i="2"/>
  <c r="T204" i="2"/>
  <c r="AA204" i="2" s="1"/>
  <c r="S204" i="2"/>
  <c r="R204" i="2"/>
  <c r="A204" i="2"/>
  <c r="AG203" i="2"/>
  <c r="AE203" i="2"/>
  <c r="AF203" i="2" s="1"/>
  <c r="AD203" i="2"/>
  <c r="AC203" i="2"/>
  <c r="AB203" i="2"/>
  <c r="AA203" i="2"/>
  <c r="Z203" i="2"/>
  <c r="Y203" i="2"/>
  <c r="X203" i="2"/>
  <c r="W203" i="2"/>
  <c r="V203" i="2"/>
  <c r="U203" i="2"/>
  <c r="T203" i="2"/>
  <c r="S203" i="2"/>
  <c r="R203" i="2"/>
  <c r="A203" i="2"/>
  <c r="AG202" i="2"/>
  <c r="AB202" i="2"/>
  <c r="AA202" i="2"/>
  <c r="Z202" i="2"/>
  <c r="X202" i="2"/>
  <c r="W202" i="2"/>
  <c r="V202" i="2"/>
  <c r="U202" i="2"/>
  <c r="T202" i="2"/>
  <c r="AG201" i="2"/>
  <c r="AE201" i="2"/>
  <c r="AF201" i="2" s="1"/>
  <c r="AC201" i="2"/>
  <c r="AB201" i="2"/>
  <c r="AA201" i="2"/>
  <c r="Z201" i="2"/>
  <c r="Y201" i="2"/>
  <c r="X201" i="2"/>
  <c r="T201" i="2"/>
  <c r="S201" i="2"/>
  <c r="A201" i="2"/>
  <c r="AG200" i="2"/>
  <c r="AE200" i="2"/>
  <c r="AF200" i="2" s="1"/>
  <c r="AD200" i="2"/>
  <c r="T200" i="2"/>
  <c r="AG199" i="2"/>
  <c r="X199" i="2"/>
  <c r="T199" i="2"/>
  <c r="S199" i="2"/>
  <c r="AG198" i="2"/>
  <c r="AE198" i="2"/>
  <c r="AF198" i="2" s="1"/>
  <c r="AD198" i="2"/>
  <c r="AC198" i="2"/>
  <c r="AB198" i="2"/>
  <c r="AA198" i="2"/>
  <c r="Z198" i="2"/>
  <c r="Y198" i="2"/>
  <c r="X198" i="2"/>
  <c r="T198" i="2"/>
  <c r="U198" i="2" s="1"/>
  <c r="S198" i="2"/>
  <c r="R198" i="2"/>
  <c r="A198" i="2"/>
  <c r="AG197" i="2"/>
  <c r="AD197" i="2"/>
  <c r="AC197" i="2"/>
  <c r="AB197" i="2"/>
  <c r="V197" i="2"/>
  <c r="U197" i="2"/>
  <c r="T197" i="2"/>
  <c r="S197" i="2"/>
  <c r="R197" i="2"/>
  <c r="AG196" i="2"/>
  <c r="Y196" i="2"/>
  <c r="X196" i="2"/>
  <c r="W196" i="2"/>
  <c r="V196" i="2"/>
  <c r="U196" i="2"/>
  <c r="T196" i="2"/>
  <c r="R196" i="2"/>
  <c r="AG195" i="2"/>
  <c r="AE195" i="2"/>
  <c r="AF195" i="2" s="1"/>
  <c r="AD195" i="2"/>
  <c r="AC195" i="2"/>
  <c r="AB195" i="2"/>
  <c r="AA195" i="2"/>
  <c r="Z195" i="2"/>
  <c r="Y195" i="2"/>
  <c r="W195" i="2"/>
  <c r="V195" i="2"/>
  <c r="U195" i="2"/>
  <c r="T195" i="2"/>
  <c r="X195" i="2" s="1"/>
  <c r="S195" i="2"/>
  <c r="R195" i="2"/>
  <c r="A195" i="2"/>
  <c r="AG194" i="2"/>
  <c r="AE194" i="2"/>
  <c r="AF194" i="2" s="1"/>
  <c r="AD194" i="2"/>
  <c r="AB194" i="2"/>
  <c r="AA194" i="2"/>
  <c r="Z194" i="2"/>
  <c r="T194" i="2"/>
  <c r="AG193" i="2"/>
  <c r="AD193" i="2"/>
  <c r="Z193" i="2"/>
  <c r="Y193" i="2"/>
  <c r="X193" i="2"/>
  <c r="U193" i="2"/>
  <c r="T193" i="2"/>
  <c r="AG192" i="2"/>
  <c r="AE192" i="2"/>
  <c r="AF192" i="2" s="1"/>
  <c r="AD192" i="2"/>
  <c r="AC192" i="2"/>
  <c r="AB192" i="2"/>
  <c r="Z192" i="2"/>
  <c r="Y192" i="2"/>
  <c r="X192" i="2"/>
  <c r="W192" i="2"/>
  <c r="V192" i="2"/>
  <c r="U192" i="2"/>
  <c r="T192" i="2"/>
  <c r="AA192" i="2" s="1"/>
  <c r="R192" i="2"/>
  <c r="A192" i="2"/>
  <c r="AG191" i="2"/>
  <c r="AE191" i="2"/>
  <c r="AF191" i="2" s="1"/>
  <c r="AD191" i="2"/>
  <c r="AC191" i="2"/>
  <c r="AB191" i="2"/>
  <c r="AA191" i="2"/>
  <c r="Z191" i="2"/>
  <c r="Y191" i="2"/>
  <c r="X191" i="2"/>
  <c r="W191" i="2"/>
  <c r="V191" i="2"/>
  <c r="U191" i="2"/>
  <c r="T191" i="2"/>
  <c r="S191" i="2"/>
  <c r="R191" i="2"/>
  <c r="A191" i="2"/>
  <c r="AG190" i="2"/>
  <c r="AE190" i="2"/>
  <c r="AF190" i="2" s="1"/>
  <c r="V190" i="2"/>
  <c r="U190" i="2"/>
  <c r="T190" i="2"/>
  <c r="S190" i="2"/>
  <c r="R190" i="2"/>
  <c r="AG189" i="2"/>
  <c r="AE189" i="2"/>
  <c r="AF189" i="2" s="1"/>
  <c r="AD189" i="2"/>
  <c r="AC189" i="2"/>
  <c r="AB189" i="2"/>
  <c r="AA189" i="2"/>
  <c r="Z189" i="2"/>
  <c r="Y189" i="2"/>
  <c r="X189" i="2"/>
  <c r="W189" i="2"/>
  <c r="V189" i="2"/>
  <c r="U189" i="2"/>
  <c r="T189" i="2"/>
  <c r="S189" i="2"/>
  <c r="R189" i="2"/>
  <c r="A189" i="2"/>
  <c r="AG188" i="2"/>
  <c r="AE188" i="2"/>
  <c r="AF188" i="2" s="1"/>
  <c r="AD188" i="2"/>
  <c r="AC188" i="2"/>
  <c r="AB188" i="2"/>
  <c r="AA188" i="2"/>
  <c r="X188" i="2"/>
  <c r="W188" i="2"/>
  <c r="V188" i="2"/>
  <c r="U188" i="2"/>
  <c r="T188" i="2"/>
  <c r="S188" i="2"/>
  <c r="R188" i="2"/>
  <c r="A188" i="2"/>
  <c r="AG187" i="2"/>
  <c r="AC187" i="2"/>
  <c r="AB187" i="2"/>
  <c r="Z187" i="2"/>
  <c r="Y187" i="2"/>
  <c r="T187" i="2"/>
  <c r="A187" i="2"/>
  <c r="AG186" i="2"/>
  <c r="U186" i="2"/>
  <c r="T186" i="2"/>
  <c r="R186" i="2" s="1"/>
  <c r="A186" i="2"/>
  <c r="AG185" i="2"/>
  <c r="W185" i="2"/>
  <c r="V185" i="2"/>
  <c r="U185" i="2"/>
  <c r="T185" i="2"/>
  <c r="R185" i="2"/>
  <c r="AG184" i="2"/>
  <c r="AB184" i="2"/>
  <c r="AA184" i="2"/>
  <c r="T184" i="2"/>
  <c r="S184" i="2"/>
  <c r="AG183" i="2"/>
  <c r="AE183" i="2"/>
  <c r="AF183" i="2" s="1"/>
  <c r="AD183" i="2"/>
  <c r="AC183" i="2"/>
  <c r="AB183" i="2"/>
  <c r="Y183" i="2"/>
  <c r="X183" i="2"/>
  <c r="W183" i="2"/>
  <c r="V183" i="2"/>
  <c r="U183" i="2"/>
  <c r="T183" i="2"/>
  <c r="S183" i="2"/>
  <c r="R183" i="2"/>
  <c r="A183" i="2"/>
  <c r="AG182" i="2"/>
  <c r="AD182" i="2"/>
  <c r="AC182" i="2"/>
  <c r="AB182" i="2"/>
  <c r="AA182" i="2"/>
  <c r="Z182" i="2"/>
  <c r="Y182" i="2"/>
  <c r="X182" i="2"/>
  <c r="W182" i="2"/>
  <c r="V182" i="2"/>
  <c r="U182" i="2"/>
  <c r="T182" i="2"/>
  <c r="AE182" i="2" s="1"/>
  <c r="AF182" i="2" s="1"/>
  <c r="R182" i="2"/>
  <c r="A182" i="2"/>
  <c r="AG181" i="2"/>
  <c r="AD181" i="2"/>
  <c r="T181" i="2"/>
  <c r="S181" i="2"/>
  <c r="R181" i="2"/>
  <c r="AG180" i="2"/>
  <c r="Y180" i="2"/>
  <c r="X180" i="2"/>
  <c r="W180" i="2"/>
  <c r="V180" i="2"/>
  <c r="U180" i="2"/>
  <c r="T180" i="2"/>
  <c r="S180" i="2"/>
  <c r="R180" i="2"/>
  <c r="AG179" i="2"/>
  <c r="AC179" i="2"/>
  <c r="AB179" i="2"/>
  <c r="AA179" i="2"/>
  <c r="Z179" i="2"/>
  <c r="Y179" i="2"/>
  <c r="X179" i="2"/>
  <c r="W179" i="2"/>
  <c r="U179" i="2"/>
  <c r="T179" i="2"/>
  <c r="V179" i="2" s="1"/>
  <c r="AG178" i="2"/>
  <c r="AE178" i="2"/>
  <c r="AF178" i="2" s="1"/>
  <c r="AD178" i="2"/>
  <c r="AC178" i="2"/>
  <c r="Z178" i="2"/>
  <c r="Y178" i="2"/>
  <c r="T178" i="2"/>
  <c r="S178" i="2"/>
  <c r="R178" i="2"/>
  <c r="AG177" i="2"/>
  <c r="AE177" i="2"/>
  <c r="AF177" i="2" s="1"/>
  <c r="AD177" i="2"/>
  <c r="AC177" i="2"/>
  <c r="AB177" i="2"/>
  <c r="AA177" i="2"/>
  <c r="Z177" i="2"/>
  <c r="Y177" i="2"/>
  <c r="X177" i="2"/>
  <c r="W177" i="2"/>
  <c r="V177" i="2"/>
  <c r="U177" i="2"/>
  <c r="T177" i="2"/>
  <c r="S177" i="2"/>
  <c r="R177" i="2"/>
  <c r="A177" i="2"/>
  <c r="AG176" i="2"/>
  <c r="AC176" i="2"/>
  <c r="AB176" i="2"/>
  <c r="AA176" i="2"/>
  <c r="Z176" i="2"/>
  <c r="X176" i="2"/>
  <c r="W176" i="2"/>
  <c r="V176" i="2"/>
  <c r="U176" i="2"/>
  <c r="T176" i="2"/>
  <c r="Y176" i="2" s="1"/>
  <c r="AG175" i="2"/>
  <c r="AB175" i="2"/>
  <c r="T175" i="2"/>
  <c r="S175" i="2"/>
  <c r="AG174" i="2"/>
  <c r="AC174" i="2"/>
  <c r="X174" i="2"/>
  <c r="V174" i="2"/>
  <c r="T174" i="2"/>
  <c r="A174" i="2"/>
  <c r="AG173" i="2"/>
  <c r="W173" i="2"/>
  <c r="T173" i="2"/>
  <c r="AG172" i="2"/>
  <c r="AF172" i="2"/>
  <c r="AE172" i="2"/>
  <c r="AD172" i="2"/>
  <c r="AC172" i="2"/>
  <c r="AB172" i="2"/>
  <c r="AA172" i="2"/>
  <c r="Z172" i="2"/>
  <c r="Y172" i="2"/>
  <c r="T172" i="2"/>
  <c r="U172" i="2" s="1"/>
  <c r="S172" i="2"/>
  <c r="R172" i="2"/>
  <c r="A172" i="2"/>
  <c r="AG171" i="2"/>
  <c r="AD171" i="2"/>
  <c r="AC171" i="2"/>
  <c r="T171" i="2"/>
  <c r="S171" i="2"/>
  <c r="A171" i="2"/>
  <c r="AG170" i="2"/>
  <c r="AA170" i="2"/>
  <c r="Z170" i="2"/>
  <c r="Y170" i="2"/>
  <c r="X170" i="2"/>
  <c r="W170" i="2"/>
  <c r="T170" i="2"/>
  <c r="AG169" i="2"/>
  <c r="AE169" i="2"/>
  <c r="AF169" i="2" s="1"/>
  <c r="AD169" i="2"/>
  <c r="AC169" i="2"/>
  <c r="AB169" i="2"/>
  <c r="AA169" i="2"/>
  <c r="Z169" i="2"/>
  <c r="Y169" i="2"/>
  <c r="W169" i="2"/>
  <c r="T169" i="2"/>
  <c r="X169" i="2" s="1"/>
  <c r="R169" i="2"/>
  <c r="A169" i="2"/>
  <c r="AG168" i="2"/>
  <c r="AE168" i="2"/>
  <c r="AF168" i="2" s="1"/>
  <c r="AB168" i="2"/>
  <c r="AA168" i="2"/>
  <c r="V168" i="2"/>
  <c r="U168" i="2"/>
  <c r="T168" i="2"/>
  <c r="S168" i="2"/>
  <c r="R168" i="2"/>
  <c r="AG167" i="2"/>
  <c r="AE167" i="2"/>
  <c r="AF167" i="2" s="1"/>
  <c r="Z167" i="2"/>
  <c r="Y167" i="2"/>
  <c r="X167" i="2"/>
  <c r="W167" i="2"/>
  <c r="U167" i="2"/>
  <c r="T167" i="2"/>
  <c r="V167" i="2" s="1"/>
  <c r="S167" i="2"/>
  <c r="R167" i="2"/>
  <c r="AG166" i="2"/>
  <c r="AD166" i="2"/>
  <c r="AC166" i="2"/>
  <c r="AB166" i="2"/>
  <c r="AA166" i="2"/>
  <c r="Z166" i="2"/>
  <c r="Y166" i="2"/>
  <c r="X166" i="2"/>
  <c r="W166" i="2"/>
  <c r="T166" i="2"/>
  <c r="V166" i="2" s="1"/>
  <c r="R166" i="2"/>
  <c r="A166" i="2"/>
  <c r="AG165" i="2"/>
  <c r="T165" i="2"/>
  <c r="S165" i="2" s="1"/>
  <c r="AG164" i="2"/>
  <c r="AD164" i="2"/>
  <c r="AC164" i="2"/>
  <c r="AB164" i="2"/>
  <c r="AA164" i="2"/>
  <c r="Z164" i="2"/>
  <c r="Y164" i="2"/>
  <c r="X164" i="2"/>
  <c r="W164" i="2"/>
  <c r="V164" i="2"/>
  <c r="U164" i="2"/>
  <c r="T164" i="2"/>
  <c r="AE164" i="2" s="1"/>
  <c r="AF164" i="2" s="1"/>
  <c r="R164" i="2"/>
  <c r="A164" i="2"/>
  <c r="AG163" i="2"/>
  <c r="U163" i="2"/>
  <c r="T163" i="2"/>
  <c r="R163" i="2" s="1"/>
  <c r="A163" i="2"/>
  <c r="AG162" i="2"/>
  <c r="Y162" i="2"/>
  <c r="X162" i="2"/>
  <c r="W162" i="2"/>
  <c r="T162" i="2"/>
  <c r="AG161" i="2"/>
  <c r="AE161" i="2"/>
  <c r="AF161" i="2" s="1"/>
  <c r="AD161" i="2"/>
  <c r="AC161" i="2"/>
  <c r="AB161" i="2"/>
  <c r="AA161" i="2"/>
  <c r="Z161" i="2"/>
  <c r="Y161" i="2"/>
  <c r="X161" i="2"/>
  <c r="T161" i="2"/>
  <c r="W161" i="2" s="1"/>
  <c r="S161" i="2"/>
  <c r="R161" i="2"/>
  <c r="A161" i="2"/>
  <c r="AG160" i="2"/>
  <c r="W160" i="2"/>
  <c r="T160" i="2"/>
  <c r="R160" i="2"/>
  <c r="AG159" i="2"/>
  <c r="AE159" i="2"/>
  <c r="AF159" i="2" s="1"/>
  <c r="AD159" i="2"/>
  <c r="AC159" i="2"/>
  <c r="AB159" i="2"/>
  <c r="AA159" i="2"/>
  <c r="Z159" i="2"/>
  <c r="Y159" i="2"/>
  <c r="X159" i="2"/>
  <c r="W159" i="2"/>
  <c r="V159" i="2"/>
  <c r="U159" i="2"/>
  <c r="T159" i="2"/>
  <c r="S159" i="2"/>
  <c r="R159" i="2"/>
  <c r="A159" i="2"/>
  <c r="AG158" i="2"/>
  <c r="AB158" i="2"/>
  <c r="T158" i="2"/>
  <c r="S158" i="2"/>
  <c r="AG157" i="2"/>
  <c r="Z157" i="2"/>
  <c r="Y157" i="2"/>
  <c r="X157" i="2"/>
  <c r="W157" i="2"/>
  <c r="U157" i="2"/>
  <c r="T157" i="2"/>
  <c r="AG156" i="2"/>
  <c r="T156" i="2"/>
  <c r="S156" i="2" s="1"/>
  <c r="AG155" i="2"/>
  <c r="AE155" i="2"/>
  <c r="AF155" i="2" s="1"/>
  <c r="AD155" i="2"/>
  <c r="Y155" i="2"/>
  <c r="X155" i="2"/>
  <c r="W155" i="2"/>
  <c r="V155" i="2"/>
  <c r="U155" i="2"/>
  <c r="T155" i="2"/>
  <c r="AC155" i="2" s="1"/>
  <c r="S155" i="2"/>
  <c r="R155" i="2"/>
  <c r="AG154" i="2"/>
  <c r="AD154" i="2"/>
  <c r="AC154" i="2"/>
  <c r="AB154" i="2"/>
  <c r="AA154" i="2"/>
  <c r="Z154" i="2"/>
  <c r="Y154" i="2"/>
  <c r="X154" i="2"/>
  <c r="W154" i="2"/>
  <c r="T154" i="2"/>
  <c r="V154" i="2" s="1"/>
  <c r="R154" i="2"/>
  <c r="A154" i="2"/>
  <c r="AG153" i="2"/>
  <c r="AF153" i="2"/>
  <c r="AE153" i="2"/>
  <c r="T153" i="2"/>
  <c r="S153" i="2"/>
  <c r="A153" i="2"/>
  <c r="AG152" i="2"/>
  <c r="AD152" i="2"/>
  <c r="AC152" i="2"/>
  <c r="AB152" i="2"/>
  <c r="AA152" i="2"/>
  <c r="Z152" i="2"/>
  <c r="Y152" i="2"/>
  <c r="X152" i="2"/>
  <c r="W152" i="2"/>
  <c r="V152" i="2"/>
  <c r="U152" i="2"/>
  <c r="T152" i="2"/>
  <c r="AE152" i="2" s="1"/>
  <c r="AF152" i="2" s="1"/>
  <c r="R152" i="2"/>
  <c r="A152" i="2"/>
  <c r="AG151" i="2"/>
  <c r="U151" i="2"/>
  <c r="T151" i="2"/>
  <c r="AG150" i="2"/>
  <c r="W150" i="2"/>
  <c r="T150" i="2"/>
  <c r="S150" i="2"/>
  <c r="AG149" i="2"/>
  <c r="AE149" i="2"/>
  <c r="AF149" i="2" s="1"/>
  <c r="AD149" i="2"/>
  <c r="AC149" i="2"/>
  <c r="AB149" i="2"/>
  <c r="AA149" i="2"/>
  <c r="Z149" i="2"/>
  <c r="Y149" i="2"/>
  <c r="X149" i="2"/>
  <c r="T149" i="2"/>
  <c r="W149" i="2" s="1"/>
  <c r="S149" i="2"/>
  <c r="R149" i="2"/>
  <c r="A149" i="2"/>
  <c r="AG148" i="2"/>
  <c r="AD148" i="2"/>
  <c r="U148" i="2"/>
  <c r="T148" i="2"/>
  <c r="R148" i="2"/>
  <c r="A148" i="2"/>
  <c r="AG147" i="2"/>
  <c r="AE147" i="2"/>
  <c r="AF147" i="2" s="1"/>
  <c r="AD147" i="2"/>
  <c r="AC147" i="2"/>
  <c r="AB147" i="2"/>
  <c r="AA147" i="2"/>
  <c r="Z147" i="2"/>
  <c r="Y147" i="2"/>
  <c r="X147" i="2"/>
  <c r="W147" i="2"/>
  <c r="V147" i="2"/>
  <c r="U147" i="2"/>
  <c r="T147" i="2"/>
  <c r="S147" i="2"/>
  <c r="R147" i="2"/>
  <c r="A147" i="2"/>
  <c r="AG146" i="2"/>
  <c r="AB146" i="2"/>
  <c r="AA146" i="2"/>
  <c r="V146" i="2"/>
  <c r="U146" i="2"/>
  <c r="T146" i="2"/>
  <c r="R146" i="2"/>
  <c r="AG145" i="2"/>
  <c r="X145" i="2"/>
  <c r="T145" i="2"/>
  <c r="AG144" i="2"/>
  <c r="AD144" i="2"/>
  <c r="T144" i="2"/>
  <c r="AG143" i="2"/>
  <c r="AE143" i="2"/>
  <c r="AF143" i="2" s="1"/>
  <c r="AD143" i="2"/>
  <c r="Y143" i="2"/>
  <c r="X143" i="2"/>
  <c r="W143" i="2"/>
  <c r="V143" i="2"/>
  <c r="U143" i="2"/>
  <c r="T143" i="2"/>
  <c r="AC143" i="2" s="1"/>
  <c r="S143" i="2"/>
  <c r="R143" i="2"/>
  <c r="AG142" i="2"/>
  <c r="AD142" i="2"/>
  <c r="AC142" i="2"/>
  <c r="AB142" i="2"/>
  <c r="AA142" i="2"/>
  <c r="Z142" i="2"/>
  <c r="Y142" i="2"/>
  <c r="X142" i="2"/>
  <c r="W142" i="2"/>
  <c r="T142" i="2"/>
  <c r="V142" i="2" s="1"/>
  <c r="R142" i="2"/>
  <c r="A142" i="2"/>
  <c r="AG141" i="2"/>
  <c r="AF141" i="2"/>
  <c r="AE141" i="2"/>
  <c r="AC141" i="2"/>
  <c r="AB141" i="2"/>
  <c r="T141" i="2"/>
  <c r="S141" i="2"/>
  <c r="A141" i="2"/>
  <c r="AG140" i="2"/>
  <c r="AD140" i="2"/>
  <c r="AC140" i="2"/>
  <c r="AB140" i="2"/>
  <c r="AA140" i="2"/>
  <c r="Z140" i="2"/>
  <c r="Y140" i="2"/>
  <c r="X140" i="2"/>
  <c r="W140" i="2"/>
  <c r="V140" i="2"/>
  <c r="U140" i="2"/>
  <c r="T140" i="2"/>
  <c r="AE140" i="2" s="1"/>
  <c r="AF140" i="2" s="1"/>
  <c r="R140" i="2"/>
  <c r="A140" i="2"/>
  <c r="AG139" i="2"/>
  <c r="T139" i="2"/>
  <c r="S139" i="2"/>
  <c r="R139" i="2"/>
  <c r="A139" i="2"/>
  <c r="AG138" i="2"/>
  <c r="AE138" i="2"/>
  <c r="AF138" i="2" s="1"/>
  <c r="T138" i="2"/>
  <c r="S138" i="2" s="1"/>
  <c r="AG137" i="2"/>
  <c r="AE137" i="2"/>
  <c r="AF137" i="2" s="1"/>
  <c r="AD137" i="2"/>
  <c r="AC137" i="2"/>
  <c r="AB137" i="2"/>
  <c r="AA137" i="2"/>
  <c r="Z137" i="2"/>
  <c r="Y137" i="2"/>
  <c r="X137" i="2"/>
  <c r="U137" i="2"/>
  <c r="T137" i="2"/>
  <c r="W137" i="2" s="1"/>
  <c r="S137" i="2"/>
  <c r="R137" i="2"/>
  <c r="A137" i="2"/>
  <c r="AG136" i="2"/>
  <c r="AC136" i="2"/>
  <c r="T136" i="2"/>
  <c r="R136" i="2"/>
  <c r="A136" i="2"/>
  <c r="AG135" i="2"/>
  <c r="AE135" i="2"/>
  <c r="AF135" i="2" s="1"/>
  <c r="AD135" i="2"/>
  <c r="AC135" i="2"/>
  <c r="AB135" i="2"/>
  <c r="AA135" i="2"/>
  <c r="Z135" i="2"/>
  <c r="Y135" i="2"/>
  <c r="X135" i="2"/>
  <c r="W135" i="2"/>
  <c r="V135" i="2"/>
  <c r="U135" i="2"/>
  <c r="T135" i="2"/>
  <c r="S135" i="2"/>
  <c r="R135" i="2"/>
  <c r="A135" i="2"/>
  <c r="AG134" i="2"/>
  <c r="T134" i="2"/>
  <c r="S134" i="2" s="1"/>
  <c r="AG133" i="2"/>
  <c r="W133" i="2"/>
  <c r="T133" i="2"/>
  <c r="AG132" i="2"/>
  <c r="AF132" i="2"/>
  <c r="AE132" i="2"/>
  <c r="AD132" i="2"/>
  <c r="AC132" i="2"/>
  <c r="T132" i="2"/>
  <c r="S132" i="2"/>
  <c r="R132" i="2"/>
  <c r="A132" i="2"/>
  <c r="AG131" i="2"/>
  <c r="AE131" i="2"/>
  <c r="AF131" i="2" s="1"/>
  <c r="AD131" i="2"/>
  <c r="Y131" i="2"/>
  <c r="X131" i="2"/>
  <c r="W131" i="2"/>
  <c r="V131" i="2"/>
  <c r="U131" i="2"/>
  <c r="T131" i="2"/>
  <c r="AC131" i="2" s="1"/>
  <c r="S131" i="2"/>
  <c r="R131" i="2"/>
  <c r="AG130" i="2"/>
  <c r="AD130" i="2"/>
  <c r="AC130" i="2"/>
  <c r="AB130" i="2"/>
  <c r="AA130" i="2"/>
  <c r="Z130" i="2"/>
  <c r="Y130" i="2"/>
  <c r="X130" i="2"/>
  <c r="W130" i="2"/>
  <c r="T130" i="2"/>
  <c r="V130" i="2" s="1"/>
  <c r="R130" i="2"/>
  <c r="A130" i="2"/>
  <c r="AG129" i="2"/>
  <c r="AF129" i="2"/>
  <c r="AE129" i="2"/>
  <c r="AC129" i="2"/>
  <c r="AB129" i="2"/>
  <c r="W129" i="2"/>
  <c r="T129" i="2"/>
  <c r="S129" i="2"/>
  <c r="A129" i="2"/>
  <c r="AG128" i="2"/>
  <c r="AD128" i="2"/>
  <c r="AC128" i="2"/>
  <c r="AB128" i="2"/>
  <c r="AA128" i="2"/>
  <c r="Z128" i="2"/>
  <c r="Y128" i="2"/>
  <c r="X128" i="2"/>
  <c r="W128" i="2"/>
  <c r="V128" i="2"/>
  <c r="U128" i="2"/>
  <c r="T128" i="2"/>
  <c r="AE128" i="2" s="1"/>
  <c r="AF128" i="2" s="1"/>
  <c r="R128" i="2"/>
  <c r="A128" i="2"/>
  <c r="AG127" i="2"/>
  <c r="AF127" i="2"/>
  <c r="AE127" i="2"/>
  <c r="AD127" i="2"/>
  <c r="AC127" i="2"/>
  <c r="T127" i="2"/>
  <c r="S127" i="2"/>
  <c r="R127" i="2"/>
  <c r="A127" i="2"/>
  <c r="AG126" i="2"/>
  <c r="AF126" i="2"/>
  <c r="AE126" i="2"/>
  <c r="Z126" i="2"/>
  <c r="Y126" i="2"/>
  <c r="T126" i="2"/>
  <c r="S126" i="2"/>
  <c r="AG125" i="2"/>
  <c r="AE125" i="2"/>
  <c r="AF125" i="2" s="1"/>
  <c r="AD125" i="2"/>
  <c r="AC125" i="2"/>
  <c r="AB125" i="2"/>
  <c r="AA125" i="2"/>
  <c r="Z125" i="2"/>
  <c r="Y125" i="2"/>
  <c r="X125" i="2"/>
  <c r="T125" i="2"/>
  <c r="W125" i="2" s="1"/>
  <c r="S125" i="2"/>
  <c r="R125" i="2"/>
  <c r="A125" i="2"/>
  <c r="AG124" i="2"/>
  <c r="AD124" i="2"/>
  <c r="AC124" i="2"/>
  <c r="X124" i="2"/>
  <c r="W124" i="2"/>
  <c r="T124" i="2"/>
  <c r="S124" i="2"/>
  <c r="R124" i="2"/>
  <c r="A124" i="2"/>
  <c r="AG123" i="2"/>
  <c r="AE123" i="2"/>
  <c r="AF123" i="2" s="1"/>
  <c r="AD123" i="2"/>
  <c r="AC123" i="2"/>
  <c r="AB123" i="2"/>
  <c r="AA123" i="2"/>
  <c r="Z123" i="2"/>
  <c r="Y123" i="2"/>
  <c r="X123" i="2"/>
  <c r="W123" i="2"/>
  <c r="V123" i="2"/>
  <c r="U123" i="2"/>
  <c r="T123" i="2"/>
  <c r="S123" i="2"/>
  <c r="R123" i="2"/>
  <c r="A123" i="2"/>
  <c r="AG122" i="2"/>
  <c r="V122" i="2"/>
  <c r="T122" i="2"/>
  <c r="S122" i="2"/>
  <c r="A122" i="2"/>
  <c r="AG121" i="2"/>
  <c r="X121" i="2"/>
  <c r="W121" i="2"/>
  <c r="V121" i="2"/>
  <c r="U121" i="2"/>
  <c r="T121" i="2"/>
  <c r="AG120" i="2"/>
  <c r="AF120" i="2"/>
  <c r="AE120" i="2"/>
  <c r="Z120" i="2"/>
  <c r="Y120" i="2"/>
  <c r="U120" i="2"/>
  <c r="T120" i="2"/>
  <c r="S120" i="2"/>
  <c r="A120" i="2"/>
  <c r="AG119" i="2"/>
  <c r="Y119" i="2"/>
  <c r="X119" i="2"/>
  <c r="W119" i="2"/>
  <c r="V119" i="2"/>
  <c r="U119" i="2"/>
  <c r="T119" i="2"/>
  <c r="S119" i="2"/>
  <c r="R119" i="2"/>
  <c r="AG118" i="2"/>
  <c r="AE118" i="2"/>
  <c r="AF118" i="2" s="1"/>
  <c r="AD118" i="2"/>
  <c r="AC118" i="2"/>
  <c r="AB118" i="2"/>
  <c r="AA118" i="2"/>
  <c r="Z118" i="2"/>
  <c r="Y118" i="2"/>
  <c r="X118" i="2"/>
  <c r="W118" i="2"/>
  <c r="T118" i="2"/>
  <c r="V118" i="2" s="1"/>
  <c r="S118" i="2"/>
  <c r="R118" i="2"/>
  <c r="A118" i="2"/>
  <c r="AG117" i="2"/>
  <c r="AE117" i="2"/>
  <c r="AF117" i="2" s="1"/>
  <c r="AD117" i="2"/>
  <c r="AC117" i="2"/>
  <c r="AB117" i="2"/>
  <c r="Y117" i="2"/>
  <c r="X117" i="2"/>
  <c r="W117" i="2"/>
  <c r="V117" i="2"/>
  <c r="T117" i="2"/>
  <c r="S117" i="2"/>
  <c r="R117" i="2"/>
  <c r="A117" i="2"/>
  <c r="AG116" i="2"/>
  <c r="AD116" i="2"/>
  <c r="AC116" i="2"/>
  <c r="AB116" i="2"/>
  <c r="AA116" i="2"/>
  <c r="Z116" i="2"/>
  <c r="Y116" i="2"/>
  <c r="X116" i="2"/>
  <c r="W116" i="2"/>
  <c r="V116" i="2"/>
  <c r="U116" i="2"/>
  <c r="T116" i="2"/>
  <c r="AE116" i="2" s="1"/>
  <c r="AF116" i="2" s="1"/>
  <c r="R116" i="2"/>
  <c r="A116" i="2"/>
  <c r="AG115" i="2"/>
  <c r="AD115" i="2"/>
  <c r="T115" i="2"/>
  <c r="S115" i="2" s="1"/>
  <c r="AG114" i="2"/>
  <c r="Y114" i="2"/>
  <c r="X114" i="2"/>
  <c r="W114" i="2"/>
  <c r="V114" i="2"/>
  <c r="U114" i="2"/>
  <c r="T114" i="2"/>
  <c r="S114" i="2"/>
  <c r="AG113" i="2"/>
  <c r="AB113" i="2"/>
  <c r="AA113" i="2"/>
  <c r="Z113" i="2"/>
  <c r="Y113" i="2"/>
  <c r="X113" i="2"/>
  <c r="T113" i="2"/>
  <c r="S113" i="2"/>
  <c r="AG112" i="2"/>
  <c r="AE112" i="2"/>
  <c r="AF112" i="2" s="1"/>
  <c r="AD112" i="2"/>
  <c r="AC112" i="2"/>
  <c r="Z112" i="2"/>
  <c r="Y112" i="2"/>
  <c r="X112" i="2"/>
  <c r="W112" i="2"/>
  <c r="V112" i="2"/>
  <c r="T112" i="2"/>
  <c r="S112" i="2"/>
  <c r="R112" i="2"/>
  <c r="A112" i="2"/>
  <c r="AG111" i="2"/>
  <c r="AE111" i="2"/>
  <c r="AF111" i="2" s="1"/>
  <c r="AD111" i="2"/>
  <c r="AC111" i="2"/>
  <c r="AB111" i="2"/>
  <c r="AA111" i="2"/>
  <c r="Z111" i="2"/>
  <c r="Y111" i="2"/>
  <c r="X111" i="2"/>
  <c r="W111" i="2"/>
  <c r="V111" i="2"/>
  <c r="U111" i="2"/>
  <c r="T111" i="2"/>
  <c r="S111" i="2"/>
  <c r="R111" i="2"/>
  <c r="A111" i="2"/>
  <c r="AG110" i="2"/>
  <c r="T110" i="2"/>
  <c r="R110" i="2" s="1"/>
  <c r="AG109" i="2"/>
  <c r="AA109" i="2"/>
  <c r="Z109" i="2"/>
  <c r="Y109" i="2"/>
  <c r="X109" i="2"/>
  <c r="W109" i="2"/>
  <c r="U109" i="2"/>
  <c r="T109" i="2"/>
  <c r="AG108" i="2"/>
  <c r="AE108" i="2"/>
  <c r="AF108" i="2" s="1"/>
  <c r="AD108" i="2"/>
  <c r="AC108" i="2"/>
  <c r="AB108" i="2"/>
  <c r="AA108" i="2"/>
  <c r="Z108" i="2"/>
  <c r="Y108" i="2"/>
  <c r="V108" i="2"/>
  <c r="U108" i="2"/>
  <c r="T108" i="2"/>
  <c r="S108" i="2"/>
  <c r="R108" i="2"/>
  <c r="A108" i="2"/>
  <c r="AG107" i="2"/>
  <c r="AE107" i="2"/>
  <c r="AF107" i="2" s="1"/>
  <c r="AD107" i="2"/>
  <c r="AA107" i="2"/>
  <c r="Z107" i="2"/>
  <c r="Y107" i="2"/>
  <c r="X107" i="2"/>
  <c r="T107" i="2"/>
  <c r="S107" i="2"/>
  <c r="R107" i="2"/>
  <c r="AG106" i="2"/>
  <c r="AC106" i="2"/>
  <c r="AB106" i="2"/>
  <c r="T106" i="2"/>
  <c r="S106" i="2" s="1"/>
  <c r="AG105" i="2"/>
  <c r="AE105" i="2"/>
  <c r="AF105" i="2" s="1"/>
  <c r="X105" i="2"/>
  <c r="W105" i="2"/>
  <c r="V105" i="2"/>
  <c r="U105" i="2"/>
  <c r="T105" i="2"/>
  <c r="R105" i="2"/>
  <c r="A105" i="2"/>
  <c r="AG104" i="2"/>
  <c r="AD104" i="2"/>
  <c r="AC104" i="2"/>
  <c r="AB104" i="2"/>
  <c r="AA104" i="2"/>
  <c r="Z104" i="2"/>
  <c r="Y104" i="2"/>
  <c r="X104" i="2"/>
  <c r="W104" i="2"/>
  <c r="V104" i="2"/>
  <c r="U104" i="2"/>
  <c r="T104" i="2"/>
  <c r="AE104" i="2" s="1"/>
  <c r="AF104" i="2" s="1"/>
  <c r="R104" i="2"/>
  <c r="A104" i="2"/>
  <c r="AG103" i="2"/>
  <c r="AE103" i="2"/>
  <c r="AF103" i="2" s="1"/>
  <c r="AD103" i="2"/>
  <c r="AC103" i="2"/>
  <c r="AB103" i="2"/>
  <c r="AA103" i="2"/>
  <c r="Z103" i="2"/>
  <c r="W103" i="2"/>
  <c r="V103" i="2"/>
  <c r="T103" i="2"/>
  <c r="S103" i="2"/>
  <c r="R103" i="2"/>
  <c r="A103" i="2"/>
  <c r="AG102" i="2"/>
  <c r="AF102" i="2"/>
  <c r="AE102" i="2"/>
  <c r="AB102" i="2"/>
  <c r="Z102" i="2"/>
  <c r="Y102" i="2"/>
  <c r="T102" i="2"/>
  <c r="S102" i="2"/>
  <c r="AG101" i="2"/>
  <c r="U101" i="2"/>
  <c r="T101" i="2"/>
  <c r="S101" i="2"/>
  <c r="R101" i="2"/>
  <c r="A101" i="2"/>
  <c r="AG100" i="2"/>
  <c r="T100" i="2"/>
  <c r="R100" i="2" s="1"/>
  <c r="AG99" i="2"/>
  <c r="AE99" i="2"/>
  <c r="AF99" i="2" s="1"/>
  <c r="AD99" i="2"/>
  <c r="AC99" i="2"/>
  <c r="AB99" i="2"/>
  <c r="AA99" i="2"/>
  <c r="Z99" i="2"/>
  <c r="Y99" i="2"/>
  <c r="X99" i="2"/>
  <c r="W99" i="2"/>
  <c r="V99" i="2"/>
  <c r="U99" i="2"/>
  <c r="T99" i="2"/>
  <c r="S99" i="2"/>
  <c r="R99" i="2"/>
  <c r="A99" i="2"/>
  <c r="AG98" i="2"/>
  <c r="AF98" i="2"/>
  <c r="AE98" i="2"/>
  <c r="AD98" i="2"/>
  <c r="AC98" i="2"/>
  <c r="AB98" i="2"/>
  <c r="AA98" i="2"/>
  <c r="X98" i="2"/>
  <c r="T98" i="2"/>
  <c r="S98" i="2"/>
  <c r="R98" i="2"/>
  <c r="A98" i="2"/>
  <c r="AG97" i="2"/>
  <c r="U97" i="2"/>
  <c r="T97" i="2"/>
  <c r="A97" i="2"/>
  <c r="AG96" i="2"/>
  <c r="AE96" i="2"/>
  <c r="AF96" i="2" s="1"/>
  <c r="AD96" i="2"/>
  <c r="Y96" i="2"/>
  <c r="V96" i="2"/>
  <c r="U96" i="2"/>
  <c r="T96" i="2"/>
  <c r="S96" i="2" s="1"/>
  <c r="A96" i="2"/>
  <c r="AG95" i="2"/>
  <c r="W95" i="2"/>
  <c r="T95" i="2"/>
  <c r="S95" i="2" s="1"/>
  <c r="AG94" i="2"/>
  <c r="AE94" i="2"/>
  <c r="AF94" i="2" s="1"/>
  <c r="AD94" i="2"/>
  <c r="AC94" i="2"/>
  <c r="AB94" i="2"/>
  <c r="AA94" i="2"/>
  <c r="Z94" i="2"/>
  <c r="Y94" i="2"/>
  <c r="X94" i="2"/>
  <c r="W94" i="2"/>
  <c r="T94" i="2"/>
  <c r="S94" i="2"/>
  <c r="R94" i="2"/>
  <c r="A94" i="2"/>
  <c r="AG93" i="2"/>
  <c r="AE93" i="2"/>
  <c r="AF93" i="2" s="1"/>
  <c r="AD93" i="2"/>
  <c r="AC93" i="2"/>
  <c r="AB93" i="2"/>
  <c r="Y93" i="2"/>
  <c r="X93" i="2"/>
  <c r="T93" i="2"/>
  <c r="S93" i="2"/>
  <c r="R93" i="2"/>
  <c r="A93" i="2"/>
  <c r="AG92" i="2"/>
  <c r="AD92" i="2"/>
  <c r="AC92" i="2"/>
  <c r="AB92" i="2"/>
  <c r="AA92" i="2"/>
  <c r="Z92" i="2"/>
  <c r="Y92" i="2"/>
  <c r="X92" i="2"/>
  <c r="W92" i="2"/>
  <c r="V92" i="2"/>
  <c r="U92" i="2"/>
  <c r="T92" i="2"/>
  <c r="AE92" i="2" s="1"/>
  <c r="AF92" i="2" s="1"/>
  <c r="R92" i="2"/>
  <c r="A92" i="2"/>
  <c r="AG91" i="2"/>
  <c r="AE91" i="2"/>
  <c r="AF91" i="2" s="1"/>
  <c r="Z91" i="2"/>
  <c r="W91" i="2"/>
  <c r="U91" i="2"/>
  <c r="T91" i="2"/>
  <c r="AG90" i="2"/>
  <c r="Z90" i="2"/>
  <c r="Y90" i="2"/>
  <c r="X90" i="2"/>
  <c r="W90" i="2"/>
  <c r="U90" i="2"/>
  <c r="T90" i="2"/>
  <c r="AG89" i="2"/>
  <c r="AE89" i="2"/>
  <c r="AF89" i="2" s="1"/>
  <c r="AD89" i="2"/>
  <c r="AC89" i="2"/>
  <c r="AB89" i="2"/>
  <c r="AA89" i="2"/>
  <c r="Z89" i="2"/>
  <c r="Y89" i="2"/>
  <c r="X89" i="2"/>
  <c r="U89" i="2"/>
  <c r="T89" i="2"/>
  <c r="S89" i="2"/>
  <c r="R89" i="2"/>
  <c r="A89" i="2"/>
  <c r="AG88" i="2"/>
  <c r="AF88" i="2"/>
  <c r="AE88" i="2"/>
  <c r="AD88" i="2"/>
  <c r="AC88" i="2"/>
  <c r="Z88" i="2"/>
  <c r="Y88" i="2"/>
  <c r="X88" i="2"/>
  <c r="T88" i="2"/>
  <c r="S88" i="2"/>
  <c r="R88" i="2"/>
  <c r="A88" i="2"/>
  <c r="AG87" i="2"/>
  <c r="AE87" i="2"/>
  <c r="AF87" i="2" s="1"/>
  <c r="AD87" i="2"/>
  <c r="AC87" i="2"/>
  <c r="AB87" i="2"/>
  <c r="AA87" i="2"/>
  <c r="Z87" i="2"/>
  <c r="Y87" i="2"/>
  <c r="X87" i="2"/>
  <c r="W87" i="2"/>
  <c r="V87" i="2"/>
  <c r="U87" i="2"/>
  <c r="T87" i="2"/>
  <c r="S87" i="2"/>
  <c r="R87" i="2"/>
  <c r="A87" i="2"/>
  <c r="AG86" i="2"/>
  <c r="AB86" i="2"/>
  <c r="AA86" i="2"/>
  <c r="X86" i="2"/>
  <c r="W86" i="2"/>
  <c r="U86" i="2"/>
  <c r="T86" i="2"/>
  <c r="AG85" i="2"/>
  <c r="AC85" i="2"/>
  <c r="AB85" i="2"/>
  <c r="AA85" i="2"/>
  <c r="Z85" i="2"/>
  <c r="Y85" i="2"/>
  <c r="X85" i="2"/>
  <c r="W85" i="2"/>
  <c r="V85" i="2"/>
  <c r="T85" i="2"/>
  <c r="A85" i="2" s="1"/>
  <c r="AG84" i="2"/>
  <c r="AE84" i="2"/>
  <c r="AF84" i="2" s="1"/>
  <c r="AD84" i="2"/>
  <c r="AC84" i="2"/>
  <c r="AB84" i="2"/>
  <c r="AA84" i="2"/>
  <c r="Z84" i="2"/>
  <c r="Y84" i="2"/>
  <c r="T84" i="2"/>
  <c r="S84" i="2" s="1"/>
  <c r="R84" i="2"/>
  <c r="A84" i="2"/>
  <c r="AG83" i="2"/>
  <c r="Z83" i="2"/>
  <c r="T83" i="2"/>
  <c r="S83" i="2" s="1"/>
  <c r="R83" i="2"/>
  <c r="AG82" i="2"/>
  <c r="T82" i="2"/>
  <c r="S82" i="2" s="1"/>
  <c r="AG81" i="2"/>
  <c r="AB81" i="2"/>
  <c r="Y81" i="2"/>
  <c r="X81" i="2"/>
  <c r="T81" i="2"/>
  <c r="S81" i="2"/>
  <c r="AG80" i="2"/>
  <c r="AC80" i="2"/>
  <c r="AB80" i="2"/>
  <c r="AA80" i="2"/>
  <c r="Z80" i="2"/>
  <c r="Y80" i="2"/>
  <c r="X80" i="2"/>
  <c r="W80" i="2"/>
  <c r="V80" i="2"/>
  <c r="T80" i="2"/>
  <c r="R80" i="2" s="1"/>
  <c r="AG79" i="2"/>
  <c r="AF79" i="2"/>
  <c r="AE79" i="2"/>
  <c r="AD79" i="2"/>
  <c r="AC79" i="2"/>
  <c r="AB79" i="2"/>
  <c r="Z79" i="2"/>
  <c r="T79" i="2"/>
  <c r="AG78" i="2"/>
  <c r="AF78" i="2"/>
  <c r="AE78" i="2"/>
  <c r="AD78" i="2"/>
  <c r="AA78" i="2"/>
  <c r="X78" i="2"/>
  <c r="W78" i="2"/>
  <c r="V78" i="2"/>
  <c r="U78" i="2"/>
  <c r="T78" i="2"/>
  <c r="S78" i="2" s="1"/>
  <c r="AG77" i="2"/>
  <c r="AE77" i="2"/>
  <c r="AF77" i="2" s="1"/>
  <c r="AD77" i="2"/>
  <c r="AB77" i="2"/>
  <c r="AA77" i="2"/>
  <c r="Z77" i="2"/>
  <c r="Y77" i="2"/>
  <c r="X77" i="2"/>
  <c r="W77" i="2"/>
  <c r="U77" i="2"/>
  <c r="T77" i="2"/>
  <c r="R77" i="2" s="1"/>
  <c r="A77" i="2"/>
  <c r="AG76" i="2"/>
  <c r="AE76" i="2"/>
  <c r="AF76" i="2" s="1"/>
  <c r="AD76" i="2"/>
  <c r="AC76" i="2"/>
  <c r="AB76" i="2"/>
  <c r="Z76" i="2"/>
  <c r="Y76" i="2"/>
  <c r="T76" i="2"/>
  <c r="S76" i="2"/>
  <c r="R76" i="2"/>
  <c r="A76" i="2"/>
  <c r="AG75" i="2"/>
  <c r="AE75" i="2"/>
  <c r="AF75" i="2" s="1"/>
  <c r="AD75" i="2"/>
  <c r="AC75" i="2"/>
  <c r="AB75" i="2"/>
  <c r="AA75" i="2"/>
  <c r="Z75" i="2"/>
  <c r="Y75" i="2"/>
  <c r="X75" i="2"/>
  <c r="W75" i="2"/>
  <c r="V75" i="2"/>
  <c r="U75" i="2"/>
  <c r="T75" i="2"/>
  <c r="S75" i="2"/>
  <c r="R75" i="2"/>
  <c r="A75" i="2"/>
  <c r="AG74" i="2"/>
  <c r="AA74" i="2"/>
  <c r="V74" i="2"/>
  <c r="T74" i="2"/>
  <c r="R74" i="2" s="1"/>
  <c r="AG73" i="2"/>
  <c r="AE73" i="2"/>
  <c r="AF73" i="2" s="1"/>
  <c r="AC73" i="2"/>
  <c r="AB73" i="2"/>
  <c r="AA73" i="2"/>
  <c r="Z73" i="2"/>
  <c r="Y73" i="2"/>
  <c r="X73" i="2"/>
  <c r="V73" i="2"/>
  <c r="U73" i="2"/>
  <c r="T73" i="2"/>
  <c r="S73" i="2" s="1"/>
  <c r="AG72" i="2"/>
  <c r="AF72" i="2"/>
  <c r="AE72" i="2"/>
  <c r="AD72" i="2"/>
  <c r="AC72" i="2"/>
  <c r="AB72" i="2"/>
  <c r="Z72" i="2"/>
  <c r="Y72" i="2"/>
  <c r="X72" i="2"/>
  <c r="V72" i="2"/>
  <c r="U72" i="2"/>
  <c r="T72" i="2"/>
  <c r="S72" i="2"/>
  <c r="R72" i="2"/>
  <c r="A72" i="2"/>
  <c r="AG71" i="2"/>
  <c r="AD71" i="2"/>
  <c r="AA71" i="2"/>
  <c r="U71" i="2"/>
  <c r="T71" i="2"/>
  <c r="AC71" i="2" s="1"/>
  <c r="S71" i="2"/>
  <c r="A71" i="2"/>
  <c r="AG70" i="2"/>
  <c r="Y70" i="2"/>
  <c r="T70" i="2"/>
  <c r="R70" i="2" s="1"/>
  <c r="S70" i="2"/>
  <c r="AG69" i="2"/>
  <c r="AB69" i="2"/>
  <c r="W69" i="2"/>
  <c r="V69" i="2"/>
  <c r="T69" i="2"/>
  <c r="S69" i="2" s="1"/>
  <c r="AG68" i="2"/>
  <c r="AC68" i="2"/>
  <c r="AB68" i="2"/>
  <c r="AA68" i="2"/>
  <c r="Z68" i="2"/>
  <c r="Y68" i="2"/>
  <c r="X68" i="2"/>
  <c r="W68" i="2"/>
  <c r="V68" i="2"/>
  <c r="U68" i="2"/>
  <c r="T68" i="2"/>
  <c r="R68" i="2" s="1"/>
  <c r="AG67" i="2"/>
  <c r="AF67" i="2"/>
  <c r="AE67" i="2"/>
  <c r="AD67" i="2"/>
  <c r="AC67" i="2"/>
  <c r="AB67" i="2"/>
  <c r="AA67" i="2"/>
  <c r="Z67" i="2"/>
  <c r="Y67" i="2"/>
  <c r="X67" i="2"/>
  <c r="T67" i="2"/>
  <c r="V67" i="2" s="1"/>
  <c r="S67" i="2"/>
  <c r="R67" i="2"/>
  <c r="A67" i="2"/>
  <c r="AG66" i="2"/>
  <c r="W66" i="2"/>
  <c r="T66" i="2"/>
  <c r="AA66" i="2" s="1"/>
  <c r="S66" i="2"/>
  <c r="AG65" i="2"/>
  <c r="AE65" i="2"/>
  <c r="AF65" i="2" s="1"/>
  <c r="AD65" i="2"/>
  <c r="AC65" i="2"/>
  <c r="AB65" i="2"/>
  <c r="AA65" i="2"/>
  <c r="Z65" i="2"/>
  <c r="Y65" i="2"/>
  <c r="X65" i="2"/>
  <c r="W65" i="2"/>
  <c r="V65" i="2"/>
  <c r="U65" i="2"/>
  <c r="T65" i="2"/>
  <c r="S65" i="2"/>
  <c r="R65" i="2"/>
  <c r="A65" i="2"/>
  <c r="AG64" i="2"/>
  <c r="AF64" i="2"/>
  <c r="AE64" i="2"/>
  <c r="AD64" i="2"/>
  <c r="AC64" i="2"/>
  <c r="AB64" i="2"/>
  <c r="AA64" i="2"/>
  <c r="Z64" i="2"/>
  <c r="X64" i="2"/>
  <c r="W64" i="2"/>
  <c r="T64" i="2"/>
  <c r="Y64" i="2" s="1"/>
  <c r="S64" i="2"/>
  <c r="R64" i="2"/>
  <c r="A64" i="2"/>
  <c r="AG63" i="2"/>
  <c r="W63" i="2"/>
  <c r="T63" i="2"/>
  <c r="AE63" i="2" s="1"/>
  <c r="AF63" i="2" s="1"/>
  <c r="S63" i="2"/>
  <c r="AG62" i="2"/>
  <c r="AA62" i="2"/>
  <c r="X62" i="2"/>
  <c r="V62" i="2"/>
  <c r="T62" i="2"/>
  <c r="W62" i="2" s="1"/>
  <c r="AG61" i="2"/>
  <c r="AE61" i="2"/>
  <c r="AF61" i="2" s="1"/>
  <c r="AD61" i="2"/>
  <c r="AC61" i="2"/>
  <c r="AA61" i="2"/>
  <c r="Z61" i="2"/>
  <c r="Y61" i="2"/>
  <c r="X61" i="2"/>
  <c r="W61" i="2"/>
  <c r="V61" i="2"/>
  <c r="U61" i="2"/>
  <c r="T61" i="2"/>
  <c r="AB61" i="2" s="1"/>
  <c r="S61" i="2"/>
  <c r="R61" i="2"/>
  <c r="A61" i="2"/>
  <c r="AG60" i="2"/>
  <c r="AE60" i="2"/>
  <c r="AF60" i="2" s="1"/>
  <c r="AC60" i="2"/>
  <c r="W60" i="2"/>
  <c r="T60" i="2"/>
  <c r="U60" i="2" s="1"/>
  <c r="S60" i="2"/>
  <c r="R60" i="2"/>
  <c r="AG59" i="2"/>
  <c r="AA59" i="2"/>
  <c r="V59" i="2"/>
  <c r="T59" i="2"/>
  <c r="Z59" i="2" s="1"/>
  <c r="AG58" i="2"/>
  <c r="AD58" i="2"/>
  <c r="AC58" i="2"/>
  <c r="AB58" i="2"/>
  <c r="AA58" i="2"/>
  <c r="Z58" i="2"/>
  <c r="Y58" i="2"/>
  <c r="X58" i="2"/>
  <c r="W58" i="2"/>
  <c r="V58" i="2"/>
  <c r="U58" i="2"/>
  <c r="T58" i="2"/>
  <c r="R58" i="2"/>
  <c r="A58" i="2"/>
  <c r="AG57" i="2"/>
  <c r="AE57" i="2"/>
  <c r="AF57" i="2" s="1"/>
  <c r="AD57" i="2"/>
  <c r="AB57" i="2"/>
  <c r="U57" i="2"/>
  <c r="T57" i="2"/>
  <c r="X57" i="2" s="1"/>
  <c r="S57" i="2"/>
  <c r="R57" i="2"/>
  <c r="A57" i="2"/>
  <c r="AG56" i="2"/>
  <c r="AF56" i="2"/>
  <c r="AE56" i="2"/>
  <c r="AD56" i="2"/>
  <c r="Y56" i="2"/>
  <c r="X56" i="2"/>
  <c r="W56" i="2"/>
  <c r="V56" i="2"/>
  <c r="U56" i="2"/>
  <c r="T56" i="2"/>
  <c r="S56" i="2"/>
  <c r="R56" i="2"/>
  <c r="AG55" i="2"/>
  <c r="AC55" i="2"/>
  <c r="AB55" i="2"/>
  <c r="AA55" i="2"/>
  <c r="Z55" i="2"/>
  <c r="Y55" i="2"/>
  <c r="W55" i="2"/>
  <c r="U55" i="2"/>
  <c r="T55" i="2"/>
  <c r="V55" i="2" s="1"/>
  <c r="AG54" i="2"/>
  <c r="T54" i="2"/>
  <c r="AA54" i="2" s="1"/>
  <c r="AG53" i="2"/>
  <c r="AE53" i="2"/>
  <c r="AF53" i="2" s="1"/>
  <c r="AD53" i="2"/>
  <c r="AC53" i="2"/>
  <c r="AB53" i="2"/>
  <c r="AA53" i="2"/>
  <c r="Z53" i="2"/>
  <c r="Y53" i="2"/>
  <c r="X53" i="2"/>
  <c r="W53" i="2"/>
  <c r="V53" i="2"/>
  <c r="U53" i="2"/>
  <c r="T53" i="2"/>
  <c r="S53" i="2"/>
  <c r="R53" i="2"/>
  <c r="A53" i="2"/>
  <c r="AG52" i="2"/>
  <c r="AC52" i="2"/>
  <c r="AB52" i="2"/>
  <c r="AA52" i="2"/>
  <c r="Z52" i="2"/>
  <c r="X52" i="2"/>
  <c r="V52" i="2"/>
  <c r="U52" i="2"/>
  <c r="T52" i="2"/>
  <c r="Y52" i="2" s="1"/>
  <c r="AG51" i="2"/>
  <c r="T51" i="2"/>
  <c r="S51" i="2" s="1"/>
  <c r="AG50" i="2"/>
  <c r="X50" i="2"/>
  <c r="T50" i="2"/>
  <c r="W50" i="2" s="1"/>
  <c r="S50" i="2"/>
  <c r="AG49" i="2"/>
  <c r="AA49" i="2"/>
  <c r="Z49" i="2"/>
  <c r="Y49" i="2"/>
  <c r="X49" i="2"/>
  <c r="W49" i="2"/>
  <c r="U49" i="2"/>
  <c r="T49" i="2"/>
  <c r="AB49" i="2" s="1"/>
  <c r="AG48" i="2"/>
  <c r="AF48" i="2"/>
  <c r="AE48" i="2"/>
  <c r="AD48" i="2"/>
  <c r="AC48" i="2"/>
  <c r="AB48" i="2"/>
  <c r="AA48" i="2"/>
  <c r="Z48" i="2"/>
  <c r="Y48" i="2"/>
  <c r="X48" i="2"/>
  <c r="T48" i="2"/>
  <c r="U48" i="2" s="1"/>
  <c r="S48" i="2"/>
  <c r="R48" i="2"/>
  <c r="A48" i="2"/>
  <c r="AG47" i="2"/>
  <c r="W47" i="2"/>
  <c r="T47" i="2"/>
  <c r="Z47" i="2" s="1"/>
  <c r="S47" i="2"/>
  <c r="AG46" i="2"/>
  <c r="AA46" i="2"/>
  <c r="Z46" i="2"/>
  <c r="Y46" i="2"/>
  <c r="X46" i="2"/>
  <c r="W46" i="2"/>
  <c r="U46" i="2"/>
  <c r="T46" i="2"/>
  <c r="AG45" i="2"/>
  <c r="AE45" i="2"/>
  <c r="AF45" i="2" s="1"/>
  <c r="AD45" i="2"/>
  <c r="AC45" i="2"/>
  <c r="AB45" i="2"/>
  <c r="AA45" i="2"/>
  <c r="Z45" i="2"/>
  <c r="Y45" i="2"/>
  <c r="W45" i="2"/>
  <c r="V45" i="2"/>
  <c r="U45" i="2"/>
  <c r="T45" i="2"/>
  <c r="X45" i="2" s="1"/>
  <c r="S45" i="2"/>
  <c r="R45" i="2"/>
  <c r="A45" i="2"/>
  <c r="AG44" i="2"/>
  <c r="AE44" i="2"/>
  <c r="AF44" i="2" s="1"/>
  <c r="V44" i="2"/>
  <c r="T44" i="2"/>
  <c r="S44" i="2" s="1"/>
  <c r="R44" i="2"/>
  <c r="AG43" i="2"/>
  <c r="AF43" i="2"/>
  <c r="AE43" i="2"/>
  <c r="AD43" i="2"/>
  <c r="Z43" i="2"/>
  <c r="Y43" i="2"/>
  <c r="X43" i="2"/>
  <c r="W43" i="2"/>
  <c r="U43" i="2"/>
  <c r="T43" i="2"/>
  <c r="V43" i="2" s="1"/>
  <c r="S43" i="2"/>
  <c r="R43" i="2"/>
  <c r="A43" i="2"/>
  <c r="AG42" i="2"/>
  <c r="AE42" i="2"/>
  <c r="AF42" i="2" s="1"/>
  <c r="AD42" i="2"/>
  <c r="AC42" i="2"/>
  <c r="AB42" i="2"/>
  <c r="Z42" i="2"/>
  <c r="Y42" i="2"/>
  <c r="X42" i="2"/>
  <c r="W42" i="2"/>
  <c r="V42" i="2"/>
  <c r="U42" i="2"/>
  <c r="T42" i="2"/>
  <c r="AA42" i="2" s="1"/>
  <c r="R42" i="2"/>
  <c r="A42" i="2"/>
  <c r="AG41" i="2"/>
  <c r="AE41" i="2"/>
  <c r="AF41" i="2" s="1"/>
  <c r="AD41" i="2"/>
  <c r="AC41" i="2"/>
  <c r="AB41" i="2"/>
  <c r="AA41" i="2"/>
  <c r="Z41" i="2"/>
  <c r="Y41" i="2"/>
  <c r="X41" i="2"/>
  <c r="W41" i="2"/>
  <c r="V41" i="2"/>
  <c r="U41" i="2"/>
  <c r="T41" i="2"/>
  <c r="S41" i="2"/>
  <c r="R41" i="2"/>
  <c r="A41" i="2"/>
  <c r="AG40" i="2"/>
  <c r="AF40" i="2"/>
  <c r="AE40" i="2"/>
  <c r="AD40" i="2"/>
  <c r="Z40" i="2"/>
  <c r="X40" i="2"/>
  <c r="W40" i="2"/>
  <c r="V40" i="2"/>
  <c r="U40" i="2"/>
  <c r="T40" i="2"/>
  <c r="Y40" i="2" s="1"/>
  <c r="S40" i="2"/>
  <c r="R40" i="2"/>
  <c r="A40" i="2"/>
  <c r="AG39" i="2"/>
  <c r="AE39" i="2"/>
  <c r="AF39" i="2" s="1"/>
  <c r="AC39" i="2"/>
  <c r="AB39" i="2"/>
  <c r="AA39" i="2"/>
  <c r="Z39" i="2"/>
  <c r="Y39" i="2"/>
  <c r="X39" i="2"/>
  <c r="W39" i="2"/>
  <c r="V39" i="2"/>
  <c r="U39" i="2"/>
  <c r="T39" i="2"/>
  <c r="S39" i="2" s="1"/>
  <c r="A39" i="2"/>
  <c r="AG38" i="2"/>
  <c r="T38" i="2"/>
  <c r="W38" i="2" s="1"/>
  <c r="AG37" i="2"/>
  <c r="X37" i="2"/>
  <c r="T37" i="2"/>
  <c r="AB37" i="2" s="1"/>
  <c r="AG36" i="2"/>
  <c r="AC36" i="2"/>
  <c r="AB36" i="2"/>
  <c r="AA36" i="2"/>
  <c r="Z36" i="2"/>
  <c r="Y36" i="2"/>
  <c r="W36" i="2"/>
  <c r="V36" i="2"/>
  <c r="T36" i="2"/>
  <c r="U36" i="2" s="1"/>
  <c r="AG35" i="2"/>
  <c r="T35" i="2"/>
  <c r="Z35" i="2" s="1"/>
  <c r="AG34" i="2"/>
  <c r="X34" i="2"/>
  <c r="T34" i="2"/>
  <c r="R34" i="2" s="1"/>
  <c r="AG33" i="2"/>
  <c r="AB33" i="2"/>
  <c r="AA33" i="2"/>
  <c r="Z33" i="2"/>
  <c r="Y33" i="2"/>
  <c r="W33" i="2"/>
  <c r="U33" i="2"/>
  <c r="T33" i="2"/>
  <c r="X33" i="2" s="1"/>
  <c r="AG32" i="2"/>
  <c r="AF32" i="2"/>
  <c r="AE32" i="2"/>
  <c r="AD32" i="2"/>
  <c r="AB32" i="2"/>
  <c r="AA32" i="2"/>
  <c r="Z32" i="2"/>
  <c r="Y32" i="2"/>
  <c r="X32" i="2"/>
  <c r="W32" i="2"/>
  <c r="T32" i="2"/>
  <c r="S32" i="2"/>
  <c r="R32" i="2"/>
  <c r="AG31" i="2"/>
  <c r="W31" i="2"/>
  <c r="T31" i="2"/>
  <c r="V31" i="2" s="1"/>
  <c r="B31" i="2"/>
  <c r="AG30" i="2"/>
  <c r="AA30" i="2"/>
  <c r="Z30" i="2"/>
  <c r="Y30" i="2"/>
  <c r="X30" i="2"/>
  <c r="W30" i="2"/>
  <c r="V30" i="2"/>
  <c r="U30" i="2"/>
  <c r="T30" i="2"/>
  <c r="B30" i="2"/>
  <c r="AG29" i="2"/>
  <c r="AD29" i="2"/>
  <c r="AC29" i="2"/>
  <c r="AB29" i="2"/>
  <c r="AA29" i="2"/>
  <c r="Z29" i="2"/>
  <c r="Y29" i="2"/>
  <c r="X29" i="2"/>
  <c r="U29" i="2"/>
  <c r="T29" i="2"/>
  <c r="V29" i="2" s="1"/>
  <c r="B29" i="2"/>
  <c r="A29" i="2"/>
  <c r="AG28" i="2"/>
  <c r="Z28" i="2"/>
  <c r="X28" i="2"/>
  <c r="V28" i="2"/>
  <c r="U28" i="2"/>
  <c r="T28" i="2"/>
  <c r="B28" i="2"/>
  <c r="AG27" i="2"/>
  <c r="AC27" i="2"/>
  <c r="AB27" i="2"/>
  <c r="AA27" i="2"/>
  <c r="Z27" i="2"/>
  <c r="Y27" i="2"/>
  <c r="X27" i="2"/>
  <c r="W27" i="2"/>
  <c r="U27" i="2"/>
  <c r="T27" i="2"/>
  <c r="V27" i="2" s="1"/>
  <c r="B27" i="2"/>
  <c r="A27" i="2"/>
  <c r="AG26" i="2"/>
  <c r="AD26" i="2"/>
  <c r="AC26" i="2"/>
  <c r="AA26" i="2"/>
  <c r="Z26" i="2"/>
  <c r="W26" i="2"/>
  <c r="V26" i="2"/>
  <c r="U26" i="2"/>
  <c r="T26" i="2"/>
  <c r="B26" i="2"/>
  <c r="AG25" i="2"/>
  <c r="T25" i="2"/>
  <c r="V25" i="2" s="1"/>
  <c r="B25" i="2"/>
  <c r="AG24" i="2"/>
  <c r="AC24" i="2"/>
  <c r="Y24" i="2"/>
  <c r="T24" i="2"/>
  <c r="B24" i="2"/>
  <c r="AG23" i="2"/>
  <c r="AD23" i="2"/>
  <c r="T23" i="2"/>
  <c r="V23" i="2" s="1"/>
  <c r="B23" i="2"/>
  <c r="AG22" i="2"/>
  <c r="AD22" i="2"/>
  <c r="AC22" i="2"/>
  <c r="AA22" i="2"/>
  <c r="Z22" i="2"/>
  <c r="Y22" i="2"/>
  <c r="X22" i="2"/>
  <c r="W22" i="2"/>
  <c r="V22" i="2"/>
  <c r="T22" i="2"/>
  <c r="B22" i="2"/>
  <c r="AG21" i="2"/>
  <c r="AD21" i="2"/>
  <c r="AB21" i="2"/>
  <c r="AA21" i="2"/>
  <c r="X21" i="2"/>
  <c r="U21" i="2"/>
  <c r="T21" i="2"/>
  <c r="V21" i="2" s="1"/>
  <c r="B21" i="2"/>
  <c r="AG20" i="2"/>
  <c r="AC20" i="2"/>
  <c r="Z20" i="2"/>
  <c r="X20" i="2"/>
  <c r="V20" i="2"/>
  <c r="T20" i="2"/>
  <c r="B20" i="2"/>
  <c r="AG19" i="2"/>
  <c r="AC19" i="2"/>
  <c r="AA19" i="2"/>
  <c r="X19" i="2"/>
  <c r="T19" i="2"/>
  <c r="V19" i="2" s="1"/>
  <c r="B19" i="2"/>
  <c r="A19" i="2"/>
  <c r="AG18" i="2"/>
  <c r="AD18" i="2"/>
  <c r="AC18" i="2"/>
  <c r="Y18" i="2"/>
  <c r="W18" i="2"/>
  <c r="U18" i="2"/>
  <c r="T18" i="2"/>
  <c r="B18" i="2"/>
  <c r="AG17" i="2"/>
  <c r="X17" i="2"/>
  <c r="T17" i="2"/>
  <c r="V17" i="2" s="1"/>
  <c r="B17" i="2"/>
  <c r="AG16" i="2"/>
  <c r="AC16" i="2"/>
  <c r="Y16" i="2"/>
  <c r="T16" i="2"/>
  <c r="B16" i="2"/>
  <c r="AG15" i="2"/>
  <c r="T15" i="2"/>
  <c r="V15" i="2" s="1"/>
  <c r="B15" i="2"/>
  <c r="AG14" i="2"/>
  <c r="AD14" i="2"/>
  <c r="AC14" i="2"/>
  <c r="AA14" i="2"/>
  <c r="Z14" i="2"/>
  <c r="Y14" i="2"/>
  <c r="X14" i="2"/>
  <c r="W14" i="2"/>
  <c r="V14" i="2"/>
  <c r="T14" i="2"/>
  <c r="B14" i="2"/>
  <c r="AG13" i="2"/>
  <c r="AD13" i="2"/>
  <c r="AB13" i="2"/>
  <c r="AA13" i="2"/>
  <c r="X13" i="2"/>
  <c r="U13" i="2"/>
  <c r="T13" i="2"/>
  <c r="V13" i="2" s="1"/>
  <c r="B13" i="2"/>
  <c r="AG12" i="2"/>
  <c r="AC12" i="2"/>
  <c r="Z12" i="2"/>
  <c r="X12" i="2"/>
  <c r="W12" i="2"/>
  <c r="V12" i="2"/>
  <c r="T12" i="2"/>
  <c r="B12" i="2"/>
  <c r="AG11" i="2"/>
  <c r="AC11" i="2"/>
  <c r="AA11" i="2"/>
  <c r="X11" i="2"/>
  <c r="T11" i="2"/>
  <c r="V11" i="2" s="1"/>
  <c r="B11" i="2"/>
  <c r="A11" i="2"/>
  <c r="AG10" i="2"/>
  <c r="AC10" i="2"/>
  <c r="Y10" i="2"/>
  <c r="W10" i="2"/>
  <c r="U10" i="2"/>
  <c r="T10" i="2"/>
  <c r="B10" i="2"/>
  <c r="AG9" i="2"/>
  <c r="AD9" i="2"/>
  <c r="AB9" i="2"/>
  <c r="AA9" i="2"/>
  <c r="Z9" i="2"/>
  <c r="Y9" i="2"/>
  <c r="X9" i="2"/>
  <c r="W9" i="2"/>
  <c r="V9" i="2"/>
  <c r="U9" i="2"/>
  <c r="T9" i="2"/>
  <c r="AC9" i="2" s="1"/>
  <c r="B9" i="2"/>
  <c r="A9" i="2"/>
  <c r="AG8" i="2"/>
  <c r="AD8" i="2"/>
  <c r="AA8" i="2"/>
  <c r="T8" i="2"/>
  <c r="Y8" i="2" s="1"/>
  <c r="B8" i="2"/>
  <c r="AD7" i="2"/>
  <c r="AC7" i="2"/>
  <c r="AB7" i="2"/>
  <c r="AA7" i="2"/>
  <c r="Z7" i="2"/>
  <c r="Y7" i="2"/>
  <c r="X7" i="2"/>
  <c r="W7" i="2"/>
  <c r="V7" i="2"/>
  <c r="U7" i="2"/>
  <c r="S7" i="2"/>
  <c r="Q7" i="2"/>
  <c r="P7" i="2"/>
  <c r="O7" i="2"/>
  <c r="N7" i="2"/>
  <c r="M7" i="2"/>
  <c r="L7" i="2"/>
  <c r="K7" i="2"/>
  <c r="J7" i="2"/>
  <c r="I7" i="2"/>
  <c r="H7" i="2"/>
  <c r="E7" i="2"/>
  <c r="G30" i="1"/>
  <c r="G29" i="1"/>
  <c r="G28" i="1"/>
  <c r="G27" i="1"/>
  <c r="G26" i="1"/>
  <c r="G25" i="1"/>
  <c r="G24" i="1"/>
  <c r="G23" i="1"/>
  <c r="G22" i="1"/>
  <c r="G21" i="1"/>
  <c r="F15" i="1"/>
  <c r="AE9" i="2" l="1"/>
  <c r="AA23" i="2"/>
  <c r="V24" i="2"/>
  <c r="Z10" i="2"/>
  <c r="U11" i="2"/>
  <c r="AD12" i="2"/>
  <c r="Y13" i="2"/>
  <c r="AB14" i="2"/>
  <c r="A14" i="2"/>
  <c r="AB15" i="2"/>
  <c r="W16" i="2"/>
  <c r="Z18" i="2"/>
  <c r="U19" i="2"/>
  <c r="AD28" i="2"/>
  <c r="AB30" i="2"/>
  <c r="AE30" i="2" s="1"/>
  <c r="A30" i="2"/>
  <c r="AB31" i="2"/>
  <c r="AC34" i="2"/>
  <c r="Y35" i="2"/>
  <c r="A37" i="2"/>
  <c r="AD37" i="2"/>
  <c r="Z38" i="2"/>
  <c r="AA44" i="2"/>
  <c r="AE46" i="2"/>
  <c r="AF46" i="2" s="1"/>
  <c r="S46" i="2"/>
  <c r="AC47" i="2"/>
  <c r="AC50" i="2"/>
  <c r="Y51" i="2"/>
  <c r="Y54" i="2"/>
  <c r="AA57" i="2"/>
  <c r="S59" i="2"/>
  <c r="AB60" i="2"/>
  <c r="S62" i="2"/>
  <c r="AB63" i="2"/>
  <c r="AC66" i="2"/>
  <c r="AD70" i="2"/>
  <c r="Z71" i="2"/>
  <c r="X79" i="2"/>
  <c r="Y79" i="2"/>
  <c r="W79" i="2"/>
  <c r="V79" i="2"/>
  <c r="U79" i="2"/>
  <c r="AE82" i="2"/>
  <c r="AF82" i="2" s="1"/>
  <c r="Z86" i="2"/>
  <c r="Y86" i="2"/>
  <c r="R86" i="2"/>
  <c r="AE86" i="2"/>
  <c r="AF86" i="2" s="1"/>
  <c r="A86" i="2"/>
  <c r="AD86" i="2"/>
  <c r="AC86" i="2"/>
  <c r="Y91" i="2"/>
  <c r="X91" i="2"/>
  <c r="AD91" i="2"/>
  <c r="AC91" i="2"/>
  <c r="AB91" i="2"/>
  <c r="AA91" i="2"/>
  <c r="S91" i="2"/>
  <c r="AE100" i="2"/>
  <c r="AF100" i="2" s="1"/>
  <c r="AE110" i="2"/>
  <c r="AF110" i="2" s="1"/>
  <c r="X144" i="2"/>
  <c r="W144" i="2"/>
  <c r="V144" i="2"/>
  <c r="U144" i="2"/>
  <c r="AA144" i="2"/>
  <c r="AC144" i="2"/>
  <c r="AB144" i="2"/>
  <c r="Z144" i="2"/>
  <c r="Y144" i="2"/>
  <c r="Y151" i="2"/>
  <c r="X151" i="2"/>
  <c r="W151" i="2"/>
  <c r="V151" i="2"/>
  <c r="AB151" i="2"/>
  <c r="AE151" i="2"/>
  <c r="AF151" i="2" s="1"/>
  <c r="AD151" i="2"/>
  <c r="AC151" i="2"/>
  <c r="AA151" i="2"/>
  <c r="A151" i="2"/>
  <c r="J1" i="3"/>
  <c r="Z17" i="2"/>
  <c r="Y15" i="2"/>
  <c r="X8" i="2"/>
  <c r="AD20" i="2"/>
  <c r="Y21" i="2"/>
  <c r="AB22" i="2"/>
  <c r="A22" i="2"/>
  <c r="AB23" i="2"/>
  <c r="W24" i="2"/>
  <c r="Z8" i="2"/>
  <c r="AA10" i="2"/>
  <c r="AE10" i="2" s="1"/>
  <c r="W11" i="2"/>
  <c r="Z13" i="2"/>
  <c r="U14" i="2"/>
  <c r="A15" i="2"/>
  <c r="AC15" i="2"/>
  <c r="X16" i="2"/>
  <c r="AA18" i="2"/>
  <c r="W19" i="2"/>
  <c r="Z21" i="2"/>
  <c r="U22" i="2"/>
  <c r="A23" i="2"/>
  <c r="AC23" i="2"/>
  <c r="X24" i="2"/>
  <c r="A31" i="2"/>
  <c r="AC31" i="2"/>
  <c r="A34" i="2"/>
  <c r="AD34" i="2"/>
  <c r="AA35" i="2"/>
  <c r="R37" i="2"/>
  <c r="AE37" i="2"/>
  <c r="AF37" i="2" s="1"/>
  <c r="AA38" i="2"/>
  <c r="AB44" i="2"/>
  <c r="A47" i="2"/>
  <c r="AD47" i="2"/>
  <c r="A50" i="2"/>
  <c r="AD50" i="2"/>
  <c r="Z51" i="2"/>
  <c r="Z54" i="2"/>
  <c r="AC63" i="2"/>
  <c r="A66" i="2"/>
  <c r="AD66" i="2"/>
  <c r="Z69" i="2"/>
  <c r="AA69" i="2"/>
  <c r="A70" i="2"/>
  <c r="AE70" i="2"/>
  <c r="AF70" i="2" s="1"/>
  <c r="Y74" i="2"/>
  <c r="S74" i="2"/>
  <c r="AC95" i="2"/>
  <c r="A95" i="2"/>
  <c r="AB95" i="2"/>
  <c r="R95" i="2"/>
  <c r="AE95" i="2"/>
  <c r="AF95" i="2" s="1"/>
  <c r="AD95" i="2"/>
  <c r="AA95" i="2"/>
  <c r="U95" i="2"/>
  <c r="V106" i="2"/>
  <c r="U106" i="2"/>
  <c r="AA106" i="2"/>
  <c r="Z106" i="2"/>
  <c r="Y106" i="2"/>
  <c r="X106" i="2"/>
  <c r="AD106" i="2"/>
  <c r="R115" i="2"/>
  <c r="AE133" i="2"/>
  <c r="AF133" i="2" s="1"/>
  <c r="S133" i="2"/>
  <c r="AD133" i="2"/>
  <c r="R133" i="2"/>
  <c r="AC133" i="2"/>
  <c r="A133" i="2"/>
  <c r="AB133" i="2"/>
  <c r="V133" i="2"/>
  <c r="AA133" i="2"/>
  <c r="Z133" i="2"/>
  <c r="Y133" i="2"/>
  <c r="X133" i="2"/>
  <c r="AD138" i="2"/>
  <c r="R138" i="2"/>
  <c r="AC138" i="2"/>
  <c r="A138" i="2"/>
  <c r="AB138" i="2"/>
  <c r="AA138" i="2"/>
  <c r="U138" i="2"/>
  <c r="Y138" i="2"/>
  <c r="X138" i="2"/>
  <c r="W138" i="2"/>
  <c r="V138" i="2"/>
  <c r="R156" i="2"/>
  <c r="W234" i="2"/>
  <c r="V234" i="2"/>
  <c r="AB234" i="2"/>
  <c r="AE234" i="2"/>
  <c r="AF234" i="2" s="1"/>
  <c r="AD234" i="2"/>
  <c r="AC234" i="2"/>
  <c r="Z234" i="2"/>
  <c r="Y234" i="2"/>
  <c r="X234" i="2"/>
  <c r="U234" i="2"/>
  <c r="AA234" i="2"/>
  <c r="S234" i="2"/>
  <c r="AD15" i="2"/>
  <c r="AD31" i="2"/>
  <c r="V33" i="2"/>
  <c r="AB35" i="2"/>
  <c r="X36" i="2"/>
  <c r="S37" i="2"/>
  <c r="AB38" i="2"/>
  <c r="AD44" i="2"/>
  <c r="V46" i="2"/>
  <c r="R47" i="2"/>
  <c r="AE47" i="2"/>
  <c r="AF47" i="2" s="1"/>
  <c r="V49" i="2"/>
  <c r="R50" i="2"/>
  <c r="AE50" i="2"/>
  <c r="AF50" i="2" s="1"/>
  <c r="AA51" i="2"/>
  <c r="W52" i="2"/>
  <c r="AB54" i="2"/>
  <c r="X55" i="2"/>
  <c r="AC56" i="2"/>
  <c r="A56" i="2"/>
  <c r="AC57" i="2"/>
  <c r="U59" i="2"/>
  <c r="A60" i="2"/>
  <c r="AD60" i="2"/>
  <c r="U62" i="2"/>
  <c r="A63" i="2"/>
  <c r="R66" i="2"/>
  <c r="AE66" i="2"/>
  <c r="AF66" i="2" s="1"/>
  <c r="U69" i="2"/>
  <c r="U74" i="2"/>
  <c r="AA79" i="2"/>
  <c r="V86" i="2"/>
  <c r="AD90" i="2"/>
  <c r="R90" i="2"/>
  <c r="AC90" i="2"/>
  <c r="A90" i="2"/>
  <c r="S90" i="2"/>
  <c r="AE90" i="2"/>
  <c r="AF90" i="2" s="1"/>
  <c r="AB90" i="2"/>
  <c r="V90" i="2"/>
  <c r="V91" i="2"/>
  <c r="V95" i="2"/>
  <c r="AD102" i="2"/>
  <c r="R102" i="2"/>
  <c r="AC102" i="2"/>
  <c r="A102" i="2"/>
  <c r="X102" i="2"/>
  <c r="W102" i="2"/>
  <c r="V102" i="2"/>
  <c r="U102" i="2"/>
  <c r="AA102" i="2"/>
  <c r="AA105" i="2"/>
  <c r="Z105" i="2"/>
  <c r="AD105" i="2"/>
  <c r="AC105" i="2"/>
  <c r="AB105" i="2"/>
  <c r="Y105" i="2"/>
  <c r="S105" i="2"/>
  <c r="W106" i="2"/>
  <c r="X120" i="2"/>
  <c r="W120" i="2"/>
  <c r="V120" i="2"/>
  <c r="AD120" i="2"/>
  <c r="AC120" i="2"/>
  <c r="AB120" i="2"/>
  <c r="AA120" i="2"/>
  <c r="R120" i="2"/>
  <c r="U133" i="2"/>
  <c r="Z138" i="2"/>
  <c r="AE144" i="2"/>
  <c r="AF144" i="2" s="1"/>
  <c r="Z151" i="2"/>
  <c r="AB28" i="2"/>
  <c r="A28" i="2"/>
  <c r="AE34" i="2"/>
  <c r="AF34" i="2" s="1"/>
  <c r="S34" i="2"/>
  <c r="AC35" i="2"/>
  <c r="AC38" i="2"/>
  <c r="AB51" i="2"/>
  <c r="AC54" i="2"/>
  <c r="Y115" i="2"/>
  <c r="X115" i="2"/>
  <c r="AB115" i="2"/>
  <c r="AA115" i="2"/>
  <c r="Z115" i="2"/>
  <c r="W115" i="2"/>
  <c r="AE115" i="2"/>
  <c r="AF115" i="2" s="1"/>
  <c r="A115" i="2"/>
  <c r="X156" i="2"/>
  <c r="W156" i="2"/>
  <c r="V156" i="2"/>
  <c r="U156" i="2"/>
  <c r="AA156" i="2"/>
  <c r="AE156" i="2"/>
  <c r="AF156" i="2" s="1"/>
  <c r="AD156" i="2"/>
  <c r="AC156" i="2"/>
  <c r="AB156" i="2"/>
  <c r="A156" i="2"/>
  <c r="AA165" i="2"/>
  <c r="Z165" i="2"/>
  <c r="Y165" i="2"/>
  <c r="X165" i="2"/>
  <c r="AD165" i="2"/>
  <c r="R165" i="2"/>
  <c r="AE165" i="2"/>
  <c r="AF165" i="2" s="1"/>
  <c r="AC165" i="2"/>
  <c r="AB165" i="2"/>
  <c r="A165" i="2"/>
  <c r="V205" i="2"/>
  <c r="S205" i="2"/>
  <c r="AE205" i="2"/>
  <c r="AF205" i="2" s="1"/>
  <c r="R205" i="2"/>
  <c r="AD205" i="2"/>
  <c r="A205" i="2"/>
  <c r="AC205" i="2"/>
  <c r="W205" i="2"/>
  <c r="Z205" i="2"/>
  <c r="Y205" i="2"/>
  <c r="X205" i="2"/>
  <c r="U205" i="2"/>
  <c r="A8" i="2"/>
  <c r="AB8" i="2"/>
  <c r="AD10" i="2"/>
  <c r="Y11" i="2"/>
  <c r="AB12" i="2"/>
  <c r="A12" i="2"/>
  <c r="Z16" i="2"/>
  <c r="U17" i="2"/>
  <c r="AE17" i="2" s="1"/>
  <c r="Y19" i="2"/>
  <c r="AB20" i="2"/>
  <c r="A20" i="2"/>
  <c r="AE23" i="2"/>
  <c r="AF23" i="2" s="1"/>
  <c r="S23" i="2" s="1"/>
  <c r="Z24" i="2"/>
  <c r="U25" i="2"/>
  <c r="AE25" i="2" s="1"/>
  <c r="AC8" i="2"/>
  <c r="Z11" i="2"/>
  <c r="U12" i="2"/>
  <c r="AE12" i="2" s="1"/>
  <c r="A13" i="2"/>
  <c r="AC13" i="2"/>
  <c r="AA16" i="2"/>
  <c r="W17" i="2"/>
  <c r="Z19" i="2"/>
  <c r="U20" i="2"/>
  <c r="A21" i="2"/>
  <c r="AC21" i="2"/>
  <c r="AA24" i="2"/>
  <c r="W25" i="2"/>
  <c r="U34" i="2"/>
  <c r="A35" i="2"/>
  <c r="AD35" i="2"/>
  <c r="U37" i="2"/>
  <c r="A38" i="2"/>
  <c r="AD38" i="2"/>
  <c r="AC51" i="2"/>
  <c r="A54" i="2"/>
  <c r="AD54" i="2"/>
  <c r="W59" i="2"/>
  <c r="AD63" i="2"/>
  <c r="R63" i="2"/>
  <c r="U70" i="2"/>
  <c r="W70" i="2"/>
  <c r="W74" i="2"/>
  <c r="A82" i="2"/>
  <c r="X95" i="2"/>
  <c r="U115" i="2"/>
  <c r="AE145" i="2"/>
  <c r="AF145" i="2" s="1"/>
  <c r="S145" i="2"/>
  <c r="AD145" i="2"/>
  <c r="R145" i="2"/>
  <c r="AC145" i="2"/>
  <c r="A145" i="2"/>
  <c r="AB145" i="2"/>
  <c r="V145" i="2"/>
  <c r="AA145" i="2"/>
  <c r="Z145" i="2"/>
  <c r="Y145" i="2"/>
  <c r="Y156" i="2"/>
  <c r="Z158" i="2"/>
  <c r="Y158" i="2"/>
  <c r="X158" i="2"/>
  <c r="W158" i="2"/>
  <c r="AC158" i="2"/>
  <c r="A158" i="2"/>
  <c r="R158" i="2"/>
  <c r="U158" i="2"/>
  <c r="AB160" i="2"/>
  <c r="AA160" i="2"/>
  <c r="Z160" i="2"/>
  <c r="Y160" i="2"/>
  <c r="AE160" i="2"/>
  <c r="AF160" i="2" s="1"/>
  <c r="S160" i="2"/>
  <c r="AD160" i="2"/>
  <c r="AC160" i="2"/>
  <c r="X160" i="2"/>
  <c r="A160" i="2"/>
  <c r="U165" i="2"/>
  <c r="AB199" i="2"/>
  <c r="AE199" i="2"/>
  <c r="AF199" i="2" s="1"/>
  <c r="R199" i="2"/>
  <c r="AD199" i="2"/>
  <c r="A199" i="2"/>
  <c r="AC199" i="2"/>
  <c r="AA199" i="2"/>
  <c r="U199" i="2"/>
  <c r="Z199" i="2"/>
  <c r="Y199" i="2"/>
  <c r="AA205" i="2"/>
  <c r="AB257" i="2"/>
  <c r="AA257" i="2"/>
  <c r="U257" i="2"/>
  <c r="AE257" i="2"/>
  <c r="AF257" i="2" s="1"/>
  <c r="AD257" i="2"/>
  <c r="AC257" i="2"/>
  <c r="A257" i="2"/>
  <c r="V257" i="2"/>
  <c r="Z257" i="2"/>
  <c r="Y257" i="2"/>
  <c r="X257" i="2"/>
  <c r="W257" i="2"/>
  <c r="S257" i="2"/>
  <c r="R257" i="2"/>
  <c r="X25" i="2"/>
  <c r="V34" i="2"/>
  <c r="R35" i="2"/>
  <c r="AE35" i="2"/>
  <c r="AF35" i="2" s="1"/>
  <c r="V37" i="2"/>
  <c r="R38" i="2"/>
  <c r="AE38" i="2"/>
  <c r="AF38" i="2" s="1"/>
  <c r="AC44" i="2"/>
  <c r="A44" i="2"/>
  <c r="U47" i="2"/>
  <c r="U50" i="2"/>
  <c r="A51" i="2"/>
  <c r="AE51" i="2"/>
  <c r="AF51" i="2" s="1"/>
  <c r="R54" i="2"/>
  <c r="AE54" i="2"/>
  <c r="AF54" i="2" s="1"/>
  <c r="X59" i="2"/>
  <c r="Y62" i="2"/>
  <c r="U63" i="2"/>
  <c r="U66" i="2"/>
  <c r="X69" i="2"/>
  <c r="V70" i="2"/>
  <c r="X74" i="2"/>
  <c r="R82" i="2"/>
  <c r="AC83" i="2"/>
  <c r="A83" i="2"/>
  <c r="AB83" i="2"/>
  <c r="Y83" i="2"/>
  <c r="X83" i="2"/>
  <c r="W83" i="2"/>
  <c r="V83" i="2"/>
  <c r="Y95" i="2"/>
  <c r="A100" i="2"/>
  <c r="AE106" i="2"/>
  <c r="AF106" i="2" s="1"/>
  <c r="A110" i="2"/>
  <c r="V115" i="2"/>
  <c r="Z122" i="2"/>
  <c r="Y122" i="2"/>
  <c r="X122" i="2"/>
  <c r="W122" i="2"/>
  <c r="AE122" i="2"/>
  <c r="AF122" i="2" s="1"/>
  <c r="AD122" i="2"/>
  <c r="AC122" i="2"/>
  <c r="AB122" i="2"/>
  <c r="R122" i="2"/>
  <c r="U145" i="2"/>
  <c r="AD150" i="2"/>
  <c r="R150" i="2"/>
  <c r="AC150" i="2"/>
  <c r="A150" i="2"/>
  <c r="AB150" i="2"/>
  <c r="AA150" i="2"/>
  <c r="U150" i="2"/>
  <c r="AE150" i="2"/>
  <c r="AF150" i="2" s="1"/>
  <c r="Z150" i="2"/>
  <c r="Y150" i="2"/>
  <c r="X150" i="2"/>
  <c r="Z156" i="2"/>
  <c r="V158" i="2"/>
  <c r="U160" i="2"/>
  <c r="V165" i="2"/>
  <c r="AB173" i="2"/>
  <c r="S173" i="2"/>
  <c r="AE173" i="2"/>
  <c r="AF173" i="2" s="1"/>
  <c r="R173" i="2"/>
  <c r="AD173" i="2"/>
  <c r="A173" i="2"/>
  <c r="AC173" i="2"/>
  <c r="V173" i="2"/>
  <c r="AA173" i="2"/>
  <c r="Z173" i="2"/>
  <c r="Y173" i="2"/>
  <c r="X173" i="2"/>
  <c r="AD175" i="2"/>
  <c r="R175" i="2"/>
  <c r="X175" i="2"/>
  <c r="W175" i="2"/>
  <c r="V175" i="2"/>
  <c r="U175" i="2"/>
  <c r="AA175" i="2"/>
  <c r="A175" i="2"/>
  <c r="Y175" i="2"/>
  <c r="V199" i="2"/>
  <c r="AB205" i="2"/>
  <c r="AB10" i="2"/>
  <c r="A10" i="2"/>
  <c r="AB11" i="2"/>
  <c r="U15" i="2"/>
  <c r="AD16" i="2"/>
  <c r="Y17" i="2"/>
  <c r="AB18" i="2"/>
  <c r="A18" i="2"/>
  <c r="AB19" i="2"/>
  <c r="W20" i="2"/>
  <c r="AE20" i="2" s="1"/>
  <c r="U23" i="2"/>
  <c r="AD24" i="2"/>
  <c r="Y25" i="2"/>
  <c r="AB26" i="2"/>
  <c r="A26" i="2"/>
  <c r="W28" i="2"/>
  <c r="AE28" i="2" s="1"/>
  <c r="U31" i="2"/>
  <c r="W34" i="2"/>
  <c r="S35" i="2"/>
  <c r="W37" i="2"/>
  <c r="S38" i="2"/>
  <c r="U44" i="2"/>
  <c r="V47" i="2"/>
  <c r="V50" i="2"/>
  <c r="S54" i="2"/>
  <c r="Y59" i="2"/>
  <c r="V60" i="2"/>
  <c r="Z62" i="2"/>
  <c r="V63" i="2"/>
  <c r="V66" i="2"/>
  <c r="Y69" i="2"/>
  <c r="X70" i="2"/>
  <c r="AB71" i="2"/>
  <c r="AE71" i="2"/>
  <c r="AF71" i="2" s="1"/>
  <c r="R71" i="2"/>
  <c r="Z74" i="2"/>
  <c r="U83" i="2"/>
  <c r="Z95" i="2"/>
  <c r="AE97" i="2"/>
  <c r="AF97" i="2" s="1"/>
  <c r="S97" i="2"/>
  <c r="AD97" i="2"/>
  <c r="R97" i="2"/>
  <c r="Z97" i="2"/>
  <c r="Y97" i="2"/>
  <c r="X97" i="2"/>
  <c r="W97" i="2"/>
  <c r="AC97" i="2"/>
  <c r="W101" i="2"/>
  <c r="V101" i="2"/>
  <c r="AA101" i="2"/>
  <c r="Z101" i="2"/>
  <c r="Y101" i="2"/>
  <c r="X101" i="2"/>
  <c r="AD101" i="2"/>
  <c r="AC115" i="2"/>
  <c r="U122" i="2"/>
  <c r="AB136" i="2"/>
  <c r="AA136" i="2"/>
  <c r="Z136" i="2"/>
  <c r="Y136" i="2"/>
  <c r="AE136" i="2"/>
  <c r="AF136" i="2" s="1"/>
  <c r="S136" i="2"/>
  <c r="X136" i="2"/>
  <c r="W136" i="2"/>
  <c r="V136" i="2"/>
  <c r="U136" i="2"/>
  <c r="W145" i="2"/>
  <c r="V150" i="2"/>
  <c r="AA158" i="2"/>
  <c r="V160" i="2"/>
  <c r="Y163" i="2"/>
  <c r="X163" i="2"/>
  <c r="W163" i="2"/>
  <c r="V163" i="2"/>
  <c r="AB163" i="2"/>
  <c r="AE163" i="2"/>
  <c r="AF163" i="2" s="1"/>
  <c r="AD163" i="2"/>
  <c r="S163" i="2"/>
  <c r="W165" i="2"/>
  <c r="U173" i="2"/>
  <c r="Z175" i="2"/>
  <c r="X186" i="2"/>
  <c r="W186" i="2"/>
  <c r="AA186" i="2"/>
  <c r="Z186" i="2"/>
  <c r="Y186" i="2"/>
  <c r="V186" i="2"/>
  <c r="AD186" i="2"/>
  <c r="S186" i="2"/>
  <c r="W199" i="2"/>
  <c r="AD51" i="2"/>
  <c r="R51" i="2"/>
  <c r="V82" i="2"/>
  <c r="U82" i="2"/>
  <c r="AC82" i="2"/>
  <c r="AB82" i="2"/>
  <c r="AA82" i="2"/>
  <c r="Z82" i="2"/>
  <c r="AB100" i="2"/>
  <c r="AA100" i="2"/>
  <c r="AD100" i="2"/>
  <c r="AC100" i="2"/>
  <c r="Z100" i="2"/>
  <c r="Y100" i="2"/>
  <c r="S100" i="2"/>
  <c r="Z110" i="2"/>
  <c r="Y110" i="2"/>
  <c r="AD110" i="2"/>
  <c r="AC110" i="2"/>
  <c r="AB110" i="2"/>
  <c r="AA110" i="2"/>
  <c r="S110" i="2"/>
  <c r="Z134" i="2"/>
  <c r="Y134" i="2"/>
  <c r="X134" i="2"/>
  <c r="W134" i="2"/>
  <c r="AC134" i="2"/>
  <c r="A134" i="2"/>
  <c r="AE134" i="2"/>
  <c r="AF134" i="2" s="1"/>
  <c r="AD134" i="2"/>
  <c r="AB134" i="2"/>
  <c r="R134" i="2"/>
  <c r="AE230" i="2"/>
  <c r="AF230" i="2" s="1"/>
  <c r="S230" i="2"/>
  <c r="AD230" i="2"/>
  <c r="R230" i="2"/>
  <c r="AA230" i="2"/>
  <c r="Z230" i="2"/>
  <c r="Y230" i="2"/>
  <c r="AB230" i="2"/>
  <c r="X230" i="2"/>
  <c r="W230" i="2"/>
  <c r="V230" i="2"/>
  <c r="AC230" i="2"/>
  <c r="U230" i="2"/>
  <c r="W23" i="2"/>
  <c r="Z25" i="2"/>
  <c r="U8" i="2"/>
  <c r="V10" i="2"/>
  <c r="AD11" i="2"/>
  <c r="Y12" i="2"/>
  <c r="X15" i="2"/>
  <c r="AA17" i="2"/>
  <c r="V18" i="2"/>
  <c r="AE18" i="2" s="1"/>
  <c r="AD19" i="2"/>
  <c r="Y20" i="2"/>
  <c r="X23" i="2"/>
  <c r="AA25" i="2"/>
  <c r="AD27" i="2"/>
  <c r="AE27" i="2" s="1"/>
  <c r="Y28" i="2"/>
  <c r="AC30" i="2"/>
  <c r="X31" i="2"/>
  <c r="AC32" i="2"/>
  <c r="A32" i="2"/>
  <c r="AC33" i="2"/>
  <c r="Y34" i="2"/>
  <c r="U35" i="2"/>
  <c r="A36" i="2"/>
  <c r="AD36" i="2"/>
  <c r="Y37" i="2"/>
  <c r="U38" i="2"/>
  <c r="AA40" i="2"/>
  <c r="AA43" i="2"/>
  <c r="W44" i="2"/>
  <c r="AB46" i="2"/>
  <c r="X47" i="2"/>
  <c r="AC49" i="2"/>
  <c r="Y50" i="2"/>
  <c r="U51" i="2"/>
  <c r="A52" i="2"/>
  <c r="AD52" i="2"/>
  <c r="U54" i="2"/>
  <c r="A55" i="2"/>
  <c r="AD55" i="2"/>
  <c r="Z56" i="2"/>
  <c r="V57" i="2"/>
  <c r="AB59" i="2"/>
  <c r="X60" i="2"/>
  <c r="AB62" i="2"/>
  <c r="X63" i="2"/>
  <c r="X66" i="2"/>
  <c r="AC69" i="2"/>
  <c r="Z70" i="2"/>
  <c r="V71" i="2"/>
  <c r="AB74" i="2"/>
  <c r="AA76" i="2"/>
  <c r="W76" i="2"/>
  <c r="AA81" i="2"/>
  <c r="Z81" i="2"/>
  <c r="R81" i="2"/>
  <c r="AE81" i="2"/>
  <c r="AF81" i="2" s="1"/>
  <c r="A81" i="2"/>
  <c r="AD81" i="2"/>
  <c r="AC81" i="2"/>
  <c r="W82" i="2"/>
  <c r="AA83" i="2"/>
  <c r="AA90" i="2"/>
  <c r="V97" i="2"/>
  <c r="U100" i="2"/>
  <c r="AB101" i="2"/>
  <c r="U110" i="2"/>
  <c r="AA122" i="2"/>
  <c r="U134" i="2"/>
  <c r="AD136" i="2"/>
  <c r="Y139" i="2"/>
  <c r="X139" i="2"/>
  <c r="W139" i="2"/>
  <c r="V139" i="2"/>
  <c r="AB139" i="2"/>
  <c r="AC139" i="2"/>
  <c r="AA139" i="2"/>
  <c r="Z139" i="2"/>
  <c r="U139" i="2"/>
  <c r="AD158" i="2"/>
  <c r="Z163" i="2"/>
  <c r="AC175" i="2"/>
  <c r="AB186" i="2"/>
  <c r="AD213" i="2"/>
  <c r="R213" i="2"/>
  <c r="Z213" i="2"/>
  <c r="Y213" i="2"/>
  <c r="X213" i="2"/>
  <c r="W213" i="2"/>
  <c r="A213" i="2"/>
  <c r="U213" i="2"/>
  <c r="AC213" i="2"/>
  <c r="AB213" i="2"/>
  <c r="AA213" i="2"/>
  <c r="V213" i="2"/>
  <c r="Y236" i="2"/>
  <c r="X236" i="2"/>
  <c r="AD236" i="2"/>
  <c r="R236" i="2"/>
  <c r="AC236" i="2"/>
  <c r="AB236" i="2"/>
  <c r="AA236" i="2"/>
  <c r="U236" i="2"/>
  <c r="AE236" i="2"/>
  <c r="AF236" i="2" s="1"/>
  <c r="Z236" i="2"/>
  <c r="W236" i="2"/>
  <c r="S236" i="2"/>
  <c r="A236" i="2"/>
  <c r="V251" i="2"/>
  <c r="U251" i="2"/>
  <c r="AA251" i="2"/>
  <c r="Z251" i="2"/>
  <c r="Y251" i="2"/>
  <c r="X251" i="2"/>
  <c r="AE251" i="2"/>
  <c r="AF251" i="2" s="1"/>
  <c r="AD251" i="2"/>
  <c r="AC251" i="2"/>
  <c r="R251" i="2"/>
  <c r="A251" i="2"/>
  <c r="W251" i="2"/>
  <c r="AD30" i="2"/>
  <c r="Y31" i="2"/>
  <c r="U32" i="2"/>
  <c r="A33" i="2"/>
  <c r="AD33" i="2"/>
  <c r="Z34" i="2"/>
  <c r="V35" i="2"/>
  <c r="R36" i="2"/>
  <c r="AE36" i="2"/>
  <c r="AF36" i="2" s="1"/>
  <c r="Z37" i="2"/>
  <c r="V38" i="2"/>
  <c r="AB40" i="2"/>
  <c r="S42" i="2"/>
  <c r="AB43" i="2"/>
  <c r="X44" i="2"/>
  <c r="AC46" i="2"/>
  <c r="Y47" i="2"/>
  <c r="V48" i="2"/>
  <c r="A49" i="2"/>
  <c r="AD49" i="2"/>
  <c r="Z50" i="2"/>
  <c r="V51" i="2"/>
  <c r="R52" i="2"/>
  <c r="AE52" i="2"/>
  <c r="AF52" i="2" s="1"/>
  <c r="V54" i="2"/>
  <c r="R55" i="2"/>
  <c r="AE55" i="2"/>
  <c r="AF55" i="2" s="1"/>
  <c r="AA56" i="2"/>
  <c r="W57" i="2"/>
  <c r="AE58" i="2"/>
  <c r="AF58" i="2" s="1"/>
  <c r="S58" i="2"/>
  <c r="AC59" i="2"/>
  <c r="Y60" i="2"/>
  <c r="AC62" i="2"/>
  <c r="Y63" i="2"/>
  <c r="U64" i="2"/>
  <c r="Y66" i="2"/>
  <c r="U67" i="2"/>
  <c r="AD69" i="2"/>
  <c r="AA70" i="2"/>
  <c r="W71" i="2"/>
  <c r="W72" i="2"/>
  <c r="AA72" i="2"/>
  <c r="A73" i="2"/>
  <c r="AC74" i="2"/>
  <c r="U76" i="2"/>
  <c r="R78" i="2"/>
  <c r="A79" i="2"/>
  <c r="U81" i="2"/>
  <c r="X82" i="2"/>
  <c r="AD83" i="2"/>
  <c r="AA97" i="2"/>
  <c r="V100" i="2"/>
  <c r="AC101" i="2"/>
  <c r="AE109" i="2"/>
  <c r="AF109" i="2" s="1"/>
  <c r="S109" i="2"/>
  <c r="AD109" i="2"/>
  <c r="R109" i="2"/>
  <c r="A109" i="2"/>
  <c r="AC109" i="2"/>
  <c r="AB109" i="2"/>
  <c r="V109" i="2"/>
  <c r="V110" i="2"/>
  <c r="W113" i="2"/>
  <c r="V113" i="2"/>
  <c r="R113" i="2"/>
  <c r="AE113" i="2"/>
  <c r="AF113" i="2" s="1"/>
  <c r="A113" i="2"/>
  <c r="AD113" i="2"/>
  <c r="AC113" i="2"/>
  <c r="U113" i="2"/>
  <c r="AE121" i="2"/>
  <c r="AF121" i="2" s="1"/>
  <c r="S121" i="2"/>
  <c r="AD121" i="2"/>
  <c r="R121" i="2"/>
  <c r="AC121" i="2"/>
  <c r="A121" i="2"/>
  <c r="AB121" i="2"/>
  <c r="AA121" i="2"/>
  <c r="Z121" i="2"/>
  <c r="Y121" i="2"/>
  <c r="V134" i="2"/>
  <c r="AD139" i="2"/>
  <c r="A144" i="2"/>
  <c r="AA153" i="2"/>
  <c r="Z153" i="2"/>
  <c r="Y153" i="2"/>
  <c r="X153" i="2"/>
  <c r="AD153" i="2"/>
  <c r="R153" i="2"/>
  <c r="AC153" i="2"/>
  <c r="AB153" i="2"/>
  <c r="W153" i="2"/>
  <c r="V153" i="2"/>
  <c r="AE158" i="2"/>
  <c r="AF158" i="2" s="1"/>
  <c r="AA163" i="2"/>
  <c r="AE175" i="2"/>
  <c r="AF175" i="2" s="1"/>
  <c r="AC186" i="2"/>
  <c r="W200" i="2"/>
  <c r="AA200" i="2"/>
  <c r="Z200" i="2"/>
  <c r="Y200" i="2"/>
  <c r="X200" i="2"/>
  <c r="R200" i="2"/>
  <c r="A200" i="2"/>
  <c r="U200" i="2"/>
  <c r="S200" i="2"/>
  <c r="AB200" i="2"/>
  <c r="AE213" i="2"/>
  <c r="AF213" i="2" s="1"/>
  <c r="V236" i="2"/>
  <c r="AB251" i="2"/>
  <c r="W15" i="2"/>
  <c r="AE15" i="2" s="1"/>
  <c r="V8" i="2"/>
  <c r="AE8" i="2" s="1"/>
  <c r="AB16" i="2"/>
  <c r="A16" i="2"/>
  <c r="AB17" i="2"/>
  <c r="Y23" i="2"/>
  <c r="AB24" i="2"/>
  <c r="A24" i="2"/>
  <c r="AB25" i="2"/>
  <c r="W8" i="2"/>
  <c r="X10" i="2"/>
  <c r="AA12" i="2"/>
  <c r="W13" i="2"/>
  <c r="AE13" i="2" s="1"/>
  <c r="AE14" i="2"/>
  <c r="AF14" i="2" s="1"/>
  <c r="Z15" i="2"/>
  <c r="U16" i="2"/>
  <c r="A17" i="2"/>
  <c r="AC17" i="2"/>
  <c r="X18" i="2"/>
  <c r="AA20" i="2"/>
  <c r="W21" i="2"/>
  <c r="AE21" i="2" s="1"/>
  <c r="AE22" i="2"/>
  <c r="AF22" i="2" s="1"/>
  <c r="Z23" i="2"/>
  <c r="U24" i="2"/>
  <c r="A25" i="2"/>
  <c r="AC25" i="2"/>
  <c r="X26" i="2"/>
  <c r="AE26" i="2" s="1"/>
  <c r="AA28" i="2"/>
  <c r="W29" i="2"/>
  <c r="AE29" i="2" s="1"/>
  <c r="Z31" i="2"/>
  <c r="V32" i="2"/>
  <c r="R33" i="2"/>
  <c r="AE33" i="2"/>
  <c r="AF33" i="2" s="1"/>
  <c r="AA34" i="2"/>
  <c r="W35" i="2"/>
  <c r="S36" i="2"/>
  <c r="AA37" i="2"/>
  <c r="X38" i="2"/>
  <c r="AD39" i="2"/>
  <c r="R39" i="2"/>
  <c r="AC40" i="2"/>
  <c r="AC43" i="2"/>
  <c r="Y44" i="2"/>
  <c r="A46" i="2"/>
  <c r="AD46" i="2"/>
  <c r="AA47" i="2"/>
  <c r="W48" i="2"/>
  <c r="R49" i="2"/>
  <c r="AE49" i="2"/>
  <c r="AF49" i="2" s="1"/>
  <c r="AA50" i="2"/>
  <c r="W51" i="2"/>
  <c r="S52" i="2"/>
  <c r="W54" i="2"/>
  <c r="S55" i="2"/>
  <c r="AB56" i="2"/>
  <c r="Y57" i="2"/>
  <c r="A59" i="2"/>
  <c r="AD59" i="2"/>
  <c r="Z60" i="2"/>
  <c r="A62" i="2"/>
  <c r="AD62" i="2"/>
  <c r="Z63" i="2"/>
  <c r="V64" i="2"/>
  <c r="Z66" i="2"/>
  <c r="W67" i="2"/>
  <c r="AE68" i="2"/>
  <c r="AF68" i="2" s="1"/>
  <c r="S68" i="2"/>
  <c r="AD68" i="2"/>
  <c r="A68" i="2"/>
  <c r="A69" i="2"/>
  <c r="AE69" i="2"/>
  <c r="AF69" i="2" s="1"/>
  <c r="AB70" i="2"/>
  <c r="X71" i="2"/>
  <c r="AD74" i="2"/>
  <c r="V76" i="2"/>
  <c r="V77" i="2"/>
  <c r="S77" i="2"/>
  <c r="AC77" i="2"/>
  <c r="R79" i="2"/>
  <c r="V81" i="2"/>
  <c r="Y82" i="2"/>
  <c r="AE83" i="2"/>
  <c r="AF83" i="2" s="1"/>
  <c r="A91" i="2"/>
  <c r="X96" i="2"/>
  <c r="W96" i="2"/>
  <c r="AC96" i="2"/>
  <c r="AB96" i="2"/>
  <c r="AA96" i="2"/>
  <c r="Z96" i="2"/>
  <c r="R96" i="2"/>
  <c r="AB97" i="2"/>
  <c r="W100" i="2"/>
  <c r="AE101" i="2"/>
  <c r="AF101" i="2" s="1"/>
  <c r="A106" i="2"/>
  <c r="W110" i="2"/>
  <c r="AA134" i="2"/>
  <c r="AE139" i="2"/>
  <c r="AF139" i="2" s="1"/>
  <c r="R144" i="2"/>
  <c r="Z146" i="2"/>
  <c r="Y146" i="2"/>
  <c r="X146" i="2"/>
  <c r="W146" i="2"/>
  <c r="AC146" i="2"/>
  <c r="A146" i="2"/>
  <c r="AE146" i="2"/>
  <c r="AF146" i="2" s="1"/>
  <c r="AD146" i="2"/>
  <c r="S146" i="2"/>
  <c r="AB148" i="2"/>
  <c r="AA148" i="2"/>
  <c r="Z148" i="2"/>
  <c r="Y148" i="2"/>
  <c r="AE148" i="2"/>
  <c r="AF148" i="2" s="1"/>
  <c r="S148" i="2"/>
  <c r="AC148" i="2"/>
  <c r="X148" i="2"/>
  <c r="W148" i="2"/>
  <c r="V148" i="2"/>
  <c r="R151" i="2"/>
  <c r="U153" i="2"/>
  <c r="AD162" i="2"/>
  <c r="R162" i="2"/>
  <c r="AC162" i="2"/>
  <c r="A162" i="2"/>
  <c r="AB162" i="2"/>
  <c r="AA162" i="2"/>
  <c r="U162" i="2"/>
  <c r="AE162" i="2"/>
  <c r="AF162" i="2" s="1"/>
  <c r="Z162" i="2"/>
  <c r="S162" i="2"/>
  <c r="AC163" i="2"/>
  <c r="W174" i="2"/>
  <c r="AB174" i="2"/>
  <c r="AA174" i="2"/>
  <c r="Z174" i="2"/>
  <c r="Y174" i="2"/>
  <c r="AE174" i="2"/>
  <c r="AF174" i="2" s="1"/>
  <c r="R174" i="2"/>
  <c r="AD174" i="2"/>
  <c r="S174" i="2"/>
  <c r="AE186" i="2"/>
  <c r="AF186" i="2" s="1"/>
  <c r="V200" i="2"/>
  <c r="V227" i="2"/>
  <c r="Y227" i="2"/>
  <c r="X227" i="2"/>
  <c r="W227" i="2"/>
  <c r="AC227" i="2"/>
  <c r="AB227" i="2"/>
  <c r="AA227" i="2"/>
  <c r="Z227" i="2"/>
  <c r="A227" i="2"/>
  <c r="R227" i="2"/>
  <c r="AE227" i="2"/>
  <c r="AF227" i="2" s="1"/>
  <c r="AD227" i="2"/>
  <c r="U227" i="2"/>
  <c r="AA15" i="2"/>
  <c r="V16" i="2"/>
  <c r="AD17" i="2"/>
  <c r="AD25" i="2"/>
  <c r="Y26" i="2"/>
  <c r="AC28" i="2"/>
  <c r="AA31" i="2"/>
  <c r="S33" i="2"/>
  <c r="AB34" i="2"/>
  <c r="X35" i="2"/>
  <c r="AC37" i="2"/>
  <c r="Y38" i="2"/>
  <c r="Z44" i="2"/>
  <c r="R46" i="2"/>
  <c r="AB47" i="2"/>
  <c r="S49" i="2"/>
  <c r="AB50" i="2"/>
  <c r="X51" i="2"/>
  <c r="X54" i="2"/>
  <c r="Z57" i="2"/>
  <c r="R59" i="2"/>
  <c r="AE59" i="2"/>
  <c r="AF59" i="2" s="1"/>
  <c r="AA60" i="2"/>
  <c r="R62" i="2"/>
  <c r="AE62" i="2"/>
  <c r="AF62" i="2" s="1"/>
  <c r="AA63" i="2"/>
  <c r="AB66" i="2"/>
  <c r="R69" i="2"/>
  <c r="AC70" i="2"/>
  <c r="Y71" i="2"/>
  <c r="AD73" i="2"/>
  <c r="R73" i="2"/>
  <c r="W73" i="2"/>
  <c r="A74" i="2"/>
  <c r="AE74" i="2"/>
  <c r="AF74" i="2" s="1"/>
  <c r="X76" i="2"/>
  <c r="AC78" i="2"/>
  <c r="A78" i="2"/>
  <c r="AB78" i="2"/>
  <c r="Z78" i="2"/>
  <c r="Y78" i="2"/>
  <c r="S79" i="2"/>
  <c r="W81" i="2"/>
  <c r="AD82" i="2"/>
  <c r="S86" i="2"/>
  <c r="R91" i="2"/>
  <c r="X100" i="2"/>
  <c r="R106" i="2"/>
  <c r="X110" i="2"/>
  <c r="S144" i="2"/>
  <c r="S151" i="2"/>
  <c r="V162" i="2"/>
  <c r="U174" i="2"/>
  <c r="AC185" i="2"/>
  <c r="A185" i="2"/>
  <c r="AB185" i="2"/>
  <c r="AD185" i="2"/>
  <c r="AA185" i="2"/>
  <c r="Z185" i="2"/>
  <c r="Y185" i="2"/>
  <c r="S185" i="2"/>
  <c r="AE185" i="2"/>
  <c r="AF185" i="2" s="1"/>
  <c r="X185" i="2"/>
  <c r="AC200" i="2"/>
  <c r="Z219" i="2"/>
  <c r="S219" i="2"/>
  <c r="AE219" i="2"/>
  <c r="AF219" i="2" s="1"/>
  <c r="R219" i="2"/>
  <c r="AB219" i="2"/>
  <c r="AA219" i="2"/>
  <c r="Y219" i="2"/>
  <c r="X219" i="2"/>
  <c r="A219" i="2"/>
  <c r="AD219" i="2"/>
  <c r="AC219" i="2"/>
  <c r="A234" i="2"/>
  <c r="AD114" i="2"/>
  <c r="R114" i="2"/>
  <c r="AC114" i="2"/>
  <c r="A114" i="2"/>
  <c r="AC119" i="2"/>
  <c r="A119" i="2"/>
  <c r="AB119" i="2"/>
  <c r="AA119" i="2"/>
  <c r="AE157" i="2"/>
  <c r="AF157" i="2" s="1"/>
  <c r="S157" i="2"/>
  <c r="AD157" i="2"/>
  <c r="R157" i="2"/>
  <c r="AC157" i="2"/>
  <c r="A157" i="2"/>
  <c r="AB157" i="2"/>
  <c r="V157" i="2"/>
  <c r="AC168" i="2"/>
  <c r="A168" i="2"/>
  <c r="Z168" i="2"/>
  <c r="Y168" i="2"/>
  <c r="X168" i="2"/>
  <c r="W168" i="2"/>
  <c r="AD168" i="2"/>
  <c r="AA178" i="2"/>
  <c r="X178" i="2"/>
  <c r="W178" i="2"/>
  <c r="V178" i="2"/>
  <c r="U178" i="2"/>
  <c r="AB178" i="2"/>
  <c r="Y190" i="2"/>
  <c r="AC190" i="2"/>
  <c r="AB190" i="2"/>
  <c r="AA190" i="2"/>
  <c r="AD190" i="2"/>
  <c r="Z190" i="2"/>
  <c r="X190" i="2"/>
  <c r="W190" i="2"/>
  <c r="A190" i="2"/>
  <c r="V193" i="2"/>
  <c r="AC193" i="2"/>
  <c r="AB193" i="2"/>
  <c r="AA193" i="2"/>
  <c r="S193" i="2"/>
  <c r="R193" i="2"/>
  <c r="A193" i="2"/>
  <c r="W193" i="2"/>
  <c r="Z209" i="2"/>
  <c r="AD209" i="2"/>
  <c r="A209" i="2"/>
  <c r="AC209" i="2"/>
  <c r="AB209" i="2"/>
  <c r="AA209" i="2"/>
  <c r="S209" i="2"/>
  <c r="R209" i="2"/>
  <c r="V209" i="2"/>
  <c r="X229" i="2"/>
  <c r="AD229" i="2"/>
  <c r="A229" i="2"/>
  <c r="AC229" i="2"/>
  <c r="AB229" i="2"/>
  <c r="Y229" i="2"/>
  <c r="W229" i="2"/>
  <c r="V229" i="2"/>
  <c r="U229" i="2"/>
  <c r="R229" i="2"/>
  <c r="Z229" i="2"/>
  <c r="W258" i="2"/>
  <c r="X258" i="2"/>
  <c r="V258" i="2"/>
  <c r="AC258" i="2"/>
  <c r="AD258" i="2"/>
  <c r="AB258" i="2"/>
  <c r="AA258" i="2"/>
  <c r="R258" i="2"/>
  <c r="A258" i="2"/>
  <c r="Y258" i="2"/>
  <c r="S258" i="2"/>
  <c r="Z258" i="2"/>
  <c r="A80" i="2"/>
  <c r="AD80" i="2"/>
  <c r="AB88" i="2"/>
  <c r="AA88" i="2"/>
  <c r="AA93" i="2"/>
  <c r="Z93" i="2"/>
  <c r="Z98" i="2"/>
  <c r="Y98" i="2"/>
  <c r="AC107" i="2"/>
  <c r="A107" i="2"/>
  <c r="AB107" i="2"/>
  <c r="Z114" i="2"/>
  <c r="Z119" i="2"/>
  <c r="AD126" i="2"/>
  <c r="R126" i="2"/>
  <c r="AC126" i="2"/>
  <c r="A126" i="2"/>
  <c r="AB126" i="2"/>
  <c r="AA126" i="2"/>
  <c r="U126" i="2"/>
  <c r="Y127" i="2"/>
  <c r="X127" i="2"/>
  <c r="W127" i="2"/>
  <c r="V127" i="2"/>
  <c r="AB127" i="2"/>
  <c r="X132" i="2"/>
  <c r="W132" i="2"/>
  <c r="V132" i="2"/>
  <c r="U132" i="2"/>
  <c r="AA132" i="2"/>
  <c r="AA141" i="2"/>
  <c r="Z141" i="2"/>
  <c r="Y141" i="2"/>
  <c r="X141" i="2"/>
  <c r="AD141" i="2"/>
  <c r="R141" i="2"/>
  <c r="AA157" i="2"/>
  <c r="Z171" i="2"/>
  <c r="AB171" i="2"/>
  <c r="AA171" i="2"/>
  <c r="Y171" i="2"/>
  <c r="X171" i="2"/>
  <c r="AE171" i="2"/>
  <c r="AF171" i="2" s="1"/>
  <c r="R171" i="2"/>
  <c r="Y181" i="2"/>
  <c r="X181" i="2"/>
  <c r="AB181" i="2"/>
  <c r="AA181" i="2"/>
  <c r="Z181" i="2"/>
  <c r="W181" i="2"/>
  <c r="AE181" i="2"/>
  <c r="AF181" i="2" s="1"/>
  <c r="A181" i="2"/>
  <c r="V184" i="2"/>
  <c r="U184" i="2"/>
  <c r="R184" i="2"/>
  <c r="AE184" i="2"/>
  <c r="AF184" i="2" s="1"/>
  <c r="A184" i="2"/>
  <c r="AD184" i="2"/>
  <c r="AC184" i="2"/>
  <c r="W184" i="2"/>
  <c r="AE193" i="2"/>
  <c r="AF193" i="2" s="1"/>
  <c r="AA267" i="2"/>
  <c r="Z267" i="2"/>
  <c r="AD267" i="2"/>
  <c r="AC267" i="2"/>
  <c r="U267" i="2"/>
  <c r="X267" i="2"/>
  <c r="W267" i="2"/>
  <c r="V267" i="2"/>
  <c r="S267" i="2"/>
  <c r="AE267" i="2"/>
  <c r="AF267" i="2" s="1"/>
  <c r="Y267" i="2"/>
  <c r="R267" i="2"/>
  <c r="X84" i="2"/>
  <c r="W84" i="2"/>
  <c r="U88" i="2"/>
  <c r="U93" i="2"/>
  <c r="U98" i="2"/>
  <c r="U107" i="2"/>
  <c r="AA114" i="2"/>
  <c r="AD119" i="2"/>
  <c r="AB124" i="2"/>
  <c r="AA124" i="2"/>
  <c r="Z124" i="2"/>
  <c r="Y124" i="2"/>
  <c r="AE124" i="2"/>
  <c r="AF124" i="2" s="1"/>
  <c r="V126" i="2"/>
  <c r="U127" i="2"/>
  <c r="AA129" i="2"/>
  <c r="Z129" i="2"/>
  <c r="Y129" i="2"/>
  <c r="X129" i="2"/>
  <c r="AD129" i="2"/>
  <c r="R129" i="2"/>
  <c r="Y132" i="2"/>
  <c r="U141" i="2"/>
  <c r="U171" i="2"/>
  <c r="U181" i="2"/>
  <c r="X184" i="2"/>
  <c r="U220" i="2"/>
  <c r="AB220" i="2"/>
  <c r="AA220" i="2"/>
  <c r="Z220" i="2"/>
  <c r="Y220" i="2"/>
  <c r="X220" i="2"/>
  <c r="W220" i="2"/>
  <c r="A220" i="2"/>
  <c r="R220" i="2"/>
  <c r="V220" i="2"/>
  <c r="V239" i="2"/>
  <c r="U239" i="2"/>
  <c r="AA239" i="2"/>
  <c r="S239" i="2"/>
  <c r="R239" i="2"/>
  <c r="A239" i="2"/>
  <c r="AD239" i="2"/>
  <c r="AC239" i="2"/>
  <c r="AB239" i="2"/>
  <c r="Z239" i="2"/>
  <c r="AE239" i="2"/>
  <c r="AF239" i="2" s="1"/>
  <c r="Y239" i="2"/>
  <c r="X239" i="2"/>
  <c r="V263" i="2"/>
  <c r="AC263" i="2"/>
  <c r="AB263" i="2"/>
  <c r="U263" i="2"/>
  <c r="AE263" i="2"/>
  <c r="AF263" i="2" s="1"/>
  <c r="AD263" i="2"/>
  <c r="AA263" i="2"/>
  <c r="Z263" i="2"/>
  <c r="Y263" i="2"/>
  <c r="X263" i="2"/>
  <c r="A263" i="2"/>
  <c r="S263" i="2"/>
  <c r="R263" i="2"/>
  <c r="AB267" i="2"/>
  <c r="AE80" i="2"/>
  <c r="AF80" i="2" s="1"/>
  <c r="S80" i="2"/>
  <c r="U84" i="2"/>
  <c r="AE85" i="2"/>
  <c r="AF85" i="2" s="1"/>
  <c r="S85" i="2"/>
  <c r="AD85" i="2"/>
  <c r="R85" i="2"/>
  <c r="V88" i="2"/>
  <c r="V93" i="2"/>
  <c r="V98" i="2"/>
  <c r="Y103" i="2"/>
  <c r="X103" i="2"/>
  <c r="V107" i="2"/>
  <c r="AB112" i="2"/>
  <c r="AA112" i="2"/>
  <c r="AB114" i="2"/>
  <c r="AA117" i="2"/>
  <c r="Z117" i="2"/>
  <c r="AE119" i="2"/>
  <c r="AF119" i="2" s="1"/>
  <c r="U124" i="2"/>
  <c r="W126" i="2"/>
  <c r="Z127" i="2"/>
  <c r="U129" i="2"/>
  <c r="Z132" i="2"/>
  <c r="V141" i="2"/>
  <c r="AE170" i="2"/>
  <c r="AF170" i="2" s="1"/>
  <c r="S170" i="2"/>
  <c r="R170" i="2"/>
  <c r="AD170" i="2"/>
  <c r="A170" i="2"/>
  <c r="AC170" i="2"/>
  <c r="AB170" i="2"/>
  <c r="V170" i="2"/>
  <c r="V171" i="2"/>
  <c r="V181" i="2"/>
  <c r="Y184" i="2"/>
  <c r="AC194" i="2"/>
  <c r="A194" i="2"/>
  <c r="Y194" i="2"/>
  <c r="X194" i="2"/>
  <c r="W194" i="2"/>
  <c r="S194" i="2"/>
  <c r="R194" i="2"/>
  <c r="V194" i="2"/>
  <c r="U210" i="2"/>
  <c r="Z210" i="2"/>
  <c r="Y210" i="2"/>
  <c r="X210" i="2"/>
  <c r="W210" i="2"/>
  <c r="S210" i="2"/>
  <c r="R210" i="2"/>
  <c r="A210" i="2"/>
  <c r="AA210" i="2"/>
  <c r="AC220" i="2"/>
  <c r="W239" i="2"/>
  <c r="W263" i="2"/>
  <c r="W281" i="2"/>
  <c r="AC281" i="2"/>
  <c r="A281" i="2"/>
  <c r="AB281" i="2"/>
  <c r="Z281" i="2"/>
  <c r="Y281" i="2"/>
  <c r="X281" i="2"/>
  <c r="AA281" i="2"/>
  <c r="V281" i="2"/>
  <c r="U281" i="2"/>
  <c r="S281" i="2"/>
  <c r="AD281" i="2"/>
  <c r="AE281" i="2"/>
  <c r="AF281" i="2" s="1"/>
  <c r="R281" i="2"/>
  <c r="U80" i="2"/>
  <c r="V84" i="2"/>
  <c r="U85" i="2"/>
  <c r="W88" i="2"/>
  <c r="W89" i="2"/>
  <c r="V89" i="2"/>
  <c r="W93" i="2"/>
  <c r="V94" i="2"/>
  <c r="U94" i="2"/>
  <c r="W98" i="2"/>
  <c r="U103" i="2"/>
  <c r="W107" i="2"/>
  <c r="X108" i="2"/>
  <c r="W108" i="2"/>
  <c r="U112" i="2"/>
  <c r="AE114" i="2"/>
  <c r="AF114" i="2" s="1"/>
  <c r="U117" i="2"/>
  <c r="V124" i="2"/>
  <c r="X126" i="2"/>
  <c r="AA127" i="2"/>
  <c r="V129" i="2"/>
  <c r="AB132" i="2"/>
  <c r="W141" i="2"/>
  <c r="U170" i="2"/>
  <c r="W171" i="2"/>
  <c r="A178" i="2"/>
  <c r="AC181" i="2"/>
  <c r="Z184" i="2"/>
  <c r="AE187" i="2"/>
  <c r="AF187" i="2" s="1"/>
  <c r="S187" i="2"/>
  <c r="AD187" i="2"/>
  <c r="R187" i="2"/>
  <c r="X187" i="2"/>
  <c r="W187" i="2"/>
  <c r="V187" i="2"/>
  <c r="U187" i="2"/>
  <c r="AA187" i="2"/>
  <c r="U194" i="2"/>
  <c r="V210" i="2"/>
  <c r="AD220" i="2"/>
  <c r="AD180" i="2"/>
  <c r="AC180" i="2"/>
  <c r="A180" i="2"/>
  <c r="AE196" i="2"/>
  <c r="AF196" i="2" s="1"/>
  <c r="S196" i="2"/>
  <c r="AD196" i="2"/>
  <c r="A196" i="2"/>
  <c r="AC196" i="2"/>
  <c r="AB196" i="2"/>
  <c r="AA196" i="2"/>
  <c r="Z197" i="2"/>
  <c r="AA197" i="2"/>
  <c r="Y197" i="2"/>
  <c r="X197" i="2"/>
  <c r="W197" i="2"/>
  <c r="W212" i="2"/>
  <c r="AD212" i="2"/>
  <c r="A212" i="2"/>
  <c r="AC212" i="2"/>
  <c r="AB212" i="2"/>
  <c r="AA212" i="2"/>
  <c r="AC216" i="2"/>
  <c r="A216" i="2"/>
  <c r="AE216" i="2"/>
  <c r="AF216" i="2" s="1"/>
  <c r="R216" i="2"/>
  <c r="AD216" i="2"/>
  <c r="AB216" i="2"/>
  <c r="AA216" i="2"/>
  <c r="Z231" i="2"/>
  <c r="Y231" i="2"/>
  <c r="X231" i="2"/>
  <c r="W231" i="2"/>
  <c r="V231" i="2"/>
  <c r="AD231" i="2"/>
  <c r="AC231" i="2"/>
  <c r="AB231" i="2"/>
  <c r="AA231" i="2"/>
  <c r="A231" i="2"/>
  <c r="Y295" i="2"/>
  <c r="AE295" i="2"/>
  <c r="AF295" i="2" s="1"/>
  <c r="S295" i="2"/>
  <c r="AD295" i="2"/>
  <c r="R295" i="2"/>
  <c r="AC295" i="2"/>
  <c r="V295" i="2"/>
  <c r="AB295" i="2"/>
  <c r="A295" i="2"/>
  <c r="X295" i="2"/>
  <c r="AC264" i="2"/>
  <c r="A264" i="2"/>
  <c r="Y264" i="2"/>
  <c r="X264" i="2"/>
  <c r="AE264" i="2"/>
  <c r="AF264" i="2" s="1"/>
  <c r="R264" i="2"/>
  <c r="AD264" i="2"/>
  <c r="AB264" i="2"/>
  <c r="U264" i="2"/>
  <c r="W264" i="2"/>
  <c r="W293" i="2"/>
  <c r="AC293" i="2"/>
  <c r="A293" i="2"/>
  <c r="AB293" i="2"/>
  <c r="S293" i="2"/>
  <c r="R293" i="2"/>
  <c r="X293" i="2"/>
  <c r="AA293" i="2"/>
  <c r="Z293" i="2"/>
  <c r="Y293" i="2"/>
  <c r="U293" i="2"/>
  <c r="AE293" i="2"/>
  <c r="AF293" i="2" s="1"/>
  <c r="Z264" i="2"/>
  <c r="V293" i="2"/>
  <c r="S130" i="2"/>
  <c r="AE130" i="2"/>
  <c r="AF130" i="2" s="1"/>
  <c r="Z131" i="2"/>
  <c r="S142" i="2"/>
  <c r="AE142" i="2"/>
  <c r="AF142" i="2" s="1"/>
  <c r="Z143" i="2"/>
  <c r="S154" i="2"/>
  <c r="AE154" i="2"/>
  <c r="AF154" i="2" s="1"/>
  <c r="Z155" i="2"/>
  <c r="S166" i="2"/>
  <c r="AE166" i="2"/>
  <c r="AF166" i="2" s="1"/>
  <c r="AA167" i="2"/>
  <c r="S169" i="2"/>
  <c r="A176" i="2"/>
  <c r="AD176" i="2"/>
  <c r="A179" i="2"/>
  <c r="AD179" i="2"/>
  <c r="Z180" i="2"/>
  <c r="Z196" i="2"/>
  <c r="AE197" i="2"/>
  <c r="AF197" i="2" s="1"/>
  <c r="AE212" i="2"/>
  <c r="AF212" i="2" s="1"/>
  <c r="Z216" i="2"/>
  <c r="AA226" i="2"/>
  <c r="AC226" i="2"/>
  <c r="AB226" i="2"/>
  <c r="Z226" i="2"/>
  <c r="AD226" i="2"/>
  <c r="Y226" i="2"/>
  <c r="X226" i="2"/>
  <c r="W226" i="2"/>
  <c r="R226" i="2"/>
  <c r="AA264" i="2"/>
  <c r="V268" i="2"/>
  <c r="U268" i="2"/>
  <c r="AA268" i="2"/>
  <c r="Z268" i="2"/>
  <c r="R268" i="2"/>
  <c r="AB268" i="2"/>
  <c r="Y268" i="2"/>
  <c r="X268" i="2"/>
  <c r="S268" i="2"/>
  <c r="A268" i="2"/>
  <c r="AD268" i="2"/>
  <c r="AD293" i="2"/>
  <c r="U125" i="2"/>
  <c r="AA131" i="2"/>
  <c r="AA143" i="2"/>
  <c r="U149" i="2"/>
  <c r="AA155" i="2"/>
  <c r="U161" i="2"/>
  <c r="AB167" i="2"/>
  <c r="V172" i="2"/>
  <c r="R176" i="2"/>
  <c r="AE176" i="2"/>
  <c r="AF176" i="2" s="1"/>
  <c r="R179" i="2"/>
  <c r="AE179" i="2"/>
  <c r="AF179" i="2" s="1"/>
  <c r="AA180" i="2"/>
  <c r="AE218" i="2"/>
  <c r="AF218" i="2" s="1"/>
  <c r="S218" i="2"/>
  <c r="W218" i="2"/>
  <c r="V218" i="2"/>
  <c r="AC218" i="2"/>
  <c r="AB218" i="2"/>
  <c r="AA218" i="2"/>
  <c r="Z218" i="2"/>
  <c r="R218" i="2"/>
  <c r="U226" i="2"/>
  <c r="X241" i="2"/>
  <c r="W241" i="2"/>
  <c r="AC241" i="2"/>
  <c r="A241" i="2"/>
  <c r="AE241" i="2"/>
  <c r="AF241" i="2" s="1"/>
  <c r="AD241" i="2"/>
  <c r="AB241" i="2"/>
  <c r="U241" i="2"/>
  <c r="Y260" i="2"/>
  <c r="AC260" i="2"/>
  <c r="AB260" i="2"/>
  <c r="U260" i="2"/>
  <c r="X260" i="2"/>
  <c r="W260" i="2"/>
  <c r="V260" i="2"/>
  <c r="R260" i="2"/>
  <c r="A260" i="2"/>
  <c r="AA260" i="2"/>
  <c r="W268" i="2"/>
  <c r="Z272" i="2"/>
  <c r="Y272" i="2"/>
  <c r="AE272" i="2"/>
  <c r="AF272" i="2" s="1"/>
  <c r="A272" i="2"/>
  <c r="AD272" i="2"/>
  <c r="AC272" i="2"/>
  <c r="U272" i="2"/>
  <c r="AA272" i="2"/>
  <c r="X272" i="2"/>
  <c r="W272" i="2"/>
  <c r="AB272" i="2"/>
  <c r="S92" i="2"/>
  <c r="S104" i="2"/>
  <c r="S116" i="2"/>
  <c r="U118" i="2"/>
  <c r="V125" i="2"/>
  <c r="S128" i="2"/>
  <c r="U130" i="2"/>
  <c r="AB131" i="2"/>
  <c r="V137" i="2"/>
  <c r="S140" i="2"/>
  <c r="U142" i="2"/>
  <c r="AB143" i="2"/>
  <c r="V149" i="2"/>
  <c r="S152" i="2"/>
  <c r="U154" i="2"/>
  <c r="AB155" i="2"/>
  <c r="V161" i="2"/>
  <c r="S164" i="2"/>
  <c r="U166" i="2"/>
  <c r="AC167" i="2"/>
  <c r="U169" i="2"/>
  <c r="W172" i="2"/>
  <c r="S176" i="2"/>
  <c r="S179" i="2"/>
  <c r="AB180" i="2"/>
  <c r="AA183" i="2"/>
  <c r="Z183" i="2"/>
  <c r="Z188" i="2"/>
  <c r="Y188" i="2"/>
  <c r="Y202" i="2"/>
  <c r="S202" i="2"/>
  <c r="AE202" i="2"/>
  <c r="AF202" i="2" s="1"/>
  <c r="R202" i="2"/>
  <c r="AD202" i="2"/>
  <c r="A202" i="2"/>
  <c r="AC202" i="2"/>
  <c r="U218" i="2"/>
  <c r="V226" i="2"/>
  <c r="V241" i="2"/>
  <c r="Z260" i="2"/>
  <c r="AC268" i="2"/>
  <c r="V272" i="2"/>
  <c r="AC287" i="2"/>
  <c r="A287" i="2"/>
  <c r="W287" i="2"/>
  <c r="V287" i="2"/>
  <c r="AD287" i="2"/>
  <c r="AB287" i="2"/>
  <c r="AA287" i="2"/>
  <c r="S287" i="2"/>
  <c r="AE287" i="2"/>
  <c r="AF287" i="2" s="1"/>
  <c r="X287" i="2"/>
  <c r="A131" i="2"/>
  <c r="A143" i="2"/>
  <c r="A155" i="2"/>
  <c r="A167" i="2"/>
  <c r="AD167" i="2"/>
  <c r="V169" i="2"/>
  <c r="X172" i="2"/>
  <c r="AE180" i="2"/>
  <c r="AF180" i="2" s="1"/>
  <c r="A197" i="2"/>
  <c r="AC206" i="2"/>
  <c r="A206" i="2"/>
  <c r="AB206" i="2"/>
  <c r="AA206" i="2"/>
  <c r="Z206" i="2"/>
  <c r="Y206" i="2"/>
  <c r="X207" i="2"/>
  <c r="Y207" i="2"/>
  <c r="W207" i="2"/>
  <c r="V207" i="2"/>
  <c r="U207" i="2"/>
  <c r="X218" i="2"/>
  <c r="AE226" i="2"/>
  <c r="AF226" i="2" s="1"/>
  <c r="AB233" i="2"/>
  <c r="AA233" i="2"/>
  <c r="U233" i="2"/>
  <c r="R233" i="2"/>
  <c r="A233" i="2"/>
  <c r="AE233" i="2"/>
  <c r="AF233" i="2" s="1"/>
  <c r="Y233" i="2"/>
  <c r="X233" i="2"/>
  <c r="W233" i="2"/>
  <c r="V233" i="2"/>
  <c r="AD235" i="2"/>
  <c r="R235" i="2"/>
  <c r="AC235" i="2"/>
  <c r="A235" i="2"/>
  <c r="W235" i="2"/>
  <c r="AE235" i="2"/>
  <c r="AF235" i="2" s="1"/>
  <c r="AB235" i="2"/>
  <c r="AA235" i="2"/>
  <c r="Z235" i="2"/>
  <c r="Y235" i="2"/>
  <c r="S235" i="2"/>
  <c r="Y241" i="2"/>
  <c r="AD260" i="2"/>
  <c r="AE268" i="2"/>
  <c r="AF268" i="2" s="1"/>
  <c r="Y283" i="2"/>
  <c r="AE283" i="2"/>
  <c r="AF283" i="2" s="1"/>
  <c r="S283" i="2"/>
  <c r="AD283" i="2"/>
  <c r="R283" i="2"/>
  <c r="X283" i="2"/>
  <c r="W283" i="2"/>
  <c r="V283" i="2"/>
  <c r="AC283" i="2"/>
  <c r="Z283" i="2"/>
  <c r="U287" i="2"/>
  <c r="AD294" i="2"/>
  <c r="R294" i="2"/>
  <c r="X294" i="2"/>
  <c r="W294" i="2"/>
  <c r="A294" i="2"/>
  <c r="AE294" i="2"/>
  <c r="AF294" i="2" s="1"/>
  <c r="V294" i="2"/>
  <c r="AC294" i="2"/>
  <c r="AB294" i="2"/>
  <c r="Z294" i="2"/>
  <c r="AA294" i="2"/>
  <c r="Y294" i="2"/>
  <c r="X217" i="2"/>
  <c r="AA217" i="2"/>
  <c r="Z217" i="2"/>
  <c r="AC240" i="2"/>
  <c r="A240" i="2"/>
  <c r="AB240" i="2"/>
  <c r="V240" i="2"/>
  <c r="R240" i="2"/>
  <c r="AE240" i="2"/>
  <c r="AF240" i="2" s="1"/>
  <c r="AC252" i="2"/>
  <c r="A252" i="2"/>
  <c r="AB252" i="2"/>
  <c r="V252" i="2"/>
  <c r="X252" i="2"/>
  <c r="W252" i="2"/>
  <c r="U252" i="2"/>
  <c r="AD201" i="2"/>
  <c r="R201" i="2"/>
  <c r="AB217" i="2"/>
  <c r="AB221" i="2"/>
  <c r="W221" i="2"/>
  <c r="V221" i="2"/>
  <c r="W222" i="2"/>
  <c r="S222" i="2"/>
  <c r="AE222" i="2"/>
  <c r="AF222" i="2" s="1"/>
  <c r="R222" i="2"/>
  <c r="Z240" i="2"/>
  <c r="AE252" i="2"/>
  <c r="AF252" i="2" s="1"/>
  <c r="AC269" i="2"/>
  <c r="A269" i="2"/>
  <c r="AB269" i="2"/>
  <c r="W269" i="2"/>
  <c r="V269" i="2"/>
  <c r="AD269" i="2"/>
  <c r="AA269" i="2"/>
  <c r="Z269" i="2"/>
  <c r="Y269" i="2"/>
  <c r="AD282" i="2"/>
  <c r="R282" i="2"/>
  <c r="X282" i="2"/>
  <c r="W282" i="2"/>
  <c r="Z282" i="2"/>
  <c r="Y282" i="2"/>
  <c r="V282" i="2"/>
  <c r="AE282" i="2"/>
  <c r="AF282" i="2" s="1"/>
  <c r="AC282" i="2"/>
  <c r="AA282" i="2"/>
  <c r="U201" i="2"/>
  <c r="U204" i="2"/>
  <c r="AA214" i="2"/>
  <c r="Y214" i="2"/>
  <c r="AC217" i="2"/>
  <c r="U221" i="2"/>
  <c r="U222" i="2"/>
  <c r="AD223" i="2"/>
  <c r="R223" i="2"/>
  <c r="AB223" i="2"/>
  <c r="AA223" i="2"/>
  <c r="R224" i="2"/>
  <c r="AA240" i="2"/>
  <c r="Z243" i="2"/>
  <c r="Y243" i="2"/>
  <c r="AE243" i="2"/>
  <c r="AF243" i="2" s="1"/>
  <c r="S243" i="2"/>
  <c r="AD243" i="2"/>
  <c r="AC243" i="2"/>
  <c r="AB243" i="2"/>
  <c r="R245" i="2"/>
  <c r="U269" i="2"/>
  <c r="U282" i="2"/>
  <c r="S182" i="2"/>
  <c r="S192" i="2"/>
  <c r="V198" i="2"/>
  <c r="V201" i="2"/>
  <c r="V204" i="2"/>
  <c r="AE208" i="2"/>
  <c r="AF208" i="2" s="1"/>
  <c r="S208" i="2"/>
  <c r="U214" i="2"/>
  <c r="AD217" i="2"/>
  <c r="X221" i="2"/>
  <c r="V222" i="2"/>
  <c r="U223" i="2"/>
  <c r="AD240" i="2"/>
  <c r="U243" i="2"/>
  <c r="X269" i="2"/>
  <c r="AB282" i="2"/>
  <c r="W198" i="2"/>
  <c r="W201" i="2"/>
  <c r="W204" i="2"/>
  <c r="V214" i="2"/>
  <c r="AE217" i="2"/>
  <c r="AF217" i="2" s="1"/>
  <c r="Y221" i="2"/>
  <c r="X222" i="2"/>
  <c r="Y224" i="2"/>
  <c r="X224" i="2"/>
  <c r="W224" i="2"/>
  <c r="AE242" i="2"/>
  <c r="AF242" i="2" s="1"/>
  <c r="S242" i="2"/>
  <c r="AD242" i="2"/>
  <c r="R242" i="2"/>
  <c r="X242" i="2"/>
  <c r="AC242" i="2"/>
  <c r="AB242" i="2"/>
  <c r="AB245" i="2"/>
  <c r="AA245" i="2"/>
  <c r="U245" i="2"/>
  <c r="X245" i="2"/>
  <c r="W245" i="2"/>
  <c r="V245" i="2"/>
  <c r="AE269" i="2"/>
  <c r="AF269" i="2" s="1"/>
  <c r="C19" i="3"/>
  <c r="AE289" i="2"/>
  <c r="AF289" i="2" s="1"/>
  <c r="S289" i="2"/>
  <c r="Y289" i="2"/>
  <c r="X289" i="2"/>
  <c r="AB289" i="2"/>
  <c r="AA289" i="2"/>
  <c r="Z289" i="2"/>
  <c r="A289" i="2"/>
  <c r="X253" i="2"/>
  <c r="W253" i="2"/>
  <c r="AC253" i="2"/>
  <c r="A253" i="2"/>
  <c r="AE254" i="2"/>
  <c r="AF254" i="2" s="1"/>
  <c r="S254" i="2"/>
  <c r="AD254" i="2"/>
  <c r="R254" i="2"/>
  <c r="X254" i="2"/>
  <c r="V289" i="2"/>
  <c r="AC228" i="2"/>
  <c r="A228" i="2"/>
  <c r="W246" i="2"/>
  <c r="V246" i="2"/>
  <c r="AB246" i="2"/>
  <c r="AD247" i="2"/>
  <c r="R247" i="2"/>
  <c r="AC247" i="2"/>
  <c r="A247" i="2"/>
  <c r="W247" i="2"/>
  <c r="U253" i="2"/>
  <c r="U254" i="2"/>
  <c r="Z255" i="2"/>
  <c r="Y255" i="2"/>
  <c r="AE255" i="2"/>
  <c r="AF255" i="2" s="1"/>
  <c r="S255" i="2"/>
  <c r="AB280" i="2"/>
  <c r="V280" i="2"/>
  <c r="U280" i="2"/>
  <c r="AC280" i="2"/>
  <c r="AA280" i="2"/>
  <c r="Z280" i="2"/>
  <c r="R280" i="2"/>
  <c r="X288" i="2"/>
  <c r="AD288" i="2"/>
  <c r="R288" i="2"/>
  <c r="AC288" i="2"/>
  <c r="A288" i="2"/>
  <c r="AB288" i="2"/>
  <c r="AA288" i="2"/>
  <c r="Z288" i="2"/>
  <c r="S288" i="2"/>
  <c r="W289" i="2"/>
  <c r="U215" i="2"/>
  <c r="U228" i="2"/>
  <c r="U246" i="2"/>
  <c r="U247" i="2"/>
  <c r="Y248" i="2"/>
  <c r="X248" i="2"/>
  <c r="AD248" i="2"/>
  <c r="R248" i="2"/>
  <c r="V253" i="2"/>
  <c r="V254" i="2"/>
  <c r="U255" i="2"/>
  <c r="W280" i="2"/>
  <c r="U288" i="2"/>
  <c r="AC289" i="2"/>
  <c r="U279" i="2"/>
  <c r="AA279" i="2"/>
  <c r="Z279" i="2"/>
  <c r="V286" i="2"/>
  <c r="AB286" i="2"/>
  <c r="AA286" i="2"/>
  <c r="AE304" i="2"/>
  <c r="AF304" i="2" s="1"/>
  <c r="S304" i="2"/>
  <c r="AC304" i="2"/>
  <c r="A304" i="2"/>
  <c r="AB304" i="2"/>
  <c r="AA304" i="2"/>
  <c r="Z304" i="2"/>
  <c r="Y304" i="2"/>
  <c r="X304" i="2"/>
  <c r="W304" i="2"/>
  <c r="V304" i="2"/>
  <c r="U304" i="2"/>
  <c r="Z238" i="2"/>
  <c r="Z250" i="2"/>
  <c r="Y265" i="2"/>
  <c r="X265" i="2"/>
  <c r="V274" i="2"/>
  <c r="AB274" i="2"/>
  <c r="AA274" i="2"/>
  <c r="A277" i="2"/>
  <c r="AC279" i="2"/>
  <c r="AC286" i="2"/>
  <c r="U291" i="2"/>
  <c r="AA291" i="2"/>
  <c r="Z291" i="2"/>
  <c r="AD259" i="2"/>
  <c r="R259" i="2"/>
  <c r="U265" i="2"/>
  <c r="X270" i="2"/>
  <c r="W270" i="2"/>
  <c r="U274" i="2"/>
  <c r="AC275" i="2"/>
  <c r="A275" i="2"/>
  <c r="W275" i="2"/>
  <c r="V275" i="2"/>
  <c r="X276" i="2"/>
  <c r="AD276" i="2"/>
  <c r="R276" i="2"/>
  <c r="AC276" i="2"/>
  <c r="A276" i="2"/>
  <c r="AD279" i="2"/>
  <c r="AD286" i="2"/>
  <c r="V291" i="2"/>
  <c r="AE271" i="2"/>
  <c r="AF271" i="2" s="1"/>
  <c r="S271" i="2"/>
  <c r="AD271" i="2"/>
  <c r="R271" i="2"/>
  <c r="W274" i="2"/>
  <c r="AE277" i="2"/>
  <c r="AF277" i="2" s="1"/>
  <c r="S277" i="2"/>
  <c r="Y277" i="2"/>
  <c r="X277" i="2"/>
  <c r="AE279" i="2"/>
  <c r="AF279" i="2" s="1"/>
  <c r="AE286" i="2"/>
  <c r="AF286" i="2" s="1"/>
  <c r="W291" i="2"/>
  <c r="AB292" i="2"/>
  <c r="V292" i="2"/>
  <c r="U292" i="2"/>
  <c r="S266" i="2"/>
  <c r="S278" i="2"/>
  <c r="Y284" i="2"/>
  <c r="S290" i="2"/>
  <c r="Y296" i="2"/>
  <c r="AA298" i="2"/>
  <c r="V299" i="2"/>
  <c r="A300" i="2"/>
  <c r="AC300" i="2"/>
  <c r="X301" i="2"/>
  <c r="S302" i="2"/>
  <c r="AE302" i="2"/>
  <c r="AF302" i="2" s="1"/>
  <c r="Z303" i="2"/>
  <c r="AB305" i="2"/>
  <c r="W306" i="2"/>
  <c r="R307" i="2"/>
  <c r="AD307" i="2"/>
  <c r="AB298" i="2"/>
  <c r="W299" i="2"/>
  <c r="R300" i="2"/>
  <c r="AD300" i="2"/>
  <c r="Y301" i="2"/>
  <c r="AA303" i="2"/>
  <c r="A305" i="2"/>
  <c r="AC305" i="2"/>
  <c r="X306" i="2"/>
  <c r="S307" i="2"/>
  <c r="AE307" i="2"/>
  <c r="AF307" i="2" s="1"/>
  <c r="C14" i="3"/>
  <c r="A298" i="2"/>
  <c r="AC298" i="2"/>
  <c r="X299" i="2"/>
  <c r="S300" i="2"/>
  <c r="AE300" i="2"/>
  <c r="AF300" i="2" s="1"/>
  <c r="Z301" i="2"/>
  <c r="AB303" i="2"/>
  <c r="Y306" i="2"/>
  <c r="AA301" i="2"/>
  <c r="V302" i="2"/>
  <c r="A303" i="2"/>
  <c r="AC303" i="2"/>
  <c r="S305" i="2"/>
  <c r="AE305" i="2"/>
  <c r="AF305" i="2" s="1"/>
  <c r="Z306" i="2"/>
  <c r="U307" i="2"/>
  <c r="AB301" i="2"/>
  <c r="W302" i="2"/>
  <c r="R303" i="2"/>
  <c r="AD303" i="2"/>
  <c r="AA306" i="2"/>
  <c r="V307" i="2"/>
  <c r="C11" i="3"/>
  <c r="AA299" i="2"/>
  <c r="V300" i="2"/>
  <c r="A301" i="2"/>
  <c r="AC301" i="2"/>
  <c r="X302" i="2"/>
  <c r="S303" i="2"/>
  <c r="AE303" i="2"/>
  <c r="AF303" i="2" s="1"/>
  <c r="U305" i="2"/>
  <c r="AB306" i="2"/>
  <c r="W307" i="2"/>
  <c r="V305" i="2"/>
  <c r="A306" i="2"/>
  <c r="AC306" i="2"/>
  <c r="X307" i="2"/>
  <c r="C13" i="3"/>
  <c r="A299" i="2"/>
  <c r="X300" i="2"/>
  <c r="S301" i="2"/>
  <c r="AE301" i="2"/>
  <c r="AF301" i="2" s="1"/>
  <c r="Z302" i="2"/>
  <c r="U303" i="2"/>
  <c r="W305" i="2"/>
  <c r="R306" i="2"/>
  <c r="AD306" i="2"/>
  <c r="Y307" i="2"/>
  <c r="AA302" i="2"/>
  <c r="V303" i="2"/>
  <c r="X305" i="2"/>
  <c r="S306" i="2"/>
  <c r="AE306" i="2"/>
  <c r="AF306" i="2" s="1"/>
  <c r="Z307" i="2"/>
  <c r="AA307" i="2"/>
  <c r="C10" i="3"/>
  <c r="A302" i="2"/>
  <c r="AF29" i="2" l="1"/>
  <c r="S29" i="2" s="1"/>
  <c r="R29" i="2"/>
  <c r="AF20" i="2"/>
  <c r="R20" i="2"/>
  <c r="AF25" i="2"/>
  <c r="S25" i="2" s="1"/>
  <c r="R25" i="2"/>
  <c r="AF26" i="2"/>
  <c r="S26" i="2" s="1"/>
  <c r="R26" i="2"/>
  <c r="S8" i="2"/>
  <c r="AF27" i="2"/>
  <c r="S27" i="2" s="1"/>
  <c r="R27" i="2"/>
  <c r="AF28" i="2"/>
  <c r="S28" i="2" s="1"/>
  <c r="R28" i="2"/>
  <c r="AF21" i="2"/>
  <c r="S21" i="2" s="1"/>
  <c r="R21" i="2"/>
  <c r="AF8" i="2"/>
  <c r="R8" i="2"/>
  <c r="AF13" i="2"/>
  <c r="S13" i="2" s="1"/>
  <c r="R13" i="2"/>
  <c r="AF15" i="2"/>
  <c r="S15" i="2" s="1"/>
  <c r="R15" i="2"/>
  <c r="AF17" i="2"/>
  <c r="R17" i="2"/>
  <c r="AF12" i="2"/>
  <c r="R12" i="2"/>
  <c r="AF30" i="2"/>
  <c r="S30" i="2" s="1"/>
  <c r="R30" i="2"/>
  <c r="AF18" i="2"/>
  <c r="S18" i="2" s="1"/>
  <c r="R18" i="2"/>
  <c r="AF10" i="2"/>
  <c r="S10" i="2" s="1"/>
  <c r="R10" i="2"/>
  <c r="R23" i="2"/>
  <c r="C22" i="3"/>
  <c r="D5" i="3"/>
  <c r="Q8" i="4"/>
  <c r="F18" i="3"/>
  <c r="R8" i="4" s="1"/>
  <c r="H16" i="3"/>
  <c r="C5" i="3"/>
  <c r="E18" i="3"/>
  <c r="G16" i="3"/>
  <c r="B5" i="3"/>
  <c r="D18" i="3"/>
  <c r="F16" i="3"/>
  <c r="P8" i="4" s="1"/>
  <c r="E16" i="3"/>
  <c r="D11" i="3"/>
  <c r="D16" i="3"/>
  <c r="C6" i="3"/>
  <c r="F17" i="3"/>
  <c r="H15" i="3"/>
  <c r="B6" i="3"/>
  <c r="E17" i="3"/>
  <c r="D12" i="3"/>
  <c r="D17" i="3"/>
  <c r="F15" i="3"/>
  <c r="O8" i="4" s="1"/>
  <c r="C23" i="3"/>
  <c r="H17" i="3"/>
  <c r="D14" i="3"/>
  <c r="G15" i="3"/>
  <c r="G19" i="3"/>
  <c r="AE16" i="2"/>
  <c r="E19" i="3"/>
  <c r="AE24" i="2"/>
  <c r="S17" i="2"/>
  <c r="AE11" i="2"/>
  <c r="G17" i="3"/>
  <c r="AE31" i="2"/>
  <c r="S14" i="2"/>
  <c r="AE19" i="2"/>
  <c r="G18" i="3"/>
  <c r="E15" i="3"/>
  <c r="D10" i="3"/>
  <c r="F19" i="3"/>
  <c r="S8" i="4" s="1"/>
  <c r="D15" i="3"/>
  <c r="R22" i="2"/>
  <c r="S20" i="2"/>
  <c r="AF9" i="2"/>
  <c r="S9" i="2" s="1"/>
  <c r="R9" i="2"/>
  <c r="H19" i="3"/>
  <c r="D13" i="3"/>
  <c r="R14" i="2"/>
  <c r="S12" i="2"/>
  <c r="H18" i="3"/>
  <c r="D19" i="3"/>
  <c r="S22" i="2"/>
  <c r="AF31" i="2" l="1"/>
  <c r="S31" i="2" s="1"/>
  <c r="R31" i="2"/>
  <c r="AF16" i="2"/>
  <c r="S16" i="2" s="1"/>
  <c r="R16" i="2"/>
  <c r="AF11" i="2"/>
  <c r="R11" i="2"/>
  <c r="E11" i="3"/>
  <c r="F11" i="3" s="1"/>
  <c r="AF24" i="2"/>
  <c r="S24" i="2" s="1"/>
  <c r="R24" i="2"/>
  <c r="AF19" i="2"/>
  <c r="S19" i="2" s="1"/>
  <c r="R19" i="2"/>
  <c r="D20" i="3"/>
  <c r="G11" i="3" l="1"/>
  <c r="K8" i="4"/>
  <c r="G5" i="3"/>
  <c r="S11" i="2"/>
  <c r="E13" i="3"/>
  <c r="F13" i="3" s="1"/>
  <c r="E14" i="3"/>
  <c r="F14" i="3" s="1"/>
  <c r="E12" i="3"/>
  <c r="F12" i="3" s="1"/>
  <c r="E10" i="3"/>
  <c r="L8" i="4" l="1"/>
  <c r="G12" i="3"/>
  <c r="G14" i="3"/>
  <c r="N8" i="4"/>
  <c r="M8" i="4"/>
  <c r="G13" i="3"/>
  <c r="H12" i="3"/>
  <c r="H14" i="3"/>
  <c r="H11" i="3"/>
  <c r="H13" i="3"/>
  <c r="H10" i="3"/>
  <c r="E20" i="3"/>
  <c r="F10" i="3"/>
  <c r="G20" i="3"/>
  <c r="F20" i="3"/>
  <c r="B8" i="3" l="1"/>
  <c r="J8" i="4"/>
  <c r="G10" i="3"/>
  <c r="E5" i="3"/>
  <c r="U8" i="4" l="1"/>
  <c r="T8" i="4"/>
  <c r="R10" i="4" l="1"/>
  <c r="O10" i="4"/>
  <c r="S10" i="4"/>
  <c r="Q10" i="4"/>
  <c r="P10" i="4"/>
  <c r="K10" i="4"/>
  <c r="M10" i="4"/>
  <c r="N10" i="4"/>
  <c r="L10" i="4"/>
  <c r="J10" i="4"/>
  <c r="V10" i="4" l="1"/>
  <c r="U10" i="4"/>
  <c r="R11" i="4" s="1"/>
  <c r="T10" i="4"/>
  <c r="J11" i="4"/>
  <c r="K11" i="4"/>
  <c r="L11" i="4"/>
  <c r="M11" i="4"/>
  <c r="O11" i="4"/>
  <c r="N11" i="4"/>
  <c r="P11" i="4"/>
  <c r="Q11" i="4"/>
  <c r="S11" i="4"/>
  <c r="V11" i="4" l="1"/>
  <c r="U11" i="4"/>
  <c r="R12" i="4" s="1"/>
  <c r="T11" i="4"/>
  <c r="S12" i="4"/>
  <c r="O12" i="4"/>
  <c r="E10" i="4"/>
  <c r="D10" i="4"/>
  <c r="C10" i="4"/>
  <c r="B10" i="4"/>
  <c r="A10" i="4"/>
  <c r="C11" i="4" l="1"/>
  <c r="B11" i="4"/>
  <c r="A11" i="4"/>
  <c r="E11" i="4"/>
  <c r="D11" i="4"/>
  <c r="J12" i="4"/>
  <c r="Q12" i="4"/>
  <c r="M12" i="4"/>
  <c r="K12" i="4"/>
  <c r="P12" i="4"/>
  <c r="N12" i="4"/>
  <c r="L12" i="4"/>
  <c r="V12" i="4" l="1"/>
  <c r="U12" i="4"/>
  <c r="T12" i="4"/>
  <c r="J13" i="4" s="1"/>
  <c r="N13" i="4" l="1"/>
  <c r="P13" i="4"/>
  <c r="R13" i="4"/>
  <c r="S13" i="4"/>
  <c r="O13" i="4"/>
  <c r="E12" i="4"/>
  <c r="D12" i="4"/>
  <c r="C12" i="4"/>
  <c r="B12" i="4"/>
  <c r="A12" i="4"/>
  <c r="K13" i="4"/>
  <c r="U13" i="4" s="1"/>
  <c r="L13" i="4"/>
  <c r="M13" i="4"/>
  <c r="Q13" i="4"/>
  <c r="T13" i="4" l="1"/>
  <c r="J14" i="4" s="1"/>
  <c r="Q14" i="4"/>
  <c r="P14" i="4"/>
  <c r="N14" i="4"/>
  <c r="O14" i="4"/>
  <c r="S14" i="4"/>
  <c r="R14" i="4"/>
  <c r="V13" i="4"/>
  <c r="C13" i="4" l="1"/>
  <c r="B13" i="4"/>
  <c r="A13" i="4"/>
  <c r="E13" i="4"/>
  <c r="D13" i="4"/>
  <c r="K14" i="4"/>
  <c r="U14" i="4" s="1"/>
  <c r="L14" i="4"/>
  <c r="M14" i="4"/>
  <c r="T14" i="4" l="1"/>
  <c r="R15" i="4" s="1"/>
  <c r="V14" i="4"/>
  <c r="E14" i="4" l="1"/>
  <c r="D14" i="4"/>
  <c r="C14" i="4"/>
  <c r="B14" i="4"/>
  <c r="A14" i="4"/>
  <c r="K15" i="4"/>
  <c r="L15" i="4"/>
  <c r="M15" i="4"/>
  <c r="Q15" i="4"/>
  <c r="S15" i="4"/>
  <c r="P15" i="4"/>
  <c r="J15" i="4"/>
  <c r="N15" i="4"/>
  <c r="O15" i="4"/>
  <c r="V15" i="4" l="1"/>
  <c r="U15" i="4"/>
  <c r="T15" i="4"/>
  <c r="S16" i="4"/>
  <c r="Q16" i="4"/>
  <c r="R16" i="4" l="1"/>
  <c r="C15" i="4"/>
  <c r="B15" i="4"/>
  <c r="A15" i="4"/>
  <c r="E15" i="4"/>
  <c r="D15" i="4"/>
  <c r="J16" i="4"/>
  <c r="N16" i="4"/>
  <c r="K16" i="4"/>
  <c r="L16" i="4"/>
  <c r="P16" i="4"/>
  <c r="O16" i="4"/>
  <c r="M16" i="4"/>
  <c r="V16" i="4" l="1"/>
  <c r="U16" i="4"/>
  <c r="T16" i="4"/>
  <c r="Q17" i="4" l="1"/>
  <c r="S17" i="4"/>
  <c r="P17" i="4"/>
  <c r="O17" i="4"/>
  <c r="M17" i="4"/>
  <c r="J17" i="4"/>
  <c r="E16" i="4"/>
  <c r="D16" i="4"/>
  <c r="C16" i="4"/>
  <c r="B16" i="4"/>
  <c r="A16" i="4"/>
  <c r="L17" i="4"/>
  <c r="R17" i="4"/>
  <c r="N17" i="4"/>
  <c r="K17" i="4"/>
  <c r="V17" i="4" l="1"/>
  <c r="U17" i="4"/>
  <c r="M18" i="4" s="1"/>
  <c r="T17" i="4"/>
  <c r="K18" i="4" s="1"/>
  <c r="P18" i="4"/>
  <c r="N18" i="4"/>
  <c r="R18" i="4"/>
  <c r="O18" i="4" l="1"/>
  <c r="S18" i="4"/>
  <c r="C17" i="4"/>
  <c r="B17" i="4"/>
  <c r="A17" i="4"/>
  <c r="E17" i="4"/>
  <c r="D17" i="4"/>
  <c r="J18" i="4"/>
  <c r="L18" i="4"/>
  <c r="Q18" i="4"/>
  <c r="V18" i="4" l="1"/>
  <c r="U18" i="4"/>
  <c r="T18" i="4"/>
  <c r="K19" i="4" l="1"/>
  <c r="M19" i="4"/>
  <c r="N19" i="4"/>
  <c r="R19" i="4"/>
  <c r="P19" i="4"/>
  <c r="E18" i="4"/>
  <c r="D18" i="4"/>
  <c r="C18" i="4"/>
  <c r="B18" i="4"/>
  <c r="A18" i="4"/>
  <c r="B4" i="4"/>
  <c r="E22" i="4"/>
  <c r="E21" i="4"/>
  <c r="F5" i="3"/>
  <c r="J19" i="4"/>
  <c r="L19" i="4"/>
  <c r="Q19" i="4"/>
  <c r="S19" i="4"/>
  <c r="O19" i="4"/>
  <c r="V19" i="4" l="1"/>
  <c r="U19" i="4"/>
  <c r="T19" i="4"/>
  <c r="E20" i="4"/>
</calcChain>
</file>

<file path=xl/sharedStrings.xml><?xml version="1.0" encoding="utf-8"?>
<sst xmlns="http://schemas.openxmlformats.org/spreadsheetml/2006/main" count="241" uniqueCount="147">
  <si>
    <t>Shared Expense Splitter — start here</t>
  </si>
  <si>
    <t>Enter each shared expense once — the workbook shows every person's fair share (equal, by weight such as room size, by nights present, by your own custom units, or exact amounts), each person's balance, and a payback plan of at most 9 transfers for 10 people. Up to 10 people and 300 expenses, in Excel and Google Sheets without macros. One currency per workbook — the currency label is a text label, there is no exchange-rate conversion.</t>
  </si>
  <si>
    <t>HOW TO USE — 5 STEPS</t>
  </si>
  <si>
    <t>STEP 1 · Name your group (C15), pick a currency label (C16) and a default split method (C17).</t>
  </si>
  <si>
    <t>STEP 2 · Type your people into B21:B30 — up to 10. Weight = room m2 / headcount / any number. Nights = nights or days present.</t>
  </si>
  <si>
    <t>STEP 3 · Expenses sheet: one row per expense — date, what it was, who paid, how much, category, how it is split.</t>
  </si>
  <si>
    <t>STEP 4 · Fine-tune a single row in the person columns H–Q: blank = normal share · 0 = not part of this expense · a number = custom units (or the exact amount in 'Exact amounts' mode). In 'Custom units' and 'Exact amounts' rows a blank cell counts as 0 — only the numbers you type share the row.</t>
  </si>
  <si>
    <t>STEP 5 · 'Who Owes What' shows every balance, 'Settle Up' shows the transfers that clear them. Tick each one off in 'Done?'.</t>
  </si>
  <si>
    <t>GOOGLE SHEETS: File → Import → Upload this file. Formulas, dropdowns, colours, frozen rows, tab colours and hidden columns survive the trip. Print setup (Letter / fit-to-width) does not — pick 'Fit to width' once in the Google Sheets print dialog.</t>
  </si>
  <si>
    <t>LIMITS — up to 10 people · up to 300 expenses · ONE currency per workbook: the currency label is a text label, there is no exchange-rate conversion · grey and hidden columns calculate themselves, never type in them.</t>
  </si>
  <si>
    <t>LICENSE — Personal use. One buyer, unlimited own projects &amp; devices. Please don't resell or redistribute. · Questions or a broken formula? Message us on Etsy — we reply within 2 business days.</t>
  </si>
  <si>
    <t>For personal and household use. This is a calculation sheet, not accounting software: no VAT or tax calculation, no currency conversion, no legal or financial advice.</t>
  </si>
  <si>
    <t>Group name</t>
  </si>
  <si>
    <t>Flat share + Lisbon trip</t>
  </si>
  <si>
    <t>Currency label</t>
  </si>
  <si>
    <t>€</t>
  </si>
  <si>
    <t>Text label only. One currency per workbook — there is no exchange-rate conversion.</t>
  </si>
  <si>
    <t>Default split method</t>
  </si>
  <si>
    <t>Equal</t>
  </si>
  <si>
    <t>Used for every Expenses row that has no 'Split by' of its own.</t>
  </si>
  <si>
    <t>#</t>
  </si>
  <si>
    <t>Member</t>
  </si>
  <si>
    <t>Active?</t>
  </si>
  <si>
    <t>Weight (room m2, headcount, any number)</t>
  </si>
  <si>
    <t>Nights / days</t>
  </si>
  <si>
    <t>Note</t>
  </si>
  <si>
    <t>Check</t>
  </si>
  <si>
    <t>Categories (edit freely)</t>
  </si>
  <si>
    <t>Split methods (fixed)</t>
  </si>
  <si>
    <t>Yes/No</t>
  </si>
  <si>
    <t>Currency examples</t>
  </si>
  <si>
    <t>Anna</t>
  </si>
  <si>
    <t>Yes</t>
  </si>
  <si>
    <t>Big room · flat + trip</t>
  </si>
  <si>
    <t>Groceries</t>
  </si>
  <si>
    <t>Ben</t>
  </si>
  <si>
    <t>Flat + trip</t>
  </si>
  <si>
    <t>Rent</t>
  </si>
  <si>
    <t>Weights</t>
  </si>
  <si>
    <t>No</t>
  </si>
  <si>
    <t>$</t>
  </si>
  <si>
    <t>Chris</t>
  </si>
  <si>
    <t>Joined the trip on day 5</t>
  </si>
  <si>
    <t>Utilities &amp; internet</t>
  </si>
  <si>
    <t>Nights</t>
  </si>
  <si>
    <t>£</t>
  </si>
  <si>
    <t>Dana</t>
  </si>
  <si>
    <t>Household &amp; repairs</t>
  </si>
  <si>
    <t>Custom units</t>
  </si>
  <si>
    <t>CHF</t>
  </si>
  <si>
    <t>Eli</t>
  </si>
  <si>
    <t>Trip only — no room in the flat</t>
  </si>
  <si>
    <t>Eating out</t>
  </si>
  <si>
    <t>Exact amounts</t>
  </si>
  <si>
    <t>kr</t>
  </si>
  <si>
    <t>Drinks &amp; nightlife</t>
  </si>
  <si>
    <t>zł</t>
  </si>
  <si>
    <t>Travel &amp; transport</t>
  </si>
  <si>
    <t>C$</t>
  </si>
  <si>
    <t>Accommodation</t>
  </si>
  <si>
    <t>A$</t>
  </si>
  <si>
    <t>Activities &amp; tickets</t>
  </si>
  <si>
    <t>₹</t>
  </si>
  <si>
    <t>Gifts &amp; celebration</t>
  </si>
  <si>
    <t>R$</t>
  </si>
  <si>
    <t>Payback / cash to a person</t>
  </si>
  <si>
    <t>Other</t>
  </si>
  <si>
    <t>REMEMBER · In Equal / Weights / Nights rows: blank = normal share, 0 = not part of that expense, any number = custom share. In 'Custom units' and 'Exact amounts' rows only the numbers you type count — blank means 0. Set Active = No only for people who never joined.</t>
  </si>
  <si>
    <t>CASH PAYBACK · Ben hands Anna 50 in cash? Add a normal row: Paid by = Ben, Amount = 50, Split by = 'Exact amounts', type 50 in Anna's column, leave everyone else blank. The category 'Payback / cash to a person' is only a label — the split mode does the maths.</t>
  </si>
  <si>
    <t>SPLIT MODES · Equal = same share for everyone active · Weights = by the Weight column · Nights = by the Nights column · Custom units = ONLY the people you type a number for share that row, a blank cell counts as 0 · Exact amounts = you type each person's exact amount (they must add up to the total). Type numbers for everyone who should share a 'Custom units' row — if you leave the whole row blank, the Check column says so instead of splitting it silently.</t>
  </si>
  <si>
    <t>MAKE IT YOURS · The example (flat share + Lisbon trip) is here so you can see every split mode working. To start your own: on the Expenses sheet select B8:Q31 and press Delete, then overwrite the names in B21:B30 above. Never delete whole rows — column A, the Check column R, the 'Share of' column S and the hidden columns T:AG hold the formulas.</t>
  </si>
  <si>
    <t>Expenses — one row per expense</t>
  </si>
  <si>
    <t>Grey and hidden columns calculate themselves. Blank in a person's column = normal share · 0 = not part of this expense · a number = custom units (or the exact amount in 'Exact amounts' mode). In 'Custom units' and 'Exact amounts' rows a blank cell counts as 0 — only the numbers you type share the row.</t>
  </si>
  <si>
    <t>Show each person's share for:</t>
  </si>
  <si>
    <t>← pick a name; column S then shows that person's share of every row.</t>
  </si>
  <si>
    <t>The engine columns T:AG are hidden. Unhide them if you want to see the maths — never type in them.</t>
  </si>
  <si>
    <t>▼ calculates itself — never type here</t>
  </si>
  <si>
    <t>Date</t>
  </si>
  <si>
    <t>What was it?</t>
  </si>
  <si>
    <t>Paid by</t>
  </si>
  <si>
    <t>Category</t>
  </si>
  <si>
    <t>Split by</t>
  </si>
  <si>
    <t>Split used</t>
  </si>
  <si>
    <t>Total units</t>
  </si>
  <si>
    <t>Divisor (never 0)</t>
  </si>
  <si>
    <t>Amount (number)</t>
  </si>
  <si>
    <t>Rent — this month</t>
  </si>
  <si>
    <t>Electricity &amp; internet</t>
  </si>
  <si>
    <t>Weekly groceries</t>
  </si>
  <si>
    <t>Cleaning supplies + light bulbs</t>
  </si>
  <si>
    <t>Plumber — kitchen sink</t>
  </si>
  <si>
    <t>Pizza night at home</t>
  </si>
  <si>
    <t>Supermarket — shared + 2 personal items</t>
  </si>
  <si>
    <t>New wifi router</t>
  </si>
  <si>
    <t>Flights Munich → Lisbon (5 tickets)</t>
  </si>
  <si>
    <t>Lisbon apartment, 7 nights</t>
  </si>
  <si>
    <t>Airport transfer</t>
  </si>
  <si>
    <t>Groceries for the apartment</t>
  </si>
  <si>
    <t>Dinner at the seafood place</t>
  </si>
  <si>
    <t>Tram + metro tickets</t>
  </si>
  <si>
    <t>Surf lesson (3 of us)</t>
  </si>
  <si>
    <t>Castle tickets</t>
  </si>
  <si>
    <t>Drinks in Bairro Alto</t>
  </si>
  <si>
    <t>Day trip to Sintra — van</t>
  </si>
  <si>
    <t>Souvenir prints (2 each for Anna &amp; Ben)</t>
  </si>
  <si>
    <t>Lunch at the market hall</t>
  </si>
  <si>
    <t>Fuel for the drive home</t>
  </si>
  <si>
    <t>Ben pays Anna back in cash</t>
  </si>
  <si>
    <t>▲ Last row (307). Insert new rows INSIDE the table, then copy the full row above onto the new row (it carries the formulas) before typing. Never add rows below this line.</t>
  </si>
  <si>
    <t>Who Owes What</t>
  </si>
  <si>
    <t>Paid − fair share = balance. Plus is 'gets money back', minus is 'owes'. Never type on this sheet.</t>
  </si>
  <si>
    <t>Expenses logged</t>
  </si>
  <si>
    <t>Per active person</t>
  </si>
  <si>
    <t>Transfers needed</t>
  </si>
  <si>
    <t>Data check</t>
  </si>
  <si>
    <t>everything still owed — the plan may move the odd cent</t>
  </si>
  <si>
    <t>never more than 9 for 10 people</t>
  </si>
  <si>
    <t>every logged row must say OK</t>
  </si>
  <si>
    <t>Status</t>
  </si>
  <si>
    <t>% of total spend</t>
  </si>
  <si>
    <t>Total</t>
  </si>
  <si>
    <t>Biggest single expense</t>
  </si>
  <si>
    <t>Average per expense</t>
  </si>
  <si>
    <t>Settle Up — the payback plan</t>
  </si>
  <si>
    <t>At most 9 transfers for 10 people. The plan clears every balance to the cent; anything a row leaves unshared stays visible in 'Left over after plan' and is named in the Check column on Expenses. Tick each transfer off in 'Done?'. Never type in the hidden columns J:V.</t>
  </si>
  <si>
    <t>balance P1</t>
  </si>
  <si>
    <t>balance P2</t>
  </si>
  <si>
    <t>balance P3</t>
  </si>
  <si>
    <t>balance P4</t>
  </si>
  <si>
    <t>balance P5</t>
  </si>
  <si>
    <t>balance P6</t>
  </si>
  <si>
    <t>balance P7</t>
  </si>
  <si>
    <t>balance P8</t>
  </si>
  <si>
    <t>balance P9</t>
  </si>
  <si>
    <t>balance P10</t>
  </si>
  <si>
    <t>creditor idx (row 8: largest creditor)</t>
  </si>
  <si>
    <t>debtor idx (row 8: rounding cent)</t>
  </si>
  <si>
    <t>amount</t>
  </si>
  <si>
    <t>Who pays</t>
  </si>
  <si>
    <t>→</t>
  </si>
  <si>
    <t>Who receives</t>
  </si>
  <si>
    <t>Done?</t>
  </si>
  <si>
    <t>Note (date, PayPal, cash …)</t>
  </si>
  <si>
    <t>Left over after plan (must be 0.00)</t>
  </si>
  <si>
    <t>Total transferred</t>
  </si>
  <si>
    <t>Ticked off</t>
  </si>
  <si>
    <t>How the plan is built: the person who owes the most pays the person who is owed the most, and each transfer settles at least one of them completely. That is why 10 people never need more than 9 transfers. It is not claimed to be the mathematically smallest possible number. Balances are rounded to whole cents, so the odd cent goes to whoever is owed the most — one person can end up a cent or two off their balance above, and the plan still closes at 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</si>
</sst>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
    <numFmt numFmtId="165" formatCode="yyyy\-mm\-dd"/>
    <numFmt numFmtId="166" formatCode="0.00;\-0.00;;@"/>
    <numFmt numFmtId="167" formatCode=";;;"/>
    <numFmt numFmtId="168" formatCode="0.0%"/>
  </numFmts>
  <fonts count="23" x14ac:knownFonts="1">
    <font>
      <sz val="11"/>
      <color theme="1"/>
      <name val="Calibri"/>
      <family val="2"/>
      <scheme val="minor"/>
    </font>
    <font>
      <b/>
      <sz val="16"/>
      <color rgb="FF2D3A8C"/>
      <name val="Calibri"/>
      <family val="2"/>
    </font>
    <font>
      <sz val="10"/>
      <color rgb="FF555B7A"/>
      <name val="Calibri"/>
      <family val="2"/>
    </font>
    <font>
      <b/>
      <sz val="12"/>
      <color rgb="FF1F7A6D"/>
      <name val="Calibri"/>
      <family val="2"/>
    </font>
    <font>
      <sz val="11"/>
      <color rgb="FF1E2340"/>
      <name val="Calibri"/>
      <family val="2"/>
    </font>
    <font>
      <sz val="10"/>
      <color rgb="FFB4540A"/>
      <name val="Calibri"/>
      <family val="2"/>
    </font>
    <font>
      <sz val="9"/>
      <color rgb="FF555B7A"/>
      <name val="Calibri"/>
      <family val="2"/>
    </font>
    <font>
      <b/>
      <sz val="11"/>
      <color rgb="FF1E2340"/>
      <name val="Calibri"/>
      <family val="2"/>
    </font>
    <font>
      <i/>
      <sz val="9"/>
      <color rgb="FFB4540A"/>
      <name val="Calibri"/>
      <family val="2"/>
    </font>
    <font>
      <b/>
      <sz val="11"/>
      <color rgb="FFFFFFFF"/>
      <name val="Calibri"/>
      <family val="2"/>
    </font>
    <font>
      <sz val="11"/>
      <color rgb="FF555B7A"/>
      <name val="Calibri"/>
      <family val="2"/>
    </font>
    <font>
      <b/>
      <sz val="9"/>
      <color rgb="FFB4540A"/>
      <name val="Calibri"/>
      <family val="2"/>
    </font>
    <font>
      <b/>
      <sz val="10"/>
      <color rgb="FF2D3A8C"/>
      <name val="Calibri"/>
      <family val="2"/>
    </font>
    <font>
      <sz val="10"/>
      <color rgb="FF1E2340"/>
      <name val="Calibri"/>
      <family val="2"/>
    </font>
    <font>
      <b/>
      <sz val="10"/>
      <color rgb="FF1E2340"/>
      <name val="Calibri"/>
      <family val="2"/>
    </font>
    <font>
      <sz val="10"/>
      <color rgb="FF1F7A6D"/>
      <name val="Calibri"/>
      <family val="2"/>
    </font>
    <font>
      <i/>
      <sz val="9"/>
      <color rgb="FF555B7A"/>
      <name val="Calibri"/>
      <family val="2"/>
    </font>
    <font>
      <b/>
      <sz val="9"/>
      <color rgb="FF555B7A"/>
      <name val="Calibri"/>
      <family val="2"/>
    </font>
    <font>
      <b/>
      <sz val="11"/>
      <color rgb="FF9C2A2A"/>
      <name val="Calibri"/>
      <family val="2"/>
    </font>
    <font>
      <b/>
      <sz val="10"/>
      <color rgb="FF555B7A"/>
      <name val="Calibri"/>
      <family val="2"/>
    </font>
    <font>
      <b/>
      <sz val="20"/>
      <color rgb="FF2D3A8C"/>
      <name val="Calibri"/>
      <family val="2"/>
    </font>
    <font>
      <b/>
      <sz val="11"/>
      <color rgb="FFB4540A"/>
      <name val="Calibri"/>
      <family val="2"/>
    </font>
    <font>
      <b/>
      <sz val="9"/>
      <color rgb="FFFFFFFF"/>
      <name val="Calibri"/>
      <family val="2"/>
    </font>
  </fonts>
  <fills count="9">
    <fill>
      <patternFill patternType="none"/>
    </fill>
    <fill>
      <patternFill patternType="gray125"/>
    </fill>
    <fill>
      <patternFill patternType="solid">
        <fgColor rgb="FFFFFFFF"/>
      </patternFill>
    </fill>
    <fill>
      <patternFill patternType="solid">
        <fgColor rgb="FF2D3A8C"/>
      </patternFill>
    </fill>
    <fill>
      <patternFill patternType="solid">
        <fgColor rgb="FFF7F8FC"/>
      </patternFill>
    </fill>
    <fill>
      <patternFill patternType="solid">
        <fgColor rgb="FFECEDF3"/>
      </patternFill>
    </fill>
    <fill>
      <patternFill patternType="solid">
        <fgColor rgb="FFEEF1FB"/>
      </patternFill>
    </fill>
    <fill>
      <patternFill patternType="solid">
        <fgColor rgb="FF555B7A"/>
      </patternFill>
    </fill>
    <fill>
      <patternFill patternType="solid">
        <fgColor rgb="FFF5DBDB"/>
      </patternFill>
    </fill>
  </fills>
  <borders count="2">
    <border>
      <left/>
      <right/>
      <top/>
      <bottom/>
      <diagonal/>
    </border>
    <border>
      <left style="thin">
        <color rgb="FFD9DCEA"/>
      </left>
      <right style="thin">
        <color rgb="FFD9DCEA"/>
      </right>
      <top style="thin">
        <color rgb="FFD9DCEA"/>
      </top>
      <bottom style="thin">
        <color rgb="FFD9DCEA"/>
      </bottom>
      <diagonal/>
    </border>
  </borders>
  <cellStyleXfs count="1">
    <xf numFmtId="0" fontId="0" fillId="0" borderId="0"/>
  </cellStyleXfs>
  <cellXfs count="60">
    <xf numFmtId="0" fontId="0" fillId="0" borderId="0" xfId="0"/>
    <xf numFmtId="0" fontId="3" fillId="0" borderId="0" xfId="0" applyFont="1"/>
    <xf numFmtId="0" fontId="4" fillId="0" borderId="0" xfId="0" applyFont="1"/>
    <xf numFmtId="0" fontId="5" fillId="0" borderId="0" xfId="0" applyFont="1"/>
    <xf numFmtId="0" fontId="6" fillId="0" borderId="0" xfId="0" applyFont="1"/>
    <xf numFmtId="0" fontId="7" fillId="0" borderId="0" xfId="0" applyFont="1"/>
    <xf numFmtId="0" fontId="4" fillId="2" borderId="1" xfId="0" applyFont="1" applyFill="1" applyBorder="1"/>
    <xf numFmtId="0" fontId="8" fillId="0" borderId="0" xfId="0" applyFont="1"/>
    <xf numFmtId="0" fontId="9" fillId="3" borderId="1" xfId="0" applyFont="1" applyFill="1" applyBorder="1" applyAlignment="1">
      <alignment vertical="center" wrapText="1"/>
    </xf>
    <xf numFmtId="0" fontId="12" fillId="6" borderId="1" xfId="0" applyFont="1" applyFill="1" applyBorder="1"/>
    <xf numFmtId="0" fontId="10" fillId="0" borderId="1" xfId="0" applyFont="1" applyBorder="1" applyAlignment="1">
      <alignment vertical="top" wrapText="1"/>
    </xf>
    <xf numFmtId="0" fontId="0" fillId="0" borderId="1" xfId="0" applyBorder="1" applyAlignment="1">
      <alignment vertical="top" wrapText="1"/>
    </xf>
    <xf numFmtId="164" fontId="0" fillId="0" borderId="1" xfId="0" applyNumberFormat="1" applyBorder="1" applyAlignment="1">
      <alignment vertical="top" wrapText="1"/>
    </xf>
    <xf numFmtId="0" fontId="11" fillId="5" borderId="1" xfId="0" applyFont="1" applyFill="1" applyBorder="1" applyAlignment="1">
      <alignment vertical="top" wrapText="1"/>
    </xf>
    <xf numFmtId="0" fontId="13" fillId="0" borderId="1" xfId="0" applyFont="1" applyBorder="1"/>
    <xf numFmtId="0" fontId="10" fillId="4" borderId="1" xfId="0" applyFont="1" applyFill="1" applyBorder="1" applyAlignment="1">
      <alignment vertical="top" wrapText="1"/>
    </xf>
    <xf numFmtId="0" fontId="0" fillId="4" borderId="1" xfId="0" applyFill="1" applyBorder="1" applyAlignment="1">
      <alignment vertical="top" wrapText="1"/>
    </xf>
    <xf numFmtId="164" fontId="0" fillId="4" borderId="1" xfId="0" applyNumberFormat="1" applyFill="1" applyBorder="1" applyAlignment="1">
      <alignment vertical="top" wrapText="1"/>
    </xf>
    <xf numFmtId="0" fontId="14" fillId="0" borderId="0" xfId="0" applyFont="1"/>
    <xf numFmtId="0" fontId="13" fillId="0" borderId="0" xfId="0" applyFont="1"/>
    <xf numFmtId="0" fontId="15" fillId="0" borderId="0" xfId="0" applyFont="1"/>
    <xf numFmtId="0" fontId="9" fillId="7" borderId="1" xfId="0" applyFont="1" applyFill="1" applyBorder="1" applyAlignment="1">
      <alignment vertical="center" wrapText="1"/>
    </xf>
    <xf numFmtId="0" fontId="0" fillId="5" borderId="1" xfId="0" applyFill="1" applyBorder="1" applyAlignment="1">
      <alignment vertical="top" wrapText="1"/>
    </xf>
    <xf numFmtId="165" fontId="0" fillId="4" borderId="1" xfId="0" applyNumberFormat="1" applyFill="1" applyBorder="1" applyAlignment="1">
      <alignment vertical="top" wrapText="1"/>
    </xf>
    <xf numFmtId="4" fontId="0" fillId="4" borderId="1" xfId="0" applyNumberFormat="1" applyFill="1" applyBorder="1" applyAlignment="1">
      <alignment vertical="top" wrapText="1"/>
    </xf>
    <xf numFmtId="4" fontId="0" fillId="4" borderId="1" xfId="0" applyNumberFormat="1" applyFill="1" applyBorder="1" applyAlignment="1">
      <alignment horizontal="right" vertical="top"/>
    </xf>
    <xf numFmtId="0" fontId="13" fillId="5" borderId="1" xfId="0" applyFont="1" applyFill="1" applyBorder="1" applyAlignment="1">
      <alignment vertical="top" wrapText="1"/>
    </xf>
    <xf numFmtId="4" fontId="0" fillId="5" borderId="1" xfId="0" applyNumberFormat="1" applyFill="1" applyBorder="1" applyAlignment="1">
      <alignment vertical="top" wrapText="1"/>
    </xf>
    <xf numFmtId="0" fontId="0" fillId="5" borderId="0" xfId="0" applyFill="1"/>
    <xf numFmtId="166" fontId="0" fillId="5" borderId="0" xfId="0" applyNumberFormat="1" applyFill="1"/>
    <xf numFmtId="167" fontId="0" fillId="5" borderId="0" xfId="0" applyNumberFormat="1" applyFill="1"/>
    <xf numFmtId="165" fontId="0" fillId="0" borderId="1" xfId="0" applyNumberFormat="1" applyBorder="1" applyAlignment="1">
      <alignment vertical="top" wrapText="1"/>
    </xf>
    <xf numFmtId="4" fontId="0" fillId="0" borderId="1" xfId="0" applyNumberFormat="1" applyBorder="1" applyAlignment="1">
      <alignment vertical="top" wrapText="1"/>
    </xf>
    <xf numFmtId="4" fontId="0" fillId="0" borderId="1" xfId="0" applyNumberFormat="1" applyBorder="1" applyAlignment="1">
      <alignment horizontal="right" vertical="top"/>
    </xf>
    <xf numFmtId="167" fontId="0" fillId="0" borderId="0" xfId="0" applyNumberFormat="1"/>
    <xf numFmtId="0" fontId="19" fillId="6" borderId="1" xfId="0" applyFont="1" applyFill="1" applyBorder="1" applyAlignment="1">
      <alignment vertical="center" wrapText="1"/>
    </xf>
    <xf numFmtId="4" fontId="20" fillId="6" borderId="1" xfId="0" applyNumberFormat="1" applyFont="1" applyFill="1" applyBorder="1" applyAlignment="1">
      <alignment vertical="center"/>
    </xf>
    <xf numFmtId="0" fontId="20" fillId="6" borderId="1" xfId="0" applyFont="1" applyFill="1" applyBorder="1" applyAlignment="1">
      <alignment vertical="center"/>
    </xf>
    <xf numFmtId="0" fontId="6" fillId="6" borderId="1" xfId="0" applyFont="1" applyFill="1" applyBorder="1" applyAlignment="1">
      <alignment vertical="center" wrapText="1"/>
    </xf>
    <xf numFmtId="168" fontId="0" fillId="5" borderId="1" xfId="0" applyNumberFormat="1" applyFill="1" applyBorder="1" applyAlignment="1">
      <alignment vertical="top" wrapText="1"/>
    </xf>
    <xf numFmtId="0" fontId="7" fillId="5" borderId="1" xfId="0" applyFont="1" applyFill="1" applyBorder="1" applyAlignment="1">
      <alignment vertical="top" wrapText="1"/>
    </xf>
    <xf numFmtId="4" fontId="7" fillId="5" borderId="1" xfId="0" applyNumberFormat="1" applyFont="1" applyFill="1" applyBorder="1" applyAlignment="1">
      <alignment vertical="top" wrapText="1"/>
    </xf>
    <xf numFmtId="0" fontId="6" fillId="5" borderId="1" xfId="0" applyFont="1" applyFill="1" applyBorder="1" applyAlignment="1">
      <alignment vertical="top" wrapText="1"/>
    </xf>
    <xf numFmtId="4" fontId="4" fillId="5" borderId="1" xfId="0" applyNumberFormat="1" applyFont="1" applyFill="1" applyBorder="1"/>
    <xf numFmtId="0" fontId="22" fillId="7" borderId="0" xfId="0" applyFont="1" applyFill="1" applyAlignment="1">
      <alignment vertical="center" wrapText="1"/>
    </xf>
    <xf numFmtId="166" fontId="0" fillId="0" borderId="0" xfId="0" applyNumberFormat="1"/>
    <xf numFmtId="0" fontId="0" fillId="5" borderId="1" xfId="0" applyFill="1" applyBorder="1" applyAlignment="1">
      <alignment horizontal="center" vertical="center"/>
    </xf>
    <xf numFmtId="0" fontId="0" fillId="2" borderId="1" xfId="0" applyFill="1" applyBorder="1" applyAlignment="1">
      <alignment vertical="top" wrapText="1"/>
    </xf>
    <xf numFmtId="0" fontId="14" fillId="0" borderId="0" xfId="0" applyFont="1" applyAlignment="1">
      <alignment horizontal="right"/>
    </xf>
    <xf numFmtId="4" fontId="7" fillId="5" borderId="1" xfId="0" applyNumberFormat="1" applyFont="1" applyFill="1" applyBorder="1"/>
    <xf numFmtId="0" fontId="7" fillId="5" borderId="1" xfId="0" applyFont="1" applyFill="1" applyBorder="1"/>
    <xf numFmtId="0" fontId="2" fillId="0" borderId="0" xfId="0" applyFont="1" applyAlignment="1">
      <alignment vertical="top" wrapText="1"/>
    </xf>
    <xf numFmtId="0" fontId="0" fillId="0" borderId="0" xfId="0"/>
    <xf numFmtId="0" fontId="1" fillId="0" borderId="0" xfId="0" applyFont="1"/>
    <xf numFmtId="0" fontId="18" fillId="8" borderId="0" xfId="0" applyFont="1" applyFill="1"/>
    <xf numFmtId="0" fontId="16" fillId="0" borderId="0" xfId="0" applyFont="1"/>
    <xf numFmtId="0" fontId="17" fillId="0" borderId="0" xfId="0" applyFont="1"/>
    <xf numFmtId="0" fontId="2" fillId="0" borderId="0" xfId="0" applyFont="1"/>
    <xf numFmtId="0" fontId="3" fillId="0" borderId="0" xfId="0" applyFont="1"/>
    <xf numFmtId="0" fontId="21" fillId="0" borderId="0" xfId="0" applyFont="1"/>
  </cellXfs>
  <cellStyles count="1">
    <cellStyle name="Standard" xfId="0" builtinId="0"/>
  </cellStyles>
  <dxfs count="20">
    <dxf>
      <fill>
        <patternFill patternType="solid">
          <fgColor rgb="FFDCF2E4"/>
        </patternFill>
      </fill>
    </dxf>
    <dxf>
      <font>
        <b/>
        <color rgb="FF9C2A2A"/>
      </font>
      <fill>
        <patternFill patternType="solid">
          <fgColor rgb="FFF5DBDB"/>
        </patternFill>
      </fill>
    </dxf>
    <dxf>
      <fill>
        <patternFill patternType="solid">
          <fgColor rgb="FFDCF2E4"/>
        </patternFill>
      </fill>
    </dxf>
    <dxf>
      <fill>
        <patternFill patternType="solid">
          <fgColor rgb="FFDCF2E4"/>
        </patternFill>
      </fill>
    </dxf>
    <dxf>
      <fill>
        <patternFill patternType="solid">
          <fgColor rgb="FFF5DBDB"/>
        </patternFill>
      </fill>
    </dxf>
    <dxf>
      <font>
        <b/>
        <color rgb="FF9C2A2A"/>
      </font>
      <fill>
        <patternFill patternType="solid">
          <fgColor rgb="FFF5DBDB"/>
        </patternFill>
      </fill>
    </dxf>
    <dxf>
      <fill>
        <patternFill patternType="solid">
          <fgColor rgb="FFDCF2E4"/>
        </patternFill>
      </fill>
    </dxf>
    <dxf>
      <font>
        <b/>
        <color rgb="FF9C2A2A"/>
      </font>
      <fill>
        <patternFill patternType="solid">
          <fgColor rgb="FFF5DBDB"/>
        </patternFill>
      </fill>
    </dxf>
    <dxf>
      <fill>
        <patternFill patternType="solid">
          <fgColor rgb="FFDCF2E4"/>
        </patternFill>
      </fill>
    </dxf>
    <dxf>
      <fill>
        <patternFill patternType="solid">
          <fgColor rgb="FFDCF2E4"/>
        </patternFill>
      </fill>
    </dxf>
    <dxf>
      <fill>
        <patternFill patternType="solid">
          <fgColor rgb="FFF5DBDB"/>
        </patternFill>
      </fill>
    </dxf>
    <dxf>
      <fill>
        <patternFill patternType="solid">
          <fgColor rgb="FFEEF1FB"/>
        </patternFill>
      </fill>
    </dxf>
    <dxf>
      <fill>
        <patternFill patternType="solid">
          <fgColor rgb="FFDCF2E4"/>
        </patternFill>
      </fill>
    </dxf>
    <dxf>
      <fill>
        <patternFill patternType="solid">
          <fgColor rgb="FFFFF1CC"/>
        </patternFill>
      </fill>
    </dxf>
    <dxf>
      <fill>
        <patternFill patternType="solid">
          <fgColor rgb="FFDCF2E4"/>
        </patternFill>
      </fill>
    </dxf>
    <dxf>
      <fill>
        <patternFill patternType="solid">
          <fgColor rgb="FFFFF1CC"/>
        </patternFill>
      </fill>
    </dxf>
    <dxf>
      <font>
        <i/>
        <color rgb="FF555B7A"/>
      </font>
    </dxf>
    <dxf>
      <fill>
        <patternFill patternType="solid">
          <fgColor rgb="FFDCF2E4"/>
        </patternFill>
      </fill>
    </dxf>
    <dxf>
      <fill>
        <patternFill patternType="solid">
          <fgColor rgb="FFF5DBDB"/>
        </patternFill>
      </fill>
    </dxf>
    <dxf>
      <font>
        <b/>
        <color rgb="FFB4540A"/>
      </font>
      <fill>
        <patternFill patternType="solid">
          <fgColor rgb="FFFFF1CC"/>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2D3A8C"/>
    <pageSetUpPr fitToPage="1"/>
  </sheetPr>
  <dimension ref="A1:N36"/>
  <sheetViews>
    <sheetView showGridLines="0" tabSelected="1" workbookViewId="0">
      <selection sqref="A1:G1"/>
    </sheetView>
  </sheetViews>
  <sheetFormatPr baseColWidth="10" defaultColWidth="8.83203125" defaultRowHeight="15" x14ac:dyDescent="0.2"/>
  <cols>
    <col min="1" max="1" width="5" customWidth="1"/>
    <col min="2" max="2" width="34" customWidth="1"/>
    <col min="3" max="3" width="26" customWidth="1"/>
    <col min="4" max="4" width="20" customWidth="1"/>
    <col min="5" max="5" width="14" customWidth="1"/>
    <col min="6" max="6" width="40" customWidth="1"/>
    <col min="7" max="7" width="44" customWidth="1"/>
    <col min="8" max="8" width="30" customWidth="1"/>
    <col min="9" max="9" width="2" customWidth="1"/>
    <col min="10" max="10" width="18" customWidth="1"/>
    <col min="11" max="11" width="2" customWidth="1"/>
    <col min="12" max="12" width="10" customWidth="1"/>
    <col min="13" max="13" width="2" customWidth="1"/>
    <col min="14" max="14" width="20" customWidth="1"/>
  </cols>
  <sheetData>
    <row r="1" spans="1:7" ht="26" customHeight="1" x14ac:dyDescent="0.25">
      <c r="A1" s="53" t="s">
        <v>0</v>
      </c>
      <c r="B1" s="52"/>
      <c r="C1" s="52"/>
      <c r="D1" s="52"/>
      <c r="E1" s="52"/>
      <c r="F1" s="52"/>
      <c r="G1" s="52"/>
    </row>
    <row r="2" spans="1:7" ht="42" customHeight="1" x14ac:dyDescent="0.2">
      <c r="A2" s="51" t="s">
        <v>1</v>
      </c>
      <c r="B2" s="52"/>
      <c r="C2" s="52"/>
      <c r="D2" s="52"/>
      <c r="E2" s="52"/>
      <c r="F2" s="52"/>
      <c r="G2" s="52"/>
    </row>
    <row r="4" spans="1:7" ht="20" customHeight="1" x14ac:dyDescent="0.2">
      <c r="B4" s="1" t="s">
        <v>2</v>
      </c>
    </row>
    <row r="5" spans="1:7" ht="19" customHeight="1" x14ac:dyDescent="0.2">
      <c r="B5" s="2" t="s">
        <v>3</v>
      </c>
    </row>
    <row r="6" spans="1:7" ht="19" customHeight="1" x14ac:dyDescent="0.2">
      <c r="B6" s="2" t="s">
        <v>4</v>
      </c>
    </row>
    <row r="7" spans="1:7" ht="19" customHeight="1" x14ac:dyDescent="0.2">
      <c r="B7" s="2" t="s">
        <v>5</v>
      </c>
    </row>
    <row r="8" spans="1:7" ht="19" customHeight="1" x14ac:dyDescent="0.2">
      <c r="B8" s="2" t="s">
        <v>6</v>
      </c>
    </row>
    <row r="9" spans="1:7" ht="19" customHeight="1" x14ac:dyDescent="0.2">
      <c r="B9" s="2" t="s">
        <v>7</v>
      </c>
    </row>
    <row r="10" spans="1:7" ht="19" customHeight="1" x14ac:dyDescent="0.2">
      <c r="B10" s="2" t="s">
        <v>8</v>
      </c>
    </row>
    <row r="11" spans="1:7" ht="18" customHeight="1" x14ac:dyDescent="0.2">
      <c r="B11" s="3" t="s">
        <v>9</v>
      </c>
    </row>
    <row r="12" spans="1:7" ht="18" customHeight="1" x14ac:dyDescent="0.2">
      <c r="B12" s="4" t="s">
        <v>10</v>
      </c>
    </row>
    <row r="13" spans="1:7" ht="18" customHeight="1" x14ac:dyDescent="0.2">
      <c r="B13" s="4" t="s">
        <v>11</v>
      </c>
    </row>
    <row r="15" spans="1:7" x14ac:dyDescent="0.2">
      <c r="B15" s="5" t="s">
        <v>12</v>
      </c>
      <c r="C15" s="6" t="s">
        <v>13</v>
      </c>
      <c r="F15" s="7" t="str">
        <f>IF($C$16="","Tip: type your currency symbol in C16 — it appears in every money heading.","")</f>
        <v/>
      </c>
    </row>
    <row r="16" spans="1:7" x14ac:dyDescent="0.2">
      <c r="B16" s="5" t="s">
        <v>14</v>
      </c>
      <c r="C16" s="6" t="s">
        <v>15</v>
      </c>
      <c r="F16" s="4" t="s">
        <v>16</v>
      </c>
    </row>
    <row r="17" spans="1:14" x14ac:dyDescent="0.2">
      <c r="B17" s="5" t="s">
        <v>17</v>
      </c>
      <c r="C17" s="6" t="s">
        <v>18</v>
      </c>
      <c r="F17" s="4" t="s">
        <v>19</v>
      </c>
    </row>
    <row r="20" spans="1:14" ht="30" customHeight="1" x14ac:dyDescent="0.2">
      <c r="A20" s="8" t="s">
        <v>20</v>
      </c>
      <c r="B20" s="8" t="s">
        <v>21</v>
      </c>
      <c r="C20" s="8" t="s">
        <v>22</v>
      </c>
      <c r="D20" s="8" t="s">
        <v>23</v>
      </c>
      <c r="E20" s="8" t="s">
        <v>24</v>
      </c>
      <c r="F20" s="8" t="s">
        <v>25</v>
      </c>
      <c r="G20" s="8" t="s">
        <v>26</v>
      </c>
      <c r="H20" s="9" t="s">
        <v>27</v>
      </c>
      <c r="J20" s="9" t="s">
        <v>28</v>
      </c>
      <c r="L20" s="9" t="s">
        <v>29</v>
      </c>
      <c r="N20" s="9" t="s">
        <v>30</v>
      </c>
    </row>
    <row r="21" spans="1:14" ht="16" x14ac:dyDescent="0.2">
      <c r="A21" s="10">
        <v>1</v>
      </c>
      <c r="B21" s="11" t="s">
        <v>31</v>
      </c>
      <c r="C21" s="11" t="s">
        <v>32</v>
      </c>
      <c r="D21" s="12">
        <v>18</v>
      </c>
      <c r="E21" s="12">
        <v>7</v>
      </c>
      <c r="F21" s="11" t="s">
        <v>33</v>
      </c>
      <c r="G21" s="13" t="str">
        <f t="shared" ref="G21:G30" si="0">IF($B21="","",IF(SUMPRODUCT(($B$21:$B$30=$B21)*1)&gt;1,"⚠ duplicate name — every member needs a unique name",""))</f>
        <v/>
      </c>
      <c r="H21" s="14" t="s">
        <v>34</v>
      </c>
      <c r="J21" s="14" t="s">
        <v>18</v>
      </c>
      <c r="L21" s="14" t="s">
        <v>32</v>
      </c>
      <c r="N21" s="14" t="s">
        <v>15</v>
      </c>
    </row>
    <row r="22" spans="1:14" ht="16" x14ac:dyDescent="0.2">
      <c r="A22" s="15">
        <v>2</v>
      </c>
      <c r="B22" s="16" t="s">
        <v>35</v>
      </c>
      <c r="C22" s="16" t="s">
        <v>32</v>
      </c>
      <c r="D22" s="17">
        <v>16</v>
      </c>
      <c r="E22" s="17">
        <v>7</v>
      </c>
      <c r="F22" s="16" t="s">
        <v>36</v>
      </c>
      <c r="G22" s="13" t="str">
        <f t="shared" si="0"/>
        <v/>
      </c>
      <c r="H22" s="14" t="s">
        <v>37</v>
      </c>
      <c r="J22" s="14" t="s">
        <v>38</v>
      </c>
      <c r="L22" s="14" t="s">
        <v>39</v>
      </c>
      <c r="N22" s="14" t="s">
        <v>40</v>
      </c>
    </row>
    <row r="23" spans="1:14" ht="16" x14ac:dyDescent="0.2">
      <c r="A23" s="10">
        <v>3</v>
      </c>
      <c r="B23" s="11" t="s">
        <v>41</v>
      </c>
      <c r="C23" s="11" t="s">
        <v>32</v>
      </c>
      <c r="D23" s="12">
        <v>14</v>
      </c>
      <c r="E23" s="12">
        <v>3</v>
      </c>
      <c r="F23" s="11" t="s">
        <v>42</v>
      </c>
      <c r="G23" s="13" t="str">
        <f t="shared" si="0"/>
        <v/>
      </c>
      <c r="H23" s="14" t="s">
        <v>43</v>
      </c>
      <c r="J23" s="14" t="s">
        <v>44</v>
      </c>
      <c r="N23" s="14" t="s">
        <v>45</v>
      </c>
    </row>
    <row r="24" spans="1:14" ht="16" x14ac:dyDescent="0.2">
      <c r="A24" s="15">
        <v>4</v>
      </c>
      <c r="B24" s="16" t="s">
        <v>46</v>
      </c>
      <c r="C24" s="16" t="s">
        <v>32</v>
      </c>
      <c r="D24" s="17">
        <v>12</v>
      </c>
      <c r="E24" s="17">
        <v>4</v>
      </c>
      <c r="F24" s="16" t="s">
        <v>36</v>
      </c>
      <c r="G24" s="13" t="str">
        <f t="shared" si="0"/>
        <v/>
      </c>
      <c r="H24" s="14" t="s">
        <v>47</v>
      </c>
      <c r="J24" s="14" t="s">
        <v>48</v>
      </c>
      <c r="N24" s="14" t="s">
        <v>49</v>
      </c>
    </row>
    <row r="25" spans="1:14" ht="16" x14ac:dyDescent="0.2">
      <c r="A25" s="10">
        <v>5</v>
      </c>
      <c r="B25" s="11" t="s">
        <v>50</v>
      </c>
      <c r="C25" s="11" t="s">
        <v>32</v>
      </c>
      <c r="D25" s="12"/>
      <c r="E25" s="12">
        <v>7</v>
      </c>
      <c r="F25" s="11" t="s">
        <v>51</v>
      </c>
      <c r="G25" s="13" t="str">
        <f t="shared" si="0"/>
        <v/>
      </c>
      <c r="H25" s="14" t="s">
        <v>52</v>
      </c>
      <c r="J25" s="14" t="s">
        <v>53</v>
      </c>
      <c r="N25" s="14" t="s">
        <v>54</v>
      </c>
    </row>
    <row r="26" spans="1:14" ht="16" x14ac:dyDescent="0.2">
      <c r="A26" s="15">
        <v>6</v>
      </c>
      <c r="B26" s="16"/>
      <c r="C26" s="16" t="s">
        <v>39</v>
      </c>
      <c r="D26" s="17"/>
      <c r="E26" s="17"/>
      <c r="F26" s="16"/>
      <c r="G26" s="13" t="str">
        <f t="shared" si="0"/>
        <v/>
      </c>
      <c r="H26" s="14" t="s">
        <v>55</v>
      </c>
      <c r="N26" s="14" t="s">
        <v>56</v>
      </c>
    </row>
    <row r="27" spans="1:14" ht="16" x14ac:dyDescent="0.2">
      <c r="A27" s="10">
        <v>7</v>
      </c>
      <c r="B27" s="11"/>
      <c r="C27" s="11" t="s">
        <v>39</v>
      </c>
      <c r="D27" s="12"/>
      <c r="E27" s="12"/>
      <c r="F27" s="11"/>
      <c r="G27" s="13" t="str">
        <f t="shared" si="0"/>
        <v/>
      </c>
      <c r="H27" s="14" t="s">
        <v>57</v>
      </c>
      <c r="N27" s="14" t="s">
        <v>58</v>
      </c>
    </row>
    <row r="28" spans="1:14" ht="16" x14ac:dyDescent="0.2">
      <c r="A28" s="15">
        <v>8</v>
      </c>
      <c r="B28" s="16"/>
      <c r="C28" s="16" t="s">
        <v>39</v>
      </c>
      <c r="D28" s="17"/>
      <c r="E28" s="17"/>
      <c r="F28" s="16"/>
      <c r="G28" s="13" t="str">
        <f t="shared" si="0"/>
        <v/>
      </c>
      <c r="H28" s="14" t="s">
        <v>59</v>
      </c>
      <c r="N28" s="14" t="s">
        <v>60</v>
      </c>
    </row>
    <row r="29" spans="1:14" ht="16" x14ac:dyDescent="0.2">
      <c r="A29" s="10">
        <v>9</v>
      </c>
      <c r="B29" s="11"/>
      <c r="C29" s="11" t="s">
        <v>39</v>
      </c>
      <c r="D29" s="12"/>
      <c r="E29" s="12"/>
      <c r="F29" s="11"/>
      <c r="G29" s="13" t="str">
        <f t="shared" si="0"/>
        <v/>
      </c>
      <c r="H29" s="14" t="s">
        <v>61</v>
      </c>
      <c r="N29" s="14" t="s">
        <v>62</v>
      </c>
    </row>
    <row r="30" spans="1:14" ht="16" x14ac:dyDescent="0.2">
      <c r="A30" s="15">
        <v>10</v>
      </c>
      <c r="B30" s="16"/>
      <c r="C30" s="16" t="s">
        <v>39</v>
      </c>
      <c r="D30" s="17"/>
      <c r="E30" s="17"/>
      <c r="F30" s="16"/>
      <c r="G30" s="13" t="str">
        <f t="shared" si="0"/>
        <v/>
      </c>
      <c r="H30" s="14" t="s">
        <v>63</v>
      </c>
      <c r="N30" s="14" t="s">
        <v>64</v>
      </c>
    </row>
    <row r="31" spans="1:14" x14ac:dyDescent="0.2">
      <c r="H31" s="14" t="s">
        <v>65</v>
      </c>
    </row>
    <row r="32" spans="1:14" x14ac:dyDescent="0.2">
      <c r="H32" s="14" t="s">
        <v>66</v>
      </c>
    </row>
    <row r="33" spans="2:2" x14ac:dyDescent="0.2">
      <c r="B33" s="18" t="s">
        <v>67</v>
      </c>
    </row>
    <row r="34" spans="2:2" x14ac:dyDescent="0.2">
      <c r="B34" s="19" t="s">
        <v>68</v>
      </c>
    </row>
    <row r="35" spans="2:2" x14ac:dyDescent="0.2">
      <c r="B35" s="19" t="s">
        <v>69</v>
      </c>
    </row>
    <row r="36" spans="2:2" x14ac:dyDescent="0.2">
      <c r="B36" s="20" t="s">
        <v>70</v>
      </c>
    </row>
  </sheetData>
  <mergeCells count="2">
    <mergeCell ref="A2:G2"/>
    <mergeCell ref="A1:G1"/>
  </mergeCells>
  <conditionalFormatting sqref="G21:G30">
    <cfRule type="expression" dxfId="19" priority="1">
      <formula>$G21&lt;&gt;""</formula>
    </cfRule>
  </conditionalFormatting>
  <dataValidations count="5">
    <dataValidation type="list" allowBlank="1" showErrorMessage="1" errorTitle="Pick from the list" error="Pick one of the entries on the Setup sheet — or clear the cell." sqref="C21:C30" xr:uid="{00000000-0002-0000-0000-000000000000}">
      <formula1>$L$21:$L$22</formula1>
    </dataValidation>
    <dataValidation type="list" allowBlank="1" showErrorMessage="1" errorTitle="Pick from the list" error="Pick one of the entries on the Setup sheet — or clear the cell." sqref="C17" xr:uid="{00000000-0002-0000-0000-000001000000}">
      <formula1>$J$21:$J$25</formula1>
    </dataValidation>
    <dataValidation type="list" allowBlank="1" sqref="C16" xr:uid="{00000000-0002-0000-0000-000002000000}">
      <formula1>$N$21:$N$30</formula1>
    </dataValidation>
    <dataValidation type="decimal" operator="greaterThanOrEqual" allowBlank="1" showInputMessage="1" showErrorMessage="1" errorTitle="Weight" error="Numbers only — no currency symbol, no text." promptTitle="Weight" prompt="Any number: room m2, headcount, any share you agreed on. Used by the 'Weights' split mode — a blank weight means this person carries 0 of a Weights row." sqref="D21:D30" xr:uid="{00000000-0002-0000-0000-000003000000}">
      <formula1>0</formula1>
    </dataValidation>
    <dataValidation type="decimal" operator="greaterThanOrEqual" allowBlank="1" showInputMessage="1" showErrorMessage="1" errorTitle="Nights / days" error="Numbers only — no currency symbol, no text." promptTitle="Nights / days" prompt="How many nights or days this person was there. Used by the 'Nights' split mode." sqref="E21:E30" xr:uid="{00000000-0002-0000-0000-000004000000}">
      <formula1>0</formula1>
    </dataValidation>
  </dataValidations>
  <pageMargins left="0.75" right="0.75" top="1" bottom="1" header="0.5" footer="0.5"/>
  <pageSetup fitToHeight="0" orientation="portrait"/>
  <headerFooter>
    <oddFooter>&amp;L&amp;F&amp;RPage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555B7A"/>
    <pageSetUpPr fitToPage="1"/>
  </sheetPr>
  <dimension ref="A1:AG308"/>
  <sheetViews>
    <sheetView showGridLines="0" workbookViewId="0">
      <pane xSplit="7" ySplit="7" topLeftCell="H8" activePane="bottomRight" state="frozen"/>
      <selection pane="topRight"/>
      <selection pane="bottomLeft"/>
      <selection pane="bottomRight"/>
    </sheetView>
  </sheetViews>
  <sheetFormatPr baseColWidth="10" defaultColWidth="8.83203125" defaultRowHeight="15" outlineLevelCol="1" x14ac:dyDescent="0.2"/>
  <cols>
    <col min="1" max="1" width="6" customWidth="1"/>
    <col min="2" max="2" width="13" customWidth="1"/>
    <col min="3" max="3" width="42" customWidth="1"/>
    <col min="4" max="4" width="15" customWidth="1"/>
    <col min="5" max="5" width="14" customWidth="1"/>
    <col min="6" max="6" width="22" customWidth="1"/>
    <col min="7" max="7" width="16" customWidth="1"/>
    <col min="8" max="17" width="11" customWidth="1"/>
    <col min="18" max="18" width="34" customWidth="1"/>
    <col min="19" max="19" width="16" customWidth="1"/>
    <col min="20" max="33" width="16" hidden="1" customWidth="1" outlineLevel="1"/>
  </cols>
  <sheetData>
    <row r="1" spans="1:33" ht="26" customHeight="1" x14ac:dyDescent="0.25">
      <c r="A1" s="53" t="s">
        <v>71</v>
      </c>
      <c r="B1" s="52"/>
      <c r="C1" s="52"/>
      <c r="D1" s="52"/>
      <c r="E1" s="52"/>
      <c r="F1" s="52"/>
      <c r="G1" s="52"/>
      <c r="H1" s="52"/>
      <c r="I1" s="52"/>
      <c r="J1" s="52"/>
      <c r="K1" s="52"/>
      <c r="L1" s="52"/>
      <c r="M1" s="52"/>
      <c r="N1" s="52"/>
      <c r="O1" s="52"/>
      <c r="P1" s="52"/>
      <c r="Q1" s="52"/>
      <c r="R1" s="52"/>
      <c r="S1" s="52"/>
    </row>
    <row r="2" spans="1:33" x14ac:dyDescent="0.2">
      <c r="A2" s="57" t="s">
        <v>72</v>
      </c>
      <c r="B2" s="52"/>
      <c r="C2" s="52"/>
      <c r="D2" s="52"/>
      <c r="E2" s="52"/>
      <c r="F2" s="52"/>
      <c r="G2" s="52"/>
      <c r="H2" s="52"/>
      <c r="I2" s="52"/>
      <c r="J2" s="52"/>
      <c r="K2" s="52"/>
      <c r="L2" s="52"/>
      <c r="M2" s="52"/>
      <c r="N2" s="52"/>
      <c r="O2" s="52"/>
      <c r="P2" s="52"/>
      <c r="Q2" s="52"/>
      <c r="R2" s="52"/>
      <c r="S2" s="52"/>
    </row>
    <row r="4" spans="1:33" x14ac:dyDescent="0.2">
      <c r="B4" s="5" t="s">
        <v>73</v>
      </c>
      <c r="C4" s="6" t="s">
        <v>31</v>
      </c>
      <c r="E4" s="4" t="s">
        <v>74</v>
      </c>
    </row>
    <row r="6" spans="1:33" x14ac:dyDescent="0.2">
      <c r="R6" s="55" t="s">
        <v>75</v>
      </c>
      <c r="S6" s="52"/>
      <c r="T6" s="56" t="s">
        <v>76</v>
      </c>
      <c r="U6" s="52"/>
      <c r="V6" s="52"/>
      <c r="W6" s="52"/>
      <c r="X6" s="52"/>
      <c r="Y6" s="52"/>
      <c r="Z6" s="52"/>
      <c r="AA6" s="52"/>
      <c r="AB6" s="52"/>
      <c r="AC6" s="52"/>
      <c r="AD6" s="52"/>
      <c r="AE6" s="52"/>
      <c r="AF6" s="52"/>
      <c r="AG6" s="52"/>
    </row>
    <row r="7" spans="1:33" ht="30" customHeight="1" x14ac:dyDescent="0.2">
      <c r="A7" s="8" t="s">
        <v>20</v>
      </c>
      <c r="B7" s="8" t="s">
        <v>77</v>
      </c>
      <c r="C7" s="8" t="s">
        <v>78</v>
      </c>
      <c r="D7" s="8" t="s">
        <v>79</v>
      </c>
      <c r="E7" s="8" t="str">
        <f>IF(Setup!$C$16="","Amount","Amount ("&amp;Setup!$C$16&amp;")")</f>
        <v>Amount (€)</v>
      </c>
      <c r="F7" s="8" t="s">
        <v>80</v>
      </c>
      <c r="G7" s="8" t="s">
        <v>81</v>
      </c>
      <c r="H7" s="8" t="str">
        <f>IF(Setup!$B$21="","(person 1)",Setup!$B$21)</f>
        <v>Anna</v>
      </c>
      <c r="I7" s="8" t="str">
        <f>IF(Setup!$B$22="","(person 2)",Setup!$B$22)</f>
        <v>Ben</v>
      </c>
      <c r="J7" s="8" t="str">
        <f>IF(Setup!$B$23="","(person 3)",Setup!$B$23)</f>
        <v>Chris</v>
      </c>
      <c r="K7" s="8" t="str">
        <f>IF(Setup!$B$24="","(person 4)",Setup!$B$24)</f>
        <v>Dana</v>
      </c>
      <c r="L7" s="8" t="str">
        <f>IF(Setup!$B$25="","(person 5)",Setup!$B$25)</f>
        <v>Eli</v>
      </c>
      <c r="M7" s="8" t="str">
        <f>IF(Setup!$B$26="","(person 6)",Setup!$B$26)</f>
        <v>(person 6)</v>
      </c>
      <c r="N7" s="8" t="str">
        <f>IF(Setup!$B$27="","(person 7)",Setup!$B$27)</f>
        <v>(person 7)</v>
      </c>
      <c r="O7" s="8" t="str">
        <f>IF(Setup!$B$28="","(person 8)",Setup!$B$28)</f>
        <v>(person 8)</v>
      </c>
      <c r="P7" s="8" t="str">
        <f>IF(Setup!$B$29="","(person 9)",Setup!$B$29)</f>
        <v>(person 9)</v>
      </c>
      <c r="Q7" s="8" t="str">
        <f>IF(Setup!$B$30="","(person 10)",Setup!$B$30)</f>
        <v>(person 10)</v>
      </c>
      <c r="R7" s="8" t="s">
        <v>26</v>
      </c>
      <c r="S7" s="8" t="str">
        <f>IF($C$4="","Share of … (pick a name in C4)","Share of "&amp;$C$4)</f>
        <v>Share of Anna</v>
      </c>
      <c r="T7" s="21" t="s">
        <v>82</v>
      </c>
      <c r="U7" s="21" t="str">
        <f>IF(Setup!$B$21="","units — person 1","units — "&amp;Setup!$B$21)</f>
        <v>units — Anna</v>
      </c>
      <c r="V7" s="21" t="str">
        <f>IF(Setup!$B$22="","units — person 2","units — "&amp;Setup!$B$22)</f>
        <v>units — Ben</v>
      </c>
      <c r="W7" s="21" t="str">
        <f>IF(Setup!$B$23="","units — person 3","units — "&amp;Setup!$B$23)</f>
        <v>units — Chris</v>
      </c>
      <c r="X7" s="21" t="str">
        <f>IF(Setup!$B$24="","units — person 4","units — "&amp;Setup!$B$24)</f>
        <v>units — Dana</v>
      </c>
      <c r="Y7" s="21" t="str">
        <f>IF(Setup!$B$25="","units — person 5","units — "&amp;Setup!$B$25)</f>
        <v>units — Eli</v>
      </c>
      <c r="Z7" s="21" t="str">
        <f>IF(Setup!$B$26="","units — person 6","units — "&amp;Setup!$B$26)</f>
        <v>units — person 6</v>
      </c>
      <c r="AA7" s="21" t="str">
        <f>IF(Setup!$B$27="","units — person 7","units — "&amp;Setup!$B$27)</f>
        <v>units — person 7</v>
      </c>
      <c r="AB7" s="21" t="str">
        <f>IF(Setup!$B$28="","units — person 8","units — "&amp;Setup!$B$28)</f>
        <v>units — person 8</v>
      </c>
      <c r="AC7" s="21" t="str">
        <f>IF(Setup!$B$29="","units — person 9","units — "&amp;Setup!$B$29)</f>
        <v>units — person 9</v>
      </c>
      <c r="AD7" s="21" t="str">
        <f>IF(Setup!$B$30="","units — person 10","units — "&amp;Setup!$B$30)</f>
        <v>units — person 10</v>
      </c>
      <c r="AE7" s="21" t="s">
        <v>83</v>
      </c>
      <c r="AF7" s="21" t="s">
        <v>84</v>
      </c>
      <c r="AG7" s="21" t="s">
        <v>85</v>
      </c>
    </row>
    <row r="8" spans="1:33" ht="16" x14ac:dyDescent="0.2">
      <c r="A8" s="22">
        <f t="shared" ref="A8:A71" si="0">IF($T8="","—",ROW()-7)</f>
        <v>1</v>
      </c>
      <c r="B8" s="23">
        <f ca="1">TODAY()-45</f>
        <v>46187</v>
      </c>
      <c r="C8" s="16" t="s">
        <v>86</v>
      </c>
      <c r="D8" s="16" t="s">
        <v>31</v>
      </c>
      <c r="E8" s="24">
        <v>1450</v>
      </c>
      <c r="F8" s="16" t="s">
        <v>37</v>
      </c>
      <c r="G8" s="16" t="s">
        <v>38</v>
      </c>
      <c r="H8" s="25"/>
      <c r="I8" s="25"/>
      <c r="J8" s="25"/>
      <c r="K8" s="25"/>
      <c r="L8" s="25"/>
      <c r="M8" s="25"/>
      <c r="N8" s="25"/>
      <c r="O8" s="25"/>
      <c r="P8" s="25"/>
      <c r="Q8" s="25"/>
      <c r="R8" s="26" t="str">
        <f>IF($T8="","",IF($D8="","Who paid?",IF(SUMPRODUCT((Setup!$B$21:$B$30=$D8)*1)=0,"Payer is not in the member list on Setup",IF($E8="","Amount missing — type the number in column E",IF(NOT(ISNUMBER($E8)),"Amount must be a plain number — no currency symbol, no text",IF(AND($T8="Custom units",$AE8&lt;=0),"Custom units: nobody has units on this row — type a number for at least one person",IF($AE8&lt;=0,"Nobody shares this row — check the person columns H–Q, and the Weight / Nights columns on Setup",IF(AND($T8="Exact amounts",ABS($AE8-$AG8)&gt;0.01),"Exact amounts do not add up to the amount","OK"))))))))</f>
        <v>OK</v>
      </c>
      <c r="S8" s="27">
        <f>IFERROR(IF(OR($T8="",$C$4=""),"—",ROUND($AG8*INDEX($U8:$AD8,1,MATCH($C$4,Setup!$B$21:$B$30,0))/$AF8,2)),"—")</f>
        <v>435</v>
      </c>
      <c r="T8" s="28" t="str">
        <f>IF(AND($C8="",$D8="",NOT(ISNUMBER($E8))),"",IF($G8="",IF(Setup!$C$17="","Equal",Setup!$C$17),$G8))</f>
        <v>Weights</v>
      </c>
      <c r="U8" s="29">
        <f>IF($T8="",0,IF(OR(Setup!$B$21="",Setup!$C$21="No"),0,IF(ISNUMBER(H8),H8,IF($T8="Weights",IF(ISNUMBER(Setup!$D$21),Setup!$D$21,0),IF($T8="Nights",IF(ISNUMBER(Setup!$E$21),Setup!$E$21,0),IF(OR($T8="Exact amounts",$T8="Custom units"),0,1))))))</f>
        <v>18</v>
      </c>
      <c r="V8" s="29">
        <f>IF($T8="",0,IF(OR(Setup!$B$22="",Setup!$C$22="No"),0,IF(ISNUMBER(I8),I8,IF($T8="Weights",IF(ISNUMBER(Setup!$D$22),Setup!$D$22,0),IF($T8="Nights",IF(ISNUMBER(Setup!$E$22),Setup!$E$22,0),IF(OR($T8="Exact amounts",$T8="Custom units"),0,1))))))</f>
        <v>16</v>
      </c>
      <c r="W8" s="29">
        <f>IF($T8="",0,IF(OR(Setup!$B$23="",Setup!$C$23="No"),0,IF(ISNUMBER(J8),J8,IF($T8="Weights",IF(ISNUMBER(Setup!$D$23),Setup!$D$23,0),IF($T8="Nights",IF(ISNUMBER(Setup!$E$23),Setup!$E$23,0),IF(OR($T8="Exact amounts",$T8="Custom units"),0,1))))))</f>
        <v>14</v>
      </c>
      <c r="X8" s="29">
        <f>IF($T8="",0,IF(OR(Setup!$B$24="",Setup!$C$24="No"),0,IF(ISNUMBER(K8),K8,IF($T8="Weights",IF(ISNUMBER(Setup!$D$24),Setup!$D$24,0),IF($T8="Nights",IF(ISNUMBER(Setup!$E$24),Setup!$E$24,0),IF(OR($T8="Exact amounts",$T8="Custom units"),0,1))))))</f>
        <v>12</v>
      </c>
      <c r="Y8" s="29">
        <f>IF($T8="",0,IF(OR(Setup!$B$25="",Setup!$C$25="No"),0,IF(ISNUMBER(L8),L8,IF($T8="Weights",IF(ISNUMBER(Setup!$D$25),Setup!$D$25,0),IF($T8="Nights",IF(ISNUMBER(Setup!$E$25),Setup!$E$25,0),IF(OR($T8="Exact amounts",$T8="Custom units"),0,1))))))</f>
        <v>0</v>
      </c>
      <c r="Z8" s="29">
        <f>IF($T8="",0,IF(OR(Setup!$B$26="",Setup!$C$26="No"),0,IF(ISNUMBER(M8),M8,IF($T8="Weights",IF(ISNUMBER(Setup!$D$26),Setup!$D$26,0),IF($T8="Nights",IF(ISNUMBER(Setup!$E$26),Setup!$E$26,0),IF(OR($T8="Exact amounts",$T8="Custom units"),0,1))))))</f>
        <v>0</v>
      </c>
      <c r="AA8" s="29">
        <f>IF($T8="",0,IF(OR(Setup!$B$27="",Setup!$C$27="No"),0,IF(ISNUMBER(N8),N8,IF($T8="Weights",IF(ISNUMBER(Setup!$D$27),Setup!$D$27,0),IF($T8="Nights",IF(ISNUMBER(Setup!$E$27),Setup!$E$27,0),IF(OR($T8="Exact amounts",$T8="Custom units"),0,1))))))</f>
        <v>0</v>
      </c>
      <c r="AB8" s="29">
        <f>IF($T8="",0,IF(OR(Setup!$B$28="",Setup!$C$28="No"),0,IF(ISNUMBER(O8),O8,IF($T8="Weights",IF(ISNUMBER(Setup!$D$28),Setup!$D$28,0),IF($T8="Nights",IF(ISNUMBER(Setup!$E$28),Setup!$E$28,0),IF(OR($T8="Exact amounts",$T8="Custom units"),0,1))))))</f>
        <v>0</v>
      </c>
      <c r="AC8" s="29">
        <f>IF($T8="",0,IF(OR(Setup!$B$29="",Setup!$C$29="No"),0,IF(ISNUMBER(P8),P8,IF($T8="Weights",IF(ISNUMBER(Setup!$D$29),Setup!$D$29,0),IF($T8="Nights",IF(ISNUMBER(Setup!$E$29),Setup!$E$29,0),IF(OR($T8="Exact amounts",$T8="Custom units"),0,1))))))</f>
        <v>0</v>
      </c>
      <c r="AD8" s="29">
        <f>IF($T8="",0,IF(OR(Setup!$B$30="",Setup!$C$30="No"),0,IF(ISNUMBER(Q8),Q8,IF($T8="Weights",IF(ISNUMBER(Setup!$D$30),Setup!$D$30,0),IF($T8="Nights",IF(ISNUMBER(Setup!$E$30),Setup!$E$30,0),IF(OR($T8="Exact amounts",$T8="Custom units"),0,1))))))</f>
        <v>0</v>
      </c>
      <c r="AE8" s="29">
        <f t="shared" ref="AE8:AE71" si="1">IF($T8="",0,SUM($U8:$AD8))</f>
        <v>60</v>
      </c>
      <c r="AF8" s="30">
        <f t="shared" ref="AF8:AF71" si="2">IF($AE8&lt;=0,1,$AE8)</f>
        <v>60</v>
      </c>
      <c r="AG8" s="29">
        <f t="shared" ref="AG8:AG71" si="3">IF(ISNUMBER($E8),$E8,0)</f>
        <v>1450</v>
      </c>
    </row>
    <row r="9" spans="1:33" ht="16" x14ac:dyDescent="0.2">
      <c r="A9" s="22">
        <f t="shared" si="0"/>
        <v>2</v>
      </c>
      <c r="B9" s="31">
        <f ca="1">TODAY()-44</f>
        <v>46188</v>
      </c>
      <c r="C9" s="11" t="s">
        <v>87</v>
      </c>
      <c r="D9" s="11" t="s">
        <v>35</v>
      </c>
      <c r="E9" s="32">
        <v>186.4</v>
      </c>
      <c r="F9" s="11" t="s">
        <v>43</v>
      </c>
      <c r="G9" s="11" t="s">
        <v>18</v>
      </c>
      <c r="H9" s="33"/>
      <c r="I9" s="33"/>
      <c r="J9" s="33"/>
      <c r="K9" s="33"/>
      <c r="L9" s="33">
        <v>0</v>
      </c>
      <c r="M9" s="33"/>
      <c r="N9" s="33"/>
      <c r="O9" s="33"/>
      <c r="P9" s="33"/>
      <c r="Q9" s="33"/>
      <c r="R9" s="26" t="str">
        <f>IF($T9="","",IF($D9="","Who paid?",IF(SUMPRODUCT((Setup!$B$21:$B$30=$D9)*1)=0,"Payer is not in the member list on Setup",IF($E9="","Amount missing — type the number in column E",IF(NOT(ISNUMBER($E9)),"Amount must be a plain number — no currency symbol, no text",IF(AND($T9="Custom units",$AE9&lt;=0),"Custom units: nobody has units on this row — type a number for at least one person",IF($AE9&lt;=0,"Nobody shares this row — check the person columns H–Q, and the Weight / Nights columns on Setup",IF(AND($T9="Exact amounts",ABS($AE9-$AG9)&gt;0.01),"Exact amounts do not add up to the amount","OK"))))))))</f>
        <v>OK</v>
      </c>
      <c r="S9" s="27">
        <f>IFERROR(IF(OR($T9="",$C$4=""),"—",ROUND($AG9*INDEX($U9:$AD9,1,MATCH($C$4,Setup!$B$21:$B$30,0))/$AF9,2)),"—")</f>
        <v>46.6</v>
      </c>
      <c r="T9" s="28" t="str">
        <f>IF(AND($C9="",$D9="",NOT(ISNUMBER($E9))),"",IF($G9="",IF(Setup!$C$17="","Equal",Setup!$C$17),$G9))</f>
        <v>Equal</v>
      </c>
      <c r="U9" s="29">
        <f>IF($T9="",0,IF(OR(Setup!$B$21="",Setup!$C$21="No"),0,IF(ISNUMBER(H9),H9,IF($T9="Weights",IF(ISNUMBER(Setup!$D$21),Setup!$D$21,0),IF($T9="Nights",IF(ISNUMBER(Setup!$E$21),Setup!$E$21,0),IF(OR($T9="Exact amounts",$T9="Custom units"),0,1))))))</f>
        <v>1</v>
      </c>
      <c r="V9" s="29">
        <f>IF($T9="",0,IF(OR(Setup!$B$22="",Setup!$C$22="No"),0,IF(ISNUMBER(I9),I9,IF($T9="Weights",IF(ISNUMBER(Setup!$D$22),Setup!$D$22,0),IF($T9="Nights",IF(ISNUMBER(Setup!$E$22),Setup!$E$22,0),IF(OR($T9="Exact amounts",$T9="Custom units"),0,1))))))</f>
        <v>1</v>
      </c>
      <c r="W9" s="29">
        <f>IF($T9="",0,IF(OR(Setup!$B$23="",Setup!$C$23="No"),0,IF(ISNUMBER(J9),J9,IF($T9="Weights",IF(ISNUMBER(Setup!$D$23),Setup!$D$23,0),IF($T9="Nights",IF(ISNUMBER(Setup!$E$23),Setup!$E$23,0),IF(OR($T9="Exact amounts",$T9="Custom units"),0,1))))))</f>
        <v>1</v>
      </c>
      <c r="X9" s="29">
        <f>IF($T9="",0,IF(OR(Setup!$B$24="",Setup!$C$24="No"),0,IF(ISNUMBER(K9),K9,IF($T9="Weights",IF(ISNUMBER(Setup!$D$24),Setup!$D$24,0),IF($T9="Nights",IF(ISNUMBER(Setup!$E$24),Setup!$E$24,0),IF(OR($T9="Exact amounts",$T9="Custom units"),0,1))))))</f>
        <v>1</v>
      </c>
      <c r="Y9" s="29">
        <f>IF($T9="",0,IF(OR(Setup!$B$25="",Setup!$C$25="No"),0,IF(ISNUMBER(L9),L9,IF($T9="Weights",IF(ISNUMBER(Setup!$D$25),Setup!$D$25,0),IF($T9="Nights",IF(ISNUMBER(Setup!$E$25),Setup!$E$25,0),IF(OR($T9="Exact amounts",$T9="Custom units"),0,1))))))</f>
        <v>0</v>
      </c>
      <c r="Z9" s="29">
        <f>IF($T9="",0,IF(OR(Setup!$B$26="",Setup!$C$26="No"),0,IF(ISNUMBER(M9),M9,IF($T9="Weights",IF(ISNUMBER(Setup!$D$26),Setup!$D$26,0),IF($T9="Nights",IF(ISNUMBER(Setup!$E$26),Setup!$E$26,0),IF(OR($T9="Exact amounts",$T9="Custom units"),0,1))))))</f>
        <v>0</v>
      </c>
      <c r="AA9" s="29">
        <f>IF($T9="",0,IF(OR(Setup!$B$27="",Setup!$C$27="No"),0,IF(ISNUMBER(N9),N9,IF($T9="Weights",IF(ISNUMBER(Setup!$D$27),Setup!$D$27,0),IF($T9="Nights",IF(ISNUMBER(Setup!$E$27),Setup!$E$27,0),IF(OR($T9="Exact amounts",$T9="Custom units"),0,1))))))</f>
        <v>0</v>
      </c>
      <c r="AB9" s="29">
        <f>IF($T9="",0,IF(OR(Setup!$B$28="",Setup!$C$28="No"),0,IF(ISNUMBER(O9),O9,IF($T9="Weights",IF(ISNUMBER(Setup!$D$28),Setup!$D$28,0),IF($T9="Nights",IF(ISNUMBER(Setup!$E$28),Setup!$E$28,0),IF(OR($T9="Exact amounts",$T9="Custom units"),0,1))))))</f>
        <v>0</v>
      </c>
      <c r="AC9" s="29">
        <f>IF($T9="",0,IF(OR(Setup!$B$29="",Setup!$C$29="No"),0,IF(ISNUMBER(P9),P9,IF($T9="Weights",IF(ISNUMBER(Setup!$D$29),Setup!$D$29,0),IF($T9="Nights",IF(ISNUMBER(Setup!$E$29),Setup!$E$29,0),IF(OR($T9="Exact amounts",$T9="Custom units"),0,1))))))</f>
        <v>0</v>
      </c>
      <c r="AD9" s="29">
        <f>IF($T9="",0,IF(OR(Setup!$B$30="",Setup!$C$30="No"),0,IF(ISNUMBER(Q9),Q9,IF($T9="Weights",IF(ISNUMBER(Setup!$D$30),Setup!$D$30,0),IF($T9="Nights",IF(ISNUMBER(Setup!$E$30),Setup!$E$30,0),IF(OR($T9="Exact amounts",$T9="Custom units"),0,1))))))</f>
        <v>0</v>
      </c>
      <c r="AE9" s="29">
        <f t="shared" si="1"/>
        <v>4</v>
      </c>
      <c r="AF9" s="30">
        <f t="shared" si="2"/>
        <v>4</v>
      </c>
      <c r="AG9" s="29">
        <f t="shared" si="3"/>
        <v>186.4</v>
      </c>
    </row>
    <row r="10" spans="1:33" ht="16" x14ac:dyDescent="0.2">
      <c r="A10" s="22">
        <f t="shared" si="0"/>
        <v>3</v>
      </c>
      <c r="B10" s="23">
        <f ca="1">TODAY()-42</f>
        <v>46190</v>
      </c>
      <c r="C10" s="16" t="s">
        <v>88</v>
      </c>
      <c r="D10" s="16" t="s">
        <v>41</v>
      </c>
      <c r="E10" s="24">
        <v>94.2</v>
      </c>
      <c r="F10" s="16" t="s">
        <v>34</v>
      </c>
      <c r="G10" s="16" t="s">
        <v>18</v>
      </c>
      <c r="H10" s="25"/>
      <c r="I10" s="25"/>
      <c r="J10" s="25"/>
      <c r="K10" s="25"/>
      <c r="L10" s="25">
        <v>0</v>
      </c>
      <c r="M10" s="25"/>
      <c r="N10" s="25"/>
      <c r="O10" s="25"/>
      <c r="P10" s="25"/>
      <c r="Q10" s="25"/>
      <c r="R10" s="26" t="str">
        <f>IF($T10="","",IF($D10="","Who paid?",IF(SUMPRODUCT((Setup!$B$21:$B$30=$D10)*1)=0,"Payer is not in the member list on Setup",IF($E10="","Amount missing — type the number in column E",IF(NOT(ISNUMBER($E10)),"Amount must be a plain number — no currency symbol, no text",IF(AND($T10="Custom units",$AE10&lt;=0),"Custom units: nobody has units on this row — type a number for at least one person",IF($AE10&lt;=0,"Nobody shares this row — check the person columns H–Q, and the Weight / Nights columns on Setup",IF(AND($T10="Exact amounts",ABS($AE10-$AG10)&gt;0.01),"Exact amounts do not add up to the amount","OK"))))))))</f>
        <v>OK</v>
      </c>
      <c r="S10" s="27">
        <f>IFERROR(IF(OR($T10="",$C$4=""),"—",ROUND($AG10*INDEX($U10:$AD10,1,MATCH($C$4,Setup!$B$21:$B$30,0))/$AF10,2)),"—")</f>
        <v>23.55</v>
      </c>
      <c r="T10" s="28" t="str">
        <f>IF(AND($C10="",$D10="",NOT(ISNUMBER($E10))),"",IF($G10="",IF(Setup!$C$17="","Equal",Setup!$C$17),$G10))</f>
        <v>Equal</v>
      </c>
      <c r="U10" s="29">
        <f>IF($T10="",0,IF(OR(Setup!$B$21="",Setup!$C$21="No"),0,IF(ISNUMBER(H10),H10,IF($T10="Weights",IF(ISNUMBER(Setup!$D$21),Setup!$D$21,0),IF($T10="Nights",IF(ISNUMBER(Setup!$E$21),Setup!$E$21,0),IF(OR($T10="Exact amounts",$T10="Custom units"),0,1))))))</f>
        <v>1</v>
      </c>
      <c r="V10" s="29">
        <f>IF($T10="",0,IF(OR(Setup!$B$22="",Setup!$C$22="No"),0,IF(ISNUMBER(I10),I10,IF($T10="Weights",IF(ISNUMBER(Setup!$D$22),Setup!$D$22,0),IF($T10="Nights",IF(ISNUMBER(Setup!$E$22),Setup!$E$22,0),IF(OR($T10="Exact amounts",$T10="Custom units"),0,1))))))</f>
        <v>1</v>
      </c>
      <c r="W10" s="29">
        <f>IF($T10="",0,IF(OR(Setup!$B$23="",Setup!$C$23="No"),0,IF(ISNUMBER(J10),J10,IF($T10="Weights",IF(ISNUMBER(Setup!$D$23),Setup!$D$23,0),IF($T10="Nights",IF(ISNUMBER(Setup!$E$23),Setup!$E$23,0),IF(OR($T10="Exact amounts",$T10="Custom units"),0,1))))))</f>
        <v>1</v>
      </c>
      <c r="X10" s="29">
        <f>IF($T10="",0,IF(OR(Setup!$B$24="",Setup!$C$24="No"),0,IF(ISNUMBER(K10),K10,IF($T10="Weights",IF(ISNUMBER(Setup!$D$24),Setup!$D$24,0),IF($T10="Nights",IF(ISNUMBER(Setup!$E$24),Setup!$E$24,0),IF(OR($T10="Exact amounts",$T10="Custom units"),0,1))))))</f>
        <v>1</v>
      </c>
      <c r="Y10" s="29">
        <f>IF($T10="",0,IF(OR(Setup!$B$25="",Setup!$C$25="No"),0,IF(ISNUMBER(L10),L10,IF($T10="Weights",IF(ISNUMBER(Setup!$D$25),Setup!$D$25,0),IF($T10="Nights",IF(ISNUMBER(Setup!$E$25),Setup!$E$25,0),IF(OR($T10="Exact amounts",$T10="Custom units"),0,1))))))</f>
        <v>0</v>
      </c>
      <c r="Z10" s="29">
        <f>IF($T10="",0,IF(OR(Setup!$B$26="",Setup!$C$26="No"),0,IF(ISNUMBER(M10),M10,IF($T10="Weights",IF(ISNUMBER(Setup!$D$26),Setup!$D$26,0),IF($T10="Nights",IF(ISNUMBER(Setup!$E$26),Setup!$E$26,0),IF(OR($T10="Exact amounts",$T10="Custom units"),0,1))))))</f>
        <v>0</v>
      </c>
      <c r="AA10" s="29">
        <f>IF($T10="",0,IF(OR(Setup!$B$27="",Setup!$C$27="No"),0,IF(ISNUMBER(N10),N10,IF($T10="Weights",IF(ISNUMBER(Setup!$D$27),Setup!$D$27,0),IF($T10="Nights",IF(ISNUMBER(Setup!$E$27),Setup!$E$27,0),IF(OR($T10="Exact amounts",$T10="Custom units"),0,1))))))</f>
        <v>0</v>
      </c>
      <c r="AB10" s="29">
        <f>IF($T10="",0,IF(OR(Setup!$B$28="",Setup!$C$28="No"),0,IF(ISNUMBER(O10),O10,IF($T10="Weights",IF(ISNUMBER(Setup!$D$28),Setup!$D$28,0),IF($T10="Nights",IF(ISNUMBER(Setup!$E$28),Setup!$E$28,0),IF(OR($T10="Exact amounts",$T10="Custom units"),0,1))))))</f>
        <v>0</v>
      </c>
      <c r="AC10" s="29">
        <f>IF($T10="",0,IF(OR(Setup!$B$29="",Setup!$C$29="No"),0,IF(ISNUMBER(P10),P10,IF($T10="Weights",IF(ISNUMBER(Setup!$D$29),Setup!$D$29,0),IF($T10="Nights",IF(ISNUMBER(Setup!$E$29),Setup!$E$29,0),IF(OR($T10="Exact amounts",$T10="Custom units"),0,1))))))</f>
        <v>0</v>
      </c>
      <c r="AD10" s="29">
        <f>IF($T10="",0,IF(OR(Setup!$B$30="",Setup!$C$30="No"),0,IF(ISNUMBER(Q10),Q10,IF($T10="Weights",IF(ISNUMBER(Setup!$D$30),Setup!$D$30,0),IF($T10="Nights",IF(ISNUMBER(Setup!$E$30),Setup!$E$30,0),IF(OR($T10="Exact amounts",$T10="Custom units"),0,1))))))</f>
        <v>0</v>
      </c>
      <c r="AE10" s="29">
        <f t="shared" si="1"/>
        <v>4</v>
      </c>
      <c r="AF10" s="30">
        <f t="shared" si="2"/>
        <v>4</v>
      </c>
      <c r="AG10" s="29">
        <f t="shared" si="3"/>
        <v>94.2</v>
      </c>
    </row>
    <row r="11" spans="1:33" ht="16" x14ac:dyDescent="0.2">
      <c r="A11" s="22">
        <f t="shared" si="0"/>
        <v>4</v>
      </c>
      <c r="B11" s="31">
        <f ca="1">TODAY()-40</f>
        <v>46192</v>
      </c>
      <c r="C11" s="11" t="s">
        <v>89</v>
      </c>
      <c r="D11" s="11" t="s">
        <v>46</v>
      </c>
      <c r="E11" s="32">
        <v>38.75</v>
      </c>
      <c r="F11" s="11" t="s">
        <v>47</v>
      </c>
      <c r="G11" s="11" t="s">
        <v>18</v>
      </c>
      <c r="H11" s="33"/>
      <c r="I11" s="33"/>
      <c r="J11" s="33"/>
      <c r="K11" s="33"/>
      <c r="L11" s="33">
        <v>0</v>
      </c>
      <c r="M11" s="33"/>
      <c r="N11" s="33"/>
      <c r="O11" s="33"/>
      <c r="P11" s="33"/>
      <c r="Q11" s="33"/>
      <c r="R11" s="26" t="str">
        <f>IF($T11="","",IF($D11="","Who paid?",IF(SUMPRODUCT((Setup!$B$21:$B$30=$D11)*1)=0,"Payer is not in the member list on Setup",IF($E11="","Amount missing — type the number in column E",IF(NOT(ISNUMBER($E11)),"Amount must be a plain number — no currency symbol, no text",IF(AND($T11="Custom units",$AE11&lt;=0),"Custom units: nobody has units on this row — type a number for at least one person",IF($AE11&lt;=0,"Nobody shares this row — check the person columns H–Q, and the Weight / Nights columns on Setup",IF(AND($T11="Exact amounts",ABS($AE11-$AG11)&gt;0.01),"Exact amounts do not add up to the amount","OK"))))))))</f>
        <v>OK</v>
      </c>
      <c r="S11" s="27">
        <f>IFERROR(IF(OR($T11="",$C$4=""),"—",ROUND($AG11*INDEX($U11:$AD11,1,MATCH($C$4,Setup!$B$21:$B$30,0))/$AF11,2)),"—")</f>
        <v>9.69</v>
      </c>
      <c r="T11" s="28" t="str">
        <f>IF(AND($C11="",$D11="",NOT(ISNUMBER($E11))),"",IF($G11="",IF(Setup!$C$17="","Equal",Setup!$C$17),$G11))</f>
        <v>Equal</v>
      </c>
      <c r="U11" s="29">
        <f>IF($T11="",0,IF(OR(Setup!$B$21="",Setup!$C$21="No"),0,IF(ISNUMBER(H11),H11,IF($T11="Weights",IF(ISNUMBER(Setup!$D$21),Setup!$D$21,0),IF($T11="Nights",IF(ISNUMBER(Setup!$E$21),Setup!$E$21,0),IF(OR($T11="Exact amounts",$T11="Custom units"),0,1))))))</f>
        <v>1</v>
      </c>
      <c r="V11" s="29">
        <f>IF($T11="",0,IF(OR(Setup!$B$22="",Setup!$C$22="No"),0,IF(ISNUMBER(I11),I11,IF($T11="Weights",IF(ISNUMBER(Setup!$D$22),Setup!$D$22,0),IF($T11="Nights",IF(ISNUMBER(Setup!$E$22),Setup!$E$22,0),IF(OR($T11="Exact amounts",$T11="Custom units"),0,1))))))</f>
        <v>1</v>
      </c>
      <c r="W11" s="29">
        <f>IF($T11="",0,IF(OR(Setup!$B$23="",Setup!$C$23="No"),0,IF(ISNUMBER(J11),J11,IF($T11="Weights",IF(ISNUMBER(Setup!$D$23),Setup!$D$23,0),IF($T11="Nights",IF(ISNUMBER(Setup!$E$23),Setup!$E$23,0),IF(OR($T11="Exact amounts",$T11="Custom units"),0,1))))))</f>
        <v>1</v>
      </c>
      <c r="X11" s="29">
        <f>IF($T11="",0,IF(OR(Setup!$B$24="",Setup!$C$24="No"),0,IF(ISNUMBER(K11),K11,IF($T11="Weights",IF(ISNUMBER(Setup!$D$24),Setup!$D$24,0),IF($T11="Nights",IF(ISNUMBER(Setup!$E$24),Setup!$E$24,0),IF(OR($T11="Exact amounts",$T11="Custom units"),0,1))))))</f>
        <v>1</v>
      </c>
      <c r="Y11" s="29">
        <f>IF($T11="",0,IF(OR(Setup!$B$25="",Setup!$C$25="No"),0,IF(ISNUMBER(L11),L11,IF($T11="Weights",IF(ISNUMBER(Setup!$D$25),Setup!$D$25,0),IF($T11="Nights",IF(ISNUMBER(Setup!$E$25),Setup!$E$25,0),IF(OR($T11="Exact amounts",$T11="Custom units"),0,1))))))</f>
        <v>0</v>
      </c>
      <c r="Z11" s="29">
        <f>IF($T11="",0,IF(OR(Setup!$B$26="",Setup!$C$26="No"),0,IF(ISNUMBER(M11),M11,IF($T11="Weights",IF(ISNUMBER(Setup!$D$26),Setup!$D$26,0),IF($T11="Nights",IF(ISNUMBER(Setup!$E$26),Setup!$E$26,0),IF(OR($T11="Exact amounts",$T11="Custom units"),0,1))))))</f>
        <v>0</v>
      </c>
      <c r="AA11" s="29">
        <f>IF($T11="",0,IF(OR(Setup!$B$27="",Setup!$C$27="No"),0,IF(ISNUMBER(N11),N11,IF($T11="Weights",IF(ISNUMBER(Setup!$D$27),Setup!$D$27,0),IF($T11="Nights",IF(ISNUMBER(Setup!$E$27),Setup!$E$27,0),IF(OR($T11="Exact amounts",$T11="Custom units"),0,1))))))</f>
        <v>0</v>
      </c>
      <c r="AB11" s="29">
        <f>IF($T11="",0,IF(OR(Setup!$B$28="",Setup!$C$28="No"),0,IF(ISNUMBER(O11),O11,IF($T11="Weights",IF(ISNUMBER(Setup!$D$28),Setup!$D$28,0),IF($T11="Nights",IF(ISNUMBER(Setup!$E$28),Setup!$E$28,0),IF(OR($T11="Exact amounts",$T11="Custom units"),0,1))))))</f>
        <v>0</v>
      </c>
      <c r="AC11" s="29">
        <f>IF($T11="",0,IF(OR(Setup!$B$29="",Setup!$C$29="No"),0,IF(ISNUMBER(P11),P11,IF($T11="Weights",IF(ISNUMBER(Setup!$D$29),Setup!$D$29,0),IF($T11="Nights",IF(ISNUMBER(Setup!$E$29),Setup!$E$29,0),IF(OR($T11="Exact amounts",$T11="Custom units"),0,1))))))</f>
        <v>0</v>
      </c>
      <c r="AD11" s="29">
        <f>IF($T11="",0,IF(OR(Setup!$B$30="",Setup!$C$30="No"),0,IF(ISNUMBER(Q11),Q11,IF($T11="Weights",IF(ISNUMBER(Setup!$D$30),Setup!$D$30,0),IF($T11="Nights",IF(ISNUMBER(Setup!$E$30),Setup!$E$30,0),IF(OR($T11="Exact amounts",$T11="Custom units"),0,1))))))</f>
        <v>0</v>
      </c>
      <c r="AE11" s="29">
        <f t="shared" si="1"/>
        <v>4</v>
      </c>
      <c r="AF11" s="30">
        <f t="shared" si="2"/>
        <v>4</v>
      </c>
      <c r="AG11" s="29">
        <f t="shared" si="3"/>
        <v>38.75</v>
      </c>
    </row>
    <row r="12" spans="1:33" ht="16" x14ac:dyDescent="0.2">
      <c r="A12" s="22">
        <f t="shared" si="0"/>
        <v>5</v>
      </c>
      <c r="B12" s="23">
        <f ca="1">TODAY()-38</f>
        <v>46194</v>
      </c>
      <c r="C12" s="16" t="s">
        <v>90</v>
      </c>
      <c r="D12" s="16" t="s">
        <v>31</v>
      </c>
      <c r="E12" s="24">
        <v>210</v>
      </c>
      <c r="F12" s="16" t="s">
        <v>47</v>
      </c>
      <c r="G12" s="16" t="s">
        <v>18</v>
      </c>
      <c r="H12" s="25"/>
      <c r="I12" s="25"/>
      <c r="J12" s="25"/>
      <c r="K12" s="25"/>
      <c r="L12" s="25">
        <v>0</v>
      </c>
      <c r="M12" s="25"/>
      <c r="N12" s="25"/>
      <c r="O12" s="25"/>
      <c r="P12" s="25"/>
      <c r="Q12" s="25"/>
      <c r="R12" s="26" t="str">
        <f>IF($T12="","",IF($D12="","Who paid?",IF(SUMPRODUCT((Setup!$B$21:$B$30=$D12)*1)=0,"Payer is not in the member list on Setup",IF($E12="","Amount missing — type the number in column E",IF(NOT(ISNUMBER($E12)),"Amount must be a plain number — no currency symbol, no text",IF(AND($T12="Custom units",$AE12&lt;=0),"Custom units: nobody has units on this row — type a number for at least one person",IF($AE12&lt;=0,"Nobody shares this row — check the person columns H–Q, and the Weight / Nights columns on Setup",IF(AND($T12="Exact amounts",ABS($AE12-$AG12)&gt;0.01),"Exact amounts do not add up to the amount","OK"))))))))</f>
        <v>OK</v>
      </c>
      <c r="S12" s="27">
        <f>IFERROR(IF(OR($T12="",$C$4=""),"—",ROUND($AG12*INDEX($U12:$AD12,1,MATCH($C$4,Setup!$B$21:$B$30,0))/$AF12,2)),"—")</f>
        <v>52.5</v>
      </c>
      <c r="T12" s="28" t="str">
        <f>IF(AND($C12="",$D12="",NOT(ISNUMBER($E12))),"",IF($G12="",IF(Setup!$C$17="","Equal",Setup!$C$17),$G12))</f>
        <v>Equal</v>
      </c>
      <c r="U12" s="29">
        <f>IF($T12="",0,IF(OR(Setup!$B$21="",Setup!$C$21="No"),0,IF(ISNUMBER(H12),H12,IF($T12="Weights",IF(ISNUMBER(Setup!$D$21),Setup!$D$21,0),IF($T12="Nights",IF(ISNUMBER(Setup!$E$21),Setup!$E$21,0),IF(OR($T12="Exact amounts",$T12="Custom units"),0,1))))))</f>
        <v>1</v>
      </c>
      <c r="V12" s="29">
        <f>IF($T12="",0,IF(OR(Setup!$B$22="",Setup!$C$22="No"),0,IF(ISNUMBER(I12),I12,IF($T12="Weights",IF(ISNUMBER(Setup!$D$22),Setup!$D$22,0),IF($T12="Nights",IF(ISNUMBER(Setup!$E$22),Setup!$E$22,0),IF(OR($T12="Exact amounts",$T12="Custom units"),0,1))))))</f>
        <v>1</v>
      </c>
      <c r="W12" s="29">
        <f>IF($T12="",0,IF(OR(Setup!$B$23="",Setup!$C$23="No"),0,IF(ISNUMBER(J12),J12,IF($T12="Weights",IF(ISNUMBER(Setup!$D$23),Setup!$D$23,0),IF($T12="Nights",IF(ISNUMBER(Setup!$E$23),Setup!$E$23,0),IF(OR($T12="Exact amounts",$T12="Custom units"),0,1))))))</f>
        <v>1</v>
      </c>
      <c r="X12" s="29">
        <f>IF($T12="",0,IF(OR(Setup!$B$24="",Setup!$C$24="No"),0,IF(ISNUMBER(K12),K12,IF($T12="Weights",IF(ISNUMBER(Setup!$D$24),Setup!$D$24,0),IF($T12="Nights",IF(ISNUMBER(Setup!$E$24),Setup!$E$24,0),IF(OR($T12="Exact amounts",$T12="Custom units"),0,1))))))</f>
        <v>1</v>
      </c>
      <c r="Y12" s="29">
        <f>IF($T12="",0,IF(OR(Setup!$B$25="",Setup!$C$25="No"),0,IF(ISNUMBER(L12),L12,IF($T12="Weights",IF(ISNUMBER(Setup!$D$25),Setup!$D$25,0),IF($T12="Nights",IF(ISNUMBER(Setup!$E$25),Setup!$E$25,0),IF(OR($T12="Exact amounts",$T12="Custom units"),0,1))))))</f>
        <v>0</v>
      </c>
      <c r="Z12" s="29">
        <f>IF($T12="",0,IF(OR(Setup!$B$26="",Setup!$C$26="No"),0,IF(ISNUMBER(M12),M12,IF($T12="Weights",IF(ISNUMBER(Setup!$D$26),Setup!$D$26,0),IF($T12="Nights",IF(ISNUMBER(Setup!$E$26),Setup!$E$26,0),IF(OR($T12="Exact amounts",$T12="Custom units"),0,1))))))</f>
        <v>0</v>
      </c>
      <c r="AA12" s="29">
        <f>IF($T12="",0,IF(OR(Setup!$B$27="",Setup!$C$27="No"),0,IF(ISNUMBER(N12),N12,IF($T12="Weights",IF(ISNUMBER(Setup!$D$27),Setup!$D$27,0),IF($T12="Nights",IF(ISNUMBER(Setup!$E$27),Setup!$E$27,0),IF(OR($T12="Exact amounts",$T12="Custom units"),0,1))))))</f>
        <v>0</v>
      </c>
      <c r="AB12" s="29">
        <f>IF($T12="",0,IF(OR(Setup!$B$28="",Setup!$C$28="No"),0,IF(ISNUMBER(O12),O12,IF($T12="Weights",IF(ISNUMBER(Setup!$D$28),Setup!$D$28,0),IF($T12="Nights",IF(ISNUMBER(Setup!$E$28),Setup!$E$28,0),IF(OR($T12="Exact amounts",$T12="Custom units"),0,1))))))</f>
        <v>0</v>
      </c>
      <c r="AC12" s="29">
        <f>IF($T12="",0,IF(OR(Setup!$B$29="",Setup!$C$29="No"),0,IF(ISNUMBER(P12),P12,IF($T12="Weights",IF(ISNUMBER(Setup!$D$29),Setup!$D$29,0),IF($T12="Nights",IF(ISNUMBER(Setup!$E$29),Setup!$E$29,0),IF(OR($T12="Exact amounts",$T12="Custom units"),0,1))))))</f>
        <v>0</v>
      </c>
      <c r="AD12" s="29">
        <f>IF($T12="",0,IF(OR(Setup!$B$30="",Setup!$C$30="No"),0,IF(ISNUMBER(Q12),Q12,IF($T12="Weights",IF(ISNUMBER(Setup!$D$30),Setup!$D$30,0),IF($T12="Nights",IF(ISNUMBER(Setup!$E$30),Setup!$E$30,0),IF(OR($T12="Exact amounts",$T12="Custom units"),0,1))))))</f>
        <v>0</v>
      </c>
      <c r="AE12" s="29">
        <f t="shared" si="1"/>
        <v>4</v>
      </c>
      <c r="AF12" s="30">
        <f t="shared" si="2"/>
        <v>4</v>
      </c>
      <c r="AG12" s="29">
        <f t="shared" si="3"/>
        <v>210</v>
      </c>
    </row>
    <row r="13" spans="1:33" ht="16" x14ac:dyDescent="0.2">
      <c r="A13" s="22">
        <f t="shared" si="0"/>
        <v>6</v>
      </c>
      <c r="B13" s="31">
        <f ca="1">TODAY()-36</f>
        <v>46196</v>
      </c>
      <c r="C13" s="11" t="s">
        <v>88</v>
      </c>
      <c r="D13" s="11" t="s">
        <v>35</v>
      </c>
      <c r="E13" s="32">
        <v>112.6</v>
      </c>
      <c r="F13" s="11" t="s">
        <v>34</v>
      </c>
      <c r="G13" s="11" t="s">
        <v>18</v>
      </c>
      <c r="H13" s="33"/>
      <c r="I13" s="33"/>
      <c r="J13" s="33"/>
      <c r="K13" s="33"/>
      <c r="L13" s="33">
        <v>0</v>
      </c>
      <c r="M13" s="33"/>
      <c r="N13" s="33"/>
      <c r="O13" s="33"/>
      <c r="P13" s="33"/>
      <c r="Q13" s="33"/>
      <c r="R13" s="26" t="str">
        <f>IF($T13="","",IF($D13="","Who paid?",IF(SUMPRODUCT((Setup!$B$21:$B$30=$D13)*1)=0,"Payer is not in the member list on Setup",IF($E13="","Amount missing — type the number in column E",IF(NOT(ISNUMBER($E13)),"Amount must be a plain number — no currency symbol, no text",IF(AND($T13="Custom units",$AE13&lt;=0),"Custom units: nobody has units on this row — type a number for at least one person",IF($AE13&lt;=0,"Nobody shares this row — check the person columns H–Q, and the Weight / Nights columns on Setup",IF(AND($T13="Exact amounts",ABS($AE13-$AG13)&gt;0.01),"Exact amounts do not add up to the amount","OK"))))))))</f>
        <v>OK</v>
      </c>
      <c r="S13" s="27">
        <f>IFERROR(IF(OR($T13="",$C$4=""),"—",ROUND($AG13*INDEX($U13:$AD13,1,MATCH($C$4,Setup!$B$21:$B$30,0))/$AF13,2)),"—")</f>
        <v>28.15</v>
      </c>
      <c r="T13" s="28" t="str">
        <f>IF(AND($C13="",$D13="",NOT(ISNUMBER($E13))),"",IF($G13="",IF(Setup!$C$17="","Equal",Setup!$C$17),$G13))</f>
        <v>Equal</v>
      </c>
      <c r="U13" s="29">
        <f>IF($T13="",0,IF(OR(Setup!$B$21="",Setup!$C$21="No"),0,IF(ISNUMBER(H13),H13,IF($T13="Weights",IF(ISNUMBER(Setup!$D$21),Setup!$D$21,0),IF($T13="Nights",IF(ISNUMBER(Setup!$E$21),Setup!$E$21,0),IF(OR($T13="Exact amounts",$T13="Custom units"),0,1))))))</f>
        <v>1</v>
      </c>
      <c r="V13" s="29">
        <f>IF($T13="",0,IF(OR(Setup!$B$22="",Setup!$C$22="No"),0,IF(ISNUMBER(I13),I13,IF($T13="Weights",IF(ISNUMBER(Setup!$D$22),Setup!$D$22,0),IF($T13="Nights",IF(ISNUMBER(Setup!$E$22),Setup!$E$22,0),IF(OR($T13="Exact amounts",$T13="Custom units"),0,1))))))</f>
        <v>1</v>
      </c>
      <c r="W13" s="29">
        <f>IF($T13="",0,IF(OR(Setup!$B$23="",Setup!$C$23="No"),0,IF(ISNUMBER(J13),J13,IF($T13="Weights",IF(ISNUMBER(Setup!$D$23),Setup!$D$23,0),IF($T13="Nights",IF(ISNUMBER(Setup!$E$23),Setup!$E$23,0),IF(OR($T13="Exact amounts",$T13="Custom units"),0,1))))))</f>
        <v>1</v>
      </c>
      <c r="X13" s="29">
        <f>IF($T13="",0,IF(OR(Setup!$B$24="",Setup!$C$24="No"),0,IF(ISNUMBER(K13),K13,IF($T13="Weights",IF(ISNUMBER(Setup!$D$24),Setup!$D$24,0),IF($T13="Nights",IF(ISNUMBER(Setup!$E$24),Setup!$E$24,0),IF(OR($T13="Exact amounts",$T13="Custom units"),0,1))))))</f>
        <v>1</v>
      </c>
      <c r="Y13" s="29">
        <f>IF($T13="",0,IF(OR(Setup!$B$25="",Setup!$C$25="No"),0,IF(ISNUMBER(L13),L13,IF($T13="Weights",IF(ISNUMBER(Setup!$D$25),Setup!$D$25,0),IF($T13="Nights",IF(ISNUMBER(Setup!$E$25),Setup!$E$25,0),IF(OR($T13="Exact amounts",$T13="Custom units"),0,1))))))</f>
        <v>0</v>
      </c>
      <c r="Z13" s="29">
        <f>IF($T13="",0,IF(OR(Setup!$B$26="",Setup!$C$26="No"),0,IF(ISNUMBER(M13),M13,IF($T13="Weights",IF(ISNUMBER(Setup!$D$26),Setup!$D$26,0),IF($T13="Nights",IF(ISNUMBER(Setup!$E$26),Setup!$E$26,0),IF(OR($T13="Exact amounts",$T13="Custom units"),0,1))))))</f>
        <v>0</v>
      </c>
      <c r="AA13" s="29">
        <f>IF($T13="",0,IF(OR(Setup!$B$27="",Setup!$C$27="No"),0,IF(ISNUMBER(N13),N13,IF($T13="Weights",IF(ISNUMBER(Setup!$D$27),Setup!$D$27,0),IF($T13="Nights",IF(ISNUMBER(Setup!$E$27),Setup!$E$27,0),IF(OR($T13="Exact amounts",$T13="Custom units"),0,1))))))</f>
        <v>0</v>
      </c>
      <c r="AB13" s="29">
        <f>IF($T13="",0,IF(OR(Setup!$B$28="",Setup!$C$28="No"),0,IF(ISNUMBER(O13),O13,IF($T13="Weights",IF(ISNUMBER(Setup!$D$28),Setup!$D$28,0),IF($T13="Nights",IF(ISNUMBER(Setup!$E$28),Setup!$E$28,0),IF(OR($T13="Exact amounts",$T13="Custom units"),0,1))))))</f>
        <v>0</v>
      </c>
      <c r="AC13" s="29">
        <f>IF($T13="",0,IF(OR(Setup!$B$29="",Setup!$C$29="No"),0,IF(ISNUMBER(P13),P13,IF($T13="Weights",IF(ISNUMBER(Setup!$D$29),Setup!$D$29,0),IF($T13="Nights",IF(ISNUMBER(Setup!$E$29),Setup!$E$29,0),IF(OR($T13="Exact amounts",$T13="Custom units"),0,1))))))</f>
        <v>0</v>
      </c>
      <c r="AD13" s="29">
        <f>IF($T13="",0,IF(OR(Setup!$B$30="",Setup!$C$30="No"),0,IF(ISNUMBER(Q13),Q13,IF($T13="Weights",IF(ISNUMBER(Setup!$D$30),Setup!$D$30,0),IF($T13="Nights",IF(ISNUMBER(Setup!$E$30),Setup!$E$30,0),IF(OR($T13="Exact amounts",$T13="Custom units"),0,1))))))</f>
        <v>0</v>
      </c>
      <c r="AE13" s="29">
        <f t="shared" si="1"/>
        <v>4</v>
      </c>
      <c r="AF13" s="30">
        <f t="shared" si="2"/>
        <v>4</v>
      </c>
      <c r="AG13" s="29">
        <f t="shared" si="3"/>
        <v>112.6</v>
      </c>
    </row>
    <row r="14" spans="1:33" ht="16" x14ac:dyDescent="0.2">
      <c r="A14" s="22">
        <f t="shared" si="0"/>
        <v>7</v>
      </c>
      <c r="B14" s="23">
        <f ca="1">TODAY()-34</f>
        <v>46198</v>
      </c>
      <c r="C14" s="16" t="s">
        <v>91</v>
      </c>
      <c r="D14" s="16" t="s">
        <v>46</v>
      </c>
      <c r="E14" s="24">
        <v>61.5</v>
      </c>
      <c r="F14" s="16" t="s">
        <v>52</v>
      </c>
      <c r="G14" s="16" t="s">
        <v>18</v>
      </c>
      <c r="H14" s="25"/>
      <c r="I14" s="25"/>
      <c r="J14" s="25"/>
      <c r="K14" s="25"/>
      <c r="L14" s="25">
        <v>0</v>
      </c>
      <c r="M14" s="25"/>
      <c r="N14" s="25"/>
      <c r="O14" s="25"/>
      <c r="P14" s="25"/>
      <c r="Q14" s="25"/>
      <c r="R14" s="26" t="str">
        <f>IF($T14="","",IF($D14="","Who paid?",IF(SUMPRODUCT((Setup!$B$21:$B$30=$D14)*1)=0,"Payer is not in the member list on Setup",IF($E14="","Amount missing — type the number in column E",IF(NOT(ISNUMBER($E14)),"Amount must be a plain number — no currency symbol, no text",IF(AND($T14="Custom units",$AE14&lt;=0),"Custom units: nobody has units on this row — type a number for at least one person",IF($AE14&lt;=0,"Nobody shares this row — check the person columns H–Q, and the Weight / Nights columns on Setup",IF(AND($T14="Exact amounts",ABS($AE14-$AG14)&gt;0.01),"Exact amounts do not add up to the amount","OK"))))))))</f>
        <v>OK</v>
      </c>
      <c r="S14" s="27">
        <f>IFERROR(IF(OR($T14="",$C$4=""),"—",ROUND($AG14*INDEX($U14:$AD14,1,MATCH($C$4,Setup!$B$21:$B$30,0))/$AF14,2)),"—")</f>
        <v>15.38</v>
      </c>
      <c r="T14" s="28" t="str">
        <f>IF(AND($C14="",$D14="",NOT(ISNUMBER($E14))),"",IF($G14="",IF(Setup!$C$17="","Equal",Setup!$C$17),$G14))</f>
        <v>Equal</v>
      </c>
      <c r="U14" s="29">
        <f>IF($T14="",0,IF(OR(Setup!$B$21="",Setup!$C$21="No"),0,IF(ISNUMBER(H14),H14,IF($T14="Weights",IF(ISNUMBER(Setup!$D$21),Setup!$D$21,0),IF($T14="Nights",IF(ISNUMBER(Setup!$E$21),Setup!$E$21,0),IF(OR($T14="Exact amounts",$T14="Custom units"),0,1))))))</f>
        <v>1</v>
      </c>
      <c r="V14" s="29">
        <f>IF($T14="",0,IF(OR(Setup!$B$22="",Setup!$C$22="No"),0,IF(ISNUMBER(I14),I14,IF($T14="Weights",IF(ISNUMBER(Setup!$D$22),Setup!$D$22,0),IF($T14="Nights",IF(ISNUMBER(Setup!$E$22),Setup!$E$22,0),IF(OR($T14="Exact amounts",$T14="Custom units"),0,1))))))</f>
        <v>1</v>
      </c>
      <c r="W14" s="29">
        <f>IF($T14="",0,IF(OR(Setup!$B$23="",Setup!$C$23="No"),0,IF(ISNUMBER(J14),J14,IF($T14="Weights",IF(ISNUMBER(Setup!$D$23),Setup!$D$23,0),IF($T14="Nights",IF(ISNUMBER(Setup!$E$23),Setup!$E$23,0),IF(OR($T14="Exact amounts",$T14="Custom units"),0,1))))))</f>
        <v>1</v>
      </c>
      <c r="X14" s="29">
        <f>IF($T14="",0,IF(OR(Setup!$B$24="",Setup!$C$24="No"),0,IF(ISNUMBER(K14),K14,IF($T14="Weights",IF(ISNUMBER(Setup!$D$24),Setup!$D$24,0),IF($T14="Nights",IF(ISNUMBER(Setup!$E$24),Setup!$E$24,0),IF(OR($T14="Exact amounts",$T14="Custom units"),0,1))))))</f>
        <v>1</v>
      </c>
      <c r="Y14" s="29">
        <f>IF($T14="",0,IF(OR(Setup!$B$25="",Setup!$C$25="No"),0,IF(ISNUMBER(L14),L14,IF($T14="Weights",IF(ISNUMBER(Setup!$D$25),Setup!$D$25,0),IF($T14="Nights",IF(ISNUMBER(Setup!$E$25),Setup!$E$25,0),IF(OR($T14="Exact amounts",$T14="Custom units"),0,1))))))</f>
        <v>0</v>
      </c>
      <c r="Z14" s="29">
        <f>IF($T14="",0,IF(OR(Setup!$B$26="",Setup!$C$26="No"),0,IF(ISNUMBER(M14),M14,IF($T14="Weights",IF(ISNUMBER(Setup!$D$26),Setup!$D$26,0),IF($T14="Nights",IF(ISNUMBER(Setup!$E$26),Setup!$E$26,0),IF(OR($T14="Exact amounts",$T14="Custom units"),0,1))))))</f>
        <v>0</v>
      </c>
      <c r="AA14" s="29">
        <f>IF($T14="",0,IF(OR(Setup!$B$27="",Setup!$C$27="No"),0,IF(ISNUMBER(N14),N14,IF($T14="Weights",IF(ISNUMBER(Setup!$D$27),Setup!$D$27,0),IF($T14="Nights",IF(ISNUMBER(Setup!$E$27),Setup!$E$27,0),IF(OR($T14="Exact amounts",$T14="Custom units"),0,1))))))</f>
        <v>0</v>
      </c>
      <c r="AB14" s="29">
        <f>IF($T14="",0,IF(OR(Setup!$B$28="",Setup!$C$28="No"),0,IF(ISNUMBER(O14),O14,IF($T14="Weights",IF(ISNUMBER(Setup!$D$28),Setup!$D$28,0),IF($T14="Nights",IF(ISNUMBER(Setup!$E$28),Setup!$E$28,0),IF(OR($T14="Exact amounts",$T14="Custom units"),0,1))))))</f>
        <v>0</v>
      </c>
      <c r="AC14" s="29">
        <f>IF($T14="",0,IF(OR(Setup!$B$29="",Setup!$C$29="No"),0,IF(ISNUMBER(P14),P14,IF($T14="Weights",IF(ISNUMBER(Setup!$D$29),Setup!$D$29,0),IF($T14="Nights",IF(ISNUMBER(Setup!$E$29),Setup!$E$29,0),IF(OR($T14="Exact amounts",$T14="Custom units"),0,1))))))</f>
        <v>0</v>
      </c>
      <c r="AD14" s="29">
        <f>IF($T14="",0,IF(OR(Setup!$B$30="",Setup!$C$30="No"),0,IF(ISNUMBER(Q14),Q14,IF($T14="Weights",IF(ISNUMBER(Setup!$D$30),Setup!$D$30,0),IF($T14="Nights",IF(ISNUMBER(Setup!$E$30),Setup!$E$30,0),IF(OR($T14="Exact amounts",$T14="Custom units"),0,1))))))</f>
        <v>0</v>
      </c>
      <c r="AE14" s="29">
        <f t="shared" si="1"/>
        <v>4</v>
      </c>
      <c r="AF14" s="30">
        <f t="shared" si="2"/>
        <v>4</v>
      </c>
      <c r="AG14" s="29">
        <f t="shared" si="3"/>
        <v>61.5</v>
      </c>
    </row>
    <row r="15" spans="1:33" ht="16" x14ac:dyDescent="0.2">
      <c r="A15" s="22">
        <f t="shared" si="0"/>
        <v>8</v>
      </c>
      <c r="B15" s="31">
        <f ca="1">TODAY()-32</f>
        <v>46200</v>
      </c>
      <c r="C15" s="11" t="s">
        <v>88</v>
      </c>
      <c r="D15" s="11" t="s">
        <v>31</v>
      </c>
      <c r="E15" s="32">
        <v>88.9</v>
      </c>
      <c r="F15" s="11" t="s">
        <v>34</v>
      </c>
      <c r="G15" s="11" t="s">
        <v>18</v>
      </c>
      <c r="H15" s="33"/>
      <c r="I15" s="33"/>
      <c r="J15" s="33"/>
      <c r="K15" s="33"/>
      <c r="L15" s="33">
        <v>0</v>
      </c>
      <c r="M15" s="33"/>
      <c r="N15" s="33"/>
      <c r="O15" s="33"/>
      <c r="P15" s="33"/>
      <c r="Q15" s="33"/>
      <c r="R15" s="26" t="str">
        <f>IF($T15="","",IF($D15="","Who paid?",IF(SUMPRODUCT((Setup!$B$21:$B$30=$D15)*1)=0,"Payer is not in the member list on Setup",IF($E15="","Amount missing — type the number in column E",IF(NOT(ISNUMBER($E15)),"Amount must be a plain number — no currency symbol, no text",IF(AND($T15="Custom units",$AE15&lt;=0),"Custom units: nobody has units on this row — type a number for at least one person",IF($AE15&lt;=0,"Nobody shares this row — check the person columns H–Q, and the Weight / Nights columns on Setup",IF(AND($T15="Exact amounts",ABS($AE15-$AG15)&gt;0.01),"Exact amounts do not add up to the amount","OK"))))))))</f>
        <v>OK</v>
      </c>
      <c r="S15" s="27">
        <f>IFERROR(IF(OR($T15="",$C$4=""),"—",ROUND($AG15*INDEX($U15:$AD15,1,MATCH($C$4,Setup!$B$21:$B$30,0))/$AF15,2)),"—")</f>
        <v>22.23</v>
      </c>
      <c r="T15" s="28" t="str">
        <f>IF(AND($C15="",$D15="",NOT(ISNUMBER($E15))),"",IF($G15="",IF(Setup!$C$17="","Equal",Setup!$C$17),$G15))</f>
        <v>Equal</v>
      </c>
      <c r="U15" s="29">
        <f>IF($T15="",0,IF(OR(Setup!$B$21="",Setup!$C$21="No"),0,IF(ISNUMBER(H15),H15,IF($T15="Weights",IF(ISNUMBER(Setup!$D$21),Setup!$D$21,0),IF($T15="Nights",IF(ISNUMBER(Setup!$E$21),Setup!$E$21,0),IF(OR($T15="Exact amounts",$T15="Custom units"),0,1))))))</f>
        <v>1</v>
      </c>
      <c r="V15" s="29">
        <f>IF($T15="",0,IF(OR(Setup!$B$22="",Setup!$C$22="No"),0,IF(ISNUMBER(I15),I15,IF($T15="Weights",IF(ISNUMBER(Setup!$D$22),Setup!$D$22,0),IF($T15="Nights",IF(ISNUMBER(Setup!$E$22),Setup!$E$22,0),IF(OR($T15="Exact amounts",$T15="Custom units"),0,1))))))</f>
        <v>1</v>
      </c>
      <c r="W15" s="29">
        <f>IF($T15="",0,IF(OR(Setup!$B$23="",Setup!$C$23="No"),0,IF(ISNUMBER(J15),J15,IF($T15="Weights",IF(ISNUMBER(Setup!$D$23),Setup!$D$23,0),IF($T15="Nights",IF(ISNUMBER(Setup!$E$23),Setup!$E$23,0),IF(OR($T15="Exact amounts",$T15="Custom units"),0,1))))))</f>
        <v>1</v>
      </c>
      <c r="X15" s="29">
        <f>IF($T15="",0,IF(OR(Setup!$B$24="",Setup!$C$24="No"),0,IF(ISNUMBER(K15),K15,IF($T15="Weights",IF(ISNUMBER(Setup!$D$24),Setup!$D$24,0),IF($T15="Nights",IF(ISNUMBER(Setup!$E$24),Setup!$E$24,0),IF(OR($T15="Exact amounts",$T15="Custom units"),0,1))))))</f>
        <v>1</v>
      </c>
      <c r="Y15" s="29">
        <f>IF($T15="",0,IF(OR(Setup!$B$25="",Setup!$C$25="No"),0,IF(ISNUMBER(L15),L15,IF($T15="Weights",IF(ISNUMBER(Setup!$D$25),Setup!$D$25,0),IF($T15="Nights",IF(ISNUMBER(Setup!$E$25),Setup!$E$25,0),IF(OR($T15="Exact amounts",$T15="Custom units"),0,1))))))</f>
        <v>0</v>
      </c>
      <c r="Z15" s="29">
        <f>IF($T15="",0,IF(OR(Setup!$B$26="",Setup!$C$26="No"),0,IF(ISNUMBER(M15),M15,IF($T15="Weights",IF(ISNUMBER(Setup!$D$26),Setup!$D$26,0),IF($T15="Nights",IF(ISNUMBER(Setup!$E$26),Setup!$E$26,0),IF(OR($T15="Exact amounts",$T15="Custom units"),0,1))))))</f>
        <v>0</v>
      </c>
      <c r="AA15" s="29">
        <f>IF($T15="",0,IF(OR(Setup!$B$27="",Setup!$C$27="No"),0,IF(ISNUMBER(N15),N15,IF($T15="Weights",IF(ISNUMBER(Setup!$D$27),Setup!$D$27,0),IF($T15="Nights",IF(ISNUMBER(Setup!$E$27),Setup!$E$27,0),IF(OR($T15="Exact amounts",$T15="Custom units"),0,1))))))</f>
        <v>0</v>
      </c>
      <c r="AB15" s="29">
        <f>IF($T15="",0,IF(OR(Setup!$B$28="",Setup!$C$28="No"),0,IF(ISNUMBER(O15),O15,IF($T15="Weights",IF(ISNUMBER(Setup!$D$28),Setup!$D$28,0),IF($T15="Nights",IF(ISNUMBER(Setup!$E$28),Setup!$E$28,0),IF(OR($T15="Exact amounts",$T15="Custom units"),0,1))))))</f>
        <v>0</v>
      </c>
      <c r="AC15" s="29">
        <f>IF($T15="",0,IF(OR(Setup!$B$29="",Setup!$C$29="No"),0,IF(ISNUMBER(P15),P15,IF($T15="Weights",IF(ISNUMBER(Setup!$D$29),Setup!$D$29,0),IF($T15="Nights",IF(ISNUMBER(Setup!$E$29),Setup!$E$29,0),IF(OR($T15="Exact amounts",$T15="Custom units"),0,1))))))</f>
        <v>0</v>
      </c>
      <c r="AD15" s="29">
        <f>IF($T15="",0,IF(OR(Setup!$B$30="",Setup!$C$30="No"),0,IF(ISNUMBER(Q15),Q15,IF($T15="Weights",IF(ISNUMBER(Setup!$D$30),Setup!$D$30,0),IF($T15="Nights",IF(ISNUMBER(Setup!$E$30),Setup!$E$30,0),IF(OR($T15="Exact amounts",$T15="Custom units"),0,1))))))</f>
        <v>0</v>
      </c>
      <c r="AE15" s="29">
        <f t="shared" si="1"/>
        <v>4</v>
      </c>
      <c r="AF15" s="30">
        <f t="shared" si="2"/>
        <v>4</v>
      </c>
      <c r="AG15" s="29">
        <f t="shared" si="3"/>
        <v>88.9</v>
      </c>
    </row>
    <row r="16" spans="1:33" ht="16" x14ac:dyDescent="0.2">
      <c r="A16" s="22">
        <f t="shared" si="0"/>
        <v>9</v>
      </c>
      <c r="B16" s="23">
        <f ca="1">TODAY()-30</f>
        <v>46202</v>
      </c>
      <c r="C16" s="16" t="s">
        <v>92</v>
      </c>
      <c r="D16" s="16" t="s">
        <v>41</v>
      </c>
      <c r="E16" s="24">
        <v>76.400000000000006</v>
      </c>
      <c r="F16" s="16" t="s">
        <v>34</v>
      </c>
      <c r="G16" s="16" t="s">
        <v>53</v>
      </c>
      <c r="H16" s="25">
        <v>24.9</v>
      </c>
      <c r="I16" s="25">
        <v>15</v>
      </c>
      <c r="J16" s="25">
        <v>15</v>
      </c>
      <c r="K16" s="25">
        <v>21.5</v>
      </c>
      <c r="L16" s="25"/>
      <c r="M16" s="25"/>
      <c r="N16" s="25"/>
      <c r="O16" s="25"/>
      <c r="P16" s="25"/>
      <c r="Q16" s="25"/>
      <c r="R16" s="26" t="str">
        <f>IF($T16="","",IF($D16="","Who paid?",IF(SUMPRODUCT((Setup!$B$21:$B$30=$D16)*1)=0,"Payer is not in the member list on Setup",IF($E16="","Amount missing — type the number in column E",IF(NOT(ISNUMBER($E16)),"Amount must be a plain number — no currency symbol, no text",IF(AND($T16="Custom units",$AE16&lt;=0),"Custom units: nobody has units on this row — type a number for at least one person",IF($AE16&lt;=0,"Nobody shares this row — check the person columns H–Q, and the Weight / Nights columns on Setup",IF(AND($T16="Exact amounts",ABS($AE16-$AG16)&gt;0.01),"Exact amounts do not add up to the amount","OK"))))))))</f>
        <v>OK</v>
      </c>
      <c r="S16" s="27">
        <f>IFERROR(IF(OR($T16="",$C$4=""),"—",ROUND($AG16*INDEX($U16:$AD16,1,MATCH($C$4,Setup!$B$21:$B$30,0))/$AF16,2)),"—")</f>
        <v>24.9</v>
      </c>
      <c r="T16" s="28" t="str">
        <f>IF(AND($C16="",$D16="",NOT(ISNUMBER($E16))),"",IF($G16="",IF(Setup!$C$17="","Equal",Setup!$C$17),$G16))</f>
        <v>Exact amounts</v>
      </c>
      <c r="U16" s="29">
        <f>IF($T16="",0,IF(OR(Setup!$B$21="",Setup!$C$21="No"),0,IF(ISNUMBER(H16),H16,IF($T16="Weights",IF(ISNUMBER(Setup!$D$21),Setup!$D$21,0),IF($T16="Nights",IF(ISNUMBER(Setup!$E$21),Setup!$E$21,0),IF(OR($T16="Exact amounts",$T16="Custom units"),0,1))))))</f>
        <v>24.9</v>
      </c>
      <c r="V16" s="29">
        <f>IF($T16="",0,IF(OR(Setup!$B$22="",Setup!$C$22="No"),0,IF(ISNUMBER(I16),I16,IF($T16="Weights",IF(ISNUMBER(Setup!$D$22),Setup!$D$22,0),IF($T16="Nights",IF(ISNUMBER(Setup!$E$22),Setup!$E$22,0),IF(OR($T16="Exact amounts",$T16="Custom units"),0,1))))))</f>
        <v>15</v>
      </c>
      <c r="W16" s="29">
        <f>IF($T16="",0,IF(OR(Setup!$B$23="",Setup!$C$23="No"),0,IF(ISNUMBER(J16),J16,IF($T16="Weights",IF(ISNUMBER(Setup!$D$23),Setup!$D$23,0),IF($T16="Nights",IF(ISNUMBER(Setup!$E$23),Setup!$E$23,0),IF(OR($T16="Exact amounts",$T16="Custom units"),0,1))))))</f>
        <v>15</v>
      </c>
      <c r="X16" s="29">
        <f>IF($T16="",0,IF(OR(Setup!$B$24="",Setup!$C$24="No"),0,IF(ISNUMBER(K16),K16,IF($T16="Weights",IF(ISNUMBER(Setup!$D$24),Setup!$D$24,0),IF($T16="Nights",IF(ISNUMBER(Setup!$E$24),Setup!$E$24,0),IF(OR($T16="Exact amounts",$T16="Custom units"),0,1))))))</f>
        <v>21.5</v>
      </c>
      <c r="Y16" s="29">
        <f>IF($T16="",0,IF(OR(Setup!$B$25="",Setup!$C$25="No"),0,IF(ISNUMBER(L16),L16,IF($T16="Weights",IF(ISNUMBER(Setup!$D$25),Setup!$D$25,0),IF($T16="Nights",IF(ISNUMBER(Setup!$E$25),Setup!$E$25,0),IF(OR($T16="Exact amounts",$T16="Custom units"),0,1))))))</f>
        <v>0</v>
      </c>
      <c r="Z16" s="29">
        <f>IF($T16="",0,IF(OR(Setup!$B$26="",Setup!$C$26="No"),0,IF(ISNUMBER(M16),M16,IF($T16="Weights",IF(ISNUMBER(Setup!$D$26),Setup!$D$26,0),IF($T16="Nights",IF(ISNUMBER(Setup!$E$26),Setup!$E$26,0),IF(OR($T16="Exact amounts",$T16="Custom units"),0,1))))))</f>
        <v>0</v>
      </c>
      <c r="AA16" s="29">
        <f>IF($T16="",0,IF(OR(Setup!$B$27="",Setup!$C$27="No"),0,IF(ISNUMBER(N16),N16,IF($T16="Weights",IF(ISNUMBER(Setup!$D$27),Setup!$D$27,0),IF($T16="Nights",IF(ISNUMBER(Setup!$E$27),Setup!$E$27,0),IF(OR($T16="Exact amounts",$T16="Custom units"),0,1))))))</f>
        <v>0</v>
      </c>
      <c r="AB16" s="29">
        <f>IF($T16="",0,IF(OR(Setup!$B$28="",Setup!$C$28="No"),0,IF(ISNUMBER(O16),O16,IF($T16="Weights",IF(ISNUMBER(Setup!$D$28),Setup!$D$28,0),IF($T16="Nights",IF(ISNUMBER(Setup!$E$28),Setup!$E$28,0),IF(OR($T16="Exact amounts",$T16="Custom units"),0,1))))))</f>
        <v>0</v>
      </c>
      <c r="AC16" s="29">
        <f>IF($T16="",0,IF(OR(Setup!$B$29="",Setup!$C$29="No"),0,IF(ISNUMBER(P16),P16,IF($T16="Weights",IF(ISNUMBER(Setup!$D$29),Setup!$D$29,0),IF($T16="Nights",IF(ISNUMBER(Setup!$E$29),Setup!$E$29,0),IF(OR($T16="Exact amounts",$T16="Custom units"),0,1))))))</f>
        <v>0</v>
      </c>
      <c r="AD16" s="29">
        <f>IF($T16="",0,IF(OR(Setup!$B$30="",Setup!$C$30="No"),0,IF(ISNUMBER(Q16),Q16,IF($T16="Weights",IF(ISNUMBER(Setup!$D$30),Setup!$D$30,0),IF($T16="Nights",IF(ISNUMBER(Setup!$E$30),Setup!$E$30,0),IF(OR($T16="Exact amounts",$T16="Custom units"),0,1))))))</f>
        <v>0</v>
      </c>
      <c r="AE16" s="29">
        <f t="shared" si="1"/>
        <v>76.400000000000006</v>
      </c>
      <c r="AF16" s="30">
        <f t="shared" si="2"/>
        <v>76.400000000000006</v>
      </c>
      <c r="AG16" s="29">
        <f t="shared" si="3"/>
        <v>76.400000000000006</v>
      </c>
    </row>
    <row r="17" spans="1:33" ht="16" x14ac:dyDescent="0.2">
      <c r="A17" s="22">
        <f t="shared" si="0"/>
        <v>10</v>
      </c>
      <c r="B17" s="31">
        <f ca="1">TODAY()-28</f>
        <v>46204</v>
      </c>
      <c r="C17" s="11" t="s">
        <v>93</v>
      </c>
      <c r="D17" s="11" t="s">
        <v>35</v>
      </c>
      <c r="E17" s="32">
        <v>79</v>
      </c>
      <c r="F17" s="11" t="s">
        <v>47</v>
      </c>
      <c r="G17" s="11" t="s">
        <v>18</v>
      </c>
      <c r="H17" s="33"/>
      <c r="I17" s="33"/>
      <c r="J17" s="33"/>
      <c r="K17" s="33"/>
      <c r="L17" s="33">
        <v>0</v>
      </c>
      <c r="M17" s="33"/>
      <c r="N17" s="33"/>
      <c r="O17" s="33"/>
      <c r="P17" s="33"/>
      <c r="Q17" s="33"/>
      <c r="R17" s="26" t="str">
        <f>IF($T17="","",IF($D17="","Who paid?",IF(SUMPRODUCT((Setup!$B$21:$B$30=$D17)*1)=0,"Payer is not in the member list on Setup",IF($E17="","Amount missing — type the number in column E",IF(NOT(ISNUMBER($E17)),"Amount must be a plain number — no currency symbol, no text",IF(AND($T17="Custom units",$AE17&lt;=0),"Custom units: nobody has units on this row — type a number for at least one person",IF($AE17&lt;=0,"Nobody shares this row — check the person columns H–Q, and the Weight / Nights columns on Setup",IF(AND($T17="Exact amounts",ABS($AE17-$AG17)&gt;0.01),"Exact amounts do not add up to the amount","OK"))))))))</f>
        <v>OK</v>
      </c>
      <c r="S17" s="27">
        <f>IFERROR(IF(OR($T17="",$C$4=""),"—",ROUND($AG17*INDEX($U17:$AD17,1,MATCH($C$4,Setup!$B$21:$B$30,0))/$AF17,2)),"—")</f>
        <v>19.75</v>
      </c>
      <c r="T17" s="28" t="str">
        <f>IF(AND($C17="",$D17="",NOT(ISNUMBER($E17))),"",IF($G17="",IF(Setup!$C$17="","Equal",Setup!$C$17),$G17))</f>
        <v>Equal</v>
      </c>
      <c r="U17" s="29">
        <f>IF($T17="",0,IF(OR(Setup!$B$21="",Setup!$C$21="No"),0,IF(ISNUMBER(H17),H17,IF($T17="Weights",IF(ISNUMBER(Setup!$D$21),Setup!$D$21,0),IF($T17="Nights",IF(ISNUMBER(Setup!$E$21),Setup!$E$21,0),IF(OR($T17="Exact amounts",$T17="Custom units"),0,1))))))</f>
        <v>1</v>
      </c>
      <c r="V17" s="29">
        <f>IF($T17="",0,IF(OR(Setup!$B$22="",Setup!$C$22="No"),0,IF(ISNUMBER(I17),I17,IF($T17="Weights",IF(ISNUMBER(Setup!$D$22),Setup!$D$22,0),IF($T17="Nights",IF(ISNUMBER(Setup!$E$22),Setup!$E$22,0),IF(OR($T17="Exact amounts",$T17="Custom units"),0,1))))))</f>
        <v>1</v>
      </c>
      <c r="W17" s="29">
        <f>IF($T17="",0,IF(OR(Setup!$B$23="",Setup!$C$23="No"),0,IF(ISNUMBER(J17),J17,IF($T17="Weights",IF(ISNUMBER(Setup!$D$23),Setup!$D$23,0),IF($T17="Nights",IF(ISNUMBER(Setup!$E$23),Setup!$E$23,0),IF(OR($T17="Exact amounts",$T17="Custom units"),0,1))))))</f>
        <v>1</v>
      </c>
      <c r="X17" s="29">
        <f>IF($T17="",0,IF(OR(Setup!$B$24="",Setup!$C$24="No"),0,IF(ISNUMBER(K17),K17,IF($T17="Weights",IF(ISNUMBER(Setup!$D$24),Setup!$D$24,0),IF($T17="Nights",IF(ISNUMBER(Setup!$E$24),Setup!$E$24,0),IF(OR($T17="Exact amounts",$T17="Custom units"),0,1))))))</f>
        <v>1</v>
      </c>
      <c r="Y17" s="29">
        <f>IF($T17="",0,IF(OR(Setup!$B$25="",Setup!$C$25="No"),0,IF(ISNUMBER(L17),L17,IF($T17="Weights",IF(ISNUMBER(Setup!$D$25),Setup!$D$25,0),IF($T17="Nights",IF(ISNUMBER(Setup!$E$25),Setup!$E$25,0),IF(OR($T17="Exact amounts",$T17="Custom units"),0,1))))))</f>
        <v>0</v>
      </c>
      <c r="Z17" s="29">
        <f>IF($T17="",0,IF(OR(Setup!$B$26="",Setup!$C$26="No"),0,IF(ISNUMBER(M17),M17,IF($T17="Weights",IF(ISNUMBER(Setup!$D$26),Setup!$D$26,0),IF($T17="Nights",IF(ISNUMBER(Setup!$E$26),Setup!$E$26,0),IF(OR($T17="Exact amounts",$T17="Custom units"),0,1))))))</f>
        <v>0</v>
      </c>
      <c r="AA17" s="29">
        <f>IF($T17="",0,IF(OR(Setup!$B$27="",Setup!$C$27="No"),0,IF(ISNUMBER(N17),N17,IF($T17="Weights",IF(ISNUMBER(Setup!$D$27),Setup!$D$27,0),IF($T17="Nights",IF(ISNUMBER(Setup!$E$27),Setup!$E$27,0),IF(OR($T17="Exact amounts",$T17="Custom units"),0,1))))))</f>
        <v>0</v>
      </c>
      <c r="AB17" s="29">
        <f>IF($T17="",0,IF(OR(Setup!$B$28="",Setup!$C$28="No"),0,IF(ISNUMBER(O17),O17,IF($T17="Weights",IF(ISNUMBER(Setup!$D$28),Setup!$D$28,0),IF($T17="Nights",IF(ISNUMBER(Setup!$E$28),Setup!$E$28,0),IF(OR($T17="Exact amounts",$T17="Custom units"),0,1))))))</f>
        <v>0</v>
      </c>
      <c r="AC17" s="29">
        <f>IF($T17="",0,IF(OR(Setup!$B$29="",Setup!$C$29="No"),0,IF(ISNUMBER(P17),P17,IF($T17="Weights",IF(ISNUMBER(Setup!$D$29),Setup!$D$29,0),IF($T17="Nights",IF(ISNUMBER(Setup!$E$29),Setup!$E$29,0),IF(OR($T17="Exact amounts",$T17="Custom units"),0,1))))))</f>
        <v>0</v>
      </c>
      <c r="AD17" s="29">
        <f>IF($T17="",0,IF(OR(Setup!$B$30="",Setup!$C$30="No"),0,IF(ISNUMBER(Q17),Q17,IF($T17="Weights",IF(ISNUMBER(Setup!$D$30),Setup!$D$30,0),IF($T17="Nights",IF(ISNUMBER(Setup!$E$30),Setup!$E$30,0),IF(OR($T17="Exact amounts",$T17="Custom units"),0,1))))))</f>
        <v>0</v>
      </c>
      <c r="AE17" s="29">
        <f t="shared" si="1"/>
        <v>4</v>
      </c>
      <c r="AF17" s="30">
        <f t="shared" si="2"/>
        <v>4</v>
      </c>
      <c r="AG17" s="29">
        <f t="shared" si="3"/>
        <v>79</v>
      </c>
    </row>
    <row r="18" spans="1:33" ht="16" x14ac:dyDescent="0.2">
      <c r="A18" s="22">
        <f t="shared" si="0"/>
        <v>11</v>
      </c>
      <c r="B18" s="23">
        <f ca="1">TODAY()-21</f>
        <v>46211</v>
      </c>
      <c r="C18" s="16" t="s">
        <v>94</v>
      </c>
      <c r="D18" s="16" t="s">
        <v>31</v>
      </c>
      <c r="E18" s="24">
        <v>745</v>
      </c>
      <c r="F18" s="16" t="s">
        <v>57</v>
      </c>
      <c r="G18" s="16" t="s">
        <v>18</v>
      </c>
      <c r="H18" s="25"/>
      <c r="I18" s="25"/>
      <c r="J18" s="25"/>
      <c r="K18" s="25"/>
      <c r="L18" s="25"/>
      <c r="M18" s="25"/>
      <c r="N18" s="25"/>
      <c r="O18" s="25"/>
      <c r="P18" s="25"/>
      <c r="Q18" s="25"/>
      <c r="R18" s="26" t="str">
        <f>IF($T18="","",IF($D18="","Who paid?",IF(SUMPRODUCT((Setup!$B$21:$B$30=$D18)*1)=0,"Payer is not in the member list on Setup",IF($E18="","Amount missing — type the number in column E",IF(NOT(ISNUMBER($E18)),"Amount must be a plain number — no currency symbol, no text",IF(AND($T18="Custom units",$AE18&lt;=0),"Custom units: nobody has units on this row — type a number for at least one person",IF($AE18&lt;=0,"Nobody shares this row — check the person columns H–Q, and the Weight / Nights columns on Setup",IF(AND($T18="Exact amounts",ABS($AE18-$AG18)&gt;0.01),"Exact amounts do not add up to the amount","OK"))))))))</f>
        <v>OK</v>
      </c>
      <c r="S18" s="27">
        <f>IFERROR(IF(OR($T18="",$C$4=""),"—",ROUND($AG18*INDEX($U18:$AD18,1,MATCH($C$4,Setup!$B$21:$B$30,0))/$AF18,2)),"—")</f>
        <v>149</v>
      </c>
      <c r="T18" s="28" t="str">
        <f>IF(AND($C18="",$D18="",NOT(ISNUMBER($E18))),"",IF($G18="",IF(Setup!$C$17="","Equal",Setup!$C$17),$G18))</f>
        <v>Equal</v>
      </c>
      <c r="U18" s="29">
        <f>IF($T18="",0,IF(OR(Setup!$B$21="",Setup!$C$21="No"),0,IF(ISNUMBER(H18),H18,IF($T18="Weights",IF(ISNUMBER(Setup!$D$21),Setup!$D$21,0),IF($T18="Nights",IF(ISNUMBER(Setup!$E$21),Setup!$E$21,0),IF(OR($T18="Exact amounts",$T18="Custom units"),0,1))))))</f>
        <v>1</v>
      </c>
      <c r="V18" s="29">
        <f>IF($T18="",0,IF(OR(Setup!$B$22="",Setup!$C$22="No"),0,IF(ISNUMBER(I18),I18,IF($T18="Weights",IF(ISNUMBER(Setup!$D$22),Setup!$D$22,0),IF($T18="Nights",IF(ISNUMBER(Setup!$E$22),Setup!$E$22,0),IF(OR($T18="Exact amounts",$T18="Custom units"),0,1))))))</f>
        <v>1</v>
      </c>
      <c r="W18" s="29">
        <f>IF($T18="",0,IF(OR(Setup!$B$23="",Setup!$C$23="No"),0,IF(ISNUMBER(J18),J18,IF($T18="Weights",IF(ISNUMBER(Setup!$D$23),Setup!$D$23,0),IF($T18="Nights",IF(ISNUMBER(Setup!$E$23),Setup!$E$23,0),IF(OR($T18="Exact amounts",$T18="Custom units"),0,1))))))</f>
        <v>1</v>
      </c>
      <c r="X18" s="29">
        <f>IF($T18="",0,IF(OR(Setup!$B$24="",Setup!$C$24="No"),0,IF(ISNUMBER(K18),K18,IF($T18="Weights",IF(ISNUMBER(Setup!$D$24),Setup!$D$24,0),IF($T18="Nights",IF(ISNUMBER(Setup!$E$24),Setup!$E$24,0),IF(OR($T18="Exact amounts",$T18="Custom units"),0,1))))))</f>
        <v>1</v>
      </c>
      <c r="Y18" s="29">
        <f>IF($T18="",0,IF(OR(Setup!$B$25="",Setup!$C$25="No"),0,IF(ISNUMBER(L18),L18,IF($T18="Weights",IF(ISNUMBER(Setup!$D$25),Setup!$D$25,0),IF($T18="Nights",IF(ISNUMBER(Setup!$E$25),Setup!$E$25,0),IF(OR($T18="Exact amounts",$T18="Custom units"),0,1))))))</f>
        <v>1</v>
      </c>
      <c r="Z18" s="29">
        <f>IF($T18="",0,IF(OR(Setup!$B$26="",Setup!$C$26="No"),0,IF(ISNUMBER(M18),M18,IF($T18="Weights",IF(ISNUMBER(Setup!$D$26),Setup!$D$26,0),IF($T18="Nights",IF(ISNUMBER(Setup!$E$26),Setup!$E$26,0),IF(OR($T18="Exact amounts",$T18="Custom units"),0,1))))))</f>
        <v>0</v>
      </c>
      <c r="AA18" s="29">
        <f>IF($T18="",0,IF(OR(Setup!$B$27="",Setup!$C$27="No"),0,IF(ISNUMBER(N18),N18,IF($T18="Weights",IF(ISNUMBER(Setup!$D$27),Setup!$D$27,0),IF($T18="Nights",IF(ISNUMBER(Setup!$E$27),Setup!$E$27,0),IF(OR($T18="Exact amounts",$T18="Custom units"),0,1))))))</f>
        <v>0</v>
      </c>
      <c r="AB18" s="29">
        <f>IF($T18="",0,IF(OR(Setup!$B$28="",Setup!$C$28="No"),0,IF(ISNUMBER(O18),O18,IF($T18="Weights",IF(ISNUMBER(Setup!$D$28),Setup!$D$28,0),IF($T18="Nights",IF(ISNUMBER(Setup!$E$28),Setup!$E$28,0),IF(OR($T18="Exact amounts",$T18="Custom units"),0,1))))))</f>
        <v>0</v>
      </c>
      <c r="AC18" s="29">
        <f>IF($T18="",0,IF(OR(Setup!$B$29="",Setup!$C$29="No"),0,IF(ISNUMBER(P18),P18,IF($T18="Weights",IF(ISNUMBER(Setup!$D$29),Setup!$D$29,0),IF($T18="Nights",IF(ISNUMBER(Setup!$E$29),Setup!$E$29,0),IF(OR($T18="Exact amounts",$T18="Custom units"),0,1))))))</f>
        <v>0</v>
      </c>
      <c r="AD18" s="29">
        <f>IF($T18="",0,IF(OR(Setup!$B$30="",Setup!$C$30="No"),0,IF(ISNUMBER(Q18),Q18,IF($T18="Weights",IF(ISNUMBER(Setup!$D$30),Setup!$D$30,0),IF($T18="Nights",IF(ISNUMBER(Setup!$E$30),Setup!$E$30,0),IF(OR($T18="Exact amounts",$T18="Custom units"),0,1))))))</f>
        <v>0</v>
      </c>
      <c r="AE18" s="29">
        <f t="shared" si="1"/>
        <v>5</v>
      </c>
      <c r="AF18" s="30">
        <f t="shared" si="2"/>
        <v>5</v>
      </c>
      <c r="AG18" s="29">
        <f t="shared" si="3"/>
        <v>745</v>
      </c>
    </row>
    <row r="19" spans="1:33" ht="16" x14ac:dyDescent="0.2">
      <c r="A19" s="22">
        <f t="shared" si="0"/>
        <v>12</v>
      </c>
      <c r="B19" s="31">
        <f ca="1">TODAY()-20</f>
        <v>46212</v>
      </c>
      <c r="C19" s="11" t="s">
        <v>95</v>
      </c>
      <c r="D19" s="11" t="s">
        <v>35</v>
      </c>
      <c r="E19" s="32">
        <v>980</v>
      </c>
      <c r="F19" s="11" t="s">
        <v>59</v>
      </c>
      <c r="G19" s="11" t="s">
        <v>44</v>
      </c>
      <c r="H19" s="33"/>
      <c r="I19" s="33"/>
      <c r="J19" s="33"/>
      <c r="K19" s="33"/>
      <c r="L19" s="33"/>
      <c r="M19" s="33"/>
      <c r="N19" s="33"/>
      <c r="O19" s="33"/>
      <c r="P19" s="33"/>
      <c r="Q19" s="33"/>
      <c r="R19" s="26" t="str">
        <f>IF($T19="","",IF($D19="","Who paid?",IF(SUMPRODUCT((Setup!$B$21:$B$30=$D19)*1)=0,"Payer is not in the member list on Setup",IF($E19="","Amount missing — type the number in column E",IF(NOT(ISNUMBER($E19)),"Amount must be a plain number — no currency symbol, no text",IF(AND($T19="Custom units",$AE19&lt;=0),"Custom units: nobody has units on this row — type a number for at least one person",IF($AE19&lt;=0,"Nobody shares this row — check the person columns H–Q, and the Weight / Nights columns on Setup",IF(AND($T19="Exact amounts",ABS($AE19-$AG19)&gt;0.01),"Exact amounts do not add up to the amount","OK"))))))))</f>
        <v>OK</v>
      </c>
      <c r="S19" s="27">
        <f>IFERROR(IF(OR($T19="",$C$4=""),"—",ROUND($AG19*INDEX($U19:$AD19,1,MATCH($C$4,Setup!$B$21:$B$30,0))/$AF19,2)),"—")</f>
        <v>245</v>
      </c>
      <c r="T19" s="28" t="str">
        <f>IF(AND($C19="",$D19="",NOT(ISNUMBER($E19))),"",IF($G19="",IF(Setup!$C$17="","Equal",Setup!$C$17),$G19))</f>
        <v>Nights</v>
      </c>
      <c r="U19" s="29">
        <f>IF($T19="",0,IF(OR(Setup!$B$21="",Setup!$C$21="No"),0,IF(ISNUMBER(H19),H19,IF($T19="Weights",IF(ISNUMBER(Setup!$D$21),Setup!$D$21,0),IF($T19="Nights",IF(ISNUMBER(Setup!$E$21),Setup!$E$21,0),IF(OR($T19="Exact amounts",$T19="Custom units"),0,1))))))</f>
        <v>7</v>
      </c>
      <c r="V19" s="29">
        <f>IF($T19="",0,IF(OR(Setup!$B$22="",Setup!$C$22="No"),0,IF(ISNUMBER(I19),I19,IF($T19="Weights",IF(ISNUMBER(Setup!$D$22),Setup!$D$22,0),IF($T19="Nights",IF(ISNUMBER(Setup!$E$22),Setup!$E$22,0),IF(OR($T19="Exact amounts",$T19="Custom units"),0,1))))))</f>
        <v>7</v>
      </c>
      <c r="W19" s="29">
        <f>IF($T19="",0,IF(OR(Setup!$B$23="",Setup!$C$23="No"),0,IF(ISNUMBER(J19),J19,IF($T19="Weights",IF(ISNUMBER(Setup!$D$23),Setup!$D$23,0),IF($T19="Nights",IF(ISNUMBER(Setup!$E$23),Setup!$E$23,0),IF(OR($T19="Exact amounts",$T19="Custom units"),0,1))))))</f>
        <v>3</v>
      </c>
      <c r="X19" s="29">
        <f>IF($T19="",0,IF(OR(Setup!$B$24="",Setup!$C$24="No"),0,IF(ISNUMBER(K19),K19,IF($T19="Weights",IF(ISNUMBER(Setup!$D$24),Setup!$D$24,0),IF($T19="Nights",IF(ISNUMBER(Setup!$E$24),Setup!$E$24,0),IF(OR($T19="Exact amounts",$T19="Custom units"),0,1))))))</f>
        <v>4</v>
      </c>
      <c r="Y19" s="29">
        <f>IF($T19="",0,IF(OR(Setup!$B$25="",Setup!$C$25="No"),0,IF(ISNUMBER(L19),L19,IF($T19="Weights",IF(ISNUMBER(Setup!$D$25),Setup!$D$25,0),IF($T19="Nights",IF(ISNUMBER(Setup!$E$25),Setup!$E$25,0),IF(OR($T19="Exact amounts",$T19="Custom units"),0,1))))))</f>
        <v>7</v>
      </c>
      <c r="Z19" s="29">
        <f>IF($T19="",0,IF(OR(Setup!$B$26="",Setup!$C$26="No"),0,IF(ISNUMBER(M19),M19,IF($T19="Weights",IF(ISNUMBER(Setup!$D$26),Setup!$D$26,0),IF($T19="Nights",IF(ISNUMBER(Setup!$E$26),Setup!$E$26,0),IF(OR($T19="Exact amounts",$T19="Custom units"),0,1))))))</f>
        <v>0</v>
      </c>
      <c r="AA19" s="29">
        <f>IF($T19="",0,IF(OR(Setup!$B$27="",Setup!$C$27="No"),0,IF(ISNUMBER(N19),N19,IF($T19="Weights",IF(ISNUMBER(Setup!$D$27),Setup!$D$27,0),IF($T19="Nights",IF(ISNUMBER(Setup!$E$27),Setup!$E$27,0),IF(OR($T19="Exact amounts",$T19="Custom units"),0,1))))))</f>
        <v>0</v>
      </c>
      <c r="AB19" s="29">
        <f>IF($T19="",0,IF(OR(Setup!$B$28="",Setup!$C$28="No"),0,IF(ISNUMBER(O19),O19,IF($T19="Weights",IF(ISNUMBER(Setup!$D$28),Setup!$D$28,0),IF($T19="Nights",IF(ISNUMBER(Setup!$E$28),Setup!$E$28,0),IF(OR($T19="Exact amounts",$T19="Custom units"),0,1))))))</f>
        <v>0</v>
      </c>
      <c r="AC19" s="29">
        <f>IF($T19="",0,IF(OR(Setup!$B$29="",Setup!$C$29="No"),0,IF(ISNUMBER(P19),P19,IF($T19="Weights",IF(ISNUMBER(Setup!$D$29),Setup!$D$29,0),IF($T19="Nights",IF(ISNUMBER(Setup!$E$29),Setup!$E$29,0),IF(OR($T19="Exact amounts",$T19="Custom units"),0,1))))))</f>
        <v>0</v>
      </c>
      <c r="AD19" s="29">
        <f>IF($T19="",0,IF(OR(Setup!$B$30="",Setup!$C$30="No"),0,IF(ISNUMBER(Q19),Q19,IF($T19="Weights",IF(ISNUMBER(Setup!$D$30),Setup!$D$30,0),IF($T19="Nights",IF(ISNUMBER(Setup!$E$30),Setup!$E$30,0),IF(OR($T19="Exact amounts",$T19="Custom units"),0,1))))))</f>
        <v>0</v>
      </c>
      <c r="AE19" s="29">
        <f t="shared" si="1"/>
        <v>28</v>
      </c>
      <c r="AF19" s="30">
        <f t="shared" si="2"/>
        <v>28</v>
      </c>
      <c r="AG19" s="29">
        <f t="shared" si="3"/>
        <v>980</v>
      </c>
    </row>
    <row r="20" spans="1:33" ht="16" x14ac:dyDescent="0.2">
      <c r="A20" s="22">
        <f t="shared" si="0"/>
        <v>13</v>
      </c>
      <c r="B20" s="23">
        <f ca="1">TODAY()-19</f>
        <v>46213</v>
      </c>
      <c r="C20" s="16" t="s">
        <v>96</v>
      </c>
      <c r="D20" s="16" t="s">
        <v>41</v>
      </c>
      <c r="E20" s="24">
        <v>48</v>
      </c>
      <c r="F20" s="16" t="s">
        <v>57</v>
      </c>
      <c r="G20" s="16" t="s">
        <v>18</v>
      </c>
      <c r="H20" s="25"/>
      <c r="I20" s="25"/>
      <c r="J20" s="25"/>
      <c r="K20" s="25"/>
      <c r="L20" s="25"/>
      <c r="M20" s="25"/>
      <c r="N20" s="25"/>
      <c r="O20" s="25"/>
      <c r="P20" s="25"/>
      <c r="Q20" s="25"/>
      <c r="R20" s="26" t="str">
        <f>IF($T20="","",IF($D20="","Who paid?",IF(SUMPRODUCT((Setup!$B$21:$B$30=$D20)*1)=0,"Payer is not in the member list on Setup",IF($E20="","Amount missing — type the number in column E",IF(NOT(ISNUMBER($E20)),"Amount must be a plain number — no currency symbol, no text",IF(AND($T20="Custom units",$AE20&lt;=0),"Custom units: nobody has units on this row — type a number for at least one person",IF($AE20&lt;=0,"Nobody shares this row — check the person columns H–Q, and the Weight / Nights columns on Setup",IF(AND($T20="Exact amounts",ABS($AE20-$AG20)&gt;0.01),"Exact amounts do not add up to the amount","OK"))))))))</f>
        <v>OK</v>
      </c>
      <c r="S20" s="27">
        <f>IFERROR(IF(OR($T20="",$C$4=""),"—",ROUND($AG20*INDEX($U20:$AD20,1,MATCH($C$4,Setup!$B$21:$B$30,0))/$AF20,2)),"—")</f>
        <v>9.6</v>
      </c>
      <c r="T20" s="28" t="str">
        <f>IF(AND($C20="",$D20="",NOT(ISNUMBER($E20))),"",IF($G20="",IF(Setup!$C$17="","Equal",Setup!$C$17),$G20))</f>
        <v>Equal</v>
      </c>
      <c r="U20" s="29">
        <f>IF($T20="",0,IF(OR(Setup!$B$21="",Setup!$C$21="No"),0,IF(ISNUMBER(H20),H20,IF($T20="Weights",IF(ISNUMBER(Setup!$D$21),Setup!$D$21,0),IF($T20="Nights",IF(ISNUMBER(Setup!$E$21),Setup!$E$21,0),IF(OR($T20="Exact amounts",$T20="Custom units"),0,1))))))</f>
        <v>1</v>
      </c>
      <c r="V20" s="29">
        <f>IF($T20="",0,IF(OR(Setup!$B$22="",Setup!$C$22="No"),0,IF(ISNUMBER(I20),I20,IF($T20="Weights",IF(ISNUMBER(Setup!$D$22),Setup!$D$22,0),IF($T20="Nights",IF(ISNUMBER(Setup!$E$22),Setup!$E$22,0),IF(OR($T20="Exact amounts",$T20="Custom units"),0,1))))))</f>
        <v>1</v>
      </c>
      <c r="W20" s="29">
        <f>IF($T20="",0,IF(OR(Setup!$B$23="",Setup!$C$23="No"),0,IF(ISNUMBER(J20),J20,IF($T20="Weights",IF(ISNUMBER(Setup!$D$23),Setup!$D$23,0),IF($T20="Nights",IF(ISNUMBER(Setup!$E$23),Setup!$E$23,0),IF(OR($T20="Exact amounts",$T20="Custom units"),0,1))))))</f>
        <v>1</v>
      </c>
      <c r="X20" s="29">
        <f>IF($T20="",0,IF(OR(Setup!$B$24="",Setup!$C$24="No"),0,IF(ISNUMBER(K20),K20,IF($T20="Weights",IF(ISNUMBER(Setup!$D$24),Setup!$D$24,0),IF($T20="Nights",IF(ISNUMBER(Setup!$E$24),Setup!$E$24,0),IF(OR($T20="Exact amounts",$T20="Custom units"),0,1))))))</f>
        <v>1</v>
      </c>
      <c r="Y20" s="29">
        <f>IF($T20="",0,IF(OR(Setup!$B$25="",Setup!$C$25="No"),0,IF(ISNUMBER(L20),L20,IF($T20="Weights",IF(ISNUMBER(Setup!$D$25),Setup!$D$25,0),IF($T20="Nights",IF(ISNUMBER(Setup!$E$25),Setup!$E$25,0),IF(OR($T20="Exact amounts",$T20="Custom units"),0,1))))))</f>
        <v>1</v>
      </c>
      <c r="Z20" s="29">
        <f>IF($T20="",0,IF(OR(Setup!$B$26="",Setup!$C$26="No"),0,IF(ISNUMBER(M20),M20,IF($T20="Weights",IF(ISNUMBER(Setup!$D$26),Setup!$D$26,0),IF($T20="Nights",IF(ISNUMBER(Setup!$E$26),Setup!$E$26,0),IF(OR($T20="Exact amounts",$T20="Custom units"),0,1))))))</f>
        <v>0</v>
      </c>
      <c r="AA20" s="29">
        <f>IF($T20="",0,IF(OR(Setup!$B$27="",Setup!$C$27="No"),0,IF(ISNUMBER(N20),N20,IF($T20="Weights",IF(ISNUMBER(Setup!$D$27),Setup!$D$27,0),IF($T20="Nights",IF(ISNUMBER(Setup!$E$27),Setup!$E$27,0),IF(OR($T20="Exact amounts",$T20="Custom units"),0,1))))))</f>
        <v>0</v>
      </c>
      <c r="AB20" s="29">
        <f>IF($T20="",0,IF(OR(Setup!$B$28="",Setup!$C$28="No"),0,IF(ISNUMBER(O20),O20,IF($T20="Weights",IF(ISNUMBER(Setup!$D$28),Setup!$D$28,0),IF($T20="Nights",IF(ISNUMBER(Setup!$E$28),Setup!$E$28,0),IF(OR($T20="Exact amounts",$T20="Custom units"),0,1))))))</f>
        <v>0</v>
      </c>
      <c r="AC20" s="29">
        <f>IF($T20="",0,IF(OR(Setup!$B$29="",Setup!$C$29="No"),0,IF(ISNUMBER(P20),P20,IF($T20="Weights",IF(ISNUMBER(Setup!$D$29),Setup!$D$29,0),IF($T20="Nights",IF(ISNUMBER(Setup!$E$29),Setup!$E$29,0),IF(OR($T20="Exact amounts",$T20="Custom units"),0,1))))))</f>
        <v>0</v>
      </c>
      <c r="AD20" s="29">
        <f>IF($T20="",0,IF(OR(Setup!$B$30="",Setup!$C$30="No"),0,IF(ISNUMBER(Q20),Q20,IF($T20="Weights",IF(ISNUMBER(Setup!$D$30),Setup!$D$30,0),IF($T20="Nights",IF(ISNUMBER(Setup!$E$30),Setup!$E$30,0),IF(OR($T20="Exact amounts",$T20="Custom units"),0,1))))))</f>
        <v>0</v>
      </c>
      <c r="AE20" s="29">
        <f t="shared" si="1"/>
        <v>5</v>
      </c>
      <c r="AF20" s="30">
        <f t="shared" si="2"/>
        <v>5</v>
      </c>
      <c r="AG20" s="29">
        <f t="shared" si="3"/>
        <v>48</v>
      </c>
    </row>
    <row r="21" spans="1:33" ht="16" x14ac:dyDescent="0.2">
      <c r="A21" s="22">
        <f t="shared" si="0"/>
        <v>14</v>
      </c>
      <c r="B21" s="31">
        <f ca="1">TODAY()-19</f>
        <v>46213</v>
      </c>
      <c r="C21" s="11" t="s">
        <v>97</v>
      </c>
      <c r="D21" s="11" t="s">
        <v>46</v>
      </c>
      <c r="E21" s="32">
        <v>63.4</v>
      </c>
      <c r="F21" s="11" t="s">
        <v>34</v>
      </c>
      <c r="G21" s="11" t="s">
        <v>18</v>
      </c>
      <c r="H21" s="33"/>
      <c r="I21" s="33"/>
      <c r="J21" s="33"/>
      <c r="K21" s="33"/>
      <c r="L21" s="33"/>
      <c r="M21" s="33"/>
      <c r="N21" s="33"/>
      <c r="O21" s="33"/>
      <c r="P21" s="33"/>
      <c r="Q21" s="33"/>
      <c r="R21" s="26" t="str">
        <f>IF($T21="","",IF($D21="","Who paid?",IF(SUMPRODUCT((Setup!$B$21:$B$30=$D21)*1)=0,"Payer is not in the member list on Setup",IF($E21="","Amount missing — type the number in column E",IF(NOT(ISNUMBER($E21)),"Amount must be a plain number — no currency symbol, no text",IF(AND($T21="Custom units",$AE21&lt;=0),"Custom units: nobody has units on this row — type a number for at least one person",IF($AE21&lt;=0,"Nobody shares this row — check the person columns H–Q, and the Weight / Nights columns on Setup",IF(AND($T21="Exact amounts",ABS($AE21-$AG21)&gt;0.01),"Exact amounts do not add up to the amount","OK"))))))))</f>
        <v>OK</v>
      </c>
      <c r="S21" s="27">
        <f>IFERROR(IF(OR($T21="",$C$4=""),"—",ROUND($AG21*INDEX($U21:$AD21,1,MATCH($C$4,Setup!$B$21:$B$30,0))/$AF21,2)),"—")</f>
        <v>12.68</v>
      </c>
      <c r="T21" s="28" t="str">
        <f>IF(AND($C21="",$D21="",NOT(ISNUMBER($E21))),"",IF($G21="",IF(Setup!$C$17="","Equal",Setup!$C$17),$G21))</f>
        <v>Equal</v>
      </c>
      <c r="U21" s="29">
        <f>IF($T21="",0,IF(OR(Setup!$B$21="",Setup!$C$21="No"),0,IF(ISNUMBER(H21),H21,IF($T21="Weights",IF(ISNUMBER(Setup!$D$21),Setup!$D$21,0),IF($T21="Nights",IF(ISNUMBER(Setup!$E$21),Setup!$E$21,0),IF(OR($T21="Exact amounts",$T21="Custom units"),0,1))))))</f>
        <v>1</v>
      </c>
      <c r="V21" s="29">
        <f>IF($T21="",0,IF(OR(Setup!$B$22="",Setup!$C$22="No"),0,IF(ISNUMBER(I21),I21,IF($T21="Weights",IF(ISNUMBER(Setup!$D$22),Setup!$D$22,0),IF($T21="Nights",IF(ISNUMBER(Setup!$E$22),Setup!$E$22,0),IF(OR($T21="Exact amounts",$T21="Custom units"),0,1))))))</f>
        <v>1</v>
      </c>
      <c r="W21" s="29">
        <f>IF($T21="",0,IF(OR(Setup!$B$23="",Setup!$C$23="No"),0,IF(ISNUMBER(J21),J21,IF($T21="Weights",IF(ISNUMBER(Setup!$D$23),Setup!$D$23,0),IF($T21="Nights",IF(ISNUMBER(Setup!$E$23),Setup!$E$23,0),IF(OR($T21="Exact amounts",$T21="Custom units"),0,1))))))</f>
        <v>1</v>
      </c>
      <c r="X21" s="29">
        <f>IF($T21="",0,IF(OR(Setup!$B$24="",Setup!$C$24="No"),0,IF(ISNUMBER(K21),K21,IF($T21="Weights",IF(ISNUMBER(Setup!$D$24),Setup!$D$24,0),IF($T21="Nights",IF(ISNUMBER(Setup!$E$24),Setup!$E$24,0),IF(OR($T21="Exact amounts",$T21="Custom units"),0,1))))))</f>
        <v>1</v>
      </c>
      <c r="Y21" s="29">
        <f>IF($T21="",0,IF(OR(Setup!$B$25="",Setup!$C$25="No"),0,IF(ISNUMBER(L21),L21,IF($T21="Weights",IF(ISNUMBER(Setup!$D$25),Setup!$D$25,0),IF($T21="Nights",IF(ISNUMBER(Setup!$E$25),Setup!$E$25,0),IF(OR($T21="Exact amounts",$T21="Custom units"),0,1))))))</f>
        <v>1</v>
      </c>
      <c r="Z21" s="29">
        <f>IF($T21="",0,IF(OR(Setup!$B$26="",Setup!$C$26="No"),0,IF(ISNUMBER(M21),M21,IF($T21="Weights",IF(ISNUMBER(Setup!$D$26),Setup!$D$26,0),IF($T21="Nights",IF(ISNUMBER(Setup!$E$26),Setup!$E$26,0),IF(OR($T21="Exact amounts",$T21="Custom units"),0,1))))))</f>
        <v>0</v>
      </c>
      <c r="AA21" s="29">
        <f>IF($T21="",0,IF(OR(Setup!$B$27="",Setup!$C$27="No"),0,IF(ISNUMBER(N21),N21,IF($T21="Weights",IF(ISNUMBER(Setup!$D$27),Setup!$D$27,0),IF($T21="Nights",IF(ISNUMBER(Setup!$E$27),Setup!$E$27,0),IF(OR($T21="Exact amounts",$T21="Custom units"),0,1))))))</f>
        <v>0</v>
      </c>
      <c r="AB21" s="29">
        <f>IF($T21="",0,IF(OR(Setup!$B$28="",Setup!$C$28="No"),0,IF(ISNUMBER(O21),O21,IF($T21="Weights",IF(ISNUMBER(Setup!$D$28),Setup!$D$28,0),IF($T21="Nights",IF(ISNUMBER(Setup!$E$28),Setup!$E$28,0),IF(OR($T21="Exact amounts",$T21="Custom units"),0,1))))))</f>
        <v>0</v>
      </c>
      <c r="AC21" s="29">
        <f>IF($T21="",0,IF(OR(Setup!$B$29="",Setup!$C$29="No"),0,IF(ISNUMBER(P21),P21,IF($T21="Weights",IF(ISNUMBER(Setup!$D$29),Setup!$D$29,0),IF($T21="Nights",IF(ISNUMBER(Setup!$E$29),Setup!$E$29,0),IF(OR($T21="Exact amounts",$T21="Custom units"),0,1))))))</f>
        <v>0</v>
      </c>
      <c r="AD21" s="29">
        <f>IF($T21="",0,IF(OR(Setup!$B$30="",Setup!$C$30="No"),0,IF(ISNUMBER(Q21),Q21,IF($T21="Weights",IF(ISNUMBER(Setup!$D$30),Setup!$D$30,0),IF($T21="Nights",IF(ISNUMBER(Setup!$E$30),Setup!$E$30,0),IF(OR($T21="Exact amounts",$T21="Custom units"),0,1))))))</f>
        <v>0</v>
      </c>
      <c r="AE21" s="29">
        <f t="shared" si="1"/>
        <v>5</v>
      </c>
      <c r="AF21" s="30">
        <f t="shared" si="2"/>
        <v>5</v>
      </c>
      <c r="AG21" s="29">
        <f t="shared" si="3"/>
        <v>63.4</v>
      </c>
    </row>
    <row r="22" spans="1:33" ht="16" x14ac:dyDescent="0.2">
      <c r="A22" s="22">
        <f t="shared" si="0"/>
        <v>15</v>
      </c>
      <c r="B22" s="23">
        <f ca="1">TODAY()-18</f>
        <v>46214</v>
      </c>
      <c r="C22" s="16" t="s">
        <v>98</v>
      </c>
      <c r="D22" s="16" t="s">
        <v>50</v>
      </c>
      <c r="E22" s="24">
        <v>142.80000000000001</v>
      </c>
      <c r="F22" s="16" t="s">
        <v>52</v>
      </c>
      <c r="G22" s="16" t="s">
        <v>18</v>
      </c>
      <c r="H22" s="25"/>
      <c r="I22" s="25">
        <v>0</v>
      </c>
      <c r="J22" s="25"/>
      <c r="K22" s="25"/>
      <c r="L22" s="25"/>
      <c r="M22" s="25"/>
      <c r="N22" s="25"/>
      <c r="O22" s="25"/>
      <c r="P22" s="25"/>
      <c r="Q22" s="25"/>
      <c r="R22" s="26" t="str">
        <f>IF($T22="","",IF($D22="","Who paid?",IF(SUMPRODUCT((Setup!$B$21:$B$30=$D22)*1)=0,"Payer is not in the member list on Setup",IF($E22="","Amount missing — type the number in column E",IF(NOT(ISNUMBER($E22)),"Amount must be a plain number — no currency symbol, no text",IF(AND($T22="Custom units",$AE22&lt;=0),"Custom units: nobody has units on this row — type a number for at least one person",IF($AE22&lt;=0,"Nobody shares this row — check the person columns H–Q, and the Weight / Nights columns on Setup",IF(AND($T22="Exact amounts",ABS($AE22-$AG22)&gt;0.01),"Exact amounts do not add up to the amount","OK"))))))))</f>
        <v>OK</v>
      </c>
      <c r="S22" s="27">
        <f>IFERROR(IF(OR($T22="",$C$4=""),"—",ROUND($AG22*INDEX($U22:$AD22,1,MATCH($C$4,Setup!$B$21:$B$30,0))/$AF22,2)),"—")</f>
        <v>35.700000000000003</v>
      </c>
      <c r="T22" s="28" t="str">
        <f>IF(AND($C22="",$D22="",NOT(ISNUMBER($E22))),"",IF($G22="",IF(Setup!$C$17="","Equal",Setup!$C$17),$G22))</f>
        <v>Equal</v>
      </c>
      <c r="U22" s="29">
        <f>IF($T22="",0,IF(OR(Setup!$B$21="",Setup!$C$21="No"),0,IF(ISNUMBER(H22),H22,IF($T22="Weights",IF(ISNUMBER(Setup!$D$21),Setup!$D$21,0),IF($T22="Nights",IF(ISNUMBER(Setup!$E$21),Setup!$E$21,0),IF(OR($T22="Exact amounts",$T22="Custom units"),0,1))))))</f>
        <v>1</v>
      </c>
      <c r="V22" s="29">
        <f>IF($T22="",0,IF(OR(Setup!$B$22="",Setup!$C$22="No"),0,IF(ISNUMBER(I22),I22,IF($T22="Weights",IF(ISNUMBER(Setup!$D$22),Setup!$D$22,0),IF($T22="Nights",IF(ISNUMBER(Setup!$E$22),Setup!$E$22,0),IF(OR($T22="Exact amounts",$T22="Custom units"),0,1))))))</f>
        <v>0</v>
      </c>
      <c r="W22" s="29">
        <f>IF($T22="",0,IF(OR(Setup!$B$23="",Setup!$C$23="No"),0,IF(ISNUMBER(J22),J22,IF($T22="Weights",IF(ISNUMBER(Setup!$D$23),Setup!$D$23,0),IF($T22="Nights",IF(ISNUMBER(Setup!$E$23),Setup!$E$23,0),IF(OR($T22="Exact amounts",$T22="Custom units"),0,1))))))</f>
        <v>1</v>
      </c>
      <c r="X22" s="29">
        <f>IF($T22="",0,IF(OR(Setup!$B$24="",Setup!$C$24="No"),0,IF(ISNUMBER(K22),K22,IF($T22="Weights",IF(ISNUMBER(Setup!$D$24),Setup!$D$24,0),IF($T22="Nights",IF(ISNUMBER(Setup!$E$24),Setup!$E$24,0),IF(OR($T22="Exact amounts",$T22="Custom units"),0,1))))))</f>
        <v>1</v>
      </c>
      <c r="Y22" s="29">
        <f>IF($T22="",0,IF(OR(Setup!$B$25="",Setup!$C$25="No"),0,IF(ISNUMBER(L22),L22,IF($T22="Weights",IF(ISNUMBER(Setup!$D$25),Setup!$D$25,0),IF($T22="Nights",IF(ISNUMBER(Setup!$E$25),Setup!$E$25,0),IF(OR($T22="Exact amounts",$T22="Custom units"),0,1))))))</f>
        <v>1</v>
      </c>
      <c r="Z22" s="29">
        <f>IF($T22="",0,IF(OR(Setup!$B$26="",Setup!$C$26="No"),0,IF(ISNUMBER(M22),M22,IF($T22="Weights",IF(ISNUMBER(Setup!$D$26),Setup!$D$26,0),IF($T22="Nights",IF(ISNUMBER(Setup!$E$26),Setup!$E$26,0),IF(OR($T22="Exact amounts",$T22="Custom units"),0,1))))))</f>
        <v>0</v>
      </c>
      <c r="AA22" s="29">
        <f>IF($T22="",0,IF(OR(Setup!$B$27="",Setup!$C$27="No"),0,IF(ISNUMBER(N22),N22,IF($T22="Weights",IF(ISNUMBER(Setup!$D$27),Setup!$D$27,0),IF($T22="Nights",IF(ISNUMBER(Setup!$E$27),Setup!$E$27,0),IF(OR($T22="Exact amounts",$T22="Custom units"),0,1))))))</f>
        <v>0</v>
      </c>
      <c r="AB22" s="29">
        <f>IF($T22="",0,IF(OR(Setup!$B$28="",Setup!$C$28="No"),0,IF(ISNUMBER(O22),O22,IF($T22="Weights",IF(ISNUMBER(Setup!$D$28),Setup!$D$28,0),IF($T22="Nights",IF(ISNUMBER(Setup!$E$28),Setup!$E$28,0),IF(OR($T22="Exact amounts",$T22="Custom units"),0,1))))))</f>
        <v>0</v>
      </c>
      <c r="AC22" s="29">
        <f>IF($T22="",0,IF(OR(Setup!$B$29="",Setup!$C$29="No"),0,IF(ISNUMBER(P22),P22,IF($T22="Weights",IF(ISNUMBER(Setup!$D$29),Setup!$D$29,0),IF($T22="Nights",IF(ISNUMBER(Setup!$E$29),Setup!$E$29,0),IF(OR($T22="Exact amounts",$T22="Custom units"),0,1))))))</f>
        <v>0</v>
      </c>
      <c r="AD22" s="29">
        <f>IF($T22="",0,IF(OR(Setup!$B$30="",Setup!$C$30="No"),0,IF(ISNUMBER(Q22),Q22,IF($T22="Weights",IF(ISNUMBER(Setup!$D$30),Setup!$D$30,0),IF($T22="Nights",IF(ISNUMBER(Setup!$E$30),Setup!$E$30,0),IF(OR($T22="Exact amounts",$T22="Custom units"),0,1))))))</f>
        <v>0</v>
      </c>
      <c r="AE22" s="29">
        <f t="shared" si="1"/>
        <v>4</v>
      </c>
      <c r="AF22" s="30">
        <f t="shared" si="2"/>
        <v>4</v>
      </c>
      <c r="AG22" s="29">
        <f t="shared" si="3"/>
        <v>142.80000000000001</v>
      </c>
    </row>
    <row r="23" spans="1:33" ht="16" x14ac:dyDescent="0.2">
      <c r="A23" s="22">
        <f t="shared" si="0"/>
        <v>16</v>
      </c>
      <c r="B23" s="31">
        <f ca="1">TODAY()-17</f>
        <v>46215</v>
      </c>
      <c r="C23" s="11" t="s">
        <v>99</v>
      </c>
      <c r="D23" s="11" t="s">
        <v>31</v>
      </c>
      <c r="E23" s="32">
        <v>36</v>
      </c>
      <c r="F23" s="11" t="s">
        <v>57</v>
      </c>
      <c r="G23" s="11" t="s">
        <v>18</v>
      </c>
      <c r="H23" s="33"/>
      <c r="I23" s="33"/>
      <c r="J23" s="33"/>
      <c r="K23" s="33"/>
      <c r="L23" s="33"/>
      <c r="M23" s="33"/>
      <c r="N23" s="33"/>
      <c r="O23" s="33"/>
      <c r="P23" s="33"/>
      <c r="Q23" s="33"/>
      <c r="R23" s="26" t="str">
        <f>IF($T23="","",IF($D23="","Who paid?",IF(SUMPRODUCT((Setup!$B$21:$B$30=$D23)*1)=0,"Payer is not in the member list on Setup",IF($E23="","Amount missing — type the number in column E",IF(NOT(ISNUMBER($E23)),"Amount must be a plain number — no currency symbol, no text",IF(AND($T23="Custom units",$AE23&lt;=0),"Custom units: nobody has units on this row — type a number for at least one person",IF($AE23&lt;=0,"Nobody shares this row — check the person columns H–Q, and the Weight / Nights columns on Setup",IF(AND($T23="Exact amounts",ABS($AE23-$AG23)&gt;0.01),"Exact amounts do not add up to the amount","OK"))))))))</f>
        <v>OK</v>
      </c>
      <c r="S23" s="27">
        <f>IFERROR(IF(OR($T23="",$C$4=""),"—",ROUND($AG23*INDEX($U23:$AD23,1,MATCH($C$4,Setup!$B$21:$B$30,0))/$AF23,2)),"—")</f>
        <v>7.2</v>
      </c>
      <c r="T23" s="28" t="str">
        <f>IF(AND($C23="",$D23="",NOT(ISNUMBER($E23))),"",IF($G23="",IF(Setup!$C$17="","Equal",Setup!$C$17),$G23))</f>
        <v>Equal</v>
      </c>
      <c r="U23" s="29">
        <f>IF($T23="",0,IF(OR(Setup!$B$21="",Setup!$C$21="No"),0,IF(ISNUMBER(H23),H23,IF($T23="Weights",IF(ISNUMBER(Setup!$D$21),Setup!$D$21,0),IF($T23="Nights",IF(ISNUMBER(Setup!$E$21),Setup!$E$21,0),IF(OR($T23="Exact amounts",$T23="Custom units"),0,1))))))</f>
        <v>1</v>
      </c>
      <c r="V23" s="29">
        <f>IF($T23="",0,IF(OR(Setup!$B$22="",Setup!$C$22="No"),0,IF(ISNUMBER(I23),I23,IF($T23="Weights",IF(ISNUMBER(Setup!$D$22),Setup!$D$22,0),IF($T23="Nights",IF(ISNUMBER(Setup!$E$22),Setup!$E$22,0),IF(OR($T23="Exact amounts",$T23="Custom units"),0,1))))))</f>
        <v>1</v>
      </c>
      <c r="W23" s="29">
        <f>IF($T23="",0,IF(OR(Setup!$B$23="",Setup!$C$23="No"),0,IF(ISNUMBER(J23),J23,IF($T23="Weights",IF(ISNUMBER(Setup!$D$23),Setup!$D$23,0),IF($T23="Nights",IF(ISNUMBER(Setup!$E$23),Setup!$E$23,0),IF(OR($T23="Exact amounts",$T23="Custom units"),0,1))))))</f>
        <v>1</v>
      </c>
      <c r="X23" s="29">
        <f>IF($T23="",0,IF(OR(Setup!$B$24="",Setup!$C$24="No"),0,IF(ISNUMBER(K23),K23,IF($T23="Weights",IF(ISNUMBER(Setup!$D$24),Setup!$D$24,0),IF($T23="Nights",IF(ISNUMBER(Setup!$E$24),Setup!$E$24,0),IF(OR($T23="Exact amounts",$T23="Custom units"),0,1))))))</f>
        <v>1</v>
      </c>
      <c r="Y23" s="29">
        <f>IF($T23="",0,IF(OR(Setup!$B$25="",Setup!$C$25="No"),0,IF(ISNUMBER(L23),L23,IF($T23="Weights",IF(ISNUMBER(Setup!$D$25),Setup!$D$25,0),IF($T23="Nights",IF(ISNUMBER(Setup!$E$25),Setup!$E$25,0),IF(OR($T23="Exact amounts",$T23="Custom units"),0,1))))))</f>
        <v>1</v>
      </c>
      <c r="Z23" s="29">
        <f>IF($T23="",0,IF(OR(Setup!$B$26="",Setup!$C$26="No"),0,IF(ISNUMBER(M23),M23,IF($T23="Weights",IF(ISNUMBER(Setup!$D$26),Setup!$D$26,0),IF($T23="Nights",IF(ISNUMBER(Setup!$E$26),Setup!$E$26,0),IF(OR($T23="Exact amounts",$T23="Custom units"),0,1))))))</f>
        <v>0</v>
      </c>
      <c r="AA23" s="29">
        <f>IF($T23="",0,IF(OR(Setup!$B$27="",Setup!$C$27="No"),0,IF(ISNUMBER(N23),N23,IF($T23="Weights",IF(ISNUMBER(Setup!$D$27),Setup!$D$27,0),IF($T23="Nights",IF(ISNUMBER(Setup!$E$27),Setup!$E$27,0),IF(OR($T23="Exact amounts",$T23="Custom units"),0,1))))))</f>
        <v>0</v>
      </c>
      <c r="AB23" s="29">
        <f>IF($T23="",0,IF(OR(Setup!$B$28="",Setup!$C$28="No"),0,IF(ISNUMBER(O23),O23,IF($T23="Weights",IF(ISNUMBER(Setup!$D$28),Setup!$D$28,0),IF($T23="Nights",IF(ISNUMBER(Setup!$E$28),Setup!$E$28,0),IF(OR($T23="Exact amounts",$T23="Custom units"),0,1))))))</f>
        <v>0</v>
      </c>
      <c r="AC23" s="29">
        <f>IF($T23="",0,IF(OR(Setup!$B$29="",Setup!$C$29="No"),0,IF(ISNUMBER(P23),P23,IF($T23="Weights",IF(ISNUMBER(Setup!$D$29),Setup!$D$29,0),IF($T23="Nights",IF(ISNUMBER(Setup!$E$29),Setup!$E$29,0),IF(OR($T23="Exact amounts",$T23="Custom units"),0,1))))))</f>
        <v>0</v>
      </c>
      <c r="AD23" s="29">
        <f>IF($T23="",0,IF(OR(Setup!$B$30="",Setup!$C$30="No"),0,IF(ISNUMBER(Q23),Q23,IF($T23="Weights",IF(ISNUMBER(Setup!$D$30),Setup!$D$30,0),IF($T23="Nights",IF(ISNUMBER(Setup!$E$30),Setup!$E$30,0),IF(OR($T23="Exact amounts",$T23="Custom units"),0,1))))))</f>
        <v>0</v>
      </c>
      <c r="AE23" s="29">
        <f t="shared" si="1"/>
        <v>5</v>
      </c>
      <c r="AF23" s="30">
        <f t="shared" si="2"/>
        <v>5</v>
      </c>
      <c r="AG23" s="29">
        <f t="shared" si="3"/>
        <v>36</v>
      </c>
    </row>
    <row r="24" spans="1:33" ht="16" x14ac:dyDescent="0.2">
      <c r="A24" s="22">
        <f t="shared" si="0"/>
        <v>17</v>
      </c>
      <c r="B24" s="23">
        <f ca="1">TODAY()-16</f>
        <v>46216</v>
      </c>
      <c r="C24" s="16" t="s">
        <v>100</v>
      </c>
      <c r="D24" s="16" t="s">
        <v>41</v>
      </c>
      <c r="E24" s="24">
        <v>135</v>
      </c>
      <c r="F24" s="16" t="s">
        <v>61</v>
      </c>
      <c r="G24" s="16" t="s">
        <v>18</v>
      </c>
      <c r="H24" s="25"/>
      <c r="I24" s="25">
        <v>0</v>
      </c>
      <c r="J24" s="25"/>
      <c r="K24" s="25">
        <v>0</v>
      </c>
      <c r="L24" s="25"/>
      <c r="M24" s="25"/>
      <c r="N24" s="25"/>
      <c r="O24" s="25"/>
      <c r="P24" s="25"/>
      <c r="Q24" s="25"/>
      <c r="R24" s="26" t="str">
        <f>IF($T24="","",IF($D24="","Who paid?",IF(SUMPRODUCT((Setup!$B$21:$B$30=$D24)*1)=0,"Payer is not in the member list on Setup",IF($E24="","Amount missing — type the number in column E",IF(NOT(ISNUMBER($E24)),"Amount must be a plain number — no currency symbol, no text",IF(AND($T24="Custom units",$AE24&lt;=0),"Custom units: nobody has units on this row — type a number for at least one person",IF($AE24&lt;=0,"Nobody shares this row — check the person columns H–Q, and the Weight / Nights columns on Setup",IF(AND($T24="Exact amounts",ABS($AE24-$AG24)&gt;0.01),"Exact amounts do not add up to the amount","OK"))))))))</f>
        <v>OK</v>
      </c>
      <c r="S24" s="27">
        <f>IFERROR(IF(OR($T24="",$C$4=""),"—",ROUND($AG24*INDEX($U24:$AD24,1,MATCH($C$4,Setup!$B$21:$B$30,0))/$AF24,2)),"—")</f>
        <v>45</v>
      </c>
      <c r="T24" s="28" t="str">
        <f>IF(AND($C24="",$D24="",NOT(ISNUMBER($E24))),"",IF($G24="",IF(Setup!$C$17="","Equal",Setup!$C$17),$G24))</f>
        <v>Equal</v>
      </c>
      <c r="U24" s="29">
        <f>IF($T24="",0,IF(OR(Setup!$B$21="",Setup!$C$21="No"),0,IF(ISNUMBER(H24),H24,IF($T24="Weights",IF(ISNUMBER(Setup!$D$21),Setup!$D$21,0),IF($T24="Nights",IF(ISNUMBER(Setup!$E$21),Setup!$E$21,0),IF(OR($T24="Exact amounts",$T24="Custom units"),0,1))))))</f>
        <v>1</v>
      </c>
      <c r="V24" s="29">
        <f>IF($T24="",0,IF(OR(Setup!$B$22="",Setup!$C$22="No"),0,IF(ISNUMBER(I24),I24,IF($T24="Weights",IF(ISNUMBER(Setup!$D$22),Setup!$D$22,0),IF($T24="Nights",IF(ISNUMBER(Setup!$E$22),Setup!$E$22,0),IF(OR($T24="Exact amounts",$T24="Custom units"),0,1))))))</f>
        <v>0</v>
      </c>
      <c r="W24" s="29">
        <f>IF($T24="",0,IF(OR(Setup!$B$23="",Setup!$C$23="No"),0,IF(ISNUMBER(J24),J24,IF($T24="Weights",IF(ISNUMBER(Setup!$D$23),Setup!$D$23,0),IF($T24="Nights",IF(ISNUMBER(Setup!$E$23),Setup!$E$23,0),IF(OR($T24="Exact amounts",$T24="Custom units"),0,1))))))</f>
        <v>1</v>
      </c>
      <c r="X24" s="29">
        <f>IF($T24="",0,IF(OR(Setup!$B$24="",Setup!$C$24="No"),0,IF(ISNUMBER(K24),K24,IF($T24="Weights",IF(ISNUMBER(Setup!$D$24),Setup!$D$24,0),IF($T24="Nights",IF(ISNUMBER(Setup!$E$24),Setup!$E$24,0),IF(OR($T24="Exact amounts",$T24="Custom units"),0,1))))))</f>
        <v>0</v>
      </c>
      <c r="Y24" s="29">
        <f>IF($T24="",0,IF(OR(Setup!$B$25="",Setup!$C$25="No"),0,IF(ISNUMBER(L24),L24,IF($T24="Weights",IF(ISNUMBER(Setup!$D$25),Setup!$D$25,0),IF($T24="Nights",IF(ISNUMBER(Setup!$E$25),Setup!$E$25,0),IF(OR($T24="Exact amounts",$T24="Custom units"),0,1))))))</f>
        <v>1</v>
      </c>
      <c r="Z24" s="29">
        <f>IF($T24="",0,IF(OR(Setup!$B$26="",Setup!$C$26="No"),0,IF(ISNUMBER(M24),M24,IF($T24="Weights",IF(ISNUMBER(Setup!$D$26),Setup!$D$26,0),IF($T24="Nights",IF(ISNUMBER(Setup!$E$26),Setup!$E$26,0),IF(OR($T24="Exact amounts",$T24="Custom units"),0,1))))))</f>
        <v>0</v>
      </c>
      <c r="AA24" s="29">
        <f>IF($T24="",0,IF(OR(Setup!$B$27="",Setup!$C$27="No"),0,IF(ISNUMBER(N24),N24,IF($T24="Weights",IF(ISNUMBER(Setup!$D$27),Setup!$D$27,0),IF($T24="Nights",IF(ISNUMBER(Setup!$E$27),Setup!$E$27,0),IF(OR($T24="Exact amounts",$T24="Custom units"),0,1))))))</f>
        <v>0</v>
      </c>
      <c r="AB24" s="29">
        <f>IF($T24="",0,IF(OR(Setup!$B$28="",Setup!$C$28="No"),0,IF(ISNUMBER(O24),O24,IF($T24="Weights",IF(ISNUMBER(Setup!$D$28),Setup!$D$28,0),IF($T24="Nights",IF(ISNUMBER(Setup!$E$28),Setup!$E$28,0),IF(OR($T24="Exact amounts",$T24="Custom units"),0,1))))))</f>
        <v>0</v>
      </c>
      <c r="AC24" s="29">
        <f>IF($T24="",0,IF(OR(Setup!$B$29="",Setup!$C$29="No"),0,IF(ISNUMBER(P24),P24,IF($T24="Weights",IF(ISNUMBER(Setup!$D$29),Setup!$D$29,0),IF($T24="Nights",IF(ISNUMBER(Setup!$E$29),Setup!$E$29,0),IF(OR($T24="Exact amounts",$T24="Custom units"),0,1))))))</f>
        <v>0</v>
      </c>
      <c r="AD24" s="29">
        <f>IF($T24="",0,IF(OR(Setup!$B$30="",Setup!$C$30="No"),0,IF(ISNUMBER(Q24),Q24,IF($T24="Weights",IF(ISNUMBER(Setup!$D$30),Setup!$D$30,0),IF($T24="Nights",IF(ISNUMBER(Setup!$E$30),Setup!$E$30,0),IF(OR($T24="Exact amounts",$T24="Custom units"),0,1))))))</f>
        <v>0</v>
      </c>
      <c r="AE24" s="29">
        <f t="shared" si="1"/>
        <v>3</v>
      </c>
      <c r="AF24" s="30">
        <f t="shared" si="2"/>
        <v>3</v>
      </c>
      <c r="AG24" s="29">
        <f t="shared" si="3"/>
        <v>135</v>
      </c>
    </row>
    <row r="25" spans="1:33" ht="16" x14ac:dyDescent="0.2">
      <c r="A25" s="22">
        <f t="shared" si="0"/>
        <v>18</v>
      </c>
      <c r="B25" s="31">
        <f ca="1">TODAY()-15</f>
        <v>46217</v>
      </c>
      <c r="C25" s="11" t="s">
        <v>101</v>
      </c>
      <c r="D25" s="11" t="s">
        <v>46</v>
      </c>
      <c r="E25" s="32">
        <v>52.5</v>
      </c>
      <c r="F25" s="11" t="s">
        <v>61</v>
      </c>
      <c r="G25" s="11" t="s">
        <v>18</v>
      </c>
      <c r="H25" s="33"/>
      <c r="I25" s="33"/>
      <c r="J25" s="33"/>
      <c r="K25" s="33"/>
      <c r="L25" s="33"/>
      <c r="M25" s="33"/>
      <c r="N25" s="33"/>
      <c r="O25" s="33"/>
      <c r="P25" s="33"/>
      <c r="Q25" s="33"/>
      <c r="R25" s="26" t="str">
        <f>IF($T25="","",IF($D25="","Who paid?",IF(SUMPRODUCT((Setup!$B$21:$B$30=$D25)*1)=0,"Payer is not in the member list on Setup",IF($E25="","Amount missing — type the number in column E",IF(NOT(ISNUMBER($E25)),"Amount must be a plain number — no currency symbol, no text",IF(AND($T25="Custom units",$AE25&lt;=0),"Custom units: nobody has units on this row — type a number for at least one person",IF($AE25&lt;=0,"Nobody shares this row — check the person columns H–Q, and the Weight / Nights columns on Setup",IF(AND($T25="Exact amounts",ABS($AE25-$AG25)&gt;0.01),"Exact amounts do not add up to the amount","OK"))))))))</f>
        <v>OK</v>
      </c>
      <c r="S25" s="27">
        <f>IFERROR(IF(OR($T25="",$C$4=""),"—",ROUND($AG25*INDEX($U25:$AD25,1,MATCH($C$4,Setup!$B$21:$B$30,0))/$AF25,2)),"—")</f>
        <v>10.5</v>
      </c>
      <c r="T25" s="28" t="str">
        <f>IF(AND($C25="",$D25="",NOT(ISNUMBER($E25))),"",IF($G25="",IF(Setup!$C$17="","Equal",Setup!$C$17),$G25))</f>
        <v>Equal</v>
      </c>
      <c r="U25" s="29">
        <f>IF($T25="",0,IF(OR(Setup!$B$21="",Setup!$C$21="No"),0,IF(ISNUMBER(H25),H25,IF($T25="Weights",IF(ISNUMBER(Setup!$D$21),Setup!$D$21,0),IF($T25="Nights",IF(ISNUMBER(Setup!$E$21),Setup!$E$21,0),IF(OR($T25="Exact amounts",$T25="Custom units"),0,1))))))</f>
        <v>1</v>
      </c>
      <c r="V25" s="29">
        <f>IF($T25="",0,IF(OR(Setup!$B$22="",Setup!$C$22="No"),0,IF(ISNUMBER(I25),I25,IF($T25="Weights",IF(ISNUMBER(Setup!$D$22),Setup!$D$22,0),IF($T25="Nights",IF(ISNUMBER(Setup!$E$22),Setup!$E$22,0),IF(OR($T25="Exact amounts",$T25="Custom units"),0,1))))))</f>
        <v>1</v>
      </c>
      <c r="W25" s="29">
        <f>IF($T25="",0,IF(OR(Setup!$B$23="",Setup!$C$23="No"),0,IF(ISNUMBER(J25),J25,IF($T25="Weights",IF(ISNUMBER(Setup!$D$23),Setup!$D$23,0),IF($T25="Nights",IF(ISNUMBER(Setup!$E$23),Setup!$E$23,0),IF(OR($T25="Exact amounts",$T25="Custom units"),0,1))))))</f>
        <v>1</v>
      </c>
      <c r="X25" s="29">
        <f>IF($T25="",0,IF(OR(Setup!$B$24="",Setup!$C$24="No"),0,IF(ISNUMBER(K25),K25,IF($T25="Weights",IF(ISNUMBER(Setup!$D$24),Setup!$D$24,0),IF($T25="Nights",IF(ISNUMBER(Setup!$E$24),Setup!$E$24,0),IF(OR($T25="Exact amounts",$T25="Custom units"),0,1))))))</f>
        <v>1</v>
      </c>
      <c r="Y25" s="29">
        <f>IF($T25="",0,IF(OR(Setup!$B$25="",Setup!$C$25="No"),0,IF(ISNUMBER(L25),L25,IF($T25="Weights",IF(ISNUMBER(Setup!$D$25),Setup!$D$25,0),IF($T25="Nights",IF(ISNUMBER(Setup!$E$25),Setup!$E$25,0),IF(OR($T25="Exact amounts",$T25="Custom units"),0,1))))))</f>
        <v>1</v>
      </c>
      <c r="Z25" s="29">
        <f>IF($T25="",0,IF(OR(Setup!$B$26="",Setup!$C$26="No"),0,IF(ISNUMBER(M25),M25,IF($T25="Weights",IF(ISNUMBER(Setup!$D$26),Setup!$D$26,0),IF($T25="Nights",IF(ISNUMBER(Setup!$E$26),Setup!$E$26,0),IF(OR($T25="Exact amounts",$T25="Custom units"),0,1))))))</f>
        <v>0</v>
      </c>
      <c r="AA25" s="29">
        <f>IF($T25="",0,IF(OR(Setup!$B$27="",Setup!$C$27="No"),0,IF(ISNUMBER(N25),N25,IF($T25="Weights",IF(ISNUMBER(Setup!$D$27),Setup!$D$27,0),IF($T25="Nights",IF(ISNUMBER(Setup!$E$27),Setup!$E$27,0),IF(OR($T25="Exact amounts",$T25="Custom units"),0,1))))))</f>
        <v>0</v>
      </c>
      <c r="AB25" s="29">
        <f>IF($T25="",0,IF(OR(Setup!$B$28="",Setup!$C$28="No"),0,IF(ISNUMBER(O25),O25,IF($T25="Weights",IF(ISNUMBER(Setup!$D$28),Setup!$D$28,0),IF($T25="Nights",IF(ISNUMBER(Setup!$E$28),Setup!$E$28,0),IF(OR($T25="Exact amounts",$T25="Custom units"),0,1))))))</f>
        <v>0</v>
      </c>
      <c r="AC25" s="29">
        <f>IF($T25="",0,IF(OR(Setup!$B$29="",Setup!$C$29="No"),0,IF(ISNUMBER(P25),P25,IF($T25="Weights",IF(ISNUMBER(Setup!$D$29),Setup!$D$29,0),IF($T25="Nights",IF(ISNUMBER(Setup!$E$29),Setup!$E$29,0),IF(OR($T25="Exact amounts",$T25="Custom units"),0,1))))))</f>
        <v>0</v>
      </c>
      <c r="AD25" s="29">
        <f>IF($T25="",0,IF(OR(Setup!$B$30="",Setup!$C$30="No"),0,IF(ISNUMBER(Q25),Q25,IF($T25="Weights",IF(ISNUMBER(Setup!$D$30),Setup!$D$30,0),IF($T25="Nights",IF(ISNUMBER(Setup!$E$30),Setup!$E$30,0),IF(OR($T25="Exact amounts",$T25="Custom units"),0,1))))))</f>
        <v>0</v>
      </c>
      <c r="AE25" s="29">
        <f t="shared" si="1"/>
        <v>5</v>
      </c>
      <c r="AF25" s="30">
        <f t="shared" si="2"/>
        <v>5</v>
      </c>
      <c r="AG25" s="29">
        <f t="shared" si="3"/>
        <v>52.5</v>
      </c>
    </row>
    <row r="26" spans="1:33" ht="16" x14ac:dyDescent="0.2">
      <c r="A26" s="22">
        <f t="shared" si="0"/>
        <v>19</v>
      </c>
      <c r="B26" s="23">
        <f ca="1">TODAY()-15</f>
        <v>46217</v>
      </c>
      <c r="C26" s="16" t="s">
        <v>102</v>
      </c>
      <c r="D26" s="16" t="s">
        <v>35</v>
      </c>
      <c r="E26" s="24">
        <v>68.3</v>
      </c>
      <c r="F26" s="16" t="s">
        <v>55</v>
      </c>
      <c r="G26" s="16" t="s">
        <v>18</v>
      </c>
      <c r="H26" s="25"/>
      <c r="I26" s="25"/>
      <c r="J26" s="25"/>
      <c r="K26" s="25"/>
      <c r="L26" s="25"/>
      <c r="M26" s="25"/>
      <c r="N26" s="25"/>
      <c r="O26" s="25"/>
      <c r="P26" s="25"/>
      <c r="Q26" s="25"/>
      <c r="R26" s="26" t="str">
        <f>IF($T26="","",IF($D26="","Who paid?",IF(SUMPRODUCT((Setup!$B$21:$B$30=$D26)*1)=0,"Payer is not in the member list on Setup",IF($E26="","Amount missing — type the number in column E",IF(NOT(ISNUMBER($E26)),"Amount must be a plain number — no currency symbol, no text",IF(AND($T26="Custom units",$AE26&lt;=0),"Custom units: nobody has units on this row — type a number for at least one person",IF($AE26&lt;=0,"Nobody shares this row — check the person columns H–Q, and the Weight / Nights columns on Setup",IF(AND($T26="Exact amounts",ABS($AE26-$AG26)&gt;0.01),"Exact amounts do not add up to the amount","OK"))))))))</f>
        <v>OK</v>
      </c>
      <c r="S26" s="27">
        <f>IFERROR(IF(OR($T26="",$C$4=""),"—",ROUND($AG26*INDEX($U26:$AD26,1,MATCH($C$4,Setup!$B$21:$B$30,0))/$AF26,2)),"—")</f>
        <v>13.66</v>
      </c>
      <c r="T26" s="28" t="str">
        <f>IF(AND($C26="",$D26="",NOT(ISNUMBER($E26))),"",IF($G26="",IF(Setup!$C$17="","Equal",Setup!$C$17),$G26))</f>
        <v>Equal</v>
      </c>
      <c r="U26" s="29">
        <f>IF($T26="",0,IF(OR(Setup!$B$21="",Setup!$C$21="No"),0,IF(ISNUMBER(H26),H26,IF($T26="Weights",IF(ISNUMBER(Setup!$D$21),Setup!$D$21,0),IF($T26="Nights",IF(ISNUMBER(Setup!$E$21),Setup!$E$21,0),IF(OR($T26="Exact amounts",$T26="Custom units"),0,1))))))</f>
        <v>1</v>
      </c>
      <c r="V26" s="29">
        <f>IF($T26="",0,IF(OR(Setup!$B$22="",Setup!$C$22="No"),0,IF(ISNUMBER(I26),I26,IF($T26="Weights",IF(ISNUMBER(Setup!$D$22),Setup!$D$22,0),IF($T26="Nights",IF(ISNUMBER(Setup!$E$22),Setup!$E$22,0),IF(OR($T26="Exact amounts",$T26="Custom units"),0,1))))))</f>
        <v>1</v>
      </c>
      <c r="W26" s="29">
        <f>IF($T26="",0,IF(OR(Setup!$B$23="",Setup!$C$23="No"),0,IF(ISNUMBER(J26),J26,IF($T26="Weights",IF(ISNUMBER(Setup!$D$23),Setup!$D$23,0),IF($T26="Nights",IF(ISNUMBER(Setup!$E$23),Setup!$E$23,0),IF(OR($T26="Exact amounts",$T26="Custom units"),0,1))))))</f>
        <v>1</v>
      </c>
      <c r="X26" s="29">
        <f>IF($T26="",0,IF(OR(Setup!$B$24="",Setup!$C$24="No"),0,IF(ISNUMBER(K26),K26,IF($T26="Weights",IF(ISNUMBER(Setup!$D$24),Setup!$D$24,0),IF($T26="Nights",IF(ISNUMBER(Setup!$E$24),Setup!$E$24,0),IF(OR($T26="Exact amounts",$T26="Custom units"),0,1))))))</f>
        <v>1</v>
      </c>
      <c r="Y26" s="29">
        <f>IF($T26="",0,IF(OR(Setup!$B$25="",Setup!$C$25="No"),0,IF(ISNUMBER(L26),L26,IF($T26="Weights",IF(ISNUMBER(Setup!$D$25),Setup!$D$25,0),IF($T26="Nights",IF(ISNUMBER(Setup!$E$25),Setup!$E$25,0),IF(OR($T26="Exact amounts",$T26="Custom units"),0,1))))))</f>
        <v>1</v>
      </c>
      <c r="Z26" s="29">
        <f>IF($T26="",0,IF(OR(Setup!$B$26="",Setup!$C$26="No"),0,IF(ISNUMBER(M26),M26,IF($T26="Weights",IF(ISNUMBER(Setup!$D$26),Setup!$D$26,0),IF($T26="Nights",IF(ISNUMBER(Setup!$E$26),Setup!$E$26,0),IF(OR($T26="Exact amounts",$T26="Custom units"),0,1))))))</f>
        <v>0</v>
      </c>
      <c r="AA26" s="29">
        <f>IF($T26="",0,IF(OR(Setup!$B$27="",Setup!$C$27="No"),0,IF(ISNUMBER(N26),N26,IF($T26="Weights",IF(ISNUMBER(Setup!$D$27),Setup!$D$27,0),IF($T26="Nights",IF(ISNUMBER(Setup!$E$27),Setup!$E$27,0),IF(OR($T26="Exact amounts",$T26="Custom units"),0,1))))))</f>
        <v>0</v>
      </c>
      <c r="AB26" s="29">
        <f>IF($T26="",0,IF(OR(Setup!$B$28="",Setup!$C$28="No"),0,IF(ISNUMBER(O26),O26,IF($T26="Weights",IF(ISNUMBER(Setup!$D$28),Setup!$D$28,0),IF($T26="Nights",IF(ISNUMBER(Setup!$E$28),Setup!$E$28,0),IF(OR($T26="Exact amounts",$T26="Custom units"),0,1))))))</f>
        <v>0</v>
      </c>
      <c r="AC26" s="29">
        <f>IF($T26="",0,IF(OR(Setup!$B$29="",Setup!$C$29="No"),0,IF(ISNUMBER(P26),P26,IF($T26="Weights",IF(ISNUMBER(Setup!$D$29),Setup!$D$29,0),IF($T26="Nights",IF(ISNUMBER(Setup!$E$29),Setup!$E$29,0),IF(OR($T26="Exact amounts",$T26="Custom units"),0,1))))))</f>
        <v>0</v>
      </c>
      <c r="AD26" s="29">
        <f>IF($T26="",0,IF(OR(Setup!$B$30="",Setup!$C$30="No"),0,IF(ISNUMBER(Q26),Q26,IF($T26="Weights",IF(ISNUMBER(Setup!$D$30),Setup!$D$30,0),IF($T26="Nights",IF(ISNUMBER(Setup!$E$30),Setup!$E$30,0),IF(OR($T26="Exact amounts",$T26="Custom units"),0,1))))))</f>
        <v>0</v>
      </c>
      <c r="AE26" s="29">
        <f t="shared" si="1"/>
        <v>5</v>
      </c>
      <c r="AF26" s="30">
        <f t="shared" si="2"/>
        <v>5</v>
      </c>
      <c r="AG26" s="29">
        <f t="shared" si="3"/>
        <v>68.3</v>
      </c>
    </row>
    <row r="27" spans="1:33" ht="16" x14ac:dyDescent="0.2">
      <c r="A27" s="22">
        <f t="shared" si="0"/>
        <v>20</v>
      </c>
      <c r="B27" s="31">
        <f ca="1">TODAY()-14</f>
        <v>46218</v>
      </c>
      <c r="C27" s="11" t="s">
        <v>103</v>
      </c>
      <c r="D27" s="11" t="s">
        <v>50</v>
      </c>
      <c r="E27" s="32">
        <v>120</v>
      </c>
      <c r="F27" s="11" t="s">
        <v>57</v>
      </c>
      <c r="G27" s="11" t="s">
        <v>18</v>
      </c>
      <c r="H27" s="33"/>
      <c r="I27" s="33"/>
      <c r="J27" s="33"/>
      <c r="K27" s="33"/>
      <c r="L27" s="33"/>
      <c r="M27" s="33"/>
      <c r="N27" s="33"/>
      <c r="O27" s="33"/>
      <c r="P27" s="33"/>
      <c r="Q27" s="33"/>
      <c r="R27" s="26" t="str">
        <f>IF($T27="","",IF($D27="","Who paid?",IF(SUMPRODUCT((Setup!$B$21:$B$30=$D27)*1)=0,"Payer is not in the member list on Setup",IF($E27="","Amount missing — type the number in column E",IF(NOT(ISNUMBER($E27)),"Amount must be a plain number — no currency symbol, no text",IF(AND($T27="Custom units",$AE27&lt;=0),"Custom units: nobody has units on this row — type a number for at least one person",IF($AE27&lt;=0,"Nobody shares this row — check the person columns H–Q, and the Weight / Nights columns on Setup",IF(AND($T27="Exact amounts",ABS($AE27-$AG27)&gt;0.01),"Exact amounts do not add up to the amount","OK"))))))))</f>
        <v>OK</v>
      </c>
      <c r="S27" s="27">
        <f>IFERROR(IF(OR($T27="",$C$4=""),"—",ROUND($AG27*INDEX($U27:$AD27,1,MATCH($C$4,Setup!$B$21:$B$30,0))/$AF27,2)),"—")</f>
        <v>24</v>
      </c>
      <c r="T27" s="28" t="str">
        <f>IF(AND($C27="",$D27="",NOT(ISNUMBER($E27))),"",IF($G27="",IF(Setup!$C$17="","Equal",Setup!$C$17),$G27))</f>
        <v>Equal</v>
      </c>
      <c r="U27" s="29">
        <f>IF($T27="",0,IF(OR(Setup!$B$21="",Setup!$C$21="No"),0,IF(ISNUMBER(H27),H27,IF($T27="Weights",IF(ISNUMBER(Setup!$D$21),Setup!$D$21,0),IF($T27="Nights",IF(ISNUMBER(Setup!$E$21),Setup!$E$21,0),IF(OR($T27="Exact amounts",$T27="Custom units"),0,1))))))</f>
        <v>1</v>
      </c>
      <c r="V27" s="29">
        <f>IF($T27="",0,IF(OR(Setup!$B$22="",Setup!$C$22="No"),0,IF(ISNUMBER(I27),I27,IF($T27="Weights",IF(ISNUMBER(Setup!$D$22),Setup!$D$22,0),IF($T27="Nights",IF(ISNUMBER(Setup!$E$22),Setup!$E$22,0),IF(OR($T27="Exact amounts",$T27="Custom units"),0,1))))))</f>
        <v>1</v>
      </c>
      <c r="W27" s="29">
        <f>IF($T27="",0,IF(OR(Setup!$B$23="",Setup!$C$23="No"),0,IF(ISNUMBER(J27),J27,IF($T27="Weights",IF(ISNUMBER(Setup!$D$23),Setup!$D$23,0),IF($T27="Nights",IF(ISNUMBER(Setup!$E$23),Setup!$E$23,0),IF(OR($T27="Exact amounts",$T27="Custom units"),0,1))))))</f>
        <v>1</v>
      </c>
      <c r="X27" s="29">
        <f>IF($T27="",0,IF(OR(Setup!$B$24="",Setup!$C$24="No"),0,IF(ISNUMBER(K27),K27,IF($T27="Weights",IF(ISNUMBER(Setup!$D$24),Setup!$D$24,0),IF($T27="Nights",IF(ISNUMBER(Setup!$E$24),Setup!$E$24,0),IF(OR($T27="Exact amounts",$T27="Custom units"),0,1))))))</f>
        <v>1</v>
      </c>
      <c r="Y27" s="29">
        <f>IF($T27="",0,IF(OR(Setup!$B$25="",Setup!$C$25="No"),0,IF(ISNUMBER(L27),L27,IF($T27="Weights",IF(ISNUMBER(Setup!$D$25),Setup!$D$25,0),IF($T27="Nights",IF(ISNUMBER(Setup!$E$25),Setup!$E$25,0),IF(OR($T27="Exact amounts",$T27="Custom units"),0,1))))))</f>
        <v>1</v>
      </c>
      <c r="Z27" s="29">
        <f>IF($T27="",0,IF(OR(Setup!$B$26="",Setup!$C$26="No"),0,IF(ISNUMBER(M27),M27,IF($T27="Weights",IF(ISNUMBER(Setup!$D$26),Setup!$D$26,0),IF($T27="Nights",IF(ISNUMBER(Setup!$E$26),Setup!$E$26,0),IF(OR($T27="Exact amounts",$T27="Custom units"),0,1))))))</f>
        <v>0</v>
      </c>
      <c r="AA27" s="29">
        <f>IF($T27="",0,IF(OR(Setup!$B$27="",Setup!$C$27="No"),0,IF(ISNUMBER(N27),N27,IF($T27="Weights",IF(ISNUMBER(Setup!$D$27),Setup!$D$27,0),IF($T27="Nights",IF(ISNUMBER(Setup!$E$27),Setup!$E$27,0),IF(OR($T27="Exact amounts",$T27="Custom units"),0,1))))))</f>
        <v>0</v>
      </c>
      <c r="AB27" s="29">
        <f>IF($T27="",0,IF(OR(Setup!$B$28="",Setup!$C$28="No"),0,IF(ISNUMBER(O27),O27,IF($T27="Weights",IF(ISNUMBER(Setup!$D$28),Setup!$D$28,0),IF($T27="Nights",IF(ISNUMBER(Setup!$E$28),Setup!$E$28,0),IF(OR($T27="Exact amounts",$T27="Custom units"),0,1))))))</f>
        <v>0</v>
      </c>
      <c r="AC27" s="29">
        <f>IF($T27="",0,IF(OR(Setup!$B$29="",Setup!$C$29="No"),0,IF(ISNUMBER(P27),P27,IF($T27="Weights",IF(ISNUMBER(Setup!$D$29),Setup!$D$29,0),IF($T27="Nights",IF(ISNUMBER(Setup!$E$29),Setup!$E$29,0),IF(OR($T27="Exact amounts",$T27="Custom units"),0,1))))))</f>
        <v>0</v>
      </c>
      <c r="AD27" s="29">
        <f>IF($T27="",0,IF(OR(Setup!$B$30="",Setup!$C$30="No"),0,IF(ISNUMBER(Q27),Q27,IF($T27="Weights",IF(ISNUMBER(Setup!$D$30),Setup!$D$30,0),IF($T27="Nights",IF(ISNUMBER(Setup!$E$30),Setup!$E$30,0),IF(OR($T27="Exact amounts",$T27="Custom units"),0,1))))))</f>
        <v>0</v>
      </c>
      <c r="AE27" s="29">
        <f t="shared" si="1"/>
        <v>5</v>
      </c>
      <c r="AF27" s="30">
        <f t="shared" si="2"/>
        <v>5</v>
      </c>
      <c r="AG27" s="29">
        <f t="shared" si="3"/>
        <v>120</v>
      </c>
    </row>
    <row r="28" spans="1:33" ht="16" x14ac:dyDescent="0.2">
      <c r="A28" s="22">
        <f t="shared" si="0"/>
        <v>21</v>
      </c>
      <c r="B28" s="23">
        <f ca="1">TODAY()-13</f>
        <v>46219</v>
      </c>
      <c r="C28" s="16" t="s">
        <v>104</v>
      </c>
      <c r="D28" s="16" t="s">
        <v>46</v>
      </c>
      <c r="E28" s="24">
        <v>63</v>
      </c>
      <c r="F28" s="16" t="s">
        <v>63</v>
      </c>
      <c r="G28" s="16" t="s">
        <v>48</v>
      </c>
      <c r="H28" s="25">
        <v>2</v>
      </c>
      <c r="I28" s="25">
        <v>2</v>
      </c>
      <c r="J28" s="25">
        <v>1</v>
      </c>
      <c r="K28" s="25">
        <v>1</v>
      </c>
      <c r="L28" s="25">
        <v>1</v>
      </c>
      <c r="M28" s="25"/>
      <c r="N28" s="25"/>
      <c r="O28" s="25"/>
      <c r="P28" s="25"/>
      <c r="Q28" s="25"/>
      <c r="R28" s="26" t="str">
        <f>IF($T28="","",IF($D28="","Who paid?",IF(SUMPRODUCT((Setup!$B$21:$B$30=$D28)*1)=0,"Payer is not in the member list on Setup",IF($E28="","Amount missing — type the number in column E",IF(NOT(ISNUMBER($E28)),"Amount must be a plain number — no currency symbol, no text",IF(AND($T28="Custom units",$AE28&lt;=0),"Custom units: nobody has units on this row — type a number for at least one person",IF($AE28&lt;=0,"Nobody shares this row — check the person columns H–Q, and the Weight / Nights columns on Setup",IF(AND($T28="Exact amounts",ABS($AE28-$AG28)&gt;0.01),"Exact amounts do not add up to the amount","OK"))))))))</f>
        <v>OK</v>
      </c>
      <c r="S28" s="27">
        <f>IFERROR(IF(OR($T28="",$C$4=""),"—",ROUND($AG28*INDEX($U28:$AD28,1,MATCH($C$4,Setup!$B$21:$B$30,0))/$AF28,2)),"—")</f>
        <v>18</v>
      </c>
      <c r="T28" s="28" t="str">
        <f>IF(AND($C28="",$D28="",NOT(ISNUMBER($E28))),"",IF($G28="",IF(Setup!$C$17="","Equal",Setup!$C$17),$G28))</f>
        <v>Custom units</v>
      </c>
      <c r="U28" s="29">
        <f>IF($T28="",0,IF(OR(Setup!$B$21="",Setup!$C$21="No"),0,IF(ISNUMBER(H28),H28,IF($T28="Weights",IF(ISNUMBER(Setup!$D$21),Setup!$D$21,0),IF($T28="Nights",IF(ISNUMBER(Setup!$E$21),Setup!$E$21,0),IF(OR($T28="Exact amounts",$T28="Custom units"),0,1))))))</f>
        <v>2</v>
      </c>
      <c r="V28" s="29">
        <f>IF($T28="",0,IF(OR(Setup!$B$22="",Setup!$C$22="No"),0,IF(ISNUMBER(I28),I28,IF($T28="Weights",IF(ISNUMBER(Setup!$D$22),Setup!$D$22,0),IF($T28="Nights",IF(ISNUMBER(Setup!$E$22),Setup!$E$22,0),IF(OR($T28="Exact amounts",$T28="Custom units"),0,1))))))</f>
        <v>2</v>
      </c>
      <c r="W28" s="29">
        <f>IF($T28="",0,IF(OR(Setup!$B$23="",Setup!$C$23="No"),0,IF(ISNUMBER(J28),J28,IF($T28="Weights",IF(ISNUMBER(Setup!$D$23),Setup!$D$23,0),IF($T28="Nights",IF(ISNUMBER(Setup!$E$23),Setup!$E$23,0),IF(OR($T28="Exact amounts",$T28="Custom units"),0,1))))))</f>
        <v>1</v>
      </c>
      <c r="X28" s="29">
        <f>IF($T28="",0,IF(OR(Setup!$B$24="",Setup!$C$24="No"),0,IF(ISNUMBER(K28),K28,IF($T28="Weights",IF(ISNUMBER(Setup!$D$24),Setup!$D$24,0),IF($T28="Nights",IF(ISNUMBER(Setup!$E$24),Setup!$E$24,0),IF(OR($T28="Exact amounts",$T28="Custom units"),0,1))))))</f>
        <v>1</v>
      </c>
      <c r="Y28" s="29">
        <f>IF($T28="",0,IF(OR(Setup!$B$25="",Setup!$C$25="No"),0,IF(ISNUMBER(L28),L28,IF($T28="Weights",IF(ISNUMBER(Setup!$D$25),Setup!$D$25,0),IF($T28="Nights",IF(ISNUMBER(Setup!$E$25),Setup!$E$25,0),IF(OR($T28="Exact amounts",$T28="Custom units"),0,1))))))</f>
        <v>1</v>
      </c>
      <c r="Z28" s="29">
        <f>IF($T28="",0,IF(OR(Setup!$B$26="",Setup!$C$26="No"),0,IF(ISNUMBER(M28),M28,IF($T28="Weights",IF(ISNUMBER(Setup!$D$26),Setup!$D$26,0),IF($T28="Nights",IF(ISNUMBER(Setup!$E$26),Setup!$E$26,0),IF(OR($T28="Exact amounts",$T28="Custom units"),0,1))))))</f>
        <v>0</v>
      </c>
      <c r="AA28" s="29">
        <f>IF($T28="",0,IF(OR(Setup!$B$27="",Setup!$C$27="No"),0,IF(ISNUMBER(N28),N28,IF($T28="Weights",IF(ISNUMBER(Setup!$D$27),Setup!$D$27,0),IF($T28="Nights",IF(ISNUMBER(Setup!$E$27),Setup!$E$27,0),IF(OR($T28="Exact amounts",$T28="Custom units"),0,1))))))</f>
        <v>0</v>
      </c>
      <c r="AB28" s="29">
        <f>IF($T28="",0,IF(OR(Setup!$B$28="",Setup!$C$28="No"),0,IF(ISNUMBER(O28),O28,IF($T28="Weights",IF(ISNUMBER(Setup!$D$28),Setup!$D$28,0),IF($T28="Nights",IF(ISNUMBER(Setup!$E$28),Setup!$E$28,0),IF(OR($T28="Exact amounts",$T28="Custom units"),0,1))))))</f>
        <v>0</v>
      </c>
      <c r="AC28" s="29">
        <f>IF($T28="",0,IF(OR(Setup!$B$29="",Setup!$C$29="No"),0,IF(ISNUMBER(P28),P28,IF($T28="Weights",IF(ISNUMBER(Setup!$D$29),Setup!$D$29,0),IF($T28="Nights",IF(ISNUMBER(Setup!$E$29),Setup!$E$29,0),IF(OR($T28="Exact amounts",$T28="Custom units"),0,1))))))</f>
        <v>0</v>
      </c>
      <c r="AD28" s="29">
        <f>IF($T28="",0,IF(OR(Setup!$B$30="",Setup!$C$30="No"),0,IF(ISNUMBER(Q28),Q28,IF($T28="Weights",IF(ISNUMBER(Setup!$D$30),Setup!$D$30,0),IF($T28="Nights",IF(ISNUMBER(Setup!$E$30),Setup!$E$30,0),IF(OR($T28="Exact amounts",$T28="Custom units"),0,1))))))</f>
        <v>0</v>
      </c>
      <c r="AE28" s="29">
        <f t="shared" si="1"/>
        <v>7</v>
      </c>
      <c r="AF28" s="30">
        <f t="shared" si="2"/>
        <v>7</v>
      </c>
      <c r="AG28" s="29">
        <f t="shared" si="3"/>
        <v>63</v>
      </c>
    </row>
    <row r="29" spans="1:33" ht="16" x14ac:dyDescent="0.2">
      <c r="A29" s="22">
        <f t="shared" si="0"/>
        <v>22</v>
      </c>
      <c r="B29" s="31">
        <f ca="1">TODAY()-12</f>
        <v>46220</v>
      </c>
      <c r="C29" s="11" t="s">
        <v>105</v>
      </c>
      <c r="D29" s="11" t="s">
        <v>31</v>
      </c>
      <c r="E29" s="32">
        <v>57.2</v>
      </c>
      <c r="F29" s="11" t="s">
        <v>52</v>
      </c>
      <c r="G29" s="11" t="s">
        <v>18</v>
      </c>
      <c r="H29" s="33"/>
      <c r="I29" s="33"/>
      <c r="J29" s="33"/>
      <c r="K29" s="33"/>
      <c r="L29" s="33"/>
      <c r="M29" s="33"/>
      <c r="N29" s="33"/>
      <c r="O29" s="33"/>
      <c r="P29" s="33"/>
      <c r="Q29" s="33"/>
      <c r="R29" s="26" t="str">
        <f>IF($T29="","",IF($D29="","Who paid?",IF(SUMPRODUCT((Setup!$B$21:$B$30=$D29)*1)=0,"Payer is not in the member list on Setup",IF($E29="","Amount missing — type the number in column E",IF(NOT(ISNUMBER($E29)),"Amount must be a plain number — no currency symbol, no text",IF(AND($T29="Custom units",$AE29&lt;=0),"Custom units: nobody has units on this row — type a number for at least one person",IF($AE29&lt;=0,"Nobody shares this row — check the person columns H–Q, and the Weight / Nights columns on Setup",IF(AND($T29="Exact amounts",ABS($AE29-$AG29)&gt;0.01),"Exact amounts do not add up to the amount","OK"))))))))</f>
        <v>OK</v>
      </c>
      <c r="S29" s="27">
        <f>IFERROR(IF(OR($T29="",$C$4=""),"—",ROUND($AG29*INDEX($U29:$AD29,1,MATCH($C$4,Setup!$B$21:$B$30,0))/$AF29,2)),"—")</f>
        <v>11.44</v>
      </c>
      <c r="T29" s="28" t="str">
        <f>IF(AND($C29="",$D29="",NOT(ISNUMBER($E29))),"",IF($G29="",IF(Setup!$C$17="","Equal",Setup!$C$17),$G29))</f>
        <v>Equal</v>
      </c>
      <c r="U29" s="29">
        <f>IF($T29="",0,IF(OR(Setup!$B$21="",Setup!$C$21="No"),0,IF(ISNUMBER(H29),H29,IF($T29="Weights",IF(ISNUMBER(Setup!$D$21),Setup!$D$21,0),IF($T29="Nights",IF(ISNUMBER(Setup!$E$21),Setup!$E$21,0),IF(OR($T29="Exact amounts",$T29="Custom units"),0,1))))))</f>
        <v>1</v>
      </c>
      <c r="V29" s="29">
        <f>IF($T29="",0,IF(OR(Setup!$B$22="",Setup!$C$22="No"),0,IF(ISNUMBER(I29),I29,IF($T29="Weights",IF(ISNUMBER(Setup!$D$22),Setup!$D$22,0),IF($T29="Nights",IF(ISNUMBER(Setup!$E$22),Setup!$E$22,0),IF(OR($T29="Exact amounts",$T29="Custom units"),0,1))))))</f>
        <v>1</v>
      </c>
      <c r="W29" s="29">
        <f>IF($T29="",0,IF(OR(Setup!$B$23="",Setup!$C$23="No"),0,IF(ISNUMBER(J29),J29,IF($T29="Weights",IF(ISNUMBER(Setup!$D$23),Setup!$D$23,0),IF($T29="Nights",IF(ISNUMBER(Setup!$E$23),Setup!$E$23,0),IF(OR($T29="Exact amounts",$T29="Custom units"),0,1))))))</f>
        <v>1</v>
      </c>
      <c r="X29" s="29">
        <f>IF($T29="",0,IF(OR(Setup!$B$24="",Setup!$C$24="No"),0,IF(ISNUMBER(K29),K29,IF($T29="Weights",IF(ISNUMBER(Setup!$D$24),Setup!$D$24,0),IF($T29="Nights",IF(ISNUMBER(Setup!$E$24),Setup!$E$24,0),IF(OR($T29="Exact amounts",$T29="Custom units"),0,1))))))</f>
        <v>1</v>
      </c>
      <c r="Y29" s="29">
        <f>IF($T29="",0,IF(OR(Setup!$B$25="",Setup!$C$25="No"),0,IF(ISNUMBER(L29),L29,IF($T29="Weights",IF(ISNUMBER(Setup!$D$25),Setup!$D$25,0),IF($T29="Nights",IF(ISNUMBER(Setup!$E$25),Setup!$E$25,0),IF(OR($T29="Exact amounts",$T29="Custom units"),0,1))))))</f>
        <v>1</v>
      </c>
      <c r="Z29" s="29">
        <f>IF($T29="",0,IF(OR(Setup!$B$26="",Setup!$C$26="No"),0,IF(ISNUMBER(M29),M29,IF($T29="Weights",IF(ISNUMBER(Setup!$D$26),Setup!$D$26,0),IF($T29="Nights",IF(ISNUMBER(Setup!$E$26),Setup!$E$26,0),IF(OR($T29="Exact amounts",$T29="Custom units"),0,1))))))</f>
        <v>0</v>
      </c>
      <c r="AA29" s="29">
        <f>IF($T29="",0,IF(OR(Setup!$B$27="",Setup!$C$27="No"),0,IF(ISNUMBER(N29),N29,IF($T29="Weights",IF(ISNUMBER(Setup!$D$27),Setup!$D$27,0),IF($T29="Nights",IF(ISNUMBER(Setup!$E$27),Setup!$E$27,0),IF(OR($T29="Exact amounts",$T29="Custom units"),0,1))))))</f>
        <v>0</v>
      </c>
      <c r="AB29" s="29">
        <f>IF($T29="",0,IF(OR(Setup!$B$28="",Setup!$C$28="No"),0,IF(ISNUMBER(O29),O29,IF($T29="Weights",IF(ISNUMBER(Setup!$D$28),Setup!$D$28,0),IF($T29="Nights",IF(ISNUMBER(Setup!$E$28),Setup!$E$28,0),IF(OR($T29="Exact amounts",$T29="Custom units"),0,1))))))</f>
        <v>0</v>
      </c>
      <c r="AC29" s="29">
        <f>IF($T29="",0,IF(OR(Setup!$B$29="",Setup!$C$29="No"),0,IF(ISNUMBER(P29),P29,IF($T29="Weights",IF(ISNUMBER(Setup!$D$29),Setup!$D$29,0),IF($T29="Nights",IF(ISNUMBER(Setup!$E$29),Setup!$E$29,0),IF(OR($T29="Exact amounts",$T29="Custom units"),0,1))))))</f>
        <v>0</v>
      </c>
      <c r="AD29" s="29">
        <f>IF($T29="",0,IF(OR(Setup!$B$30="",Setup!$C$30="No"),0,IF(ISNUMBER(Q29),Q29,IF($T29="Weights",IF(ISNUMBER(Setup!$D$30),Setup!$D$30,0),IF($T29="Nights",IF(ISNUMBER(Setup!$E$30),Setup!$E$30,0),IF(OR($T29="Exact amounts",$T29="Custom units"),0,1))))))</f>
        <v>0</v>
      </c>
      <c r="AE29" s="29">
        <f t="shared" si="1"/>
        <v>5</v>
      </c>
      <c r="AF29" s="30">
        <f t="shared" si="2"/>
        <v>5</v>
      </c>
      <c r="AG29" s="29">
        <f t="shared" si="3"/>
        <v>57.2</v>
      </c>
    </row>
    <row r="30" spans="1:33" ht="16" x14ac:dyDescent="0.2">
      <c r="A30" s="22">
        <f t="shared" si="0"/>
        <v>23</v>
      </c>
      <c r="B30" s="23">
        <f ca="1">TODAY()-11</f>
        <v>46221</v>
      </c>
      <c r="C30" s="16" t="s">
        <v>106</v>
      </c>
      <c r="D30" s="16" t="s">
        <v>35</v>
      </c>
      <c r="E30" s="24">
        <v>42.9</v>
      </c>
      <c r="F30" s="16" t="s">
        <v>57</v>
      </c>
      <c r="G30" s="16" t="s">
        <v>18</v>
      </c>
      <c r="H30" s="25"/>
      <c r="I30" s="25"/>
      <c r="J30" s="25"/>
      <c r="K30" s="25"/>
      <c r="L30" s="25"/>
      <c r="M30" s="25"/>
      <c r="N30" s="25"/>
      <c r="O30" s="25"/>
      <c r="P30" s="25"/>
      <c r="Q30" s="25"/>
      <c r="R30" s="26" t="str">
        <f>IF($T30="","",IF($D30="","Who paid?",IF(SUMPRODUCT((Setup!$B$21:$B$30=$D30)*1)=0,"Payer is not in the member list on Setup",IF($E30="","Amount missing — type the number in column E",IF(NOT(ISNUMBER($E30)),"Amount must be a plain number — no currency symbol, no text",IF(AND($T30="Custom units",$AE30&lt;=0),"Custom units: nobody has units on this row — type a number for at least one person",IF($AE30&lt;=0,"Nobody shares this row — check the person columns H–Q, and the Weight / Nights columns on Setup",IF(AND($T30="Exact amounts",ABS($AE30-$AG30)&gt;0.01),"Exact amounts do not add up to the amount","OK"))))))))</f>
        <v>OK</v>
      </c>
      <c r="S30" s="27">
        <f>IFERROR(IF(OR($T30="",$C$4=""),"—",ROUND($AG30*INDEX($U30:$AD30,1,MATCH($C$4,Setup!$B$21:$B$30,0))/$AF30,2)),"—")</f>
        <v>8.58</v>
      </c>
      <c r="T30" s="28" t="str">
        <f>IF(AND($C30="",$D30="",NOT(ISNUMBER($E30))),"",IF($G30="",IF(Setup!$C$17="","Equal",Setup!$C$17),$G30))</f>
        <v>Equal</v>
      </c>
      <c r="U30" s="29">
        <f>IF($T30="",0,IF(OR(Setup!$B$21="",Setup!$C$21="No"),0,IF(ISNUMBER(H30),H30,IF($T30="Weights",IF(ISNUMBER(Setup!$D$21),Setup!$D$21,0),IF($T30="Nights",IF(ISNUMBER(Setup!$E$21),Setup!$E$21,0),IF(OR($T30="Exact amounts",$T30="Custom units"),0,1))))))</f>
        <v>1</v>
      </c>
      <c r="V30" s="29">
        <f>IF($T30="",0,IF(OR(Setup!$B$22="",Setup!$C$22="No"),0,IF(ISNUMBER(I30),I30,IF($T30="Weights",IF(ISNUMBER(Setup!$D$22),Setup!$D$22,0),IF($T30="Nights",IF(ISNUMBER(Setup!$E$22),Setup!$E$22,0),IF(OR($T30="Exact amounts",$T30="Custom units"),0,1))))))</f>
        <v>1</v>
      </c>
      <c r="W30" s="29">
        <f>IF($T30="",0,IF(OR(Setup!$B$23="",Setup!$C$23="No"),0,IF(ISNUMBER(J30),J30,IF($T30="Weights",IF(ISNUMBER(Setup!$D$23),Setup!$D$23,0),IF($T30="Nights",IF(ISNUMBER(Setup!$E$23),Setup!$E$23,0),IF(OR($T30="Exact amounts",$T30="Custom units"),0,1))))))</f>
        <v>1</v>
      </c>
      <c r="X30" s="29">
        <f>IF($T30="",0,IF(OR(Setup!$B$24="",Setup!$C$24="No"),0,IF(ISNUMBER(K30),K30,IF($T30="Weights",IF(ISNUMBER(Setup!$D$24),Setup!$D$24,0),IF($T30="Nights",IF(ISNUMBER(Setup!$E$24),Setup!$E$24,0),IF(OR($T30="Exact amounts",$T30="Custom units"),0,1))))))</f>
        <v>1</v>
      </c>
      <c r="Y30" s="29">
        <f>IF($T30="",0,IF(OR(Setup!$B$25="",Setup!$C$25="No"),0,IF(ISNUMBER(L30),L30,IF($T30="Weights",IF(ISNUMBER(Setup!$D$25),Setup!$D$25,0),IF($T30="Nights",IF(ISNUMBER(Setup!$E$25),Setup!$E$25,0),IF(OR($T30="Exact amounts",$T30="Custom units"),0,1))))))</f>
        <v>1</v>
      </c>
      <c r="Z30" s="29">
        <f>IF($T30="",0,IF(OR(Setup!$B$26="",Setup!$C$26="No"),0,IF(ISNUMBER(M30),M30,IF($T30="Weights",IF(ISNUMBER(Setup!$D$26),Setup!$D$26,0),IF($T30="Nights",IF(ISNUMBER(Setup!$E$26),Setup!$E$26,0),IF(OR($T30="Exact amounts",$T30="Custom units"),0,1))))))</f>
        <v>0</v>
      </c>
      <c r="AA30" s="29">
        <f>IF($T30="",0,IF(OR(Setup!$B$27="",Setup!$C$27="No"),0,IF(ISNUMBER(N30),N30,IF($T30="Weights",IF(ISNUMBER(Setup!$D$27),Setup!$D$27,0),IF($T30="Nights",IF(ISNUMBER(Setup!$E$27),Setup!$E$27,0),IF(OR($T30="Exact amounts",$T30="Custom units"),0,1))))))</f>
        <v>0</v>
      </c>
      <c r="AB30" s="29">
        <f>IF($T30="",0,IF(OR(Setup!$B$28="",Setup!$C$28="No"),0,IF(ISNUMBER(O30),O30,IF($T30="Weights",IF(ISNUMBER(Setup!$D$28),Setup!$D$28,0),IF($T30="Nights",IF(ISNUMBER(Setup!$E$28),Setup!$E$28,0),IF(OR($T30="Exact amounts",$T30="Custom units"),0,1))))))</f>
        <v>0</v>
      </c>
      <c r="AC30" s="29">
        <f>IF($T30="",0,IF(OR(Setup!$B$29="",Setup!$C$29="No"),0,IF(ISNUMBER(P30),P30,IF($T30="Weights",IF(ISNUMBER(Setup!$D$29),Setup!$D$29,0),IF($T30="Nights",IF(ISNUMBER(Setup!$E$29),Setup!$E$29,0),IF(OR($T30="Exact amounts",$T30="Custom units"),0,1))))))</f>
        <v>0</v>
      </c>
      <c r="AD30" s="29">
        <f>IF($T30="",0,IF(OR(Setup!$B$30="",Setup!$C$30="No"),0,IF(ISNUMBER(Q30),Q30,IF($T30="Weights",IF(ISNUMBER(Setup!$D$30),Setup!$D$30,0),IF($T30="Nights",IF(ISNUMBER(Setup!$E$30),Setup!$E$30,0),IF(OR($T30="Exact amounts",$T30="Custom units"),0,1))))))</f>
        <v>0</v>
      </c>
      <c r="AE30" s="29">
        <f t="shared" si="1"/>
        <v>5</v>
      </c>
      <c r="AF30" s="30">
        <f t="shared" si="2"/>
        <v>5</v>
      </c>
      <c r="AG30" s="29">
        <f t="shared" si="3"/>
        <v>42.9</v>
      </c>
    </row>
    <row r="31" spans="1:33" ht="16" x14ac:dyDescent="0.2">
      <c r="A31" s="22">
        <f t="shared" si="0"/>
        <v>24</v>
      </c>
      <c r="B31" s="31">
        <f ca="1">TODAY()-5</f>
        <v>46227</v>
      </c>
      <c r="C31" s="11" t="s">
        <v>107</v>
      </c>
      <c r="D31" s="11" t="s">
        <v>35</v>
      </c>
      <c r="E31" s="32">
        <v>50</v>
      </c>
      <c r="F31" s="11" t="s">
        <v>65</v>
      </c>
      <c r="G31" s="11" t="s">
        <v>53</v>
      </c>
      <c r="H31" s="33">
        <v>50</v>
      </c>
      <c r="I31" s="33"/>
      <c r="J31" s="33"/>
      <c r="K31" s="33"/>
      <c r="L31" s="33"/>
      <c r="M31" s="33"/>
      <c r="N31" s="33"/>
      <c r="O31" s="33"/>
      <c r="P31" s="33"/>
      <c r="Q31" s="33"/>
      <c r="R31" s="26" t="str">
        <f>IF($T31="","",IF($D31="","Who paid?",IF(SUMPRODUCT((Setup!$B$21:$B$30=$D31)*1)=0,"Payer is not in the member list on Setup",IF($E31="","Amount missing — type the number in column E",IF(NOT(ISNUMBER($E31)),"Amount must be a plain number — no currency symbol, no text",IF(AND($T31="Custom units",$AE31&lt;=0),"Custom units: nobody has units on this row — type a number for at least one person",IF($AE31&lt;=0,"Nobody shares this row — check the person columns H–Q, and the Weight / Nights columns on Setup",IF(AND($T31="Exact amounts",ABS($AE31-$AG31)&gt;0.01),"Exact amounts do not add up to the amount","OK"))))))))</f>
        <v>OK</v>
      </c>
      <c r="S31" s="27">
        <f>IFERROR(IF(OR($T31="",$C$4=""),"—",ROUND($AG31*INDEX($U31:$AD31,1,MATCH($C$4,Setup!$B$21:$B$30,0))/$AF31,2)),"—")</f>
        <v>50</v>
      </c>
      <c r="T31" s="28" t="str">
        <f>IF(AND($C31="",$D31="",NOT(ISNUMBER($E31))),"",IF($G31="",IF(Setup!$C$17="","Equal",Setup!$C$17),$G31))</f>
        <v>Exact amounts</v>
      </c>
      <c r="U31" s="29">
        <f>IF($T31="",0,IF(OR(Setup!$B$21="",Setup!$C$21="No"),0,IF(ISNUMBER(H31),H31,IF($T31="Weights",IF(ISNUMBER(Setup!$D$21),Setup!$D$21,0),IF($T31="Nights",IF(ISNUMBER(Setup!$E$21),Setup!$E$21,0),IF(OR($T31="Exact amounts",$T31="Custom units"),0,1))))))</f>
        <v>50</v>
      </c>
      <c r="V31" s="29">
        <f>IF($T31="",0,IF(OR(Setup!$B$22="",Setup!$C$22="No"),0,IF(ISNUMBER(I31),I31,IF($T31="Weights",IF(ISNUMBER(Setup!$D$22),Setup!$D$22,0),IF($T31="Nights",IF(ISNUMBER(Setup!$E$22),Setup!$E$22,0),IF(OR($T31="Exact amounts",$T31="Custom units"),0,1))))))</f>
        <v>0</v>
      </c>
      <c r="W31" s="29">
        <f>IF($T31="",0,IF(OR(Setup!$B$23="",Setup!$C$23="No"),0,IF(ISNUMBER(J31),J31,IF($T31="Weights",IF(ISNUMBER(Setup!$D$23),Setup!$D$23,0),IF($T31="Nights",IF(ISNUMBER(Setup!$E$23),Setup!$E$23,0),IF(OR($T31="Exact amounts",$T31="Custom units"),0,1))))))</f>
        <v>0</v>
      </c>
      <c r="X31" s="29">
        <f>IF($T31="",0,IF(OR(Setup!$B$24="",Setup!$C$24="No"),0,IF(ISNUMBER(K31),K31,IF($T31="Weights",IF(ISNUMBER(Setup!$D$24),Setup!$D$24,0),IF($T31="Nights",IF(ISNUMBER(Setup!$E$24),Setup!$E$24,0),IF(OR($T31="Exact amounts",$T31="Custom units"),0,1))))))</f>
        <v>0</v>
      </c>
      <c r="Y31" s="29">
        <f>IF($T31="",0,IF(OR(Setup!$B$25="",Setup!$C$25="No"),0,IF(ISNUMBER(L31),L31,IF($T31="Weights",IF(ISNUMBER(Setup!$D$25),Setup!$D$25,0),IF($T31="Nights",IF(ISNUMBER(Setup!$E$25),Setup!$E$25,0),IF(OR($T31="Exact amounts",$T31="Custom units"),0,1))))))</f>
        <v>0</v>
      </c>
      <c r="Z31" s="29">
        <f>IF($T31="",0,IF(OR(Setup!$B$26="",Setup!$C$26="No"),0,IF(ISNUMBER(M31),M31,IF($T31="Weights",IF(ISNUMBER(Setup!$D$26),Setup!$D$26,0),IF($T31="Nights",IF(ISNUMBER(Setup!$E$26),Setup!$E$26,0),IF(OR($T31="Exact amounts",$T31="Custom units"),0,1))))))</f>
        <v>0</v>
      </c>
      <c r="AA31" s="29">
        <f>IF($T31="",0,IF(OR(Setup!$B$27="",Setup!$C$27="No"),0,IF(ISNUMBER(N31),N31,IF($T31="Weights",IF(ISNUMBER(Setup!$D$27),Setup!$D$27,0),IF($T31="Nights",IF(ISNUMBER(Setup!$E$27),Setup!$E$27,0),IF(OR($T31="Exact amounts",$T31="Custom units"),0,1))))))</f>
        <v>0</v>
      </c>
      <c r="AB31" s="29">
        <f>IF($T31="",0,IF(OR(Setup!$B$28="",Setup!$C$28="No"),0,IF(ISNUMBER(O31),O31,IF($T31="Weights",IF(ISNUMBER(Setup!$D$28),Setup!$D$28,0),IF($T31="Nights",IF(ISNUMBER(Setup!$E$28),Setup!$E$28,0),IF(OR($T31="Exact amounts",$T31="Custom units"),0,1))))))</f>
        <v>0</v>
      </c>
      <c r="AC31" s="29">
        <f>IF($T31="",0,IF(OR(Setup!$B$29="",Setup!$C$29="No"),0,IF(ISNUMBER(P31),P31,IF($T31="Weights",IF(ISNUMBER(Setup!$D$29),Setup!$D$29,0),IF($T31="Nights",IF(ISNUMBER(Setup!$E$29),Setup!$E$29,0),IF(OR($T31="Exact amounts",$T31="Custom units"),0,1))))))</f>
        <v>0</v>
      </c>
      <c r="AD31" s="29">
        <f>IF($T31="",0,IF(OR(Setup!$B$30="",Setup!$C$30="No"),0,IF(ISNUMBER(Q31),Q31,IF($T31="Weights",IF(ISNUMBER(Setup!$D$30),Setup!$D$30,0),IF($T31="Nights",IF(ISNUMBER(Setup!$E$30),Setup!$E$30,0),IF(OR($T31="Exact amounts",$T31="Custom units"),0,1))))))</f>
        <v>0</v>
      </c>
      <c r="AE31" s="29">
        <f t="shared" si="1"/>
        <v>50</v>
      </c>
      <c r="AF31" s="30">
        <f t="shared" si="2"/>
        <v>50</v>
      </c>
      <c r="AG31" s="29">
        <f t="shared" si="3"/>
        <v>50</v>
      </c>
    </row>
    <row r="32" spans="1:33" ht="16" x14ac:dyDescent="0.2">
      <c r="A32" s="22" t="str">
        <f t="shared" si="0"/>
        <v>—</v>
      </c>
      <c r="B32" s="23"/>
      <c r="C32" s="16"/>
      <c r="D32" s="16"/>
      <c r="E32" s="24"/>
      <c r="F32" s="16"/>
      <c r="G32" s="16"/>
      <c r="H32" s="25"/>
      <c r="I32" s="25"/>
      <c r="J32" s="25"/>
      <c r="K32" s="25"/>
      <c r="L32" s="25"/>
      <c r="M32" s="25"/>
      <c r="N32" s="25"/>
      <c r="O32" s="25"/>
      <c r="P32" s="25"/>
      <c r="Q32" s="25"/>
      <c r="R32" s="26" t="str">
        <f>IF($T32="","",IF($D32="","Who paid?",IF(SUMPRODUCT((Setup!$B$21:$B$30=$D32)*1)=0,"Payer is not in the member list on Setup",IF($E32="","Amount missing — type the number in column E",IF(NOT(ISNUMBER($E32)),"Amount must be a plain number — no currency symbol, no text",IF(AND($T32="Custom units",$AE32&lt;=0),"Custom units: nobody has units on this row — type a number for at least one person",IF($AE32&lt;=0,"Nobody shares this row — check the person columns H–Q, and the Weight / Nights columns on Setup",IF(AND($T32="Exact amounts",ABS($AE32-$AG32)&gt;0.01),"Exact amounts do not add up to the amount","OK"))))))))</f>
        <v/>
      </c>
      <c r="S32" s="27" t="str">
        <f>IFERROR(IF(OR($T32="",$C$4=""),"—",ROUND($AG32*INDEX($U32:$AD32,1,MATCH($C$4,Setup!$B$21:$B$30,0))/$AF32,2)),"—")</f>
        <v>—</v>
      </c>
      <c r="T32" s="28" t="str">
        <f>IF(AND($C32="",$D32="",NOT(ISNUMBER($E32))),"",IF($G32="",IF(Setup!$C$17="","Equal",Setup!$C$17),$G32))</f>
        <v/>
      </c>
      <c r="U32" s="29">
        <f>IF($T32="",0,IF(OR(Setup!$B$21="",Setup!$C$21="No"),0,IF(ISNUMBER(H32),H32,IF($T32="Weights",IF(ISNUMBER(Setup!$D$21),Setup!$D$21,0),IF($T32="Nights",IF(ISNUMBER(Setup!$E$21),Setup!$E$21,0),IF(OR($T32="Exact amounts",$T32="Custom units"),0,1))))))</f>
        <v>0</v>
      </c>
      <c r="V32" s="29">
        <f>IF($T32="",0,IF(OR(Setup!$B$22="",Setup!$C$22="No"),0,IF(ISNUMBER(I32),I32,IF($T32="Weights",IF(ISNUMBER(Setup!$D$22),Setup!$D$22,0),IF($T32="Nights",IF(ISNUMBER(Setup!$E$22),Setup!$E$22,0),IF(OR($T32="Exact amounts",$T32="Custom units"),0,1))))))</f>
        <v>0</v>
      </c>
      <c r="W32" s="29">
        <f>IF($T32="",0,IF(OR(Setup!$B$23="",Setup!$C$23="No"),0,IF(ISNUMBER(J32),J32,IF($T32="Weights",IF(ISNUMBER(Setup!$D$23),Setup!$D$23,0),IF($T32="Nights",IF(ISNUMBER(Setup!$E$23),Setup!$E$23,0),IF(OR($T32="Exact amounts",$T32="Custom units"),0,1))))))</f>
        <v>0</v>
      </c>
      <c r="X32" s="29">
        <f>IF($T32="",0,IF(OR(Setup!$B$24="",Setup!$C$24="No"),0,IF(ISNUMBER(K32),K32,IF($T32="Weights",IF(ISNUMBER(Setup!$D$24),Setup!$D$24,0),IF($T32="Nights",IF(ISNUMBER(Setup!$E$24),Setup!$E$24,0),IF(OR($T32="Exact amounts",$T32="Custom units"),0,1))))))</f>
        <v>0</v>
      </c>
      <c r="Y32" s="29">
        <f>IF($T32="",0,IF(OR(Setup!$B$25="",Setup!$C$25="No"),0,IF(ISNUMBER(L32),L32,IF($T32="Weights",IF(ISNUMBER(Setup!$D$25),Setup!$D$25,0),IF($T32="Nights",IF(ISNUMBER(Setup!$E$25),Setup!$E$25,0),IF(OR($T32="Exact amounts",$T32="Custom units"),0,1))))))</f>
        <v>0</v>
      </c>
      <c r="Z32" s="29">
        <f>IF($T32="",0,IF(OR(Setup!$B$26="",Setup!$C$26="No"),0,IF(ISNUMBER(M32),M32,IF($T32="Weights",IF(ISNUMBER(Setup!$D$26),Setup!$D$26,0),IF($T32="Nights",IF(ISNUMBER(Setup!$E$26),Setup!$E$26,0),IF(OR($T32="Exact amounts",$T32="Custom units"),0,1))))))</f>
        <v>0</v>
      </c>
      <c r="AA32" s="29">
        <f>IF($T32="",0,IF(OR(Setup!$B$27="",Setup!$C$27="No"),0,IF(ISNUMBER(N32),N32,IF($T32="Weights",IF(ISNUMBER(Setup!$D$27),Setup!$D$27,0),IF($T32="Nights",IF(ISNUMBER(Setup!$E$27),Setup!$E$27,0),IF(OR($T32="Exact amounts",$T32="Custom units"),0,1))))))</f>
        <v>0</v>
      </c>
      <c r="AB32" s="29">
        <f>IF($T32="",0,IF(OR(Setup!$B$28="",Setup!$C$28="No"),0,IF(ISNUMBER(O32),O32,IF($T32="Weights",IF(ISNUMBER(Setup!$D$28),Setup!$D$28,0),IF($T32="Nights",IF(ISNUMBER(Setup!$E$28),Setup!$E$28,0),IF(OR($T32="Exact amounts",$T32="Custom units"),0,1))))))</f>
        <v>0</v>
      </c>
      <c r="AC32" s="29">
        <f>IF($T32="",0,IF(OR(Setup!$B$29="",Setup!$C$29="No"),0,IF(ISNUMBER(P32),P32,IF($T32="Weights",IF(ISNUMBER(Setup!$D$29),Setup!$D$29,0),IF($T32="Nights",IF(ISNUMBER(Setup!$E$29),Setup!$E$29,0),IF(OR($T32="Exact amounts",$T32="Custom units"),0,1))))))</f>
        <v>0</v>
      </c>
      <c r="AD32" s="29">
        <f>IF($T32="",0,IF(OR(Setup!$B$30="",Setup!$C$30="No"),0,IF(ISNUMBER(Q32),Q32,IF($T32="Weights",IF(ISNUMBER(Setup!$D$30),Setup!$D$30,0),IF($T32="Nights",IF(ISNUMBER(Setup!$E$30),Setup!$E$30,0),IF(OR($T32="Exact amounts",$T32="Custom units"),0,1))))))</f>
        <v>0</v>
      </c>
      <c r="AE32" s="29">
        <f t="shared" si="1"/>
        <v>0</v>
      </c>
      <c r="AF32" s="30">
        <f t="shared" si="2"/>
        <v>1</v>
      </c>
      <c r="AG32" s="29">
        <f t="shared" si="3"/>
        <v>0</v>
      </c>
    </row>
    <row r="33" spans="1:33" ht="16" x14ac:dyDescent="0.2">
      <c r="A33" s="22" t="str">
        <f t="shared" si="0"/>
        <v>—</v>
      </c>
      <c r="B33" s="31"/>
      <c r="C33" s="11"/>
      <c r="D33" s="11"/>
      <c r="E33" s="32"/>
      <c r="F33" s="11"/>
      <c r="G33" s="11"/>
      <c r="H33" s="33"/>
      <c r="I33" s="33"/>
      <c r="J33" s="33"/>
      <c r="K33" s="33"/>
      <c r="L33" s="33"/>
      <c r="M33" s="33"/>
      <c r="N33" s="33"/>
      <c r="O33" s="33"/>
      <c r="P33" s="33"/>
      <c r="Q33" s="33"/>
      <c r="R33" s="26" t="str">
        <f>IF($T33="","",IF($D33="","Who paid?",IF(SUMPRODUCT((Setup!$B$21:$B$30=$D33)*1)=0,"Payer is not in the member list on Setup",IF($E33="","Amount missing — type the number in column E",IF(NOT(ISNUMBER($E33)),"Amount must be a plain number — no currency symbol, no text",IF(AND($T33="Custom units",$AE33&lt;=0),"Custom units: nobody has units on this row — type a number for at least one person",IF($AE33&lt;=0,"Nobody shares this row — check the person columns H–Q, and the Weight / Nights columns on Setup",IF(AND($T33="Exact amounts",ABS($AE33-$AG33)&gt;0.01),"Exact amounts do not add up to the amount","OK"))))))))</f>
        <v/>
      </c>
      <c r="S33" s="27" t="str">
        <f>IFERROR(IF(OR($T33="",$C$4=""),"—",ROUND($AG33*INDEX($U33:$AD33,1,MATCH($C$4,Setup!$B$21:$B$30,0))/$AF33,2)),"—")</f>
        <v>—</v>
      </c>
      <c r="T33" s="28" t="str">
        <f>IF(AND($C33="",$D33="",NOT(ISNUMBER($E33))),"",IF($G33="",IF(Setup!$C$17="","Equal",Setup!$C$17),$G33))</f>
        <v/>
      </c>
      <c r="U33" s="29">
        <f>IF($T33="",0,IF(OR(Setup!$B$21="",Setup!$C$21="No"),0,IF(ISNUMBER(H33),H33,IF($T33="Weights",IF(ISNUMBER(Setup!$D$21),Setup!$D$21,0),IF($T33="Nights",IF(ISNUMBER(Setup!$E$21),Setup!$E$21,0),IF(OR($T33="Exact amounts",$T33="Custom units"),0,1))))))</f>
        <v>0</v>
      </c>
      <c r="V33" s="29">
        <f>IF($T33="",0,IF(OR(Setup!$B$22="",Setup!$C$22="No"),0,IF(ISNUMBER(I33),I33,IF($T33="Weights",IF(ISNUMBER(Setup!$D$22),Setup!$D$22,0),IF($T33="Nights",IF(ISNUMBER(Setup!$E$22),Setup!$E$22,0),IF(OR($T33="Exact amounts",$T33="Custom units"),0,1))))))</f>
        <v>0</v>
      </c>
      <c r="W33" s="29">
        <f>IF($T33="",0,IF(OR(Setup!$B$23="",Setup!$C$23="No"),0,IF(ISNUMBER(J33),J33,IF($T33="Weights",IF(ISNUMBER(Setup!$D$23),Setup!$D$23,0),IF($T33="Nights",IF(ISNUMBER(Setup!$E$23),Setup!$E$23,0),IF(OR($T33="Exact amounts",$T33="Custom units"),0,1))))))</f>
        <v>0</v>
      </c>
      <c r="X33" s="29">
        <f>IF($T33="",0,IF(OR(Setup!$B$24="",Setup!$C$24="No"),0,IF(ISNUMBER(K33),K33,IF($T33="Weights",IF(ISNUMBER(Setup!$D$24),Setup!$D$24,0),IF($T33="Nights",IF(ISNUMBER(Setup!$E$24),Setup!$E$24,0),IF(OR($T33="Exact amounts",$T33="Custom units"),0,1))))))</f>
        <v>0</v>
      </c>
      <c r="Y33" s="29">
        <f>IF($T33="",0,IF(OR(Setup!$B$25="",Setup!$C$25="No"),0,IF(ISNUMBER(L33),L33,IF($T33="Weights",IF(ISNUMBER(Setup!$D$25),Setup!$D$25,0),IF($T33="Nights",IF(ISNUMBER(Setup!$E$25),Setup!$E$25,0),IF(OR($T33="Exact amounts",$T33="Custom units"),0,1))))))</f>
        <v>0</v>
      </c>
      <c r="Z33" s="29">
        <f>IF($T33="",0,IF(OR(Setup!$B$26="",Setup!$C$26="No"),0,IF(ISNUMBER(M33),M33,IF($T33="Weights",IF(ISNUMBER(Setup!$D$26),Setup!$D$26,0),IF($T33="Nights",IF(ISNUMBER(Setup!$E$26),Setup!$E$26,0),IF(OR($T33="Exact amounts",$T33="Custom units"),0,1))))))</f>
        <v>0</v>
      </c>
      <c r="AA33" s="29">
        <f>IF($T33="",0,IF(OR(Setup!$B$27="",Setup!$C$27="No"),0,IF(ISNUMBER(N33),N33,IF($T33="Weights",IF(ISNUMBER(Setup!$D$27),Setup!$D$27,0),IF($T33="Nights",IF(ISNUMBER(Setup!$E$27),Setup!$E$27,0),IF(OR($T33="Exact amounts",$T33="Custom units"),0,1))))))</f>
        <v>0</v>
      </c>
      <c r="AB33" s="29">
        <f>IF($T33="",0,IF(OR(Setup!$B$28="",Setup!$C$28="No"),0,IF(ISNUMBER(O33),O33,IF($T33="Weights",IF(ISNUMBER(Setup!$D$28),Setup!$D$28,0),IF($T33="Nights",IF(ISNUMBER(Setup!$E$28),Setup!$E$28,0),IF(OR($T33="Exact amounts",$T33="Custom units"),0,1))))))</f>
        <v>0</v>
      </c>
      <c r="AC33" s="29">
        <f>IF($T33="",0,IF(OR(Setup!$B$29="",Setup!$C$29="No"),0,IF(ISNUMBER(P33),P33,IF($T33="Weights",IF(ISNUMBER(Setup!$D$29),Setup!$D$29,0),IF($T33="Nights",IF(ISNUMBER(Setup!$E$29),Setup!$E$29,0),IF(OR($T33="Exact amounts",$T33="Custom units"),0,1))))))</f>
        <v>0</v>
      </c>
      <c r="AD33" s="29">
        <f>IF($T33="",0,IF(OR(Setup!$B$30="",Setup!$C$30="No"),0,IF(ISNUMBER(Q33),Q33,IF($T33="Weights",IF(ISNUMBER(Setup!$D$30),Setup!$D$30,0),IF($T33="Nights",IF(ISNUMBER(Setup!$E$30),Setup!$E$30,0),IF(OR($T33="Exact amounts",$T33="Custom units"),0,1))))))</f>
        <v>0</v>
      </c>
      <c r="AE33" s="29">
        <f t="shared" si="1"/>
        <v>0</v>
      </c>
      <c r="AF33" s="30">
        <f t="shared" si="2"/>
        <v>1</v>
      </c>
      <c r="AG33" s="29">
        <f t="shared" si="3"/>
        <v>0</v>
      </c>
    </row>
    <row r="34" spans="1:33" ht="16" x14ac:dyDescent="0.2">
      <c r="A34" s="22" t="str">
        <f t="shared" si="0"/>
        <v>—</v>
      </c>
      <c r="B34" s="23"/>
      <c r="C34" s="16"/>
      <c r="D34" s="16"/>
      <c r="E34" s="24"/>
      <c r="F34" s="16"/>
      <c r="G34" s="16"/>
      <c r="H34" s="25"/>
      <c r="I34" s="25"/>
      <c r="J34" s="25"/>
      <c r="K34" s="25"/>
      <c r="L34" s="25"/>
      <c r="M34" s="25"/>
      <c r="N34" s="25"/>
      <c r="O34" s="25"/>
      <c r="P34" s="25"/>
      <c r="Q34" s="25"/>
      <c r="R34" s="26" t="str">
        <f>IF($T34="","",IF($D34="","Who paid?",IF(SUMPRODUCT((Setup!$B$21:$B$30=$D34)*1)=0,"Payer is not in the member list on Setup",IF($E34="","Amount missing — type the number in column E",IF(NOT(ISNUMBER($E34)),"Amount must be a plain number — no currency symbol, no text",IF(AND($T34="Custom units",$AE34&lt;=0),"Custom units: nobody has units on this row — type a number for at least one person",IF($AE34&lt;=0,"Nobody shares this row — check the person columns H–Q, and the Weight / Nights columns on Setup",IF(AND($T34="Exact amounts",ABS($AE34-$AG34)&gt;0.01),"Exact amounts do not add up to the amount","OK"))))))))</f>
        <v/>
      </c>
      <c r="S34" s="27" t="str">
        <f>IFERROR(IF(OR($T34="",$C$4=""),"—",ROUND($AG34*INDEX($U34:$AD34,1,MATCH($C$4,Setup!$B$21:$B$30,0))/$AF34,2)),"—")</f>
        <v>—</v>
      </c>
      <c r="T34" s="28" t="str">
        <f>IF(AND($C34="",$D34="",NOT(ISNUMBER($E34))),"",IF($G34="",IF(Setup!$C$17="","Equal",Setup!$C$17),$G34))</f>
        <v/>
      </c>
      <c r="U34" s="29">
        <f>IF($T34="",0,IF(OR(Setup!$B$21="",Setup!$C$21="No"),0,IF(ISNUMBER(H34),H34,IF($T34="Weights",IF(ISNUMBER(Setup!$D$21),Setup!$D$21,0),IF($T34="Nights",IF(ISNUMBER(Setup!$E$21),Setup!$E$21,0),IF(OR($T34="Exact amounts",$T34="Custom units"),0,1))))))</f>
        <v>0</v>
      </c>
      <c r="V34" s="29">
        <f>IF($T34="",0,IF(OR(Setup!$B$22="",Setup!$C$22="No"),0,IF(ISNUMBER(I34),I34,IF($T34="Weights",IF(ISNUMBER(Setup!$D$22),Setup!$D$22,0),IF($T34="Nights",IF(ISNUMBER(Setup!$E$22),Setup!$E$22,0),IF(OR($T34="Exact amounts",$T34="Custom units"),0,1))))))</f>
        <v>0</v>
      </c>
      <c r="W34" s="29">
        <f>IF($T34="",0,IF(OR(Setup!$B$23="",Setup!$C$23="No"),0,IF(ISNUMBER(J34),J34,IF($T34="Weights",IF(ISNUMBER(Setup!$D$23),Setup!$D$23,0),IF($T34="Nights",IF(ISNUMBER(Setup!$E$23),Setup!$E$23,0),IF(OR($T34="Exact amounts",$T34="Custom units"),0,1))))))</f>
        <v>0</v>
      </c>
      <c r="X34" s="29">
        <f>IF($T34="",0,IF(OR(Setup!$B$24="",Setup!$C$24="No"),0,IF(ISNUMBER(K34),K34,IF($T34="Weights",IF(ISNUMBER(Setup!$D$24),Setup!$D$24,0),IF($T34="Nights",IF(ISNUMBER(Setup!$E$24),Setup!$E$24,0),IF(OR($T34="Exact amounts",$T34="Custom units"),0,1))))))</f>
        <v>0</v>
      </c>
      <c r="Y34" s="29">
        <f>IF($T34="",0,IF(OR(Setup!$B$25="",Setup!$C$25="No"),0,IF(ISNUMBER(L34),L34,IF($T34="Weights",IF(ISNUMBER(Setup!$D$25),Setup!$D$25,0),IF($T34="Nights",IF(ISNUMBER(Setup!$E$25),Setup!$E$25,0),IF(OR($T34="Exact amounts",$T34="Custom units"),0,1))))))</f>
        <v>0</v>
      </c>
      <c r="Z34" s="29">
        <f>IF($T34="",0,IF(OR(Setup!$B$26="",Setup!$C$26="No"),0,IF(ISNUMBER(M34),M34,IF($T34="Weights",IF(ISNUMBER(Setup!$D$26),Setup!$D$26,0),IF($T34="Nights",IF(ISNUMBER(Setup!$E$26),Setup!$E$26,0),IF(OR($T34="Exact amounts",$T34="Custom units"),0,1))))))</f>
        <v>0</v>
      </c>
      <c r="AA34" s="29">
        <f>IF($T34="",0,IF(OR(Setup!$B$27="",Setup!$C$27="No"),0,IF(ISNUMBER(N34),N34,IF($T34="Weights",IF(ISNUMBER(Setup!$D$27),Setup!$D$27,0),IF($T34="Nights",IF(ISNUMBER(Setup!$E$27),Setup!$E$27,0),IF(OR($T34="Exact amounts",$T34="Custom units"),0,1))))))</f>
        <v>0</v>
      </c>
      <c r="AB34" s="29">
        <f>IF($T34="",0,IF(OR(Setup!$B$28="",Setup!$C$28="No"),0,IF(ISNUMBER(O34),O34,IF($T34="Weights",IF(ISNUMBER(Setup!$D$28),Setup!$D$28,0),IF($T34="Nights",IF(ISNUMBER(Setup!$E$28),Setup!$E$28,0),IF(OR($T34="Exact amounts",$T34="Custom units"),0,1))))))</f>
        <v>0</v>
      </c>
      <c r="AC34" s="29">
        <f>IF($T34="",0,IF(OR(Setup!$B$29="",Setup!$C$29="No"),0,IF(ISNUMBER(P34),P34,IF($T34="Weights",IF(ISNUMBER(Setup!$D$29),Setup!$D$29,0),IF($T34="Nights",IF(ISNUMBER(Setup!$E$29),Setup!$E$29,0),IF(OR($T34="Exact amounts",$T34="Custom units"),0,1))))))</f>
        <v>0</v>
      </c>
      <c r="AD34" s="29">
        <f>IF($T34="",0,IF(OR(Setup!$B$30="",Setup!$C$30="No"),0,IF(ISNUMBER(Q34),Q34,IF($T34="Weights",IF(ISNUMBER(Setup!$D$30),Setup!$D$30,0),IF($T34="Nights",IF(ISNUMBER(Setup!$E$30),Setup!$E$30,0),IF(OR($T34="Exact amounts",$T34="Custom units"),0,1))))))</f>
        <v>0</v>
      </c>
      <c r="AE34" s="29">
        <f t="shared" si="1"/>
        <v>0</v>
      </c>
      <c r="AF34" s="30">
        <f t="shared" si="2"/>
        <v>1</v>
      </c>
      <c r="AG34" s="29">
        <f t="shared" si="3"/>
        <v>0</v>
      </c>
    </row>
    <row r="35" spans="1:33" ht="16" x14ac:dyDescent="0.2">
      <c r="A35" s="22" t="str">
        <f t="shared" si="0"/>
        <v>—</v>
      </c>
      <c r="B35" s="31"/>
      <c r="C35" s="11"/>
      <c r="D35" s="11"/>
      <c r="E35" s="32"/>
      <c r="F35" s="11"/>
      <c r="G35" s="11"/>
      <c r="H35" s="33"/>
      <c r="I35" s="33"/>
      <c r="J35" s="33"/>
      <c r="K35" s="33"/>
      <c r="L35" s="33"/>
      <c r="M35" s="33"/>
      <c r="N35" s="33"/>
      <c r="O35" s="33"/>
      <c r="P35" s="33"/>
      <c r="Q35" s="33"/>
      <c r="R35" s="26" t="str">
        <f>IF($T35="","",IF($D35="","Who paid?",IF(SUMPRODUCT((Setup!$B$21:$B$30=$D35)*1)=0,"Payer is not in the member list on Setup",IF($E35="","Amount missing — type the number in column E",IF(NOT(ISNUMBER($E35)),"Amount must be a plain number — no currency symbol, no text",IF(AND($T35="Custom units",$AE35&lt;=0),"Custom units: nobody has units on this row — type a number for at least one person",IF($AE35&lt;=0,"Nobody shares this row — check the person columns H–Q, and the Weight / Nights columns on Setup",IF(AND($T35="Exact amounts",ABS($AE35-$AG35)&gt;0.01),"Exact amounts do not add up to the amount","OK"))))))))</f>
        <v/>
      </c>
      <c r="S35" s="27" t="str">
        <f>IFERROR(IF(OR($T35="",$C$4=""),"—",ROUND($AG35*INDEX($U35:$AD35,1,MATCH($C$4,Setup!$B$21:$B$30,0))/$AF35,2)),"—")</f>
        <v>—</v>
      </c>
      <c r="T35" s="28" t="str">
        <f>IF(AND($C35="",$D35="",NOT(ISNUMBER($E35))),"",IF($G35="",IF(Setup!$C$17="","Equal",Setup!$C$17),$G35))</f>
        <v/>
      </c>
      <c r="U35" s="29">
        <f>IF($T35="",0,IF(OR(Setup!$B$21="",Setup!$C$21="No"),0,IF(ISNUMBER(H35),H35,IF($T35="Weights",IF(ISNUMBER(Setup!$D$21),Setup!$D$21,0),IF($T35="Nights",IF(ISNUMBER(Setup!$E$21),Setup!$E$21,0),IF(OR($T35="Exact amounts",$T35="Custom units"),0,1))))))</f>
        <v>0</v>
      </c>
      <c r="V35" s="29">
        <f>IF($T35="",0,IF(OR(Setup!$B$22="",Setup!$C$22="No"),0,IF(ISNUMBER(I35),I35,IF($T35="Weights",IF(ISNUMBER(Setup!$D$22),Setup!$D$22,0),IF($T35="Nights",IF(ISNUMBER(Setup!$E$22),Setup!$E$22,0),IF(OR($T35="Exact amounts",$T35="Custom units"),0,1))))))</f>
        <v>0</v>
      </c>
      <c r="W35" s="29">
        <f>IF($T35="",0,IF(OR(Setup!$B$23="",Setup!$C$23="No"),0,IF(ISNUMBER(J35),J35,IF($T35="Weights",IF(ISNUMBER(Setup!$D$23),Setup!$D$23,0),IF($T35="Nights",IF(ISNUMBER(Setup!$E$23),Setup!$E$23,0),IF(OR($T35="Exact amounts",$T35="Custom units"),0,1))))))</f>
        <v>0</v>
      </c>
      <c r="X35" s="29">
        <f>IF($T35="",0,IF(OR(Setup!$B$24="",Setup!$C$24="No"),0,IF(ISNUMBER(K35),K35,IF($T35="Weights",IF(ISNUMBER(Setup!$D$24),Setup!$D$24,0),IF($T35="Nights",IF(ISNUMBER(Setup!$E$24),Setup!$E$24,0),IF(OR($T35="Exact amounts",$T35="Custom units"),0,1))))))</f>
        <v>0</v>
      </c>
      <c r="Y35" s="29">
        <f>IF($T35="",0,IF(OR(Setup!$B$25="",Setup!$C$25="No"),0,IF(ISNUMBER(L35),L35,IF($T35="Weights",IF(ISNUMBER(Setup!$D$25),Setup!$D$25,0),IF($T35="Nights",IF(ISNUMBER(Setup!$E$25),Setup!$E$25,0),IF(OR($T35="Exact amounts",$T35="Custom units"),0,1))))))</f>
        <v>0</v>
      </c>
      <c r="Z35" s="29">
        <f>IF($T35="",0,IF(OR(Setup!$B$26="",Setup!$C$26="No"),0,IF(ISNUMBER(M35),M35,IF($T35="Weights",IF(ISNUMBER(Setup!$D$26),Setup!$D$26,0),IF($T35="Nights",IF(ISNUMBER(Setup!$E$26),Setup!$E$26,0),IF(OR($T35="Exact amounts",$T35="Custom units"),0,1))))))</f>
        <v>0</v>
      </c>
      <c r="AA35" s="29">
        <f>IF($T35="",0,IF(OR(Setup!$B$27="",Setup!$C$27="No"),0,IF(ISNUMBER(N35),N35,IF($T35="Weights",IF(ISNUMBER(Setup!$D$27),Setup!$D$27,0),IF($T35="Nights",IF(ISNUMBER(Setup!$E$27),Setup!$E$27,0),IF(OR($T35="Exact amounts",$T35="Custom units"),0,1))))))</f>
        <v>0</v>
      </c>
      <c r="AB35" s="29">
        <f>IF($T35="",0,IF(OR(Setup!$B$28="",Setup!$C$28="No"),0,IF(ISNUMBER(O35),O35,IF($T35="Weights",IF(ISNUMBER(Setup!$D$28),Setup!$D$28,0),IF($T35="Nights",IF(ISNUMBER(Setup!$E$28),Setup!$E$28,0),IF(OR($T35="Exact amounts",$T35="Custom units"),0,1))))))</f>
        <v>0</v>
      </c>
      <c r="AC35" s="29">
        <f>IF($T35="",0,IF(OR(Setup!$B$29="",Setup!$C$29="No"),0,IF(ISNUMBER(P35),P35,IF($T35="Weights",IF(ISNUMBER(Setup!$D$29),Setup!$D$29,0),IF($T35="Nights",IF(ISNUMBER(Setup!$E$29),Setup!$E$29,0),IF(OR($T35="Exact amounts",$T35="Custom units"),0,1))))))</f>
        <v>0</v>
      </c>
      <c r="AD35" s="29">
        <f>IF($T35="",0,IF(OR(Setup!$B$30="",Setup!$C$30="No"),0,IF(ISNUMBER(Q35),Q35,IF($T35="Weights",IF(ISNUMBER(Setup!$D$30),Setup!$D$30,0),IF($T35="Nights",IF(ISNUMBER(Setup!$E$30),Setup!$E$30,0),IF(OR($T35="Exact amounts",$T35="Custom units"),0,1))))))</f>
        <v>0</v>
      </c>
      <c r="AE35" s="29">
        <f t="shared" si="1"/>
        <v>0</v>
      </c>
      <c r="AF35" s="30">
        <f t="shared" si="2"/>
        <v>1</v>
      </c>
      <c r="AG35" s="29">
        <f t="shared" si="3"/>
        <v>0</v>
      </c>
    </row>
    <row r="36" spans="1:33" ht="16" x14ac:dyDescent="0.2">
      <c r="A36" s="22" t="str">
        <f t="shared" si="0"/>
        <v>—</v>
      </c>
      <c r="B36" s="23"/>
      <c r="C36" s="16"/>
      <c r="D36" s="16"/>
      <c r="E36" s="24"/>
      <c r="F36" s="16"/>
      <c r="G36" s="16"/>
      <c r="H36" s="25"/>
      <c r="I36" s="25"/>
      <c r="J36" s="25"/>
      <c r="K36" s="25"/>
      <c r="L36" s="25"/>
      <c r="M36" s="25"/>
      <c r="N36" s="25"/>
      <c r="O36" s="25"/>
      <c r="P36" s="25"/>
      <c r="Q36" s="25"/>
      <c r="R36" s="26" t="str">
        <f>IF($T36="","",IF($D36="","Who paid?",IF(SUMPRODUCT((Setup!$B$21:$B$30=$D36)*1)=0,"Payer is not in the member list on Setup",IF($E36="","Amount missing — type the number in column E",IF(NOT(ISNUMBER($E36)),"Amount must be a plain number — no currency symbol, no text",IF(AND($T36="Custom units",$AE36&lt;=0),"Custom units: nobody has units on this row — type a number for at least one person",IF($AE36&lt;=0,"Nobody shares this row — check the person columns H–Q, and the Weight / Nights columns on Setup",IF(AND($T36="Exact amounts",ABS($AE36-$AG36)&gt;0.01),"Exact amounts do not add up to the amount","OK"))))))))</f>
        <v/>
      </c>
      <c r="S36" s="27" t="str">
        <f>IFERROR(IF(OR($T36="",$C$4=""),"—",ROUND($AG36*INDEX($U36:$AD36,1,MATCH($C$4,Setup!$B$21:$B$30,0))/$AF36,2)),"—")</f>
        <v>—</v>
      </c>
      <c r="T36" s="28" t="str">
        <f>IF(AND($C36="",$D36="",NOT(ISNUMBER($E36))),"",IF($G36="",IF(Setup!$C$17="","Equal",Setup!$C$17),$G36))</f>
        <v/>
      </c>
      <c r="U36" s="29">
        <f>IF($T36="",0,IF(OR(Setup!$B$21="",Setup!$C$21="No"),0,IF(ISNUMBER(H36),H36,IF($T36="Weights",IF(ISNUMBER(Setup!$D$21),Setup!$D$21,0),IF($T36="Nights",IF(ISNUMBER(Setup!$E$21),Setup!$E$21,0),IF(OR($T36="Exact amounts",$T36="Custom units"),0,1))))))</f>
        <v>0</v>
      </c>
      <c r="V36" s="29">
        <f>IF($T36="",0,IF(OR(Setup!$B$22="",Setup!$C$22="No"),0,IF(ISNUMBER(I36),I36,IF($T36="Weights",IF(ISNUMBER(Setup!$D$22),Setup!$D$22,0),IF($T36="Nights",IF(ISNUMBER(Setup!$E$22),Setup!$E$22,0),IF(OR($T36="Exact amounts",$T36="Custom units"),0,1))))))</f>
        <v>0</v>
      </c>
      <c r="W36" s="29">
        <f>IF($T36="",0,IF(OR(Setup!$B$23="",Setup!$C$23="No"),0,IF(ISNUMBER(J36),J36,IF($T36="Weights",IF(ISNUMBER(Setup!$D$23),Setup!$D$23,0),IF($T36="Nights",IF(ISNUMBER(Setup!$E$23),Setup!$E$23,0),IF(OR($T36="Exact amounts",$T36="Custom units"),0,1))))))</f>
        <v>0</v>
      </c>
      <c r="X36" s="29">
        <f>IF($T36="",0,IF(OR(Setup!$B$24="",Setup!$C$24="No"),0,IF(ISNUMBER(K36),K36,IF($T36="Weights",IF(ISNUMBER(Setup!$D$24),Setup!$D$24,0),IF($T36="Nights",IF(ISNUMBER(Setup!$E$24),Setup!$E$24,0),IF(OR($T36="Exact amounts",$T36="Custom units"),0,1))))))</f>
        <v>0</v>
      </c>
      <c r="Y36" s="29">
        <f>IF($T36="",0,IF(OR(Setup!$B$25="",Setup!$C$25="No"),0,IF(ISNUMBER(L36),L36,IF($T36="Weights",IF(ISNUMBER(Setup!$D$25),Setup!$D$25,0),IF($T36="Nights",IF(ISNUMBER(Setup!$E$25),Setup!$E$25,0),IF(OR($T36="Exact amounts",$T36="Custom units"),0,1))))))</f>
        <v>0</v>
      </c>
      <c r="Z36" s="29">
        <f>IF($T36="",0,IF(OR(Setup!$B$26="",Setup!$C$26="No"),0,IF(ISNUMBER(M36),M36,IF($T36="Weights",IF(ISNUMBER(Setup!$D$26),Setup!$D$26,0),IF($T36="Nights",IF(ISNUMBER(Setup!$E$26),Setup!$E$26,0),IF(OR($T36="Exact amounts",$T36="Custom units"),0,1))))))</f>
        <v>0</v>
      </c>
      <c r="AA36" s="29">
        <f>IF($T36="",0,IF(OR(Setup!$B$27="",Setup!$C$27="No"),0,IF(ISNUMBER(N36),N36,IF($T36="Weights",IF(ISNUMBER(Setup!$D$27),Setup!$D$27,0),IF($T36="Nights",IF(ISNUMBER(Setup!$E$27),Setup!$E$27,0),IF(OR($T36="Exact amounts",$T36="Custom units"),0,1))))))</f>
        <v>0</v>
      </c>
      <c r="AB36" s="29">
        <f>IF($T36="",0,IF(OR(Setup!$B$28="",Setup!$C$28="No"),0,IF(ISNUMBER(O36),O36,IF($T36="Weights",IF(ISNUMBER(Setup!$D$28),Setup!$D$28,0),IF($T36="Nights",IF(ISNUMBER(Setup!$E$28),Setup!$E$28,0),IF(OR($T36="Exact amounts",$T36="Custom units"),0,1))))))</f>
        <v>0</v>
      </c>
      <c r="AC36" s="29">
        <f>IF($T36="",0,IF(OR(Setup!$B$29="",Setup!$C$29="No"),0,IF(ISNUMBER(P36),P36,IF($T36="Weights",IF(ISNUMBER(Setup!$D$29),Setup!$D$29,0),IF($T36="Nights",IF(ISNUMBER(Setup!$E$29),Setup!$E$29,0),IF(OR($T36="Exact amounts",$T36="Custom units"),0,1))))))</f>
        <v>0</v>
      </c>
      <c r="AD36" s="29">
        <f>IF($T36="",0,IF(OR(Setup!$B$30="",Setup!$C$30="No"),0,IF(ISNUMBER(Q36),Q36,IF($T36="Weights",IF(ISNUMBER(Setup!$D$30),Setup!$D$30,0),IF($T36="Nights",IF(ISNUMBER(Setup!$E$30),Setup!$E$30,0),IF(OR($T36="Exact amounts",$T36="Custom units"),0,1))))))</f>
        <v>0</v>
      </c>
      <c r="AE36" s="29">
        <f t="shared" si="1"/>
        <v>0</v>
      </c>
      <c r="AF36" s="30">
        <f t="shared" si="2"/>
        <v>1</v>
      </c>
      <c r="AG36" s="29">
        <f t="shared" si="3"/>
        <v>0</v>
      </c>
    </row>
    <row r="37" spans="1:33" ht="16" x14ac:dyDescent="0.2">
      <c r="A37" s="22" t="str">
        <f t="shared" si="0"/>
        <v>—</v>
      </c>
      <c r="B37" s="31"/>
      <c r="C37" s="11"/>
      <c r="D37" s="11"/>
      <c r="E37" s="32"/>
      <c r="F37" s="11"/>
      <c r="G37" s="11"/>
      <c r="H37" s="33"/>
      <c r="I37" s="33"/>
      <c r="J37" s="33"/>
      <c r="K37" s="33"/>
      <c r="L37" s="33"/>
      <c r="M37" s="33"/>
      <c r="N37" s="33"/>
      <c r="O37" s="33"/>
      <c r="P37" s="33"/>
      <c r="Q37" s="33"/>
      <c r="R37" s="26" t="str">
        <f>IF($T37="","",IF($D37="","Who paid?",IF(SUMPRODUCT((Setup!$B$21:$B$30=$D37)*1)=0,"Payer is not in the member list on Setup",IF($E37="","Amount missing — type the number in column E",IF(NOT(ISNUMBER($E37)),"Amount must be a plain number — no currency symbol, no text",IF(AND($T37="Custom units",$AE37&lt;=0),"Custom units: nobody has units on this row — type a number for at least one person",IF($AE37&lt;=0,"Nobody shares this row — check the person columns H–Q, and the Weight / Nights columns on Setup",IF(AND($T37="Exact amounts",ABS($AE37-$AG37)&gt;0.01),"Exact amounts do not add up to the amount","OK"))))))))</f>
        <v/>
      </c>
      <c r="S37" s="27" t="str">
        <f>IFERROR(IF(OR($T37="",$C$4=""),"—",ROUND($AG37*INDEX($U37:$AD37,1,MATCH($C$4,Setup!$B$21:$B$30,0))/$AF37,2)),"—")</f>
        <v>—</v>
      </c>
      <c r="T37" s="28" t="str">
        <f>IF(AND($C37="",$D37="",NOT(ISNUMBER($E37))),"",IF($G37="",IF(Setup!$C$17="","Equal",Setup!$C$17),$G37))</f>
        <v/>
      </c>
      <c r="U37" s="29">
        <f>IF($T37="",0,IF(OR(Setup!$B$21="",Setup!$C$21="No"),0,IF(ISNUMBER(H37),H37,IF($T37="Weights",IF(ISNUMBER(Setup!$D$21),Setup!$D$21,0),IF($T37="Nights",IF(ISNUMBER(Setup!$E$21),Setup!$E$21,0),IF(OR($T37="Exact amounts",$T37="Custom units"),0,1))))))</f>
        <v>0</v>
      </c>
      <c r="V37" s="29">
        <f>IF($T37="",0,IF(OR(Setup!$B$22="",Setup!$C$22="No"),0,IF(ISNUMBER(I37),I37,IF($T37="Weights",IF(ISNUMBER(Setup!$D$22),Setup!$D$22,0),IF($T37="Nights",IF(ISNUMBER(Setup!$E$22),Setup!$E$22,0),IF(OR($T37="Exact amounts",$T37="Custom units"),0,1))))))</f>
        <v>0</v>
      </c>
      <c r="W37" s="29">
        <f>IF($T37="",0,IF(OR(Setup!$B$23="",Setup!$C$23="No"),0,IF(ISNUMBER(J37),J37,IF($T37="Weights",IF(ISNUMBER(Setup!$D$23),Setup!$D$23,0),IF($T37="Nights",IF(ISNUMBER(Setup!$E$23),Setup!$E$23,0),IF(OR($T37="Exact amounts",$T37="Custom units"),0,1))))))</f>
        <v>0</v>
      </c>
      <c r="X37" s="29">
        <f>IF($T37="",0,IF(OR(Setup!$B$24="",Setup!$C$24="No"),0,IF(ISNUMBER(K37),K37,IF($T37="Weights",IF(ISNUMBER(Setup!$D$24),Setup!$D$24,0),IF($T37="Nights",IF(ISNUMBER(Setup!$E$24),Setup!$E$24,0),IF(OR($T37="Exact amounts",$T37="Custom units"),0,1))))))</f>
        <v>0</v>
      </c>
      <c r="Y37" s="29">
        <f>IF($T37="",0,IF(OR(Setup!$B$25="",Setup!$C$25="No"),0,IF(ISNUMBER(L37),L37,IF($T37="Weights",IF(ISNUMBER(Setup!$D$25),Setup!$D$25,0),IF($T37="Nights",IF(ISNUMBER(Setup!$E$25),Setup!$E$25,0),IF(OR($T37="Exact amounts",$T37="Custom units"),0,1))))))</f>
        <v>0</v>
      </c>
      <c r="Z37" s="29">
        <f>IF($T37="",0,IF(OR(Setup!$B$26="",Setup!$C$26="No"),0,IF(ISNUMBER(M37),M37,IF($T37="Weights",IF(ISNUMBER(Setup!$D$26),Setup!$D$26,0),IF($T37="Nights",IF(ISNUMBER(Setup!$E$26),Setup!$E$26,0),IF(OR($T37="Exact amounts",$T37="Custom units"),0,1))))))</f>
        <v>0</v>
      </c>
      <c r="AA37" s="29">
        <f>IF($T37="",0,IF(OR(Setup!$B$27="",Setup!$C$27="No"),0,IF(ISNUMBER(N37),N37,IF($T37="Weights",IF(ISNUMBER(Setup!$D$27),Setup!$D$27,0),IF($T37="Nights",IF(ISNUMBER(Setup!$E$27),Setup!$E$27,0),IF(OR($T37="Exact amounts",$T37="Custom units"),0,1))))))</f>
        <v>0</v>
      </c>
      <c r="AB37" s="29">
        <f>IF($T37="",0,IF(OR(Setup!$B$28="",Setup!$C$28="No"),0,IF(ISNUMBER(O37),O37,IF($T37="Weights",IF(ISNUMBER(Setup!$D$28),Setup!$D$28,0),IF($T37="Nights",IF(ISNUMBER(Setup!$E$28),Setup!$E$28,0),IF(OR($T37="Exact amounts",$T37="Custom units"),0,1))))))</f>
        <v>0</v>
      </c>
      <c r="AC37" s="29">
        <f>IF($T37="",0,IF(OR(Setup!$B$29="",Setup!$C$29="No"),0,IF(ISNUMBER(P37),P37,IF($T37="Weights",IF(ISNUMBER(Setup!$D$29),Setup!$D$29,0),IF($T37="Nights",IF(ISNUMBER(Setup!$E$29),Setup!$E$29,0),IF(OR($T37="Exact amounts",$T37="Custom units"),0,1))))))</f>
        <v>0</v>
      </c>
      <c r="AD37" s="29">
        <f>IF($T37="",0,IF(OR(Setup!$B$30="",Setup!$C$30="No"),0,IF(ISNUMBER(Q37),Q37,IF($T37="Weights",IF(ISNUMBER(Setup!$D$30),Setup!$D$30,0),IF($T37="Nights",IF(ISNUMBER(Setup!$E$30),Setup!$E$30,0),IF(OR($T37="Exact amounts",$T37="Custom units"),0,1))))))</f>
        <v>0</v>
      </c>
      <c r="AE37" s="29">
        <f t="shared" si="1"/>
        <v>0</v>
      </c>
      <c r="AF37" s="30">
        <f t="shared" si="2"/>
        <v>1</v>
      </c>
      <c r="AG37" s="29">
        <f t="shared" si="3"/>
        <v>0</v>
      </c>
    </row>
    <row r="38" spans="1:33" ht="16" x14ac:dyDescent="0.2">
      <c r="A38" s="22" t="str">
        <f t="shared" si="0"/>
        <v>—</v>
      </c>
      <c r="B38" s="23"/>
      <c r="C38" s="16"/>
      <c r="D38" s="16"/>
      <c r="E38" s="24"/>
      <c r="F38" s="16"/>
      <c r="G38" s="16"/>
      <c r="H38" s="25"/>
      <c r="I38" s="25"/>
      <c r="J38" s="25"/>
      <c r="K38" s="25"/>
      <c r="L38" s="25"/>
      <c r="M38" s="25"/>
      <c r="N38" s="25"/>
      <c r="O38" s="25"/>
      <c r="P38" s="25"/>
      <c r="Q38" s="25"/>
      <c r="R38" s="26" t="str">
        <f>IF($T38="","",IF($D38="","Who paid?",IF(SUMPRODUCT((Setup!$B$21:$B$30=$D38)*1)=0,"Payer is not in the member list on Setup",IF($E38="","Amount missing — type the number in column E",IF(NOT(ISNUMBER($E38)),"Amount must be a plain number — no currency symbol, no text",IF(AND($T38="Custom units",$AE38&lt;=0),"Custom units: nobody has units on this row — type a number for at least one person",IF($AE38&lt;=0,"Nobody shares this row — check the person columns H–Q, and the Weight / Nights columns on Setup",IF(AND($T38="Exact amounts",ABS($AE38-$AG38)&gt;0.01),"Exact amounts do not add up to the amount","OK"))))))))</f>
        <v/>
      </c>
      <c r="S38" s="27" t="str">
        <f>IFERROR(IF(OR($T38="",$C$4=""),"—",ROUND($AG38*INDEX($U38:$AD38,1,MATCH($C$4,Setup!$B$21:$B$30,0))/$AF38,2)),"—")</f>
        <v>—</v>
      </c>
      <c r="T38" s="28" t="str">
        <f>IF(AND($C38="",$D38="",NOT(ISNUMBER($E38))),"",IF($G38="",IF(Setup!$C$17="","Equal",Setup!$C$17),$G38))</f>
        <v/>
      </c>
      <c r="U38" s="29">
        <f>IF($T38="",0,IF(OR(Setup!$B$21="",Setup!$C$21="No"),0,IF(ISNUMBER(H38),H38,IF($T38="Weights",IF(ISNUMBER(Setup!$D$21),Setup!$D$21,0),IF($T38="Nights",IF(ISNUMBER(Setup!$E$21),Setup!$E$21,0),IF(OR($T38="Exact amounts",$T38="Custom units"),0,1))))))</f>
        <v>0</v>
      </c>
      <c r="V38" s="29">
        <f>IF($T38="",0,IF(OR(Setup!$B$22="",Setup!$C$22="No"),0,IF(ISNUMBER(I38),I38,IF($T38="Weights",IF(ISNUMBER(Setup!$D$22),Setup!$D$22,0),IF($T38="Nights",IF(ISNUMBER(Setup!$E$22),Setup!$E$22,0),IF(OR($T38="Exact amounts",$T38="Custom units"),0,1))))))</f>
        <v>0</v>
      </c>
      <c r="W38" s="29">
        <f>IF($T38="",0,IF(OR(Setup!$B$23="",Setup!$C$23="No"),0,IF(ISNUMBER(J38),J38,IF($T38="Weights",IF(ISNUMBER(Setup!$D$23),Setup!$D$23,0),IF($T38="Nights",IF(ISNUMBER(Setup!$E$23),Setup!$E$23,0),IF(OR($T38="Exact amounts",$T38="Custom units"),0,1))))))</f>
        <v>0</v>
      </c>
      <c r="X38" s="29">
        <f>IF($T38="",0,IF(OR(Setup!$B$24="",Setup!$C$24="No"),0,IF(ISNUMBER(K38),K38,IF($T38="Weights",IF(ISNUMBER(Setup!$D$24),Setup!$D$24,0),IF($T38="Nights",IF(ISNUMBER(Setup!$E$24),Setup!$E$24,0),IF(OR($T38="Exact amounts",$T38="Custom units"),0,1))))))</f>
        <v>0</v>
      </c>
      <c r="Y38" s="29">
        <f>IF($T38="",0,IF(OR(Setup!$B$25="",Setup!$C$25="No"),0,IF(ISNUMBER(L38),L38,IF($T38="Weights",IF(ISNUMBER(Setup!$D$25),Setup!$D$25,0),IF($T38="Nights",IF(ISNUMBER(Setup!$E$25),Setup!$E$25,0),IF(OR($T38="Exact amounts",$T38="Custom units"),0,1))))))</f>
        <v>0</v>
      </c>
      <c r="Z38" s="29">
        <f>IF($T38="",0,IF(OR(Setup!$B$26="",Setup!$C$26="No"),0,IF(ISNUMBER(M38),M38,IF($T38="Weights",IF(ISNUMBER(Setup!$D$26),Setup!$D$26,0),IF($T38="Nights",IF(ISNUMBER(Setup!$E$26),Setup!$E$26,0),IF(OR($T38="Exact amounts",$T38="Custom units"),0,1))))))</f>
        <v>0</v>
      </c>
      <c r="AA38" s="29">
        <f>IF($T38="",0,IF(OR(Setup!$B$27="",Setup!$C$27="No"),0,IF(ISNUMBER(N38),N38,IF($T38="Weights",IF(ISNUMBER(Setup!$D$27),Setup!$D$27,0),IF($T38="Nights",IF(ISNUMBER(Setup!$E$27),Setup!$E$27,0),IF(OR($T38="Exact amounts",$T38="Custom units"),0,1))))))</f>
        <v>0</v>
      </c>
      <c r="AB38" s="29">
        <f>IF($T38="",0,IF(OR(Setup!$B$28="",Setup!$C$28="No"),0,IF(ISNUMBER(O38),O38,IF($T38="Weights",IF(ISNUMBER(Setup!$D$28),Setup!$D$28,0),IF($T38="Nights",IF(ISNUMBER(Setup!$E$28),Setup!$E$28,0),IF(OR($T38="Exact amounts",$T38="Custom units"),0,1))))))</f>
        <v>0</v>
      </c>
      <c r="AC38" s="29">
        <f>IF($T38="",0,IF(OR(Setup!$B$29="",Setup!$C$29="No"),0,IF(ISNUMBER(P38),P38,IF($T38="Weights",IF(ISNUMBER(Setup!$D$29),Setup!$D$29,0),IF($T38="Nights",IF(ISNUMBER(Setup!$E$29),Setup!$E$29,0),IF(OR($T38="Exact amounts",$T38="Custom units"),0,1))))))</f>
        <v>0</v>
      </c>
      <c r="AD38" s="29">
        <f>IF($T38="",0,IF(OR(Setup!$B$30="",Setup!$C$30="No"),0,IF(ISNUMBER(Q38),Q38,IF($T38="Weights",IF(ISNUMBER(Setup!$D$30),Setup!$D$30,0),IF($T38="Nights",IF(ISNUMBER(Setup!$E$30),Setup!$E$30,0),IF(OR($T38="Exact amounts",$T38="Custom units"),0,1))))))</f>
        <v>0</v>
      </c>
      <c r="AE38" s="29">
        <f t="shared" si="1"/>
        <v>0</v>
      </c>
      <c r="AF38" s="30">
        <f t="shared" si="2"/>
        <v>1</v>
      </c>
      <c r="AG38" s="29">
        <f t="shared" si="3"/>
        <v>0</v>
      </c>
    </row>
    <row r="39" spans="1:33" ht="16" x14ac:dyDescent="0.2">
      <c r="A39" s="22" t="str">
        <f t="shared" si="0"/>
        <v>—</v>
      </c>
      <c r="B39" s="31"/>
      <c r="C39" s="11"/>
      <c r="D39" s="11"/>
      <c r="E39" s="32"/>
      <c r="F39" s="11"/>
      <c r="G39" s="11"/>
      <c r="H39" s="33"/>
      <c r="I39" s="33"/>
      <c r="J39" s="33"/>
      <c r="K39" s="33"/>
      <c r="L39" s="33"/>
      <c r="M39" s="33"/>
      <c r="N39" s="33"/>
      <c r="O39" s="33"/>
      <c r="P39" s="33"/>
      <c r="Q39" s="33"/>
      <c r="R39" s="26" t="str">
        <f>IF($T39="","",IF($D39="","Who paid?",IF(SUMPRODUCT((Setup!$B$21:$B$30=$D39)*1)=0,"Payer is not in the member list on Setup",IF($E39="","Amount missing — type the number in column E",IF(NOT(ISNUMBER($E39)),"Amount must be a plain number — no currency symbol, no text",IF(AND($T39="Custom units",$AE39&lt;=0),"Custom units: nobody has units on this row — type a number for at least one person",IF($AE39&lt;=0,"Nobody shares this row — check the person columns H–Q, and the Weight / Nights columns on Setup",IF(AND($T39="Exact amounts",ABS($AE39-$AG39)&gt;0.01),"Exact amounts do not add up to the amount","OK"))))))))</f>
        <v/>
      </c>
      <c r="S39" s="27" t="str">
        <f>IFERROR(IF(OR($T39="",$C$4=""),"—",ROUND($AG39*INDEX($U39:$AD39,1,MATCH($C$4,Setup!$B$21:$B$30,0))/$AF39,2)),"—")</f>
        <v>—</v>
      </c>
      <c r="T39" s="28" t="str">
        <f>IF(AND($C39="",$D39="",NOT(ISNUMBER($E39))),"",IF($G39="",IF(Setup!$C$17="","Equal",Setup!$C$17),$G39))</f>
        <v/>
      </c>
      <c r="U39" s="29">
        <f>IF($T39="",0,IF(OR(Setup!$B$21="",Setup!$C$21="No"),0,IF(ISNUMBER(H39),H39,IF($T39="Weights",IF(ISNUMBER(Setup!$D$21),Setup!$D$21,0),IF($T39="Nights",IF(ISNUMBER(Setup!$E$21),Setup!$E$21,0),IF(OR($T39="Exact amounts",$T39="Custom units"),0,1))))))</f>
        <v>0</v>
      </c>
      <c r="V39" s="29">
        <f>IF($T39="",0,IF(OR(Setup!$B$22="",Setup!$C$22="No"),0,IF(ISNUMBER(I39),I39,IF($T39="Weights",IF(ISNUMBER(Setup!$D$22),Setup!$D$22,0),IF($T39="Nights",IF(ISNUMBER(Setup!$E$22),Setup!$E$22,0),IF(OR($T39="Exact amounts",$T39="Custom units"),0,1))))))</f>
        <v>0</v>
      </c>
      <c r="W39" s="29">
        <f>IF($T39="",0,IF(OR(Setup!$B$23="",Setup!$C$23="No"),0,IF(ISNUMBER(J39),J39,IF($T39="Weights",IF(ISNUMBER(Setup!$D$23),Setup!$D$23,0),IF($T39="Nights",IF(ISNUMBER(Setup!$E$23),Setup!$E$23,0),IF(OR($T39="Exact amounts",$T39="Custom units"),0,1))))))</f>
        <v>0</v>
      </c>
      <c r="X39" s="29">
        <f>IF($T39="",0,IF(OR(Setup!$B$24="",Setup!$C$24="No"),0,IF(ISNUMBER(K39),K39,IF($T39="Weights",IF(ISNUMBER(Setup!$D$24),Setup!$D$24,0),IF($T39="Nights",IF(ISNUMBER(Setup!$E$24),Setup!$E$24,0),IF(OR($T39="Exact amounts",$T39="Custom units"),0,1))))))</f>
        <v>0</v>
      </c>
      <c r="Y39" s="29">
        <f>IF($T39="",0,IF(OR(Setup!$B$25="",Setup!$C$25="No"),0,IF(ISNUMBER(L39),L39,IF($T39="Weights",IF(ISNUMBER(Setup!$D$25),Setup!$D$25,0),IF($T39="Nights",IF(ISNUMBER(Setup!$E$25),Setup!$E$25,0),IF(OR($T39="Exact amounts",$T39="Custom units"),0,1))))))</f>
        <v>0</v>
      </c>
      <c r="Z39" s="29">
        <f>IF($T39="",0,IF(OR(Setup!$B$26="",Setup!$C$26="No"),0,IF(ISNUMBER(M39),M39,IF($T39="Weights",IF(ISNUMBER(Setup!$D$26),Setup!$D$26,0),IF($T39="Nights",IF(ISNUMBER(Setup!$E$26),Setup!$E$26,0),IF(OR($T39="Exact amounts",$T39="Custom units"),0,1))))))</f>
        <v>0</v>
      </c>
      <c r="AA39" s="29">
        <f>IF($T39="",0,IF(OR(Setup!$B$27="",Setup!$C$27="No"),0,IF(ISNUMBER(N39),N39,IF($T39="Weights",IF(ISNUMBER(Setup!$D$27),Setup!$D$27,0),IF($T39="Nights",IF(ISNUMBER(Setup!$E$27),Setup!$E$27,0),IF(OR($T39="Exact amounts",$T39="Custom units"),0,1))))))</f>
        <v>0</v>
      </c>
      <c r="AB39" s="29">
        <f>IF($T39="",0,IF(OR(Setup!$B$28="",Setup!$C$28="No"),0,IF(ISNUMBER(O39),O39,IF($T39="Weights",IF(ISNUMBER(Setup!$D$28),Setup!$D$28,0),IF($T39="Nights",IF(ISNUMBER(Setup!$E$28),Setup!$E$28,0),IF(OR($T39="Exact amounts",$T39="Custom units"),0,1))))))</f>
        <v>0</v>
      </c>
      <c r="AC39" s="29">
        <f>IF($T39="",0,IF(OR(Setup!$B$29="",Setup!$C$29="No"),0,IF(ISNUMBER(P39),P39,IF($T39="Weights",IF(ISNUMBER(Setup!$D$29),Setup!$D$29,0),IF($T39="Nights",IF(ISNUMBER(Setup!$E$29),Setup!$E$29,0),IF(OR($T39="Exact amounts",$T39="Custom units"),0,1))))))</f>
        <v>0</v>
      </c>
      <c r="AD39" s="29">
        <f>IF($T39="",0,IF(OR(Setup!$B$30="",Setup!$C$30="No"),0,IF(ISNUMBER(Q39),Q39,IF($T39="Weights",IF(ISNUMBER(Setup!$D$30),Setup!$D$30,0),IF($T39="Nights",IF(ISNUMBER(Setup!$E$30),Setup!$E$30,0),IF(OR($T39="Exact amounts",$T39="Custom units"),0,1))))))</f>
        <v>0</v>
      </c>
      <c r="AE39" s="29">
        <f t="shared" si="1"/>
        <v>0</v>
      </c>
      <c r="AF39" s="30">
        <f t="shared" si="2"/>
        <v>1</v>
      </c>
      <c r="AG39" s="29">
        <f t="shared" si="3"/>
        <v>0</v>
      </c>
    </row>
    <row r="40" spans="1:33" ht="16" x14ac:dyDescent="0.2">
      <c r="A40" s="22" t="str">
        <f t="shared" si="0"/>
        <v>—</v>
      </c>
      <c r="B40" s="23"/>
      <c r="C40" s="16"/>
      <c r="D40" s="16"/>
      <c r="E40" s="24"/>
      <c r="F40" s="16"/>
      <c r="G40" s="16"/>
      <c r="H40" s="25"/>
      <c r="I40" s="25"/>
      <c r="J40" s="25"/>
      <c r="K40" s="25"/>
      <c r="L40" s="25"/>
      <c r="M40" s="25"/>
      <c r="N40" s="25"/>
      <c r="O40" s="25"/>
      <c r="P40" s="25"/>
      <c r="Q40" s="25"/>
      <c r="R40" s="26" t="str">
        <f>IF($T40="","",IF($D40="","Who paid?",IF(SUMPRODUCT((Setup!$B$21:$B$30=$D40)*1)=0,"Payer is not in the member list on Setup",IF($E40="","Amount missing — type the number in column E",IF(NOT(ISNUMBER($E40)),"Amount must be a plain number — no currency symbol, no text",IF(AND($T40="Custom units",$AE40&lt;=0),"Custom units: nobody has units on this row — type a number for at least one person",IF($AE40&lt;=0,"Nobody shares this row — check the person columns H–Q, and the Weight / Nights columns on Setup",IF(AND($T40="Exact amounts",ABS($AE40-$AG40)&gt;0.01),"Exact amounts do not add up to the amount","OK"))))))))</f>
        <v/>
      </c>
      <c r="S40" s="27" t="str">
        <f>IFERROR(IF(OR($T40="",$C$4=""),"—",ROUND($AG40*INDEX($U40:$AD40,1,MATCH($C$4,Setup!$B$21:$B$30,0))/$AF40,2)),"—")</f>
        <v>—</v>
      </c>
      <c r="T40" s="28" t="str">
        <f>IF(AND($C40="",$D40="",NOT(ISNUMBER($E40))),"",IF($G40="",IF(Setup!$C$17="","Equal",Setup!$C$17),$G40))</f>
        <v/>
      </c>
      <c r="U40" s="29">
        <f>IF($T40="",0,IF(OR(Setup!$B$21="",Setup!$C$21="No"),0,IF(ISNUMBER(H40),H40,IF($T40="Weights",IF(ISNUMBER(Setup!$D$21),Setup!$D$21,0),IF($T40="Nights",IF(ISNUMBER(Setup!$E$21),Setup!$E$21,0),IF(OR($T40="Exact amounts",$T40="Custom units"),0,1))))))</f>
        <v>0</v>
      </c>
      <c r="V40" s="29">
        <f>IF($T40="",0,IF(OR(Setup!$B$22="",Setup!$C$22="No"),0,IF(ISNUMBER(I40),I40,IF($T40="Weights",IF(ISNUMBER(Setup!$D$22),Setup!$D$22,0),IF($T40="Nights",IF(ISNUMBER(Setup!$E$22),Setup!$E$22,0),IF(OR($T40="Exact amounts",$T40="Custom units"),0,1))))))</f>
        <v>0</v>
      </c>
      <c r="W40" s="29">
        <f>IF($T40="",0,IF(OR(Setup!$B$23="",Setup!$C$23="No"),0,IF(ISNUMBER(J40),J40,IF($T40="Weights",IF(ISNUMBER(Setup!$D$23),Setup!$D$23,0),IF($T40="Nights",IF(ISNUMBER(Setup!$E$23),Setup!$E$23,0),IF(OR($T40="Exact amounts",$T40="Custom units"),0,1))))))</f>
        <v>0</v>
      </c>
      <c r="X40" s="29">
        <f>IF($T40="",0,IF(OR(Setup!$B$24="",Setup!$C$24="No"),0,IF(ISNUMBER(K40),K40,IF($T40="Weights",IF(ISNUMBER(Setup!$D$24),Setup!$D$24,0),IF($T40="Nights",IF(ISNUMBER(Setup!$E$24),Setup!$E$24,0),IF(OR($T40="Exact amounts",$T40="Custom units"),0,1))))))</f>
        <v>0</v>
      </c>
      <c r="Y40" s="29">
        <f>IF($T40="",0,IF(OR(Setup!$B$25="",Setup!$C$25="No"),0,IF(ISNUMBER(L40),L40,IF($T40="Weights",IF(ISNUMBER(Setup!$D$25),Setup!$D$25,0),IF($T40="Nights",IF(ISNUMBER(Setup!$E$25),Setup!$E$25,0),IF(OR($T40="Exact amounts",$T40="Custom units"),0,1))))))</f>
        <v>0</v>
      </c>
      <c r="Z40" s="29">
        <f>IF($T40="",0,IF(OR(Setup!$B$26="",Setup!$C$26="No"),0,IF(ISNUMBER(M40),M40,IF($T40="Weights",IF(ISNUMBER(Setup!$D$26),Setup!$D$26,0),IF($T40="Nights",IF(ISNUMBER(Setup!$E$26),Setup!$E$26,0),IF(OR($T40="Exact amounts",$T40="Custom units"),0,1))))))</f>
        <v>0</v>
      </c>
      <c r="AA40" s="29">
        <f>IF($T40="",0,IF(OR(Setup!$B$27="",Setup!$C$27="No"),0,IF(ISNUMBER(N40),N40,IF($T40="Weights",IF(ISNUMBER(Setup!$D$27),Setup!$D$27,0),IF($T40="Nights",IF(ISNUMBER(Setup!$E$27),Setup!$E$27,0),IF(OR($T40="Exact amounts",$T40="Custom units"),0,1))))))</f>
        <v>0</v>
      </c>
      <c r="AB40" s="29">
        <f>IF($T40="",0,IF(OR(Setup!$B$28="",Setup!$C$28="No"),0,IF(ISNUMBER(O40),O40,IF($T40="Weights",IF(ISNUMBER(Setup!$D$28),Setup!$D$28,0),IF($T40="Nights",IF(ISNUMBER(Setup!$E$28),Setup!$E$28,0),IF(OR($T40="Exact amounts",$T40="Custom units"),0,1))))))</f>
        <v>0</v>
      </c>
      <c r="AC40" s="29">
        <f>IF($T40="",0,IF(OR(Setup!$B$29="",Setup!$C$29="No"),0,IF(ISNUMBER(P40),P40,IF($T40="Weights",IF(ISNUMBER(Setup!$D$29),Setup!$D$29,0),IF($T40="Nights",IF(ISNUMBER(Setup!$E$29),Setup!$E$29,0),IF(OR($T40="Exact amounts",$T40="Custom units"),0,1))))))</f>
        <v>0</v>
      </c>
      <c r="AD40" s="29">
        <f>IF($T40="",0,IF(OR(Setup!$B$30="",Setup!$C$30="No"),0,IF(ISNUMBER(Q40),Q40,IF($T40="Weights",IF(ISNUMBER(Setup!$D$30),Setup!$D$30,0),IF($T40="Nights",IF(ISNUMBER(Setup!$E$30),Setup!$E$30,0),IF(OR($T40="Exact amounts",$T40="Custom units"),0,1))))))</f>
        <v>0</v>
      </c>
      <c r="AE40" s="29">
        <f t="shared" si="1"/>
        <v>0</v>
      </c>
      <c r="AF40" s="30">
        <f t="shared" si="2"/>
        <v>1</v>
      </c>
      <c r="AG40" s="29">
        <f t="shared" si="3"/>
        <v>0</v>
      </c>
    </row>
    <row r="41" spans="1:33" ht="16" x14ac:dyDescent="0.2">
      <c r="A41" s="22" t="str">
        <f t="shared" si="0"/>
        <v>—</v>
      </c>
      <c r="B41" s="31"/>
      <c r="C41" s="11"/>
      <c r="D41" s="11"/>
      <c r="E41" s="32"/>
      <c r="F41" s="11"/>
      <c r="G41" s="11"/>
      <c r="H41" s="33"/>
      <c r="I41" s="33"/>
      <c r="J41" s="33"/>
      <c r="K41" s="33"/>
      <c r="L41" s="33"/>
      <c r="M41" s="33"/>
      <c r="N41" s="33"/>
      <c r="O41" s="33"/>
      <c r="P41" s="33"/>
      <c r="Q41" s="33"/>
      <c r="R41" s="26" t="str">
        <f>IF($T41="","",IF($D41="","Who paid?",IF(SUMPRODUCT((Setup!$B$21:$B$30=$D41)*1)=0,"Payer is not in the member list on Setup",IF($E41="","Amount missing — type the number in column E",IF(NOT(ISNUMBER($E41)),"Amount must be a plain number — no currency symbol, no text",IF(AND($T41="Custom units",$AE41&lt;=0),"Custom units: nobody has units on this row — type a number for at least one person",IF($AE41&lt;=0,"Nobody shares this row — check the person columns H–Q, and the Weight / Nights columns on Setup",IF(AND($T41="Exact amounts",ABS($AE41-$AG41)&gt;0.01),"Exact amounts do not add up to the amount","OK"))))))))</f>
        <v/>
      </c>
      <c r="S41" s="27" t="str">
        <f>IFERROR(IF(OR($T41="",$C$4=""),"—",ROUND($AG41*INDEX($U41:$AD41,1,MATCH($C$4,Setup!$B$21:$B$30,0))/$AF41,2)),"—")</f>
        <v>—</v>
      </c>
      <c r="T41" s="28" t="str">
        <f>IF(AND($C41="",$D41="",NOT(ISNUMBER($E41))),"",IF($G41="",IF(Setup!$C$17="","Equal",Setup!$C$17),$G41))</f>
        <v/>
      </c>
      <c r="U41" s="29">
        <f>IF($T41="",0,IF(OR(Setup!$B$21="",Setup!$C$21="No"),0,IF(ISNUMBER(H41),H41,IF($T41="Weights",IF(ISNUMBER(Setup!$D$21),Setup!$D$21,0),IF($T41="Nights",IF(ISNUMBER(Setup!$E$21),Setup!$E$21,0),IF(OR($T41="Exact amounts",$T41="Custom units"),0,1))))))</f>
        <v>0</v>
      </c>
      <c r="V41" s="29">
        <f>IF($T41="",0,IF(OR(Setup!$B$22="",Setup!$C$22="No"),0,IF(ISNUMBER(I41),I41,IF($T41="Weights",IF(ISNUMBER(Setup!$D$22),Setup!$D$22,0),IF($T41="Nights",IF(ISNUMBER(Setup!$E$22),Setup!$E$22,0),IF(OR($T41="Exact amounts",$T41="Custom units"),0,1))))))</f>
        <v>0</v>
      </c>
      <c r="W41" s="29">
        <f>IF($T41="",0,IF(OR(Setup!$B$23="",Setup!$C$23="No"),0,IF(ISNUMBER(J41),J41,IF($T41="Weights",IF(ISNUMBER(Setup!$D$23),Setup!$D$23,0),IF($T41="Nights",IF(ISNUMBER(Setup!$E$23),Setup!$E$23,0),IF(OR($T41="Exact amounts",$T41="Custom units"),0,1))))))</f>
        <v>0</v>
      </c>
      <c r="X41" s="29">
        <f>IF($T41="",0,IF(OR(Setup!$B$24="",Setup!$C$24="No"),0,IF(ISNUMBER(K41),K41,IF($T41="Weights",IF(ISNUMBER(Setup!$D$24),Setup!$D$24,0),IF($T41="Nights",IF(ISNUMBER(Setup!$E$24),Setup!$E$24,0),IF(OR($T41="Exact amounts",$T41="Custom units"),0,1))))))</f>
        <v>0</v>
      </c>
      <c r="Y41" s="29">
        <f>IF($T41="",0,IF(OR(Setup!$B$25="",Setup!$C$25="No"),0,IF(ISNUMBER(L41),L41,IF($T41="Weights",IF(ISNUMBER(Setup!$D$25),Setup!$D$25,0),IF($T41="Nights",IF(ISNUMBER(Setup!$E$25),Setup!$E$25,0),IF(OR($T41="Exact amounts",$T41="Custom units"),0,1))))))</f>
        <v>0</v>
      </c>
      <c r="Z41" s="29">
        <f>IF($T41="",0,IF(OR(Setup!$B$26="",Setup!$C$26="No"),0,IF(ISNUMBER(M41),M41,IF($T41="Weights",IF(ISNUMBER(Setup!$D$26),Setup!$D$26,0),IF($T41="Nights",IF(ISNUMBER(Setup!$E$26),Setup!$E$26,0),IF(OR($T41="Exact amounts",$T41="Custom units"),0,1))))))</f>
        <v>0</v>
      </c>
      <c r="AA41" s="29">
        <f>IF($T41="",0,IF(OR(Setup!$B$27="",Setup!$C$27="No"),0,IF(ISNUMBER(N41),N41,IF($T41="Weights",IF(ISNUMBER(Setup!$D$27),Setup!$D$27,0),IF($T41="Nights",IF(ISNUMBER(Setup!$E$27),Setup!$E$27,0),IF(OR($T41="Exact amounts",$T41="Custom units"),0,1))))))</f>
        <v>0</v>
      </c>
      <c r="AB41" s="29">
        <f>IF($T41="",0,IF(OR(Setup!$B$28="",Setup!$C$28="No"),0,IF(ISNUMBER(O41),O41,IF($T41="Weights",IF(ISNUMBER(Setup!$D$28),Setup!$D$28,0),IF($T41="Nights",IF(ISNUMBER(Setup!$E$28),Setup!$E$28,0),IF(OR($T41="Exact amounts",$T41="Custom units"),0,1))))))</f>
        <v>0</v>
      </c>
      <c r="AC41" s="29">
        <f>IF($T41="",0,IF(OR(Setup!$B$29="",Setup!$C$29="No"),0,IF(ISNUMBER(P41),P41,IF($T41="Weights",IF(ISNUMBER(Setup!$D$29),Setup!$D$29,0),IF($T41="Nights",IF(ISNUMBER(Setup!$E$29),Setup!$E$29,0),IF(OR($T41="Exact amounts",$T41="Custom units"),0,1))))))</f>
        <v>0</v>
      </c>
      <c r="AD41" s="29">
        <f>IF($T41="",0,IF(OR(Setup!$B$30="",Setup!$C$30="No"),0,IF(ISNUMBER(Q41),Q41,IF($T41="Weights",IF(ISNUMBER(Setup!$D$30),Setup!$D$30,0),IF($T41="Nights",IF(ISNUMBER(Setup!$E$30),Setup!$E$30,0),IF(OR($T41="Exact amounts",$T41="Custom units"),0,1))))))</f>
        <v>0</v>
      </c>
      <c r="AE41" s="29">
        <f t="shared" si="1"/>
        <v>0</v>
      </c>
      <c r="AF41" s="30">
        <f t="shared" si="2"/>
        <v>1</v>
      </c>
      <c r="AG41" s="29">
        <f t="shared" si="3"/>
        <v>0</v>
      </c>
    </row>
    <row r="42" spans="1:33" ht="16" x14ac:dyDescent="0.2">
      <c r="A42" s="22" t="str">
        <f t="shared" si="0"/>
        <v>—</v>
      </c>
      <c r="B42" s="23"/>
      <c r="C42" s="16"/>
      <c r="D42" s="16"/>
      <c r="E42" s="24"/>
      <c r="F42" s="16"/>
      <c r="G42" s="16"/>
      <c r="H42" s="25"/>
      <c r="I42" s="25"/>
      <c r="J42" s="25"/>
      <c r="K42" s="25"/>
      <c r="L42" s="25"/>
      <c r="M42" s="25"/>
      <c r="N42" s="25"/>
      <c r="O42" s="25"/>
      <c r="P42" s="25"/>
      <c r="Q42" s="25"/>
      <c r="R42" s="26" t="str">
        <f>IF($T42="","",IF($D42="","Who paid?",IF(SUMPRODUCT((Setup!$B$21:$B$30=$D42)*1)=0,"Payer is not in the member list on Setup",IF($E42="","Amount missing — type the number in column E",IF(NOT(ISNUMBER($E42)),"Amount must be a plain number — no currency symbol, no text",IF(AND($T42="Custom units",$AE42&lt;=0),"Custom units: nobody has units on this row — type a number for at least one person",IF($AE42&lt;=0,"Nobody shares this row — check the person columns H–Q, and the Weight / Nights columns on Setup",IF(AND($T42="Exact amounts",ABS($AE42-$AG42)&gt;0.01),"Exact amounts do not add up to the amount","OK"))))))))</f>
        <v/>
      </c>
      <c r="S42" s="27" t="str">
        <f>IFERROR(IF(OR($T42="",$C$4=""),"—",ROUND($AG42*INDEX($U42:$AD42,1,MATCH($C$4,Setup!$B$21:$B$30,0))/$AF42,2)),"—")</f>
        <v>—</v>
      </c>
      <c r="T42" s="28" t="str">
        <f>IF(AND($C42="",$D42="",NOT(ISNUMBER($E42))),"",IF($G42="",IF(Setup!$C$17="","Equal",Setup!$C$17),$G42))</f>
        <v/>
      </c>
      <c r="U42" s="29">
        <f>IF($T42="",0,IF(OR(Setup!$B$21="",Setup!$C$21="No"),0,IF(ISNUMBER(H42),H42,IF($T42="Weights",IF(ISNUMBER(Setup!$D$21),Setup!$D$21,0),IF($T42="Nights",IF(ISNUMBER(Setup!$E$21),Setup!$E$21,0),IF(OR($T42="Exact amounts",$T42="Custom units"),0,1))))))</f>
        <v>0</v>
      </c>
      <c r="V42" s="29">
        <f>IF($T42="",0,IF(OR(Setup!$B$22="",Setup!$C$22="No"),0,IF(ISNUMBER(I42),I42,IF($T42="Weights",IF(ISNUMBER(Setup!$D$22),Setup!$D$22,0),IF($T42="Nights",IF(ISNUMBER(Setup!$E$22),Setup!$E$22,0),IF(OR($T42="Exact amounts",$T42="Custom units"),0,1))))))</f>
        <v>0</v>
      </c>
      <c r="W42" s="29">
        <f>IF($T42="",0,IF(OR(Setup!$B$23="",Setup!$C$23="No"),0,IF(ISNUMBER(J42),J42,IF($T42="Weights",IF(ISNUMBER(Setup!$D$23),Setup!$D$23,0),IF($T42="Nights",IF(ISNUMBER(Setup!$E$23),Setup!$E$23,0),IF(OR($T42="Exact amounts",$T42="Custom units"),0,1))))))</f>
        <v>0</v>
      </c>
      <c r="X42" s="29">
        <f>IF($T42="",0,IF(OR(Setup!$B$24="",Setup!$C$24="No"),0,IF(ISNUMBER(K42),K42,IF($T42="Weights",IF(ISNUMBER(Setup!$D$24),Setup!$D$24,0),IF($T42="Nights",IF(ISNUMBER(Setup!$E$24),Setup!$E$24,0),IF(OR($T42="Exact amounts",$T42="Custom units"),0,1))))))</f>
        <v>0</v>
      </c>
      <c r="Y42" s="29">
        <f>IF($T42="",0,IF(OR(Setup!$B$25="",Setup!$C$25="No"),0,IF(ISNUMBER(L42),L42,IF($T42="Weights",IF(ISNUMBER(Setup!$D$25),Setup!$D$25,0),IF($T42="Nights",IF(ISNUMBER(Setup!$E$25),Setup!$E$25,0),IF(OR($T42="Exact amounts",$T42="Custom units"),0,1))))))</f>
        <v>0</v>
      </c>
      <c r="Z42" s="29">
        <f>IF($T42="",0,IF(OR(Setup!$B$26="",Setup!$C$26="No"),0,IF(ISNUMBER(M42),M42,IF($T42="Weights",IF(ISNUMBER(Setup!$D$26),Setup!$D$26,0),IF($T42="Nights",IF(ISNUMBER(Setup!$E$26),Setup!$E$26,0),IF(OR($T42="Exact amounts",$T42="Custom units"),0,1))))))</f>
        <v>0</v>
      </c>
      <c r="AA42" s="29">
        <f>IF($T42="",0,IF(OR(Setup!$B$27="",Setup!$C$27="No"),0,IF(ISNUMBER(N42),N42,IF($T42="Weights",IF(ISNUMBER(Setup!$D$27),Setup!$D$27,0),IF($T42="Nights",IF(ISNUMBER(Setup!$E$27),Setup!$E$27,0),IF(OR($T42="Exact amounts",$T42="Custom units"),0,1))))))</f>
        <v>0</v>
      </c>
      <c r="AB42" s="29">
        <f>IF($T42="",0,IF(OR(Setup!$B$28="",Setup!$C$28="No"),0,IF(ISNUMBER(O42),O42,IF($T42="Weights",IF(ISNUMBER(Setup!$D$28),Setup!$D$28,0),IF($T42="Nights",IF(ISNUMBER(Setup!$E$28),Setup!$E$28,0),IF(OR($T42="Exact amounts",$T42="Custom units"),0,1))))))</f>
        <v>0</v>
      </c>
      <c r="AC42" s="29">
        <f>IF($T42="",0,IF(OR(Setup!$B$29="",Setup!$C$29="No"),0,IF(ISNUMBER(P42),P42,IF($T42="Weights",IF(ISNUMBER(Setup!$D$29),Setup!$D$29,0),IF($T42="Nights",IF(ISNUMBER(Setup!$E$29),Setup!$E$29,0),IF(OR($T42="Exact amounts",$T42="Custom units"),0,1))))))</f>
        <v>0</v>
      </c>
      <c r="AD42" s="29">
        <f>IF($T42="",0,IF(OR(Setup!$B$30="",Setup!$C$30="No"),0,IF(ISNUMBER(Q42),Q42,IF($T42="Weights",IF(ISNUMBER(Setup!$D$30),Setup!$D$30,0),IF($T42="Nights",IF(ISNUMBER(Setup!$E$30),Setup!$E$30,0),IF(OR($T42="Exact amounts",$T42="Custom units"),0,1))))))</f>
        <v>0</v>
      </c>
      <c r="AE42" s="29">
        <f t="shared" si="1"/>
        <v>0</v>
      </c>
      <c r="AF42" s="30">
        <f t="shared" si="2"/>
        <v>1</v>
      </c>
      <c r="AG42" s="29">
        <f t="shared" si="3"/>
        <v>0</v>
      </c>
    </row>
    <row r="43" spans="1:33" ht="16" x14ac:dyDescent="0.2">
      <c r="A43" s="22" t="str">
        <f t="shared" si="0"/>
        <v>—</v>
      </c>
      <c r="B43" s="31"/>
      <c r="C43" s="11"/>
      <c r="D43" s="11"/>
      <c r="E43" s="32"/>
      <c r="F43" s="11"/>
      <c r="G43" s="11"/>
      <c r="H43" s="33"/>
      <c r="I43" s="33"/>
      <c r="J43" s="33"/>
      <c r="K43" s="33"/>
      <c r="L43" s="33"/>
      <c r="M43" s="33"/>
      <c r="N43" s="33"/>
      <c r="O43" s="33"/>
      <c r="P43" s="33"/>
      <c r="Q43" s="33"/>
      <c r="R43" s="26" t="str">
        <f>IF($T43="","",IF($D43="","Who paid?",IF(SUMPRODUCT((Setup!$B$21:$B$30=$D43)*1)=0,"Payer is not in the member list on Setup",IF($E43="","Amount missing — type the number in column E",IF(NOT(ISNUMBER($E43)),"Amount must be a plain number — no currency symbol, no text",IF(AND($T43="Custom units",$AE43&lt;=0),"Custom units: nobody has units on this row — type a number for at least one person",IF($AE43&lt;=0,"Nobody shares this row — check the person columns H–Q, and the Weight / Nights columns on Setup",IF(AND($T43="Exact amounts",ABS($AE43-$AG43)&gt;0.01),"Exact amounts do not add up to the amount","OK"))))))))</f>
        <v/>
      </c>
      <c r="S43" s="27" t="str">
        <f>IFERROR(IF(OR($T43="",$C$4=""),"—",ROUND($AG43*INDEX($U43:$AD43,1,MATCH($C$4,Setup!$B$21:$B$30,0))/$AF43,2)),"—")</f>
        <v>—</v>
      </c>
      <c r="T43" s="28" t="str">
        <f>IF(AND($C43="",$D43="",NOT(ISNUMBER($E43))),"",IF($G43="",IF(Setup!$C$17="","Equal",Setup!$C$17),$G43))</f>
        <v/>
      </c>
      <c r="U43" s="29">
        <f>IF($T43="",0,IF(OR(Setup!$B$21="",Setup!$C$21="No"),0,IF(ISNUMBER(H43),H43,IF($T43="Weights",IF(ISNUMBER(Setup!$D$21),Setup!$D$21,0),IF($T43="Nights",IF(ISNUMBER(Setup!$E$21),Setup!$E$21,0),IF(OR($T43="Exact amounts",$T43="Custom units"),0,1))))))</f>
        <v>0</v>
      </c>
      <c r="V43" s="29">
        <f>IF($T43="",0,IF(OR(Setup!$B$22="",Setup!$C$22="No"),0,IF(ISNUMBER(I43),I43,IF($T43="Weights",IF(ISNUMBER(Setup!$D$22),Setup!$D$22,0),IF($T43="Nights",IF(ISNUMBER(Setup!$E$22),Setup!$E$22,0),IF(OR($T43="Exact amounts",$T43="Custom units"),0,1))))))</f>
        <v>0</v>
      </c>
      <c r="W43" s="29">
        <f>IF($T43="",0,IF(OR(Setup!$B$23="",Setup!$C$23="No"),0,IF(ISNUMBER(J43),J43,IF($T43="Weights",IF(ISNUMBER(Setup!$D$23),Setup!$D$23,0),IF($T43="Nights",IF(ISNUMBER(Setup!$E$23),Setup!$E$23,0),IF(OR($T43="Exact amounts",$T43="Custom units"),0,1))))))</f>
        <v>0</v>
      </c>
      <c r="X43" s="29">
        <f>IF($T43="",0,IF(OR(Setup!$B$24="",Setup!$C$24="No"),0,IF(ISNUMBER(K43),K43,IF($T43="Weights",IF(ISNUMBER(Setup!$D$24),Setup!$D$24,0),IF($T43="Nights",IF(ISNUMBER(Setup!$E$24),Setup!$E$24,0),IF(OR($T43="Exact amounts",$T43="Custom units"),0,1))))))</f>
        <v>0</v>
      </c>
      <c r="Y43" s="29">
        <f>IF($T43="",0,IF(OR(Setup!$B$25="",Setup!$C$25="No"),0,IF(ISNUMBER(L43),L43,IF($T43="Weights",IF(ISNUMBER(Setup!$D$25),Setup!$D$25,0),IF($T43="Nights",IF(ISNUMBER(Setup!$E$25),Setup!$E$25,0),IF(OR($T43="Exact amounts",$T43="Custom units"),0,1))))))</f>
        <v>0</v>
      </c>
      <c r="Z43" s="29">
        <f>IF($T43="",0,IF(OR(Setup!$B$26="",Setup!$C$26="No"),0,IF(ISNUMBER(M43),M43,IF($T43="Weights",IF(ISNUMBER(Setup!$D$26),Setup!$D$26,0),IF($T43="Nights",IF(ISNUMBER(Setup!$E$26),Setup!$E$26,0),IF(OR($T43="Exact amounts",$T43="Custom units"),0,1))))))</f>
        <v>0</v>
      </c>
      <c r="AA43" s="29">
        <f>IF($T43="",0,IF(OR(Setup!$B$27="",Setup!$C$27="No"),0,IF(ISNUMBER(N43),N43,IF($T43="Weights",IF(ISNUMBER(Setup!$D$27),Setup!$D$27,0),IF($T43="Nights",IF(ISNUMBER(Setup!$E$27),Setup!$E$27,0),IF(OR($T43="Exact amounts",$T43="Custom units"),0,1))))))</f>
        <v>0</v>
      </c>
      <c r="AB43" s="29">
        <f>IF($T43="",0,IF(OR(Setup!$B$28="",Setup!$C$28="No"),0,IF(ISNUMBER(O43),O43,IF($T43="Weights",IF(ISNUMBER(Setup!$D$28),Setup!$D$28,0),IF($T43="Nights",IF(ISNUMBER(Setup!$E$28),Setup!$E$28,0),IF(OR($T43="Exact amounts",$T43="Custom units"),0,1))))))</f>
        <v>0</v>
      </c>
      <c r="AC43" s="29">
        <f>IF($T43="",0,IF(OR(Setup!$B$29="",Setup!$C$29="No"),0,IF(ISNUMBER(P43),P43,IF($T43="Weights",IF(ISNUMBER(Setup!$D$29),Setup!$D$29,0),IF($T43="Nights",IF(ISNUMBER(Setup!$E$29),Setup!$E$29,0),IF(OR($T43="Exact amounts",$T43="Custom units"),0,1))))))</f>
        <v>0</v>
      </c>
      <c r="AD43" s="29">
        <f>IF($T43="",0,IF(OR(Setup!$B$30="",Setup!$C$30="No"),0,IF(ISNUMBER(Q43),Q43,IF($T43="Weights",IF(ISNUMBER(Setup!$D$30),Setup!$D$30,0),IF($T43="Nights",IF(ISNUMBER(Setup!$E$30),Setup!$E$30,0),IF(OR($T43="Exact amounts",$T43="Custom units"),0,1))))))</f>
        <v>0</v>
      </c>
      <c r="AE43" s="29">
        <f t="shared" si="1"/>
        <v>0</v>
      </c>
      <c r="AF43" s="30">
        <f t="shared" si="2"/>
        <v>1</v>
      </c>
      <c r="AG43" s="29">
        <f t="shared" si="3"/>
        <v>0</v>
      </c>
    </row>
    <row r="44" spans="1:33" ht="16" x14ac:dyDescent="0.2">
      <c r="A44" s="22" t="str">
        <f t="shared" si="0"/>
        <v>—</v>
      </c>
      <c r="B44" s="23"/>
      <c r="C44" s="16"/>
      <c r="D44" s="16"/>
      <c r="E44" s="24"/>
      <c r="F44" s="16"/>
      <c r="G44" s="16"/>
      <c r="H44" s="25"/>
      <c r="I44" s="25"/>
      <c r="J44" s="25"/>
      <c r="K44" s="25"/>
      <c r="L44" s="25"/>
      <c r="M44" s="25"/>
      <c r="N44" s="25"/>
      <c r="O44" s="25"/>
      <c r="P44" s="25"/>
      <c r="Q44" s="25"/>
      <c r="R44" s="26" t="str">
        <f>IF($T44="","",IF($D44="","Who paid?",IF(SUMPRODUCT((Setup!$B$21:$B$30=$D44)*1)=0,"Payer is not in the member list on Setup",IF($E44="","Amount missing — type the number in column E",IF(NOT(ISNUMBER($E44)),"Amount must be a plain number — no currency symbol, no text",IF(AND($T44="Custom units",$AE44&lt;=0),"Custom units: nobody has units on this row — type a number for at least one person",IF($AE44&lt;=0,"Nobody shares this row — check the person columns H–Q, and the Weight / Nights columns on Setup",IF(AND($T44="Exact amounts",ABS($AE44-$AG44)&gt;0.01),"Exact amounts do not add up to the amount","OK"))))))))</f>
        <v/>
      </c>
      <c r="S44" s="27" t="str">
        <f>IFERROR(IF(OR($T44="",$C$4=""),"—",ROUND($AG44*INDEX($U44:$AD44,1,MATCH($C$4,Setup!$B$21:$B$30,0))/$AF44,2)),"—")</f>
        <v>—</v>
      </c>
      <c r="T44" s="28" t="str">
        <f>IF(AND($C44="",$D44="",NOT(ISNUMBER($E44))),"",IF($G44="",IF(Setup!$C$17="","Equal",Setup!$C$17),$G44))</f>
        <v/>
      </c>
      <c r="U44" s="29">
        <f>IF($T44="",0,IF(OR(Setup!$B$21="",Setup!$C$21="No"),0,IF(ISNUMBER(H44),H44,IF($T44="Weights",IF(ISNUMBER(Setup!$D$21),Setup!$D$21,0),IF($T44="Nights",IF(ISNUMBER(Setup!$E$21),Setup!$E$21,0),IF(OR($T44="Exact amounts",$T44="Custom units"),0,1))))))</f>
        <v>0</v>
      </c>
      <c r="V44" s="29">
        <f>IF($T44="",0,IF(OR(Setup!$B$22="",Setup!$C$22="No"),0,IF(ISNUMBER(I44),I44,IF($T44="Weights",IF(ISNUMBER(Setup!$D$22),Setup!$D$22,0),IF($T44="Nights",IF(ISNUMBER(Setup!$E$22),Setup!$E$22,0),IF(OR($T44="Exact amounts",$T44="Custom units"),0,1))))))</f>
        <v>0</v>
      </c>
      <c r="W44" s="29">
        <f>IF($T44="",0,IF(OR(Setup!$B$23="",Setup!$C$23="No"),0,IF(ISNUMBER(J44),J44,IF($T44="Weights",IF(ISNUMBER(Setup!$D$23),Setup!$D$23,0),IF($T44="Nights",IF(ISNUMBER(Setup!$E$23),Setup!$E$23,0),IF(OR($T44="Exact amounts",$T44="Custom units"),0,1))))))</f>
        <v>0</v>
      </c>
      <c r="X44" s="29">
        <f>IF($T44="",0,IF(OR(Setup!$B$24="",Setup!$C$24="No"),0,IF(ISNUMBER(K44),K44,IF($T44="Weights",IF(ISNUMBER(Setup!$D$24),Setup!$D$24,0),IF($T44="Nights",IF(ISNUMBER(Setup!$E$24),Setup!$E$24,0),IF(OR($T44="Exact amounts",$T44="Custom units"),0,1))))))</f>
        <v>0</v>
      </c>
      <c r="Y44" s="29">
        <f>IF($T44="",0,IF(OR(Setup!$B$25="",Setup!$C$25="No"),0,IF(ISNUMBER(L44),L44,IF($T44="Weights",IF(ISNUMBER(Setup!$D$25),Setup!$D$25,0),IF($T44="Nights",IF(ISNUMBER(Setup!$E$25),Setup!$E$25,0),IF(OR($T44="Exact amounts",$T44="Custom units"),0,1))))))</f>
        <v>0</v>
      </c>
      <c r="Z44" s="29">
        <f>IF($T44="",0,IF(OR(Setup!$B$26="",Setup!$C$26="No"),0,IF(ISNUMBER(M44),M44,IF($T44="Weights",IF(ISNUMBER(Setup!$D$26),Setup!$D$26,0),IF($T44="Nights",IF(ISNUMBER(Setup!$E$26),Setup!$E$26,0),IF(OR($T44="Exact amounts",$T44="Custom units"),0,1))))))</f>
        <v>0</v>
      </c>
      <c r="AA44" s="29">
        <f>IF($T44="",0,IF(OR(Setup!$B$27="",Setup!$C$27="No"),0,IF(ISNUMBER(N44),N44,IF($T44="Weights",IF(ISNUMBER(Setup!$D$27),Setup!$D$27,0),IF($T44="Nights",IF(ISNUMBER(Setup!$E$27),Setup!$E$27,0),IF(OR($T44="Exact amounts",$T44="Custom units"),0,1))))))</f>
        <v>0</v>
      </c>
      <c r="AB44" s="29">
        <f>IF($T44="",0,IF(OR(Setup!$B$28="",Setup!$C$28="No"),0,IF(ISNUMBER(O44),O44,IF($T44="Weights",IF(ISNUMBER(Setup!$D$28),Setup!$D$28,0),IF($T44="Nights",IF(ISNUMBER(Setup!$E$28),Setup!$E$28,0),IF(OR($T44="Exact amounts",$T44="Custom units"),0,1))))))</f>
        <v>0</v>
      </c>
      <c r="AC44" s="29">
        <f>IF($T44="",0,IF(OR(Setup!$B$29="",Setup!$C$29="No"),0,IF(ISNUMBER(P44),P44,IF($T44="Weights",IF(ISNUMBER(Setup!$D$29),Setup!$D$29,0),IF($T44="Nights",IF(ISNUMBER(Setup!$E$29),Setup!$E$29,0),IF(OR($T44="Exact amounts",$T44="Custom units"),0,1))))))</f>
        <v>0</v>
      </c>
      <c r="AD44" s="29">
        <f>IF($T44="",0,IF(OR(Setup!$B$30="",Setup!$C$30="No"),0,IF(ISNUMBER(Q44),Q44,IF($T44="Weights",IF(ISNUMBER(Setup!$D$30),Setup!$D$30,0),IF($T44="Nights",IF(ISNUMBER(Setup!$E$30),Setup!$E$30,0),IF(OR($T44="Exact amounts",$T44="Custom units"),0,1))))))</f>
        <v>0</v>
      </c>
      <c r="AE44" s="29">
        <f t="shared" si="1"/>
        <v>0</v>
      </c>
      <c r="AF44" s="30">
        <f t="shared" si="2"/>
        <v>1</v>
      </c>
      <c r="AG44" s="29">
        <f t="shared" si="3"/>
        <v>0</v>
      </c>
    </row>
    <row r="45" spans="1:33" ht="16" x14ac:dyDescent="0.2">
      <c r="A45" s="22" t="str">
        <f t="shared" si="0"/>
        <v>—</v>
      </c>
      <c r="B45" s="31"/>
      <c r="C45" s="11"/>
      <c r="D45" s="11"/>
      <c r="E45" s="32"/>
      <c r="F45" s="11"/>
      <c r="G45" s="11"/>
      <c r="H45" s="33"/>
      <c r="I45" s="33"/>
      <c r="J45" s="33"/>
      <c r="K45" s="33"/>
      <c r="L45" s="33"/>
      <c r="M45" s="33"/>
      <c r="N45" s="33"/>
      <c r="O45" s="33"/>
      <c r="P45" s="33"/>
      <c r="Q45" s="33"/>
      <c r="R45" s="26" t="str">
        <f>IF($T45="","",IF($D45="","Who paid?",IF(SUMPRODUCT((Setup!$B$21:$B$30=$D45)*1)=0,"Payer is not in the member list on Setup",IF($E45="","Amount missing — type the number in column E",IF(NOT(ISNUMBER($E45)),"Amount must be a plain number — no currency symbol, no text",IF(AND($T45="Custom units",$AE45&lt;=0),"Custom units: nobody has units on this row — type a number for at least one person",IF($AE45&lt;=0,"Nobody shares this row — check the person columns H–Q, and the Weight / Nights columns on Setup",IF(AND($T45="Exact amounts",ABS($AE45-$AG45)&gt;0.01),"Exact amounts do not add up to the amount","OK"))))))))</f>
        <v/>
      </c>
      <c r="S45" s="27" t="str">
        <f>IFERROR(IF(OR($T45="",$C$4=""),"—",ROUND($AG45*INDEX($U45:$AD45,1,MATCH($C$4,Setup!$B$21:$B$30,0))/$AF45,2)),"—")</f>
        <v>—</v>
      </c>
      <c r="T45" s="28" t="str">
        <f>IF(AND($C45="",$D45="",NOT(ISNUMBER($E45))),"",IF($G45="",IF(Setup!$C$17="","Equal",Setup!$C$17),$G45))</f>
        <v/>
      </c>
      <c r="U45" s="29">
        <f>IF($T45="",0,IF(OR(Setup!$B$21="",Setup!$C$21="No"),0,IF(ISNUMBER(H45),H45,IF($T45="Weights",IF(ISNUMBER(Setup!$D$21),Setup!$D$21,0),IF($T45="Nights",IF(ISNUMBER(Setup!$E$21),Setup!$E$21,0),IF(OR($T45="Exact amounts",$T45="Custom units"),0,1))))))</f>
        <v>0</v>
      </c>
      <c r="V45" s="29">
        <f>IF($T45="",0,IF(OR(Setup!$B$22="",Setup!$C$22="No"),0,IF(ISNUMBER(I45),I45,IF($T45="Weights",IF(ISNUMBER(Setup!$D$22),Setup!$D$22,0),IF($T45="Nights",IF(ISNUMBER(Setup!$E$22),Setup!$E$22,0),IF(OR($T45="Exact amounts",$T45="Custom units"),0,1))))))</f>
        <v>0</v>
      </c>
      <c r="W45" s="29">
        <f>IF($T45="",0,IF(OR(Setup!$B$23="",Setup!$C$23="No"),0,IF(ISNUMBER(J45),J45,IF($T45="Weights",IF(ISNUMBER(Setup!$D$23),Setup!$D$23,0),IF($T45="Nights",IF(ISNUMBER(Setup!$E$23),Setup!$E$23,0),IF(OR($T45="Exact amounts",$T45="Custom units"),0,1))))))</f>
        <v>0</v>
      </c>
      <c r="X45" s="29">
        <f>IF($T45="",0,IF(OR(Setup!$B$24="",Setup!$C$24="No"),0,IF(ISNUMBER(K45),K45,IF($T45="Weights",IF(ISNUMBER(Setup!$D$24),Setup!$D$24,0),IF($T45="Nights",IF(ISNUMBER(Setup!$E$24),Setup!$E$24,0),IF(OR($T45="Exact amounts",$T45="Custom units"),0,1))))))</f>
        <v>0</v>
      </c>
      <c r="Y45" s="29">
        <f>IF($T45="",0,IF(OR(Setup!$B$25="",Setup!$C$25="No"),0,IF(ISNUMBER(L45),L45,IF($T45="Weights",IF(ISNUMBER(Setup!$D$25),Setup!$D$25,0),IF($T45="Nights",IF(ISNUMBER(Setup!$E$25),Setup!$E$25,0),IF(OR($T45="Exact amounts",$T45="Custom units"),0,1))))))</f>
        <v>0</v>
      </c>
      <c r="Z45" s="29">
        <f>IF($T45="",0,IF(OR(Setup!$B$26="",Setup!$C$26="No"),0,IF(ISNUMBER(M45),M45,IF($T45="Weights",IF(ISNUMBER(Setup!$D$26),Setup!$D$26,0),IF($T45="Nights",IF(ISNUMBER(Setup!$E$26),Setup!$E$26,0),IF(OR($T45="Exact amounts",$T45="Custom units"),0,1))))))</f>
        <v>0</v>
      </c>
      <c r="AA45" s="29">
        <f>IF($T45="",0,IF(OR(Setup!$B$27="",Setup!$C$27="No"),0,IF(ISNUMBER(N45),N45,IF($T45="Weights",IF(ISNUMBER(Setup!$D$27),Setup!$D$27,0),IF($T45="Nights",IF(ISNUMBER(Setup!$E$27),Setup!$E$27,0),IF(OR($T45="Exact amounts",$T45="Custom units"),0,1))))))</f>
        <v>0</v>
      </c>
      <c r="AB45" s="29">
        <f>IF($T45="",0,IF(OR(Setup!$B$28="",Setup!$C$28="No"),0,IF(ISNUMBER(O45),O45,IF($T45="Weights",IF(ISNUMBER(Setup!$D$28),Setup!$D$28,0),IF($T45="Nights",IF(ISNUMBER(Setup!$E$28),Setup!$E$28,0),IF(OR($T45="Exact amounts",$T45="Custom units"),0,1))))))</f>
        <v>0</v>
      </c>
      <c r="AC45" s="29">
        <f>IF($T45="",0,IF(OR(Setup!$B$29="",Setup!$C$29="No"),0,IF(ISNUMBER(P45),P45,IF($T45="Weights",IF(ISNUMBER(Setup!$D$29),Setup!$D$29,0),IF($T45="Nights",IF(ISNUMBER(Setup!$E$29),Setup!$E$29,0),IF(OR($T45="Exact amounts",$T45="Custom units"),0,1))))))</f>
        <v>0</v>
      </c>
      <c r="AD45" s="29">
        <f>IF($T45="",0,IF(OR(Setup!$B$30="",Setup!$C$30="No"),0,IF(ISNUMBER(Q45),Q45,IF($T45="Weights",IF(ISNUMBER(Setup!$D$30),Setup!$D$30,0),IF($T45="Nights",IF(ISNUMBER(Setup!$E$30),Setup!$E$30,0),IF(OR($T45="Exact amounts",$T45="Custom units"),0,1))))))</f>
        <v>0</v>
      </c>
      <c r="AE45" s="29">
        <f t="shared" si="1"/>
        <v>0</v>
      </c>
      <c r="AF45" s="30">
        <f t="shared" si="2"/>
        <v>1</v>
      </c>
      <c r="AG45" s="29">
        <f t="shared" si="3"/>
        <v>0</v>
      </c>
    </row>
    <row r="46" spans="1:33" ht="16" x14ac:dyDescent="0.2">
      <c r="A46" s="22" t="str">
        <f t="shared" si="0"/>
        <v>—</v>
      </c>
      <c r="B46" s="23"/>
      <c r="C46" s="16"/>
      <c r="D46" s="16"/>
      <c r="E46" s="24"/>
      <c r="F46" s="16"/>
      <c r="G46" s="16"/>
      <c r="H46" s="25"/>
      <c r="I46" s="25"/>
      <c r="J46" s="25"/>
      <c r="K46" s="25"/>
      <c r="L46" s="25"/>
      <c r="M46" s="25"/>
      <c r="N46" s="25"/>
      <c r="O46" s="25"/>
      <c r="P46" s="25"/>
      <c r="Q46" s="25"/>
      <c r="R46" s="26" t="str">
        <f>IF($T46="","",IF($D46="","Who paid?",IF(SUMPRODUCT((Setup!$B$21:$B$30=$D46)*1)=0,"Payer is not in the member list on Setup",IF($E46="","Amount missing — type the number in column E",IF(NOT(ISNUMBER($E46)),"Amount must be a plain number — no currency symbol, no text",IF(AND($T46="Custom units",$AE46&lt;=0),"Custom units: nobody has units on this row — type a number for at least one person",IF($AE46&lt;=0,"Nobody shares this row — check the person columns H–Q, and the Weight / Nights columns on Setup",IF(AND($T46="Exact amounts",ABS($AE46-$AG46)&gt;0.01),"Exact amounts do not add up to the amount","OK"))))))))</f>
        <v/>
      </c>
      <c r="S46" s="27" t="str">
        <f>IFERROR(IF(OR($T46="",$C$4=""),"—",ROUND($AG46*INDEX($U46:$AD46,1,MATCH($C$4,Setup!$B$21:$B$30,0))/$AF46,2)),"—")</f>
        <v>—</v>
      </c>
      <c r="T46" s="28" t="str">
        <f>IF(AND($C46="",$D46="",NOT(ISNUMBER($E46))),"",IF($G46="",IF(Setup!$C$17="","Equal",Setup!$C$17),$G46))</f>
        <v/>
      </c>
      <c r="U46" s="29">
        <f>IF($T46="",0,IF(OR(Setup!$B$21="",Setup!$C$21="No"),0,IF(ISNUMBER(H46),H46,IF($T46="Weights",IF(ISNUMBER(Setup!$D$21),Setup!$D$21,0),IF($T46="Nights",IF(ISNUMBER(Setup!$E$21),Setup!$E$21,0),IF(OR($T46="Exact amounts",$T46="Custom units"),0,1))))))</f>
        <v>0</v>
      </c>
      <c r="V46" s="29">
        <f>IF($T46="",0,IF(OR(Setup!$B$22="",Setup!$C$22="No"),0,IF(ISNUMBER(I46),I46,IF($T46="Weights",IF(ISNUMBER(Setup!$D$22),Setup!$D$22,0),IF($T46="Nights",IF(ISNUMBER(Setup!$E$22),Setup!$E$22,0),IF(OR($T46="Exact amounts",$T46="Custom units"),0,1))))))</f>
        <v>0</v>
      </c>
      <c r="W46" s="29">
        <f>IF($T46="",0,IF(OR(Setup!$B$23="",Setup!$C$23="No"),0,IF(ISNUMBER(J46),J46,IF($T46="Weights",IF(ISNUMBER(Setup!$D$23),Setup!$D$23,0),IF($T46="Nights",IF(ISNUMBER(Setup!$E$23),Setup!$E$23,0),IF(OR($T46="Exact amounts",$T46="Custom units"),0,1))))))</f>
        <v>0</v>
      </c>
      <c r="X46" s="29">
        <f>IF($T46="",0,IF(OR(Setup!$B$24="",Setup!$C$24="No"),0,IF(ISNUMBER(K46),K46,IF($T46="Weights",IF(ISNUMBER(Setup!$D$24),Setup!$D$24,0),IF($T46="Nights",IF(ISNUMBER(Setup!$E$24),Setup!$E$24,0),IF(OR($T46="Exact amounts",$T46="Custom units"),0,1))))))</f>
        <v>0</v>
      </c>
      <c r="Y46" s="29">
        <f>IF($T46="",0,IF(OR(Setup!$B$25="",Setup!$C$25="No"),0,IF(ISNUMBER(L46),L46,IF($T46="Weights",IF(ISNUMBER(Setup!$D$25),Setup!$D$25,0),IF($T46="Nights",IF(ISNUMBER(Setup!$E$25),Setup!$E$25,0),IF(OR($T46="Exact amounts",$T46="Custom units"),0,1))))))</f>
        <v>0</v>
      </c>
      <c r="Z46" s="29">
        <f>IF($T46="",0,IF(OR(Setup!$B$26="",Setup!$C$26="No"),0,IF(ISNUMBER(M46),M46,IF($T46="Weights",IF(ISNUMBER(Setup!$D$26),Setup!$D$26,0),IF($T46="Nights",IF(ISNUMBER(Setup!$E$26),Setup!$E$26,0),IF(OR($T46="Exact amounts",$T46="Custom units"),0,1))))))</f>
        <v>0</v>
      </c>
      <c r="AA46" s="29">
        <f>IF($T46="",0,IF(OR(Setup!$B$27="",Setup!$C$27="No"),0,IF(ISNUMBER(N46),N46,IF($T46="Weights",IF(ISNUMBER(Setup!$D$27),Setup!$D$27,0),IF($T46="Nights",IF(ISNUMBER(Setup!$E$27),Setup!$E$27,0),IF(OR($T46="Exact amounts",$T46="Custom units"),0,1))))))</f>
        <v>0</v>
      </c>
      <c r="AB46" s="29">
        <f>IF($T46="",0,IF(OR(Setup!$B$28="",Setup!$C$28="No"),0,IF(ISNUMBER(O46),O46,IF($T46="Weights",IF(ISNUMBER(Setup!$D$28),Setup!$D$28,0),IF($T46="Nights",IF(ISNUMBER(Setup!$E$28),Setup!$E$28,0),IF(OR($T46="Exact amounts",$T46="Custom units"),0,1))))))</f>
        <v>0</v>
      </c>
      <c r="AC46" s="29">
        <f>IF($T46="",0,IF(OR(Setup!$B$29="",Setup!$C$29="No"),0,IF(ISNUMBER(P46),P46,IF($T46="Weights",IF(ISNUMBER(Setup!$D$29),Setup!$D$29,0),IF($T46="Nights",IF(ISNUMBER(Setup!$E$29),Setup!$E$29,0),IF(OR($T46="Exact amounts",$T46="Custom units"),0,1))))))</f>
        <v>0</v>
      </c>
      <c r="AD46" s="29">
        <f>IF($T46="",0,IF(OR(Setup!$B$30="",Setup!$C$30="No"),0,IF(ISNUMBER(Q46),Q46,IF($T46="Weights",IF(ISNUMBER(Setup!$D$30),Setup!$D$30,0),IF($T46="Nights",IF(ISNUMBER(Setup!$E$30),Setup!$E$30,0),IF(OR($T46="Exact amounts",$T46="Custom units"),0,1))))))</f>
        <v>0</v>
      </c>
      <c r="AE46" s="29">
        <f t="shared" si="1"/>
        <v>0</v>
      </c>
      <c r="AF46" s="30">
        <f t="shared" si="2"/>
        <v>1</v>
      </c>
      <c r="AG46" s="29">
        <f t="shared" si="3"/>
        <v>0</v>
      </c>
    </row>
    <row r="47" spans="1:33" ht="16" x14ac:dyDescent="0.2">
      <c r="A47" s="22" t="str">
        <f t="shared" si="0"/>
        <v>—</v>
      </c>
      <c r="B47" s="31"/>
      <c r="C47" s="11"/>
      <c r="D47" s="11"/>
      <c r="E47" s="32"/>
      <c r="F47" s="11"/>
      <c r="G47" s="11"/>
      <c r="H47" s="33"/>
      <c r="I47" s="33"/>
      <c r="J47" s="33"/>
      <c r="K47" s="33"/>
      <c r="L47" s="33"/>
      <c r="M47" s="33"/>
      <c r="N47" s="33"/>
      <c r="O47" s="33"/>
      <c r="P47" s="33"/>
      <c r="Q47" s="33"/>
      <c r="R47" s="26" t="str">
        <f>IF($T47="","",IF($D47="","Who paid?",IF(SUMPRODUCT((Setup!$B$21:$B$30=$D47)*1)=0,"Payer is not in the member list on Setup",IF($E47="","Amount missing — type the number in column E",IF(NOT(ISNUMBER($E47)),"Amount must be a plain number — no currency symbol, no text",IF(AND($T47="Custom units",$AE47&lt;=0),"Custom units: nobody has units on this row — type a number for at least one person",IF($AE47&lt;=0,"Nobody shares this row — check the person columns H–Q, and the Weight / Nights columns on Setup",IF(AND($T47="Exact amounts",ABS($AE47-$AG47)&gt;0.01),"Exact amounts do not add up to the amount","OK"))))))))</f>
        <v/>
      </c>
      <c r="S47" s="27" t="str">
        <f>IFERROR(IF(OR($T47="",$C$4=""),"—",ROUND($AG47*INDEX($U47:$AD47,1,MATCH($C$4,Setup!$B$21:$B$30,0))/$AF47,2)),"—")</f>
        <v>—</v>
      </c>
      <c r="T47" s="28" t="str">
        <f>IF(AND($C47="",$D47="",NOT(ISNUMBER($E47))),"",IF($G47="",IF(Setup!$C$17="","Equal",Setup!$C$17),$G47))</f>
        <v/>
      </c>
      <c r="U47" s="29">
        <f>IF($T47="",0,IF(OR(Setup!$B$21="",Setup!$C$21="No"),0,IF(ISNUMBER(H47),H47,IF($T47="Weights",IF(ISNUMBER(Setup!$D$21),Setup!$D$21,0),IF($T47="Nights",IF(ISNUMBER(Setup!$E$21),Setup!$E$21,0),IF(OR($T47="Exact amounts",$T47="Custom units"),0,1))))))</f>
        <v>0</v>
      </c>
      <c r="V47" s="29">
        <f>IF($T47="",0,IF(OR(Setup!$B$22="",Setup!$C$22="No"),0,IF(ISNUMBER(I47),I47,IF($T47="Weights",IF(ISNUMBER(Setup!$D$22),Setup!$D$22,0),IF($T47="Nights",IF(ISNUMBER(Setup!$E$22),Setup!$E$22,0),IF(OR($T47="Exact amounts",$T47="Custom units"),0,1))))))</f>
        <v>0</v>
      </c>
      <c r="W47" s="29">
        <f>IF($T47="",0,IF(OR(Setup!$B$23="",Setup!$C$23="No"),0,IF(ISNUMBER(J47),J47,IF($T47="Weights",IF(ISNUMBER(Setup!$D$23),Setup!$D$23,0),IF($T47="Nights",IF(ISNUMBER(Setup!$E$23),Setup!$E$23,0),IF(OR($T47="Exact amounts",$T47="Custom units"),0,1))))))</f>
        <v>0</v>
      </c>
      <c r="X47" s="29">
        <f>IF($T47="",0,IF(OR(Setup!$B$24="",Setup!$C$24="No"),0,IF(ISNUMBER(K47),K47,IF($T47="Weights",IF(ISNUMBER(Setup!$D$24),Setup!$D$24,0),IF($T47="Nights",IF(ISNUMBER(Setup!$E$24),Setup!$E$24,0),IF(OR($T47="Exact amounts",$T47="Custom units"),0,1))))))</f>
        <v>0</v>
      </c>
      <c r="Y47" s="29">
        <f>IF($T47="",0,IF(OR(Setup!$B$25="",Setup!$C$25="No"),0,IF(ISNUMBER(L47),L47,IF($T47="Weights",IF(ISNUMBER(Setup!$D$25),Setup!$D$25,0),IF($T47="Nights",IF(ISNUMBER(Setup!$E$25),Setup!$E$25,0),IF(OR($T47="Exact amounts",$T47="Custom units"),0,1))))))</f>
        <v>0</v>
      </c>
      <c r="Z47" s="29">
        <f>IF($T47="",0,IF(OR(Setup!$B$26="",Setup!$C$26="No"),0,IF(ISNUMBER(M47),M47,IF($T47="Weights",IF(ISNUMBER(Setup!$D$26),Setup!$D$26,0),IF($T47="Nights",IF(ISNUMBER(Setup!$E$26),Setup!$E$26,0),IF(OR($T47="Exact amounts",$T47="Custom units"),0,1))))))</f>
        <v>0</v>
      </c>
      <c r="AA47" s="29">
        <f>IF($T47="",0,IF(OR(Setup!$B$27="",Setup!$C$27="No"),0,IF(ISNUMBER(N47),N47,IF($T47="Weights",IF(ISNUMBER(Setup!$D$27),Setup!$D$27,0),IF($T47="Nights",IF(ISNUMBER(Setup!$E$27),Setup!$E$27,0),IF(OR($T47="Exact amounts",$T47="Custom units"),0,1))))))</f>
        <v>0</v>
      </c>
      <c r="AB47" s="29">
        <f>IF($T47="",0,IF(OR(Setup!$B$28="",Setup!$C$28="No"),0,IF(ISNUMBER(O47),O47,IF($T47="Weights",IF(ISNUMBER(Setup!$D$28),Setup!$D$28,0),IF($T47="Nights",IF(ISNUMBER(Setup!$E$28),Setup!$E$28,0),IF(OR($T47="Exact amounts",$T47="Custom units"),0,1))))))</f>
        <v>0</v>
      </c>
      <c r="AC47" s="29">
        <f>IF($T47="",0,IF(OR(Setup!$B$29="",Setup!$C$29="No"),0,IF(ISNUMBER(P47),P47,IF($T47="Weights",IF(ISNUMBER(Setup!$D$29),Setup!$D$29,0),IF($T47="Nights",IF(ISNUMBER(Setup!$E$29),Setup!$E$29,0),IF(OR($T47="Exact amounts",$T47="Custom units"),0,1))))))</f>
        <v>0</v>
      </c>
      <c r="AD47" s="29">
        <f>IF($T47="",0,IF(OR(Setup!$B$30="",Setup!$C$30="No"),0,IF(ISNUMBER(Q47),Q47,IF($T47="Weights",IF(ISNUMBER(Setup!$D$30),Setup!$D$30,0),IF($T47="Nights",IF(ISNUMBER(Setup!$E$30),Setup!$E$30,0),IF(OR($T47="Exact amounts",$T47="Custom units"),0,1))))))</f>
        <v>0</v>
      </c>
      <c r="AE47" s="29">
        <f t="shared" si="1"/>
        <v>0</v>
      </c>
      <c r="AF47" s="30">
        <f t="shared" si="2"/>
        <v>1</v>
      </c>
      <c r="AG47" s="29">
        <f t="shared" si="3"/>
        <v>0</v>
      </c>
    </row>
    <row r="48" spans="1:33" ht="16" x14ac:dyDescent="0.2">
      <c r="A48" s="22" t="str">
        <f t="shared" si="0"/>
        <v>—</v>
      </c>
      <c r="B48" s="23"/>
      <c r="C48" s="16"/>
      <c r="D48" s="16"/>
      <c r="E48" s="24"/>
      <c r="F48" s="16"/>
      <c r="G48" s="16"/>
      <c r="H48" s="25"/>
      <c r="I48" s="25"/>
      <c r="J48" s="25"/>
      <c r="K48" s="25"/>
      <c r="L48" s="25"/>
      <c r="M48" s="25"/>
      <c r="N48" s="25"/>
      <c r="O48" s="25"/>
      <c r="P48" s="25"/>
      <c r="Q48" s="25"/>
      <c r="R48" s="26" t="str">
        <f>IF($T48="","",IF($D48="","Who paid?",IF(SUMPRODUCT((Setup!$B$21:$B$30=$D48)*1)=0,"Payer is not in the member list on Setup",IF($E48="","Amount missing — type the number in column E",IF(NOT(ISNUMBER($E48)),"Amount must be a plain number — no currency symbol, no text",IF(AND($T48="Custom units",$AE48&lt;=0),"Custom units: nobody has units on this row — type a number for at least one person",IF($AE48&lt;=0,"Nobody shares this row — check the person columns H–Q, and the Weight / Nights columns on Setup",IF(AND($T48="Exact amounts",ABS($AE48-$AG48)&gt;0.01),"Exact amounts do not add up to the amount","OK"))))))))</f>
        <v/>
      </c>
      <c r="S48" s="27" t="str">
        <f>IFERROR(IF(OR($T48="",$C$4=""),"—",ROUND($AG48*INDEX($U48:$AD48,1,MATCH($C$4,Setup!$B$21:$B$30,0))/$AF48,2)),"—")</f>
        <v>—</v>
      </c>
      <c r="T48" s="28" t="str">
        <f>IF(AND($C48="",$D48="",NOT(ISNUMBER($E48))),"",IF($G48="",IF(Setup!$C$17="","Equal",Setup!$C$17),$G48))</f>
        <v/>
      </c>
      <c r="U48" s="29">
        <f>IF($T48="",0,IF(OR(Setup!$B$21="",Setup!$C$21="No"),0,IF(ISNUMBER(H48),H48,IF($T48="Weights",IF(ISNUMBER(Setup!$D$21),Setup!$D$21,0),IF($T48="Nights",IF(ISNUMBER(Setup!$E$21),Setup!$E$21,0),IF(OR($T48="Exact amounts",$T48="Custom units"),0,1))))))</f>
        <v>0</v>
      </c>
      <c r="V48" s="29">
        <f>IF($T48="",0,IF(OR(Setup!$B$22="",Setup!$C$22="No"),0,IF(ISNUMBER(I48),I48,IF($T48="Weights",IF(ISNUMBER(Setup!$D$22),Setup!$D$22,0),IF($T48="Nights",IF(ISNUMBER(Setup!$E$22),Setup!$E$22,0),IF(OR($T48="Exact amounts",$T48="Custom units"),0,1))))))</f>
        <v>0</v>
      </c>
      <c r="W48" s="29">
        <f>IF($T48="",0,IF(OR(Setup!$B$23="",Setup!$C$23="No"),0,IF(ISNUMBER(J48),J48,IF($T48="Weights",IF(ISNUMBER(Setup!$D$23),Setup!$D$23,0),IF($T48="Nights",IF(ISNUMBER(Setup!$E$23),Setup!$E$23,0),IF(OR($T48="Exact amounts",$T48="Custom units"),0,1))))))</f>
        <v>0</v>
      </c>
      <c r="X48" s="29">
        <f>IF($T48="",0,IF(OR(Setup!$B$24="",Setup!$C$24="No"),0,IF(ISNUMBER(K48),K48,IF($T48="Weights",IF(ISNUMBER(Setup!$D$24),Setup!$D$24,0),IF($T48="Nights",IF(ISNUMBER(Setup!$E$24),Setup!$E$24,0),IF(OR($T48="Exact amounts",$T48="Custom units"),0,1))))))</f>
        <v>0</v>
      </c>
      <c r="Y48" s="29">
        <f>IF($T48="",0,IF(OR(Setup!$B$25="",Setup!$C$25="No"),0,IF(ISNUMBER(L48),L48,IF($T48="Weights",IF(ISNUMBER(Setup!$D$25),Setup!$D$25,0),IF($T48="Nights",IF(ISNUMBER(Setup!$E$25),Setup!$E$25,0),IF(OR($T48="Exact amounts",$T48="Custom units"),0,1))))))</f>
        <v>0</v>
      </c>
      <c r="Z48" s="29">
        <f>IF($T48="",0,IF(OR(Setup!$B$26="",Setup!$C$26="No"),0,IF(ISNUMBER(M48),M48,IF($T48="Weights",IF(ISNUMBER(Setup!$D$26),Setup!$D$26,0),IF($T48="Nights",IF(ISNUMBER(Setup!$E$26),Setup!$E$26,0),IF(OR($T48="Exact amounts",$T48="Custom units"),0,1))))))</f>
        <v>0</v>
      </c>
      <c r="AA48" s="29">
        <f>IF($T48="",0,IF(OR(Setup!$B$27="",Setup!$C$27="No"),0,IF(ISNUMBER(N48),N48,IF($T48="Weights",IF(ISNUMBER(Setup!$D$27),Setup!$D$27,0),IF($T48="Nights",IF(ISNUMBER(Setup!$E$27),Setup!$E$27,0),IF(OR($T48="Exact amounts",$T48="Custom units"),0,1))))))</f>
        <v>0</v>
      </c>
      <c r="AB48" s="29">
        <f>IF($T48="",0,IF(OR(Setup!$B$28="",Setup!$C$28="No"),0,IF(ISNUMBER(O48),O48,IF($T48="Weights",IF(ISNUMBER(Setup!$D$28),Setup!$D$28,0),IF($T48="Nights",IF(ISNUMBER(Setup!$E$28),Setup!$E$28,0),IF(OR($T48="Exact amounts",$T48="Custom units"),0,1))))))</f>
        <v>0</v>
      </c>
      <c r="AC48" s="29">
        <f>IF($T48="",0,IF(OR(Setup!$B$29="",Setup!$C$29="No"),0,IF(ISNUMBER(P48),P48,IF($T48="Weights",IF(ISNUMBER(Setup!$D$29),Setup!$D$29,0),IF($T48="Nights",IF(ISNUMBER(Setup!$E$29),Setup!$E$29,0),IF(OR($T48="Exact amounts",$T48="Custom units"),0,1))))))</f>
        <v>0</v>
      </c>
      <c r="AD48" s="29">
        <f>IF($T48="",0,IF(OR(Setup!$B$30="",Setup!$C$30="No"),0,IF(ISNUMBER(Q48),Q48,IF($T48="Weights",IF(ISNUMBER(Setup!$D$30),Setup!$D$30,0),IF($T48="Nights",IF(ISNUMBER(Setup!$E$30),Setup!$E$30,0),IF(OR($T48="Exact amounts",$T48="Custom units"),0,1))))))</f>
        <v>0</v>
      </c>
      <c r="AE48" s="29">
        <f t="shared" si="1"/>
        <v>0</v>
      </c>
      <c r="AF48" s="30">
        <f t="shared" si="2"/>
        <v>1</v>
      </c>
      <c r="AG48" s="29">
        <f t="shared" si="3"/>
        <v>0</v>
      </c>
    </row>
    <row r="49" spans="1:33" ht="16" x14ac:dyDescent="0.2">
      <c r="A49" s="22" t="str">
        <f t="shared" si="0"/>
        <v>—</v>
      </c>
      <c r="B49" s="31"/>
      <c r="C49" s="11"/>
      <c r="D49" s="11"/>
      <c r="E49" s="32"/>
      <c r="F49" s="11"/>
      <c r="G49" s="11"/>
      <c r="H49" s="33"/>
      <c r="I49" s="33"/>
      <c r="J49" s="33"/>
      <c r="K49" s="33"/>
      <c r="L49" s="33"/>
      <c r="M49" s="33"/>
      <c r="N49" s="33"/>
      <c r="O49" s="33"/>
      <c r="P49" s="33"/>
      <c r="Q49" s="33"/>
      <c r="R49" s="26" t="str">
        <f>IF($T49="","",IF($D49="","Who paid?",IF(SUMPRODUCT((Setup!$B$21:$B$30=$D49)*1)=0,"Payer is not in the member list on Setup",IF($E49="","Amount missing — type the number in column E",IF(NOT(ISNUMBER($E49)),"Amount must be a plain number — no currency symbol, no text",IF(AND($T49="Custom units",$AE49&lt;=0),"Custom units: nobody has units on this row — type a number for at least one person",IF($AE49&lt;=0,"Nobody shares this row — check the person columns H–Q, and the Weight / Nights columns on Setup",IF(AND($T49="Exact amounts",ABS($AE49-$AG49)&gt;0.01),"Exact amounts do not add up to the amount","OK"))))))))</f>
        <v/>
      </c>
      <c r="S49" s="27" t="str">
        <f>IFERROR(IF(OR($T49="",$C$4=""),"—",ROUND($AG49*INDEX($U49:$AD49,1,MATCH($C$4,Setup!$B$21:$B$30,0))/$AF49,2)),"—")</f>
        <v>—</v>
      </c>
      <c r="T49" s="28" t="str">
        <f>IF(AND($C49="",$D49="",NOT(ISNUMBER($E49))),"",IF($G49="",IF(Setup!$C$17="","Equal",Setup!$C$17),$G49))</f>
        <v/>
      </c>
      <c r="U49" s="29">
        <f>IF($T49="",0,IF(OR(Setup!$B$21="",Setup!$C$21="No"),0,IF(ISNUMBER(H49),H49,IF($T49="Weights",IF(ISNUMBER(Setup!$D$21),Setup!$D$21,0),IF($T49="Nights",IF(ISNUMBER(Setup!$E$21),Setup!$E$21,0),IF(OR($T49="Exact amounts",$T49="Custom units"),0,1))))))</f>
        <v>0</v>
      </c>
      <c r="V49" s="29">
        <f>IF($T49="",0,IF(OR(Setup!$B$22="",Setup!$C$22="No"),0,IF(ISNUMBER(I49),I49,IF($T49="Weights",IF(ISNUMBER(Setup!$D$22),Setup!$D$22,0),IF($T49="Nights",IF(ISNUMBER(Setup!$E$22),Setup!$E$22,0),IF(OR($T49="Exact amounts",$T49="Custom units"),0,1))))))</f>
        <v>0</v>
      </c>
      <c r="W49" s="29">
        <f>IF($T49="",0,IF(OR(Setup!$B$23="",Setup!$C$23="No"),0,IF(ISNUMBER(J49),J49,IF($T49="Weights",IF(ISNUMBER(Setup!$D$23),Setup!$D$23,0),IF($T49="Nights",IF(ISNUMBER(Setup!$E$23),Setup!$E$23,0),IF(OR($T49="Exact amounts",$T49="Custom units"),0,1))))))</f>
        <v>0</v>
      </c>
      <c r="X49" s="29">
        <f>IF($T49="",0,IF(OR(Setup!$B$24="",Setup!$C$24="No"),0,IF(ISNUMBER(K49),K49,IF($T49="Weights",IF(ISNUMBER(Setup!$D$24),Setup!$D$24,0),IF($T49="Nights",IF(ISNUMBER(Setup!$E$24),Setup!$E$24,0),IF(OR($T49="Exact amounts",$T49="Custom units"),0,1))))))</f>
        <v>0</v>
      </c>
      <c r="Y49" s="29">
        <f>IF($T49="",0,IF(OR(Setup!$B$25="",Setup!$C$25="No"),0,IF(ISNUMBER(L49),L49,IF($T49="Weights",IF(ISNUMBER(Setup!$D$25),Setup!$D$25,0),IF($T49="Nights",IF(ISNUMBER(Setup!$E$25),Setup!$E$25,0),IF(OR($T49="Exact amounts",$T49="Custom units"),0,1))))))</f>
        <v>0</v>
      </c>
      <c r="Z49" s="29">
        <f>IF($T49="",0,IF(OR(Setup!$B$26="",Setup!$C$26="No"),0,IF(ISNUMBER(M49),M49,IF($T49="Weights",IF(ISNUMBER(Setup!$D$26),Setup!$D$26,0),IF($T49="Nights",IF(ISNUMBER(Setup!$E$26),Setup!$E$26,0),IF(OR($T49="Exact amounts",$T49="Custom units"),0,1))))))</f>
        <v>0</v>
      </c>
      <c r="AA49" s="29">
        <f>IF($T49="",0,IF(OR(Setup!$B$27="",Setup!$C$27="No"),0,IF(ISNUMBER(N49),N49,IF($T49="Weights",IF(ISNUMBER(Setup!$D$27),Setup!$D$27,0),IF($T49="Nights",IF(ISNUMBER(Setup!$E$27),Setup!$E$27,0),IF(OR($T49="Exact amounts",$T49="Custom units"),0,1))))))</f>
        <v>0</v>
      </c>
      <c r="AB49" s="29">
        <f>IF($T49="",0,IF(OR(Setup!$B$28="",Setup!$C$28="No"),0,IF(ISNUMBER(O49),O49,IF($T49="Weights",IF(ISNUMBER(Setup!$D$28),Setup!$D$28,0),IF($T49="Nights",IF(ISNUMBER(Setup!$E$28),Setup!$E$28,0),IF(OR($T49="Exact amounts",$T49="Custom units"),0,1))))))</f>
        <v>0</v>
      </c>
      <c r="AC49" s="29">
        <f>IF($T49="",0,IF(OR(Setup!$B$29="",Setup!$C$29="No"),0,IF(ISNUMBER(P49),P49,IF($T49="Weights",IF(ISNUMBER(Setup!$D$29),Setup!$D$29,0),IF($T49="Nights",IF(ISNUMBER(Setup!$E$29),Setup!$E$29,0),IF(OR($T49="Exact amounts",$T49="Custom units"),0,1))))))</f>
        <v>0</v>
      </c>
      <c r="AD49" s="29">
        <f>IF($T49="",0,IF(OR(Setup!$B$30="",Setup!$C$30="No"),0,IF(ISNUMBER(Q49),Q49,IF($T49="Weights",IF(ISNUMBER(Setup!$D$30),Setup!$D$30,0),IF($T49="Nights",IF(ISNUMBER(Setup!$E$30),Setup!$E$30,0),IF(OR($T49="Exact amounts",$T49="Custom units"),0,1))))))</f>
        <v>0</v>
      </c>
      <c r="AE49" s="29">
        <f t="shared" si="1"/>
        <v>0</v>
      </c>
      <c r="AF49" s="30">
        <f t="shared" si="2"/>
        <v>1</v>
      </c>
      <c r="AG49" s="29">
        <f t="shared" si="3"/>
        <v>0</v>
      </c>
    </row>
    <row r="50" spans="1:33" ht="16" x14ac:dyDescent="0.2">
      <c r="A50" s="22" t="str">
        <f t="shared" si="0"/>
        <v>—</v>
      </c>
      <c r="B50" s="23"/>
      <c r="C50" s="16"/>
      <c r="D50" s="16"/>
      <c r="E50" s="24"/>
      <c r="F50" s="16"/>
      <c r="G50" s="16"/>
      <c r="H50" s="25"/>
      <c r="I50" s="25"/>
      <c r="J50" s="25"/>
      <c r="K50" s="25"/>
      <c r="L50" s="25"/>
      <c r="M50" s="25"/>
      <c r="N50" s="25"/>
      <c r="O50" s="25"/>
      <c r="P50" s="25"/>
      <c r="Q50" s="25"/>
      <c r="R50" s="26" t="str">
        <f>IF($T50="","",IF($D50="","Who paid?",IF(SUMPRODUCT((Setup!$B$21:$B$30=$D50)*1)=0,"Payer is not in the member list on Setup",IF($E50="","Amount missing — type the number in column E",IF(NOT(ISNUMBER($E50)),"Amount must be a plain number — no currency symbol, no text",IF(AND($T50="Custom units",$AE50&lt;=0),"Custom units: nobody has units on this row — type a number for at least one person",IF($AE50&lt;=0,"Nobody shares this row — check the person columns H–Q, and the Weight / Nights columns on Setup",IF(AND($T50="Exact amounts",ABS($AE50-$AG50)&gt;0.01),"Exact amounts do not add up to the amount","OK"))))))))</f>
        <v/>
      </c>
      <c r="S50" s="27" t="str">
        <f>IFERROR(IF(OR($T50="",$C$4=""),"—",ROUND($AG50*INDEX($U50:$AD50,1,MATCH($C$4,Setup!$B$21:$B$30,0))/$AF50,2)),"—")</f>
        <v>—</v>
      </c>
      <c r="T50" s="28" t="str">
        <f>IF(AND($C50="",$D50="",NOT(ISNUMBER($E50))),"",IF($G50="",IF(Setup!$C$17="","Equal",Setup!$C$17),$G50))</f>
        <v/>
      </c>
      <c r="U50" s="29">
        <f>IF($T50="",0,IF(OR(Setup!$B$21="",Setup!$C$21="No"),0,IF(ISNUMBER(H50),H50,IF($T50="Weights",IF(ISNUMBER(Setup!$D$21),Setup!$D$21,0),IF($T50="Nights",IF(ISNUMBER(Setup!$E$21),Setup!$E$21,0),IF(OR($T50="Exact amounts",$T50="Custom units"),0,1))))))</f>
        <v>0</v>
      </c>
      <c r="V50" s="29">
        <f>IF($T50="",0,IF(OR(Setup!$B$22="",Setup!$C$22="No"),0,IF(ISNUMBER(I50),I50,IF($T50="Weights",IF(ISNUMBER(Setup!$D$22),Setup!$D$22,0),IF($T50="Nights",IF(ISNUMBER(Setup!$E$22),Setup!$E$22,0),IF(OR($T50="Exact amounts",$T50="Custom units"),0,1))))))</f>
        <v>0</v>
      </c>
      <c r="W50" s="29">
        <f>IF($T50="",0,IF(OR(Setup!$B$23="",Setup!$C$23="No"),0,IF(ISNUMBER(J50),J50,IF($T50="Weights",IF(ISNUMBER(Setup!$D$23),Setup!$D$23,0),IF($T50="Nights",IF(ISNUMBER(Setup!$E$23),Setup!$E$23,0),IF(OR($T50="Exact amounts",$T50="Custom units"),0,1))))))</f>
        <v>0</v>
      </c>
      <c r="X50" s="29">
        <f>IF($T50="",0,IF(OR(Setup!$B$24="",Setup!$C$24="No"),0,IF(ISNUMBER(K50),K50,IF($T50="Weights",IF(ISNUMBER(Setup!$D$24),Setup!$D$24,0),IF($T50="Nights",IF(ISNUMBER(Setup!$E$24),Setup!$E$24,0),IF(OR($T50="Exact amounts",$T50="Custom units"),0,1))))))</f>
        <v>0</v>
      </c>
      <c r="Y50" s="29">
        <f>IF($T50="",0,IF(OR(Setup!$B$25="",Setup!$C$25="No"),0,IF(ISNUMBER(L50),L50,IF($T50="Weights",IF(ISNUMBER(Setup!$D$25),Setup!$D$25,0),IF($T50="Nights",IF(ISNUMBER(Setup!$E$25),Setup!$E$25,0),IF(OR($T50="Exact amounts",$T50="Custom units"),0,1))))))</f>
        <v>0</v>
      </c>
      <c r="Z50" s="29">
        <f>IF($T50="",0,IF(OR(Setup!$B$26="",Setup!$C$26="No"),0,IF(ISNUMBER(M50),M50,IF($T50="Weights",IF(ISNUMBER(Setup!$D$26),Setup!$D$26,0),IF($T50="Nights",IF(ISNUMBER(Setup!$E$26),Setup!$E$26,0),IF(OR($T50="Exact amounts",$T50="Custom units"),0,1))))))</f>
        <v>0</v>
      </c>
      <c r="AA50" s="29">
        <f>IF($T50="",0,IF(OR(Setup!$B$27="",Setup!$C$27="No"),0,IF(ISNUMBER(N50),N50,IF($T50="Weights",IF(ISNUMBER(Setup!$D$27),Setup!$D$27,0),IF($T50="Nights",IF(ISNUMBER(Setup!$E$27),Setup!$E$27,0),IF(OR($T50="Exact amounts",$T50="Custom units"),0,1))))))</f>
        <v>0</v>
      </c>
      <c r="AB50" s="29">
        <f>IF($T50="",0,IF(OR(Setup!$B$28="",Setup!$C$28="No"),0,IF(ISNUMBER(O50),O50,IF($T50="Weights",IF(ISNUMBER(Setup!$D$28),Setup!$D$28,0),IF($T50="Nights",IF(ISNUMBER(Setup!$E$28),Setup!$E$28,0),IF(OR($T50="Exact amounts",$T50="Custom units"),0,1))))))</f>
        <v>0</v>
      </c>
      <c r="AC50" s="29">
        <f>IF($T50="",0,IF(OR(Setup!$B$29="",Setup!$C$29="No"),0,IF(ISNUMBER(P50),P50,IF($T50="Weights",IF(ISNUMBER(Setup!$D$29),Setup!$D$29,0),IF($T50="Nights",IF(ISNUMBER(Setup!$E$29),Setup!$E$29,0),IF(OR($T50="Exact amounts",$T50="Custom units"),0,1))))))</f>
        <v>0</v>
      </c>
      <c r="AD50" s="29">
        <f>IF($T50="",0,IF(OR(Setup!$B$30="",Setup!$C$30="No"),0,IF(ISNUMBER(Q50),Q50,IF($T50="Weights",IF(ISNUMBER(Setup!$D$30),Setup!$D$30,0),IF($T50="Nights",IF(ISNUMBER(Setup!$E$30),Setup!$E$30,0),IF(OR($T50="Exact amounts",$T50="Custom units"),0,1))))))</f>
        <v>0</v>
      </c>
      <c r="AE50" s="29">
        <f t="shared" si="1"/>
        <v>0</v>
      </c>
      <c r="AF50" s="30">
        <f t="shared" si="2"/>
        <v>1</v>
      </c>
      <c r="AG50" s="29">
        <f t="shared" si="3"/>
        <v>0</v>
      </c>
    </row>
    <row r="51" spans="1:33" ht="16" x14ac:dyDescent="0.2">
      <c r="A51" s="22" t="str">
        <f t="shared" si="0"/>
        <v>—</v>
      </c>
      <c r="B51" s="31"/>
      <c r="C51" s="11"/>
      <c r="D51" s="11"/>
      <c r="E51" s="32"/>
      <c r="F51" s="11"/>
      <c r="G51" s="11"/>
      <c r="H51" s="33"/>
      <c r="I51" s="33"/>
      <c r="J51" s="33"/>
      <c r="K51" s="33"/>
      <c r="L51" s="33"/>
      <c r="M51" s="33"/>
      <c r="N51" s="33"/>
      <c r="O51" s="33"/>
      <c r="P51" s="33"/>
      <c r="Q51" s="33"/>
      <c r="R51" s="26" t="str">
        <f>IF($T51="","",IF($D51="","Who paid?",IF(SUMPRODUCT((Setup!$B$21:$B$30=$D51)*1)=0,"Payer is not in the member list on Setup",IF($E51="","Amount missing — type the number in column E",IF(NOT(ISNUMBER($E51)),"Amount must be a plain number — no currency symbol, no text",IF(AND($T51="Custom units",$AE51&lt;=0),"Custom units: nobody has units on this row — type a number for at least one person",IF($AE51&lt;=0,"Nobody shares this row — check the person columns H–Q, and the Weight / Nights columns on Setup",IF(AND($T51="Exact amounts",ABS($AE51-$AG51)&gt;0.01),"Exact amounts do not add up to the amount","OK"))))))))</f>
        <v/>
      </c>
      <c r="S51" s="27" t="str">
        <f>IFERROR(IF(OR($T51="",$C$4=""),"—",ROUND($AG51*INDEX($U51:$AD51,1,MATCH($C$4,Setup!$B$21:$B$30,0))/$AF51,2)),"—")</f>
        <v>—</v>
      </c>
      <c r="T51" s="28" t="str">
        <f>IF(AND($C51="",$D51="",NOT(ISNUMBER($E51))),"",IF($G51="",IF(Setup!$C$17="","Equal",Setup!$C$17),$G51))</f>
        <v/>
      </c>
      <c r="U51" s="29">
        <f>IF($T51="",0,IF(OR(Setup!$B$21="",Setup!$C$21="No"),0,IF(ISNUMBER(H51),H51,IF($T51="Weights",IF(ISNUMBER(Setup!$D$21),Setup!$D$21,0),IF($T51="Nights",IF(ISNUMBER(Setup!$E$21),Setup!$E$21,0),IF(OR($T51="Exact amounts",$T51="Custom units"),0,1))))))</f>
        <v>0</v>
      </c>
      <c r="V51" s="29">
        <f>IF($T51="",0,IF(OR(Setup!$B$22="",Setup!$C$22="No"),0,IF(ISNUMBER(I51),I51,IF($T51="Weights",IF(ISNUMBER(Setup!$D$22),Setup!$D$22,0),IF($T51="Nights",IF(ISNUMBER(Setup!$E$22),Setup!$E$22,0),IF(OR($T51="Exact amounts",$T51="Custom units"),0,1))))))</f>
        <v>0</v>
      </c>
      <c r="W51" s="29">
        <f>IF($T51="",0,IF(OR(Setup!$B$23="",Setup!$C$23="No"),0,IF(ISNUMBER(J51),J51,IF($T51="Weights",IF(ISNUMBER(Setup!$D$23),Setup!$D$23,0),IF($T51="Nights",IF(ISNUMBER(Setup!$E$23),Setup!$E$23,0),IF(OR($T51="Exact amounts",$T51="Custom units"),0,1))))))</f>
        <v>0</v>
      </c>
      <c r="X51" s="29">
        <f>IF($T51="",0,IF(OR(Setup!$B$24="",Setup!$C$24="No"),0,IF(ISNUMBER(K51),K51,IF($T51="Weights",IF(ISNUMBER(Setup!$D$24),Setup!$D$24,0),IF($T51="Nights",IF(ISNUMBER(Setup!$E$24),Setup!$E$24,0),IF(OR($T51="Exact amounts",$T51="Custom units"),0,1))))))</f>
        <v>0</v>
      </c>
      <c r="Y51" s="29">
        <f>IF($T51="",0,IF(OR(Setup!$B$25="",Setup!$C$25="No"),0,IF(ISNUMBER(L51),L51,IF($T51="Weights",IF(ISNUMBER(Setup!$D$25),Setup!$D$25,0),IF($T51="Nights",IF(ISNUMBER(Setup!$E$25),Setup!$E$25,0),IF(OR($T51="Exact amounts",$T51="Custom units"),0,1))))))</f>
        <v>0</v>
      </c>
      <c r="Z51" s="29">
        <f>IF($T51="",0,IF(OR(Setup!$B$26="",Setup!$C$26="No"),0,IF(ISNUMBER(M51),M51,IF($T51="Weights",IF(ISNUMBER(Setup!$D$26),Setup!$D$26,0),IF($T51="Nights",IF(ISNUMBER(Setup!$E$26),Setup!$E$26,0),IF(OR($T51="Exact amounts",$T51="Custom units"),0,1))))))</f>
        <v>0</v>
      </c>
      <c r="AA51" s="29">
        <f>IF($T51="",0,IF(OR(Setup!$B$27="",Setup!$C$27="No"),0,IF(ISNUMBER(N51),N51,IF($T51="Weights",IF(ISNUMBER(Setup!$D$27),Setup!$D$27,0),IF($T51="Nights",IF(ISNUMBER(Setup!$E$27),Setup!$E$27,0),IF(OR($T51="Exact amounts",$T51="Custom units"),0,1))))))</f>
        <v>0</v>
      </c>
      <c r="AB51" s="29">
        <f>IF($T51="",0,IF(OR(Setup!$B$28="",Setup!$C$28="No"),0,IF(ISNUMBER(O51),O51,IF($T51="Weights",IF(ISNUMBER(Setup!$D$28),Setup!$D$28,0),IF($T51="Nights",IF(ISNUMBER(Setup!$E$28),Setup!$E$28,0),IF(OR($T51="Exact amounts",$T51="Custom units"),0,1))))))</f>
        <v>0</v>
      </c>
      <c r="AC51" s="29">
        <f>IF($T51="",0,IF(OR(Setup!$B$29="",Setup!$C$29="No"),0,IF(ISNUMBER(P51),P51,IF($T51="Weights",IF(ISNUMBER(Setup!$D$29),Setup!$D$29,0),IF($T51="Nights",IF(ISNUMBER(Setup!$E$29),Setup!$E$29,0),IF(OR($T51="Exact amounts",$T51="Custom units"),0,1))))))</f>
        <v>0</v>
      </c>
      <c r="AD51" s="29">
        <f>IF($T51="",0,IF(OR(Setup!$B$30="",Setup!$C$30="No"),0,IF(ISNUMBER(Q51),Q51,IF($T51="Weights",IF(ISNUMBER(Setup!$D$30),Setup!$D$30,0),IF($T51="Nights",IF(ISNUMBER(Setup!$E$30),Setup!$E$30,0),IF(OR($T51="Exact amounts",$T51="Custom units"),0,1))))))</f>
        <v>0</v>
      </c>
      <c r="AE51" s="29">
        <f t="shared" si="1"/>
        <v>0</v>
      </c>
      <c r="AF51" s="30">
        <f t="shared" si="2"/>
        <v>1</v>
      </c>
      <c r="AG51" s="29">
        <f t="shared" si="3"/>
        <v>0</v>
      </c>
    </row>
    <row r="52" spans="1:33" ht="16" x14ac:dyDescent="0.2">
      <c r="A52" s="22" t="str">
        <f t="shared" si="0"/>
        <v>—</v>
      </c>
      <c r="B52" s="23"/>
      <c r="C52" s="16"/>
      <c r="D52" s="16"/>
      <c r="E52" s="24"/>
      <c r="F52" s="16"/>
      <c r="G52" s="16"/>
      <c r="H52" s="25"/>
      <c r="I52" s="25"/>
      <c r="J52" s="25"/>
      <c r="K52" s="25"/>
      <c r="L52" s="25"/>
      <c r="M52" s="25"/>
      <c r="N52" s="25"/>
      <c r="O52" s="25"/>
      <c r="P52" s="25"/>
      <c r="Q52" s="25"/>
      <c r="R52" s="26" t="str">
        <f>IF($T52="","",IF($D52="","Who paid?",IF(SUMPRODUCT((Setup!$B$21:$B$30=$D52)*1)=0,"Payer is not in the member list on Setup",IF($E52="","Amount missing — type the number in column E",IF(NOT(ISNUMBER($E52)),"Amount must be a plain number — no currency symbol, no text",IF(AND($T52="Custom units",$AE52&lt;=0),"Custom units: nobody has units on this row — type a number for at least one person",IF($AE52&lt;=0,"Nobody shares this row — check the person columns H–Q, and the Weight / Nights columns on Setup",IF(AND($T52="Exact amounts",ABS($AE52-$AG52)&gt;0.01),"Exact amounts do not add up to the amount","OK"))))))))</f>
        <v/>
      </c>
      <c r="S52" s="27" t="str">
        <f>IFERROR(IF(OR($T52="",$C$4=""),"—",ROUND($AG52*INDEX($U52:$AD52,1,MATCH($C$4,Setup!$B$21:$B$30,0))/$AF52,2)),"—")</f>
        <v>—</v>
      </c>
      <c r="T52" s="28" t="str">
        <f>IF(AND($C52="",$D52="",NOT(ISNUMBER($E52))),"",IF($G52="",IF(Setup!$C$17="","Equal",Setup!$C$17),$G52))</f>
        <v/>
      </c>
      <c r="U52" s="29">
        <f>IF($T52="",0,IF(OR(Setup!$B$21="",Setup!$C$21="No"),0,IF(ISNUMBER(H52),H52,IF($T52="Weights",IF(ISNUMBER(Setup!$D$21),Setup!$D$21,0),IF($T52="Nights",IF(ISNUMBER(Setup!$E$21),Setup!$E$21,0),IF(OR($T52="Exact amounts",$T52="Custom units"),0,1))))))</f>
        <v>0</v>
      </c>
      <c r="V52" s="29">
        <f>IF($T52="",0,IF(OR(Setup!$B$22="",Setup!$C$22="No"),0,IF(ISNUMBER(I52),I52,IF($T52="Weights",IF(ISNUMBER(Setup!$D$22),Setup!$D$22,0),IF($T52="Nights",IF(ISNUMBER(Setup!$E$22),Setup!$E$22,0),IF(OR($T52="Exact amounts",$T52="Custom units"),0,1))))))</f>
        <v>0</v>
      </c>
      <c r="W52" s="29">
        <f>IF($T52="",0,IF(OR(Setup!$B$23="",Setup!$C$23="No"),0,IF(ISNUMBER(J52),J52,IF($T52="Weights",IF(ISNUMBER(Setup!$D$23),Setup!$D$23,0),IF($T52="Nights",IF(ISNUMBER(Setup!$E$23),Setup!$E$23,0),IF(OR($T52="Exact amounts",$T52="Custom units"),0,1))))))</f>
        <v>0</v>
      </c>
      <c r="X52" s="29">
        <f>IF($T52="",0,IF(OR(Setup!$B$24="",Setup!$C$24="No"),0,IF(ISNUMBER(K52),K52,IF($T52="Weights",IF(ISNUMBER(Setup!$D$24),Setup!$D$24,0),IF($T52="Nights",IF(ISNUMBER(Setup!$E$24),Setup!$E$24,0),IF(OR($T52="Exact amounts",$T52="Custom units"),0,1))))))</f>
        <v>0</v>
      </c>
      <c r="Y52" s="29">
        <f>IF($T52="",0,IF(OR(Setup!$B$25="",Setup!$C$25="No"),0,IF(ISNUMBER(L52),L52,IF($T52="Weights",IF(ISNUMBER(Setup!$D$25),Setup!$D$25,0),IF($T52="Nights",IF(ISNUMBER(Setup!$E$25),Setup!$E$25,0),IF(OR($T52="Exact amounts",$T52="Custom units"),0,1))))))</f>
        <v>0</v>
      </c>
      <c r="Z52" s="29">
        <f>IF($T52="",0,IF(OR(Setup!$B$26="",Setup!$C$26="No"),0,IF(ISNUMBER(M52),M52,IF($T52="Weights",IF(ISNUMBER(Setup!$D$26),Setup!$D$26,0),IF($T52="Nights",IF(ISNUMBER(Setup!$E$26),Setup!$E$26,0),IF(OR($T52="Exact amounts",$T52="Custom units"),0,1))))))</f>
        <v>0</v>
      </c>
      <c r="AA52" s="29">
        <f>IF($T52="",0,IF(OR(Setup!$B$27="",Setup!$C$27="No"),0,IF(ISNUMBER(N52),N52,IF($T52="Weights",IF(ISNUMBER(Setup!$D$27),Setup!$D$27,0),IF($T52="Nights",IF(ISNUMBER(Setup!$E$27),Setup!$E$27,0),IF(OR($T52="Exact amounts",$T52="Custom units"),0,1))))))</f>
        <v>0</v>
      </c>
      <c r="AB52" s="29">
        <f>IF($T52="",0,IF(OR(Setup!$B$28="",Setup!$C$28="No"),0,IF(ISNUMBER(O52),O52,IF($T52="Weights",IF(ISNUMBER(Setup!$D$28),Setup!$D$28,0),IF($T52="Nights",IF(ISNUMBER(Setup!$E$28),Setup!$E$28,0),IF(OR($T52="Exact amounts",$T52="Custom units"),0,1))))))</f>
        <v>0</v>
      </c>
      <c r="AC52" s="29">
        <f>IF($T52="",0,IF(OR(Setup!$B$29="",Setup!$C$29="No"),0,IF(ISNUMBER(P52),P52,IF($T52="Weights",IF(ISNUMBER(Setup!$D$29),Setup!$D$29,0),IF($T52="Nights",IF(ISNUMBER(Setup!$E$29),Setup!$E$29,0),IF(OR($T52="Exact amounts",$T52="Custom units"),0,1))))))</f>
        <v>0</v>
      </c>
      <c r="AD52" s="29">
        <f>IF($T52="",0,IF(OR(Setup!$B$30="",Setup!$C$30="No"),0,IF(ISNUMBER(Q52),Q52,IF($T52="Weights",IF(ISNUMBER(Setup!$D$30),Setup!$D$30,0),IF($T52="Nights",IF(ISNUMBER(Setup!$E$30),Setup!$E$30,0),IF(OR($T52="Exact amounts",$T52="Custom units"),0,1))))))</f>
        <v>0</v>
      </c>
      <c r="AE52" s="29">
        <f t="shared" si="1"/>
        <v>0</v>
      </c>
      <c r="AF52" s="30">
        <f t="shared" si="2"/>
        <v>1</v>
      </c>
      <c r="AG52" s="29">
        <f t="shared" si="3"/>
        <v>0</v>
      </c>
    </row>
    <row r="53" spans="1:33" ht="16" x14ac:dyDescent="0.2">
      <c r="A53" s="22" t="str">
        <f t="shared" si="0"/>
        <v>—</v>
      </c>
      <c r="B53" s="31"/>
      <c r="C53" s="11"/>
      <c r="D53" s="11"/>
      <c r="E53" s="32"/>
      <c r="F53" s="11"/>
      <c r="G53" s="11"/>
      <c r="H53" s="33"/>
      <c r="I53" s="33"/>
      <c r="J53" s="33"/>
      <c r="K53" s="33"/>
      <c r="L53" s="33"/>
      <c r="M53" s="33"/>
      <c r="N53" s="33"/>
      <c r="O53" s="33"/>
      <c r="P53" s="33"/>
      <c r="Q53" s="33"/>
      <c r="R53" s="26" t="str">
        <f>IF($T53="","",IF($D53="","Who paid?",IF(SUMPRODUCT((Setup!$B$21:$B$30=$D53)*1)=0,"Payer is not in the member list on Setup",IF($E53="","Amount missing — type the number in column E",IF(NOT(ISNUMBER($E53)),"Amount must be a plain number — no currency symbol, no text",IF(AND($T53="Custom units",$AE53&lt;=0),"Custom units: nobody has units on this row — type a number for at least one person",IF($AE53&lt;=0,"Nobody shares this row — check the person columns H–Q, and the Weight / Nights columns on Setup",IF(AND($T53="Exact amounts",ABS($AE53-$AG53)&gt;0.01),"Exact amounts do not add up to the amount","OK"))))))))</f>
        <v/>
      </c>
      <c r="S53" s="27" t="str">
        <f>IFERROR(IF(OR($T53="",$C$4=""),"—",ROUND($AG53*INDEX($U53:$AD53,1,MATCH($C$4,Setup!$B$21:$B$30,0))/$AF53,2)),"—")</f>
        <v>—</v>
      </c>
      <c r="T53" s="28" t="str">
        <f>IF(AND($C53="",$D53="",NOT(ISNUMBER($E53))),"",IF($G53="",IF(Setup!$C$17="","Equal",Setup!$C$17),$G53))</f>
        <v/>
      </c>
      <c r="U53" s="29">
        <f>IF($T53="",0,IF(OR(Setup!$B$21="",Setup!$C$21="No"),0,IF(ISNUMBER(H53),H53,IF($T53="Weights",IF(ISNUMBER(Setup!$D$21),Setup!$D$21,0),IF($T53="Nights",IF(ISNUMBER(Setup!$E$21),Setup!$E$21,0),IF(OR($T53="Exact amounts",$T53="Custom units"),0,1))))))</f>
        <v>0</v>
      </c>
      <c r="V53" s="29">
        <f>IF($T53="",0,IF(OR(Setup!$B$22="",Setup!$C$22="No"),0,IF(ISNUMBER(I53),I53,IF($T53="Weights",IF(ISNUMBER(Setup!$D$22),Setup!$D$22,0),IF($T53="Nights",IF(ISNUMBER(Setup!$E$22),Setup!$E$22,0),IF(OR($T53="Exact amounts",$T53="Custom units"),0,1))))))</f>
        <v>0</v>
      </c>
      <c r="W53" s="29">
        <f>IF($T53="",0,IF(OR(Setup!$B$23="",Setup!$C$23="No"),0,IF(ISNUMBER(J53),J53,IF($T53="Weights",IF(ISNUMBER(Setup!$D$23),Setup!$D$23,0),IF($T53="Nights",IF(ISNUMBER(Setup!$E$23),Setup!$E$23,0),IF(OR($T53="Exact amounts",$T53="Custom units"),0,1))))))</f>
        <v>0</v>
      </c>
      <c r="X53" s="29">
        <f>IF($T53="",0,IF(OR(Setup!$B$24="",Setup!$C$24="No"),0,IF(ISNUMBER(K53),K53,IF($T53="Weights",IF(ISNUMBER(Setup!$D$24),Setup!$D$24,0),IF($T53="Nights",IF(ISNUMBER(Setup!$E$24),Setup!$E$24,0),IF(OR($T53="Exact amounts",$T53="Custom units"),0,1))))))</f>
        <v>0</v>
      </c>
      <c r="Y53" s="29">
        <f>IF($T53="",0,IF(OR(Setup!$B$25="",Setup!$C$25="No"),0,IF(ISNUMBER(L53),L53,IF($T53="Weights",IF(ISNUMBER(Setup!$D$25),Setup!$D$25,0),IF($T53="Nights",IF(ISNUMBER(Setup!$E$25),Setup!$E$25,0),IF(OR($T53="Exact amounts",$T53="Custom units"),0,1))))))</f>
        <v>0</v>
      </c>
      <c r="Z53" s="29">
        <f>IF($T53="",0,IF(OR(Setup!$B$26="",Setup!$C$26="No"),0,IF(ISNUMBER(M53),M53,IF($T53="Weights",IF(ISNUMBER(Setup!$D$26),Setup!$D$26,0),IF($T53="Nights",IF(ISNUMBER(Setup!$E$26),Setup!$E$26,0),IF(OR($T53="Exact amounts",$T53="Custom units"),0,1))))))</f>
        <v>0</v>
      </c>
      <c r="AA53" s="29">
        <f>IF($T53="",0,IF(OR(Setup!$B$27="",Setup!$C$27="No"),0,IF(ISNUMBER(N53),N53,IF($T53="Weights",IF(ISNUMBER(Setup!$D$27),Setup!$D$27,0),IF($T53="Nights",IF(ISNUMBER(Setup!$E$27),Setup!$E$27,0),IF(OR($T53="Exact amounts",$T53="Custom units"),0,1))))))</f>
        <v>0</v>
      </c>
      <c r="AB53" s="29">
        <f>IF($T53="",0,IF(OR(Setup!$B$28="",Setup!$C$28="No"),0,IF(ISNUMBER(O53),O53,IF($T53="Weights",IF(ISNUMBER(Setup!$D$28),Setup!$D$28,0),IF($T53="Nights",IF(ISNUMBER(Setup!$E$28),Setup!$E$28,0),IF(OR($T53="Exact amounts",$T53="Custom units"),0,1))))))</f>
        <v>0</v>
      </c>
      <c r="AC53" s="29">
        <f>IF($T53="",0,IF(OR(Setup!$B$29="",Setup!$C$29="No"),0,IF(ISNUMBER(P53),P53,IF($T53="Weights",IF(ISNUMBER(Setup!$D$29),Setup!$D$29,0),IF($T53="Nights",IF(ISNUMBER(Setup!$E$29),Setup!$E$29,0),IF(OR($T53="Exact amounts",$T53="Custom units"),0,1))))))</f>
        <v>0</v>
      </c>
      <c r="AD53" s="29">
        <f>IF($T53="",0,IF(OR(Setup!$B$30="",Setup!$C$30="No"),0,IF(ISNUMBER(Q53),Q53,IF($T53="Weights",IF(ISNUMBER(Setup!$D$30),Setup!$D$30,0),IF($T53="Nights",IF(ISNUMBER(Setup!$E$30),Setup!$E$30,0),IF(OR($T53="Exact amounts",$T53="Custom units"),0,1))))))</f>
        <v>0</v>
      </c>
      <c r="AE53" s="29">
        <f t="shared" si="1"/>
        <v>0</v>
      </c>
      <c r="AF53" s="30">
        <f t="shared" si="2"/>
        <v>1</v>
      </c>
      <c r="AG53" s="29">
        <f t="shared" si="3"/>
        <v>0</v>
      </c>
    </row>
    <row r="54" spans="1:33" ht="16" x14ac:dyDescent="0.2">
      <c r="A54" s="22" t="str">
        <f t="shared" si="0"/>
        <v>—</v>
      </c>
      <c r="B54" s="23"/>
      <c r="C54" s="16"/>
      <c r="D54" s="16"/>
      <c r="E54" s="24"/>
      <c r="F54" s="16"/>
      <c r="G54" s="16"/>
      <c r="H54" s="25"/>
      <c r="I54" s="25"/>
      <c r="J54" s="25"/>
      <c r="K54" s="25"/>
      <c r="L54" s="25"/>
      <c r="M54" s="25"/>
      <c r="N54" s="25"/>
      <c r="O54" s="25"/>
      <c r="P54" s="25"/>
      <c r="Q54" s="25"/>
      <c r="R54" s="26" t="str">
        <f>IF($T54="","",IF($D54="","Who paid?",IF(SUMPRODUCT((Setup!$B$21:$B$30=$D54)*1)=0,"Payer is not in the member list on Setup",IF($E54="","Amount missing — type the number in column E",IF(NOT(ISNUMBER($E54)),"Amount must be a plain number — no currency symbol, no text",IF(AND($T54="Custom units",$AE54&lt;=0),"Custom units: nobody has units on this row — type a number for at least one person",IF($AE54&lt;=0,"Nobody shares this row — check the person columns H–Q, and the Weight / Nights columns on Setup",IF(AND($T54="Exact amounts",ABS($AE54-$AG54)&gt;0.01),"Exact amounts do not add up to the amount","OK"))))))))</f>
        <v/>
      </c>
      <c r="S54" s="27" t="str">
        <f>IFERROR(IF(OR($T54="",$C$4=""),"—",ROUND($AG54*INDEX($U54:$AD54,1,MATCH($C$4,Setup!$B$21:$B$30,0))/$AF54,2)),"—")</f>
        <v>—</v>
      </c>
      <c r="T54" s="28" t="str">
        <f>IF(AND($C54="",$D54="",NOT(ISNUMBER($E54))),"",IF($G54="",IF(Setup!$C$17="","Equal",Setup!$C$17),$G54))</f>
        <v/>
      </c>
      <c r="U54" s="29">
        <f>IF($T54="",0,IF(OR(Setup!$B$21="",Setup!$C$21="No"),0,IF(ISNUMBER(H54),H54,IF($T54="Weights",IF(ISNUMBER(Setup!$D$21),Setup!$D$21,0),IF($T54="Nights",IF(ISNUMBER(Setup!$E$21),Setup!$E$21,0),IF(OR($T54="Exact amounts",$T54="Custom units"),0,1))))))</f>
        <v>0</v>
      </c>
      <c r="V54" s="29">
        <f>IF($T54="",0,IF(OR(Setup!$B$22="",Setup!$C$22="No"),0,IF(ISNUMBER(I54),I54,IF($T54="Weights",IF(ISNUMBER(Setup!$D$22),Setup!$D$22,0),IF($T54="Nights",IF(ISNUMBER(Setup!$E$22),Setup!$E$22,0),IF(OR($T54="Exact amounts",$T54="Custom units"),0,1))))))</f>
        <v>0</v>
      </c>
      <c r="W54" s="29">
        <f>IF($T54="",0,IF(OR(Setup!$B$23="",Setup!$C$23="No"),0,IF(ISNUMBER(J54),J54,IF($T54="Weights",IF(ISNUMBER(Setup!$D$23),Setup!$D$23,0),IF($T54="Nights",IF(ISNUMBER(Setup!$E$23),Setup!$E$23,0),IF(OR($T54="Exact amounts",$T54="Custom units"),0,1))))))</f>
        <v>0</v>
      </c>
      <c r="X54" s="29">
        <f>IF($T54="",0,IF(OR(Setup!$B$24="",Setup!$C$24="No"),0,IF(ISNUMBER(K54),K54,IF($T54="Weights",IF(ISNUMBER(Setup!$D$24),Setup!$D$24,0),IF($T54="Nights",IF(ISNUMBER(Setup!$E$24),Setup!$E$24,0),IF(OR($T54="Exact amounts",$T54="Custom units"),0,1))))))</f>
        <v>0</v>
      </c>
      <c r="Y54" s="29">
        <f>IF($T54="",0,IF(OR(Setup!$B$25="",Setup!$C$25="No"),0,IF(ISNUMBER(L54),L54,IF($T54="Weights",IF(ISNUMBER(Setup!$D$25),Setup!$D$25,0),IF($T54="Nights",IF(ISNUMBER(Setup!$E$25),Setup!$E$25,0),IF(OR($T54="Exact amounts",$T54="Custom units"),0,1))))))</f>
        <v>0</v>
      </c>
      <c r="Z54" s="29">
        <f>IF($T54="",0,IF(OR(Setup!$B$26="",Setup!$C$26="No"),0,IF(ISNUMBER(M54),M54,IF($T54="Weights",IF(ISNUMBER(Setup!$D$26),Setup!$D$26,0),IF($T54="Nights",IF(ISNUMBER(Setup!$E$26),Setup!$E$26,0),IF(OR($T54="Exact amounts",$T54="Custom units"),0,1))))))</f>
        <v>0</v>
      </c>
      <c r="AA54" s="29">
        <f>IF($T54="",0,IF(OR(Setup!$B$27="",Setup!$C$27="No"),0,IF(ISNUMBER(N54),N54,IF($T54="Weights",IF(ISNUMBER(Setup!$D$27),Setup!$D$27,0),IF($T54="Nights",IF(ISNUMBER(Setup!$E$27),Setup!$E$27,0),IF(OR($T54="Exact amounts",$T54="Custom units"),0,1))))))</f>
        <v>0</v>
      </c>
      <c r="AB54" s="29">
        <f>IF($T54="",0,IF(OR(Setup!$B$28="",Setup!$C$28="No"),0,IF(ISNUMBER(O54),O54,IF($T54="Weights",IF(ISNUMBER(Setup!$D$28),Setup!$D$28,0),IF($T54="Nights",IF(ISNUMBER(Setup!$E$28),Setup!$E$28,0),IF(OR($T54="Exact amounts",$T54="Custom units"),0,1))))))</f>
        <v>0</v>
      </c>
      <c r="AC54" s="29">
        <f>IF($T54="",0,IF(OR(Setup!$B$29="",Setup!$C$29="No"),0,IF(ISNUMBER(P54),P54,IF($T54="Weights",IF(ISNUMBER(Setup!$D$29),Setup!$D$29,0),IF($T54="Nights",IF(ISNUMBER(Setup!$E$29),Setup!$E$29,0),IF(OR($T54="Exact amounts",$T54="Custom units"),0,1))))))</f>
        <v>0</v>
      </c>
      <c r="AD54" s="29">
        <f>IF($T54="",0,IF(OR(Setup!$B$30="",Setup!$C$30="No"),0,IF(ISNUMBER(Q54),Q54,IF($T54="Weights",IF(ISNUMBER(Setup!$D$30),Setup!$D$30,0),IF($T54="Nights",IF(ISNUMBER(Setup!$E$30),Setup!$E$30,0),IF(OR($T54="Exact amounts",$T54="Custom units"),0,1))))))</f>
        <v>0</v>
      </c>
      <c r="AE54" s="29">
        <f t="shared" si="1"/>
        <v>0</v>
      </c>
      <c r="AF54" s="30">
        <f t="shared" si="2"/>
        <v>1</v>
      </c>
      <c r="AG54" s="29">
        <f t="shared" si="3"/>
        <v>0</v>
      </c>
    </row>
    <row r="55" spans="1:33" ht="16" x14ac:dyDescent="0.2">
      <c r="A55" s="22" t="str">
        <f t="shared" si="0"/>
        <v>—</v>
      </c>
      <c r="B55" s="31"/>
      <c r="C55" s="11"/>
      <c r="D55" s="11"/>
      <c r="E55" s="32"/>
      <c r="F55" s="11"/>
      <c r="G55" s="11"/>
      <c r="H55" s="33"/>
      <c r="I55" s="33"/>
      <c r="J55" s="33"/>
      <c r="K55" s="33"/>
      <c r="L55" s="33"/>
      <c r="M55" s="33"/>
      <c r="N55" s="33"/>
      <c r="O55" s="33"/>
      <c r="P55" s="33"/>
      <c r="Q55" s="33"/>
      <c r="R55" s="26" t="str">
        <f>IF($T55="","",IF($D55="","Who paid?",IF(SUMPRODUCT((Setup!$B$21:$B$30=$D55)*1)=0,"Payer is not in the member list on Setup",IF($E55="","Amount missing — type the number in column E",IF(NOT(ISNUMBER($E55)),"Amount must be a plain number — no currency symbol, no text",IF(AND($T55="Custom units",$AE55&lt;=0),"Custom units: nobody has units on this row — type a number for at least one person",IF($AE55&lt;=0,"Nobody shares this row — check the person columns H–Q, and the Weight / Nights columns on Setup",IF(AND($T55="Exact amounts",ABS($AE55-$AG55)&gt;0.01),"Exact amounts do not add up to the amount","OK"))))))))</f>
        <v/>
      </c>
      <c r="S55" s="27" t="str">
        <f>IFERROR(IF(OR($T55="",$C$4=""),"—",ROUND($AG55*INDEX($U55:$AD55,1,MATCH($C$4,Setup!$B$21:$B$30,0))/$AF55,2)),"—")</f>
        <v>—</v>
      </c>
      <c r="T55" s="28" t="str">
        <f>IF(AND($C55="",$D55="",NOT(ISNUMBER($E55))),"",IF($G55="",IF(Setup!$C$17="","Equal",Setup!$C$17),$G55))</f>
        <v/>
      </c>
      <c r="U55" s="29">
        <f>IF($T55="",0,IF(OR(Setup!$B$21="",Setup!$C$21="No"),0,IF(ISNUMBER(H55),H55,IF($T55="Weights",IF(ISNUMBER(Setup!$D$21),Setup!$D$21,0),IF($T55="Nights",IF(ISNUMBER(Setup!$E$21),Setup!$E$21,0),IF(OR($T55="Exact amounts",$T55="Custom units"),0,1))))))</f>
        <v>0</v>
      </c>
      <c r="V55" s="29">
        <f>IF($T55="",0,IF(OR(Setup!$B$22="",Setup!$C$22="No"),0,IF(ISNUMBER(I55),I55,IF($T55="Weights",IF(ISNUMBER(Setup!$D$22),Setup!$D$22,0),IF($T55="Nights",IF(ISNUMBER(Setup!$E$22),Setup!$E$22,0),IF(OR($T55="Exact amounts",$T55="Custom units"),0,1))))))</f>
        <v>0</v>
      </c>
      <c r="W55" s="29">
        <f>IF($T55="",0,IF(OR(Setup!$B$23="",Setup!$C$23="No"),0,IF(ISNUMBER(J55),J55,IF($T55="Weights",IF(ISNUMBER(Setup!$D$23),Setup!$D$23,0),IF($T55="Nights",IF(ISNUMBER(Setup!$E$23),Setup!$E$23,0),IF(OR($T55="Exact amounts",$T55="Custom units"),0,1))))))</f>
        <v>0</v>
      </c>
      <c r="X55" s="29">
        <f>IF($T55="",0,IF(OR(Setup!$B$24="",Setup!$C$24="No"),0,IF(ISNUMBER(K55),K55,IF($T55="Weights",IF(ISNUMBER(Setup!$D$24),Setup!$D$24,0),IF($T55="Nights",IF(ISNUMBER(Setup!$E$24),Setup!$E$24,0),IF(OR($T55="Exact amounts",$T55="Custom units"),0,1))))))</f>
        <v>0</v>
      </c>
      <c r="Y55" s="29">
        <f>IF($T55="",0,IF(OR(Setup!$B$25="",Setup!$C$25="No"),0,IF(ISNUMBER(L55),L55,IF($T55="Weights",IF(ISNUMBER(Setup!$D$25),Setup!$D$25,0),IF($T55="Nights",IF(ISNUMBER(Setup!$E$25),Setup!$E$25,0),IF(OR($T55="Exact amounts",$T55="Custom units"),0,1))))))</f>
        <v>0</v>
      </c>
      <c r="Z55" s="29">
        <f>IF($T55="",0,IF(OR(Setup!$B$26="",Setup!$C$26="No"),0,IF(ISNUMBER(M55),M55,IF($T55="Weights",IF(ISNUMBER(Setup!$D$26),Setup!$D$26,0),IF($T55="Nights",IF(ISNUMBER(Setup!$E$26),Setup!$E$26,0),IF(OR($T55="Exact amounts",$T55="Custom units"),0,1))))))</f>
        <v>0</v>
      </c>
      <c r="AA55" s="29">
        <f>IF($T55="",0,IF(OR(Setup!$B$27="",Setup!$C$27="No"),0,IF(ISNUMBER(N55),N55,IF($T55="Weights",IF(ISNUMBER(Setup!$D$27),Setup!$D$27,0),IF($T55="Nights",IF(ISNUMBER(Setup!$E$27),Setup!$E$27,0),IF(OR($T55="Exact amounts",$T55="Custom units"),0,1))))))</f>
        <v>0</v>
      </c>
      <c r="AB55" s="29">
        <f>IF($T55="",0,IF(OR(Setup!$B$28="",Setup!$C$28="No"),0,IF(ISNUMBER(O55),O55,IF($T55="Weights",IF(ISNUMBER(Setup!$D$28),Setup!$D$28,0),IF($T55="Nights",IF(ISNUMBER(Setup!$E$28),Setup!$E$28,0),IF(OR($T55="Exact amounts",$T55="Custom units"),0,1))))))</f>
        <v>0</v>
      </c>
      <c r="AC55" s="29">
        <f>IF($T55="",0,IF(OR(Setup!$B$29="",Setup!$C$29="No"),0,IF(ISNUMBER(P55),P55,IF($T55="Weights",IF(ISNUMBER(Setup!$D$29),Setup!$D$29,0),IF($T55="Nights",IF(ISNUMBER(Setup!$E$29),Setup!$E$29,0),IF(OR($T55="Exact amounts",$T55="Custom units"),0,1))))))</f>
        <v>0</v>
      </c>
      <c r="AD55" s="29">
        <f>IF($T55="",0,IF(OR(Setup!$B$30="",Setup!$C$30="No"),0,IF(ISNUMBER(Q55),Q55,IF($T55="Weights",IF(ISNUMBER(Setup!$D$30),Setup!$D$30,0),IF($T55="Nights",IF(ISNUMBER(Setup!$E$30),Setup!$E$30,0),IF(OR($T55="Exact amounts",$T55="Custom units"),0,1))))))</f>
        <v>0</v>
      </c>
      <c r="AE55" s="29">
        <f t="shared" si="1"/>
        <v>0</v>
      </c>
      <c r="AF55" s="30">
        <f t="shared" si="2"/>
        <v>1</v>
      </c>
      <c r="AG55" s="29">
        <f t="shared" si="3"/>
        <v>0</v>
      </c>
    </row>
    <row r="56" spans="1:33" ht="16" x14ac:dyDescent="0.2">
      <c r="A56" s="22" t="str">
        <f t="shared" si="0"/>
        <v>—</v>
      </c>
      <c r="B56" s="23"/>
      <c r="C56" s="16"/>
      <c r="D56" s="16"/>
      <c r="E56" s="24"/>
      <c r="F56" s="16"/>
      <c r="G56" s="16"/>
      <c r="H56" s="25"/>
      <c r="I56" s="25"/>
      <c r="J56" s="25"/>
      <c r="K56" s="25"/>
      <c r="L56" s="25"/>
      <c r="M56" s="25"/>
      <c r="N56" s="25"/>
      <c r="O56" s="25"/>
      <c r="P56" s="25"/>
      <c r="Q56" s="25"/>
      <c r="R56" s="26" t="str">
        <f>IF($T56="","",IF($D56="","Who paid?",IF(SUMPRODUCT((Setup!$B$21:$B$30=$D56)*1)=0,"Payer is not in the member list on Setup",IF($E56="","Amount missing — type the number in column E",IF(NOT(ISNUMBER($E56)),"Amount must be a plain number — no currency symbol, no text",IF(AND($T56="Custom units",$AE56&lt;=0),"Custom units: nobody has units on this row — type a number for at least one person",IF($AE56&lt;=0,"Nobody shares this row — check the person columns H–Q, and the Weight / Nights columns on Setup",IF(AND($T56="Exact amounts",ABS($AE56-$AG56)&gt;0.01),"Exact amounts do not add up to the amount","OK"))))))))</f>
        <v/>
      </c>
      <c r="S56" s="27" t="str">
        <f>IFERROR(IF(OR($T56="",$C$4=""),"—",ROUND($AG56*INDEX($U56:$AD56,1,MATCH($C$4,Setup!$B$21:$B$30,0))/$AF56,2)),"—")</f>
        <v>—</v>
      </c>
      <c r="T56" s="28" t="str">
        <f>IF(AND($C56="",$D56="",NOT(ISNUMBER($E56))),"",IF($G56="",IF(Setup!$C$17="","Equal",Setup!$C$17),$G56))</f>
        <v/>
      </c>
      <c r="U56" s="29">
        <f>IF($T56="",0,IF(OR(Setup!$B$21="",Setup!$C$21="No"),0,IF(ISNUMBER(H56),H56,IF($T56="Weights",IF(ISNUMBER(Setup!$D$21),Setup!$D$21,0),IF($T56="Nights",IF(ISNUMBER(Setup!$E$21),Setup!$E$21,0),IF(OR($T56="Exact amounts",$T56="Custom units"),0,1))))))</f>
        <v>0</v>
      </c>
      <c r="V56" s="29">
        <f>IF($T56="",0,IF(OR(Setup!$B$22="",Setup!$C$22="No"),0,IF(ISNUMBER(I56),I56,IF($T56="Weights",IF(ISNUMBER(Setup!$D$22),Setup!$D$22,0),IF($T56="Nights",IF(ISNUMBER(Setup!$E$22),Setup!$E$22,0),IF(OR($T56="Exact amounts",$T56="Custom units"),0,1))))))</f>
        <v>0</v>
      </c>
      <c r="W56" s="29">
        <f>IF($T56="",0,IF(OR(Setup!$B$23="",Setup!$C$23="No"),0,IF(ISNUMBER(J56),J56,IF($T56="Weights",IF(ISNUMBER(Setup!$D$23),Setup!$D$23,0),IF($T56="Nights",IF(ISNUMBER(Setup!$E$23),Setup!$E$23,0),IF(OR($T56="Exact amounts",$T56="Custom units"),0,1))))))</f>
        <v>0</v>
      </c>
      <c r="X56" s="29">
        <f>IF($T56="",0,IF(OR(Setup!$B$24="",Setup!$C$24="No"),0,IF(ISNUMBER(K56),K56,IF($T56="Weights",IF(ISNUMBER(Setup!$D$24),Setup!$D$24,0),IF($T56="Nights",IF(ISNUMBER(Setup!$E$24),Setup!$E$24,0),IF(OR($T56="Exact amounts",$T56="Custom units"),0,1))))))</f>
        <v>0</v>
      </c>
      <c r="Y56" s="29">
        <f>IF($T56="",0,IF(OR(Setup!$B$25="",Setup!$C$25="No"),0,IF(ISNUMBER(L56),L56,IF($T56="Weights",IF(ISNUMBER(Setup!$D$25),Setup!$D$25,0),IF($T56="Nights",IF(ISNUMBER(Setup!$E$25),Setup!$E$25,0),IF(OR($T56="Exact amounts",$T56="Custom units"),0,1))))))</f>
        <v>0</v>
      </c>
      <c r="Z56" s="29">
        <f>IF($T56="",0,IF(OR(Setup!$B$26="",Setup!$C$26="No"),0,IF(ISNUMBER(M56),M56,IF($T56="Weights",IF(ISNUMBER(Setup!$D$26),Setup!$D$26,0),IF($T56="Nights",IF(ISNUMBER(Setup!$E$26),Setup!$E$26,0),IF(OR($T56="Exact amounts",$T56="Custom units"),0,1))))))</f>
        <v>0</v>
      </c>
      <c r="AA56" s="29">
        <f>IF($T56="",0,IF(OR(Setup!$B$27="",Setup!$C$27="No"),0,IF(ISNUMBER(N56),N56,IF($T56="Weights",IF(ISNUMBER(Setup!$D$27),Setup!$D$27,0),IF($T56="Nights",IF(ISNUMBER(Setup!$E$27),Setup!$E$27,0),IF(OR($T56="Exact amounts",$T56="Custom units"),0,1))))))</f>
        <v>0</v>
      </c>
      <c r="AB56" s="29">
        <f>IF($T56="",0,IF(OR(Setup!$B$28="",Setup!$C$28="No"),0,IF(ISNUMBER(O56),O56,IF($T56="Weights",IF(ISNUMBER(Setup!$D$28),Setup!$D$28,0),IF($T56="Nights",IF(ISNUMBER(Setup!$E$28),Setup!$E$28,0),IF(OR($T56="Exact amounts",$T56="Custom units"),0,1))))))</f>
        <v>0</v>
      </c>
      <c r="AC56" s="29">
        <f>IF($T56="",0,IF(OR(Setup!$B$29="",Setup!$C$29="No"),0,IF(ISNUMBER(P56),P56,IF($T56="Weights",IF(ISNUMBER(Setup!$D$29),Setup!$D$29,0),IF($T56="Nights",IF(ISNUMBER(Setup!$E$29),Setup!$E$29,0),IF(OR($T56="Exact amounts",$T56="Custom units"),0,1))))))</f>
        <v>0</v>
      </c>
      <c r="AD56" s="29">
        <f>IF($T56="",0,IF(OR(Setup!$B$30="",Setup!$C$30="No"),0,IF(ISNUMBER(Q56),Q56,IF($T56="Weights",IF(ISNUMBER(Setup!$D$30),Setup!$D$30,0),IF($T56="Nights",IF(ISNUMBER(Setup!$E$30),Setup!$E$30,0),IF(OR($T56="Exact amounts",$T56="Custom units"),0,1))))))</f>
        <v>0</v>
      </c>
      <c r="AE56" s="29">
        <f t="shared" si="1"/>
        <v>0</v>
      </c>
      <c r="AF56" s="30">
        <f t="shared" si="2"/>
        <v>1</v>
      </c>
      <c r="AG56" s="29">
        <f t="shared" si="3"/>
        <v>0</v>
      </c>
    </row>
    <row r="57" spans="1:33" ht="16" x14ac:dyDescent="0.2">
      <c r="A57" s="22" t="str">
        <f t="shared" si="0"/>
        <v>—</v>
      </c>
      <c r="B57" s="31"/>
      <c r="C57" s="11"/>
      <c r="D57" s="11"/>
      <c r="E57" s="32"/>
      <c r="F57" s="11"/>
      <c r="G57" s="11"/>
      <c r="H57" s="33"/>
      <c r="I57" s="33"/>
      <c r="J57" s="33"/>
      <c r="K57" s="33"/>
      <c r="L57" s="33"/>
      <c r="M57" s="33"/>
      <c r="N57" s="33"/>
      <c r="O57" s="33"/>
      <c r="P57" s="33"/>
      <c r="Q57" s="33"/>
      <c r="R57" s="26" t="str">
        <f>IF($T57="","",IF($D57="","Who paid?",IF(SUMPRODUCT((Setup!$B$21:$B$30=$D57)*1)=0,"Payer is not in the member list on Setup",IF($E57="","Amount missing — type the number in column E",IF(NOT(ISNUMBER($E57)),"Amount must be a plain number — no currency symbol, no text",IF(AND($T57="Custom units",$AE57&lt;=0),"Custom units: nobody has units on this row — type a number for at least one person",IF($AE57&lt;=0,"Nobody shares this row — check the person columns H–Q, and the Weight / Nights columns on Setup",IF(AND($T57="Exact amounts",ABS($AE57-$AG57)&gt;0.01),"Exact amounts do not add up to the amount","OK"))))))))</f>
        <v/>
      </c>
      <c r="S57" s="27" t="str">
        <f>IFERROR(IF(OR($T57="",$C$4=""),"—",ROUND($AG57*INDEX($U57:$AD57,1,MATCH($C$4,Setup!$B$21:$B$30,0))/$AF57,2)),"—")</f>
        <v>—</v>
      </c>
      <c r="T57" s="28" t="str">
        <f>IF(AND($C57="",$D57="",NOT(ISNUMBER($E57))),"",IF($G57="",IF(Setup!$C$17="","Equal",Setup!$C$17),$G57))</f>
        <v/>
      </c>
      <c r="U57" s="29">
        <f>IF($T57="",0,IF(OR(Setup!$B$21="",Setup!$C$21="No"),0,IF(ISNUMBER(H57),H57,IF($T57="Weights",IF(ISNUMBER(Setup!$D$21),Setup!$D$21,0),IF($T57="Nights",IF(ISNUMBER(Setup!$E$21),Setup!$E$21,0),IF(OR($T57="Exact amounts",$T57="Custom units"),0,1))))))</f>
        <v>0</v>
      </c>
      <c r="V57" s="29">
        <f>IF($T57="",0,IF(OR(Setup!$B$22="",Setup!$C$22="No"),0,IF(ISNUMBER(I57),I57,IF($T57="Weights",IF(ISNUMBER(Setup!$D$22),Setup!$D$22,0),IF($T57="Nights",IF(ISNUMBER(Setup!$E$22),Setup!$E$22,0),IF(OR($T57="Exact amounts",$T57="Custom units"),0,1))))))</f>
        <v>0</v>
      </c>
      <c r="W57" s="29">
        <f>IF($T57="",0,IF(OR(Setup!$B$23="",Setup!$C$23="No"),0,IF(ISNUMBER(J57),J57,IF($T57="Weights",IF(ISNUMBER(Setup!$D$23),Setup!$D$23,0),IF($T57="Nights",IF(ISNUMBER(Setup!$E$23),Setup!$E$23,0),IF(OR($T57="Exact amounts",$T57="Custom units"),0,1))))))</f>
        <v>0</v>
      </c>
      <c r="X57" s="29">
        <f>IF($T57="",0,IF(OR(Setup!$B$24="",Setup!$C$24="No"),0,IF(ISNUMBER(K57),K57,IF($T57="Weights",IF(ISNUMBER(Setup!$D$24),Setup!$D$24,0),IF($T57="Nights",IF(ISNUMBER(Setup!$E$24),Setup!$E$24,0),IF(OR($T57="Exact amounts",$T57="Custom units"),0,1))))))</f>
        <v>0</v>
      </c>
      <c r="Y57" s="29">
        <f>IF($T57="",0,IF(OR(Setup!$B$25="",Setup!$C$25="No"),0,IF(ISNUMBER(L57),L57,IF($T57="Weights",IF(ISNUMBER(Setup!$D$25),Setup!$D$25,0),IF($T57="Nights",IF(ISNUMBER(Setup!$E$25),Setup!$E$25,0),IF(OR($T57="Exact amounts",$T57="Custom units"),0,1))))))</f>
        <v>0</v>
      </c>
      <c r="Z57" s="29">
        <f>IF($T57="",0,IF(OR(Setup!$B$26="",Setup!$C$26="No"),0,IF(ISNUMBER(M57),M57,IF($T57="Weights",IF(ISNUMBER(Setup!$D$26),Setup!$D$26,0),IF($T57="Nights",IF(ISNUMBER(Setup!$E$26),Setup!$E$26,0),IF(OR($T57="Exact amounts",$T57="Custom units"),0,1))))))</f>
        <v>0</v>
      </c>
      <c r="AA57" s="29">
        <f>IF($T57="",0,IF(OR(Setup!$B$27="",Setup!$C$27="No"),0,IF(ISNUMBER(N57),N57,IF($T57="Weights",IF(ISNUMBER(Setup!$D$27),Setup!$D$27,0),IF($T57="Nights",IF(ISNUMBER(Setup!$E$27),Setup!$E$27,0),IF(OR($T57="Exact amounts",$T57="Custom units"),0,1))))))</f>
        <v>0</v>
      </c>
      <c r="AB57" s="29">
        <f>IF($T57="",0,IF(OR(Setup!$B$28="",Setup!$C$28="No"),0,IF(ISNUMBER(O57),O57,IF($T57="Weights",IF(ISNUMBER(Setup!$D$28),Setup!$D$28,0),IF($T57="Nights",IF(ISNUMBER(Setup!$E$28),Setup!$E$28,0),IF(OR($T57="Exact amounts",$T57="Custom units"),0,1))))))</f>
        <v>0</v>
      </c>
      <c r="AC57" s="29">
        <f>IF($T57="",0,IF(OR(Setup!$B$29="",Setup!$C$29="No"),0,IF(ISNUMBER(P57),P57,IF($T57="Weights",IF(ISNUMBER(Setup!$D$29),Setup!$D$29,0),IF($T57="Nights",IF(ISNUMBER(Setup!$E$29),Setup!$E$29,0),IF(OR($T57="Exact amounts",$T57="Custom units"),0,1))))))</f>
        <v>0</v>
      </c>
      <c r="AD57" s="29">
        <f>IF($T57="",0,IF(OR(Setup!$B$30="",Setup!$C$30="No"),0,IF(ISNUMBER(Q57),Q57,IF($T57="Weights",IF(ISNUMBER(Setup!$D$30),Setup!$D$30,0),IF($T57="Nights",IF(ISNUMBER(Setup!$E$30),Setup!$E$30,0),IF(OR($T57="Exact amounts",$T57="Custom units"),0,1))))))</f>
        <v>0</v>
      </c>
      <c r="AE57" s="29">
        <f t="shared" si="1"/>
        <v>0</v>
      </c>
      <c r="AF57" s="30">
        <f t="shared" si="2"/>
        <v>1</v>
      </c>
      <c r="AG57" s="29">
        <f t="shared" si="3"/>
        <v>0</v>
      </c>
    </row>
    <row r="58" spans="1:33" ht="16" x14ac:dyDescent="0.2">
      <c r="A58" s="22" t="str">
        <f t="shared" si="0"/>
        <v>—</v>
      </c>
      <c r="B58" s="23"/>
      <c r="C58" s="16"/>
      <c r="D58" s="16"/>
      <c r="E58" s="24"/>
      <c r="F58" s="16"/>
      <c r="G58" s="16"/>
      <c r="H58" s="25"/>
      <c r="I58" s="25"/>
      <c r="J58" s="25"/>
      <c r="K58" s="25"/>
      <c r="L58" s="25"/>
      <c r="M58" s="25"/>
      <c r="N58" s="25"/>
      <c r="O58" s="25"/>
      <c r="P58" s="25"/>
      <c r="Q58" s="25"/>
      <c r="R58" s="26" t="str">
        <f>IF($T58="","",IF($D58="","Who paid?",IF(SUMPRODUCT((Setup!$B$21:$B$30=$D58)*1)=0,"Payer is not in the member list on Setup",IF($E58="","Amount missing — type the number in column E",IF(NOT(ISNUMBER($E58)),"Amount must be a plain number — no currency symbol, no text",IF(AND($T58="Custom units",$AE58&lt;=0),"Custom units: nobody has units on this row — type a number for at least one person",IF($AE58&lt;=0,"Nobody shares this row — check the person columns H–Q, and the Weight / Nights columns on Setup",IF(AND($T58="Exact amounts",ABS($AE58-$AG58)&gt;0.01),"Exact amounts do not add up to the amount","OK"))))))))</f>
        <v/>
      </c>
      <c r="S58" s="27" t="str">
        <f>IFERROR(IF(OR($T58="",$C$4=""),"—",ROUND($AG58*INDEX($U58:$AD58,1,MATCH($C$4,Setup!$B$21:$B$30,0))/$AF58,2)),"—")</f>
        <v>—</v>
      </c>
      <c r="T58" s="28" t="str">
        <f>IF(AND($C58="",$D58="",NOT(ISNUMBER($E58))),"",IF($G58="",IF(Setup!$C$17="","Equal",Setup!$C$17),$G58))</f>
        <v/>
      </c>
      <c r="U58" s="29">
        <f>IF($T58="",0,IF(OR(Setup!$B$21="",Setup!$C$21="No"),0,IF(ISNUMBER(H58),H58,IF($T58="Weights",IF(ISNUMBER(Setup!$D$21),Setup!$D$21,0),IF($T58="Nights",IF(ISNUMBER(Setup!$E$21),Setup!$E$21,0),IF(OR($T58="Exact amounts",$T58="Custom units"),0,1))))))</f>
        <v>0</v>
      </c>
      <c r="V58" s="29">
        <f>IF($T58="",0,IF(OR(Setup!$B$22="",Setup!$C$22="No"),0,IF(ISNUMBER(I58),I58,IF($T58="Weights",IF(ISNUMBER(Setup!$D$22),Setup!$D$22,0),IF($T58="Nights",IF(ISNUMBER(Setup!$E$22),Setup!$E$22,0),IF(OR($T58="Exact amounts",$T58="Custom units"),0,1))))))</f>
        <v>0</v>
      </c>
      <c r="W58" s="29">
        <f>IF($T58="",0,IF(OR(Setup!$B$23="",Setup!$C$23="No"),0,IF(ISNUMBER(J58),J58,IF($T58="Weights",IF(ISNUMBER(Setup!$D$23),Setup!$D$23,0),IF($T58="Nights",IF(ISNUMBER(Setup!$E$23),Setup!$E$23,0),IF(OR($T58="Exact amounts",$T58="Custom units"),0,1))))))</f>
        <v>0</v>
      </c>
      <c r="X58" s="29">
        <f>IF($T58="",0,IF(OR(Setup!$B$24="",Setup!$C$24="No"),0,IF(ISNUMBER(K58),K58,IF($T58="Weights",IF(ISNUMBER(Setup!$D$24),Setup!$D$24,0),IF($T58="Nights",IF(ISNUMBER(Setup!$E$24),Setup!$E$24,0),IF(OR($T58="Exact amounts",$T58="Custom units"),0,1))))))</f>
        <v>0</v>
      </c>
      <c r="Y58" s="29">
        <f>IF($T58="",0,IF(OR(Setup!$B$25="",Setup!$C$25="No"),0,IF(ISNUMBER(L58),L58,IF($T58="Weights",IF(ISNUMBER(Setup!$D$25),Setup!$D$25,0),IF($T58="Nights",IF(ISNUMBER(Setup!$E$25),Setup!$E$25,0),IF(OR($T58="Exact amounts",$T58="Custom units"),0,1))))))</f>
        <v>0</v>
      </c>
      <c r="Z58" s="29">
        <f>IF($T58="",0,IF(OR(Setup!$B$26="",Setup!$C$26="No"),0,IF(ISNUMBER(M58),M58,IF($T58="Weights",IF(ISNUMBER(Setup!$D$26),Setup!$D$26,0),IF($T58="Nights",IF(ISNUMBER(Setup!$E$26),Setup!$E$26,0),IF(OR($T58="Exact amounts",$T58="Custom units"),0,1))))))</f>
        <v>0</v>
      </c>
      <c r="AA58" s="29">
        <f>IF($T58="",0,IF(OR(Setup!$B$27="",Setup!$C$27="No"),0,IF(ISNUMBER(N58),N58,IF($T58="Weights",IF(ISNUMBER(Setup!$D$27),Setup!$D$27,0),IF($T58="Nights",IF(ISNUMBER(Setup!$E$27),Setup!$E$27,0),IF(OR($T58="Exact amounts",$T58="Custom units"),0,1))))))</f>
        <v>0</v>
      </c>
      <c r="AB58" s="29">
        <f>IF($T58="",0,IF(OR(Setup!$B$28="",Setup!$C$28="No"),0,IF(ISNUMBER(O58),O58,IF($T58="Weights",IF(ISNUMBER(Setup!$D$28),Setup!$D$28,0),IF($T58="Nights",IF(ISNUMBER(Setup!$E$28),Setup!$E$28,0),IF(OR($T58="Exact amounts",$T58="Custom units"),0,1))))))</f>
        <v>0</v>
      </c>
      <c r="AC58" s="29">
        <f>IF($T58="",0,IF(OR(Setup!$B$29="",Setup!$C$29="No"),0,IF(ISNUMBER(P58),P58,IF($T58="Weights",IF(ISNUMBER(Setup!$D$29),Setup!$D$29,0),IF($T58="Nights",IF(ISNUMBER(Setup!$E$29),Setup!$E$29,0),IF(OR($T58="Exact amounts",$T58="Custom units"),0,1))))))</f>
        <v>0</v>
      </c>
      <c r="AD58" s="29">
        <f>IF($T58="",0,IF(OR(Setup!$B$30="",Setup!$C$30="No"),0,IF(ISNUMBER(Q58),Q58,IF($T58="Weights",IF(ISNUMBER(Setup!$D$30),Setup!$D$30,0),IF($T58="Nights",IF(ISNUMBER(Setup!$E$30),Setup!$E$30,0),IF(OR($T58="Exact amounts",$T58="Custom units"),0,1))))))</f>
        <v>0</v>
      </c>
      <c r="AE58" s="29">
        <f t="shared" si="1"/>
        <v>0</v>
      </c>
      <c r="AF58" s="30">
        <f t="shared" si="2"/>
        <v>1</v>
      </c>
      <c r="AG58" s="29">
        <f t="shared" si="3"/>
        <v>0</v>
      </c>
    </row>
    <row r="59" spans="1:33" ht="16" x14ac:dyDescent="0.2">
      <c r="A59" s="22" t="str">
        <f t="shared" si="0"/>
        <v>—</v>
      </c>
      <c r="B59" s="31"/>
      <c r="C59" s="11"/>
      <c r="D59" s="11"/>
      <c r="E59" s="32"/>
      <c r="F59" s="11"/>
      <c r="G59" s="11"/>
      <c r="H59" s="33"/>
      <c r="I59" s="33"/>
      <c r="J59" s="33"/>
      <c r="K59" s="33"/>
      <c r="L59" s="33"/>
      <c r="M59" s="33"/>
      <c r="N59" s="33"/>
      <c r="O59" s="33"/>
      <c r="P59" s="33"/>
      <c r="Q59" s="33"/>
      <c r="R59" s="26" t="str">
        <f>IF($T59="","",IF($D59="","Who paid?",IF(SUMPRODUCT((Setup!$B$21:$B$30=$D59)*1)=0,"Payer is not in the member list on Setup",IF($E59="","Amount missing — type the number in column E",IF(NOT(ISNUMBER($E59)),"Amount must be a plain number — no currency symbol, no text",IF(AND($T59="Custom units",$AE59&lt;=0),"Custom units: nobody has units on this row — type a number for at least one person",IF($AE59&lt;=0,"Nobody shares this row — check the person columns H–Q, and the Weight / Nights columns on Setup",IF(AND($T59="Exact amounts",ABS($AE59-$AG59)&gt;0.01),"Exact amounts do not add up to the amount","OK"))))))))</f>
        <v/>
      </c>
      <c r="S59" s="27" t="str">
        <f>IFERROR(IF(OR($T59="",$C$4=""),"—",ROUND($AG59*INDEX($U59:$AD59,1,MATCH($C$4,Setup!$B$21:$B$30,0))/$AF59,2)),"—")</f>
        <v>—</v>
      </c>
      <c r="T59" s="28" t="str">
        <f>IF(AND($C59="",$D59="",NOT(ISNUMBER($E59))),"",IF($G59="",IF(Setup!$C$17="","Equal",Setup!$C$17),$G59))</f>
        <v/>
      </c>
      <c r="U59" s="29">
        <f>IF($T59="",0,IF(OR(Setup!$B$21="",Setup!$C$21="No"),0,IF(ISNUMBER(H59),H59,IF($T59="Weights",IF(ISNUMBER(Setup!$D$21),Setup!$D$21,0),IF($T59="Nights",IF(ISNUMBER(Setup!$E$21),Setup!$E$21,0),IF(OR($T59="Exact amounts",$T59="Custom units"),0,1))))))</f>
        <v>0</v>
      </c>
      <c r="V59" s="29">
        <f>IF($T59="",0,IF(OR(Setup!$B$22="",Setup!$C$22="No"),0,IF(ISNUMBER(I59),I59,IF($T59="Weights",IF(ISNUMBER(Setup!$D$22),Setup!$D$22,0),IF($T59="Nights",IF(ISNUMBER(Setup!$E$22),Setup!$E$22,0),IF(OR($T59="Exact amounts",$T59="Custom units"),0,1))))))</f>
        <v>0</v>
      </c>
      <c r="W59" s="29">
        <f>IF($T59="",0,IF(OR(Setup!$B$23="",Setup!$C$23="No"),0,IF(ISNUMBER(J59),J59,IF($T59="Weights",IF(ISNUMBER(Setup!$D$23),Setup!$D$23,0),IF($T59="Nights",IF(ISNUMBER(Setup!$E$23),Setup!$E$23,0),IF(OR($T59="Exact amounts",$T59="Custom units"),0,1))))))</f>
        <v>0</v>
      </c>
      <c r="X59" s="29">
        <f>IF($T59="",0,IF(OR(Setup!$B$24="",Setup!$C$24="No"),0,IF(ISNUMBER(K59),K59,IF($T59="Weights",IF(ISNUMBER(Setup!$D$24),Setup!$D$24,0),IF($T59="Nights",IF(ISNUMBER(Setup!$E$24),Setup!$E$24,0),IF(OR($T59="Exact amounts",$T59="Custom units"),0,1))))))</f>
        <v>0</v>
      </c>
      <c r="Y59" s="29">
        <f>IF($T59="",0,IF(OR(Setup!$B$25="",Setup!$C$25="No"),0,IF(ISNUMBER(L59),L59,IF($T59="Weights",IF(ISNUMBER(Setup!$D$25),Setup!$D$25,0),IF($T59="Nights",IF(ISNUMBER(Setup!$E$25),Setup!$E$25,0),IF(OR($T59="Exact amounts",$T59="Custom units"),0,1))))))</f>
        <v>0</v>
      </c>
      <c r="Z59" s="29">
        <f>IF($T59="",0,IF(OR(Setup!$B$26="",Setup!$C$26="No"),0,IF(ISNUMBER(M59),M59,IF($T59="Weights",IF(ISNUMBER(Setup!$D$26),Setup!$D$26,0),IF($T59="Nights",IF(ISNUMBER(Setup!$E$26),Setup!$E$26,0),IF(OR($T59="Exact amounts",$T59="Custom units"),0,1))))))</f>
        <v>0</v>
      </c>
      <c r="AA59" s="29">
        <f>IF($T59="",0,IF(OR(Setup!$B$27="",Setup!$C$27="No"),0,IF(ISNUMBER(N59),N59,IF($T59="Weights",IF(ISNUMBER(Setup!$D$27),Setup!$D$27,0),IF($T59="Nights",IF(ISNUMBER(Setup!$E$27),Setup!$E$27,0),IF(OR($T59="Exact amounts",$T59="Custom units"),0,1))))))</f>
        <v>0</v>
      </c>
      <c r="AB59" s="29">
        <f>IF($T59="",0,IF(OR(Setup!$B$28="",Setup!$C$28="No"),0,IF(ISNUMBER(O59),O59,IF($T59="Weights",IF(ISNUMBER(Setup!$D$28),Setup!$D$28,0),IF($T59="Nights",IF(ISNUMBER(Setup!$E$28),Setup!$E$28,0),IF(OR($T59="Exact amounts",$T59="Custom units"),0,1))))))</f>
        <v>0</v>
      </c>
      <c r="AC59" s="29">
        <f>IF($T59="",0,IF(OR(Setup!$B$29="",Setup!$C$29="No"),0,IF(ISNUMBER(P59),P59,IF($T59="Weights",IF(ISNUMBER(Setup!$D$29),Setup!$D$29,0),IF($T59="Nights",IF(ISNUMBER(Setup!$E$29),Setup!$E$29,0),IF(OR($T59="Exact amounts",$T59="Custom units"),0,1))))))</f>
        <v>0</v>
      </c>
      <c r="AD59" s="29">
        <f>IF($T59="",0,IF(OR(Setup!$B$30="",Setup!$C$30="No"),0,IF(ISNUMBER(Q59),Q59,IF($T59="Weights",IF(ISNUMBER(Setup!$D$30),Setup!$D$30,0),IF($T59="Nights",IF(ISNUMBER(Setup!$E$30),Setup!$E$30,0),IF(OR($T59="Exact amounts",$T59="Custom units"),0,1))))))</f>
        <v>0</v>
      </c>
      <c r="AE59" s="29">
        <f t="shared" si="1"/>
        <v>0</v>
      </c>
      <c r="AF59" s="30">
        <f t="shared" si="2"/>
        <v>1</v>
      </c>
      <c r="AG59" s="29">
        <f t="shared" si="3"/>
        <v>0</v>
      </c>
    </row>
    <row r="60" spans="1:33" ht="16" x14ac:dyDescent="0.2">
      <c r="A60" s="22" t="str">
        <f t="shared" si="0"/>
        <v>—</v>
      </c>
      <c r="B60" s="23"/>
      <c r="C60" s="16"/>
      <c r="D60" s="16"/>
      <c r="E60" s="24"/>
      <c r="F60" s="16"/>
      <c r="G60" s="16"/>
      <c r="H60" s="25"/>
      <c r="I60" s="25"/>
      <c r="J60" s="25"/>
      <c r="K60" s="25"/>
      <c r="L60" s="25"/>
      <c r="M60" s="25"/>
      <c r="N60" s="25"/>
      <c r="O60" s="25"/>
      <c r="P60" s="25"/>
      <c r="Q60" s="25"/>
      <c r="R60" s="26" t="str">
        <f>IF($T60="","",IF($D60="","Who paid?",IF(SUMPRODUCT((Setup!$B$21:$B$30=$D60)*1)=0,"Payer is not in the member list on Setup",IF($E60="","Amount missing — type the number in column E",IF(NOT(ISNUMBER($E60)),"Amount must be a plain number — no currency symbol, no text",IF(AND($T60="Custom units",$AE60&lt;=0),"Custom units: nobody has units on this row — type a number for at least one person",IF($AE60&lt;=0,"Nobody shares this row — check the person columns H–Q, and the Weight / Nights columns on Setup",IF(AND($T60="Exact amounts",ABS($AE60-$AG60)&gt;0.01),"Exact amounts do not add up to the amount","OK"))))))))</f>
        <v/>
      </c>
      <c r="S60" s="27" t="str">
        <f>IFERROR(IF(OR($T60="",$C$4=""),"—",ROUND($AG60*INDEX($U60:$AD60,1,MATCH($C$4,Setup!$B$21:$B$30,0))/$AF60,2)),"—")</f>
        <v>—</v>
      </c>
      <c r="T60" s="28" t="str">
        <f>IF(AND($C60="",$D60="",NOT(ISNUMBER($E60))),"",IF($G60="",IF(Setup!$C$17="","Equal",Setup!$C$17),$G60))</f>
        <v/>
      </c>
      <c r="U60" s="29">
        <f>IF($T60="",0,IF(OR(Setup!$B$21="",Setup!$C$21="No"),0,IF(ISNUMBER(H60),H60,IF($T60="Weights",IF(ISNUMBER(Setup!$D$21),Setup!$D$21,0),IF($T60="Nights",IF(ISNUMBER(Setup!$E$21),Setup!$E$21,0),IF(OR($T60="Exact amounts",$T60="Custom units"),0,1))))))</f>
        <v>0</v>
      </c>
      <c r="V60" s="29">
        <f>IF($T60="",0,IF(OR(Setup!$B$22="",Setup!$C$22="No"),0,IF(ISNUMBER(I60),I60,IF($T60="Weights",IF(ISNUMBER(Setup!$D$22),Setup!$D$22,0),IF($T60="Nights",IF(ISNUMBER(Setup!$E$22),Setup!$E$22,0),IF(OR($T60="Exact amounts",$T60="Custom units"),0,1))))))</f>
        <v>0</v>
      </c>
      <c r="W60" s="29">
        <f>IF($T60="",0,IF(OR(Setup!$B$23="",Setup!$C$23="No"),0,IF(ISNUMBER(J60),J60,IF($T60="Weights",IF(ISNUMBER(Setup!$D$23),Setup!$D$23,0),IF($T60="Nights",IF(ISNUMBER(Setup!$E$23),Setup!$E$23,0),IF(OR($T60="Exact amounts",$T60="Custom units"),0,1))))))</f>
        <v>0</v>
      </c>
      <c r="X60" s="29">
        <f>IF($T60="",0,IF(OR(Setup!$B$24="",Setup!$C$24="No"),0,IF(ISNUMBER(K60),K60,IF($T60="Weights",IF(ISNUMBER(Setup!$D$24),Setup!$D$24,0),IF($T60="Nights",IF(ISNUMBER(Setup!$E$24),Setup!$E$24,0),IF(OR($T60="Exact amounts",$T60="Custom units"),0,1))))))</f>
        <v>0</v>
      </c>
      <c r="Y60" s="29">
        <f>IF($T60="",0,IF(OR(Setup!$B$25="",Setup!$C$25="No"),0,IF(ISNUMBER(L60),L60,IF($T60="Weights",IF(ISNUMBER(Setup!$D$25),Setup!$D$25,0),IF($T60="Nights",IF(ISNUMBER(Setup!$E$25),Setup!$E$25,0),IF(OR($T60="Exact amounts",$T60="Custom units"),0,1))))))</f>
        <v>0</v>
      </c>
      <c r="Z60" s="29">
        <f>IF($T60="",0,IF(OR(Setup!$B$26="",Setup!$C$26="No"),0,IF(ISNUMBER(M60),M60,IF($T60="Weights",IF(ISNUMBER(Setup!$D$26),Setup!$D$26,0),IF($T60="Nights",IF(ISNUMBER(Setup!$E$26),Setup!$E$26,0),IF(OR($T60="Exact amounts",$T60="Custom units"),0,1))))))</f>
        <v>0</v>
      </c>
      <c r="AA60" s="29">
        <f>IF($T60="",0,IF(OR(Setup!$B$27="",Setup!$C$27="No"),0,IF(ISNUMBER(N60),N60,IF($T60="Weights",IF(ISNUMBER(Setup!$D$27),Setup!$D$27,0),IF($T60="Nights",IF(ISNUMBER(Setup!$E$27),Setup!$E$27,0),IF(OR($T60="Exact amounts",$T60="Custom units"),0,1))))))</f>
        <v>0</v>
      </c>
      <c r="AB60" s="29">
        <f>IF($T60="",0,IF(OR(Setup!$B$28="",Setup!$C$28="No"),0,IF(ISNUMBER(O60),O60,IF($T60="Weights",IF(ISNUMBER(Setup!$D$28),Setup!$D$28,0),IF($T60="Nights",IF(ISNUMBER(Setup!$E$28),Setup!$E$28,0),IF(OR($T60="Exact amounts",$T60="Custom units"),0,1))))))</f>
        <v>0</v>
      </c>
      <c r="AC60" s="29">
        <f>IF($T60="",0,IF(OR(Setup!$B$29="",Setup!$C$29="No"),0,IF(ISNUMBER(P60),P60,IF($T60="Weights",IF(ISNUMBER(Setup!$D$29),Setup!$D$29,0),IF($T60="Nights",IF(ISNUMBER(Setup!$E$29),Setup!$E$29,0),IF(OR($T60="Exact amounts",$T60="Custom units"),0,1))))))</f>
        <v>0</v>
      </c>
      <c r="AD60" s="29">
        <f>IF($T60="",0,IF(OR(Setup!$B$30="",Setup!$C$30="No"),0,IF(ISNUMBER(Q60),Q60,IF($T60="Weights",IF(ISNUMBER(Setup!$D$30),Setup!$D$30,0),IF($T60="Nights",IF(ISNUMBER(Setup!$E$30),Setup!$E$30,0),IF(OR($T60="Exact amounts",$T60="Custom units"),0,1))))))</f>
        <v>0</v>
      </c>
      <c r="AE60" s="29">
        <f t="shared" si="1"/>
        <v>0</v>
      </c>
      <c r="AF60" s="30">
        <f t="shared" si="2"/>
        <v>1</v>
      </c>
      <c r="AG60" s="29">
        <f t="shared" si="3"/>
        <v>0</v>
      </c>
    </row>
    <row r="61" spans="1:33" ht="16" x14ac:dyDescent="0.2">
      <c r="A61" s="22" t="str">
        <f t="shared" si="0"/>
        <v>—</v>
      </c>
      <c r="B61" s="31"/>
      <c r="C61" s="11"/>
      <c r="D61" s="11"/>
      <c r="E61" s="32"/>
      <c r="F61" s="11"/>
      <c r="G61" s="11"/>
      <c r="H61" s="33"/>
      <c r="I61" s="33"/>
      <c r="J61" s="33"/>
      <c r="K61" s="33"/>
      <c r="L61" s="33"/>
      <c r="M61" s="33"/>
      <c r="N61" s="33"/>
      <c r="O61" s="33"/>
      <c r="P61" s="33"/>
      <c r="Q61" s="33"/>
      <c r="R61" s="26" t="str">
        <f>IF($T61="","",IF($D61="","Who paid?",IF(SUMPRODUCT((Setup!$B$21:$B$30=$D61)*1)=0,"Payer is not in the member list on Setup",IF($E61="","Amount missing — type the number in column E",IF(NOT(ISNUMBER($E61)),"Amount must be a plain number — no currency symbol, no text",IF(AND($T61="Custom units",$AE61&lt;=0),"Custom units: nobody has units on this row — type a number for at least one person",IF($AE61&lt;=0,"Nobody shares this row — check the person columns H–Q, and the Weight / Nights columns on Setup",IF(AND($T61="Exact amounts",ABS($AE61-$AG61)&gt;0.01),"Exact amounts do not add up to the amount","OK"))))))))</f>
        <v/>
      </c>
      <c r="S61" s="27" t="str">
        <f>IFERROR(IF(OR($T61="",$C$4=""),"—",ROUND($AG61*INDEX($U61:$AD61,1,MATCH($C$4,Setup!$B$21:$B$30,0))/$AF61,2)),"—")</f>
        <v>—</v>
      </c>
      <c r="T61" s="28" t="str">
        <f>IF(AND($C61="",$D61="",NOT(ISNUMBER($E61))),"",IF($G61="",IF(Setup!$C$17="","Equal",Setup!$C$17),$G61))</f>
        <v/>
      </c>
      <c r="U61" s="29">
        <f>IF($T61="",0,IF(OR(Setup!$B$21="",Setup!$C$21="No"),0,IF(ISNUMBER(H61),H61,IF($T61="Weights",IF(ISNUMBER(Setup!$D$21),Setup!$D$21,0),IF($T61="Nights",IF(ISNUMBER(Setup!$E$21),Setup!$E$21,0),IF(OR($T61="Exact amounts",$T61="Custom units"),0,1))))))</f>
        <v>0</v>
      </c>
      <c r="V61" s="29">
        <f>IF($T61="",0,IF(OR(Setup!$B$22="",Setup!$C$22="No"),0,IF(ISNUMBER(I61),I61,IF($T61="Weights",IF(ISNUMBER(Setup!$D$22),Setup!$D$22,0),IF($T61="Nights",IF(ISNUMBER(Setup!$E$22),Setup!$E$22,0),IF(OR($T61="Exact amounts",$T61="Custom units"),0,1))))))</f>
        <v>0</v>
      </c>
      <c r="W61" s="29">
        <f>IF($T61="",0,IF(OR(Setup!$B$23="",Setup!$C$23="No"),0,IF(ISNUMBER(J61),J61,IF($T61="Weights",IF(ISNUMBER(Setup!$D$23),Setup!$D$23,0),IF($T61="Nights",IF(ISNUMBER(Setup!$E$23),Setup!$E$23,0),IF(OR($T61="Exact amounts",$T61="Custom units"),0,1))))))</f>
        <v>0</v>
      </c>
      <c r="X61" s="29">
        <f>IF($T61="",0,IF(OR(Setup!$B$24="",Setup!$C$24="No"),0,IF(ISNUMBER(K61),K61,IF($T61="Weights",IF(ISNUMBER(Setup!$D$24),Setup!$D$24,0),IF($T61="Nights",IF(ISNUMBER(Setup!$E$24),Setup!$E$24,0),IF(OR($T61="Exact amounts",$T61="Custom units"),0,1))))))</f>
        <v>0</v>
      </c>
      <c r="Y61" s="29">
        <f>IF($T61="",0,IF(OR(Setup!$B$25="",Setup!$C$25="No"),0,IF(ISNUMBER(L61),L61,IF($T61="Weights",IF(ISNUMBER(Setup!$D$25),Setup!$D$25,0),IF($T61="Nights",IF(ISNUMBER(Setup!$E$25),Setup!$E$25,0),IF(OR($T61="Exact amounts",$T61="Custom units"),0,1))))))</f>
        <v>0</v>
      </c>
      <c r="Z61" s="29">
        <f>IF($T61="",0,IF(OR(Setup!$B$26="",Setup!$C$26="No"),0,IF(ISNUMBER(M61),M61,IF($T61="Weights",IF(ISNUMBER(Setup!$D$26),Setup!$D$26,0),IF($T61="Nights",IF(ISNUMBER(Setup!$E$26),Setup!$E$26,0),IF(OR($T61="Exact amounts",$T61="Custom units"),0,1))))))</f>
        <v>0</v>
      </c>
      <c r="AA61" s="29">
        <f>IF($T61="",0,IF(OR(Setup!$B$27="",Setup!$C$27="No"),0,IF(ISNUMBER(N61),N61,IF($T61="Weights",IF(ISNUMBER(Setup!$D$27),Setup!$D$27,0),IF($T61="Nights",IF(ISNUMBER(Setup!$E$27),Setup!$E$27,0),IF(OR($T61="Exact amounts",$T61="Custom units"),0,1))))))</f>
        <v>0</v>
      </c>
      <c r="AB61" s="29">
        <f>IF($T61="",0,IF(OR(Setup!$B$28="",Setup!$C$28="No"),0,IF(ISNUMBER(O61),O61,IF($T61="Weights",IF(ISNUMBER(Setup!$D$28),Setup!$D$28,0),IF($T61="Nights",IF(ISNUMBER(Setup!$E$28),Setup!$E$28,0),IF(OR($T61="Exact amounts",$T61="Custom units"),0,1))))))</f>
        <v>0</v>
      </c>
      <c r="AC61" s="29">
        <f>IF($T61="",0,IF(OR(Setup!$B$29="",Setup!$C$29="No"),0,IF(ISNUMBER(P61),P61,IF($T61="Weights",IF(ISNUMBER(Setup!$D$29),Setup!$D$29,0),IF($T61="Nights",IF(ISNUMBER(Setup!$E$29),Setup!$E$29,0),IF(OR($T61="Exact amounts",$T61="Custom units"),0,1))))))</f>
        <v>0</v>
      </c>
      <c r="AD61" s="29">
        <f>IF($T61="",0,IF(OR(Setup!$B$30="",Setup!$C$30="No"),0,IF(ISNUMBER(Q61),Q61,IF($T61="Weights",IF(ISNUMBER(Setup!$D$30),Setup!$D$30,0),IF($T61="Nights",IF(ISNUMBER(Setup!$E$30),Setup!$E$30,0),IF(OR($T61="Exact amounts",$T61="Custom units"),0,1))))))</f>
        <v>0</v>
      </c>
      <c r="AE61" s="29">
        <f t="shared" si="1"/>
        <v>0</v>
      </c>
      <c r="AF61" s="30">
        <f t="shared" si="2"/>
        <v>1</v>
      </c>
      <c r="AG61" s="29">
        <f t="shared" si="3"/>
        <v>0</v>
      </c>
    </row>
    <row r="62" spans="1:33" ht="16" x14ac:dyDescent="0.2">
      <c r="A62" s="22" t="str">
        <f t="shared" si="0"/>
        <v>—</v>
      </c>
      <c r="B62" s="23"/>
      <c r="C62" s="16"/>
      <c r="D62" s="16"/>
      <c r="E62" s="24"/>
      <c r="F62" s="16"/>
      <c r="G62" s="16"/>
      <c r="H62" s="25"/>
      <c r="I62" s="25"/>
      <c r="J62" s="25"/>
      <c r="K62" s="25"/>
      <c r="L62" s="25"/>
      <c r="M62" s="25"/>
      <c r="N62" s="25"/>
      <c r="O62" s="25"/>
      <c r="P62" s="25"/>
      <c r="Q62" s="25"/>
      <c r="R62" s="26" t="str">
        <f>IF($T62="","",IF($D62="","Who paid?",IF(SUMPRODUCT((Setup!$B$21:$B$30=$D62)*1)=0,"Payer is not in the member list on Setup",IF($E62="","Amount missing — type the number in column E",IF(NOT(ISNUMBER($E62)),"Amount must be a plain number — no currency symbol, no text",IF(AND($T62="Custom units",$AE62&lt;=0),"Custom units: nobody has units on this row — type a number for at least one person",IF($AE62&lt;=0,"Nobody shares this row — check the person columns H–Q, and the Weight / Nights columns on Setup",IF(AND($T62="Exact amounts",ABS($AE62-$AG62)&gt;0.01),"Exact amounts do not add up to the amount","OK"))))))))</f>
        <v/>
      </c>
      <c r="S62" s="27" t="str">
        <f>IFERROR(IF(OR($T62="",$C$4=""),"—",ROUND($AG62*INDEX($U62:$AD62,1,MATCH($C$4,Setup!$B$21:$B$30,0))/$AF62,2)),"—")</f>
        <v>—</v>
      </c>
      <c r="T62" s="28" t="str">
        <f>IF(AND($C62="",$D62="",NOT(ISNUMBER($E62))),"",IF($G62="",IF(Setup!$C$17="","Equal",Setup!$C$17),$G62))</f>
        <v/>
      </c>
      <c r="U62" s="29">
        <f>IF($T62="",0,IF(OR(Setup!$B$21="",Setup!$C$21="No"),0,IF(ISNUMBER(H62),H62,IF($T62="Weights",IF(ISNUMBER(Setup!$D$21),Setup!$D$21,0),IF($T62="Nights",IF(ISNUMBER(Setup!$E$21),Setup!$E$21,0),IF(OR($T62="Exact amounts",$T62="Custom units"),0,1))))))</f>
        <v>0</v>
      </c>
      <c r="V62" s="29">
        <f>IF($T62="",0,IF(OR(Setup!$B$22="",Setup!$C$22="No"),0,IF(ISNUMBER(I62),I62,IF($T62="Weights",IF(ISNUMBER(Setup!$D$22),Setup!$D$22,0),IF($T62="Nights",IF(ISNUMBER(Setup!$E$22),Setup!$E$22,0),IF(OR($T62="Exact amounts",$T62="Custom units"),0,1))))))</f>
        <v>0</v>
      </c>
      <c r="W62" s="29">
        <f>IF($T62="",0,IF(OR(Setup!$B$23="",Setup!$C$23="No"),0,IF(ISNUMBER(J62),J62,IF($T62="Weights",IF(ISNUMBER(Setup!$D$23),Setup!$D$23,0),IF($T62="Nights",IF(ISNUMBER(Setup!$E$23),Setup!$E$23,0),IF(OR($T62="Exact amounts",$T62="Custom units"),0,1))))))</f>
        <v>0</v>
      </c>
      <c r="X62" s="29">
        <f>IF($T62="",0,IF(OR(Setup!$B$24="",Setup!$C$24="No"),0,IF(ISNUMBER(K62),K62,IF($T62="Weights",IF(ISNUMBER(Setup!$D$24),Setup!$D$24,0),IF($T62="Nights",IF(ISNUMBER(Setup!$E$24),Setup!$E$24,0),IF(OR($T62="Exact amounts",$T62="Custom units"),0,1))))))</f>
        <v>0</v>
      </c>
      <c r="Y62" s="29">
        <f>IF($T62="",0,IF(OR(Setup!$B$25="",Setup!$C$25="No"),0,IF(ISNUMBER(L62),L62,IF($T62="Weights",IF(ISNUMBER(Setup!$D$25),Setup!$D$25,0),IF($T62="Nights",IF(ISNUMBER(Setup!$E$25),Setup!$E$25,0),IF(OR($T62="Exact amounts",$T62="Custom units"),0,1))))))</f>
        <v>0</v>
      </c>
      <c r="Z62" s="29">
        <f>IF($T62="",0,IF(OR(Setup!$B$26="",Setup!$C$26="No"),0,IF(ISNUMBER(M62),M62,IF($T62="Weights",IF(ISNUMBER(Setup!$D$26),Setup!$D$26,0),IF($T62="Nights",IF(ISNUMBER(Setup!$E$26),Setup!$E$26,0),IF(OR($T62="Exact amounts",$T62="Custom units"),0,1))))))</f>
        <v>0</v>
      </c>
      <c r="AA62" s="29">
        <f>IF($T62="",0,IF(OR(Setup!$B$27="",Setup!$C$27="No"),0,IF(ISNUMBER(N62),N62,IF($T62="Weights",IF(ISNUMBER(Setup!$D$27),Setup!$D$27,0),IF($T62="Nights",IF(ISNUMBER(Setup!$E$27),Setup!$E$27,0),IF(OR($T62="Exact amounts",$T62="Custom units"),0,1))))))</f>
        <v>0</v>
      </c>
      <c r="AB62" s="29">
        <f>IF($T62="",0,IF(OR(Setup!$B$28="",Setup!$C$28="No"),0,IF(ISNUMBER(O62),O62,IF($T62="Weights",IF(ISNUMBER(Setup!$D$28),Setup!$D$28,0),IF($T62="Nights",IF(ISNUMBER(Setup!$E$28),Setup!$E$28,0),IF(OR($T62="Exact amounts",$T62="Custom units"),0,1))))))</f>
        <v>0</v>
      </c>
      <c r="AC62" s="29">
        <f>IF($T62="",0,IF(OR(Setup!$B$29="",Setup!$C$29="No"),0,IF(ISNUMBER(P62),P62,IF($T62="Weights",IF(ISNUMBER(Setup!$D$29),Setup!$D$29,0),IF($T62="Nights",IF(ISNUMBER(Setup!$E$29),Setup!$E$29,0),IF(OR($T62="Exact amounts",$T62="Custom units"),0,1))))))</f>
        <v>0</v>
      </c>
      <c r="AD62" s="29">
        <f>IF($T62="",0,IF(OR(Setup!$B$30="",Setup!$C$30="No"),0,IF(ISNUMBER(Q62),Q62,IF($T62="Weights",IF(ISNUMBER(Setup!$D$30),Setup!$D$30,0),IF($T62="Nights",IF(ISNUMBER(Setup!$E$30),Setup!$E$30,0),IF(OR($T62="Exact amounts",$T62="Custom units"),0,1))))))</f>
        <v>0</v>
      </c>
      <c r="AE62" s="29">
        <f t="shared" si="1"/>
        <v>0</v>
      </c>
      <c r="AF62" s="30">
        <f t="shared" si="2"/>
        <v>1</v>
      </c>
      <c r="AG62" s="29">
        <f t="shared" si="3"/>
        <v>0</v>
      </c>
    </row>
    <row r="63" spans="1:33" ht="16" x14ac:dyDescent="0.2">
      <c r="A63" s="22" t="str">
        <f t="shared" si="0"/>
        <v>—</v>
      </c>
      <c r="B63" s="31"/>
      <c r="C63" s="11"/>
      <c r="D63" s="11"/>
      <c r="E63" s="32"/>
      <c r="F63" s="11"/>
      <c r="G63" s="11"/>
      <c r="H63" s="33"/>
      <c r="I63" s="33"/>
      <c r="J63" s="33"/>
      <c r="K63" s="33"/>
      <c r="L63" s="33"/>
      <c r="M63" s="33"/>
      <c r="N63" s="33"/>
      <c r="O63" s="33"/>
      <c r="P63" s="33"/>
      <c r="Q63" s="33"/>
      <c r="R63" s="26" t="str">
        <f>IF($T63="","",IF($D63="","Who paid?",IF(SUMPRODUCT((Setup!$B$21:$B$30=$D63)*1)=0,"Payer is not in the member list on Setup",IF($E63="","Amount missing — type the number in column E",IF(NOT(ISNUMBER($E63)),"Amount must be a plain number — no currency symbol, no text",IF(AND($T63="Custom units",$AE63&lt;=0),"Custom units: nobody has units on this row — type a number for at least one person",IF($AE63&lt;=0,"Nobody shares this row — check the person columns H–Q, and the Weight / Nights columns on Setup",IF(AND($T63="Exact amounts",ABS($AE63-$AG63)&gt;0.01),"Exact amounts do not add up to the amount","OK"))))))))</f>
        <v/>
      </c>
      <c r="S63" s="27" t="str">
        <f>IFERROR(IF(OR($T63="",$C$4=""),"—",ROUND($AG63*INDEX($U63:$AD63,1,MATCH($C$4,Setup!$B$21:$B$30,0))/$AF63,2)),"—")</f>
        <v>—</v>
      </c>
      <c r="T63" s="28" t="str">
        <f>IF(AND($C63="",$D63="",NOT(ISNUMBER($E63))),"",IF($G63="",IF(Setup!$C$17="","Equal",Setup!$C$17),$G63))</f>
        <v/>
      </c>
      <c r="U63" s="29">
        <f>IF($T63="",0,IF(OR(Setup!$B$21="",Setup!$C$21="No"),0,IF(ISNUMBER(H63),H63,IF($T63="Weights",IF(ISNUMBER(Setup!$D$21),Setup!$D$21,0),IF($T63="Nights",IF(ISNUMBER(Setup!$E$21),Setup!$E$21,0),IF(OR($T63="Exact amounts",$T63="Custom units"),0,1))))))</f>
        <v>0</v>
      </c>
      <c r="V63" s="29">
        <f>IF($T63="",0,IF(OR(Setup!$B$22="",Setup!$C$22="No"),0,IF(ISNUMBER(I63),I63,IF($T63="Weights",IF(ISNUMBER(Setup!$D$22),Setup!$D$22,0),IF($T63="Nights",IF(ISNUMBER(Setup!$E$22),Setup!$E$22,0),IF(OR($T63="Exact amounts",$T63="Custom units"),0,1))))))</f>
        <v>0</v>
      </c>
      <c r="W63" s="29">
        <f>IF($T63="",0,IF(OR(Setup!$B$23="",Setup!$C$23="No"),0,IF(ISNUMBER(J63),J63,IF($T63="Weights",IF(ISNUMBER(Setup!$D$23),Setup!$D$23,0),IF($T63="Nights",IF(ISNUMBER(Setup!$E$23),Setup!$E$23,0),IF(OR($T63="Exact amounts",$T63="Custom units"),0,1))))))</f>
        <v>0</v>
      </c>
      <c r="X63" s="29">
        <f>IF($T63="",0,IF(OR(Setup!$B$24="",Setup!$C$24="No"),0,IF(ISNUMBER(K63),K63,IF($T63="Weights",IF(ISNUMBER(Setup!$D$24),Setup!$D$24,0),IF($T63="Nights",IF(ISNUMBER(Setup!$E$24),Setup!$E$24,0),IF(OR($T63="Exact amounts",$T63="Custom units"),0,1))))))</f>
        <v>0</v>
      </c>
      <c r="Y63" s="29">
        <f>IF($T63="",0,IF(OR(Setup!$B$25="",Setup!$C$25="No"),0,IF(ISNUMBER(L63),L63,IF($T63="Weights",IF(ISNUMBER(Setup!$D$25),Setup!$D$25,0),IF($T63="Nights",IF(ISNUMBER(Setup!$E$25),Setup!$E$25,0),IF(OR($T63="Exact amounts",$T63="Custom units"),0,1))))))</f>
        <v>0</v>
      </c>
      <c r="Z63" s="29">
        <f>IF($T63="",0,IF(OR(Setup!$B$26="",Setup!$C$26="No"),0,IF(ISNUMBER(M63),M63,IF($T63="Weights",IF(ISNUMBER(Setup!$D$26),Setup!$D$26,0),IF($T63="Nights",IF(ISNUMBER(Setup!$E$26),Setup!$E$26,0),IF(OR($T63="Exact amounts",$T63="Custom units"),0,1))))))</f>
        <v>0</v>
      </c>
      <c r="AA63" s="29">
        <f>IF($T63="",0,IF(OR(Setup!$B$27="",Setup!$C$27="No"),0,IF(ISNUMBER(N63),N63,IF($T63="Weights",IF(ISNUMBER(Setup!$D$27),Setup!$D$27,0),IF($T63="Nights",IF(ISNUMBER(Setup!$E$27),Setup!$E$27,0),IF(OR($T63="Exact amounts",$T63="Custom units"),0,1))))))</f>
        <v>0</v>
      </c>
      <c r="AB63" s="29">
        <f>IF($T63="",0,IF(OR(Setup!$B$28="",Setup!$C$28="No"),0,IF(ISNUMBER(O63),O63,IF($T63="Weights",IF(ISNUMBER(Setup!$D$28),Setup!$D$28,0),IF($T63="Nights",IF(ISNUMBER(Setup!$E$28),Setup!$E$28,0),IF(OR($T63="Exact amounts",$T63="Custom units"),0,1))))))</f>
        <v>0</v>
      </c>
      <c r="AC63" s="29">
        <f>IF($T63="",0,IF(OR(Setup!$B$29="",Setup!$C$29="No"),0,IF(ISNUMBER(P63),P63,IF($T63="Weights",IF(ISNUMBER(Setup!$D$29),Setup!$D$29,0),IF($T63="Nights",IF(ISNUMBER(Setup!$E$29),Setup!$E$29,0),IF(OR($T63="Exact amounts",$T63="Custom units"),0,1))))))</f>
        <v>0</v>
      </c>
      <c r="AD63" s="29">
        <f>IF($T63="",0,IF(OR(Setup!$B$30="",Setup!$C$30="No"),0,IF(ISNUMBER(Q63),Q63,IF($T63="Weights",IF(ISNUMBER(Setup!$D$30),Setup!$D$30,0),IF($T63="Nights",IF(ISNUMBER(Setup!$E$30),Setup!$E$30,0),IF(OR($T63="Exact amounts",$T63="Custom units"),0,1))))))</f>
        <v>0</v>
      </c>
      <c r="AE63" s="29">
        <f t="shared" si="1"/>
        <v>0</v>
      </c>
      <c r="AF63" s="30">
        <f t="shared" si="2"/>
        <v>1</v>
      </c>
      <c r="AG63" s="29">
        <f t="shared" si="3"/>
        <v>0</v>
      </c>
    </row>
    <row r="64" spans="1:33" ht="16" x14ac:dyDescent="0.2">
      <c r="A64" s="22" t="str">
        <f t="shared" si="0"/>
        <v>—</v>
      </c>
      <c r="B64" s="23"/>
      <c r="C64" s="16"/>
      <c r="D64" s="16"/>
      <c r="E64" s="24"/>
      <c r="F64" s="16"/>
      <c r="G64" s="16"/>
      <c r="H64" s="25"/>
      <c r="I64" s="25"/>
      <c r="J64" s="25"/>
      <c r="K64" s="25"/>
      <c r="L64" s="25"/>
      <c r="M64" s="25"/>
      <c r="N64" s="25"/>
      <c r="O64" s="25"/>
      <c r="P64" s="25"/>
      <c r="Q64" s="25"/>
      <c r="R64" s="26" t="str">
        <f>IF($T64="","",IF($D64="","Who paid?",IF(SUMPRODUCT((Setup!$B$21:$B$30=$D64)*1)=0,"Payer is not in the member list on Setup",IF($E64="","Amount missing — type the number in column E",IF(NOT(ISNUMBER($E64)),"Amount must be a plain number — no currency symbol, no text",IF(AND($T64="Custom units",$AE64&lt;=0),"Custom units: nobody has units on this row — type a number for at least one person",IF($AE64&lt;=0,"Nobody shares this row — check the person columns H–Q, and the Weight / Nights columns on Setup",IF(AND($T64="Exact amounts",ABS($AE64-$AG64)&gt;0.01),"Exact amounts do not add up to the amount","OK"))))))))</f>
        <v/>
      </c>
      <c r="S64" s="27" t="str">
        <f>IFERROR(IF(OR($T64="",$C$4=""),"—",ROUND($AG64*INDEX($U64:$AD64,1,MATCH($C$4,Setup!$B$21:$B$30,0))/$AF64,2)),"—")</f>
        <v>—</v>
      </c>
      <c r="T64" s="28" t="str">
        <f>IF(AND($C64="",$D64="",NOT(ISNUMBER($E64))),"",IF($G64="",IF(Setup!$C$17="","Equal",Setup!$C$17),$G64))</f>
        <v/>
      </c>
      <c r="U64" s="29">
        <f>IF($T64="",0,IF(OR(Setup!$B$21="",Setup!$C$21="No"),0,IF(ISNUMBER(H64),H64,IF($T64="Weights",IF(ISNUMBER(Setup!$D$21),Setup!$D$21,0),IF($T64="Nights",IF(ISNUMBER(Setup!$E$21),Setup!$E$21,0),IF(OR($T64="Exact amounts",$T64="Custom units"),0,1))))))</f>
        <v>0</v>
      </c>
      <c r="V64" s="29">
        <f>IF($T64="",0,IF(OR(Setup!$B$22="",Setup!$C$22="No"),0,IF(ISNUMBER(I64),I64,IF($T64="Weights",IF(ISNUMBER(Setup!$D$22),Setup!$D$22,0),IF($T64="Nights",IF(ISNUMBER(Setup!$E$22),Setup!$E$22,0),IF(OR($T64="Exact amounts",$T64="Custom units"),0,1))))))</f>
        <v>0</v>
      </c>
      <c r="W64" s="29">
        <f>IF($T64="",0,IF(OR(Setup!$B$23="",Setup!$C$23="No"),0,IF(ISNUMBER(J64),J64,IF($T64="Weights",IF(ISNUMBER(Setup!$D$23),Setup!$D$23,0),IF($T64="Nights",IF(ISNUMBER(Setup!$E$23),Setup!$E$23,0),IF(OR($T64="Exact amounts",$T64="Custom units"),0,1))))))</f>
        <v>0</v>
      </c>
      <c r="X64" s="29">
        <f>IF($T64="",0,IF(OR(Setup!$B$24="",Setup!$C$24="No"),0,IF(ISNUMBER(K64),K64,IF($T64="Weights",IF(ISNUMBER(Setup!$D$24),Setup!$D$24,0),IF($T64="Nights",IF(ISNUMBER(Setup!$E$24),Setup!$E$24,0),IF(OR($T64="Exact amounts",$T64="Custom units"),0,1))))))</f>
        <v>0</v>
      </c>
      <c r="Y64" s="29">
        <f>IF($T64="",0,IF(OR(Setup!$B$25="",Setup!$C$25="No"),0,IF(ISNUMBER(L64),L64,IF($T64="Weights",IF(ISNUMBER(Setup!$D$25),Setup!$D$25,0),IF($T64="Nights",IF(ISNUMBER(Setup!$E$25),Setup!$E$25,0),IF(OR($T64="Exact amounts",$T64="Custom units"),0,1))))))</f>
        <v>0</v>
      </c>
      <c r="Z64" s="29">
        <f>IF($T64="",0,IF(OR(Setup!$B$26="",Setup!$C$26="No"),0,IF(ISNUMBER(M64),M64,IF($T64="Weights",IF(ISNUMBER(Setup!$D$26),Setup!$D$26,0),IF($T64="Nights",IF(ISNUMBER(Setup!$E$26),Setup!$E$26,0),IF(OR($T64="Exact amounts",$T64="Custom units"),0,1))))))</f>
        <v>0</v>
      </c>
      <c r="AA64" s="29">
        <f>IF($T64="",0,IF(OR(Setup!$B$27="",Setup!$C$27="No"),0,IF(ISNUMBER(N64),N64,IF($T64="Weights",IF(ISNUMBER(Setup!$D$27),Setup!$D$27,0),IF($T64="Nights",IF(ISNUMBER(Setup!$E$27),Setup!$E$27,0),IF(OR($T64="Exact amounts",$T64="Custom units"),0,1))))))</f>
        <v>0</v>
      </c>
      <c r="AB64" s="29">
        <f>IF($T64="",0,IF(OR(Setup!$B$28="",Setup!$C$28="No"),0,IF(ISNUMBER(O64),O64,IF($T64="Weights",IF(ISNUMBER(Setup!$D$28),Setup!$D$28,0),IF($T64="Nights",IF(ISNUMBER(Setup!$E$28),Setup!$E$28,0),IF(OR($T64="Exact amounts",$T64="Custom units"),0,1))))))</f>
        <v>0</v>
      </c>
      <c r="AC64" s="29">
        <f>IF($T64="",0,IF(OR(Setup!$B$29="",Setup!$C$29="No"),0,IF(ISNUMBER(P64),P64,IF($T64="Weights",IF(ISNUMBER(Setup!$D$29),Setup!$D$29,0),IF($T64="Nights",IF(ISNUMBER(Setup!$E$29),Setup!$E$29,0),IF(OR($T64="Exact amounts",$T64="Custom units"),0,1))))))</f>
        <v>0</v>
      </c>
      <c r="AD64" s="29">
        <f>IF($T64="",0,IF(OR(Setup!$B$30="",Setup!$C$30="No"),0,IF(ISNUMBER(Q64),Q64,IF($T64="Weights",IF(ISNUMBER(Setup!$D$30),Setup!$D$30,0),IF($T64="Nights",IF(ISNUMBER(Setup!$E$30),Setup!$E$30,0),IF(OR($T64="Exact amounts",$T64="Custom units"),0,1))))))</f>
        <v>0</v>
      </c>
      <c r="AE64" s="29">
        <f t="shared" si="1"/>
        <v>0</v>
      </c>
      <c r="AF64" s="30">
        <f t="shared" si="2"/>
        <v>1</v>
      </c>
      <c r="AG64" s="29">
        <f t="shared" si="3"/>
        <v>0</v>
      </c>
    </row>
    <row r="65" spans="1:33" ht="16" x14ac:dyDescent="0.2">
      <c r="A65" s="22" t="str">
        <f t="shared" si="0"/>
        <v>—</v>
      </c>
      <c r="B65" s="31"/>
      <c r="C65" s="11"/>
      <c r="D65" s="11"/>
      <c r="E65" s="32"/>
      <c r="F65" s="11"/>
      <c r="G65" s="11"/>
      <c r="H65" s="33"/>
      <c r="I65" s="33"/>
      <c r="J65" s="33"/>
      <c r="K65" s="33"/>
      <c r="L65" s="33"/>
      <c r="M65" s="33"/>
      <c r="N65" s="33"/>
      <c r="O65" s="33"/>
      <c r="P65" s="33"/>
      <c r="Q65" s="33"/>
      <c r="R65" s="26" t="str">
        <f>IF($T65="","",IF($D65="","Who paid?",IF(SUMPRODUCT((Setup!$B$21:$B$30=$D65)*1)=0,"Payer is not in the member list on Setup",IF($E65="","Amount missing — type the number in column E",IF(NOT(ISNUMBER($E65)),"Amount must be a plain number — no currency symbol, no text",IF(AND($T65="Custom units",$AE65&lt;=0),"Custom units: nobody has units on this row — type a number for at least one person",IF($AE65&lt;=0,"Nobody shares this row — check the person columns H–Q, and the Weight / Nights columns on Setup",IF(AND($T65="Exact amounts",ABS($AE65-$AG65)&gt;0.01),"Exact amounts do not add up to the amount","OK"))))))))</f>
        <v/>
      </c>
      <c r="S65" s="27" t="str">
        <f>IFERROR(IF(OR($T65="",$C$4=""),"—",ROUND($AG65*INDEX($U65:$AD65,1,MATCH($C$4,Setup!$B$21:$B$30,0))/$AF65,2)),"—")</f>
        <v>—</v>
      </c>
      <c r="T65" s="28" t="str">
        <f>IF(AND($C65="",$D65="",NOT(ISNUMBER($E65))),"",IF($G65="",IF(Setup!$C$17="","Equal",Setup!$C$17),$G65))</f>
        <v/>
      </c>
      <c r="U65" s="29">
        <f>IF($T65="",0,IF(OR(Setup!$B$21="",Setup!$C$21="No"),0,IF(ISNUMBER(H65),H65,IF($T65="Weights",IF(ISNUMBER(Setup!$D$21),Setup!$D$21,0),IF($T65="Nights",IF(ISNUMBER(Setup!$E$21),Setup!$E$21,0),IF(OR($T65="Exact amounts",$T65="Custom units"),0,1))))))</f>
        <v>0</v>
      </c>
      <c r="V65" s="29">
        <f>IF($T65="",0,IF(OR(Setup!$B$22="",Setup!$C$22="No"),0,IF(ISNUMBER(I65),I65,IF($T65="Weights",IF(ISNUMBER(Setup!$D$22),Setup!$D$22,0),IF($T65="Nights",IF(ISNUMBER(Setup!$E$22),Setup!$E$22,0),IF(OR($T65="Exact amounts",$T65="Custom units"),0,1))))))</f>
        <v>0</v>
      </c>
      <c r="W65" s="29">
        <f>IF($T65="",0,IF(OR(Setup!$B$23="",Setup!$C$23="No"),0,IF(ISNUMBER(J65),J65,IF($T65="Weights",IF(ISNUMBER(Setup!$D$23),Setup!$D$23,0),IF($T65="Nights",IF(ISNUMBER(Setup!$E$23),Setup!$E$23,0),IF(OR($T65="Exact amounts",$T65="Custom units"),0,1))))))</f>
        <v>0</v>
      </c>
      <c r="X65" s="29">
        <f>IF($T65="",0,IF(OR(Setup!$B$24="",Setup!$C$24="No"),0,IF(ISNUMBER(K65),K65,IF($T65="Weights",IF(ISNUMBER(Setup!$D$24),Setup!$D$24,0),IF($T65="Nights",IF(ISNUMBER(Setup!$E$24),Setup!$E$24,0),IF(OR($T65="Exact amounts",$T65="Custom units"),0,1))))))</f>
        <v>0</v>
      </c>
      <c r="Y65" s="29">
        <f>IF($T65="",0,IF(OR(Setup!$B$25="",Setup!$C$25="No"),0,IF(ISNUMBER(L65),L65,IF($T65="Weights",IF(ISNUMBER(Setup!$D$25),Setup!$D$25,0),IF($T65="Nights",IF(ISNUMBER(Setup!$E$25),Setup!$E$25,0),IF(OR($T65="Exact amounts",$T65="Custom units"),0,1))))))</f>
        <v>0</v>
      </c>
      <c r="Z65" s="29">
        <f>IF($T65="",0,IF(OR(Setup!$B$26="",Setup!$C$26="No"),0,IF(ISNUMBER(M65),M65,IF($T65="Weights",IF(ISNUMBER(Setup!$D$26),Setup!$D$26,0),IF($T65="Nights",IF(ISNUMBER(Setup!$E$26),Setup!$E$26,0),IF(OR($T65="Exact amounts",$T65="Custom units"),0,1))))))</f>
        <v>0</v>
      </c>
      <c r="AA65" s="29">
        <f>IF($T65="",0,IF(OR(Setup!$B$27="",Setup!$C$27="No"),0,IF(ISNUMBER(N65),N65,IF($T65="Weights",IF(ISNUMBER(Setup!$D$27),Setup!$D$27,0),IF($T65="Nights",IF(ISNUMBER(Setup!$E$27),Setup!$E$27,0),IF(OR($T65="Exact amounts",$T65="Custom units"),0,1))))))</f>
        <v>0</v>
      </c>
      <c r="AB65" s="29">
        <f>IF($T65="",0,IF(OR(Setup!$B$28="",Setup!$C$28="No"),0,IF(ISNUMBER(O65),O65,IF($T65="Weights",IF(ISNUMBER(Setup!$D$28),Setup!$D$28,0),IF($T65="Nights",IF(ISNUMBER(Setup!$E$28),Setup!$E$28,0),IF(OR($T65="Exact amounts",$T65="Custom units"),0,1))))))</f>
        <v>0</v>
      </c>
      <c r="AC65" s="29">
        <f>IF($T65="",0,IF(OR(Setup!$B$29="",Setup!$C$29="No"),0,IF(ISNUMBER(P65),P65,IF($T65="Weights",IF(ISNUMBER(Setup!$D$29),Setup!$D$29,0),IF($T65="Nights",IF(ISNUMBER(Setup!$E$29),Setup!$E$29,0),IF(OR($T65="Exact amounts",$T65="Custom units"),0,1))))))</f>
        <v>0</v>
      </c>
      <c r="AD65" s="29">
        <f>IF($T65="",0,IF(OR(Setup!$B$30="",Setup!$C$30="No"),0,IF(ISNUMBER(Q65),Q65,IF($T65="Weights",IF(ISNUMBER(Setup!$D$30),Setup!$D$30,0),IF($T65="Nights",IF(ISNUMBER(Setup!$E$30),Setup!$E$30,0),IF(OR($T65="Exact amounts",$T65="Custom units"),0,1))))))</f>
        <v>0</v>
      </c>
      <c r="AE65" s="29">
        <f t="shared" si="1"/>
        <v>0</v>
      </c>
      <c r="AF65" s="30">
        <f t="shared" si="2"/>
        <v>1</v>
      </c>
      <c r="AG65" s="29">
        <f t="shared" si="3"/>
        <v>0</v>
      </c>
    </row>
    <row r="66" spans="1:33" ht="16" x14ac:dyDescent="0.2">
      <c r="A66" s="22" t="str">
        <f t="shared" si="0"/>
        <v>—</v>
      </c>
      <c r="B66" s="23"/>
      <c r="C66" s="16"/>
      <c r="D66" s="16"/>
      <c r="E66" s="24"/>
      <c r="F66" s="16"/>
      <c r="G66" s="16"/>
      <c r="H66" s="25"/>
      <c r="I66" s="25"/>
      <c r="J66" s="25"/>
      <c r="K66" s="25"/>
      <c r="L66" s="25"/>
      <c r="M66" s="25"/>
      <c r="N66" s="25"/>
      <c r="O66" s="25"/>
      <c r="P66" s="25"/>
      <c r="Q66" s="25"/>
      <c r="R66" s="26" t="str">
        <f>IF($T66="","",IF($D66="","Who paid?",IF(SUMPRODUCT((Setup!$B$21:$B$30=$D66)*1)=0,"Payer is not in the member list on Setup",IF($E66="","Amount missing — type the number in column E",IF(NOT(ISNUMBER($E66)),"Amount must be a plain number — no currency symbol, no text",IF(AND($T66="Custom units",$AE66&lt;=0),"Custom units: nobody has units on this row — type a number for at least one person",IF($AE66&lt;=0,"Nobody shares this row — check the person columns H–Q, and the Weight / Nights columns on Setup",IF(AND($T66="Exact amounts",ABS($AE66-$AG66)&gt;0.01),"Exact amounts do not add up to the amount","OK"))))))))</f>
        <v/>
      </c>
      <c r="S66" s="27" t="str">
        <f>IFERROR(IF(OR($T66="",$C$4=""),"—",ROUND($AG66*INDEX($U66:$AD66,1,MATCH($C$4,Setup!$B$21:$B$30,0))/$AF66,2)),"—")</f>
        <v>—</v>
      </c>
      <c r="T66" s="28" t="str">
        <f>IF(AND($C66="",$D66="",NOT(ISNUMBER($E66))),"",IF($G66="",IF(Setup!$C$17="","Equal",Setup!$C$17),$G66))</f>
        <v/>
      </c>
      <c r="U66" s="29">
        <f>IF($T66="",0,IF(OR(Setup!$B$21="",Setup!$C$21="No"),0,IF(ISNUMBER(H66),H66,IF($T66="Weights",IF(ISNUMBER(Setup!$D$21),Setup!$D$21,0),IF($T66="Nights",IF(ISNUMBER(Setup!$E$21),Setup!$E$21,0),IF(OR($T66="Exact amounts",$T66="Custom units"),0,1))))))</f>
        <v>0</v>
      </c>
      <c r="V66" s="29">
        <f>IF($T66="",0,IF(OR(Setup!$B$22="",Setup!$C$22="No"),0,IF(ISNUMBER(I66),I66,IF($T66="Weights",IF(ISNUMBER(Setup!$D$22),Setup!$D$22,0),IF($T66="Nights",IF(ISNUMBER(Setup!$E$22),Setup!$E$22,0),IF(OR($T66="Exact amounts",$T66="Custom units"),0,1))))))</f>
        <v>0</v>
      </c>
      <c r="W66" s="29">
        <f>IF($T66="",0,IF(OR(Setup!$B$23="",Setup!$C$23="No"),0,IF(ISNUMBER(J66),J66,IF($T66="Weights",IF(ISNUMBER(Setup!$D$23),Setup!$D$23,0),IF($T66="Nights",IF(ISNUMBER(Setup!$E$23),Setup!$E$23,0),IF(OR($T66="Exact amounts",$T66="Custom units"),0,1))))))</f>
        <v>0</v>
      </c>
      <c r="X66" s="29">
        <f>IF($T66="",0,IF(OR(Setup!$B$24="",Setup!$C$24="No"),0,IF(ISNUMBER(K66),K66,IF($T66="Weights",IF(ISNUMBER(Setup!$D$24),Setup!$D$24,0),IF($T66="Nights",IF(ISNUMBER(Setup!$E$24),Setup!$E$24,0),IF(OR($T66="Exact amounts",$T66="Custom units"),0,1))))))</f>
        <v>0</v>
      </c>
      <c r="Y66" s="29">
        <f>IF($T66="",0,IF(OR(Setup!$B$25="",Setup!$C$25="No"),0,IF(ISNUMBER(L66),L66,IF($T66="Weights",IF(ISNUMBER(Setup!$D$25),Setup!$D$25,0),IF($T66="Nights",IF(ISNUMBER(Setup!$E$25),Setup!$E$25,0),IF(OR($T66="Exact amounts",$T66="Custom units"),0,1))))))</f>
        <v>0</v>
      </c>
      <c r="Z66" s="29">
        <f>IF($T66="",0,IF(OR(Setup!$B$26="",Setup!$C$26="No"),0,IF(ISNUMBER(M66),M66,IF($T66="Weights",IF(ISNUMBER(Setup!$D$26),Setup!$D$26,0),IF($T66="Nights",IF(ISNUMBER(Setup!$E$26),Setup!$E$26,0),IF(OR($T66="Exact amounts",$T66="Custom units"),0,1))))))</f>
        <v>0</v>
      </c>
      <c r="AA66" s="29">
        <f>IF($T66="",0,IF(OR(Setup!$B$27="",Setup!$C$27="No"),0,IF(ISNUMBER(N66),N66,IF($T66="Weights",IF(ISNUMBER(Setup!$D$27),Setup!$D$27,0),IF($T66="Nights",IF(ISNUMBER(Setup!$E$27),Setup!$E$27,0),IF(OR($T66="Exact amounts",$T66="Custom units"),0,1))))))</f>
        <v>0</v>
      </c>
      <c r="AB66" s="29">
        <f>IF($T66="",0,IF(OR(Setup!$B$28="",Setup!$C$28="No"),0,IF(ISNUMBER(O66),O66,IF($T66="Weights",IF(ISNUMBER(Setup!$D$28),Setup!$D$28,0),IF($T66="Nights",IF(ISNUMBER(Setup!$E$28),Setup!$E$28,0),IF(OR($T66="Exact amounts",$T66="Custom units"),0,1))))))</f>
        <v>0</v>
      </c>
      <c r="AC66" s="29">
        <f>IF($T66="",0,IF(OR(Setup!$B$29="",Setup!$C$29="No"),0,IF(ISNUMBER(P66),P66,IF($T66="Weights",IF(ISNUMBER(Setup!$D$29),Setup!$D$29,0),IF($T66="Nights",IF(ISNUMBER(Setup!$E$29),Setup!$E$29,0),IF(OR($T66="Exact amounts",$T66="Custom units"),0,1))))))</f>
        <v>0</v>
      </c>
      <c r="AD66" s="29">
        <f>IF($T66="",0,IF(OR(Setup!$B$30="",Setup!$C$30="No"),0,IF(ISNUMBER(Q66),Q66,IF($T66="Weights",IF(ISNUMBER(Setup!$D$30),Setup!$D$30,0),IF($T66="Nights",IF(ISNUMBER(Setup!$E$30),Setup!$E$30,0),IF(OR($T66="Exact amounts",$T66="Custom units"),0,1))))))</f>
        <v>0</v>
      </c>
      <c r="AE66" s="29">
        <f t="shared" si="1"/>
        <v>0</v>
      </c>
      <c r="AF66" s="30">
        <f t="shared" si="2"/>
        <v>1</v>
      </c>
      <c r="AG66" s="29">
        <f t="shared" si="3"/>
        <v>0</v>
      </c>
    </row>
    <row r="67" spans="1:33" ht="16" x14ac:dyDescent="0.2">
      <c r="A67" s="22" t="str">
        <f t="shared" si="0"/>
        <v>—</v>
      </c>
      <c r="B67" s="31"/>
      <c r="C67" s="11"/>
      <c r="D67" s="11"/>
      <c r="E67" s="32"/>
      <c r="F67" s="11"/>
      <c r="G67" s="11"/>
      <c r="H67" s="33"/>
      <c r="I67" s="33"/>
      <c r="J67" s="33"/>
      <c r="K67" s="33"/>
      <c r="L67" s="33"/>
      <c r="M67" s="33"/>
      <c r="N67" s="33"/>
      <c r="O67" s="33"/>
      <c r="P67" s="33"/>
      <c r="Q67" s="33"/>
      <c r="R67" s="26" t="str">
        <f>IF($T67="","",IF($D67="","Who paid?",IF(SUMPRODUCT((Setup!$B$21:$B$30=$D67)*1)=0,"Payer is not in the member list on Setup",IF($E67="","Amount missing — type the number in column E",IF(NOT(ISNUMBER($E67)),"Amount must be a plain number — no currency symbol, no text",IF(AND($T67="Custom units",$AE67&lt;=0),"Custom units: nobody has units on this row — type a number for at least one person",IF($AE67&lt;=0,"Nobody shares this row — check the person columns H–Q, and the Weight / Nights columns on Setup",IF(AND($T67="Exact amounts",ABS($AE67-$AG67)&gt;0.01),"Exact amounts do not add up to the amount","OK"))))))))</f>
        <v/>
      </c>
      <c r="S67" s="27" t="str">
        <f>IFERROR(IF(OR($T67="",$C$4=""),"—",ROUND($AG67*INDEX($U67:$AD67,1,MATCH($C$4,Setup!$B$21:$B$30,0))/$AF67,2)),"—")</f>
        <v>—</v>
      </c>
      <c r="T67" s="28" t="str">
        <f>IF(AND($C67="",$D67="",NOT(ISNUMBER($E67))),"",IF($G67="",IF(Setup!$C$17="","Equal",Setup!$C$17),$G67))</f>
        <v/>
      </c>
      <c r="U67" s="29">
        <f>IF($T67="",0,IF(OR(Setup!$B$21="",Setup!$C$21="No"),0,IF(ISNUMBER(H67),H67,IF($T67="Weights",IF(ISNUMBER(Setup!$D$21),Setup!$D$21,0),IF($T67="Nights",IF(ISNUMBER(Setup!$E$21),Setup!$E$21,0),IF(OR($T67="Exact amounts",$T67="Custom units"),0,1))))))</f>
        <v>0</v>
      </c>
      <c r="V67" s="29">
        <f>IF($T67="",0,IF(OR(Setup!$B$22="",Setup!$C$22="No"),0,IF(ISNUMBER(I67),I67,IF($T67="Weights",IF(ISNUMBER(Setup!$D$22),Setup!$D$22,0),IF($T67="Nights",IF(ISNUMBER(Setup!$E$22),Setup!$E$22,0),IF(OR($T67="Exact amounts",$T67="Custom units"),0,1))))))</f>
        <v>0</v>
      </c>
      <c r="W67" s="29">
        <f>IF($T67="",0,IF(OR(Setup!$B$23="",Setup!$C$23="No"),0,IF(ISNUMBER(J67),J67,IF($T67="Weights",IF(ISNUMBER(Setup!$D$23),Setup!$D$23,0),IF($T67="Nights",IF(ISNUMBER(Setup!$E$23),Setup!$E$23,0),IF(OR($T67="Exact amounts",$T67="Custom units"),0,1))))))</f>
        <v>0</v>
      </c>
      <c r="X67" s="29">
        <f>IF($T67="",0,IF(OR(Setup!$B$24="",Setup!$C$24="No"),0,IF(ISNUMBER(K67),K67,IF($T67="Weights",IF(ISNUMBER(Setup!$D$24),Setup!$D$24,0),IF($T67="Nights",IF(ISNUMBER(Setup!$E$24),Setup!$E$24,0),IF(OR($T67="Exact amounts",$T67="Custom units"),0,1))))))</f>
        <v>0</v>
      </c>
      <c r="Y67" s="29">
        <f>IF($T67="",0,IF(OR(Setup!$B$25="",Setup!$C$25="No"),0,IF(ISNUMBER(L67),L67,IF($T67="Weights",IF(ISNUMBER(Setup!$D$25),Setup!$D$25,0),IF($T67="Nights",IF(ISNUMBER(Setup!$E$25),Setup!$E$25,0),IF(OR($T67="Exact amounts",$T67="Custom units"),0,1))))))</f>
        <v>0</v>
      </c>
      <c r="Z67" s="29">
        <f>IF($T67="",0,IF(OR(Setup!$B$26="",Setup!$C$26="No"),0,IF(ISNUMBER(M67),M67,IF($T67="Weights",IF(ISNUMBER(Setup!$D$26),Setup!$D$26,0),IF($T67="Nights",IF(ISNUMBER(Setup!$E$26),Setup!$E$26,0),IF(OR($T67="Exact amounts",$T67="Custom units"),0,1))))))</f>
        <v>0</v>
      </c>
      <c r="AA67" s="29">
        <f>IF($T67="",0,IF(OR(Setup!$B$27="",Setup!$C$27="No"),0,IF(ISNUMBER(N67),N67,IF($T67="Weights",IF(ISNUMBER(Setup!$D$27),Setup!$D$27,0),IF($T67="Nights",IF(ISNUMBER(Setup!$E$27),Setup!$E$27,0),IF(OR($T67="Exact amounts",$T67="Custom units"),0,1))))))</f>
        <v>0</v>
      </c>
      <c r="AB67" s="29">
        <f>IF($T67="",0,IF(OR(Setup!$B$28="",Setup!$C$28="No"),0,IF(ISNUMBER(O67),O67,IF($T67="Weights",IF(ISNUMBER(Setup!$D$28),Setup!$D$28,0),IF($T67="Nights",IF(ISNUMBER(Setup!$E$28),Setup!$E$28,0),IF(OR($T67="Exact amounts",$T67="Custom units"),0,1))))))</f>
        <v>0</v>
      </c>
      <c r="AC67" s="29">
        <f>IF($T67="",0,IF(OR(Setup!$B$29="",Setup!$C$29="No"),0,IF(ISNUMBER(P67),P67,IF($T67="Weights",IF(ISNUMBER(Setup!$D$29),Setup!$D$29,0),IF($T67="Nights",IF(ISNUMBER(Setup!$E$29),Setup!$E$29,0),IF(OR($T67="Exact amounts",$T67="Custom units"),0,1))))))</f>
        <v>0</v>
      </c>
      <c r="AD67" s="29">
        <f>IF($T67="",0,IF(OR(Setup!$B$30="",Setup!$C$30="No"),0,IF(ISNUMBER(Q67),Q67,IF($T67="Weights",IF(ISNUMBER(Setup!$D$30),Setup!$D$30,0),IF($T67="Nights",IF(ISNUMBER(Setup!$E$30),Setup!$E$30,0),IF(OR($T67="Exact amounts",$T67="Custom units"),0,1))))))</f>
        <v>0</v>
      </c>
      <c r="AE67" s="29">
        <f t="shared" si="1"/>
        <v>0</v>
      </c>
      <c r="AF67" s="30">
        <f t="shared" si="2"/>
        <v>1</v>
      </c>
      <c r="AG67" s="29">
        <f t="shared" si="3"/>
        <v>0</v>
      </c>
    </row>
    <row r="68" spans="1:33" ht="16" x14ac:dyDescent="0.2">
      <c r="A68" s="22" t="str">
        <f t="shared" si="0"/>
        <v>—</v>
      </c>
      <c r="B68" s="23"/>
      <c r="C68" s="16"/>
      <c r="D68" s="16"/>
      <c r="E68" s="24"/>
      <c r="F68" s="16"/>
      <c r="G68" s="16"/>
      <c r="H68" s="25"/>
      <c r="I68" s="25"/>
      <c r="J68" s="25"/>
      <c r="K68" s="25"/>
      <c r="L68" s="25"/>
      <c r="M68" s="25"/>
      <c r="N68" s="25"/>
      <c r="O68" s="25"/>
      <c r="P68" s="25"/>
      <c r="Q68" s="25"/>
      <c r="R68" s="26" t="str">
        <f>IF($T68="","",IF($D68="","Who paid?",IF(SUMPRODUCT((Setup!$B$21:$B$30=$D68)*1)=0,"Payer is not in the member list on Setup",IF($E68="","Amount missing — type the number in column E",IF(NOT(ISNUMBER($E68)),"Amount must be a plain number — no currency symbol, no text",IF(AND($T68="Custom units",$AE68&lt;=0),"Custom units: nobody has units on this row — type a number for at least one person",IF($AE68&lt;=0,"Nobody shares this row — check the person columns H–Q, and the Weight / Nights columns on Setup",IF(AND($T68="Exact amounts",ABS($AE68-$AG68)&gt;0.01),"Exact amounts do not add up to the amount","OK"))))))))</f>
        <v/>
      </c>
      <c r="S68" s="27" t="str">
        <f>IFERROR(IF(OR($T68="",$C$4=""),"—",ROUND($AG68*INDEX($U68:$AD68,1,MATCH($C$4,Setup!$B$21:$B$30,0))/$AF68,2)),"—")</f>
        <v>—</v>
      </c>
      <c r="T68" s="28" t="str">
        <f>IF(AND($C68="",$D68="",NOT(ISNUMBER($E68))),"",IF($G68="",IF(Setup!$C$17="","Equal",Setup!$C$17),$G68))</f>
        <v/>
      </c>
      <c r="U68" s="29">
        <f>IF($T68="",0,IF(OR(Setup!$B$21="",Setup!$C$21="No"),0,IF(ISNUMBER(H68),H68,IF($T68="Weights",IF(ISNUMBER(Setup!$D$21),Setup!$D$21,0),IF($T68="Nights",IF(ISNUMBER(Setup!$E$21),Setup!$E$21,0),IF(OR($T68="Exact amounts",$T68="Custom units"),0,1))))))</f>
        <v>0</v>
      </c>
      <c r="V68" s="29">
        <f>IF($T68="",0,IF(OR(Setup!$B$22="",Setup!$C$22="No"),0,IF(ISNUMBER(I68),I68,IF($T68="Weights",IF(ISNUMBER(Setup!$D$22),Setup!$D$22,0),IF($T68="Nights",IF(ISNUMBER(Setup!$E$22),Setup!$E$22,0),IF(OR($T68="Exact amounts",$T68="Custom units"),0,1))))))</f>
        <v>0</v>
      </c>
      <c r="W68" s="29">
        <f>IF($T68="",0,IF(OR(Setup!$B$23="",Setup!$C$23="No"),0,IF(ISNUMBER(J68),J68,IF($T68="Weights",IF(ISNUMBER(Setup!$D$23),Setup!$D$23,0),IF($T68="Nights",IF(ISNUMBER(Setup!$E$23),Setup!$E$23,0),IF(OR($T68="Exact amounts",$T68="Custom units"),0,1))))))</f>
        <v>0</v>
      </c>
      <c r="X68" s="29">
        <f>IF($T68="",0,IF(OR(Setup!$B$24="",Setup!$C$24="No"),0,IF(ISNUMBER(K68),K68,IF($T68="Weights",IF(ISNUMBER(Setup!$D$24),Setup!$D$24,0),IF($T68="Nights",IF(ISNUMBER(Setup!$E$24),Setup!$E$24,0),IF(OR($T68="Exact amounts",$T68="Custom units"),0,1))))))</f>
        <v>0</v>
      </c>
      <c r="Y68" s="29">
        <f>IF($T68="",0,IF(OR(Setup!$B$25="",Setup!$C$25="No"),0,IF(ISNUMBER(L68),L68,IF($T68="Weights",IF(ISNUMBER(Setup!$D$25),Setup!$D$25,0),IF($T68="Nights",IF(ISNUMBER(Setup!$E$25),Setup!$E$25,0),IF(OR($T68="Exact amounts",$T68="Custom units"),0,1))))))</f>
        <v>0</v>
      </c>
      <c r="Z68" s="29">
        <f>IF($T68="",0,IF(OR(Setup!$B$26="",Setup!$C$26="No"),0,IF(ISNUMBER(M68),M68,IF($T68="Weights",IF(ISNUMBER(Setup!$D$26),Setup!$D$26,0),IF($T68="Nights",IF(ISNUMBER(Setup!$E$26),Setup!$E$26,0),IF(OR($T68="Exact amounts",$T68="Custom units"),0,1))))))</f>
        <v>0</v>
      </c>
      <c r="AA68" s="29">
        <f>IF($T68="",0,IF(OR(Setup!$B$27="",Setup!$C$27="No"),0,IF(ISNUMBER(N68),N68,IF($T68="Weights",IF(ISNUMBER(Setup!$D$27),Setup!$D$27,0),IF($T68="Nights",IF(ISNUMBER(Setup!$E$27),Setup!$E$27,0),IF(OR($T68="Exact amounts",$T68="Custom units"),0,1))))))</f>
        <v>0</v>
      </c>
      <c r="AB68" s="29">
        <f>IF($T68="",0,IF(OR(Setup!$B$28="",Setup!$C$28="No"),0,IF(ISNUMBER(O68),O68,IF($T68="Weights",IF(ISNUMBER(Setup!$D$28),Setup!$D$28,0),IF($T68="Nights",IF(ISNUMBER(Setup!$E$28),Setup!$E$28,0),IF(OR($T68="Exact amounts",$T68="Custom units"),0,1))))))</f>
        <v>0</v>
      </c>
      <c r="AC68" s="29">
        <f>IF($T68="",0,IF(OR(Setup!$B$29="",Setup!$C$29="No"),0,IF(ISNUMBER(P68),P68,IF($T68="Weights",IF(ISNUMBER(Setup!$D$29),Setup!$D$29,0),IF($T68="Nights",IF(ISNUMBER(Setup!$E$29),Setup!$E$29,0),IF(OR($T68="Exact amounts",$T68="Custom units"),0,1))))))</f>
        <v>0</v>
      </c>
      <c r="AD68" s="29">
        <f>IF($T68="",0,IF(OR(Setup!$B$30="",Setup!$C$30="No"),0,IF(ISNUMBER(Q68),Q68,IF($T68="Weights",IF(ISNUMBER(Setup!$D$30),Setup!$D$30,0),IF($T68="Nights",IF(ISNUMBER(Setup!$E$30),Setup!$E$30,0),IF(OR($T68="Exact amounts",$T68="Custom units"),0,1))))))</f>
        <v>0</v>
      </c>
      <c r="AE68" s="29">
        <f t="shared" si="1"/>
        <v>0</v>
      </c>
      <c r="AF68" s="30">
        <f t="shared" si="2"/>
        <v>1</v>
      </c>
      <c r="AG68" s="29">
        <f t="shared" si="3"/>
        <v>0</v>
      </c>
    </row>
    <row r="69" spans="1:33" ht="16" x14ac:dyDescent="0.2">
      <c r="A69" s="22" t="str">
        <f t="shared" si="0"/>
        <v>—</v>
      </c>
      <c r="B69" s="31"/>
      <c r="C69" s="11"/>
      <c r="D69" s="11"/>
      <c r="E69" s="32"/>
      <c r="F69" s="11"/>
      <c r="G69" s="11"/>
      <c r="H69" s="33"/>
      <c r="I69" s="33"/>
      <c r="J69" s="33"/>
      <c r="K69" s="33"/>
      <c r="L69" s="33"/>
      <c r="M69" s="33"/>
      <c r="N69" s="33"/>
      <c r="O69" s="33"/>
      <c r="P69" s="33"/>
      <c r="Q69" s="33"/>
      <c r="R69" s="26" t="str">
        <f>IF($T69="","",IF($D69="","Who paid?",IF(SUMPRODUCT((Setup!$B$21:$B$30=$D69)*1)=0,"Payer is not in the member list on Setup",IF($E69="","Amount missing — type the number in column E",IF(NOT(ISNUMBER($E69)),"Amount must be a plain number — no currency symbol, no text",IF(AND($T69="Custom units",$AE69&lt;=0),"Custom units: nobody has units on this row — type a number for at least one person",IF($AE69&lt;=0,"Nobody shares this row — check the person columns H–Q, and the Weight / Nights columns on Setup",IF(AND($T69="Exact amounts",ABS($AE69-$AG69)&gt;0.01),"Exact amounts do not add up to the amount","OK"))))))))</f>
        <v/>
      </c>
      <c r="S69" s="27" t="str">
        <f>IFERROR(IF(OR($T69="",$C$4=""),"—",ROUND($AG69*INDEX($U69:$AD69,1,MATCH($C$4,Setup!$B$21:$B$30,0))/$AF69,2)),"—")</f>
        <v>—</v>
      </c>
      <c r="T69" s="28" t="str">
        <f>IF(AND($C69="",$D69="",NOT(ISNUMBER($E69))),"",IF($G69="",IF(Setup!$C$17="","Equal",Setup!$C$17),$G69))</f>
        <v/>
      </c>
      <c r="U69" s="29">
        <f>IF($T69="",0,IF(OR(Setup!$B$21="",Setup!$C$21="No"),0,IF(ISNUMBER(H69),H69,IF($T69="Weights",IF(ISNUMBER(Setup!$D$21),Setup!$D$21,0),IF($T69="Nights",IF(ISNUMBER(Setup!$E$21),Setup!$E$21,0),IF(OR($T69="Exact amounts",$T69="Custom units"),0,1))))))</f>
        <v>0</v>
      </c>
      <c r="V69" s="29">
        <f>IF($T69="",0,IF(OR(Setup!$B$22="",Setup!$C$22="No"),0,IF(ISNUMBER(I69),I69,IF($T69="Weights",IF(ISNUMBER(Setup!$D$22),Setup!$D$22,0),IF($T69="Nights",IF(ISNUMBER(Setup!$E$22),Setup!$E$22,0),IF(OR($T69="Exact amounts",$T69="Custom units"),0,1))))))</f>
        <v>0</v>
      </c>
      <c r="W69" s="29">
        <f>IF($T69="",0,IF(OR(Setup!$B$23="",Setup!$C$23="No"),0,IF(ISNUMBER(J69),J69,IF($T69="Weights",IF(ISNUMBER(Setup!$D$23),Setup!$D$23,0),IF($T69="Nights",IF(ISNUMBER(Setup!$E$23),Setup!$E$23,0),IF(OR($T69="Exact amounts",$T69="Custom units"),0,1))))))</f>
        <v>0</v>
      </c>
      <c r="X69" s="29">
        <f>IF($T69="",0,IF(OR(Setup!$B$24="",Setup!$C$24="No"),0,IF(ISNUMBER(K69),K69,IF($T69="Weights",IF(ISNUMBER(Setup!$D$24),Setup!$D$24,0),IF($T69="Nights",IF(ISNUMBER(Setup!$E$24),Setup!$E$24,0),IF(OR($T69="Exact amounts",$T69="Custom units"),0,1))))))</f>
        <v>0</v>
      </c>
      <c r="Y69" s="29">
        <f>IF($T69="",0,IF(OR(Setup!$B$25="",Setup!$C$25="No"),0,IF(ISNUMBER(L69),L69,IF($T69="Weights",IF(ISNUMBER(Setup!$D$25),Setup!$D$25,0),IF($T69="Nights",IF(ISNUMBER(Setup!$E$25),Setup!$E$25,0),IF(OR($T69="Exact amounts",$T69="Custom units"),0,1))))))</f>
        <v>0</v>
      </c>
      <c r="Z69" s="29">
        <f>IF($T69="",0,IF(OR(Setup!$B$26="",Setup!$C$26="No"),0,IF(ISNUMBER(M69),M69,IF($T69="Weights",IF(ISNUMBER(Setup!$D$26),Setup!$D$26,0),IF($T69="Nights",IF(ISNUMBER(Setup!$E$26),Setup!$E$26,0),IF(OR($T69="Exact amounts",$T69="Custom units"),0,1))))))</f>
        <v>0</v>
      </c>
      <c r="AA69" s="29">
        <f>IF($T69="",0,IF(OR(Setup!$B$27="",Setup!$C$27="No"),0,IF(ISNUMBER(N69),N69,IF($T69="Weights",IF(ISNUMBER(Setup!$D$27),Setup!$D$27,0),IF($T69="Nights",IF(ISNUMBER(Setup!$E$27),Setup!$E$27,0),IF(OR($T69="Exact amounts",$T69="Custom units"),0,1))))))</f>
        <v>0</v>
      </c>
      <c r="AB69" s="29">
        <f>IF($T69="",0,IF(OR(Setup!$B$28="",Setup!$C$28="No"),0,IF(ISNUMBER(O69),O69,IF($T69="Weights",IF(ISNUMBER(Setup!$D$28),Setup!$D$28,0),IF($T69="Nights",IF(ISNUMBER(Setup!$E$28),Setup!$E$28,0),IF(OR($T69="Exact amounts",$T69="Custom units"),0,1))))))</f>
        <v>0</v>
      </c>
      <c r="AC69" s="29">
        <f>IF($T69="",0,IF(OR(Setup!$B$29="",Setup!$C$29="No"),0,IF(ISNUMBER(P69),P69,IF($T69="Weights",IF(ISNUMBER(Setup!$D$29),Setup!$D$29,0),IF($T69="Nights",IF(ISNUMBER(Setup!$E$29),Setup!$E$29,0),IF(OR($T69="Exact amounts",$T69="Custom units"),0,1))))))</f>
        <v>0</v>
      </c>
      <c r="AD69" s="29">
        <f>IF($T69="",0,IF(OR(Setup!$B$30="",Setup!$C$30="No"),0,IF(ISNUMBER(Q69),Q69,IF($T69="Weights",IF(ISNUMBER(Setup!$D$30),Setup!$D$30,0),IF($T69="Nights",IF(ISNUMBER(Setup!$E$30),Setup!$E$30,0),IF(OR($T69="Exact amounts",$T69="Custom units"),0,1))))))</f>
        <v>0</v>
      </c>
      <c r="AE69" s="29">
        <f t="shared" si="1"/>
        <v>0</v>
      </c>
      <c r="AF69" s="30">
        <f t="shared" si="2"/>
        <v>1</v>
      </c>
      <c r="AG69" s="29">
        <f t="shared" si="3"/>
        <v>0</v>
      </c>
    </row>
    <row r="70" spans="1:33" ht="16" x14ac:dyDescent="0.2">
      <c r="A70" s="22" t="str">
        <f t="shared" si="0"/>
        <v>—</v>
      </c>
      <c r="B70" s="23"/>
      <c r="C70" s="16"/>
      <c r="D70" s="16"/>
      <c r="E70" s="24"/>
      <c r="F70" s="16"/>
      <c r="G70" s="16"/>
      <c r="H70" s="25"/>
      <c r="I70" s="25"/>
      <c r="J70" s="25"/>
      <c r="K70" s="25"/>
      <c r="L70" s="25"/>
      <c r="M70" s="25"/>
      <c r="N70" s="25"/>
      <c r="O70" s="25"/>
      <c r="P70" s="25"/>
      <c r="Q70" s="25"/>
      <c r="R70" s="26" t="str">
        <f>IF($T70="","",IF($D70="","Who paid?",IF(SUMPRODUCT((Setup!$B$21:$B$30=$D70)*1)=0,"Payer is not in the member list on Setup",IF($E70="","Amount missing — type the number in column E",IF(NOT(ISNUMBER($E70)),"Amount must be a plain number — no currency symbol, no text",IF(AND($T70="Custom units",$AE70&lt;=0),"Custom units: nobody has units on this row — type a number for at least one person",IF($AE70&lt;=0,"Nobody shares this row — check the person columns H–Q, and the Weight / Nights columns on Setup",IF(AND($T70="Exact amounts",ABS($AE70-$AG70)&gt;0.01),"Exact amounts do not add up to the amount","OK"))))))))</f>
        <v/>
      </c>
      <c r="S70" s="27" t="str">
        <f>IFERROR(IF(OR($T70="",$C$4=""),"—",ROUND($AG70*INDEX($U70:$AD70,1,MATCH($C$4,Setup!$B$21:$B$30,0))/$AF70,2)),"—")</f>
        <v>—</v>
      </c>
      <c r="T70" s="28" t="str">
        <f>IF(AND($C70="",$D70="",NOT(ISNUMBER($E70))),"",IF($G70="",IF(Setup!$C$17="","Equal",Setup!$C$17),$G70))</f>
        <v/>
      </c>
      <c r="U70" s="29">
        <f>IF($T70="",0,IF(OR(Setup!$B$21="",Setup!$C$21="No"),0,IF(ISNUMBER(H70),H70,IF($T70="Weights",IF(ISNUMBER(Setup!$D$21),Setup!$D$21,0),IF($T70="Nights",IF(ISNUMBER(Setup!$E$21),Setup!$E$21,0),IF(OR($T70="Exact amounts",$T70="Custom units"),0,1))))))</f>
        <v>0</v>
      </c>
      <c r="V70" s="29">
        <f>IF($T70="",0,IF(OR(Setup!$B$22="",Setup!$C$22="No"),0,IF(ISNUMBER(I70),I70,IF($T70="Weights",IF(ISNUMBER(Setup!$D$22),Setup!$D$22,0),IF($T70="Nights",IF(ISNUMBER(Setup!$E$22),Setup!$E$22,0),IF(OR($T70="Exact amounts",$T70="Custom units"),0,1))))))</f>
        <v>0</v>
      </c>
      <c r="W70" s="29">
        <f>IF($T70="",0,IF(OR(Setup!$B$23="",Setup!$C$23="No"),0,IF(ISNUMBER(J70),J70,IF($T70="Weights",IF(ISNUMBER(Setup!$D$23),Setup!$D$23,0),IF($T70="Nights",IF(ISNUMBER(Setup!$E$23),Setup!$E$23,0),IF(OR($T70="Exact amounts",$T70="Custom units"),0,1))))))</f>
        <v>0</v>
      </c>
      <c r="X70" s="29">
        <f>IF($T70="",0,IF(OR(Setup!$B$24="",Setup!$C$24="No"),0,IF(ISNUMBER(K70),K70,IF($T70="Weights",IF(ISNUMBER(Setup!$D$24),Setup!$D$24,0),IF($T70="Nights",IF(ISNUMBER(Setup!$E$24),Setup!$E$24,0),IF(OR($T70="Exact amounts",$T70="Custom units"),0,1))))))</f>
        <v>0</v>
      </c>
      <c r="Y70" s="29">
        <f>IF($T70="",0,IF(OR(Setup!$B$25="",Setup!$C$25="No"),0,IF(ISNUMBER(L70),L70,IF($T70="Weights",IF(ISNUMBER(Setup!$D$25),Setup!$D$25,0),IF($T70="Nights",IF(ISNUMBER(Setup!$E$25),Setup!$E$25,0),IF(OR($T70="Exact amounts",$T70="Custom units"),0,1))))))</f>
        <v>0</v>
      </c>
      <c r="Z70" s="29">
        <f>IF($T70="",0,IF(OR(Setup!$B$26="",Setup!$C$26="No"),0,IF(ISNUMBER(M70),M70,IF($T70="Weights",IF(ISNUMBER(Setup!$D$26),Setup!$D$26,0),IF($T70="Nights",IF(ISNUMBER(Setup!$E$26),Setup!$E$26,0),IF(OR($T70="Exact amounts",$T70="Custom units"),0,1))))))</f>
        <v>0</v>
      </c>
      <c r="AA70" s="29">
        <f>IF($T70="",0,IF(OR(Setup!$B$27="",Setup!$C$27="No"),0,IF(ISNUMBER(N70),N70,IF($T70="Weights",IF(ISNUMBER(Setup!$D$27),Setup!$D$27,0),IF($T70="Nights",IF(ISNUMBER(Setup!$E$27),Setup!$E$27,0),IF(OR($T70="Exact amounts",$T70="Custom units"),0,1))))))</f>
        <v>0</v>
      </c>
      <c r="AB70" s="29">
        <f>IF($T70="",0,IF(OR(Setup!$B$28="",Setup!$C$28="No"),0,IF(ISNUMBER(O70),O70,IF($T70="Weights",IF(ISNUMBER(Setup!$D$28),Setup!$D$28,0),IF($T70="Nights",IF(ISNUMBER(Setup!$E$28),Setup!$E$28,0),IF(OR($T70="Exact amounts",$T70="Custom units"),0,1))))))</f>
        <v>0</v>
      </c>
      <c r="AC70" s="29">
        <f>IF($T70="",0,IF(OR(Setup!$B$29="",Setup!$C$29="No"),0,IF(ISNUMBER(P70),P70,IF($T70="Weights",IF(ISNUMBER(Setup!$D$29),Setup!$D$29,0),IF($T70="Nights",IF(ISNUMBER(Setup!$E$29),Setup!$E$29,0),IF(OR($T70="Exact amounts",$T70="Custom units"),0,1))))))</f>
        <v>0</v>
      </c>
      <c r="AD70" s="29">
        <f>IF($T70="",0,IF(OR(Setup!$B$30="",Setup!$C$30="No"),0,IF(ISNUMBER(Q70),Q70,IF($T70="Weights",IF(ISNUMBER(Setup!$D$30),Setup!$D$30,0),IF($T70="Nights",IF(ISNUMBER(Setup!$E$30),Setup!$E$30,0),IF(OR($T70="Exact amounts",$T70="Custom units"),0,1))))))</f>
        <v>0</v>
      </c>
      <c r="AE70" s="29">
        <f t="shared" si="1"/>
        <v>0</v>
      </c>
      <c r="AF70" s="30">
        <f t="shared" si="2"/>
        <v>1</v>
      </c>
      <c r="AG70" s="29">
        <f t="shared" si="3"/>
        <v>0</v>
      </c>
    </row>
    <row r="71" spans="1:33" ht="16" x14ac:dyDescent="0.2">
      <c r="A71" s="22" t="str">
        <f t="shared" si="0"/>
        <v>—</v>
      </c>
      <c r="B71" s="31"/>
      <c r="C71" s="11"/>
      <c r="D71" s="11"/>
      <c r="E71" s="32"/>
      <c r="F71" s="11"/>
      <c r="G71" s="11"/>
      <c r="H71" s="33"/>
      <c r="I71" s="33"/>
      <c r="J71" s="33"/>
      <c r="K71" s="33"/>
      <c r="L71" s="33"/>
      <c r="M71" s="33"/>
      <c r="N71" s="33"/>
      <c r="O71" s="33"/>
      <c r="P71" s="33"/>
      <c r="Q71" s="33"/>
      <c r="R71" s="26" t="str">
        <f>IF($T71="","",IF($D71="","Who paid?",IF(SUMPRODUCT((Setup!$B$21:$B$30=$D71)*1)=0,"Payer is not in the member list on Setup",IF($E71="","Amount missing — type the number in column E",IF(NOT(ISNUMBER($E71)),"Amount must be a plain number — no currency symbol, no text",IF(AND($T71="Custom units",$AE71&lt;=0),"Custom units: nobody has units on this row — type a number for at least one person",IF($AE71&lt;=0,"Nobody shares this row — check the person columns H–Q, and the Weight / Nights columns on Setup",IF(AND($T71="Exact amounts",ABS($AE71-$AG71)&gt;0.01),"Exact amounts do not add up to the amount","OK"))))))))</f>
        <v/>
      </c>
      <c r="S71" s="27" t="str">
        <f>IFERROR(IF(OR($T71="",$C$4=""),"—",ROUND($AG71*INDEX($U71:$AD71,1,MATCH($C$4,Setup!$B$21:$B$30,0))/$AF71,2)),"—")</f>
        <v>—</v>
      </c>
      <c r="T71" s="28" t="str">
        <f>IF(AND($C71="",$D71="",NOT(ISNUMBER($E71))),"",IF($G71="",IF(Setup!$C$17="","Equal",Setup!$C$17),$G71))</f>
        <v/>
      </c>
      <c r="U71" s="29">
        <f>IF($T71="",0,IF(OR(Setup!$B$21="",Setup!$C$21="No"),0,IF(ISNUMBER(H71),H71,IF($T71="Weights",IF(ISNUMBER(Setup!$D$21),Setup!$D$21,0),IF($T71="Nights",IF(ISNUMBER(Setup!$E$21),Setup!$E$21,0),IF(OR($T71="Exact amounts",$T71="Custom units"),0,1))))))</f>
        <v>0</v>
      </c>
      <c r="V71" s="29">
        <f>IF($T71="",0,IF(OR(Setup!$B$22="",Setup!$C$22="No"),0,IF(ISNUMBER(I71),I71,IF($T71="Weights",IF(ISNUMBER(Setup!$D$22),Setup!$D$22,0),IF($T71="Nights",IF(ISNUMBER(Setup!$E$22),Setup!$E$22,0),IF(OR($T71="Exact amounts",$T71="Custom units"),0,1))))))</f>
        <v>0</v>
      </c>
      <c r="W71" s="29">
        <f>IF($T71="",0,IF(OR(Setup!$B$23="",Setup!$C$23="No"),0,IF(ISNUMBER(J71),J71,IF($T71="Weights",IF(ISNUMBER(Setup!$D$23),Setup!$D$23,0),IF($T71="Nights",IF(ISNUMBER(Setup!$E$23),Setup!$E$23,0),IF(OR($T71="Exact amounts",$T71="Custom units"),0,1))))))</f>
        <v>0</v>
      </c>
      <c r="X71" s="29">
        <f>IF($T71="",0,IF(OR(Setup!$B$24="",Setup!$C$24="No"),0,IF(ISNUMBER(K71),K71,IF($T71="Weights",IF(ISNUMBER(Setup!$D$24),Setup!$D$24,0),IF($T71="Nights",IF(ISNUMBER(Setup!$E$24),Setup!$E$24,0),IF(OR($T71="Exact amounts",$T71="Custom units"),0,1))))))</f>
        <v>0</v>
      </c>
      <c r="Y71" s="29">
        <f>IF($T71="",0,IF(OR(Setup!$B$25="",Setup!$C$25="No"),0,IF(ISNUMBER(L71),L71,IF($T71="Weights",IF(ISNUMBER(Setup!$D$25),Setup!$D$25,0),IF($T71="Nights",IF(ISNUMBER(Setup!$E$25),Setup!$E$25,0),IF(OR($T71="Exact amounts",$T71="Custom units"),0,1))))))</f>
        <v>0</v>
      </c>
      <c r="Z71" s="29">
        <f>IF($T71="",0,IF(OR(Setup!$B$26="",Setup!$C$26="No"),0,IF(ISNUMBER(M71),M71,IF($T71="Weights",IF(ISNUMBER(Setup!$D$26),Setup!$D$26,0),IF($T71="Nights",IF(ISNUMBER(Setup!$E$26),Setup!$E$26,0),IF(OR($T71="Exact amounts",$T71="Custom units"),0,1))))))</f>
        <v>0</v>
      </c>
      <c r="AA71" s="29">
        <f>IF($T71="",0,IF(OR(Setup!$B$27="",Setup!$C$27="No"),0,IF(ISNUMBER(N71),N71,IF($T71="Weights",IF(ISNUMBER(Setup!$D$27),Setup!$D$27,0),IF($T71="Nights",IF(ISNUMBER(Setup!$E$27),Setup!$E$27,0),IF(OR($T71="Exact amounts",$T71="Custom units"),0,1))))))</f>
        <v>0</v>
      </c>
      <c r="AB71" s="29">
        <f>IF($T71="",0,IF(OR(Setup!$B$28="",Setup!$C$28="No"),0,IF(ISNUMBER(O71),O71,IF($T71="Weights",IF(ISNUMBER(Setup!$D$28),Setup!$D$28,0),IF($T71="Nights",IF(ISNUMBER(Setup!$E$28),Setup!$E$28,0),IF(OR($T71="Exact amounts",$T71="Custom units"),0,1))))))</f>
        <v>0</v>
      </c>
      <c r="AC71" s="29">
        <f>IF($T71="",0,IF(OR(Setup!$B$29="",Setup!$C$29="No"),0,IF(ISNUMBER(P71),P71,IF($T71="Weights",IF(ISNUMBER(Setup!$D$29),Setup!$D$29,0),IF($T71="Nights",IF(ISNUMBER(Setup!$E$29),Setup!$E$29,0),IF(OR($T71="Exact amounts",$T71="Custom units"),0,1))))))</f>
        <v>0</v>
      </c>
      <c r="AD71" s="29">
        <f>IF($T71="",0,IF(OR(Setup!$B$30="",Setup!$C$30="No"),0,IF(ISNUMBER(Q71),Q71,IF($T71="Weights",IF(ISNUMBER(Setup!$D$30),Setup!$D$30,0),IF($T71="Nights",IF(ISNUMBER(Setup!$E$30),Setup!$E$30,0),IF(OR($T71="Exact amounts",$T71="Custom units"),0,1))))))</f>
        <v>0</v>
      </c>
      <c r="AE71" s="29">
        <f t="shared" si="1"/>
        <v>0</v>
      </c>
      <c r="AF71" s="30">
        <f t="shared" si="2"/>
        <v>1</v>
      </c>
      <c r="AG71" s="29">
        <f t="shared" si="3"/>
        <v>0</v>
      </c>
    </row>
    <row r="72" spans="1:33" ht="16" x14ac:dyDescent="0.2">
      <c r="A72" s="22" t="str">
        <f t="shared" ref="A72:A135" si="4">IF($T72="","—",ROW()-7)</f>
        <v>—</v>
      </c>
      <c r="B72" s="23"/>
      <c r="C72" s="16"/>
      <c r="D72" s="16"/>
      <c r="E72" s="24"/>
      <c r="F72" s="16"/>
      <c r="G72" s="16"/>
      <c r="H72" s="25"/>
      <c r="I72" s="25"/>
      <c r="J72" s="25"/>
      <c r="K72" s="25"/>
      <c r="L72" s="25"/>
      <c r="M72" s="25"/>
      <c r="N72" s="25"/>
      <c r="O72" s="25"/>
      <c r="P72" s="25"/>
      <c r="Q72" s="25"/>
      <c r="R72" s="26" t="str">
        <f>IF($T72="","",IF($D72="","Who paid?",IF(SUMPRODUCT((Setup!$B$21:$B$30=$D72)*1)=0,"Payer is not in the member list on Setup",IF($E72="","Amount missing — type the number in column E",IF(NOT(ISNUMBER($E72)),"Amount must be a plain number — no currency symbol, no text",IF(AND($T72="Custom units",$AE72&lt;=0),"Custom units: nobody has units on this row — type a number for at least one person",IF($AE72&lt;=0,"Nobody shares this row — check the person columns H–Q, and the Weight / Nights columns on Setup",IF(AND($T72="Exact amounts",ABS($AE72-$AG72)&gt;0.01),"Exact amounts do not add up to the amount","OK"))))))))</f>
        <v/>
      </c>
      <c r="S72" s="27" t="str">
        <f>IFERROR(IF(OR($T72="",$C$4=""),"—",ROUND($AG72*INDEX($U72:$AD72,1,MATCH($C$4,Setup!$B$21:$B$30,0))/$AF72,2)),"—")</f>
        <v>—</v>
      </c>
      <c r="T72" s="28" t="str">
        <f>IF(AND($C72="",$D72="",NOT(ISNUMBER($E72))),"",IF($G72="",IF(Setup!$C$17="","Equal",Setup!$C$17),$G72))</f>
        <v/>
      </c>
      <c r="U72" s="29">
        <f>IF($T72="",0,IF(OR(Setup!$B$21="",Setup!$C$21="No"),0,IF(ISNUMBER(H72),H72,IF($T72="Weights",IF(ISNUMBER(Setup!$D$21),Setup!$D$21,0),IF($T72="Nights",IF(ISNUMBER(Setup!$E$21),Setup!$E$21,0),IF(OR($T72="Exact amounts",$T72="Custom units"),0,1))))))</f>
        <v>0</v>
      </c>
      <c r="V72" s="29">
        <f>IF($T72="",0,IF(OR(Setup!$B$22="",Setup!$C$22="No"),0,IF(ISNUMBER(I72),I72,IF($T72="Weights",IF(ISNUMBER(Setup!$D$22),Setup!$D$22,0),IF($T72="Nights",IF(ISNUMBER(Setup!$E$22),Setup!$E$22,0),IF(OR($T72="Exact amounts",$T72="Custom units"),0,1))))))</f>
        <v>0</v>
      </c>
      <c r="W72" s="29">
        <f>IF($T72="",0,IF(OR(Setup!$B$23="",Setup!$C$23="No"),0,IF(ISNUMBER(J72),J72,IF($T72="Weights",IF(ISNUMBER(Setup!$D$23),Setup!$D$23,0),IF($T72="Nights",IF(ISNUMBER(Setup!$E$23),Setup!$E$23,0),IF(OR($T72="Exact amounts",$T72="Custom units"),0,1))))))</f>
        <v>0</v>
      </c>
      <c r="X72" s="29">
        <f>IF($T72="",0,IF(OR(Setup!$B$24="",Setup!$C$24="No"),0,IF(ISNUMBER(K72),K72,IF($T72="Weights",IF(ISNUMBER(Setup!$D$24),Setup!$D$24,0),IF($T72="Nights",IF(ISNUMBER(Setup!$E$24),Setup!$E$24,0),IF(OR($T72="Exact amounts",$T72="Custom units"),0,1))))))</f>
        <v>0</v>
      </c>
      <c r="Y72" s="29">
        <f>IF($T72="",0,IF(OR(Setup!$B$25="",Setup!$C$25="No"),0,IF(ISNUMBER(L72),L72,IF($T72="Weights",IF(ISNUMBER(Setup!$D$25),Setup!$D$25,0),IF($T72="Nights",IF(ISNUMBER(Setup!$E$25),Setup!$E$25,0),IF(OR($T72="Exact amounts",$T72="Custom units"),0,1))))))</f>
        <v>0</v>
      </c>
      <c r="Z72" s="29">
        <f>IF($T72="",0,IF(OR(Setup!$B$26="",Setup!$C$26="No"),0,IF(ISNUMBER(M72),M72,IF($T72="Weights",IF(ISNUMBER(Setup!$D$26),Setup!$D$26,0),IF($T72="Nights",IF(ISNUMBER(Setup!$E$26),Setup!$E$26,0),IF(OR($T72="Exact amounts",$T72="Custom units"),0,1))))))</f>
        <v>0</v>
      </c>
      <c r="AA72" s="29">
        <f>IF($T72="",0,IF(OR(Setup!$B$27="",Setup!$C$27="No"),0,IF(ISNUMBER(N72),N72,IF($T72="Weights",IF(ISNUMBER(Setup!$D$27),Setup!$D$27,0),IF($T72="Nights",IF(ISNUMBER(Setup!$E$27),Setup!$E$27,0),IF(OR($T72="Exact amounts",$T72="Custom units"),0,1))))))</f>
        <v>0</v>
      </c>
      <c r="AB72" s="29">
        <f>IF($T72="",0,IF(OR(Setup!$B$28="",Setup!$C$28="No"),0,IF(ISNUMBER(O72),O72,IF($T72="Weights",IF(ISNUMBER(Setup!$D$28),Setup!$D$28,0),IF($T72="Nights",IF(ISNUMBER(Setup!$E$28),Setup!$E$28,0),IF(OR($T72="Exact amounts",$T72="Custom units"),0,1))))))</f>
        <v>0</v>
      </c>
      <c r="AC72" s="29">
        <f>IF($T72="",0,IF(OR(Setup!$B$29="",Setup!$C$29="No"),0,IF(ISNUMBER(P72),P72,IF($T72="Weights",IF(ISNUMBER(Setup!$D$29),Setup!$D$29,0),IF($T72="Nights",IF(ISNUMBER(Setup!$E$29),Setup!$E$29,0),IF(OR($T72="Exact amounts",$T72="Custom units"),0,1))))))</f>
        <v>0</v>
      </c>
      <c r="AD72" s="29">
        <f>IF($T72="",0,IF(OR(Setup!$B$30="",Setup!$C$30="No"),0,IF(ISNUMBER(Q72),Q72,IF($T72="Weights",IF(ISNUMBER(Setup!$D$30),Setup!$D$30,0),IF($T72="Nights",IF(ISNUMBER(Setup!$E$30),Setup!$E$30,0),IF(OR($T72="Exact amounts",$T72="Custom units"),0,1))))))</f>
        <v>0</v>
      </c>
      <c r="AE72" s="29">
        <f t="shared" ref="AE72:AE135" si="5">IF($T72="",0,SUM($U72:$AD72))</f>
        <v>0</v>
      </c>
      <c r="AF72" s="30">
        <f t="shared" ref="AF72:AF135" si="6">IF($AE72&lt;=0,1,$AE72)</f>
        <v>1</v>
      </c>
      <c r="AG72" s="29">
        <f t="shared" ref="AG72:AG135" si="7">IF(ISNUMBER($E72),$E72,0)</f>
        <v>0</v>
      </c>
    </row>
    <row r="73" spans="1:33" ht="16" x14ac:dyDescent="0.2">
      <c r="A73" s="22" t="str">
        <f t="shared" si="4"/>
        <v>—</v>
      </c>
      <c r="B73" s="31"/>
      <c r="C73" s="11"/>
      <c r="D73" s="11"/>
      <c r="E73" s="32"/>
      <c r="F73" s="11"/>
      <c r="G73" s="11"/>
      <c r="H73" s="33"/>
      <c r="I73" s="33"/>
      <c r="J73" s="33"/>
      <c r="K73" s="33"/>
      <c r="L73" s="33"/>
      <c r="M73" s="33"/>
      <c r="N73" s="33"/>
      <c r="O73" s="33"/>
      <c r="P73" s="33"/>
      <c r="Q73" s="33"/>
      <c r="R73" s="26" t="str">
        <f>IF($T73="","",IF($D73="","Who paid?",IF(SUMPRODUCT((Setup!$B$21:$B$30=$D73)*1)=0,"Payer is not in the member list on Setup",IF($E73="","Amount missing — type the number in column E",IF(NOT(ISNUMBER($E73)),"Amount must be a plain number — no currency symbol, no text",IF(AND($T73="Custom units",$AE73&lt;=0),"Custom units: nobody has units on this row — type a number for at least one person",IF($AE73&lt;=0,"Nobody shares this row — check the person columns H–Q, and the Weight / Nights columns on Setup",IF(AND($T73="Exact amounts",ABS($AE73-$AG73)&gt;0.01),"Exact amounts do not add up to the amount","OK"))))))))</f>
        <v/>
      </c>
      <c r="S73" s="27" t="str">
        <f>IFERROR(IF(OR($T73="",$C$4=""),"—",ROUND($AG73*INDEX($U73:$AD73,1,MATCH($C$4,Setup!$B$21:$B$30,0))/$AF73,2)),"—")</f>
        <v>—</v>
      </c>
      <c r="T73" s="28" t="str">
        <f>IF(AND($C73="",$D73="",NOT(ISNUMBER($E73))),"",IF($G73="",IF(Setup!$C$17="","Equal",Setup!$C$17),$G73))</f>
        <v/>
      </c>
      <c r="U73" s="29">
        <f>IF($T73="",0,IF(OR(Setup!$B$21="",Setup!$C$21="No"),0,IF(ISNUMBER(H73),H73,IF($T73="Weights",IF(ISNUMBER(Setup!$D$21),Setup!$D$21,0),IF($T73="Nights",IF(ISNUMBER(Setup!$E$21),Setup!$E$21,0),IF(OR($T73="Exact amounts",$T73="Custom units"),0,1))))))</f>
        <v>0</v>
      </c>
      <c r="V73" s="29">
        <f>IF($T73="",0,IF(OR(Setup!$B$22="",Setup!$C$22="No"),0,IF(ISNUMBER(I73),I73,IF($T73="Weights",IF(ISNUMBER(Setup!$D$22),Setup!$D$22,0),IF($T73="Nights",IF(ISNUMBER(Setup!$E$22),Setup!$E$22,0),IF(OR($T73="Exact amounts",$T73="Custom units"),0,1))))))</f>
        <v>0</v>
      </c>
      <c r="W73" s="29">
        <f>IF($T73="",0,IF(OR(Setup!$B$23="",Setup!$C$23="No"),0,IF(ISNUMBER(J73),J73,IF($T73="Weights",IF(ISNUMBER(Setup!$D$23),Setup!$D$23,0),IF($T73="Nights",IF(ISNUMBER(Setup!$E$23),Setup!$E$23,0),IF(OR($T73="Exact amounts",$T73="Custom units"),0,1))))))</f>
        <v>0</v>
      </c>
      <c r="X73" s="29">
        <f>IF($T73="",0,IF(OR(Setup!$B$24="",Setup!$C$24="No"),0,IF(ISNUMBER(K73),K73,IF($T73="Weights",IF(ISNUMBER(Setup!$D$24),Setup!$D$24,0),IF($T73="Nights",IF(ISNUMBER(Setup!$E$24),Setup!$E$24,0),IF(OR($T73="Exact amounts",$T73="Custom units"),0,1))))))</f>
        <v>0</v>
      </c>
      <c r="Y73" s="29">
        <f>IF($T73="",0,IF(OR(Setup!$B$25="",Setup!$C$25="No"),0,IF(ISNUMBER(L73),L73,IF($T73="Weights",IF(ISNUMBER(Setup!$D$25),Setup!$D$25,0),IF($T73="Nights",IF(ISNUMBER(Setup!$E$25),Setup!$E$25,0),IF(OR($T73="Exact amounts",$T73="Custom units"),0,1))))))</f>
        <v>0</v>
      </c>
      <c r="Z73" s="29">
        <f>IF($T73="",0,IF(OR(Setup!$B$26="",Setup!$C$26="No"),0,IF(ISNUMBER(M73),M73,IF($T73="Weights",IF(ISNUMBER(Setup!$D$26),Setup!$D$26,0),IF($T73="Nights",IF(ISNUMBER(Setup!$E$26),Setup!$E$26,0),IF(OR($T73="Exact amounts",$T73="Custom units"),0,1))))))</f>
        <v>0</v>
      </c>
      <c r="AA73" s="29">
        <f>IF($T73="",0,IF(OR(Setup!$B$27="",Setup!$C$27="No"),0,IF(ISNUMBER(N73),N73,IF($T73="Weights",IF(ISNUMBER(Setup!$D$27),Setup!$D$27,0),IF($T73="Nights",IF(ISNUMBER(Setup!$E$27),Setup!$E$27,0),IF(OR($T73="Exact amounts",$T73="Custom units"),0,1))))))</f>
        <v>0</v>
      </c>
      <c r="AB73" s="29">
        <f>IF($T73="",0,IF(OR(Setup!$B$28="",Setup!$C$28="No"),0,IF(ISNUMBER(O73),O73,IF($T73="Weights",IF(ISNUMBER(Setup!$D$28),Setup!$D$28,0),IF($T73="Nights",IF(ISNUMBER(Setup!$E$28),Setup!$E$28,0),IF(OR($T73="Exact amounts",$T73="Custom units"),0,1))))))</f>
        <v>0</v>
      </c>
      <c r="AC73" s="29">
        <f>IF($T73="",0,IF(OR(Setup!$B$29="",Setup!$C$29="No"),0,IF(ISNUMBER(P73),P73,IF($T73="Weights",IF(ISNUMBER(Setup!$D$29),Setup!$D$29,0),IF($T73="Nights",IF(ISNUMBER(Setup!$E$29),Setup!$E$29,0),IF(OR($T73="Exact amounts",$T73="Custom units"),0,1))))))</f>
        <v>0</v>
      </c>
      <c r="AD73" s="29">
        <f>IF($T73="",0,IF(OR(Setup!$B$30="",Setup!$C$30="No"),0,IF(ISNUMBER(Q73),Q73,IF($T73="Weights",IF(ISNUMBER(Setup!$D$30),Setup!$D$30,0),IF($T73="Nights",IF(ISNUMBER(Setup!$E$30),Setup!$E$30,0),IF(OR($T73="Exact amounts",$T73="Custom units"),0,1))))))</f>
        <v>0</v>
      </c>
      <c r="AE73" s="29">
        <f t="shared" si="5"/>
        <v>0</v>
      </c>
      <c r="AF73" s="30">
        <f t="shared" si="6"/>
        <v>1</v>
      </c>
      <c r="AG73" s="29">
        <f t="shared" si="7"/>
        <v>0</v>
      </c>
    </row>
    <row r="74" spans="1:33" ht="16" x14ac:dyDescent="0.2">
      <c r="A74" s="22" t="str">
        <f t="shared" si="4"/>
        <v>—</v>
      </c>
      <c r="B74" s="23"/>
      <c r="C74" s="16"/>
      <c r="D74" s="16"/>
      <c r="E74" s="24"/>
      <c r="F74" s="16"/>
      <c r="G74" s="16"/>
      <c r="H74" s="25"/>
      <c r="I74" s="25"/>
      <c r="J74" s="25"/>
      <c r="K74" s="25"/>
      <c r="L74" s="25"/>
      <c r="M74" s="25"/>
      <c r="N74" s="25"/>
      <c r="O74" s="25"/>
      <c r="P74" s="25"/>
      <c r="Q74" s="25"/>
      <c r="R74" s="26" t="str">
        <f>IF($T74="","",IF($D74="","Who paid?",IF(SUMPRODUCT((Setup!$B$21:$B$30=$D74)*1)=0,"Payer is not in the member list on Setup",IF($E74="","Amount missing — type the number in column E",IF(NOT(ISNUMBER($E74)),"Amount must be a plain number — no currency symbol, no text",IF(AND($T74="Custom units",$AE74&lt;=0),"Custom units: nobody has units on this row — type a number for at least one person",IF($AE74&lt;=0,"Nobody shares this row — check the person columns H–Q, and the Weight / Nights columns on Setup",IF(AND($T74="Exact amounts",ABS($AE74-$AG74)&gt;0.01),"Exact amounts do not add up to the amount","OK"))))))))</f>
        <v/>
      </c>
      <c r="S74" s="27" t="str">
        <f>IFERROR(IF(OR($T74="",$C$4=""),"—",ROUND($AG74*INDEX($U74:$AD74,1,MATCH($C$4,Setup!$B$21:$B$30,0))/$AF74,2)),"—")</f>
        <v>—</v>
      </c>
      <c r="T74" s="28" t="str">
        <f>IF(AND($C74="",$D74="",NOT(ISNUMBER($E74))),"",IF($G74="",IF(Setup!$C$17="","Equal",Setup!$C$17),$G74))</f>
        <v/>
      </c>
      <c r="U74" s="29">
        <f>IF($T74="",0,IF(OR(Setup!$B$21="",Setup!$C$21="No"),0,IF(ISNUMBER(H74),H74,IF($T74="Weights",IF(ISNUMBER(Setup!$D$21),Setup!$D$21,0),IF($T74="Nights",IF(ISNUMBER(Setup!$E$21),Setup!$E$21,0),IF(OR($T74="Exact amounts",$T74="Custom units"),0,1))))))</f>
        <v>0</v>
      </c>
      <c r="V74" s="29">
        <f>IF($T74="",0,IF(OR(Setup!$B$22="",Setup!$C$22="No"),0,IF(ISNUMBER(I74),I74,IF($T74="Weights",IF(ISNUMBER(Setup!$D$22),Setup!$D$22,0),IF($T74="Nights",IF(ISNUMBER(Setup!$E$22),Setup!$E$22,0),IF(OR($T74="Exact amounts",$T74="Custom units"),0,1))))))</f>
        <v>0</v>
      </c>
      <c r="W74" s="29">
        <f>IF($T74="",0,IF(OR(Setup!$B$23="",Setup!$C$23="No"),0,IF(ISNUMBER(J74),J74,IF($T74="Weights",IF(ISNUMBER(Setup!$D$23),Setup!$D$23,0),IF($T74="Nights",IF(ISNUMBER(Setup!$E$23),Setup!$E$23,0),IF(OR($T74="Exact amounts",$T74="Custom units"),0,1))))))</f>
        <v>0</v>
      </c>
      <c r="X74" s="29">
        <f>IF($T74="",0,IF(OR(Setup!$B$24="",Setup!$C$24="No"),0,IF(ISNUMBER(K74),K74,IF($T74="Weights",IF(ISNUMBER(Setup!$D$24),Setup!$D$24,0),IF($T74="Nights",IF(ISNUMBER(Setup!$E$24),Setup!$E$24,0),IF(OR($T74="Exact amounts",$T74="Custom units"),0,1))))))</f>
        <v>0</v>
      </c>
      <c r="Y74" s="29">
        <f>IF($T74="",0,IF(OR(Setup!$B$25="",Setup!$C$25="No"),0,IF(ISNUMBER(L74),L74,IF($T74="Weights",IF(ISNUMBER(Setup!$D$25),Setup!$D$25,0),IF($T74="Nights",IF(ISNUMBER(Setup!$E$25),Setup!$E$25,0),IF(OR($T74="Exact amounts",$T74="Custom units"),0,1))))))</f>
        <v>0</v>
      </c>
      <c r="Z74" s="29">
        <f>IF($T74="",0,IF(OR(Setup!$B$26="",Setup!$C$26="No"),0,IF(ISNUMBER(M74),M74,IF($T74="Weights",IF(ISNUMBER(Setup!$D$26),Setup!$D$26,0),IF($T74="Nights",IF(ISNUMBER(Setup!$E$26),Setup!$E$26,0),IF(OR($T74="Exact amounts",$T74="Custom units"),0,1))))))</f>
        <v>0</v>
      </c>
      <c r="AA74" s="29">
        <f>IF($T74="",0,IF(OR(Setup!$B$27="",Setup!$C$27="No"),0,IF(ISNUMBER(N74),N74,IF($T74="Weights",IF(ISNUMBER(Setup!$D$27),Setup!$D$27,0),IF($T74="Nights",IF(ISNUMBER(Setup!$E$27),Setup!$E$27,0),IF(OR($T74="Exact amounts",$T74="Custom units"),0,1))))))</f>
        <v>0</v>
      </c>
      <c r="AB74" s="29">
        <f>IF($T74="",0,IF(OR(Setup!$B$28="",Setup!$C$28="No"),0,IF(ISNUMBER(O74),O74,IF($T74="Weights",IF(ISNUMBER(Setup!$D$28),Setup!$D$28,0),IF($T74="Nights",IF(ISNUMBER(Setup!$E$28),Setup!$E$28,0),IF(OR($T74="Exact amounts",$T74="Custom units"),0,1))))))</f>
        <v>0</v>
      </c>
      <c r="AC74" s="29">
        <f>IF($T74="",0,IF(OR(Setup!$B$29="",Setup!$C$29="No"),0,IF(ISNUMBER(P74),P74,IF($T74="Weights",IF(ISNUMBER(Setup!$D$29),Setup!$D$29,0),IF($T74="Nights",IF(ISNUMBER(Setup!$E$29),Setup!$E$29,0),IF(OR($T74="Exact amounts",$T74="Custom units"),0,1))))))</f>
        <v>0</v>
      </c>
      <c r="AD74" s="29">
        <f>IF($T74="",0,IF(OR(Setup!$B$30="",Setup!$C$30="No"),0,IF(ISNUMBER(Q74),Q74,IF($T74="Weights",IF(ISNUMBER(Setup!$D$30),Setup!$D$30,0),IF($T74="Nights",IF(ISNUMBER(Setup!$E$30),Setup!$E$30,0),IF(OR($T74="Exact amounts",$T74="Custom units"),0,1))))))</f>
        <v>0</v>
      </c>
      <c r="AE74" s="29">
        <f t="shared" si="5"/>
        <v>0</v>
      </c>
      <c r="AF74" s="30">
        <f t="shared" si="6"/>
        <v>1</v>
      </c>
      <c r="AG74" s="29">
        <f t="shared" si="7"/>
        <v>0</v>
      </c>
    </row>
    <row r="75" spans="1:33" ht="16" x14ac:dyDescent="0.2">
      <c r="A75" s="22" t="str">
        <f t="shared" si="4"/>
        <v>—</v>
      </c>
      <c r="B75" s="31"/>
      <c r="C75" s="11"/>
      <c r="D75" s="11"/>
      <c r="E75" s="32"/>
      <c r="F75" s="11"/>
      <c r="G75" s="11"/>
      <c r="H75" s="33"/>
      <c r="I75" s="33"/>
      <c r="J75" s="33"/>
      <c r="K75" s="33"/>
      <c r="L75" s="33"/>
      <c r="M75" s="33"/>
      <c r="N75" s="33"/>
      <c r="O75" s="33"/>
      <c r="P75" s="33"/>
      <c r="Q75" s="33"/>
      <c r="R75" s="26" t="str">
        <f>IF($T75="","",IF($D75="","Who paid?",IF(SUMPRODUCT((Setup!$B$21:$B$30=$D75)*1)=0,"Payer is not in the member list on Setup",IF($E75="","Amount missing — type the number in column E",IF(NOT(ISNUMBER($E75)),"Amount must be a plain number — no currency symbol, no text",IF(AND($T75="Custom units",$AE75&lt;=0),"Custom units: nobody has units on this row — type a number for at least one person",IF($AE75&lt;=0,"Nobody shares this row — check the person columns H–Q, and the Weight / Nights columns on Setup",IF(AND($T75="Exact amounts",ABS($AE75-$AG75)&gt;0.01),"Exact amounts do not add up to the amount","OK"))))))))</f>
        <v/>
      </c>
      <c r="S75" s="27" t="str">
        <f>IFERROR(IF(OR($T75="",$C$4=""),"—",ROUND($AG75*INDEX($U75:$AD75,1,MATCH($C$4,Setup!$B$21:$B$30,0))/$AF75,2)),"—")</f>
        <v>—</v>
      </c>
      <c r="T75" s="28" t="str">
        <f>IF(AND($C75="",$D75="",NOT(ISNUMBER($E75))),"",IF($G75="",IF(Setup!$C$17="","Equal",Setup!$C$17),$G75))</f>
        <v/>
      </c>
      <c r="U75" s="29">
        <f>IF($T75="",0,IF(OR(Setup!$B$21="",Setup!$C$21="No"),0,IF(ISNUMBER(H75),H75,IF($T75="Weights",IF(ISNUMBER(Setup!$D$21),Setup!$D$21,0),IF($T75="Nights",IF(ISNUMBER(Setup!$E$21),Setup!$E$21,0),IF(OR($T75="Exact amounts",$T75="Custom units"),0,1))))))</f>
        <v>0</v>
      </c>
      <c r="V75" s="29">
        <f>IF($T75="",0,IF(OR(Setup!$B$22="",Setup!$C$22="No"),0,IF(ISNUMBER(I75),I75,IF($T75="Weights",IF(ISNUMBER(Setup!$D$22),Setup!$D$22,0),IF($T75="Nights",IF(ISNUMBER(Setup!$E$22),Setup!$E$22,0),IF(OR($T75="Exact amounts",$T75="Custom units"),0,1))))))</f>
        <v>0</v>
      </c>
      <c r="W75" s="29">
        <f>IF($T75="",0,IF(OR(Setup!$B$23="",Setup!$C$23="No"),0,IF(ISNUMBER(J75),J75,IF($T75="Weights",IF(ISNUMBER(Setup!$D$23),Setup!$D$23,0),IF($T75="Nights",IF(ISNUMBER(Setup!$E$23),Setup!$E$23,0),IF(OR($T75="Exact amounts",$T75="Custom units"),0,1))))))</f>
        <v>0</v>
      </c>
      <c r="X75" s="29">
        <f>IF($T75="",0,IF(OR(Setup!$B$24="",Setup!$C$24="No"),0,IF(ISNUMBER(K75),K75,IF($T75="Weights",IF(ISNUMBER(Setup!$D$24),Setup!$D$24,0),IF($T75="Nights",IF(ISNUMBER(Setup!$E$24),Setup!$E$24,0),IF(OR($T75="Exact amounts",$T75="Custom units"),0,1))))))</f>
        <v>0</v>
      </c>
      <c r="Y75" s="29">
        <f>IF($T75="",0,IF(OR(Setup!$B$25="",Setup!$C$25="No"),0,IF(ISNUMBER(L75),L75,IF($T75="Weights",IF(ISNUMBER(Setup!$D$25),Setup!$D$25,0),IF($T75="Nights",IF(ISNUMBER(Setup!$E$25),Setup!$E$25,0),IF(OR($T75="Exact amounts",$T75="Custom units"),0,1))))))</f>
        <v>0</v>
      </c>
      <c r="Z75" s="29">
        <f>IF($T75="",0,IF(OR(Setup!$B$26="",Setup!$C$26="No"),0,IF(ISNUMBER(M75),M75,IF($T75="Weights",IF(ISNUMBER(Setup!$D$26),Setup!$D$26,0),IF($T75="Nights",IF(ISNUMBER(Setup!$E$26),Setup!$E$26,0),IF(OR($T75="Exact amounts",$T75="Custom units"),0,1))))))</f>
        <v>0</v>
      </c>
      <c r="AA75" s="29">
        <f>IF($T75="",0,IF(OR(Setup!$B$27="",Setup!$C$27="No"),0,IF(ISNUMBER(N75),N75,IF($T75="Weights",IF(ISNUMBER(Setup!$D$27),Setup!$D$27,0),IF($T75="Nights",IF(ISNUMBER(Setup!$E$27),Setup!$E$27,0),IF(OR($T75="Exact amounts",$T75="Custom units"),0,1))))))</f>
        <v>0</v>
      </c>
      <c r="AB75" s="29">
        <f>IF($T75="",0,IF(OR(Setup!$B$28="",Setup!$C$28="No"),0,IF(ISNUMBER(O75),O75,IF($T75="Weights",IF(ISNUMBER(Setup!$D$28),Setup!$D$28,0),IF($T75="Nights",IF(ISNUMBER(Setup!$E$28),Setup!$E$28,0),IF(OR($T75="Exact amounts",$T75="Custom units"),0,1))))))</f>
        <v>0</v>
      </c>
      <c r="AC75" s="29">
        <f>IF($T75="",0,IF(OR(Setup!$B$29="",Setup!$C$29="No"),0,IF(ISNUMBER(P75),P75,IF($T75="Weights",IF(ISNUMBER(Setup!$D$29),Setup!$D$29,0),IF($T75="Nights",IF(ISNUMBER(Setup!$E$29),Setup!$E$29,0),IF(OR($T75="Exact amounts",$T75="Custom units"),0,1))))))</f>
        <v>0</v>
      </c>
      <c r="AD75" s="29">
        <f>IF($T75="",0,IF(OR(Setup!$B$30="",Setup!$C$30="No"),0,IF(ISNUMBER(Q75),Q75,IF($T75="Weights",IF(ISNUMBER(Setup!$D$30),Setup!$D$30,0),IF($T75="Nights",IF(ISNUMBER(Setup!$E$30),Setup!$E$30,0),IF(OR($T75="Exact amounts",$T75="Custom units"),0,1))))))</f>
        <v>0</v>
      </c>
      <c r="AE75" s="29">
        <f t="shared" si="5"/>
        <v>0</v>
      </c>
      <c r="AF75" s="30">
        <f t="shared" si="6"/>
        <v>1</v>
      </c>
      <c r="AG75" s="29">
        <f t="shared" si="7"/>
        <v>0</v>
      </c>
    </row>
    <row r="76" spans="1:33" ht="16" x14ac:dyDescent="0.2">
      <c r="A76" s="22" t="str">
        <f t="shared" si="4"/>
        <v>—</v>
      </c>
      <c r="B76" s="23"/>
      <c r="C76" s="16"/>
      <c r="D76" s="16"/>
      <c r="E76" s="24"/>
      <c r="F76" s="16"/>
      <c r="G76" s="16"/>
      <c r="H76" s="25"/>
      <c r="I76" s="25"/>
      <c r="J76" s="25"/>
      <c r="K76" s="25"/>
      <c r="L76" s="25"/>
      <c r="M76" s="25"/>
      <c r="N76" s="25"/>
      <c r="O76" s="25"/>
      <c r="P76" s="25"/>
      <c r="Q76" s="25"/>
      <c r="R76" s="26" t="str">
        <f>IF($T76="","",IF($D76="","Who paid?",IF(SUMPRODUCT((Setup!$B$21:$B$30=$D76)*1)=0,"Payer is not in the member list on Setup",IF($E76="","Amount missing — type the number in column E",IF(NOT(ISNUMBER($E76)),"Amount must be a plain number — no currency symbol, no text",IF(AND($T76="Custom units",$AE76&lt;=0),"Custom units: nobody has units on this row — type a number for at least one person",IF($AE76&lt;=0,"Nobody shares this row — check the person columns H–Q, and the Weight / Nights columns on Setup",IF(AND($T76="Exact amounts",ABS($AE76-$AG76)&gt;0.01),"Exact amounts do not add up to the amount","OK"))))))))</f>
        <v/>
      </c>
      <c r="S76" s="27" t="str">
        <f>IFERROR(IF(OR($T76="",$C$4=""),"—",ROUND($AG76*INDEX($U76:$AD76,1,MATCH($C$4,Setup!$B$21:$B$30,0))/$AF76,2)),"—")</f>
        <v>—</v>
      </c>
      <c r="T76" s="28" t="str">
        <f>IF(AND($C76="",$D76="",NOT(ISNUMBER($E76))),"",IF($G76="",IF(Setup!$C$17="","Equal",Setup!$C$17),$G76))</f>
        <v/>
      </c>
      <c r="U76" s="29">
        <f>IF($T76="",0,IF(OR(Setup!$B$21="",Setup!$C$21="No"),0,IF(ISNUMBER(H76),H76,IF($T76="Weights",IF(ISNUMBER(Setup!$D$21),Setup!$D$21,0),IF($T76="Nights",IF(ISNUMBER(Setup!$E$21),Setup!$E$21,0),IF(OR($T76="Exact amounts",$T76="Custom units"),0,1))))))</f>
        <v>0</v>
      </c>
      <c r="V76" s="29">
        <f>IF($T76="",0,IF(OR(Setup!$B$22="",Setup!$C$22="No"),0,IF(ISNUMBER(I76),I76,IF($T76="Weights",IF(ISNUMBER(Setup!$D$22),Setup!$D$22,0),IF($T76="Nights",IF(ISNUMBER(Setup!$E$22),Setup!$E$22,0),IF(OR($T76="Exact amounts",$T76="Custom units"),0,1))))))</f>
        <v>0</v>
      </c>
      <c r="W76" s="29">
        <f>IF($T76="",0,IF(OR(Setup!$B$23="",Setup!$C$23="No"),0,IF(ISNUMBER(J76),J76,IF($T76="Weights",IF(ISNUMBER(Setup!$D$23),Setup!$D$23,0),IF($T76="Nights",IF(ISNUMBER(Setup!$E$23),Setup!$E$23,0),IF(OR($T76="Exact amounts",$T76="Custom units"),0,1))))))</f>
        <v>0</v>
      </c>
      <c r="X76" s="29">
        <f>IF($T76="",0,IF(OR(Setup!$B$24="",Setup!$C$24="No"),0,IF(ISNUMBER(K76),K76,IF($T76="Weights",IF(ISNUMBER(Setup!$D$24),Setup!$D$24,0),IF($T76="Nights",IF(ISNUMBER(Setup!$E$24),Setup!$E$24,0),IF(OR($T76="Exact amounts",$T76="Custom units"),0,1))))))</f>
        <v>0</v>
      </c>
      <c r="Y76" s="29">
        <f>IF($T76="",0,IF(OR(Setup!$B$25="",Setup!$C$25="No"),0,IF(ISNUMBER(L76),L76,IF($T76="Weights",IF(ISNUMBER(Setup!$D$25),Setup!$D$25,0),IF($T76="Nights",IF(ISNUMBER(Setup!$E$25),Setup!$E$25,0),IF(OR($T76="Exact amounts",$T76="Custom units"),0,1))))))</f>
        <v>0</v>
      </c>
      <c r="Z76" s="29">
        <f>IF($T76="",0,IF(OR(Setup!$B$26="",Setup!$C$26="No"),0,IF(ISNUMBER(M76),M76,IF($T76="Weights",IF(ISNUMBER(Setup!$D$26),Setup!$D$26,0),IF($T76="Nights",IF(ISNUMBER(Setup!$E$26),Setup!$E$26,0),IF(OR($T76="Exact amounts",$T76="Custom units"),0,1))))))</f>
        <v>0</v>
      </c>
      <c r="AA76" s="29">
        <f>IF($T76="",0,IF(OR(Setup!$B$27="",Setup!$C$27="No"),0,IF(ISNUMBER(N76),N76,IF($T76="Weights",IF(ISNUMBER(Setup!$D$27),Setup!$D$27,0),IF($T76="Nights",IF(ISNUMBER(Setup!$E$27),Setup!$E$27,0),IF(OR($T76="Exact amounts",$T76="Custom units"),0,1))))))</f>
        <v>0</v>
      </c>
      <c r="AB76" s="29">
        <f>IF($T76="",0,IF(OR(Setup!$B$28="",Setup!$C$28="No"),0,IF(ISNUMBER(O76),O76,IF($T76="Weights",IF(ISNUMBER(Setup!$D$28),Setup!$D$28,0),IF($T76="Nights",IF(ISNUMBER(Setup!$E$28),Setup!$E$28,0),IF(OR($T76="Exact amounts",$T76="Custom units"),0,1))))))</f>
        <v>0</v>
      </c>
      <c r="AC76" s="29">
        <f>IF($T76="",0,IF(OR(Setup!$B$29="",Setup!$C$29="No"),0,IF(ISNUMBER(P76),P76,IF($T76="Weights",IF(ISNUMBER(Setup!$D$29),Setup!$D$29,0),IF($T76="Nights",IF(ISNUMBER(Setup!$E$29),Setup!$E$29,0),IF(OR($T76="Exact amounts",$T76="Custom units"),0,1))))))</f>
        <v>0</v>
      </c>
      <c r="AD76" s="29">
        <f>IF($T76="",0,IF(OR(Setup!$B$30="",Setup!$C$30="No"),0,IF(ISNUMBER(Q76),Q76,IF($T76="Weights",IF(ISNUMBER(Setup!$D$30),Setup!$D$30,0),IF($T76="Nights",IF(ISNUMBER(Setup!$E$30),Setup!$E$30,0),IF(OR($T76="Exact amounts",$T76="Custom units"),0,1))))))</f>
        <v>0</v>
      </c>
      <c r="AE76" s="29">
        <f t="shared" si="5"/>
        <v>0</v>
      </c>
      <c r="AF76" s="30">
        <f t="shared" si="6"/>
        <v>1</v>
      </c>
      <c r="AG76" s="29">
        <f t="shared" si="7"/>
        <v>0</v>
      </c>
    </row>
    <row r="77" spans="1:33" ht="16" x14ac:dyDescent="0.2">
      <c r="A77" s="22" t="str">
        <f t="shared" si="4"/>
        <v>—</v>
      </c>
      <c r="B77" s="31"/>
      <c r="C77" s="11"/>
      <c r="D77" s="11"/>
      <c r="E77" s="32"/>
      <c r="F77" s="11"/>
      <c r="G77" s="11"/>
      <c r="H77" s="33"/>
      <c r="I77" s="33"/>
      <c r="J77" s="33"/>
      <c r="K77" s="33"/>
      <c r="L77" s="33"/>
      <c r="M77" s="33"/>
      <c r="N77" s="33"/>
      <c r="O77" s="33"/>
      <c r="P77" s="33"/>
      <c r="Q77" s="33"/>
      <c r="R77" s="26" t="str">
        <f>IF($T77="","",IF($D77="","Who paid?",IF(SUMPRODUCT((Setup!$B$21:$B$30=$D77)*1)=0,"Payer is not in the member list on Setup",IF($E77="","Amount missing — type the number in column E",IF(NOT(ISNUMBER($E77)),"Amount must be a plain number — no currency symbol, no text",IF(AND($T77="Custom units",$AE77&lt;=0),"Custom units: nobody has units on this row — type a number for at least one person",IF($AE77&lt;=0,"Nobody shares this row — check the person columns H–Q, and the Weight / Nights columns on Setup",IF(AND($T77="Exact amounts",ABS($AE77-$AG77)&gt;0.01),"Exact amounts do not add up to the amount","OK"))))))))</f>
        <v/>
      </c>
      <c r="S77" s="27" t="str">
        <f>IFERROR(IF(OR($T77="",$C$4=""),"—",ROUND($AG77*INDEX($U77:$AD77,1,MATCH($C$4,Setup!$B$21:$B$30,0))/$AF77,2)),"—")</f>
        <v>—</v>
      </c>
      <c r="T77" s="28" t="str">
        <f>IF(AND($C77="",$D77="",NOT(ISNUMBER($E77))),"",IF($G77="",IF(Setup!$C$17="","Equal",Setup!$C$17),$G77))</f>
        <v/>
      </c>
      <c r="U77" s="29">
        <f>IF($T77="",0,IF(OR(Setup!$B$21="",Setup!$C$21="No"),0,IF(ISNUMBER(H77),H77,IF($T77="Weights",IF(ISNUMBER(Setup!$D$21),Setup!$D$21,0),IF($T77="Nights",IF(ISNUMBER(Setup!$E$21),Setup!$E$21,0),IF(OR($T77="Exact amounts",$T77="Custom units"),0,1))))))</f>
        <v>0</v>
      </c>
      <c r="V77" s="29">
        <f>IF($T77="",0,IF(OR(Setup!$B$22="",Setup!$C$22="No"),0,IF(ISNUMBER(I77),I77,IF($T77="Weights",IF(ISNUMBER(Setup!$D$22),Setup!$D$22,0),IF($T77="Nights",IF(ISNUMBER(Setup!$E$22),Setup!$E$22,0),IF(OR($T77="Exact amounts",$T77="Custom units"),0,1))))))</f>
        <v>0</v>
      </c>
      <c r="W77" s="29">
        <f>IF($T77="",0,IF(OR(Setup!$B$23="",Setup!$C$23="No"),0,IF(ISNUMBER(J77),J77,IF($T77="Weights",IF(ISNUMBER(Setup!$D$23),Setup!$D$23,0),IF($T77="Nights",IF(ISNUMBER(Setup!$E$23),Setup!$E$23,0),IF(OR($T77="Exact amounts",$T77="Custom units"),0,1))))))</f>
        <v>0</v>
      </c>
      <c r="X77" s="29">
        <f>IF($T77="",0,IF(OR(Setup!$B$24="",Setup!$C$24="No"),0,IF(ISNUMBER(K77),K77,IF($T77="Weights",IF(ISNUMBER(Setup!$D$24),Setup!$D$24,0),IF($T77="Nights",IF(ISNUMBER(Setup!$E$24),Setup!$E$24,0),IF(OR($T77="Exact amounts",$T77="Custom units"),0,1))))))</f>
        <v>0</v>
      </c>
      <c r="Y77" s="29">
        <f>IF($T77="",0,IF(OR(Setup!$B$25="",Setup!$C$25="No"),0,IF(ISNUMBER(L77),L77,IF($T77="Weights",IF(ISNUMBER(Setup!$D$25),Setup!$D$25,0),IF($T77="Nights",IF(ISNUMBER(Setup!$E$25),Setup!$E$25,0),IF(OR($T77="Exact amounts",$T77="Custom units"),0,1))))))</f>
        <v>0</v>
      </c>
      <c r="Z77" s="29">
        <f>IF($T77="",0,IF(OR(Setup!$B$26="",Setup!$C$26="No"),0,IF(ISNUMBER(M77),M77,IF($T77="Weights",IF(ISNUMBER(Setup!$D$26),Setup!$D$26,0),IF($T77="Nights",IF(ISNUMBER(Setup!$E$26),Setup!$E$26,0),IF(OR($T77="Exact amounts",$T77="Custom units"),0,1))))))</f>
        <v>0</v>
      </c>
      <c r="AA77" s="29">
        <f>IF($T77="",0,IF(OR(Setup!$B$27="",Setup!$C$27="No"),0,IF(ISNUMBER(N77),N77,IF($T77="Weights",IF(ISNUMBER(Setup!$D$27),Setup!$D$27,0),IF($T77="Nights",IF(ISNUMBER(Setup!$E$27),Setup!$E$27,0),IF(OR($T77="Exact amounts",$T77="Custom units"),0,1))))))</f>
        <v>0</v>
      </c>
      <c r="AB77" s="29">
        <f>IF($T77="",0,IF(OR(Setup!$B$28="",Setup!$C$28="No"),0,IF(ISNUMBER(O77),O77,IF($T77="Weights",IF(ISNUMBER(Setup!$D$28),Setup!$D$28,0),IF($T77="Nights",IF(ISNUMBER(Setup!$E$28),Setup!$E$28,0),IF(OR($T77="Exact amounts",$T77="Custom units"),0,1))))))</f>
        <v>0</v>
      </c>
      <c r="AC77" s="29">
        <f>IF($T77="",0,IF(OR(Setup!$B$29="",Setup!$C$29="No"),0,IF(ISNUMBER(P77),P77,IF($T77="Weights",IF(ISNUMBER(Setup!$D$29),Setup!$D$29,0),IF($T77="Nights",IF(ISNUMBER(Setup!$E$29),Setup!$E$29,0),IF(OR($T77="Exact amounts",$T77="Custom units"),0,1))))))</f>
        <v>0</v>
      </c>
      <c r="AD77" s="29">
        <f>IF($T77="",0,IF(OR(Setup!$B$30="",Setup!$C$30="No"),0,IF(ISNUMBER(Q77),Q77,IF($T77="Weights",IF(ISNUMBER(Setup!$D$30),Setup!$D$30,0),IF($T77="Nights",IF(ISNUMBER(Setup!$E$30),Setup!$E$30,0),IF(OR($T77="Exact amounts",$T77="Custom units"),0,1))))))</f>
        <v>0</v>
      </c>
      <c r="AE77" s="29">
        <f t="shared" si="5"/>
        <v>0</v>
      </c>
      <c r="AF77" s="30">
        <f t="shared" si="6"/>
        <v>1</v>
      </c>
      <c r="AG77" s="29">
        <f t="shared" si="7"/>
        <v>0</v>
      </c>
    </row>
    <row r="78" spans="1:33" ht="16" x14ac:dyDescent="0.2">
      <c r="A78" s="22" t="str">
        <f t="shared" si="4"/>
        <v>—</v>
      </c>
      <c r="B78" s="23"/>
      <c r="C78" s="16"/>
      <c r="D78" s="16"/>
      <c r="E78" s="24"/>
      <c r="F78" s="16"/>
      <c r="G78" s="16"/>
      <c r="H78" s="25"/>
      <c r="I78" s="25"/>
      <c r="J78" s="25"/>
      <c r="K78" s="25"/>
      <c r="L78" s="25"/>
      <c r="M78" s="25"/>
      <c r="N78" s="25"/>
      <c r="O78" s="25"/>
      <c r="P78" s="25"/>
      <c r="Q78" s="25"/>
      <c r="R78" s="26" t="str">
        <f>IF($T78="","",IF($D78="","Who paid?",IF(SUMPRODUCT((Setup!$B$21:$B$30=$D78)*1)=0,"Payer is not in the member list on Setup",IF($E78="","Amount missing — type the number in column E",IF(NOT(ISNUMBER($E78)),"Amount must be a plain number — no currency symbol, no text",IF(AND($T78="Custom units",$AE78&lt;=0),"Custom units: nobody has units on this row — type a number for at least one person",IF($AE78&lt;=0,"Nobody shares this row — check the person columns H–Q, and the Weight / Nights columns on Setup",IF(AND($T78="Exact amounts",ABS($AE78-$AG78)&gt;0.01),"Exact amounts do not add up to the amount","OK"))))))))</f>
        <v/>
      </c>
      <c r="S78" s="27" t="str">
        <f>IFERROR(IF(OR($T78="",$C$4=""),"—",ROUND($AG78*INDEX($U78:$AD78,1,MATCH($C$4,Setup!$B$21:$B$30,0))/$AF78,2)),"—")</f>
        <v>—</v>
      </c>
      <c r="T78" s="28" t="str">
        <f>IF(AND($C78="",$D78="",NOT(ISNUMBER($E78))),"",IF($G78="",IF(Setup!$C$17="","Equal",Setup!$C$17),$G78))</f>
        <v/>
      </c>
      <c r="U78" s="29">
        <f>IF($T78="",0,IF(OR(Setup!$B$21="",Setup!$C$21="No"),0,IF(ISNUMBER(H78),H78,IF($T78="Weights",IF(ISNUMBER(Setup!$D$21),Setup!$D$21,0),IF($T78="Nights",IF(ISNUMBER(Setup!$E$21),Setup!$E$21,0),IF(OR($T78="Exact amounts",$T78="Custom units"),0,1))))))</f>
        <v>0</v>
      </c>
      <c r="V78" s="29">
        <f>IF($T78="",0,IF(OR(Setup!$B$22="",Setup!$C$22="No"),0,IF(ISNUMBER(I78),I78,IF($T78="Weights",IF(ISNUMBER(Setup!$D$22),Setup!$D$22,0),IF($T78="Nights",IF(ISNUMBER(Setup!$E$22),Setup!$E$22,0),IF(OR($T78="Exact amounts",$T78="Custom units"),0,1))))))</f>
        <v>0</v>
      </c>
      <c r="W78" s="29">
        <f>IF($T78="",0,IF(OR(Setup!$B$23="",Setup!$C$23="No"),0,IF(ISNUMBER(J78),J78,IF($T78="Weights",IF(ISNUMBER(Setup!$D$23),Setup!$D$23,0),IF($T78="Nights",IF(ISNUMBER(Setup!$E$23),Setup!$E$23,0),IF(OR($T78="Exact amounts",$T78="Custom units"),0,1))))))</f>
        <v>0</v>
      </c>
      <c r="X78" s="29">
        <f>IF($T78="",0,IF(OR(Setup!$B$24="",Setup!$C$24="No"),0,IF(ISNUMBER(K78),K78,IF($T78="Weights",IF(ISNUMBER(Setup!$D$24),Setup!$D$24,0),IF($T78="Nights",IF(ISNUMBER(Setup!$E$24),Setup!$E$24,0),IF(OR($T78="Exact amounts",$T78="Custom units"),0,1))))))</f>
        <v>0</v>
      </c>
      <c r="Y78" s="29">
        <f>IF($T78="",0,IF(OR(Setup!$B$25="",Setup!$C$25="No"),0,IF(ISNUMBER(L78),L78,IF($T78="Weights",IF(ISNUMBER(Setup!$D$25),Setup!$D$25,0),IF($T78="Nights",IF(ISNUMBER(Setup!$E$25),Setup!$E$25,0),IF(OR($T78="Exact amounts",$T78="Custom units"),0,1))))))</f>
        <v>0</v>
      </c>
      <c r="Z78" s="29">
        <f>IF($T78="",0,IF(OR(Setup!$B$26="",Setup!$C$26="No"),0,IF(ISNUMBER(M78),M78,IF($T78="Weights",IF(ISNUMBER(Setup!$D$26),Setup!$D$26,0),IF($T78="Nights",IF(ISNUMBER(Setup!$E$26),Setup!$E$26,0),IF(OR($T78="Exact amounts",$T78="Custom units"),0,1))))))</f>
        <v>0</v>
      </c>
      <c r="AA78" s="29">
        <f>IF($T78="",0,IF(OR(Setup!$B$27="",Setup!$C$27="No"),0,IF(ISNUMBER(N78),N78,IF($T78="Weights",IF(ISNUMBER(Setup!$D$27),Setup!$D$27,0),IF($T78="Nights",IF(ISNUMBER(Setup!$E$27),Setup!$E$27,0),IF(OR($T78="Exact amounts",$T78="Custom units"),0,1))))))</f>
        <v>0</v>
      </c>
      <c r="AB78" s="29">
        <f>IF($T78="",0,IF(OR(Setup!$B$28="",Setup!$C$28="No"),0,IF(ISNUMBER(O78),O78,IF($T78="Weights",IF(ISNUMBER(Setup!$D$28),Setup!$D$28,0),IF($T78="Nights",IF(ISNUMBER(Setup!$E$28),Setup!$E$28,0),IF(OR($T78="Exact amounts",$T78="Custom units"),0,1))))))</f>
        <v>0</v>
      </c>
      <c r="AC78" s="29">
        <f>IF($T78="",0,IF(OR(Setup!$B$29="",Setup!$C$29="No"),0,IF(ISNUMBER(P78),P78,IF($T78="Weights",IF(ISNUMBER(Setup!$D$29),Setup!$D$29,0),IF($T78="Nights",IF(ISNUMBER(Setup!$E$29),Setup!$E$29,0),IF(OR($T78="Exact amounts",$T78="Custom units"),0,1))))))</f>
        <v>0</v>
      </c>
      <c r="AD78" s="29">
        <f>IF($T78="",0,IF(OR(Setup!$B$30="",Setup!$C$30="No"),0,IF(ISNUMBER(Q78),Q78,IF($T78="Weights",IF(ISNUMBER(Setup!$D$30),Setup!$D$30,0),IF($T78="Nights",IF(ISNUMBER(Setup!$E$30),Setup!$E$30,0),IF(OR($T78="Exact amounts",$T78="Custom units"),0,1))))))</f>
        <v>0</v>
      </c>
      <c r="AE78" s="29">
        <f t="shared" si="5"/>
        <v>0</v>
      </c>
      <c r="AF78" s="30">
        <f t="shared" si="6"/>
        <v>1</v>
      </c>
      <c r="AG78" s="29">
        <f t="shared" si="7"/>
        <v>0</v>
      </c>
    </row>
    <row r="79" spans="1:33" ht="16" x14ac:dyDescent="0.2">
      <c r="A79" s="22" t="str">
        <f t="shared" si="4"/>
        <v>—</v>
      </c>
      <c r="B79" s="31"/>
      <c r="C79" s="11"/>
      <c r="D79" s="11"/>
      <c r="E79" s="32"/>
      <c r="F79" s="11"/>
      <c r="G79" s="11"/>
      <c r="H79" s="33"/>
      <c r="I79" s="33"/>
      <c r="J79" s="33"/>
      <c r="K79" s="33"/>
      <c r="L79" s="33"/>
      <c r="M79" s="33"/>
      <c r="N79" s="33"/>
      <c r="O79" s="33"/>
      <c r="P79" s="33"/>
      <c r="Q79" s="33"/>
      <c r="R79" s="26" t="str">
        <f>IF($T79="","",IF($D79="","Who paid?",IF(SUMPRODUCT((Setup!$B$21:$B$30=$D79)*1)=0,"Payer is not in the member list on Setup",IF($E79="","Amount missing — type the number in column E",IF(NOT(ISNUMBER($E79)),"Amount must be a plain number — no currency symbol, no text",IF(AND($T79="Custom units",$AE79&lt;=0),"Custom units: nobody has units on this row — type a number for at least one person",IF($AE79&lt;=0,"Nobody shares this row — check the person columns H–Q, and the Weight / Nights columns on Setup",IF(AND($T79="Exact amounts",ABS($AE79-$AG79)&gt;0.01),"Exact amounts do not add up to the amount","OK"))))))))</f>
        <v/>
      </c>
      <c r="S79" s="27" t="str">
        <f>IFERROR(IF(OR($T79="",$C$4=""),"—",ROUND($AG79*INDEX($U79:$AD79,1,MATCH($C$4,Setup!$B$21:$B$30,0))/$AF79,2)),"—")</f>
        <v>—</v>
      </c>
      <c r="T79" s="28" t="str">
        <f>IF(AND($C79="",$D79="",NOT(ISNUMBER($E79))),"",IF($G79="",IF(Setup!$C$17="","Equal",Setup!$C$17),$G79))</f>
        <v/>
      </c>
      <c r="U79" s="29">
        <f>IF($T79="",0,IF(OR(Setup!$B$21="",Setup!$C$21="No"),0,IF(ISNUMBER(H79),H79,IF($T79="Weights",IF(ISNUMBER(Setup!$D$21),Setup!$D$21,0),IF($T79="Nights",IF(ISNUMBER(Setup!$E$21),Setup!$E$21,0),IF(OR($T79="Exact amounts",$T79="Custom units"),0,1))))))</f>
        <v>0</v>
      </c>
      <c r="V79" s="29">
        <f>IF($T79="",0,IF(OR(Setup!$B$22="",Setup!$C$22="No"),0,IF(ISNUMBER(I79),I79,IF($T79="Weights",IF(ISNUMBER(Setup!$D$22),Setup!$D$22,0),IF($T79="Nights",IF(ISNUMBER(Setup!$E$22),Setup!$E$22,0),IF(OR($T79="Exact amounts",$T79="Custom units"),0,1))))))</f>
        <v>0</v>
      </c>
      <c r="W79" s="29">
        <f>IF($T79="",0,IF(OR(Setup!$B$23="",Setup!$C$23="No"),0,IF(ISNUMBER(J79),J79,IF($T79="Weights",IF(ISNUMBER(Setup!$D$23),Setup!$D$23,0),IF($T79="Nights",IF(ISNUMBER(Setup!$E$23),Setup!$E$23,0),IF(OR($T79="Exact amounts",$T79="Custom units"),0,1))))))</f>
        <v>0</v>
      </c>
      <c r="X79" s="29">
        <f>IF($T79="",0,IF(OR(Setup!$B$24="",Setup!$C$24="No"),0,IF(ISNUMBER(K79),K79,IF($T79="Weights",IF(ISNUMBER(Setup!$D$24),Setup!$D$24,0),IF($T79="Nights",IF(ISNUMBER(Setup!$E$24),Setup!$E$24,0),IF(OR($T79="Exact amounts",$T79="Custom units"),0,1))))))</f>
        <v>0</v>
      </c>
      <c r="Y79" s="29">
        <f>IF($T79="",0,IF(OR(Setup!$B$25="",Setup!$C$25="No"),0,IF(ISNUMBER(L79),L79,IF($T79="Weights",IF(ISNUMBER(Setup!$D$25),Setup!$D$25,0),IF($T79="Nights",IF(ISNUMBER(Setup!$E$25),Setup!$E$25,0),IF(OR($T79="Exact amounts",$T79="Custom units"),0,1))))))</f>
        <v>0</v>
      </c>
      <c r="Z79" s="29">
        <f>IF($T79="",0,IF(OR(Setup!$B$26="",Setup!$C$26="No"),0,IF(ISNUMBER(M79),M79,IF($T79="Weights",IF(ISNUMBER(Setup!$D$26),Setup!$D$26,0),IF($T79="Nights",IF(ISNUMBER(Setup!$E$26),Setup!$E$26,0),IF(OR($T79="Exact amounts",$T79="Custom units"),0,1))))))</f>
        <v>0</v>
      </c>
      <c r="AA79" s="29">
        <f>IF($T79="",0,IF(OR(Setup!$B$27="",Setup!$C$27="No"),0,IF(ISNUMBER(N79),N79,IF($T79="Weights",IF(ISNUMBER(Setup!$D$27),Setup!$D$27,0),IF($T79="Nights",IF(ISNUMBER(Setup!$E$27),Setup!$E$27,0),IF(OR($T79="Exact amounts",$T79="Custom units"),0,1))))))</f>
        <v>0</v>
      </c>
      <c r="AB79" s="29">
        <f>IF($T79="",0,IF(OR(Setup!$B$28="",Setup!$C$28="No"),0,IF(ISNUMBER(O79),O79,IF($T79="Weights",IF(ISNUMBER(Setup!$D$28),Setup!$D$28,0),IF($T79="Nights",IF(ISNUMBER(Setup!$E$28),Setup!$E$28,0),IF(OR($T79="Exact amounts",$T79="Custom units"),0,1))))))</f>
        <v>0</v>
      </c>
      <c r="AC79" s="29">
        <f>IF($T79="",0,IF(OR(Setup!$B$29="",Setup!$C$29="No"),0,IF(ISNUMBER(P79),P79,IF($T79="Weights",IF(ISNUMBER(Setup!$D$29),Setup!$D$29,0),IF($T79="Nights",IF(ISNUMBER(Setup!$E$29),Setup!$E$29,0),IF(OR($T79="Exact amounts",$T79="Custom units"),0,1))))))</f>
        <v>0</v>
      </c>
      <c r="AD79" s="29">
        <f>IF($T79="",0,IF(OR(Setup!$B$30="",Setup!$C$30="No"),0,IF(ISNUMBER(Q79),Q79,IF($T79="Weights",IF(ISNUMBER(Setup!$D$30),Setup!$D$30,0),IF($T79="Nights",IF(ISNUMBER(Setup!$E$30),Setup!$E$30,0),IF(OR($T79="Exact amounts",$T79="Custom units"),0,1))))))</f>
        <v>0</v>
      </c>
      <c r="AE79" s="29">
        <f t="shared" si="5"/>
        <v>0</v>
      </c>
      <c r="AF79" s="30">
        <f t="shared" si="6"/>
        <v>1</v>
      </c>
      <c r="AG79" s="29">
        <f t="shared" si="7"/>
        <v>0</v>
      </c>
    </row>
    <row r="80" spans="1:33" ht="16" x14ac:dyDescent="0.2">
      <c r="A80" s="22" t="str">
        <f t="shared" si="4"/>
        <v>—</v>
      </c>
      <c r="B80" s="23"/>
      <c r="C80" s="16"/>
      <c r="D80" s="16"/>
      <c r="E80" s="24"/>
      <c r="F80" s="16"/>
      <c r="G80" s="16"/>
      <c r="H80" s="25"/>
      <c r="I80" s="25"/>
      <c r="J80" s="25"/>
      <c r="K80" s="25"/>
      <c r="L80" s="25"/>
      <c r="M80" s="25"/>
      <c r="N80" s="25"/>
      <c r="O80" s="25"/>
      <c r="P80" s="25"/>
      <c r="Q80" s="25"/>
      <c r="R80" s="26" t="str">
        <f>IF($T80="","",IF($D80="","Who paid?",IF(SUMPRODUCT((Setup!$B$21:$B$30=$D80)*1)=0,"Payer is not in the member list on Setup",IF($E80="","Amount missing — type the number in column E",IF(NOT(ISNUMBER($E80)),"Amount must be a plain number — no currency symbol, no text",IF(AND($T80="Custom units",$AE80&lt;=0),"Custom units: nobody has units on this row — type a number for at least one person",IF($AE80&lt;=0,"Nobody shares this row — check the person columns H–Q, and the Weight / Nights columns on Setup",IF(AND($T80="Exact amounts",ABS($AE80-$AG80)&gt;0.01),"Exact amounts do not add up to the amount","OK"))))))))</f>
        <v/>
      </c>
      <c r="S80" s="27" t="str">
        <f>IFERROR(IF(OR($T80="",$C$4=""),"—",ROUND($AG80*INDEX($U80:$AD80,1,MATCH($C$4,Setup!$B$21:$B$30,0))/$AF80,2)),"—")</f>
        <v>—</v>
      </c>
      <c r="T80" s="28" t="str">
        <f>IF(AND($C80="",$D80="",NOT(ISNUMBER($E80))),"",IF($G80="",IF(Setup!$C$17="","Equal",Setup!$C$17),$G80))</f>
        <v/>
      </c>
      <c r="U80" s="29">
        <f>IF($T80="",0,IF(OR(Setup!$B$21="",Setup!$C$21="No"),0,IF(ISNUMBER(H80),H80,IF($T80="Weights",IF(ISNUMBER(Setup!$D$21),Setup!$D$21,0),IF($T80="Nights",IF(ISNUMBER(Setup!$E$21),Setup!$E$21,0),IF(OR($T80="Exact amounts",$T80="Custom units"),0,1))))))</f>
        <v>0</v>
      </c>
      <c r="V80" s="29">
        <f>IF($T80="",0,IF(OR(Setup!$B$22="",Setup!$C$22="No"),0,IF(ISNUMBER(I80),I80,IF($T80="Weights",IF(ISNUMBER(Setup!$D$22),Setup!$D$22,0),IF($T80="Nights",IF(ISNUMBER(Setup!$E$22),Setup!$E$22,0),IF(OR($T80="Exact amounts",$T80="Custom units"),0,1))))))</f>
        <v>0</v>
      </c>
      <c r="W80" s="29">
        <f>IF($T80="",0,IF(OR(Setup!$B$23="",Setup!$C$23="No"),0,IF(ISNUMBER(J80),J80,IF($T80="Weights",IF(ISNUMBER(Setup!$D$23),Setup!$D$23,0),IF($T80="Nights",IF(ISNUMBER(Setup!$E$23),Setup!$E$23,0),IF(OR($T80="Exact amounts",$T80="Custom units"),0,1))))))</f>
        <v>0</v>
      </c>
      <c r="X80" s="29">
        <f>IF($T80="",0,IF(OR(Setup!$B$24="",Setup!$C$24="No"),0,IF(ISNUMBER(K80),K80,IF($T80="Weights",IF(ISNUMBER(Setup!$D$24),Setup!$D$24,0),IF($T80="Nights",IF(ISNUMBER(Setup!$E$24),Setup!$E$24,0),IF(OR($T80="Exact amounts",$T80="Custom units"),0,1))))))</f>
        <v>0</v>
      </c>
      <c r="Y80" s="29">
        <f>IF($T80="",0,IF(OR(Setup!$B$25="",Setup!$C$25="No"),0,IF(ISNUMBER(L80),L80,IF($T80="Weights",IF(ISNUMBER(Setup!$D$25),Setup!$D$25,0),IF($T80="Nights",IF(ISNUMBER(Setup!$E$25),Setup!$E$25,0),IF(OR($T80="Exact amounts",$T80="Custom units"),0,1))))))</f>
        <v>0</v>
      </c>
      <c r="Z80" s="29">
        <f>IF($T80="",0,IF(OR(Setup!$B$26="",Setup!$C$26="No"),0,IF(ISNUMBER(M80),M80,IF($T80="Weights",IF(ISNUMBER(Setup!$D$26),Setup!$D$26,0),IF($T80="Nights",IF(ISNUMBER(Setup!$E$26),Setup!$E$26,0),IF(OR($T80="Exact amounts",$T80="Custom units"),0,1))))))</f>
        <v>0</v>
      </c>
      <c r="AA80" s="29">
        <f>IF($T80="",0,IF(OR(Setup!$B$27="",Setup!$C$27="No"),0,IF(ISNUMBER(N80),N80,IF($T80="Weights",IF(ISNUMBER(Setup!$D$27),Setup!$D$27,0),IF($T80="Nights",IF(ISNUMBER(Setup!$E$27),Setup!$E$27,0),IF(OR($T80="Exact amounts",$T80="Custom units"),0,1))))))</f>
        <v>0</v>
      </c>
      <c r="AB80" s="29">
        <f>IF($T80="",0,IF(OR(Setup!$B$28="",Setup!$C$28="No"),0,IF(ISNUMBER(O80),O80,IF($T80="Weights",IF(ISNUMBER(Setup!$D$28),Setup!$D$28,0),IF($T80="Nights",IF(ISNUMBER(Setup!$E$28),Setup!$E$28,0),IF(OR($T80="Exact amounts",$T80="Custom units"),0,1))))))</f>
        <v>0</v>
      </c>
      <c r="AC80" s="29">
        <f>IF($T80="",0,IF(OR(Setup!$B$29="",Setup!$C$29="No"),0,IF(ISNUMBER(P80),P80,IF($T80="Weights",IF(ISNUMBER(Setup!$D$29),Setup!$D$29,0),IF($T80="Nights",IF(ISNUMBER(Setup!$E$29),Setup!$E$29,0),IF(OR($T80="Exact amounts",$T80="Custom units"),0,1))))))</f>
        <v>0</v>
      </c>
      <c r="AD80" s="29">
        <f>IF($T80="",0,IF(OR(Setup!$B$30="",Setup!$C$30="No"),0,IF(ISNUMBER(Q80),Q80,IF($T80="Weights",IF(ISNUMBER(Setup!$D$30),Setup!$D$30,0),IF($T80="Nights",IF(ISNUMBER(Setup!$E$30),Setup!$E$30,0),IF(OR($T80="Exact amounts",$T80="Custom units"),0,1))))))</f>
        <v>0</v>
      </c>
      <c r="AE80" s="29">
        <f t="shared" si="5"/>
        <v>0</v>
      </c>
      <c r="AF80" s="30">
        <f t="shared" si="6"/>
        <v>1</v>
      </c>
      <c r="AG80" s="29">
        <f t="shared" si="7"/>
        <v>0</v>
      </c>
    </row>
    <row r="81" spans="1:33" ht="16" x14ac:dyDescent="0.2">
      <c r="A81" s="22" t="str">
        <f t="shared" si="4"/>
        <v>—</v>
      </c>
      <c r="B81" s="31"/>
      <c r="C81" s="11"/>
      <c r="D81" s="11"/>
      <c r="E81" s="32"/>
      <c r="F81" s="11"/>
      <c r="G81" s="11"/>
      <c r="H81" s="33"/>
      <c r="I81" s="33"/>
      <c r="J81" s="33"/>
      <c r="K81" s="33"/>
      <c r="L81" s="33"/>
      <c r="M81" s="33"/>
      <c r="N81" s="33"/>
      <c r="O81" s="33"/>
      <c r="P81" s="33"/>
      <c r="Q81" s="33"/>
      <c r="R81" s="26" t="str">
        <f>IF($T81="","",IF($D81="","Who paid?",IF(SUMPRODUCT((Setup!$B$21:$B$30=$D81)*1)=0,"Payer is not in the member list on Setup",IF($E81="","Amount missing — type the number in column E",IF(NOT(ISNUMBER($E81)),"Amount must be a plain number — no currency symbol, no text",IF(AND($T81="Custom units",$AE81&lt;=0),"Custom units: nobody has units on this row — type a number for at least one person",IF($AE81&lt;=0,"Nobody shares this row — check the person columns H–Q, and the Weight / Nights columns on Setup",IF(AND($T81="Exact amounts",ABS($AE81-$AG81)&gt;0.01),"Exact amounts do not add up to the amount","OK"))))))))</f>
        <v/>
      </c>
      <c r="S81" s="27" t="str">
        <f>IFERROR(IF(OR($T81="",$C$4=""),"—",ROUND($AG81*INDEX($U81:$AD81,1,MATCH($C$4,Setup!$B$21:$B$30,0))/$AF81,2)),"—")</f>
        <v>—</v>
      </c>
      <c r="T81" s="28" t="str">
        <f>IF(AND($C81="",$D81="",NOT(ISNUMBER($E81))),"",IF($G81="",IF(Setup!$C$17="","Equal",Setup!$C$17),$G81))</f>
        <v/>
      </c>
      <c r="U81" s="29">
        <f>IF($T81="",0,IF(OR(Setup!$B$21="",Setup!$C$21="No"),0,IF(ISNUMBER(H81),H81,IF($T81="Weights",IF(ISNUMBER(Setup!$D$21),Setup!$D$21,0),IF($T81="Nights",IF(ISNUMBER(Setup!$E$21),Setup!$E$21,0),IF(OR($T81="Exact amounts",$T81="Custom units"),0,1))))))</f>
        <v>0</v>
      </c>
      <c r="V81" s="29">
        <f>IF($T81="",0,IF(OR(Setup!$B$22="",Setup!$C$22="No"),0,IF(ISNUMBER(I81),I81,IF($T81="Weights",IF(ISNUMBER(Setup!$D$22),Setup!$D$22,0),IF($T81="Nights",IF(ISNUMBER(Setup!$E$22),Setup!$E$22,0),IF(OR($T81="Exact amounts",$T81="Custom units"),0,1))))))</f>
        <v>0</v>
      </c>
      <c r="W81" s="29">
        <f>IF($T81="",0,IF(OR(Setup!$B$23="",Setup!$C$23="No"),0,IF(ISNUMBER(J81),J81,IF($T81="Weights",IF(ISNUMBER(Setup!$D$23),Setup!$D$23,0),IF($T81="Nights",IF(ISNUMBER(Setup!$E$23),Setup!$E$23,0),IF(OR($T81="Exact amounts",$T81="Custom units"),0,1))))))</f>
        <v>0</v>
      </c>
      <c r="X81" s="29">
        <f>IF($T81="",0,IF(OR(Setup!$B$24="",Setup!$C$24="No"),0,IF(ISNUMBER(K81),K81,IF($T81="Weights",IF(ISNUMBER(Setup!$D$24),Setup!$D$24,0),IF($T81="Nights",IF(ISNUMBER(Setup!$E$24),Setup!$E$24,0),IF(OR($T81="Exact amounts",$T81="Custom units"),0,1))))))</f>
        <v>0</v>
      </c>
      <c r="Y81" s="29">
        <f>IF($T81="",0,IF(OR(Setup!$B$25="",Setup!$C$25="No"),0,IF(ISNUMBER(L81),L81,IF($T81="Weights",IF(ISNUMBER(Setup!$D$25),Setup!$D$25,0),IF($T81="Nights",IF(ISNUMBER(Setup!$E$25),Setup!$E$25,0),IF(OR($T81="Exact amounts",$T81="Custom units"),0,1))))))</f>
        <v>0</v>
      </c>
      <c r="Z81" s="29">
        <f>IF($T81="",0,IF(OR(Setup!$B$26="",Setup!$C$26="No"),0,IF(ISNUMBER(M81),M81,IF($T81="Weights",IF(ISNUMBER(Setup!$D$26),Setup!$D$26,0),IF($T81="Nights",IF(ISNUMBER(Setup!$E$26),Setup!$E$26,0),IF(OR($T81="Exact amounts",$T81="Custom units"),0,1))))))</f>
        <v>0</v>
      </c>
      <c r="AA81" s="29">
        <f>IF($T81="",0,IF(OR(Setup!$B$27="",Setup!$C$27="No"),0,IF(ISNUMBER(N81),N81,IF($T81="Weights",IF(ISNUMBER(Setup!$D$27),Setup!$D$27,0),IF($T81="Nights",IF(ISNUMBER(Setup!$E$27),Setup!$E$27,0),IF(OR($T81="Exact amounts",$T81="Custom units"),0,1))))))</f>
        <v>0</v>
      </c>
      <c r="AB81" s="29">
        <f>IF($T81="",0,IF(OR(Setup!$B$28="",Setup!$C$28="No"),0,IF(ISNUMBER(O81),O81,IF($T81="Weights",IF(ISNUMBER(Setup!$D$28),Setup!$D$28,0),IF($T81="Nights",IF(ISNUMBER(Setup!$E$28),Setup!$E$28,0),IF(OR($T81="Exact amounts",$T81="Custom units"),0,1))))))</f>
        <v>0</v>
      </c>
      <c r="AC81" s="29">
        <f>IF($T81="",0,IF(OR(Setup!$B$29="",Setup!$C$29="No"),0,IF(ISNUMBER(P81),P81,IF($T81="Weights",IF(ISNUMBER(Setup!$D$29),Setup!$D$29,0),IF($T81="Nights",IF(ISNUMBER(Setup!$E$29),Setup!$E$29,0),IF(OR($T81="Exact amounts",$T81="Custom units"),0,1))))))</f>
        <v>0</v>
      </c>
      <c r="AD81" s="29">
        <f>IF($T81="",0,IF(OR(Setup!$B$30="",Setup!$C$30="No"),0,IF(ISNUMBER(Q81),Q81,IF($T81="Weights",IF(ISNUMBER(Setup!$D$30),Setup!$D$30,0),IF($T81="Nights",IF(ISNUMBER(Setup!$E$30),Setup!$E$30,0),IF(OR($T81="Exact amounts",$T81="Custom units"),0,1))))))</f>
        <v>0</v>
      </c>
      <c r="AE81" s="29">
        <f t="shared" si="5"/>
        <v>0</v>
      </c>
      <c r="AF81" s="30">
        <f t="shared" si="6"/>
        <v>1</v>
      </c>
      <c r="AG81" s="29">
        <f t="shared" si="7"/>
        <v>0</v>
      </c>
    </row>
    <row r="82" spans="1:33" ht="16" x14ac:dyDescent="0.2">
      <c r="A82" s="22" t="str">
        <f t="shared" si="4"/>
        <v>—</v>
      </c>
      <c r="B82" s="23"/>
      <c r="C82" s="16"/>
      <c r="D82" s="16"/>
      <c r="E82" s="24"/>
      <c r="F82" s="16"/>
      <c r="G82" s="16"/>
      <c r="H82" s="25"/>
      <c r="I82" s="25"/>
      <c r="J82" s="25"/>
      <c r="K82" s="25"/>
      <c r="L82" s="25"/>
      <c r="M82" s="25"/>
      <c r="N82" s="25"/>
      <c r="O82" s="25"/>
      <c r="P82" s="25"/>
      <c r="Q82" s="25"/>
      <c r="R82" s="26" t="str">
        <f>IF($T82="","",IF($D82="","Who paid?",IF(SUMPRODUCT((Setup!$B$21:$B$30=$D82)*1)=0,"Payer is not in the member list on Setup",IF($E82="","Amount missing — type the number in column E",IF(NOT(ISNUMBER($E82)),"Amount must be a plain number — no currency symbol, no text",IF(AND($T82="Custom units",$AE82&lt;=0),"Custom units: nobody has units on this row — type a number for at least one person",IF($AE82&lt;=0,"Nobody shares this row — check the person columns H–Q, and the Weight / Nights columns on Setup",IF(AND($T82="Exact amounts",ABS($AE82-$AG82)&gt;0.01),"Exact amounts do not add up to the amount","OK"))))))))</f>
        <v/>
      </c>
      <c r="S82" s="27" t="str">
        <f>IFERROR(IF(OR($T82="",$C$4=""),"—",ROUND($AG82*INDEX($U82:$AD82,1,MATCH($C$4,Setup!$B$21:$B$30,0))/$AF82,2)),"—")</f>
        <v>—</v>
      </c>
      <c r="T82" s="28" t="str">
        <f>IF(AND($C82="",$D82="",NOT(ISNUMBER($E82))),"",IF($G82="",IF(Setup!$C$17="","Equal",Setup!$C$17),$G82))</f>
        <v/>
      </c>
      <c r="U82" s="29">
        <f>IF($T82="",0,IF(OR(Setup!$B$21="",Setup!$C$21="No"),0,IF(ISNUMBER(H82),H82,IF($T82="Weights",IF(ISNUMBER(Setup!$D$21),Setup!$D$21,0),IF($T82="Nights",IF(ISNUMBER(Setup!$E$21),Setup!$E$21,0),IF(OR($T82="Exact amounts",$T82="Custom units"),0,1))))))</f>
        <v>0</v>
      </c>
      <c r="V82" s="29">
        <f>IF($T82="",0,IF(OR(Setup!$B$22="",Setup!$C$22="No"),0,IF(ISNUMBER(I82),I82,IF($T82="Weights",IF(ISNUMBER(Setup!$D$22),Setup!$D$22,0),IF($T82="Nights",IF(ISNUMBER(Setup!$E$22),Setup!$E$22,0),IF(OR($T82="Exact amounts",$T82="Custom units"),0,1))))))</f>
        <v>0</v>
      </c>
      <c r="W82" s="29">
        <f>IF($T82="",0,IF(OR(Setup!$B$23="",Setup!$C$23="No"),0,IF(ISNUMBER(J82),J82,IF($T82="Weights",IF(ISNUMBER(Setup!$D$23),Setup!$D$23,0),IF($T82="Nights",IF(ISNUMBER(Setup!$E$23),Setup!$E$23,0),IF(OR($T82="Exact amounts",$T82="Custom units"),0,1))))))</f>
        <v>0</v>
      </c>
      <c r="X82" s="29">
        <f>IF($T82="",0,IF(OR(Setup!$B$24="",Setup!$C$24="No"),0,IF(ISNUMBER(K82),K82,IF($T82="Weights",IF(ISNUMBER(Setup!$D$24),Setup!$D$24,0),IF($T82="Nights",IF(ISNUMBER(Setup!$E$24),Setup!$E$24,0),IF(OR($T82="Exact amounts",$T82="Custom units"),0,1))))))</f>
        <v>0</v>
      </c>
      <c r="Y82" s="29">
        <f>IF($T82="",0,IF(OR(Setup!$B$25="",Setup!$C$25="No"),0,IF(ISNUMBER(L82),L82,IF($T82="Weights",IF(ISNUMBER(Setup!$D$25),Setup!$D$25,0),IF($T82="Nights",IF(ISNUMBER(Setup!$E$25),Setup!$E$25,0),IF(OR($T82="Exact amounts",$T82="Custom units"),0,1))))))</f>
        <v>0</v>
      </c>
      <c r="Z82" s="29">
        <f>IF($T82="",0,IF(OR(Setup!$B$26="",Setup!$C$26="No"),0,IF(ISNUMBER(M82),M82,IF($T82="Weights",IF(ISNUMBER(Setup!$D$26),Setup!$D$26,0),IF($T82="Nights",IF(ISNUMBER(Setup!$E$26),Setup!$E$26,0),IF(OR($T82="Exact amounts",$T82="Custom units"),0,1))))))</f>
        <v>0</v>
      </c>
      <c r="AA82" s="29">
        <f>IF($T82="",0,IF(OR(Setup!$B$27="",Setup!$C$27="No"),0,IF(ISNUMBER(N82),N82,IF($T82="Weights",IF(ISNUMBER(Setup!$D$27),Setup!$D$27,0),IF($T82="Nights",IF(ISNUMBER(Setup!$E$27),Setup!$E$27,0),IF(OR($T82="Exact amounts",$T82="Custom units"),0,1))))))</f>
        <v>0</v>
      </c>
      <c r="AB82" s="29">
        <f>IF($T82="",0,IF(OR(Setup!$B$28="",Setup!$C$28="No"),0,IF(ISNUMBER(O82),O82,IF($T82="Weights",IF(ISNUMBER(Setup!$D$28),Setup!$D$28,0),IF($T82="Nights",IF(ISNUMBER(Setup!$E$28),Setup!$E$28,0),IF(OR($T82="Exact amounts",$T82="Custom units"),0,1))))))</f>
        <v>0</v>
      </c>
      <c r="AC82" s="29">
        <f>IF($T82="",0,IF(OR(Setup!$B$29="",Setup!$C$29="No"),0,IF(ISNUMBER(P82),P82,IF($T82="Weights",IF(ISNUMBER(Setup!$D$29),Setup!$D$29,0),IF($T82="Nights",IF(ISNUMBER(Setup!$E$29),Setup!$E$29,0),IF(OR($T82="Exact amounts",$T82="Custom units"),0,1))))))</f>
        <v>0</v>
      </c>
      <c r="AD82" s="29">
        <f>IF($T82="",0,IF(OR(Setup!$B$30="",Setup!$C$30="No"),0,IF(ISNUMBER(Q82),Q82,IF($T82="Weights",IF(ISNUMBER(Setup!$D$30),Setup!$D$30,0),IF($T82="Nights",IF(ISNUMBER(Setup!$E$30),Setup!$E$30,0),IF(OR($T82="Exact amounts",$T82="Custom units"),0,1))))))</f>
        <v>0</v>
      </c>
      <c r="AE82" s="29">
        <f t="shared" si="5"/>
        <v>0</v>
      </c>
      <c r="AF82" s="30">
        <f t="shared" si="6"/>
        <v>1</v>
      </c>
      <c r="AG82" s="29">
        <f t="shared" si="7"/>
        <v>0</v>
      </c>
    </row>
    <row r="83" spans="1:33" ht="16" x14ac:dyDescent="0.2">
      <c r="A83" s="22" t="str">
        <f t="shared" si="4"/>
        <v>—</v>
      </c>
      <c r="B83" s="31"/>
      <c r="C83" s="11"/>
      <c r="D83" s="11"/>
      <c r="E83" s="32"/>
      <c r="F83" s="11"/>
      <c r="G83" s="11"/>
      <c r="H83" s="33"/>
      <c r="I83" s="33"/>
      <c r="J83" s="33"/>
      <c r="K83" s="33"/>
      <c r="L83" s="33"/>
      <c r="M83" s="33"/>
      <c r="N83" s="33"/>
      <c r="O83" s="33"/>
      <c r="P83" s="33"/>
      <c r="Q83" s="33"/>
      <c r="R83" s="26" t="str">
        <f>IF($T83="","",IF($D83="","Who paid?",IF(SUMPRODUCT((Setup!$B$21:$B$30=$D83)*1)=0,"Payer is not in the member list on Setup",IF($E83="","Amount missing — type the number in column E",IF(NOT(ISNUMBER($E83)),"Amount must be a plain number — no currency symbol, no text",IF(AND($T83="Custom units",$AE83&lt;=0),"Custom units: nobody has units on this row — type a number for at least one person",IF($AE83&lt;=0,"Nobody shares this row — check the person columns H–Q, and the Weight / Nights columns on Setup",IF(AND($T83="Exact amounts",ABS($AE83-$AG83)&gt;0.01),"Exact amounts do not add up to the amount","OK"))))))))</f>
        <v/>
      </c>
      <c r="S83" s="27" t="str">
        <f>IFERROR(IF(OR($T83="",$C$4=""),"—",ROUND($AG83*INDEX($U83:$AD83,1,MATCH($C$4,Setup!$B$21:$B$30,0))/$AF83,2)),"—")</f>
        <v>—</v>
      </c>
      <c r="T83" s="28" t="str">
        <f>IF(AND($C83="",$D83="",NOT(ISNUMBER($E83))),"",IF($G83="",IF(Setup!$C$17="","Equal",Setup!$C$17),$G83))</f>
        <v/>
      </c>
      <c r="U83" s="29">
        <f>IF($T83="",0,IF(OR(Setup!$B$21="",Setup!$C$21="No"),0,IF(ISNUMBER(H83),H83,IF($T83="Weights",IF(ISNUMBER(Setup!$D$21),Setup!$D$21,0),IF($T83="Nights",IF(ISNUMBER(Setup!$E$21),Setup!$E$21,0),IF(OR($T83="Exact amounts",$T83="Custom units"),0,1))))))</f>
        <v>0</v>
      </c>
      <c r="V83" s="29">
        <f>IF($T83="",0,IF(OR(Setup!$B$22="",Setup!$C$22="No"),0,IF(ISNUMBER(I83),I83,IF($T83="Weights",IF(ISNUMBER(Setup!$D$22),Setup!$D$22,0),IF($T83="Nights",IF(ISNUMBER(Setup!$E$22),Setup!$E$22,0),IF(OR($T83="Exact amounts",$T83="Custom units"),0,1))))))</f>
        <v>0</v>
      </c>
      <c r="W83" s="29">
        <f>IF($T83="",0,IF(OR(Setup!$B$23="",Setup!$C$23="No"),0,IF(ISNUMBER(J83),J83,IF($T83="Weights",IF(ISNUMBER(Setup!$D$23),Setup!$D$23,0),IF($T83="Nights",IF(ISNUMBER(Setup!$E$23),Setup!$E$23,0),IF(OR($T83="Exact amounts",$T83="Custom units"),0,1))))))</f>
        <v>0</v>
      </c>
      <c r="X83" s="29">
        <f>IF($T83="",0,IF(OR(Setup!$B$24="",Setup!$C$24="No"),0,IF(ISNUMBER(K83),K83,IF($T83="Weights",IF(ISNUMBER(Setup!$D$24),Setup!$D$24,0),IF($T83="Nights",IF(ISNUMBER(Setup!$E$24),Setup!$E$24,0),IF(OR($T83="Exact amounts",$T83="Custom units"),0,1))))))</f>
        <v>0</v>
      </c>
      <c r="Y83" s="29">
        <f>IF($T83="",0,IF(OR(Setup!$B$25="",Setup!$C$25="No"),0,IF(ISNUMBER(L83),L83,IF($T83="Weights",IF(ISNUMBER(Setup!$D$25),Setup!$D$25,0),IF($T83="Nights",IF(ISNUMBER(Setup!$E$25),Setup!$E$25,0),IF(OR($T83="Exact amounts",$T83="Custom units"),0,1))))))</f>
        <v>0</v>
      </c>
      <c r="Z83" s="29">
        <f>IF($T83="",0,IF(OR(Setup!$B$26="",Setup!$C$26="No"),0,IF(ISNUMBER(M83),M83,IF($T83="Weights",IF(ISNUMBER(Setup!$D$26),Setup!$D$26,0),IF($T83="Nights",IF(ISNUMBER(Setup!$E$26),Setup!$E$26,0),IF(OR($T83="Exact amounts",$T83="Custom units"),0,1))))))</f>
        <v>0</v>
      </c>
      <c r="AA83" s="29">
        <f>IF($T83="",0,IF(OR(Setup!$B$27="",Setup!$C$27="No"),0,IF(ISNUMBER(N83),N83,IF($T83="Weights",IF(ISNUMBER(Setup!$D$27),Setup!$D$27,0),IF($T83="Nights",IF(ISNUMBER(Setup!$E$27),Setup!$E$27,0),IF(OR($T83="Exact amounts",$T83="Custom units"),0,1))))))</f>
        <v>0</v>
      </c>
      <c r="AB83" s="29">
        <f>IF($T83="",0,IF(OR(Setup!$B$28="",Setup!$C$28="No"),0,IF(ISNUMBER(O83),O83,IF($T83="Weights",IF(ISNUMBER(Setup!$D$28),Setup!$D$28,0),IF($T83="Nights",IF(ISNUMBER(Setup!$E$28),Setup!$E$28,0),IF(OR($T83="Exact amounts",$T83="Custom units"),0,1))))))</f>
        <v>0</v>
      </c>
      <c r="AC83" s="29">
        <f>IF($T83="",0,IF(OR(Setup!$B$29="",Setup!$C$29="No"),0,IF(ISNUMBER(P83),P83,IF($T83="Weights",IF(ISNUMBER(Setup!$D$29),Setup!$D$29,0),IF($T83="Nights",IF(ISNUMBER(Setup!$E$29),Setup!$E$29,0),IF(OR($T83="Exact amounts",$T83="Custom units"),0,1))))))</f>
        <v>0</v>
      </c>
      <c r="AD83" s="29">
        <f>IF($T83="",0,IF(OR(Setup!$B$30="",Setup!$C$30="No"),0,IF(ISNUMBER(Q83),Q83,IF($T83="Weights",IF(ISNUMBER(Setup!$D$30),Setup!$D$30,0),IF($T83="Nights",IF(ISNUMBER(Setup!$E$30),Setup!$E$30,0),IF(OR($T83="Exact amounts",$T83="Custom units"),0,1))))))</f>
        <v>0</v>
      </c>
      <c r="AE83" s="29">
        <f t="shared" si="5"/>
        <v>0</v>
      </c>
      <c r="AF83" s="30">
        <f t="shared" si="6"/>
        <v>1</v>
      </c>
      <c r="AG83" s="29">
        <f t="shared" si="7"/>
        <v>0</v>
      </c>
    </row>
    <row r="84" spans="1:33" ht="16" x14ac:dyDescent="0.2">
      <c r="A84" s="22" t="str">
        <f t="shared" si="4"/>
        <v>—</v>
      </c>
      <c r="B84" s="23"/>
      <c r="C84" s="16"/>
      <c r="D84" s="16"/>
      <c r="E84" s="24"/>
      <c r="F84" s="16"/>
      <c r="G84" s="16"/>
      <c r="H84" s="25"/>
      <c r="I84" s="25"/>
      <c r="J84" s="25"/>
      <c r="K84" s="25"/>
      <c r="L84" s="25"/>
      <c r="M84" s="25"/>
      <c r="N84" s="25"/>
      <c r="O84" s="25"/>
      <c r="P84" s="25"/>
      <c r="Q84" s="25"/>
      <c r="R84" s="26" t="str">
        <f>IF($T84="","",IF($D84="","Who paid?",IF(SUMPRODUCT((Setup!$B$21:$B$30=$D84)*1)=0,"Payer is not in the member list on Setup",IF($E84="","Amount missing — type the number in column E",IF(NOT(ISNUMBER($E84)),"Amount must be a plain number — no currency symbol, no text",IF(AND($T84="Custom units",$AE84&lt;=0),"Custom units: nobody has units on this row — type a number for at least one person",IF($AE84&lt;=0,"Nobody shares this row — check the person columns H–Q, and the Weight / Nights columns on Setup",IF(AND($T84="Exact amounts",ABS($AE84-$AG84)&gt;0.01),"Exact amounts do not add up to the amount","OK"))))))))</f>
        <v/>
      </c>
      <c r="S84" s="27" t="str">
        <f>IFERROR(IF(OR($T84="",$C$4=""),"—",ROUND($AG84*INDEX($U84:$AD84,1,MATCH($C$4,Setup!$B$21:$B$30,0))/$AF84,2)),"—")</f>
        <v>—</v>
      </c>
      <c r="T84" s="28" t="str">
        <f>IF(AND($C84="",$D84="",NOT(ISNUMBER($E84))),"",IF($G84="",IF(Setup!$C$17="","Equal",Setup!$C$17),$G84))</f>
        <v/>
      </c>
      <c r="U84" s="29">
        <f>IF($T84="",0,IF(OR(Setup!$B$21="",Setup!$C$21="No"),0,IF(ISNUMBER(H84),H84,IF($T84="Weights",IF(ISNUMBER(Setup!$D$21),Setup!$D$21,0),IF($T84="Nights",IF(ISNUMBER(Setup!$E$21),Setup!$E$21,0),IF(OR($T84="Exact amounts",$T84="Custom units"),0,1))))))</f>
        <v>0</v>
      </c>
      <c r="V84" s="29">
        <f>IF($T84="",0,IF(OR(Setup!$B$22="",Setup!$C$22="No"),0,IF(ISNUMBER(I84),I84,IF($T84="Weights",IF(ISNUMBER(Setup!$D$22),Setup!$D$22,0),IF($T84="Nights",IF(ISNUMBER(Setup!$E$22),Setup!$E$22,0),IF(OR($T84="Exact amounts",$T84="Custom units"),0,1))))))</f>
        <v>0</v>
      </c>
      <c r="W84" s="29">
        <f>IF($T84="",0,IF(OR(Setup!$B$23="",Setup!$C$23="No"),0,IF(ISNUMBER(J84),J84,IF($T84="Weights",IF(ISNUMBER(Setup!$D$23),Setup!$D$23,0),IF($T84="Nights",IF(ISNUMBER(Setup!$E$23),Setup!$E$23,0),IF(OR($T84="Exact amounts",$T84="Custom units"),0,1))))))</f>
        <v>0</v>
      </c>
      <c r="X84" s="29">
        <f>IF($T84="",0,IF(OR(Setup!$B$24="",Setup!$C$24="No"),0,IF(ISNUMBER(K84),K84,IF($T84="Weights",IF(ISNUMBER(Setup!$D$24),Setup!$D$24,0),IF($T84="Nights",IF(ISNUMBER(Setup!$E$24),Setup!$E$24,0),IF(OR($T84="Exact amounts",$T84="Custom units"),0,1))))))</f>
        <v>0</v>
      </c>
      <c r="Y84" s="29">
        <f>IF($T84="",0,IF(OR(Setup!$B$25="",Setup!$C$25="No"),0,IF(ISNUMBER(L84),L84,IF($T84="Weights",IF(ISNUMBER(Setup!$D$25),Setup!$D$25,0),IF($T84="Nights",IF(ISNUMBER(Setup!$E$25),Setup!$E$25,0),IF(OR($T84="Exact amounts",$T84="Custom units"),0,1))))))</f>
        <v>0</v>
      </c>
      <c r="Z84" s="29">
        <f>IF($T84="",0,IF(OR(Setup!$B$26="",Setup!$C$26="No"),0,IF(ISNUMBER(M84),M84,IF($T84="Weights",IF(ISNUMBER(Setup!$D$26),Setup!$D$26,0),IF($T84="Nights",IF(ISNUMBER(Setup!$E$26),Setup!$E$26,0),IF(OR($T84="Exact amounts",$T84="Custom units"),0,1))))))</f>
        <v>0</v>
      </c>
      <c r="AA84" s="29">
        <f>IF($T84="",0,IF(OR(Setup!$B$27="",Setup!$C$27="No"),0,IF(ISNUMBER(N84),N84,IF($T84="Weights",IF(ISNUMBER(Setup!$D$27),Setup!$D$27,0),IF($T84="Nights",IF(ISNUMBER(Setup!$E$27),Setup!$E$27,0),IF(OR($T84="Exact amounts",$T84="Custom units"),0,1))))))</f>
        <v>0</v>
      </c>
      <c r="AB84" s="29">
        <f>IF($T84="",0,IF(OR(Setup!$B$28="",Setup!$C$28="No"),0,IF(ISNUMBER(O84),O84,IF($T84="Weights",IF(ISNUMBER(Setup!$D$28),Setup!$D$28,0),IF($T84="Nights",IF(ISNUMBER(Setup!$E$28),Setup!$E$28,0),IF(OR($T84="Exact amounts",$T84="Custom units"),0,1))))))</f>
        <v>0</v>
      </c>
      <c r="AC84" s="29">
        <f>IF($T84="",0,IF(OR(Setup!$B$29="",Setup!$C$29="No"),0,IF(ISNUMBER(P84),P84,IF($T84="Weights",IF(ISNUMBER(Setup!$D$29),Setup!$D$29,0),IF($T84="Nights",IF(ISNUMBER(Setup!$E$29),Setup!$E$29,0),IF(OR($T84="Exact amounts",$T84="Custom units"),0,1))))))</f>
        <v>0</v>
      </c>
      <c r="AD84" s="29">
        <f>IF($T84="",0,IF(OR(Setup!$B$30="",Setup!$C$30="No"),0,IF(ISNUMBER(Q84),Q84,IF($T84="Weights",IF(ISNUMBER(Setup!$D$30),Setup!$D$30,0),IF($T84="Nights",IF(ISNUMBER(Setup!$E$30),Setup!$E$30,0),IF(OR($T84="Exact amounts",$T84="Custom units"),0,1))))))</f>
        <v>0</v>
      </c>
      <c r="AE84" s="29">
        <f t="shared" si="5"/>
        <v>0</v>
      </c>
      <c r="AF84" s="30">
        <f t="shared" si="6"/>
        <v>1</v>
      </c>
      <c r="AG84" s="29">
        <f t="shared" si="7"/>
        <v>0</v>
      </c>
    </row>
    <row r="85" spans="1:33" ht="16" x14ac:dyDescent="0.2">
      <c r="A85" s="22" t="str">
        <f t="shared" si="4"/>
        <v>—</v>
      </c>
      <c r="B85" s="31"/>
      <c r="C85" s="11"/>
      <c r="D85" s="11"/>
      <c r="E85" s="32"/>
      <c r="F85" s="11"/>
      <c r="G85" s="11"/>
      <c r="H85" s="33"/>
      <c r="I85" s="33"/>
      <c r="J85" s="33"/>
      <c r="K85" s="33"/>
      <c r="L85" s="33"/>
      <c r="M85" s="33"/>
      <c r="N85" s="33"/>
      <c r="O85" s="33"/>
      <c r="P85" s="33"/>
      <c r="Q85" s="33"/>
      <c r="R85" s="26" t="str">
        <f>IF($T85="","",IF($D85="","Who paid?",IF(SUMPRODUCT((Setup!$B$21:$B$30=$D85)*1)=0,"Payer is not in the member list on Setup",IF($E85="","Amount missing — type the number in column E",IF(NOT(ISNUMBER($E85)),"Amount must be a plain number — no currency symbol, no text",IF(AND($T85="Custom units",$AE85&lt;=0),"Custom units: nobody has units on this row — type a number for at least one person",IF($AE85&lt;=0,"Nobody shares this row — check the person columns H–Q, and the Weight / Nights columns on Setup",IF(AND($T85="Exact amounts",ABS($AE85-$AG85)&gt;0.01),"Exact amounts do not add up to the amount","OK"))))))))</f>
        <v/>
      </c>
      <c r="S85" s="27" t="str">
        <f>IFERROR(IF(OR($T85="",$C$4=""),"—",ROUND($AG85*INDEX($U85:$AD85,1,MATCH($C$4,Setup!$B$21:$B$30,0))/$AF85,2)),"—")</f>
        <v>—</v>
      </c>
      <c r="T85" s="28" t="str">
        <f>IF(AND($C85="",$D85="",NOT(ISNUMBER($E85))),"",IF($G85="",IF(Setup!$C$17="","Equal",Setup!$C$17),$G85))</f>
        <v/>
      </c>
      <c r="U85" s="29">
        <f>IF($T85="",0,IF(OR(Setup!$B$21="",Setup!$C$21="No"),0,IF(ISNUMBER(H85),H85,IF($T85="Weights",IF(ISNUMBER(Setup!$D$21),Setup!$D$21,0),IF($T85="Nights",IF(ISNUMBER(Setup!$E$21),Setup!$E$21,0),IF(OR($T85="Exact amounts",$T85="Custom units"),0,1))))))</f>
        <v>0</v>
      </c>
      <c r="V85" s="29">
        <f>IF($T85="",0,IF(OR(Setup!$B$22="",Setup!$C$22="No"),0,IF(ISNUMBER(I85),I85,IF($T85="Weights",IF(ISNUMBER(Setup!$D$22),Setup!$D$22,0),IF($T85="Nights",IF(ISNUMBER(Setup!$E$22),Setup!$E$22,0),IF(OR($T85="Exact amounts",$T85="Custom units"),0,1))))))</f>
        <v>0</v>
      </c>
      <c r="W85" s="29">
        <f>IF($T85="",0,IF(OR(Setup!$B$23="",Setup!$C$23="No"),0,IF(ISNUMBER(J85),J85,IF($T85="Weights",IF(ISNUMBER(Setup!$D$23),Setup!$D$23,0),IF($T85="Nights",IF(ISNUMBER(Setup!$E$23),Setup!$E$23,0),IF(OR($T85="Exact amounts",$T85="Custom units"),0,1))))))</f>
        <v>0</v>
      </c>
      <c r="X85" s="29">
        <f>IF($T85="",0,IF(OR(Setup!$B$24="",Setup!$C$24="No"),0,IF(ISNUMBER(K85),K85,IF($T85="Weights",IF(ISNUMBER(Setup!$D$24),Setup!$D$24,0),IF($T85="Nights",IF(ISNUMBER(Setup!$E$24),Setup!$E$24,0),IF(OR($T85="Exact amounts",$T85="Custom units"),0,1))))))</f>
        <v>0</v>
      </c>
      <c r="Y85" s="29">
        <f>IF($T85="",0,IF(OR(Setup!$B$25="",Setup!$C$25="No"),0,IF(ISNUMBER(L85),L85,IF($T85="Weights",IF(ISNUMBER(Setup!$D$25),Setup!$D$25,0),IF($T85="Nights",IF(ISNUMBER(Setup!$E$25),Setup!$E$25,0),IF(OR($T85="Exact amounts",$T85="Custom units"),0,1))))))</f>
        <v>0</v>
      </c>
      <c r="Z85" s="29">
        <f>IF($T85="",0,IF(OR(Setup!$B$26="",Setup!$C$26="No"),0,IF(ISNUMBER(M85),M85,IF($T85="Weights",IF(ISNUMBER(Setup!$D$26),Setup!$D$26,0),IF($T85="Nights",IF(ISNUMBER(Setup!$E$26),Setup!$E$26,0),IF(OR($T85="Exact amounts",$T85="Custom units"),0,1))))))</f>
        <v>0</v>
      </c>
      <c r="AA85" s="29">
        <f>IF($T85="",0,IF(OR(Setup!$B$27="",Setup!$C$27="No"),0,IF(ISNUMBER(N85),N85,IF($T85="Weights",IF(ISNUMBER(Setup!$D$27),Setup!$D$27,0),IF($T85="Nights",IF(ISNUMBER(Setup!$E$27),Setup!$E$27,0),IF(OR($T85="Exact amounts",$T85="Custom units"),0,1))))))</f>
        <v>0</v>
      </c>
      <c r="AB85" s="29">
        <f>IF($T85="",0,IF(OR(Setup!$B$28="",Setup!$C$28="No"),0,IF(ISNUMBER(O85),O85,IF($T85="Weights",IF(ISNUMBER(Setup!$D$28),Setup!$D$28,0),IF($T85="Nights",IF(ISNUMBER(Setup!$E$28),Setup!$E$28,0),IF(OR($T85="Exact amounts",$T85="Custom units"),0,1))))))</f>
        <v>0</v>
      </c>
      <c r="AC85" s="29">
        <f>IF($T85="",0,IF(OR(Setup!$B$29="",Setup!$C$29="No"),0,IF(ISNUMBER(P85),P85,IF($T85="Weights",IF(ISNUMBER(Setup!$D$29),Setup!$D$29,0),IF($T85="Nights",IF(ISNUMBER(Setup!$E$29),Setup!$E$29,0),IF(OR($T85="Exact amounts",$T85="Custom units"),0,1))))))</f>
        <v>0</v>
      </c>
      <c r="AD85" s="29">
        <f>IF($T85="",0,IF(OR(Setup!$B$30="",Setup!$C$30="No"),0,IF(ISNUMBER(Q85),Q85,IF($T85="Weights",IF(ISNUMBER(Setup!$D$30),Setup!$D$30,0),IF($T85="Nights",IF(ISNUMBER(Setup!$E$30),Setup!$E$30,0),IF(OR($T85="Exact amounts",$T85="Custom units"),0,1))))))</f>
        <v>0</v>
      </c>
      <c r="AE85" s="29">
        <f t="shared" si="5"/>
        <v>0</v>
      </c>
      <c r="AF85" s="30">
        <f t="shared" si="6"/>
        <v>1</v>
      </c>
      <c r="AG85" s="29">
        <f t="shared" si="7"/>
        <v>0</v>
      </c>
    </row>
    <row r="86" spans="1:33" ht="16" x14ac:dyDescent="0.2">
      <c r="A86" s="22" t="str">
        <f t="shared" si="4"/>
        <v>—</v>
      </c>
      <c r="B86" s="23"/>
      <c r="C86" s="16"/>
      <c r="D86" s="16"/>
      <c r="E86" s="24"/>
      <c r="F86" s="16"/>
      <c r="G86" s="16"/>
      <c r="H86" s="25"/>
      <c r="I86" s="25"/>
      <c r="J86" s="25"/>
      <c r="K86" s="25"/>
      <c r="L86" s="25"/>
      <c r="M86" s="25"/>
      <c r="N86" s="25"/>
      <c r="O86" s="25"/>
      <c r="P86" s="25"/>
      <c r="Q86" s="25"/>
      <c r="R86" s="26" t="str">
        <f>IF($T86="","",IF($D86="","Who paid?",IF(SUMPRODUCT((Setup!$B$21:$B$30=$D86)*1)=0,"Payer is not in the member list on Setup",IF($E86="","Amount missing — type the number in column E",IF(NOT(ISNUMBER($E86)),"Amount must be a plain number — no currency symbol, no text",IF(AND($T86="Custom units",$AE86&lt;=0),"Custom units: nobody has units on this row — type a number for at least one person",IF($AE86&lt;=0,"Nobody shares this row — check the person columns H–Q, and the Weight / Nights columns on Setup",IF(AND($T86="Exact amounts",ABS($AE86-$AG86)&gt;0.01),"Exact amounts do not add up to the amount","OK"))))))))</f>
        <v/>
      </c>
      <c r="S86" s="27" t="str">
        <f>IFERROR(IF(OR($T86="",$C$4=""),"—",ROUND($AG86*INDEX($U86:$AD86,1,MATCH($C$4,Setup!$B$21:$B$30,0))/$AF86,2)),"—")</f>
        <v>—</v>
      </c>
      <c r="T86" s="28" t="str">
        <f>IF(AND($C86="",$D86="",NOT(ISNUMBER($E86))),"",IF($G86="",IF(Setup!$C$17="","Equal",Setup!$C$17),$G86))</f>
        <v/>
      </c>
      <c r="U86" s="29">
        <f>IF($T86="",0,IF(OR(Setup!$B$21="",Setup!$C$21="No"),0,IF(ISNUMBER(H86),H86,IF($T86="Weights",IF(ISNUMBER(Setup!$D$21),Setup!$D$21,0),IF($T86="Nights",IF(ISNUMBER(Setup!$E$21),Setup!$E$21,0),IF(OR($T86="Exact amounts",$T86="Custom units"),0,1))))))</f>
        <v>0</v>
      </c>
      <c r="V86" s="29">
        <f>IF($T86="",0,IF(OR(Setup!$B$22="",Setup!$C$22="No"),0,IF(ISNUMBER(I86),I86,IF($T86="Weights",IF(ISNUMBER(Setup!$D$22),Setup!$D$22,0),IF($T86="Nights",IF(ISNUMBER(Setup!$E$22),Setup!$E$22,0),IF(OR($T86="Exact amounts",$T86="Custom units"),0,1))))))</f>
        <v>0</v>
      </c>
      <c r="W86" s="29">
        <f>IF($T86="",0,IF(OR(Setup!$B$23="",Setup!$C$23="No"),0,IF(ISNUMBER(J86),J86,IF($T86="Weights",IF(ISNUMBER(Setup!$D$23),Setup!$D$23,0),IF($T86="Nights",IF(ISNUMBER(Setup!$E$23),Setup!$E$23,0),IF(OR($T86="Exact amounts",$T86="Custom units"),0,1))))))</f>
        <v>0</v>
      </c>
      <c r="X86" s="29">
        <f>IF($T86="",0,IF(OR(Setup!$B$24="",Setup!$C$24="No"),0,IF(ISNUMBER(K86),K86,IF($T86="Weights",IF(ISNUMBER(Setup!$D$24),Setup!$D$24,0),IF($T86="Nights",IF(ISNUMBER(Setup!$E$24),Setup!$E$24,0),IF(OR($T86="Exact amounts",$T86="Custom units"),0,1))))))</f>
        <v>0</v>
      </c>
      <c r="Y86" s="29">
        <f>IF($T86="",0,IF(OR(Setup!$B$25="",Setup!$C$25="No"),0,IF(ISNUMBER(L86),L86,IF($T86="Weights",IF(ISNUMBER(Setup!$D$25),Setup!$D$25,0),IF($T86="Nights",IF(ISNUMBER(Setup!$E$25),Setup!$E$25,0),IF(OR($T86="Exact amounts",$T86="Custom units"),0,1))))))</f>
        <v>0</v>
      </c>
      <c r="Z86" s="29">
        <f>IF($T86="",0,IF(OR(Setup!$B$26="",Setup!$C$26="No"),0,IF(ISNUMBER(M86),M86,IF($T86="Weights",IF(ISNUMBER(Setup!$D$26),Setup!$D$26,0),IF($T86="Nights",IF(ISNUMBER(Setup!$E$26),Setup!$E$26,0),IF(OR($T86="Exact amounts",$T86="Custom units"),0,1))))))</f>
        <v>0</v>
      </c>
      <c r="AA86" s="29">
        <f>IF($T86="",0,IF(OR(Setup!$B$27="",Setup!$C$27="No"),0,IF(ISNUMBER(N86),N86,IF($T86="Weights",IF(ISNUMBER(Setup!$D$27),Setup!$D$27,0),IF($T86="Nights",IF(ISNUMBER(Setup!$E$27),Setup!$E$27,0),IF(OR($T86="Exact amounts",$T86="Custom units"),0,1))))))</f>
        <v>0</v>
      </c>
      <c r="AB86" s="29">
        <f>IF($T86="",0,IF(OR(Setup!$B$28="",Setup!$C$28="No"),0,IF(ISNUMBER(O86),O86,IF($T86="Weights",IF(ISNUMBER(Setup!$D$28),Setup!$D$28,0),IF($T86="Nights",IF(ISNUMBER(Setup!$E$28),Setup!$E$28,0),IF(OR($T86="Exact amounts",$T86="Custom units"),0,1))))))</f>
        <v>0</v>
      </c>
      <c r="AC86" s="29">
        <f>IF($T86="",0,IF(OR(Setup!$B$29="",Setup!$C$29="No"),0,IF(ISNUMBER(P86),P86,IF($T86="Weights",IF(ISNUMBER(Setup!$D$29),Setup!$D$29,0),IF($T86="Nights",IF(ISNUMBER(Setup!$E$29),Setup!$E$29,0),IF(OR($T86="Exact amounts",$T86="Custom units"),0,1))))))</f>
        <v>0</v>
      </c>
      <c r="AD86" s="29">
        <f>IF($T86="",0,IF(OR(Setup!$B$30="",Setup!$C$30="No"),0,IF(ISNUMBER(Q86),Q86,IF($T86="Weights",IF(ISNUMBER(Setup!$D$30),Setup!$D$30,0),IF($T86="Nights",IF(ISNUMBER(Setup!$E$30),Setup!$E$30,0),IF(OR($T86="Exact amounts",$T86="Custom units"),0,1))))))</f>
        <v>0</v>
      </c>
      <c r="AE86" s="29">
        <f t="shared" si="5"/>
        <v>0</v>
      </c>
      <c r="AF86" s="30">
        <f t="shared" si="6"/>
        <v>1</v>
      </c>
      <c r="AG86" s="29">
        <f t="shared" si="7"/>
        <v>0</v>
      </c>
    </row>
    <row r="87" spans="1:33" ht="16" x14ac:dyDescent="0.2">
      <c r="A87" s="22" t="str">
        <f t="shared" si="4"/>
        <v>—</v>
      </c>
      <c r="B87" s="31"/>
      <c r="C87" s="11"/>
      <c r="D87" s="11"/>
      <c r="E87" s="32"/>
      <c r="F87" s="11"/>
      <c r="G87" s="11"/>
      <c r="H87" s="33"/>
      <c r="I87" s="33"/>
      <c r="J87" s="33"/>
      <c r="K87" s="33"/>
      <c r="L87" s="33"/>
      <c r="M87" s="33"/>
      <c r="N87" s="33"/>
      <c r="O87" s="33"/>
      <c r="P87" s="33"/>
      <c r="Q87" s="33"/>
      <c r="R87" s="26" t="str">
        <f>IF($T87="","",IF($D87="","Who paid?",IF(SUMPRODUCT((Setup!$B$21:$B$30=$D87)*1)=0,"Payer is not in the member list on Setup",IF($E87="","Amount missing — type the number in column E",IF(NOT(ISNUMBER($E87)),"Amount must be a plain number — no currency symbol, no text",IF(AND($T87="Custom units",$AE87&lt;=0),"Custom units: nobody has units on this row — type a number for at least one person",IF($AE87&lt;=0,"Nobody shares this row — check the person columns H–Q, and the Weight / Nights columns on Setup",IF(AND($T87="Exact amounts",ABS($AE87-$AG87)&gt;0.01),"Exact amounts do not add up to the amount","OK"))))))))</f>
        <v/>
      </c>
      <c r="S87" s="27" t="str">
        <f>IFERROR(IF(OR($T87="",$C$4=""),"—",ROUND($AG87*INDEX($U87:$AD87,1,MATCH($C$4,Setup!$B$21:$B$30,0))/$AF87,2)),"—")</f>
        <v>—</v>
      </c>
      <c r="T87" s="28" t="str">
        <f>IF(AND($C87="",$D87="",NOT(ISNUMBER($E87))),"",IF($G87="",IF(Setup!$C$17="","Equal",Setup!$C$17),$G87))</f>
        <v/>
      </c>
      <c r="U87" s="29">
        <f>IF($T87="",0,IF(OR(Setup!$B$21="",Setup!$C$21="No"),0,IF(ISNUMBER(H87),H87,IF($T87="Weights",IF(ISNUMBER(Setup!$D$21),Setup!$D$21,0),IF($T87="Nights",IF(ISNUMBER(Setup!$E$21),Setup!$E$21,0),IF(OR($T87="Exact amounts",$T87="Custom units"),0,1))))))</f>
        <v>0</v>
      </c>
      <c r="V87" s="29">
        <f>IF($T87="",0,IF(OR(Setup!$B$22="",Setup!$C$22="No"),0,IF(ISNUMBER(I87),I87,IF($T87="Weights",IF(ISNUMBER(Setup!$D$22),Setup!$D$22,0),IF($T87="Nights",IF(ISNUMBER(Setup!$E$22),Setup!$E$22,0),IF(OR($T87="Exact amounts",$T87="Custom units"),0,1))))))</f>
        <v>0</v>
      </c>
      <c r="W87" s="29">
        <f>IF($T87="",0,IF(OR(Setup!$B$23="",Setup!$C$23="No"),0,IF(ISNUMBER(J87),J87,IF($T87="Weights",IF(ISNUMBER(Setup!$D$23),Setup!$D$23,0),IF($T87="Nights",IF(ISNUMBER(Setup!$E$23),Setup!$E$23,0),IF(OR($T87="Exact amounts",$T87="Custom units"),0,1))))))</f>
        <v>0</v>
      </c>
      <c r="X87" s="29">
        <f>IF($T87="",0,IF(OR(Setup!$B$24="",Setup!$C$24="No"),0,IF(ISNUMBER(K87),K87,IF($T87="Weights",IF(ISNUMBER(Setup!$D$24),Setup!$D$24,0),IF($T87="Nights",IF(ISNUMBER(Setup!$E$24),Setup!$E$24,0),IF(OR($T87="Exact amounts",$T87="Custom units"),0,1))))))</f>
        <v>0</v>
      </c>
      <c r="Y87" s="29">
        <f>IF($T87="",0,IF(OR(Setup!$B$25="",Setup!$C$25="No"),0,IF(ISNUMBER(L87),L87,IF($T87="Weights",IF(ISNUMBER(Setup!$D$25),Setup!$D$25,0),IF($T87="Nights",IF(ISNUMBER(Setup!$E$25),Setup!$E$25,0),IF(OR($T87="Exact amounts",$T87="Custom units"),0,1))))))</f>
        <v>0</v>
      </c>
      <c r="Z87" s="29">
        <f>IF($T87="",0,IF(OR(Setup!$B$26="",Setup!$C$26="No"),0,IF(ISNUMBER(M87),M87,IF($T87="Weights",IF(ISNUMBER(Setup!$D$26),Setup!$D$26,0),IF($T87="Nights",IF(ISNUMBER(Setup!$E$26),Setup!$E$26,0),IF(OR($T87="Exact amounts",$T87="Custom units"),0,1))))))</f>
        <v>0</v>
      </c>
      <c r="AA87" s="29">
        <f>IF($T87="",0,IF(OR(Setup!$B$27="",Setup!$C$27="No"),0,IF(ISNUMBER(N87),N87,IF($T87="Weights",IF(ISNUMBER(Setup!$D$27),Setup!$D$27,0),IF($T87="Nights",IF(ISNUMBER(Setup!$E$27),Setup!$E$27,0),IF(OR($T87="Exact amounts",$T87="Custom units"),0,1))))))</f>
        <v>0</v>
      </c>
      <c r="AB87" s="29">
        <f>IF($T87="",0,IF(OR(Setup!$B$28="",Setup!$C$28="No"),0,IF(ISNUMBER(O87),O87,IF($T87="Weights",IF(ISNUMBER(Setup!$D$28),Setup!$D$28,0),IF($T87="Nights",IF(ISNUMBER(Setup!$E$28),Setup!$E$28,0),IF(OR($T87="Exact amounts",$T87="Custom units"),0,1))))))</f>
        <v>0</v>
      </c>
      <c r="AC87" s="29">
        <f>IF($T87="",0,IF(OR(Setup!$B$29="",Setup!$C$29="No"),0,IF(ISNUMBER(P87),P87,IF($T87="Weights",IF(ISNUMBER(Setup!$D$29),Setup!$D$29,0),IF($T87="Nights",IF(ISNUMBER(Setup!$E$29),Setup!$E$29,0),IF(OR($T87="Exact amounts",$T87="Custom units"),0,1))))))</f>
        <v>0</v>
      </c>
      <c r="AD87" s="29">
        <f>IF($T87="",0,IF(OR(Setup!$B$30="",Setup!$C$30="No"),0,IF(ISNUMBER(Q87),Q87,IF($T87="Weights",IF(ISNUMBER(Setup!$D$30),Setup!$D$30,0),IF($T87="Nights",IF(ISNUMBER(Setup!$E$30),Setup!$E$30,0),IF(OR($T87="Exact amounts",$T87="Custom units"),0,1))))))</f>
        <v>0</v>
      </c>
      <c r="AE87" s="29">
        <f t="shared" si="5"/>
        <v>0</v>
      </c>
      <c r="AF87" s="30">
        <f t="shared" si="6"/>
        <v>1</v>
      </c>
      <c r="AG87" s="29">
        <f t="shared" si="7"/>
        <v>0</v>
      </c>
    </row>
    <row r="88" spans="1:33" ht="16" x14ac:dyDescent="0.2">
      <c r="A88" s="22" t="str">
        <f t="shared" si="4"/>
        <v>—</v>
      </c>
      <c r="B88" s="23"/>
      <c r="C88" s="16"/>
      <c r="D88" s="16"/>
      <c r="E88" s="24"/>
      <c r="F88" s="16"/>
      <c r="G88" s="16"/>
      <c r="H88" s="25"/>
      <c r="I88" s="25"/>
      <c r="J88" s="25"/>
      <c r="K88" s="25"/>
      <c r="L88" s="25"/>
      <c r="M88" s="25"/>
      <c r="N88" s="25"/>
      <c r="O88" s="25"/>
      <c r="P88" s="25"/>
      <c r="Q88" s="25"/>
      <c r="R88" s="26" t="str">
        <f>IF($T88="","",IF($D88="","Who paid?",IF(SUMPRODUCT((Setup!$B$21:$B$30=$D88)*1)=0,"Payer is not in the member list on Setup",IF($E88="","Amount missing — type the number in column E",IF(NOT(ISNUMBER($E88)),"Amount must be a plain number — no currency symbol, no text",IF(AND($T88="Custom units",$AE88&lt;=0),"Custom units: nobody has units on this row — type a number for at least one person",IF($AE88&lt;=0,"Nobody shares this row — check the person columns H–Q, and the Weight / Nights columns on Setup",IF(AND($T88="Exact amounts",ABS($AE88-$AG88)&gt;0.01),"Exact amounts do not add up to the amount","OK"))))))))</f>
        <v/>
      </c>
      <c r="S88" s="27" t="str">
        <f>IFERROR(IF(OR($T88="",$C$4=""),"—",ROUND($AG88*INDEX($U88:$AD88,1,MATCH($C$4,Setup!$B$21:$B$30,0))/$AF88,2)),"—")</f>
        <v>—</v>
      </c>
      <c r="T88" s="28" t="str">
        <f>IF(AND($C88="",$D88="",NOT(ISNUMBER($E88))),"",IF($G88="",IF(Setup!$C$17="","Equal",Setup!$C$17),$G88))</f>
        <v/>
      </c>
      <c r="U88" s="29">
        <f>IF($T88="",0,IF(OR(Setup!$B$21="",Setup!$C$21="No"),0,IF(ISNUMBER(H88),H88,IF($T88="Weights",IF(ISNUMBER(Setup!$D$21),Setup!$D$21,0),IF($T88="Nights",IF(ISNUMBER(Setup!$E$21),Setup!$E$21,0),IF(OR($T88="Exact amounts",$T88="Custom units"),0,1))))))</f>
        <v>0</v>
      </c>
      <c r="V88" s="29">
        <f>IF($T88="",0,IF(OR(Setup!$B$22="",Setup!$C$22="No"),0,IF(ISNUMBER(I88),I88,IF($T88="Weights",IF(ISNUMBER(Setup!$D$22),Setup!$D$22,0),IF($T88="Nights",IF(ISNUMBER(Setup!$E$22),Setup!$E$22,0),IF(OR($T88="Exact amounts",$T88="Custom units"),0,1))))))</f>
        <v>0</v>
      </c>
      <c r="W88" s="29">
        <f>IF($T88="",0,IF(OR(Setup!$B$23="",Setup!$C$23="No"),0,IF(ISNUMBER(J88),J88,IF($T88="Weights",IF(ISNUMBER(Setup!$D$23),Setup!$D$23,0),IF($T88="Nights",IF(ISNUMBER(Setup!$E$23),Setup!$E$23,0),IF(OR($T88="Exact amounts",$T88="Custom units"),0,1))))))</f>
        <v>0</v>
      </c>
      <c r="X88" s="29">
        <f>IF($T88="",0,IF(OR(Setup!$B$24="",Setup!$C$24="No"),0,IF(ISNUMBER(K88),K88,IF($T88="Weights",IF(ISNUMBER(Setup!$D$24),Setup!$D$24,0),IF($T88="Nights",IF(ISNUMBER(Setup!$E$24),Setup!$E$24,0),IF(OR($T88="Exact amounts",$T88="Custom units"),0,1))))))</f>
        <v>0</v>
      </c>
      <c r="Y88" s="29">
        <f>IF($T88="",0,IF(OR(Setup!$B$25="",Setup!$C$25="No"),0,IF(ISNUMBER(L88),L88,IF($T88="Weights",IF(ISNUMBER(Setup!$D$25),Setup!$D$25,0),IF($T88="Nights",IF(ISNUMBER(Setup!$E$25),Setup!$E$25,0),IF(OR($T88="Exact amounts",$T88="Custom units"),0,1))))))</f>
        <v>0</v>
      </c>
      <c r="Z88" s="29">
        <f>IF($T88="",0,IF(OR(Setup!$B$26="",Setup!$C$26="No"),0,IF(ISNUMBER(M88),M88,IF($T88="Weights",IF(ISNUMBER(Setup!$D$26),Setup!$D$26,0),IF($T88="Nights",IF(ISNUMBER(Setup!$E$26),Setup!$E$26,0),IF(OR($T88="Exact amounts",$T88="Custom units"),0,1))))))</f>
        <v>0</v>
      </c>
      <c r="AA88" s="29">
        <f>IF($T88="",0,IF(OR(Setup!$B$27="",Setup!$C$27="No"),0,IF(ISNUMBER(N88),N88,IF($T88="Weights",IF(ISNUMBER(Setup!$D$27),Setup!$D$27,0),IF($T88="Nights",IF(ISNUMBER(Setup!$E$27),Setup!$E$27,0),IF(OR($T88="Exact amounts",$T88="Custom units"),0,1))))))</f>
        <v>0</v>
      </c>
      <c r="AB88" s="29">
        <f>IF($T88="",0,IF(OR(Setup!$B$28="",Setup!$C$28="No"),0,IF(ISNUMBER(O88),O88,IF($T88="Weights",IF(ISNUMBER(Setup!$D$28),Setup!$D$28,0),IF($T88="Nights",IF(ISNUMBER(Setup!$E$28),Setup!$E$28,0),IF(OR($T88="Exact amounts",$T88="Custom units"),0,1))))))</f>
        <v>0</v>
      </c>
      <c r="AC88" s="29">
        <f>IF($T88="",0,IF(OR(Setup!$B$29="",Setup!$C$29="No"),0,IF(ISNUMBER(P88),P88,IF($T88="Weights",IF(ISNUMBER(Setup!$D$29),Setup!$D$29,0),IF($T88="Nights",IF(ISNUMBER(Setup!$E$29),Setup!$E$29,0),IF(OR($T88="Exact amounts",$T88="Custom units"),0,1))))))</f>
        <v>0</v>
      </c>
      <c r="AD88" s="29">
        <f>IF($T88="",0,IF(OR(Setup!$B$30="",Setup!$C$30="No"),0,IF(ISNUMBER(Q88),Q88,IF($T88="Weights",IF(ISNUMBER(Setup!$D$30),Setup!$D$30,0),IF($T88="Nights",IF(ISNUMBER(Setup!$E$30),Setup!$E$30,0),IF(OR($T88="Exact amounts",$T88="Custom units"),0,1))))))</f>
        <v>0</v>
      </c>
      <c r="AE88" s="29">
        <f t="shared" si="5"/>
        <v>0</v>
      </c>
      <c r="AF88" s="30">
        <f t="shared" si="6"/>
        <v>1</v>
      </c>
      <c r="AG88" s="29">
        <f t="shared" si="7"/>
        <v>0</v>
      </c>
    </row>
    <row r="89" spans="1:33" ht="16" x14ac:dyDescent="0.2">
      <c r="A89" s="22" t="str">
        <f t="shared" si="4"/>
        <v>—</v>
      </c>
      <c r="B89" s="31"/>
      <c r="C89" s="11"/>
      <c r="D89" s="11"/>
      <c r="E89" s="32"/>
      <c r="F89" s="11"/>
      <c r="G89" s="11"/>
      <c r="H89" s="33"/>
      <c r="I89" s="33"/>
      <c r="J89" s="33"/>
      <c r="K89" s="33"/>
      <c r="L89" s="33"/>
      <c r="M89" s="33"/>
      <c r="N89" s="33"/>
      <c r="O89" s="33"/>
      <c r="P89" s="33"/>
      <c r="Q89" s="33"/>
      <c r="R89" s="26" t="str">
        <f>IF($T89="","",IF($D89="","Who paid?",IF(SUMPRODUCT((Setup!$B$21:$B$30=$D89)*1)=0,"Payer is not in the member list on Setup",IF($E89="","Amount missing — type the number in column E",IF(NOT(ISNUMBER($E89)),"Amount must be a plain number — no currency symbol, no text",IF(AND($T89="Custom units",$AE89&lt;=0),"Custom units: nobody has units on this row — type a number for at least one person",IF($AE89&lt;=0,"Nobody shares this row — check the person columns H–Q, and the Weight / Nights columns on Setup",IF(AND($T89="Exact amounts",ABS($AE89-$AG89)&gt;0.01),"Exact amounts do not add up to the amount","OK"))))))))</f>
        <v/>
      </c>
      <c r="S89" s="27" t="str">
        <f>IFERROR(IF(OR($T89="",$C$4=""),"—",ROUND($AG89*INDEX($U89:$AD89,1,MATCH($C$4,Setup!$B$21:$B$30,0))/$AF89,2)),"—")</f>
        <v>—</v>
      </c>
      <c r="T89" s="28" t="str">
        <f>IF(AND($C89="",$D89="",NOT(ISNUMBER($E89))),"",IF($G89="",IF(Setup!$C$17="","Equal",Setup!$C$17),$G89))</f>
        <v/>
      </c>
      <c r="U89" s="29">
        <f>IF($T89="",0,IF(OR(Setup!$B$21="",Setup!$C$21="No"),0,IF(ISNUMBER(H89),H89,IF($T89="Weights",IF(ISNUMBER(Setup!$D$21),Setup!$D$21,0),IF($T89="Nights",IF(ISNUMBER(Setup!$E$21),Setup!$E$21,0),IF(OR($T89="Exact amounts",$T89="Custom units"),0,1))))))</f>
        <v>0</v>
      </c>
      <c r="V89" s="29">
        <f>IF($T89="",0,IF(OR(Setup!$B$22="",Setup!$C$22="No"),0,IF(ISNUMBER(I89),I89,IF($T89="Weights",IF(ISNUMBER(Setup!$D$22),Setup!$D$22,0),IF($T89="Nights",IF(ISNUMBER(Setup!$E$22),Setup!$E$22,0),IF(OR($T89="Exact amounts",$T89="Custom units"),0,1))))))</f>
        <v>0</v>
      </c>
      <c r="W89" s="29">
        <f>IF($T89="",0,IF(OR(Setup!$B$23="",Setup!$C$23="No"),0,IF(ISNUMBER(J89),J89,IF($T89="Weights",IF(ISNUMBER(Setup!$D$23),Setup!$D$23,0),IF($T89="Nights",IF(ISNUMBER(Setup!$E$23),Setup!$E$23,0),IF(OR($T89="Exact amounts",$T89="Custom units"),0,1))))))</f>
        <v>0</v>
      </c>
      <c r="X89" s="29">
        <f>IF($T89="",0,IF(OR(Setup!$B$24="",Setup!$C$24="No"),0,IF(ISNUMBER(K89),K89,IF($T89="Weights",IF(ISNUMBER(Setup!$D$24),Setup!$D$24,0),IF($T89="Nights",IF(ISNUMBER(Setup!$E$24),Setup!$E$24,0),IF(OR($T89="Exact amounts",$T89="Custom units"),0,1))))))</f>
        <v>0</v>
      </c>
      <c r="Y89" s="29">
        <f>IF($T89="",0,IF(OR(Setup!$B$25="",Setup!$C$25="No"),0,IF(ISNUMBER(L89),L89,IF($T89="Weights",IF(ISNUMBER(Setup!$D$25),Setup!$D$25,0),IF($T89="Nights",IF(ISNUMBER(Setup!$E$25),Setup!$E$25,0),IF(OR($T89="Exact amounts",$T89="Custom units"),0,1))))))</f>
        <v>0</v>
      </c>
      <c r="Z89" s="29">
        <f>IF($T89="",0,IF(OR(Setup!$B$26="",Setup!$C$26="No"),0,IF(ISNUMBER(M89),M89,IF($T89="Weights",IF(ISNUMBER(Setup!$D$26),Setup!$D$26,0),IF($T89="Nights",IF(ISNUMBER(Setup!$E$26),Setup!$E$26,0),IF(OR($T89="Exact amounts",$T89="Custom units"),0,1))))))</f>
        <v>0</v>
      </c>
      <c r="AA89" s="29">
        <f>IF($T89="",0,IF(OR(Setup!$B$27="",Setup!$C$27="No"),0,IF(ISNUMBER(N89),N89,IF($T89="Weights",IF(ISNUMBER(Setup!$D$27),Setup!$D$27,0),IF($T89="Nights",IF(ISNUMBER(Setup!$E$27),Setup!$E$27,0),IF(OR($T89="Exact amounts",$T89="Custom units"),0,1))))))</f>
        <v>0</v>
      </c>
      <c r="AB89" s="29">
        <f>IF($T89="",0,IF(OR(Setup!$B$28="",Setup!$C$28="No"),0,IF(ISNUMBER(O89),O89,IF($T89="Weights",IF(ISNUMBER(Setup!$D$28),Setup!$D$28,0),IF($T89="Nights",IF(ISNUMBER(Setup!$E$28),Setup!$E$28,0),IF(OR($T89="Exact amounts",$T89="Custom units"),0,1))))))</f>
        <v>0</v>
      </c>
      <c r="AC89" s="29">
        <f>IF($T89="",0,IF(OR(Setup!$B$29="",Setup!$C$29="No"),0,IF(ISNUMBER(P89),P89,IF($T89="Weights",IF(ISNUMBER(Setup!$D$29),Setup!$D$29,0),IF($T89="Nights",IF(ISNUMBER(Setup!$E$29),Setup!$E$29,0),IF(OR($T89="Exact amounts",$T89="Custom units"),0,1))))))</f>
        <v>0</v>
      </c>
      <c r="AD89" s="29">
        <f>IF($T89="",0,IF(OR(Setup!$B$30="",Setup!$C$30="No"),0,IF(ISNUMBER(Q89),Q89,IF($T89="Weights",IF(ISNUMBER(Setup!$D$30),Setup!$D$30,0),IF($T89="Nights",IF(ISNUMBER(Setup!$E$30),Setup!$E$30,0),IF(OR($T89="Exact amounts",$T89="Custom units"),0,1))))))</f>
        <v>0</v>
      </c>
      <c r="AE89" s="29">
        <f t="shared" si="5"/>
        <v>0</v>
      </c>
      <c r="AF89" s="30">
        <f t="shared" si="6"/>
        <v>1</v>
      </c>
      <c r="AG89" s="29">
        <f t="shared" si="7"/>
        <v>0</v>
      </c>
    </row>
    <row r="90" spans="1:33" ht="16" x14ac:dyDescent="0.2">
      <c r="A90" s="22" t="str">
        <f t="shared" si="4"/>
        <v>—</v>
      </c>
      <c r="B90" s="23"/>
      <c r="C90" s="16"/>
      <c r="D90" s="16"/>
      <c r="E90" s="24"/>
      <c r="F90" s="16"/>
      <c r="G90" s="16"/>
      <c r="H90" s="25"/>
      <c r="I90" s="25"/>
      <c r="J90" s="25"/>
      <c r="K90" s="25"/>
      <c r="L90" s="25"/>
      <c r="M90" s="25"/>
      <c r="N90" s="25"/>
      <c r="O90" s="25"/>
      <c r="P90" s="25"/>
      <c r="Q90" s="25"/>
      <c r="R90" s="26" t="str">
        <f>IF($T90="","",IF($D90="","Who paid?",IF(SUMPRODUCT((Setup!$B$21:$B$30=$D90)*1)=0,"Payer is not in the member list on Setup",IF($E90="","Amount missing — type the number in column E",IF(NOT(ISNUMBER($E90)),"Amount must be a plain number — no currency symbol, no text",IF(AND($T90="Custom units",$AE90&lt;=0),"Custom units: nobody has units on this row — type a number for at least one person",IF($AE90&lt;=0,"Nobody shares this row — check the person columns H–Q, and the Weight / Nights columns on Setup",IF(AND($T90="Exact amounts",ABS($AE90-$AG90)&gt;0.01),"Exact amounts do not add up to the amount","OK"))))))))</f>
        <v/>
      </c>
      <c r="S90" s="27" t="str">
        <f>IFERROR(IF(OR($T90="",$C$4=""),"—",ROUND($AG90*INDEX($U90:$AD90,1,MATCH($C$4,Setup!$B$21:$B$30,0))/$AF90,2)),"—")</f>
        <v>—</v>
      </c>
      <c r="T90" s="28" t="str">
        <f>IF(AND($C90="",$D90="",NOT(ISNUMBER($E90))),"",IF($G90="",IF(Setup!$C$17="","Equal",Setup!$C$17),$G90))</f>
        <v/>
      </c>
      <c r="U90" s="29">
        <f>IF($T90="",0,IF(OR(Setup!$B$21="",Setup!$C$21="No"),0,IF(ISNUMBER(H90),H90,IF($T90="Weights",IF(ISNUMBER(Setup!$D$21),Setup!$D$21,0),IF($T90="Nights",IF(ISNUMBER(Setup!$E$21),Setup!$E$21,0),IF(OR($T90="Exact amounts",$T90="Custom units"),0,1))))))</f>
        <v>0</v>
      </c>
      <c r="V90" s="29">
        <f>IF($T90="",0,IF(OR(Setup!$B$22="",Setup!$C$22="No"),0,IF(ISNUMBER(I90),I90,IF($T90="Weights",IF(ISNUMBER(Setup!$D$22),Setup!$D$22,0),IF($T90="Nights",IF(ISNUMBER(Setup!$E$22),Setup!$E$22,0),IF(OR($T90="Exact amounts",$T90="Custom units"),0,1))))))</f>
        <v>0</v>
      </c>
      <c r="W90" s="29">
        <f>IF($T90="",0,IF(OR(Setup!$B$23="",Setup!$C$23="No"),0,IF(ISNUMBER(J90),J90,IF($T90="Weights",IF(ISNUMBER(Setup!$D$23),Setup!$D$23,0),IF($T90="Nights",IF(ISNUMBER(Setup!$E$23),Setup!$E$23,0),IF(OR($T90="Exact amounts",$T90="Custom units"),0,1))))))</f>
        <v>0</v>
      </c>
      <c r="X90" s="29">
        <f>IF($T90="",0,IF(OR(Setup!$B$24="",Setup!$C$24="No"),0,IF(ISNUMBER(K90),K90,IF($T90="Weights",IF(ISNUMBER(Setup!$D$24),Setup!$D$24,0),IF($T90="Nights",IF(ISNUMBER(Setup!$E$24),Setup!$E$24,0),IF(OR($T90="Exact amounts",$T90="Custom units"),0,1))))))</f>
        <v>0</v>
      </c>
      <c r="Y90" s="29">
        <f>IF($T90="",0,IF(OR(Setup!$B$25="",Setup!$C$25="No"),0,IF(ISNUMBER(L90),L90,IF($T90="Weights",IF(ISNUMBER(Setup!$D$25),Setup!$D$25,0),IF($T90="Nights",IF(ISNUMBER(Setup!$E$25),Setup!$E$25,0),IF(OR($T90="Exact amounts",$T90="Custom units"),0,1))))))</f>
        <v>0</v>
      </c>
      <c r="Z90" s="29">
        <f>IF($T90="",0,IF(OR(Setup!$B$26="",Setup!$C$26="No"),0,IF(ISNUMBER(M90),M90,IF($T90="Weights",IF(ISNUMBER(Setup!$D$26),Setup!$D$26,0),IF($T90="Nights",IF(ISNUMBER(Setup!$E$26),Setup!$E$26,0),IF(OR($T90="Exact amounts",$T90="Custom units"),0,1))))))</f>
        <v>0</v>
      </c>
      <c r="AA90" s="29">
        <f>IF($T90="",0,IF(OR(Setup!$B$27="",Setup!$C$27="No"),0,IF(ISNUMBER(N90),N90,IF($T90="Weights",IF(ISNUMBER(Setup!$D$27),Setup!$D$27,0),IF($T90="Nights",IF(ISNUMBER(Setup!$E$27),Setup!$E$27,0),IF(OR($T90="Exact amounts",$T90="Custom units"),0,1))))))</f>
        <v>0</v>
      </c>
      <c r="AB90" s="29">
        <f>IF($T90="",0,IF(OR(Setup!$B$28="",Setup!$C$28="No"),0,IF(ISNUMBER(O90),O90,IF($T90="Weights",IF(ISNUMBER(Setup!$D$28),Setup!$D$28,0),IF($T90="Nights",IF(ISNUMBER(Setup!$E$28),Setup!$E$28,0),IF(OR($T90="Exact amounts",$T90="Custom units"),0,1))))))</f>
        <v>0</v>
      </c>
      <c r="AC90" s="29">
        <f>IF($T90="",0,IF(OR(Setup!$B$29="",Setup!$C$29="No"),0,IF(ISNUMBER(P90),P90,IF($T90="Weights",IF(ISNUMBER(Setup!$D$29),Setup!$D$29,0),IF($T90="Nights",IF(ISNUMBER(Setup!$E$29),Setup!$E$29,0),IF(OR($T90="Exact amounts",$T90="Custom units"),0,1))))))</f>
        <v>0</v>
      </c>
      <c r="AD90" s="29">
        <f>IF($T90="",0,IF(OR(Setup!$B$30="",Setup!$C$30="No"),0,IF(ISNUMBER(Q90),Q90,IF($T90="Weights",IF(ISNUMBER(Setup!$D$30),Setup!$D$30,0),IF($T90="Nights",IF(ISNUMBER(Setup!$E$30),Setup!$E$30,0),IF(OR($T90="Exact amounts",$T90="Custom units"),0,1))))))</f>
        <v>0</v>
      </c>
      <c r="AE90" s="29">
        <f t="shared" si="5"/>
        <v>0</v>
      </c>
      <c r="AF90" s="30">
        <f t="shared" si="6"/>
        <v>1</v>
      </c>
      <c r="AG90" s="29">
        <f t="shared" si="7"/>
        <v>0</v>
      </c>
    </row>
    <row r="91" spans="1:33" ht="16" x14ac:dyDescent="0.2">
      <c r="A91" s="22" t="str">
        <f t="shared" si="4"/>
        <v>—</v>
      </c>
      <c r="B91" s="31"/>
      <c r="C91" s="11"/>
      <c r="D91" s="11"/>
      <c r="E91" s="32"/>
      <c r="F91" s="11"/>
      <c r="G91" s="11"/>
      <c r="H91" s="33"/>
      <c r="I91" s="33"/>
      <c r="J91" s="33"/>
      <c r="K91" s="33"/>
      <c r="L91" s="33"/>
      <c r="M91" s="33"/>
      <c r="N91" s="33"/>
      <c r="O91" s="33"/>
      <c r="P91" s="33"/>
      <c r="Q91" s="33"/>
      <c r="R91" s="26" t="str">
        <f>IF($T91="","",IF($D91="","Who paid?",IF(SUMPRODUCT((Setup!$B$21:$B$30=$D91)*1)=0,"Payer is not in the member list on Setup",IF($E91="","Amount missing — type the number in column E",IF(NOT(ISNUMBER($E91)),"Amount must be a plain number — no currency symbol, no text",IF(AND($T91="Custom units",$AE91&lt;=0),"Custom units: nobody has units on this row — type a number for at least one person",IF($AE91&lt;=0,"Nobody shares this row — check the person columns H–Q, and the Weight / Nights columns on Setup",IF(AND($T91="Exact amounts",ABS($AE91-$AG91)&gt;0.01),"Exact amounts do not add up to the amount","OK"))))))))</f>
        <v/>
      </c>
      <c r="S91" s="27" t="str">
        <f>IFERROR(IF(OR($T91="",$C$4=""),"—",ROUND($AG91*INDEX($U91:$AD91,1,MATCH($C$4,Setup!$B$21:$B$30,0))/$AF91,2)),"—")</f>
        <v>—</v>
      </c>
      <c r="T91" s="28" t="str">
        <f>IF(AND($C91="",$D91="",NOT(ISNUMBER($E91))),"",IF($G91="",IF(Setup!$C$17="","Equal",Setup!$C$17),$G91))</f>
        <v/>
      </c>
      <c r="U91" s="29">
        <f>IF($T91="",0,IF(OR(Setup!$B$21="",Setup!$C$21="No"),0,IF(ISNUMBER(H91),H91,IF($T91="Weights",IF(ISNUMBER(Setup!$D$21),Setup!$D$21,0),IF($T91="Nights",IF(ISNUMBER(Setup!$E$21),Setup!$E$21,0),IF(OR($T91="Exact amounts",$T91="Custom units"),0,1))))))</f>
        <v>0</v>
      </c>
      <c r="V91" s="29">
        <f>IF($T91="",0,IF(OR(Setup!$B$22="",Setup!$C$22="No"),0,IF(ISNUMBER(I91),I91,IF($T91="Weights",IF(ISNUMBER(Setup!$D$22),Setup!$D$22,0),IF($T91="Nights",IF(ISNUMBER(Setup!$E$22),Setup!$E$22,0),IF(OR($T91="Exact amounts",$T91="Custom units"),0,1))))))</f>
        <v>0</v>
      </c>
      <c r="W91" s="29">
        <f>IF($T91="",0,IF(OR(Setup!$B$23="",Setup!$C$23="No"),0,IF(ISNUMBER(J91),J91,IF($T91="Weights",IF(ISNUMBER(Setup!$D$23),Setup!$D$23,0),IF($T91="Nights",IF(ISNUMBER(Setup!$E$23),Setup!$E$23,0),IF(OR($T91="Exact amounts",$T91="Custom units"),0,1))))))</f>
        <v>0</v>
      </c>
      <c r="X91" s="29">
        <f>IF($T91="",0,IF(OR(Setup!$B$24="",Setup!$C$24="No"),0,IF(ISNUMBER(K91),K91,IF($T91="Weights",IF(ISNUMBER(Setup!$D$24),Setup!$D$24,0),IF($T91="Nights",IF(ISNUMBER(Setup!$E$24),Setup!$E$24,0),IF(OR($T91="Exact amounts",$T91="Custom units"),0,1))))))</f>
        <v>0</v>
      </c>
      <c r="Y91" s="29">
        <f>IF($T91="",0,IF(OR(Setup!$B$25="",Setup!$C$25="No"),0,IF(ISNUMBER(L91),L91,IF($T91="Weights",IF(ISNUMBER(Setup!$D$25),Setup!$D$25,0),IF($T91="Nights",IF(ISNUMBER(Setup!$E$25),Setup!$E$25,0),IF(OR($T91="Exact amounts",$T91="Custom units"),0,1))))))</f>
        <v>0</v>
      </c>
      <c r="Z91" s="29">
        <f>IF($T91="",0,IF(OR(Setup!$B$26="",Setup!$C$26="No"),0,IF(ISNUMBER(M91),M91,IF($T91="Weights",IF(ISNUMBER(Setup!$D$26),Setup!$D$26,0),IF($T91="Nights",IF(ISNUMBER(Setup!$E$26),Setup!$E$26,0),IF(OR($T91="Exact amounts",$T91="Custom units"),0,1))))))</f>
        <v>0</v>
      </c>
      <c r="AA91" s="29">
        <f>IF($T91="",0,IF(OR(Setup!$B$27="",Setup!$C$27="No"),0,IF(ISNUMBER(N91),N91,IF($T91="Weights",IF(ISNUMBER(Setup!$D$27),Setup!$D$27,0),IF($T91="Nights",IF(ISNUMBER(Setup!$E$27),Setup!$E$27,0),IF(OR($T91="Exact amounts",$T91="Custom units"),0,1))))))</f>
        <v>0</v>
      </c>
      <c r="AB91" s="29">
        <f>IF($T91="",0,IF(OR(Setup!$B$28="",Setup!$C$28="No"),0,IF(ISNUMBER(O91),O91,IF($T91="Weights",IF(ISNUMBER(Setup!$D$28),Setup!$D$28,0),IF($T91="Nights",IF(ISNUMBER(Setup!$E$28),Setup!$E$28,0),IF(OR($T91="Exact amounts",$T91="Custom units"),0,1))))))</f>
        <v>0</v>
      </c>
      <c r="AC91" s="29">
        <f>IF($T91="",0,IF(OR(Setup!$B$29="",Setup!$C$29="No"),0,IF(ISNUMBER(P91),P91,IF($T91="Weights",IF(ISNUMBER(Setup!$D$29),Setup!$D$29,0),IF($T91="Nights",IF(ISNUMBER(Setup!$E$29),Setup!$E$29,0),IF(OR($T91="Exact amounts",$T91="Custom units"),0,1))))))</f>
        <v>0</v>
      </c>
      <c r="AD91" s="29">
        <f>IF($T91="",0,IF(OR(Setup!$B$30="",Setup!$C$30="No"),0,IF(ISNUMBER(Q91),Q91,IF($T91="Weights",IF(ISNUMBER(Setup!$D$30),Setup!$D$30,0),IF($T91="Nights",IF(ISNUMBER(Setup!$E$30),Setup!$E$30,0),IF(OR($T91="Exact amounts",$T91="Custom units"),0,1))))))</f>
        <v>0</v>
      </c>
      <c r="AE91" s="29">
        <f t="shared" si="5"/>
        <v>0</v>
      </c>
      <c r="AF91" s="30">
        <f t="shared" si="6"/>
        <v>1</v>
      </c>
      <c r="AG91" s="29">
        <f t="shared" si="7"/>
        <v>0</v>
      </c>
    </row>
    <row r="92" spans="1:33" ht="16" x14ac:dyDescent="0.2">
      <c r="A92" s="22" t="str">
        <f t="shared" si="4"/>
        <v>—</v>
      </c>
      <c r="B92" s="23"/>
      <c r="C92" s="16"/>
      <c r="D92" s="16"/>
      <c r="E92" s="24"/>
      <c r="F92" s="16"/>
      <c r="G92" s="16"/>
      <c r="H92" s="25"/>
      <c r="I92" s="25"/>
      <c r="J92" s="25"/>
      <c r="K92" s="25"/>
      <c r="L92" s="25"/>
      <c r="M92" s="25"/>
      <c r="N92" s="25"/>
      <c r="O92" s="25"/>
      <c r="P92" s="25"/>
      <c r="Q92" s="25"/>
      <c r="R92" s="26" t="str">
        <f>IF($T92="","",IF($D92="","Who paid?",IF(SUMPRODUCT((Setup!$B$21:$B$30=$D92)*1)=0,"Payer is not in the member list on Setup",IF($E92="","Amount missing — type the number in column E",IF(NOT(ISNUMBER($E92)),"Amount must be a plain number — no currency symbol, no text",IF(AND($T92="Custom units",$AE92&lt;=0),"Custom units: nobody has units on this row — type a number for at least one person",IF($AE92&lt;=0,"Nobody shares this row — check the person columns H–Q, and the Weight / Nights columns on Setup",IF(AND($T92="Exact amounts",ABS($AE92-$AG92)&gt;0.01),"Exact amounts do not add up to the amount","OK"))))))))</f>
        <v/>
      </c>
      <c r="S92" s="27" t="str">
        <f>IFERROR(IF(OR($T92="",$C$4=""),"—",ROUND($AG92*INDEX($U92:$AD92,1,MATCH($C$4,Setup!$B$21:$B$30,0))/$AF92,2)),"—")</f>
        <v>—</v>
      </c>
      <c r="T92" s="28" t="str">
        <f>IF(AND($C92="",$D92="",NOT(ISNUMBER($E92))),"",IF($G92="",IF(Setup!$C$17="","Equal",Setup!$C$17),$G92))</f>
        <v/>
      </c>
      <c r="U92" s="29">
        <f>IF($T92="",0,IF(OR(Setup!$B$21="",Setup!$C$21="No"),0,IF(ISNUMBER(H92),H92,IF($T92="Weights",IF(ISNUMBER(Setup!$D$21),Setup!$D$21,0),IF($T92="Nights",IF(ISNUMBER(Setup!$E$21),Setup!$E$21,0),IF(OR($T92="Exact amounts",$T92="Custom units"),0,1))))))</f>
        <v>0</v>
      </c>
      <c r="V92" s="29">
        <f>IF($T92="",0,IF(OR(Setup!$B$22="",Setup!$C$22="No"),0,IF(ISNUMBER(I92),I92,IF($T92="Weights",IF(ISNUMBER(Setup!$D$22),Setup!$D$22,0),IF($T92="Nights",IF(ISNUMBER(Setup!$E$22),Setup!$E$22,0),IF(OR($T92="Exact amounts",$T92="Custom units"),0,1))))))</f>
        <v>0</v>
      </c>
      <c r="W92" s="29">
        <f>IF($T92="",0,IF(OR(Setup!$B$23="",Setup!$C$23="No"),0,IF(ISNUMBER(J92),J92,IF($T92="Weights",IF(ISNUMBER(Setup!$D$23),Setup!$D$23,0),IF($T92="Nights",IF(ISNUMBER(Setup!$E$23),Setup!$E$23,0),IF(OR($T92="Exact amounts",$T92="Custom units"),0,1))))))</f>
        <v>0</v>
      </c>
      <c r="X92" s="29">
        <f>IF($T92="",0,IF(OR(Setup!$B$24="",Setup!$C$24="No"),0,IF(ISNUMBER(K92),K92,IF($T92="Weights",IF(ISNUMBER(Setup!$D$24),Setup!$D$24,0),IF($T92="Nights",IF(ISNUMBER(Setup!$E$24),Setup!$E$24,0),IF(OR($T92="Exact amounts",$T92="Custom units"),0,1))))))</f>
        <v>0</v>
      </c>
      <c r="Y92" s="29">
        <f>IF($T92="",0,IF(OR(Setup!$B$25="",Setup!$C$25="No"),0,IF(ISNUMBER(L92),L92,IF($T92="Weights",IF(ISNUMBER(Setup!$D$25),Setup!$D$25,0),IF($T92="Nights",IF(ISNUMBER(Setup!$E$25),Setup!$E$25,0),IF(OR($T92="Exact amounts",$T92="Custom units"),0,1))))))</f>
        <v>0</v>
      </c>
      <c r="Z92" s="29">
        <f>IF($T92="",0,IF(OR(Setup!$B$26="",Setup!$C$26="No"),0,IF(ISNUMBER(M92),M92,IF($T92="Weights",IF(ISNUMBER(Setup!$D$26),Setup!$D$26,0),IF($T92="Nights",IF(ISNUMBER(Setup!$E$26),Setup!$E$26,0),IF(OR($T92="Exact amounts",$T92="Custom units"),0,1))))))</f>
        <v>0</v>
      </c>
      <c r="AA92" s="29">
        <f>IF($T92="",0,IF(OR(Setup!$B$27="",Setup!$C$27="No"),0,IF(ISNUMBER(N92),N92,IF($T92="Weights",IF(ISNUMBER(Setup!$D$27),Setup!$D$27,0),IF($T92="Nights",IF(ISNUMBER(Setup!$E$27),Setup!$E$27,0),IF(OR($T92="Exact amounts",$T92="Custom units"),0,1))))))</f>
        <v>0</v>
      </c>
      <c r="AB92" s="29">
        <f>IF($T92="",0,IF(OR(Setup!$B$28="",Setup!$C$28="No"),0,IF(ISNUMBER(O92),O92,IF($T92="Weights",IF(ISNUMBER(Setup!$D$28),Setup!$D$28,0),IF($T92="Nights",IF(ISNUMBER(Setup!$E$28),Setup!$E$28,0),IF(OR($T92="Exact amounts",$T92="Custom units"),0,1))))))</f>
        <v>0</v>
      </c>
      <c r="AC92" s="29">
        <f>IF($T92="",0,IF(OR(Setup!$B$29="",Setup!$C$29="No"),0,IF(ISNUMBER(P92),P92,IF($T92="Weights",IF(ISNUMBER(Setup!$D$29),Setup!$D$29,0),IF($T92="Nights",IF(ISNUMBER(Setup!$E$29),Setup!$E$29,0),IF(OR($T92="Exact amounts",$T92="Custom units"),0,1))))))</f>
        <v>0</v>
      </c>
      <c r="AD92" s="29">
        <f>IF($T92="",0,IF(OR(Setup!$B$30="",Setup!$C$30="No"),0,IF(ISNUMBER(Q92),Q92,IF($T92="Weights",IF(ISNUMBER(Setup!$D$30),Setup!$D$30,0),IF($T92="Nights",IF(ISNUMBER(Setup!$E$30),Setup!$E$30,0),IF(OR($T92="Exact amounts",$T92="Custom units"),0,1))))))</f>
        <v>0</v>
      </c>
      <c r="AE92" s="29">
        <f t="shared" si="5"/>
        <v>0</v>
      </c>
      <c r="AF92" s="30">
        <f t="shared" si="6"/>
        <v>1</v>
      </c>
      <c r="AG92" s="29">
        <f t="shared" si="7"/>
        <v>0</v>
      </c>
    </row>
    <row r="93" spans="1:33" ht="16" x14ac:dyDescent="0.2">
      <c r="A93" s="22" t="str">
        <f t="shared" si="4"/>
        <v>—</v>
      </c>
      <c r="B93" s="31"/>
      <c r="C93" s="11"/>
      <c r="D93" s="11"/>
      <c r="E93" s="32"/>
      <c r="F93" s="11"/>
      <c r="G93" s="11"/>
      <c r="H93" s="33"/>
      <c r="I93" s="33"/>
      <c r="J93" s="33"/>
      <c r="K93" s="33"/>
      <c r="L93" s="33"/>
      <c r="M93" s="33"/>
      <c r="N93" s="33"/>
      <c r="O93" s="33"/>
      <c r="P93" s="33"/>
      <c r="Q93" s="33"/>
      <c r="R93" s="26" t="str">
        <f>IF($T93="","",IF($D93="","Who paid?",IF(SUMPRODUCT((Setup!$B$21:$B$30=$D93)*1)=0,"Payer is not in the member list on Setup",IF($E93="","Amount missing — type the number in column E",IF(NOT(ISNUMBER($E93)),"Amount must be a plain number — no currency symbol, no text",IF(AND($T93="Custom units",$AE93&lt;=0),"Custom units: nobody has units on this row — type a number for at least one person",IF($AE93&lt;=0,"Nobody shares this row — check the person columns H–Q, and the Weight / Nights columns on Setup",IF(AND($T93="Exact amounts",ABS($AE93-$AG93)&gt;0.01),"Exact amounts do not add up to the amount","OK"))))))))</f>
        <v/>
      </c>
      <c r="S93" s="27" t="str">
        <f>IFERROR(IF(OR($T93="",$C$4=""),"—",ROUND($AG93*INDEX($U93:$AD93,1,MATCH($C$4,Setup!$B$21:$B$30,0))/$AF93,2)),"—")</f>
        <v>—</v>
      </c>
      <c r="T93" s="28" t="str">
        <f>IF(AND($C93="",$D93="",NOT(ISNUMBER($E93))),"",IF($G93="",IF(Setup!$C$17="","Equal",Setup!$C$17),$G93))</f>
        <v/>
      </c>
      <c r="U93" s="29">
        <f>IF($T93="",0,IF(OR(Setup!$B$21="",Setup!$C$21="No"),0,IF(ISNUMBER(H93),H93,IF($T93="Weights",IF(ISNUMBER(Setup!$D$21),Setup!$D$21,0),IF($T93="Nights",IF(ISNUMBER(Setup!$E$21),Setup!$E$21,0),IF(OR($T93="Exact amounts",$T93="Custom units"),0,1))))))</f>
        <v>0</v>
      </c>
      <c r="V93" s="29">
        <f>IF($T93="",0,IF(OR(Setup!$B$22="",Setup!$C$22="No"),0,IF(ISNUMBER(I93),I93,IF($T93="Weights",IF(ISNUMBER(Setup!$D$22),Setup!$D$22,0),IF($T93="Nights",IF(ISNUMBER(Setup!$E$22),Setup!$E$22,0),IF(OR($T93="Exact amounts",$T93="Custom units"),0,1))))))</f>
        <v>0</v>
      </c>
      <c r="W93" s="29">
        <f>IF($T93="",0,IF(OR(Setup!$B$23="",Setup!$C$23="No"),0,IF(ISNUMBER(J93),J93,IF($T93="Weights",IF(ISNUMBER(Setup!$D$23),Setup!$D$23,0),IF($T93="Nights",IF(ISNUMBER(Setup!$E$23),Setup!$E$23,0),IF(OR($T93="Exact amounts",$T93="Custom units"),0,1))))))</f>
        <v>0</v>
      </c>
      <c r="X93" s="29">
        <f>IF($T93="",0,IF(OR(Setup!$B$24="",Setup!$C$24="No"),0,IF(ISNUMBER(K93),K93,IF($T93="Weights",IF(ISNUMBER(Setup!$D$24),Setup!$D$24,0),IF($T93="Nights",IF(ISNUMBER(Setup!$E$24),Setup!$E$24,0),IF(OR($T93="Exact amounts",$T93="Custom units"),0,1))))))</f>
        <v>0</v>
      </c>
      <c r="Y93" s="29">
        <f>IF($T93="",0,IF(OR(Setup!$B$25="",Setup!$C$25="No"),0,IF(ISNUMBER(L93),L93,IF($T93="Weights",IF(ISNUMBER(Setup!$D$25),Setup!$D$25,0),IF($T93="Nights",IF(ISNUMBER(Setup!$E$25),Setup!$E$25,0),IF(OR($T93="Exact amounts",$T93="Custom units"),0,1))))))</f>
        <v>0</v>
      </c>
      <c r="Z93" s="29">
        <f>IF($T93="",0,IF(OR(Setup!$B$26="",Setup!$C$26="No"),0,IF(ISNUMBER(M93),M93,IF($T93="Weights",IF(ISNUMBER(Setup!$D$26),Setup!$D$26,0),IF($T93="Nights",IF(ISNUMBER(Setup!$E$26),Setup!$E$26,0),IF(OR($T93="Exact amounts",$T93="Custom units"),0,1))))))</f>
        <v>0</v>
      </c>
      <c r="AA93" s="29">
        <f>IF($T93="",0,IF(OR(Setup!$B$27="",Setup!$C$27="No"),0,IF(ISNUMBER(N93),N93,IF($T93="Weights",IF(ISNUMBER(Setup!$D$27),Setup!$D$27,0),IF($T93="Nights",IF(ISNUMBER(Setup!$E$27),Setup!$E$27,0),IF(OR($T93="Exact amounts",$T93="Custom units"),0,1))))))</f>
        <v>0</v>
      </c>
      <c r="AB93" s="29">
        <f>IF($T93="",0,IF(OR(Setup!$B$28="",Setup!$C$28="No"),0,IF(ISNUMBER(O93),O93,IF($T93="Weights",IF(ISNUMBER(Setup!$D$28),Setup!$D$28,0),IF($T93="Nights",IF(ISNUMBER(Setup!$E$28),Setup!$E$28,0),IF(OR($T93="Exact amounts",$T93="Custom units"),0,1))))))</f>
        <v>0</v>
      </c>
      <c r="AC93" s="29">
        <f>IF($T93="",0,IF(OR(Setup!$B$29="",Setup!$C$29="No"),0,IF(ISNUMBER(P93),P93,IF($T93="Weights",IF(ISNUMBER(Setup!$D$29),Setup!$D$29,0),IF($T93="Nights",IF(ISNUMBER(Setup!$E$29),Setup!$E$29,0),IF(OR($T93="Exact amounts",$T93="Custom units"),0,1))))))</f>
        <v>0</v>
      </c>
      <c r="AD93" s="29">
        <f>IF($T93="",0,IF(OR(Setup!$B$30="",Setup!$C$30="No"),0,IF(ISNUMBER(Q93),Q93,IF($T93="Weights",IF(ISNUMBER(Setup!$D$30),Setup!$D$30,0),IF($T93="Nights",IF(ISNUMBER(Setup!$E$30),Setup!$E$30,0),IF(OR($T93="Exact amounts",$T93="Custom units"),0,1))))))</f>
        <v>0</v>
      </c>
      <c r="AE93" s="29">
        <f t="shared" si="5"/>
        <v>0</v>
      </c>
      <c r="AF93" s="30">
        <f t="shared" si="6"/>
        <v>1</v>
      </c>
      <c r="AG93" s="29">
        <f t="shared" si="7"/>
        <v>0</v>
      </c>
    </row>
    <row r="94" spans="1:33" ht="16" x14ac:dyDescent="0.2">
      <c r="A94" s="22" t="str">
        <f t="shared" si="4"/>
        <v>—</v>
      </c>
      <c r="B94" s="23"/>
      <c r="C94" s="16"/>
      <c r="D94" s="16"/>
      <c r="E94" s="24"/>
      <c r="F94" s="16"/>
      <c r="G94" s="16"/>
      <c r="H94" s="25"/>
      <c r="I94" s="25"/>
      <c r="J94" s="25"/>
      <c r="K94" s="25"/>
      <c r="L94" s="25"/>
      <c r="M94" s="25"/>
      <c r="N94" s="25"/>
      <c r="O94" s="25"/>
      <c r="P94" s="25"/>
      <c r="Q94" s="25"/>
      <c r="R94" s="26" t="str">
        <f>IF($T94="","",IF($D94="","Who paid?",IF(SUMPRODUCT((Setup!$B$21:$B$30=$D94)*1)=0,"Payer is not in the member list on Setup",IF($E94="","Amount missing — type the number in column E",IF(NOT(ISNUMBER($E94)),"Amount must be a plain number — no currency symbol, no text",IF(AND($T94="Custom units",$AE94&lt;=0),"Custom units: nobody has units on this row — type a number for at least one person",IF($AE94&lt;=0,"Nobody shares this row — check the person columns H–Q, and the Weight / Nights columns on Setup",IF(AND($T94="Exact amounts",ABS($AE94-$AG94)&gt;0.01),"Exact amounts do not add up to the amount","OK"))))))))</f>
        <v/>
      </c>
      <c r="S94" s="27" t="str">
        <f>IFERROR(IF(OR($T94="",$C$4=""),"—",ROUND($AG94*INDEX($U94:$AD94,1,MATCH($C$4,Setup!$B$21:$B$30,0))/$AF94,2)),"—")</f>
        <v>—</v>
      </c>
      <c r="T94" s="28" t="str">
        <f>IF(AND($C94="",$D94="",NOT(ISNUMBER($E94))),"",IF($G94="",IF(Setup!$C$17="","Equal",Setup!$C$17),$G94))</f>
        <v/>
      </c>
      <c r="U94" s="29">
        <f>IF($T94="",0,IF(OR(Setup!$B$21="",Setup!$C$21="No"),0,IF(ISNUMBER(H94),H94,IF($T94="Weights",IF(ISNUMBER(Setup!$D$21),Setup!$D$21,0),IF($T94="Nights",IF(ISNUMBER(Setup!$E$21),Setup!$E$21,0),IF(OR($T94="Exact amounts",$T94="Custom units"),0,1))))))</f>
        <v>0</v>
      </c>
      <c r="V94" s="29">
        <f>IF($T94="",0,IF(OR(Setup!$B$22="",Setup!$C$22="No"),0,IF(ISNUMBER(I94),I94,IF($T94="Weights",IF(ISNUMBER(Setup!$D$22),Setup!$D$22,0),IF($T94="Nights",IF(ISNUMBER(Setup!$E$22),Setup!$E$22,0),IF(OR($T94="Exact amounts",$T94="Custom units"),0,1))))))</f>
        <v>0</v>
      </c>
      <c r="W94" s="29">
        <f>IF($T94="",0,IF(OR(Setup!$B$23="",Setup!$C$23="No"),0,IF(ISNUMBER(J94),J94,IF($T94="Weights",IF(ISNUMBER(Setup!$D$23),Setup!$D$23,0),IF($T94="Nights",IF(ISNUMBER(Setup!$E$23),Setup!$E$23,0),IF(OR($T94="Exact amounts",$T94="Custom units"),0,1))))))</f>
        <v>0</v>
      </c>
      <c r="X94" s="29">
        <f>IF($T94="",0,IF(OR(Setup!$B$24="",Setup!$C$24="No"),0,IF(ISNUMBER(K94),K94,IF($T94="Weights",IF(ISNUMBER(Setup!$D$24),Setup!$D$24,0),IF($T94="Nights",IF(ISNUMBER(Setup!$E$24),Setup!$E$24,0),IF(OR($T94="Exact amounts",$T94="Custom units"),0,1))))))</f>
        <v>0</v>
      </c>
      <c r="Y94" s="29">
        <f>IF($T94="",0,IF(OR(Setup!$B$25="",Setup!$C$25="No"),0,IF(ISNUMBER(L94),L94,IF($T94="Weights",IF(ISNUMBER(Setup!$D$25),Setup!$D$25,0),IF($T94="Nights",IF(ISNUMBER(Setup!$E$25),Setup!$E$25,0),IF(OR($T94="Exact amounts",$T94="Custom units"),0,1))))))</f>
        <v>0</v>
      </c>
      <c r="Z94" s="29">
        <f>IF($T94="",0,IF(OR(Setup!$B$26="",Setup!$C$26="No"),0,IF(ISNUMBER(M94),M94,IF($T94="Weights",IF(ISNUMBER(Setup!$D$26),Setup!$D$26,0),IF($T94="Nights",IF(ISNUMBER(Setup!$E$26),Setup!$E$26,0),IF(OR($T94="Exact amounts",$T94="Custom units"),0,1))))))</f>
        <v>0</v>
      </c>
      <c r="AA94" s="29">
        <f>IF($T94="",0,IF(OR(Setup!$B$27="",Setup!$C$27="No"),0,IF(ISNUMBER(N94),N94,IF($T94="Weights",IF(ISNUMBER(Setup!$D$27),Setup!$D$27,0),IF($T94="Nights",IF(ISNUMBER(Setup!$E$27),Setup!$E$27,0),IF(OR($T94="Exact amounts",$T94="Custom units"),0,1))))))</f>
        <v>0</v>
      </c>
      <c r="AB94" s="29">
        <f>IF($T94="",0,IF(OR(Setup!$B$28="",Setup!$C$28="No"),0,IF(ISNUMBER(O94),O94,IF($T94="Weights",IF(ISNUMBER(Setup!$D$28),Setup!$D$28,0),IF($T94="Nights",IF(ISNUMBER(Setup!$E$28),Setup!$E$28,0),IF(OR($T94="Exact amounts",$T94="Custom units"),0,1))))))</f>
        <v>0</v>
      </c>
      <c r="AC94" s="29">
        <f>IF($T94="",0,IF(OR(Setup!$B$29="",Setup!$C$29="No"),0,IF(ISNUMBER(P94),P94,IF($T94="Weights",IF(ISNUMBER(Setup!$D$29),Setup!$D$29,0),IF($T94="Nights",IF(ISNUMBER(Setup!$E$29),Setup!$E$29,0),IF(OR($T94="Exact amounts",$T94="Custom units"),0,1))))))</f>
        <v>0</v>
      </c>
      <c r="AD94" s="29">
        <f>IF($T94="",0,IF(OR(Setup!$B$30="",Setup!$C$30="No"),0,IF(ISNUMBER(Q94),Q94,IF($T94="Weights",IF(ISNUMBER(Setup!$D$30),Setup!$D$30,0),IF($T94="Nights",IF(ISNUMBER(Setup!$E$30),Setup!$E$30,0),IF(OR($T94="Exact amounts",$T94="Custom units"),0,1))))))</f>
        <v>0</v>
      </c>
      <c r="AE94" s="29">
        <f t="shared" si="5"/>
        <v>0</v>
      </c>
      <c r="AF94" s="30">
        <f t="shared" si="6"/>
        <v>1</v>
      </c>
      <c r="AG94" s="29">
        <f t="shared" si="7"/>
        <v>0</v>
      </c>
    </row>
    <row r="95" spans="1:33" ht="16" x14ac:dyDescent="0.2">
      <c r="A95" s="22" t="str">
        <f t="shared" si="4"/>
        <v>—</v>
      </c>
      <c r="B95" s="31"/>
      <c r="C95" s="11"/>
      <c r="D95" s="11"/>
      <c r="E95" s="32"/>
      <c r="F95" s="11"/>
      <c r="G95" s="11"/>
      <c r="H95" s="33"/>
      <c r="I95" s="33"/>
      <c r="J95" s="33"/>
      <c r="K95" s="33"/>
      <c r="L95" s="33"/>
      <c r="M95" s="33"/>
      <c r="N95" s="33"/>
      <c r="O95" s="33"/>
      <c r="P95" s="33"/>
      <c r="Q95" s="33"/>
      <c r="R95" s="26" t="str">
        <f>IF($T95="","",IF($D95="","Who paid?",IF(SUMPRODUCT((Setup!$B$21:$B$30=$D95)*1)=0,"Payer is not in the member list on Setup",IF($E95="","Amount missing — type the number in column E",IF(NOT(ISNUMBER($E95)),"Amount must be a plain number — no currency symbol, no text",IF(AND($T95="Custom units",$AE95&lt;=0),"Custom units: nobody has units on this row — type a number for at least one person",IF($AE95&lt;=0,"Nobody shares this row — check the person columns H–Q, and the Weight / Nights columns on Setup",IF(AND($T95="Exact amounts",ABS($AE95-$AG95)&gt;0.01),"Exact amounts do not add up to the amount","OK"))))))))</f>
        <v/>
      </c>
      <c r="S95" s="27" t="str">
        <f>IFERROR(IF(OR($T95="",$C$4=""),"—",ROUND($AG95*INDEX($U95:$AD95,1,MATCH($C$4,Setup!$B$21:$B$30,0))/$AF95,2)),"—")</f>
        <v>—</v>
      </c>
      <c r="T95" s="28" t="str">
        <f>IF(AND($C95="",$D95="",NOT(ISNUMBER($E95))),"",IF($G95="",IF(Setup!$C$17="","Equal",Setup!$C$17),$G95))</f>
        <v/>
      </c>
      <c r="U95" s="29">
        <f>IF($T95="",0,IF(OR(Setup!$B$21="",Setup!$C$21="No"),0,IF(ISNUMBER(H95),H95,IF($T95="Weights",IF(ISNUMBER(Setup!$D$21),Setup!$D$21,0),IF($T95="Nights",IF(ISNUMBER(Setup!$E$21),Setup!$E$21,0),IF(OR($T95="Exact amounts",$T95="Custom units"),0,1))))))</f>
        <v>0</v>
      </c>
      <c r="V95" s="29">
        <f>IF($T95="",0,IF(OR(Setup!$B$22="",Setup!$C$22="No"),0,IF(ISNUMBER(I95),I95,IF($T95="Weights",IF(ISNUMBER(Setup!$D$22),Setup!$D$22,0),IF($T95="Nights",IF(ISNUMBER(Setup!$E$22),Setup!$E$22,0),IF(OR($T95="Exact amounts",$T95="Custom units"),0,1))))))</f>
        <v>0</v>
      </c>
      <c r="W95" s="29">
        <f>IF($T95="",0,IF(OR(Setup!$B$23="",Setup!$C$23="No"),0,IF(ISNUMBER(J95),J95,IF($T95="Weights",IF(ISNUMBER(Setup!$D$23),Setup!$D$23,0),IF($T95="Nights",IF(ISNUMBER(Setup!$E$23),Setup!$E$23,0),IF(OR($T95="Exact amounts",$T95="Custom units"),0,1))))))</f>
        <v>0</v>
      </c>
      <c r="X95" s="29">
        <f>IF($T95="",0,IF(OR(Setup!$B$24="",Setup!$C$24="No"),0,IF(ISNUMBER(K95),K95,IF($T95="Weights",IF(ISNUMBER(Setup!$D$24),Setup!$D$24,0),IF($T95="Nights",IF(ISNUMBER(Setup!$E$24),Setup!$E$24,0),IF(OR($T95="Exact amounts",$T95="Custom units"),0,1))))))</f>
        <v>0</v>
      </c>
      <c r="Y95" s="29">
        <f>IF($T95="",0,IF(OR(Setup!$B$25="",Setup!$C$25="No"),0,IF(ISNUMBER(L95),L95,IF($T95="Weights",IF(ISNUMBER(Setup!$D$25),Setup!$D$25,0),IF($T95="Nights",IF(ISNUMBER(Setup!$E$25),Setup!$E$25,0),IF(OR($T95="Exact amounts",$T95="Custom units"),0,1))))))</f>
        <v>0</v>
      </c>
      <c r="Z95" s="29">
        <f>IF($T95="",0,IF(OR(Setup!$B$26="",Setup!$C$26="No"),0,IF(ISNUMBER(M95),M95,IF($T95="Weights",IF(ISNUMBER(Setup!$D$26),Setup!$D$26,0),IF($T95="Nights",IF(ISNUMBER(Setup!$E$26),Setup!$E$26,0),IF(OR($T95="Exact amounts",$T95="Custom units"),0,1))))))</f>
        <v>0</v>
      </c>
      <c r="AA95" s="29">
        <f>IF($T95="",0,IF(OR(Setup!$B$27="",Setup!$C$27="No"),0,IF(ISNUMBER(N95),N95,IF($T95="Weights",IF(ISNUMBER(Setup!$D$27),Setup!$D$27,0),IF($T95="Nights",IF(ISNUMBER(Setup!$E$27),Setup!$E$27,0),IF(OR($T95="Exact amounts",$T95="Custom units"),0,1))))))</f>
        <v>0</v>
      </c>
      <c r="AB95" s="29">
        <f>IF($T95="",0,IF(OR(Setup!$B$28="",Setup!$C$28="No"),0,IF(ISNUMBER(O95),O95,IF($T95="Weights",IF(ISNUMBER(Setup!$D$28),Setup!$D$28,0),IF($T95="Nights",IF(ISNUMBER(Setup!$E$28),Setup!$E$28,0),IF(OR($T95="Exact amounts",$T95="Custom units"),0,1))))))</f>
        <v>0</v>
      </c>
      <c r="AC95" s="29">
        <f>IF($T95="",0,IF(OR(Setup!$B$29="",Setup!$C$29="No"),0,IF(ISNUMBER(P95),P95,IF($T95="Weights",IF(ISNUMBER(Setup!$D$29),Setup!$D$29,0),IF($T95="Nights",IF(ISNUMBER(Setup!$E$29),Setup!$E$29,0),IF(OR($T95="Exact amounts",$T95="Custom units"),0,1))))))</f>
        <v>0</v>
      </c>
      <c r="AD95" s="29">
        <f>IF($T95="",0,IF(OR(Setup!$B$30="",Setup!$C$30="No"),0,IF(ISNUMBER(Q95),Q95,IF($T95="Weights",IF(ISNUMBER(Setup!$D$30),Setup!$D$30,0),IF($T95="Nights",IF(ISNUMBER(Setup!$E$30),Setup!$E$30,0),IF(OR($T95="Exact amounts",$T95="Custom units"),0,1))))))</f>
        <v>0</v>
      </c>
      <c r="AE95" s="29">
        <f t="shared" si="5"/>
        <v>0</v>
      </c>
      <c r="AF95" s="30">
        <f t="shared" si="6"/>
        <v>1</v>
      </c>
      <c r="AG95" s="29">
        <f t="shared" si="7"/>
        <v>0</v>
      </c>
    </row>
    <row r="96" spans="1:33" ht="16" x14ac:dyDescent="0.2">
      <c r="A96" s="22" t="str">
        <f t="shared" si="4"/>
        <v>—</v>
      </c>
      <c r="B96" s="23"/>
      <c r="C96" s="16"/>
      <c r="D96" s="16"/>
      <c r="E96" s="24"/>
      <c r="F96" s="16"/>
      <c r="G96" s="16"/>
      <c r="H96" s="25"/>
      <c r="I96" s="25"/>
      <c r="J96" s="25"/>
      <c r="K96" s="25"/>
      <c r="L96" s="25"/>
      <c r="M96" s="25"/>
      <c r="N96" s="25"/>
      <c r="O96" s="25"/>
      <c r="P96" s="25"/>
      <c r="Q96" s="25"/>
      <c r="R96" s="26" t="str">
        <f>IF($T96="","",IF($D96="","Who paid?",IF(SUMPRODUCT((Setup!$B$21:$B$30=$D96)*1)=0,"Payer is not in the member list on Setup",IF($E96="","Amount missing — type the number in column E",IF(NOT(ISNUMBER($E96)),"Amount must be a plain number — no currency symbol, no text",IF(AND($T96="Custom units",$AE96&lt;=0),"Custom units: nobody has units on this row — type a number for at least one person",IF($AE96&lt;=0,"Nobody shares this row — check the person columns H–Q, and the Weight / Nights columns on Setup",IF(AND($T96="Exact amounts",ABS($AE96-$AG96)&gt;0.01),"Exact amounts do not add up to the amount","OK"))))))))</f>
        <v/>
      </c>
      <c r="S96" s="27" t="str">
        <f>IFERROR(IF(OR($T96="",$C$4=""),"—",ROUND($AG96*INDEX($U96:$AD96,1,MATCH($C$4,Setup!$B$21:$B$30,0))/$AF96,2)),"—")</f>
        <v>—</v>
      </c>
      <c r="T96" s="28" t="str">
        <f>IF(AND($C96="",$D96="",NOT(ISNUMBER($E96))),"",IF($G96="",IF(Setup!$C$17="","Equal",Setup!$C$17),$G96))</f>
        <v/>
      </c>
      <c r="U96" s="29">
        <f>IF($T96="",0,IF(OR(Setup!$B$21="",Setup!$C$21="No"),0,IF(ISNUMBER(H96),H96,IF($T96="Weights",IF(ISNUMBER(Setup!$D$21),Setup!$D$21,0),IF($T96="Nights",IF(ISNUMBER(Setup!$E$21),Setup!$E$21,0),IF(OR($T96="Exact amounts",$T96="Custom units"),0,1))))))</f>
        <v>0</v>
      </c>
      <c r="V96" s="29">
        <f>IF($T96="",0,IF(OR(Setup!$B$22="",Setup!$C$22="No"),0,IF(ISNUMBER(I96),I96,IF($T96="Weights",IF(ISNUMBER(Setup!$D$22),Setup!$D$22,0),IF($T96="Nights",IF(ISNUMBER(Setup!$E$22),Setup!$E$22,0),IF(OR($T96="Exact amounts",$T96="Custom units"),0,1))))))</f>
        <v>0</v>
      </c>
      <c r="W96" s="29">
        <f>IF($T96="",0,IF(OR(Setup!$B$23="",Setup!$C$23="No"),0,IF(ISNUMBER(J96),J96,IF($T96="Weights",IF(ISNUMBER(Setup!$D$23),Setup!$D$23,0),IF($T96="Nights",IF(ISNUMBER(Setup!$E$23),Setup!$E$23,0),IF(OR($T96="Exact amounts",$T96="Custom units"),0,1))))))</f>
        <v>0</v>
      </c>
      <c r="X96" s="29">
        <f>IF($T96="",0,IF(OR(Setup!$B$24="",Setup!$C$24="No"),0,IF(ISNUMBER(K96),K96,IF($T96="Weights",IF(ISNUMBER(Setup!$D$24),Setup!$D$24,0),IF($T96="Nights",IF(ISNUMBER(Setup!$E$24),Setup!$E$24,0),IF(OR($T96="Exact amounts",$T96="Custom units"),0,1))))))</f>
        <v>0</v>
      </c>
      <c r="Y96" s="29">
        <f>IF($T96="",0,IF(OR(Setup!$B$25="",Setup!$C$25="No"),0,IF(ISNUMBER(L96),L96,IF($T96="Weights",IF(ISNUMBER(Setup!$D$25),Setup!$D$25,0),IF($T96="Nights",IF(ISNUMBER(Setup!$E$25),Setup!$E$25,0),IF(OR($T96="Exact amounts",$T96="Custom units"),0,1))))))</f>
        <v>0</v>
      </c>
      <c r="Z96" s="29">
        <f>IF($T96="",0,IF(OR(Setup!$B$26="",Setup!$C$26="No"),0,IF(ISNUMBER(M96),M96,IF($T96="Weights",IF(ISNUMBER(Setup!$D$26),Setup!$D$26,0),IF($T96="Nights",IF(ISNUMBER(Setup!$E$26),Setup!$E$26,0),IF(OR($T96="Exact amounts",$T96="Custom units"),0,1))))))</f>
        <v>0</v>
      </c>
      <c r="AA96" s="29">
        <f>IF($T96="",0,IF(OR(Setup!$B$27="",Setup!$C$27="No"),0,IF(ISNUMBER(N96),N96,IF($T96="Weights",IF(ISNUMBER(Setup!$D$27),Setup!$D$27,0),IF($T96="Nights",IF(ISNUMBER(Setup!$E$27),Setup!$E$27,0),IF(OR($T96="Exact amounts",$T96="Custom units"),0,1))))))</f>
        <v>0</v>
      </c>
      <c r="AB96" s="29">
        <f>IF($T96="",0,IF(OR(Setup!$B$28="",Setup!$C$28="No"),0,IF(ISNUMBER(O96),O96,IF($T96="Weights",IF(ISNUMBER(Setup!$D$28),Setup!$D$28,0),IF($T96="Nights",IF(ISNUMBER(Setup!$E$28),Setup!$E$28,0),IF(OR($T96="Exact amounts",$T96="Custom units"),0,1))))))</f>
        <v>0</v>
      </c>
      <c r="AC96" s="29">
        <f>IF($T96="",0,IF(OR(Setup!$B$29="",Setup!$C$29="No"),0,IF(ISNUMBER(P96),P96,IF($T96="Weights",IF(ISNUMBER(Setup!$D$29),Setup!$D$29,0),IF($T96="Nights",IF(ISNUMBER(Setup!$E$29),Setup!$E$29,0),IF(OR($T96="Exact amounts",$T96="Custom units"),0,1))))))</f>
        <v>0</v>
      </c>
      <c r="AD96" s="29">
        <f>IF($T96="",0,IF(OR(Setup!$B$30="",Setup!$C$30="No"),0,IF(ISNUMBER(Q96),Q96,IF($T96="Weights",IF(ISNUMBER(Setup!$D$30),Setup!$D$30,0),IF($T96="Nights",IF(ISNUMBER(Setup!$E$30),Setup!$E$30,0),IF(OR($T96="Exact amounts",$T96="Custom units"),0,1))))))</f>
        <v>0</v>
      </c>
      <c r="AE96" s="29">
        <f t="shared" si="5"/>
        <v>0</v>
      </c>
      <c r="AF96" s="30">
        <f t="shared" si="6"/>
        <v>1</v>
      </c>
      <c r="AG96" s="29">
        <f t="shared" si="7"/>
        <v>0</v>
      </c>
    </row>
    <row r="97" spans="1:33" ht="16" x14ac:dyDescent="0.2">
      <c r="A97" s="22" t="str">
        <f t="shared" si="4"/>
        <v>—</v>
      </c>
      <c r="B97" s="31"/>
      <c r="C97" s="11"/>
      <c r="D97" s="11"/>
      <c r="E97" s="32"/>
      <c r="F97" s="11"/>
      <c r="G97" s="11"/>
      <c r="H97" s="33"/>
      <c r="I97" s="33"/>
      <c r="J97" s="33"/>
      <c r="K97" s="33"/>
      <c r="L97" s="33"/>
      <c r="M97" s="33"/>
      <c r="N97" s="33"/>
      <c r="O97" s="33"/>
      <c r="P97" s="33"/>
      <c r="Q97" s="33"/>
      <c r="R97" s="26" t="str">
        <f>IF($T97="","",IF($D97="","Who paid?",IF(SUMPRODUCT((Setup!$B$21:$B$30=$D97)*1)=0,"Payer is not in the member list on Setup",IF($E97="","Amount missing — type the number in column E",IF(NOT(ISNUMBER($E97)),"Amount must be a plain number — no currency symbol, no text",IF(AND($T97="Custom units",$AE97&lt;=0),"Custom units: nobody has units on this row — type a number for at least one person",IF($AE97&lt;=0,"Nobody shares this row — check the person columns H–Q, and the Weight / Nights columns on Setup",IF(AND($T97="Exact amounts",ABS($AE97-$AG97)&gt;0.01),"Exact amounts do not add up to the amount","OK"))))))))</f>
        <v/>
      </c>
      <c r="S97" s="27" t="str">
        <f>IFERROR(IF(OR($T97="",$C$4=""),"—",ROUND($AG97*INDEX($U97:$AD97,1,MATCH($C$4,Setup!$B$21:$B$30,0))/$AF97,2)),"—")</f>
        <v>—</v>
      </c>
      <c r="T97" s="28" t="str">
        <f>IF(AND($C97="",$D97="",NOT(ISNUMBER($E97))),"",IF($G97="",IF(Setup!$C$17="","Equal",Setup!$C$17),$G97))</f>
        <v/>
      </c>
      <c r="U97" s="29">
        <f>IF($T97="",0,IF(OR(Setup!$B$21="",Setup!$C$21="No"),0,IF(ISNUMBER(H97),H97,IF($T97="Weights",IF(ISNUMBER(Setup!$D$21),Setup!$D$21,0),IF($T97="Nights",IF(ISNUMBER(Setup!$E$21),Setup!$E$21,0),IF(OR($T97="Exact amounts",$T97="Custom units"),0,1))))))</f>
        <v>0</v>
      </c>
      <c r="V97" s="29">
        <f>IF($T97="",0,IF(OR(Setup!$B$22="",Setup!$C$22="No"),0,IF(ISNUMBER(I97),I97,IF($T97="Weights",IF(ISNUMBER(Setup!$D$22),Setup!$D$22,0),IF($T97="Nights",IF(ISNUMBER(Setup!$E$22),Setup!$E$22,0),IF(OR($T97="Exact amounts",$T97="Custom units"),0,1))))))</f>
        <v>0</v>
      </c>
      <c r="W97" s="29">
        <f>IF($T97="",0,IF(OR(Setup!$B$23="",Setup!$C$23="No"),0,IF(ISNUMBER(J97),J97,IF($T97="Weights",IF(ISNUMBER(Setup!$D$23),Setup!$D$23,0),IF($T97="Nights",IF(ISNUMBER(Setup!$E$23),Setup!$E$23,0),IF(OR($T97="Exact amounts",$T97="Custom units"),0,1))))))</f>
        <v>0</v>
      </c>
      <c r="X97" s="29">
        <f>IF($T97="",0,IF(OR(Setup!$B$24="",Setup!$C$24="No"),0,IF(ISNUMBER(K97),K97,IF($T97="Weights",IF(ISNUMBER(Setup!$D$24),Setup!$D$24,0),IF($T97="Nights",IF(ISNUMBER(Setup!$E$24),Setup!$E$24,0),IF(OR($T97="Exact amounts",$T97="Custom units"),0,1))))))</f>
        <v>0</v>
      </c>
      <c r="Y97" s="29">
        <f>IF($T97="",0,IF(OR(Setup!$B$25="",Setup!$C$25="No"),0,IF(ISNUMBER(L97),L97,IF($T97="Weights",IF(ISNUMBER(Setup!$D$25),Setup!$D$25,0),IF($T97="Nights",IF(ISNUMBER(Setup!$E$25),Setup!$E$25,0),IF(OR($T97="Exact amounts",$T97="Custom units"),0,1))))))</f>
        <v>0</v>
      </c>
      <c r="Z97" s="29">
        <f>IF($T97="",0,IF(OR(Setup!$B$26="",Setup!$C$26="No"),0,IF(ISNUMBER(M97),M97,IF($T97="Weights",IF(ISNUMBER(Setup!$D$26),Setup!$D$26,0),IF($T97="Nights",IF(ISNUMBER(Setup!$E$26),Setup!$E$26,0),IF(OR($T97="Exact amounts",$T97="Custom units"),0,1))))))</f>
        <v>0</v>
      </c>
      <c r="AA97" s="29">
        <f>IF($T97="",0,IF(OR(Setup!$B$27="",Setup!$C$27="No"),0,IF(ISNUMBER(N97),N97,IF($T97="Weights",IF(ISNUMBER(Setup!$D$27),Setup!$D$27,0),IF($T97="Nights",IF(ISNUMBER(Setup!$E$27),Setup!$E$27,0),IF(OR($T97="Exact amounts",$T97="Custom units"),0,1))))))</f>
        <v>0</v>
      </c>
      <c r="AB97" s="29">
        <f>IF($T97="",0,IF(OR(Setup!$B$28="",Setup!$C$28="No"),0,IF(ISNUMBER(O97),O97,IF($T97="Weights",IF(ISNUMBER(Setup!$D$28),Setup!$D$28,0),IF($T97="Nights",IF(ISNUMBER(Setup!$E$28),Setup!$E$28,0),IF(OR($T97="Exact amounts",$T97="Custom units"),0,1))))))</f>
        <v>0</v>
      </c>
      <c r="AC97" s="29">
        <f>IF($T97="",0,IF(OR(Setup!$B$29="",Setup!$C$29="No"),0,IF(ISNUMBER(P97),P97,IF($T97="Weights",IF(ISNUMBER(Setup!$D$29),Setup!$D$29,0),IF($T97="Nights",IF(ISNUMBER(Setup!$E$29),Setup!$E$29,0),IF(OR($T97="Exact amounts",$T97="Custom units"),0,1))))))</f>
        <v>0</v>
      </c>
      <c r="AD97" s="29">
        <f>IF($T97="",0,IF(OR(Setup!$B$30="",Setup!$C$30="No"),0,IF(ISNUMBER(Q97),Q97,IF($T97="Weights",IF(ISNUMBER(Setup!$D$30),Setup!$D$30,0),IF($T97="Nights",IF(ISNUMBER(Setup!$E$30),Setup!$E$30,0),IF(OR($T97="Exact amounts",$T97="Custom units"),0,1))))))</f>
        <v>0</v>
      </c>
      <c r="AE97" s="29">
        <f t="shared" si="5"/>
        <v>0</v>
      </c>
      <c r="AF97" s="30">
        <f t="shared" si="6"/>
        <v>1</v>
      </c>
      <c r="AG97" s="29">
        <f t="shared" si="7"/>
        <v>0</v>
      </c>
    </row>
    <row r="98" spans="1:33" ht="16" x14ac:dyDescent="0.2">
      <c r="A98" s="22" t="str">
        <f t="shared" si="4"/>
        <v>—</v>
      </c>
      <c r="B98" s="23"/>
      <c r="C98" s="16"/>
      <c r="D98" s="16"/>
      <c r="E98" s="24"/>
      <c r="F98" s="16"/>
      <c r="G98" s="16"/>
      <c r="H98" s="25"/>
      <c r="I98" s="25"/>
      <c r="J98" s="25"/>
      <c r="K98" s="25"/>
      <c r="L98" s="25"/>
      <c r="M98" s="25"/>
      <c r="N98" s="25"/>
      <c r="O98" s="25"/>
      <c r="P98" s="25"/>
      <c r="Q98" s="25"/>
      <c r="R98" s="26" t="str">
        <f>IF($T98="","",IF($D98="","Who paid?",IF(SUMPRODUCT((Setup!$B$21:$B$30=$D98)*1)=0,"Payer is not in the member list on Setup",IF($E98="","Amount missing — type the number in column E",IF(NOT(ISNUMBER($E98)),"Amount must be a plain number — no currency symbol, no text",IF(AND($T98="Custom units",$AE98&lt;=0),"Custom units: nobody has units on this row — type a number for at least one person",IF($AE98&lt;=0,"Nobody shares this row — check the person columns H–Q, and the Weight / Nights columns on Setup",IF(AND($T98="Exact amounts",ABS($AE98-$AG98)&gt;0.01),"Exact amounts do not add up to the amount","OK"))))))))</f>
        <v/>
      </c>
      <c r="S98" s="27" t="str">
        <f>IFERROR(IF(OR($T98="",$C$4=""),"—",ROUND($AG98*INDEX($U98:$AD98,1,MATCH($C$4,Setup!$B$21:$B$30,0))/$AF98,2)),"—")</f>
        <v>—</v>
      </c>
      <c r="T98" s="28" t="str">
        <f>IF(AND($C98="",$D98="",NOT(ISNUMBER($E98))),"",IF($G98="",IF(Setup!$C$17="","Equal",Setup!$C$17),$G98))</f>
        <v/>
      </c>
      <c r="U98" s="29">
        <f>IF($T98="",0,IF(OR(Setup!$B$21="",Setup!$C$21="No"),0,IF(ISNUMBER(H98),H98,IF($T98="Weights",IF(ISNUMBER(Setup!$D$21),Setup!$D$21,0),IF($T98="Nights",IF(ISNUMBER(Setup!$E$21),Setup!$E$21,0),IF(OR($T98="Exact amounts",$T98="Custom units"),0,1))))))</f>
        <v>0</v>
      </c>
      <c r="V98" s="29">
        <f>IF($T98="",0,IF(OR(Setup!$B$22="",Setup!$C$22="No"),0,IF(ISNUMBER(I98),I98,IF($T98="Weights",IF(ISNUMBER(Setup!$D$22),Setup!$D$22,0),IF($T98="Nights",IF(ISNUMBER(Setup!$E$22),Setup!$E$22,0),IF(OR($T98="Exact amounts",$T98="Custom units"),0,1))))))</f>
        <v>0</v>
      </c>
      <c r="W98" s="29">
        <f>IF($T98="",0,IF(OR(Setup!$B$23="",Setup!$C$23="No"),0,IF(ISNUMBER(J98),J98,IF($T98="Weights",IF(ISNUMBER(Setup!$D$23),Setup!$D$23,0),IF($T98="Nights",IF(ISNUMBER(Setup!$E$23),Setup!$E$23,0),IF(OR($T98="Exact amounts",$T98="Custom units"),0,1))))))</f>
        <v>0</v>
      </c>
      <c r="X98" s="29">
        <f>IF($T98="",0,IF(OR(Setup!$B$24="",Setup!$C$24="No"),0,IF(ISNUMBER(K98),K98,IF($T98="Weights",IF(ISNUMBER(Setup!$D$24),Setup!$D$24,0),IF($T98="Nights",IF(ISNUMBER(Setup!$E$24),Setup!$E$24,0),IF(OR($T98="Exact amounts",$T98="Custom units"),0,1))))))</f>
        <v>0</v>
      </c>
      <c r="Y98" s="29">
        <f>IF($T98="",0,IF(OR(Setup!$B$25="",Setup!$C$25="No"),0,IF(ISNUMBER(L98),L98,IF($T98="Weights",IF(ISNUMBER(Setup!$D$25),Setup!$D$25,0),IF($T98="Nights",IF(ISNUMBER(Setup!$E$25),Setup!$E$25,0),IF(OR($T98="Exact amounts",$T98="Custom units"),0,1))))))</f>
        <v>0</v>
      </c>
      <c r="Z98" s="29">
        <f>IF($T98="",0,IF(OR(Setup!$B$26="",Setup!$C$26="No"),0,IF(ISNUMBER(M98),M98,IF($T98="Weights",IF(ISNUMBER(Setup!$D$26),Setup!$D$26,0),IF($T98="Nights",IF(ISNUMBER(Setup!$E$26),Setup!$E$26,0),IF(OR($T98="Exact amounts",$T98="Custom units"),0,1))))))</f>
        <v>0</v>
      </c>
      <c r="AA98" s="29">
        <f>IF($T98="",0,IF(OR(Setup!$B$27="",Setup!$C$27="No"),0,IF(ISNUMBER(N98),N98,IF($T98="Weights",IF(ISNUMBER(Setup!$D$27),Setup!$D$27,0),IF($T98="Nights",IF(ISNUMBER(Setup!$E$27),Setup!$E$27,0),IF(OR($T98="Exact amounts",$T98="Custom units"),0,1))))))</f>
        <v>0</v>
      </c>
      <c r="AB98" s="29">
        <f>IF($T98="",0,IF(OR(Setup!$B$28="",Setup!$C$28="No"),0,IF(ISNUMBER(O98),O98,IF($T98="Weights",IF(ISNUMBER(Setup!$D$28),Setup!$D$28,0),IF($T98="Nights",IF(ISNUMBER(Setup!$E$28),Setup!$E$28,0),IF(OR($T98="Exact amounts",$T98="Custom units"),0,1))))))</f>
        <v>0</v>
      </c>
      <c r="AC98" s="29">
        <f>IF($T98="",0,IF(OR(Setup!$B$29="",Setup!$C$29="No"),0,IF(ISNUMBER(P98),P98,IF($T98="Weights",IF(ISNUMBER(Setup!$D$29),Setup!$D$29,0),IF($T98="Nights",IF(ISNUMBER(Setup!$E$29),Setup!$E$29,0),IF(OR($T98="Exact amounts",$T98="Custom units"),0,1))))))</f>
        <v>0</v>
      </c>
      <c r="AD98" s="29">
        <f>IF($T98="",0,IF(OR(Setup!$B$30="",Setup!$C$30="No"),0,IF(ISNUMBER(Q98),Q98,IF($T98="Weights",IF(ISNUMBER(Setup!$D$30),Setup!$D$30,0),IF($T98="Nights",IF(ISNUMBER(Setup!$E$30),Setup!$E$30,0),IF(OR($T98="Exact amounts",$T98="Custom units"),0,1))))))</f>
        <v>0</v>
      </c>
      <c r="AE98" s="29">
        <f t="shared" si="5"/>
        <v>0</v>
      </c>
      <c r="AF98" s="30">
        <f t="shared" si="6"/>
        <v>1</v>
      </c>
      <c r="AG98" s="29">
        <f t="shared" si="7"/>
        <v>0</v>
      </c>
    </row>
    <row r="99" spans="1:33" ht="16" x14ac:dyDescent="0.2">
      <c r="A99" s="22" t="str">
        <f t="shared" si="4"/>
        <v>—</v>
      </c>
      <c r="B99" s="31"/>
      <c r="C99" s="11"/>
      <c r="D99" s="11"/>
      <c r="E99" s="32"/>
      <c r="F99" s="11"/>
      <c r="G99" s="11"/>
      <c r="H99" s="33"/>
      <c r="I99" s="33"/>
      <c r="J99" s="33"/>
      <c r="K99" s="33"/>
      <c r="L99" s="33"/>
      <c r="M99" s="33"/>
      <c r="N99" s="33"/>
      <c r="O99" s="33"/>
      <c r="P99" s="33"/>
      <c r="Q99" s="33"/>
      <c r="R99" s="26" t="str">
        <f>IF($T99="","",IF($D99="","Who paid?",IF(SUMPRODUCT((Setup!$B$21:$B$30=$D99)*1)=0,"Payer is not in the member list on Setup",IF($E99="","Amount missing — type the number in column E",IF(NOT(ISNUMBER($E99)),"Amount must be a plain number — no currency symbol, no text",IF(AND($T99="Custom units",$AE99&lt;=0),"Custom units: nobody has units on this row — type a number for at least one person",IF($AE99&lt;=0,"Nobody shares this row — check the person columns H–Q, and the Weight / Nights columns on Setup",IF(AND($T99="Exact amounts",ABS($AE99-$AG99)&gt;0.01),"Exact amounts do not add up to the amount","OK"))))))))</f>
        <v/>
      </c>
      <c r="S99" s="27" t="str">
        <f>IFERROR(IF(OR($T99="",$C$4=""),"—",ROUND($AG99*INDEX($U99:$AD99,1,MATCH($C$4,Setup!$B$21:$B$30,0))/$AF99,2)),"—")</f>
        <v>—</v>
      </c>
      <c r="T99" s="28" t="str">
        <f>IF(AND($C99="",$D99="",NOT(ISNUMBER($E99))),"",IF($G99="",IF(Setup!$C$17="","Equal",Setup!$C$17),$G99))</f>
        <v/>
      </c>
      <c r="U99" s="29">
        <f>IF($T99="",0,IF(OR(Setup!$B$21="",Setup!$C$21="No"),0,IF(ISNUMBER(H99),H99,IF($T99="Weights",IF(ISNUMBER(Setup!$D$21),Setup!$D$21,0),IF($T99="Nights",IF(ISNUMBER(Setup!$E$21),Setup!$E$21,0),IF(OR($T99="Exact amounts",$T99="Custom units"),0,1))))))</f>
        <v>0</v>
      </c>
      <c r="V99" s="29">
        <f>IF($T99="",0,IF(OR(Setup!$B$22="",Setup!$C$22="No"),0,IF(ISNUMBER(I99),I99,IF($T99="Weights",IF(ISNUMBER(Setup!$D$22),Setup!$D$22,0),IF($T99="Nights",IF(ISNUMBER(Setup!$E$22),Setup!$E$22,0),IF(OR($T99="Exact amounts",$T99="Custom units"),0,1))))))</f>
        <v>0</v>
      </c>
      <c r="W99" s="29">
        <f>IF($T99="",0,IF(OR(Setup!$B$23="",Setup!$C$23="No"),0,IF(ISNUMBER(J99),J99,IF($T99="Weights",IF(ISNUMBER(Setup!$D$23),Setup!$D$23,0),IF($T99="Nights",IF(ISNUMBER(Setup!$E$23),Setup!$E$23,0),IF(OR($T99="Exact amounts",$T99="Custom units"),0,1))))))</f>
        <v>0</v>
      </c>
      <c r="X99" s="29">
        <f>IF($T99="",0,IF(OR(Setup!$B$24="",Setup!$C$24="No"),0,IF(ISNUMBER(K99),K99,IF($T99="Weights",IF(ISNUMBER(Setup!$D$24),Setup!$D$24,0),IF($T99="Nights",IF(ISNUMBER(Setup!$E$24),Setup!$E$24,0),IF(OR($T99="Exact amounts",$T99="Custom units"),0,1))))))</f>
        <v>0</v>
      </c>
      <c r="Y99" s="29">
        <f>IF($T99="",0,IF(OR(Setup!$B$25="",Setup!$C$25="No"),0,IF(ISNUMBER(L99),L99,IF($T99="Weights",IF(ISNUMBER(Setup!$D$25),Setup!$D$25,0),IF($T99="Nights",IF(ISNUMBER(Setup!$E$25),Setup!$E$25,0),IF(OR($T99="Exact amounts",$T99="Custom units"),0,1))))))</f>
        <v>0</v>
      </c>
      <c r="Z99" s="29">
        <f>IF($T99="",0,IF(OR(Setup!$B$26="",Setup!$C$26="No"),0,IF(ISNUMBER(M99),M99,IF($T99="Weights",IF(ISNUMBER(Setup!$D$26),Setup!$D$26,0),IF($T99="Nights",IF(ISNUMBER(Setup!$E$26),Setup!$E$26,0),IF(OR($T99="Exact amounts",$T99="Custom units"),0,1))))))</f>
        <v>0</v>
      </c>
      <c r="AA99" s="29">
        <f>IF($T99="",0,IF(OR(Setup!$B$27="",Setup!$C$27="No"),0,IF(ISNUMBER(N99),N99,IF($T99="Weights",IF(ISNUMBER(Setup!$D$27),Setup!$D$27,0),IF($T99="Nights",IF(ISNUMBER(Setup!$E$27),Setup!$E$27,0),IF(OR($T99="Exact amounts",$T99="Custom units"),0,1))))))</f>
        <v>0</v>
      </c>
      <c r="AB99" s="29">
        <f>IF($T99="",0,IF(OR(Setup!$B$28="",Setup!$C$28="No"),0,IF(ISNUMBER(O99),O99,IF($T99="Weights",IF(ISNUMBER(Setup!$D$28),Setup!$D$28,0),IF($T99="Nights",IF(ISNUMBER(Setup!$E$28),Setup!$E$28,0),IF(OR($T99="Exact amounts",$T99="Custom units"),0,1))))))</f>
        <v>0</v>
      </c>
      <c r="AC99" s="29">
        <f>IF($T99="",0,IF(OR(Setup!$B$29="",Setup!$C$29="No"),0,IF(ISNUMBER(P99),P99,IF($T99="Weights",IF(ISNUMBER(Setup!$D$29),Setup!$D$29,0),IF($T99="Nights",IF(ISNUMBER(Setup!$E$29),Setup!$E$29,0),IF(OR($T99="Exact amounts",$T99="Custom units"),0,1))))))</f>
        <v>0</v>
      </c>
      <c r="AD99" s="29">
        <f>IF($T99="",0,IF(OR(Setup!$B$30="",Setup!$C$30="No"),0,IF(ISNUMBER(Q99),Q99,IF($T99="Weights",IF(ISNUMBER(Setup!$D$30),Setup!$D$30,0),IF($T99="Nights",IF(ISNUMBER(Setup!$E$30),Setup!$E$30,0),IF(OR($T99="Exact amounts",$T99="Custom units"),0,1))))))</f>
        <v>0</v>
      </c>
      <c r="AE99" s="29">
        <f t="shared" si="5"/>
        <v>0</v>
      </c>
      <c r="AF99" s="30">
        <f t="shared" si="6"/>
        <v>1</v>
      </c>
      <c r="AG99" s="29">
        <f t="shared" si="7"/>
        <v>0</v>
      </c>
    </row>
    <row r="100" spans="1:33" ht="16" x14ac:dyDescent="0.2">
      <c r="A100" s="22" t="str">
        <f t="shared" si="4"/>
        <v>—</v>
      </c>
      <c r="B100" s="23"/>
      <c r="C100" s="16"/>
      <c r="D100" s="16"/>
      <c r="E100" s="24"/>
      <c r="F100" s="16"/>
      <c r="G100" s="16"/>
      <c r="H100" s="25"/>
      <c r="I100" s="25"/>
      <c r="J100" s="25"/>
      <c r="K100" s="25"/>
      <c r="L100" s="25"/>
      <c r="M100" s="25"/>
      <c r="N100" s="25"/>
      <c r="O100" s="25"/>
      <c r="P100" s="25"/>
      <c r="Q100" s="25"/>
      <c r="R100" s="26" t="str">
        <f>IF($T100="","",IF($D100="","Who paid?",IF(SUMPRODUCT((Setup!$B$21:$B$30=$D100)*1)=0,"Payer is not in the member list on Setup",IF($E100="","Amount missing — type the number in column E",IF(NOT(ISNUMBER($E100)),"Amount must be a plain number — no currency symbol, no text",IF(AND($T100="Custom units",$AE100&lt;=0),"Custom units: nobody has units on this row — type a number for at least one person",IF($AE100&lt;=0,"Nobody shares this row — check the person columns H–Q, and the Weight / Nights columns on Setup",IF(AND($T100="Exact amounts",ABS($AE100-$AG100)&gt;0.01),"Exact amounts do not add up to the amount","OK"))))))))</f>
        <v/>
      </c>
      <c r="S100" s="27" t="str">
        <f>IFERROR(IF(OR($T100="",$C$4=""),"—",ROUND($AG100*INDEX($U100:$AD100,1,MATCH($C$4,Setup!$B$21:$B$30,0))/$AF100,2)),"—")</f>
        <v>—</v>
      </c>
      <c r="T100" s="28" t="str">
        <f>IF(AND($C100="",$D100="",NOT(ISNUMBER($E100))),"",IF($G100="",IF(Setup!$C$17="","Equal",Setup!$C$17),$G100))</f>
        <v/>
      </c>
      <c r="U100" s="29">
        <f>IF($T100="",0,IF(OR(Setup!$B$21="",Setup!$C$21="No"),0,IF(ISNUMBER(H100),H100,IF($T100="Weights",IF(ISNUMBER(Setup!$D$21),Setup!$D$21,0),IF($T100="Nights",IF(ISNUMBER(Setup!$E$21),Setup!$E$21,0),IF(OR($T100="Exact amounts",$T100="Custom units"),0,1))))))</f>
        <v>0</v>
      </c>
      <c r="V100" s="29">
        <f>IF($T100="",0,IF(OR(Setup!$B$22="",Setup!$C$22="No"),0,IF(ISNUMBER(I100),I100,IF($T100="Weights",IF(ISNUMBER(Setup!$D$22),Setup!$D$22,0),IF($T100="Nights",IF(ISNUMBER(Setup!$E$22),Setup!$E$22,0),IF(OR($T100="Exact amounts",$T100="Custom units"),0,1))))))</f>
        <v>0</v>
      </c>
      <c r="W100" s="29">
        <f>IF($T100="",0,IF(OR(Setup!$B$23="",Setup!$C$23="No"),0,IF(ISNUMBER(J100),J100,IF($T100="Weights",IF(ISNUMBER(Setup!$D$23),Setup!$D$23,0),IF($T100="Nights",IF(ISNUMBER(Setup!$E$23),Setup!$E$23,0),IF(OR($T100="Exact amounts",$T100="Custom units"),0,1))))))</f>
        <v>0</v>
      </c>
      <c r="X100" s="29">
        <f>IF($T100="",0,IF(OR(Setup!$B$24="",Setup!$C$24="No"),0,IF(ISNUMBER(K100),K100,IF($T100="Weights",IF(ISNUMBER(Setup!$D$24),Setup!$D$24,0),IF($T100="Nights",IF(ISNUMBER(Setup!$E$24),Setup!$E$24,0),IF(OR($T100="Exact amounts",$T100="Custom units"),0,1))))))</f>
        <v>0</v>
      </c>
      <c r="Y100" s="29">
        <f>IF($T100="",0,IF(OR(Setup!$B$25="",Setup!$C$25="No"),0,IF(ISNUMBER(L100),L100,IF($T100="Weights",IF(ISNUMBER(Setup!$D$25),Setup!$D$25,0),IF($T100="Nights",IF(ISNUMBER(Setup!$E$25),Setup!$E$25,0),IF(OR($T100="Exact amounts",$T100="Custom units"),0,1))))))</f>
        <v>0</v>
      </c>
      <c r="Z100" s="29">
        <f>IF($T100="",0,IF(OR(Setup!$B$26="",Setup!$C$26="No"),0,IF(ISNUMBER(M100),M100,IF($T100="Weights",IF(ISNUMBER(Setup!$D$26),Setup!$D$26,0),IF($T100="Nights",IF(ISNUMBER(Setup!$E$26),Setup!$E$26,0),IF(OR($T100="Exact amounts",$T100="Custom units"),0,1))))))</f>
        <v>0</v>
      </c>
      <c r="AA100" s="29">
        <f>IF($T100="",0,IF(OR(Setup!$B$27="",Setup!$C$27="No"),0,IF(ISNUMBER(N100),N100,IF($T100="Weights",IF(ISNUMBER(Setup!$D$27),Setup!$D$27,0),IF($T100="Nights",IF(ISNUMBER(Setup!$E$27),Setup!$E$27,0),IF(OR($T100="Exact amounts",$T100="Custom units"),0,1))))))</f>
        <v>0</v>
      </c>
      <c r="AB100" s="29">
        <f>IF($T100="",0,IF(OR(Setup!$B$28="",Setup!$C$28="No"),0,IF(ISNUMBER(O100),O100,IF($T100="Weights",IF(ISNUMBER(Setup!$D$28),Setup!$D$28,0),IF($T100="Nights",IF(ISNUMBER(Setup!$E$28),Setup!$E$28,0),IF(OR($T100="Exact amounts",$T100="Custom units"),0,1))))))</f>
        <v>0</v>
      </c>
      <c r="AC100" s="29">
        <f>IF($T100="",0,IF(OR(Setup!$B$29="",Setup!$C$29="No"),0,IF(ISNUMBER(P100),P100,IF($T100="Weights",IF(ISNUMBER(Setup!$D$29),Setup!$D$29,0),IF($T100="Nights",IF(ISNUMBER(Setup!$E$29),Setup!$E$29,0),IF(OR($T100="Exact amounts",$T100="Custom units"),0,1))))))</f>
        <v>0</v>
      </c>
      <c r="AD100" s="29">
        <f>IF($T100="",0,IF(OR(Setup!$B$30="",Setup!$C$30="No"),0,IF(ISNUMBER(Q100),Q100,IF($T100="Weights",IF(ISNUMBER(Setup!$D$30),Setup!$D$30,0),IF($T100="Nights",IF(ISNUMBER(Setup!$E$30),Setup!$E$30,0),IF(OR($T100="Exact amounts",$T100="Custom units"),0,1))))))</f>
        <v>0</v>
      </c>
      <c r="AE100" s="29">
        <f t="shared" si="5"/>
        <v>0</v>
      </c>
      <c r="AF100" s="30">
        <f t="shared" si="6"/>
        <v>1</v>
      </c>
      <c r="AG100" s="29">
        <f t="shared" si="7"/>
        <v>0</v>
      </c>
    </row>
    <row r="101" spans="1:33" ht="16" x14ac:dyDescent="0.2">
      <c r="A101" s="22" t="str">
        <f t="shared" si="4"/>
        <v>—</v>
      </c>
      <c r="B101" s="31"/>
      <c r="C101" s="11"/>
      <c r="D101" s="11"/>
      <c r="E101" s="32"/>
      <c r="F101" s="11"/>
      <c r="G101" s="11"/>
      <c r="H101" s="33"/>
      <c r="I101" s="33"/>
      <c r="J101" s="33"/>
      <c r="K101" s="33"/>
      <c r="L101" s="33"/>
      <c r="M101" s="33"/>
      <c r="N101" s="33"/>
      <c r="O101" s="33"/>
      <c r="P101" s="33"/>
      <c r="Q101" s="33"/>
      <c r="R101" s="26" t="str">
        <f>IF($T101="","",IF($D101="","Who paid?",IF(SUMPRODUCT((Setup!$B$21:$B$30=$D101)*1)=0,"Payer is not in the member list on Setup",IF($E101="","Amount missing — type the number in column E",IF(NOT(ISNUMBER($E101)),"Amount must be a plain number — no currency symbol, no text",IF(AND($T101="Custom units",$AE101&lt;=0),"Custom units: nobody has units on this row — type a number for at least one person",IF($AE101&lt;=0,"Nobody shares this row — check the person columns H–Q, and the Weight / Nights columns on Setup",IF(AND($T101="Exact amounts",ABS($AE101-$AG101)&gt;0.01),"Exact amounts do not add up to the amount","OK"))))))))</f>
        <v/>
      </c>
      <c r="S101" s="27" t="str">
        <f>IFERROR(IF(OR($T101="",$C$4=""),"—",ROUND($AG101*INDEX($U101:$AD101,1,MATCH($C$4,Setup!$B$21:$B$30,0))/$AF101,2)),"—")</f>
        <v>—</v>
      </c>
      <c r="T101" s="28" t="str">
        <f>IF(AND($C101="",$D101="",NOT(ISNUMBER($E101))),"",IF($G101="",IF(Setup!$C$17="","Equal",Setup!$C$17),$G101))</f>
        <v/>
      </c>
      <c r="U101" s="29">
        <f>IF($T101="",0,IF(OR(Setup!$B$21="",Setup!$C$21="No"),0,IF(ISNUMBER(H101),H101,IF($T101="Weights",IF(ISNUMBER(Setup!$D$21),Setup!$D$21,0),IF($T101="Nights",IF(ISNUMBER(Setup!$E$21),Setup!$E$21,0),IF(OR($T101="Exact amounts",$T101="Custom units"),0,1))))))</f>
        <v>0</v>
      </c>
      <c r="V101" s="29">
        <f>IF($T101="",0,IF(OR(Setup!$B$22="",Setup!$C$22="No"),0,IF(ISNUMBER(I101),I101,IF($T101="Weights",IF(ISNUMBER(Setup!$D$22),Setup!$D$22,0),IF($T101="Nights",IF(ISNUMBER(Setup!$E$22),Setup!$E$22,0),IF(OR($T101="Exact amounts",$T101="Custom units"),0,1))))))</f>
        <v>0</v>
      </c>
      <c r="W101" s="29">
        <f>IF($T101="",0,IF(OR(Setup!$B$23="",Setup!$C$23="No"),0,IF(ISNUMBER(J101),J101,IF($T101="Weights",IF(ISNUMBER(Setup!$D$23),Setup!$D$23,0),IF($T101="Nights",IF(ISNUMBER(Setup!$E$23),Setup!$E$23,0),IF(OR($T101="Exact amounts",$T101="Custom units"),0,1))))))</f>
        <v>0</v>
      </c>
      <c r="X101" s="29">
        <f>IF($T101="",0,IF(OR(Setup!$B$24="",Setup!$C$24="No"),0,IF(ISNUMBER(K101),K101,IF($T101="Weights",IF(ISNUMBER(Setup!$D$24),Setup!$D$24,0),IF($T101="Nights",IF(ISNUMBER(Setup!$E$24),Setup!$E$24,0),IF(OR($T101="Exact amounts",$T101="Custom units"),0,1))))))</f>
        <v>0</v>
      </c>
      <c r="Y101" s="29">
        <f>IF($T101="",0,IF(OR(Setup!$B$25="",Setup!$C$25="No"),0,IF(ISNUMBER(L101),L101,IF($T101="Weights",IF(ISNUMBER(Setup!$D$25),Setup!$D$25,0),IF($T101="Nights",IF(ISNUMBER(Setup!$E$25),Setup!$E$25,0),IF(OR($T101="Exact amounts",$T101="Custom units"),0,1))))))</f>
        <v>0</v>
      </c>
      <c r="Z101" s="29">
        <f>IF($T101="",0,IF(OR(Setup!$B$26="",Setup!$C$26="No"),0,IF(ISNUMBER(M101),M101,IF($T101="Weights",IF(ISNUMBER(Setup!$D$26),Setup!$D$26,0),IF($T101="Nights",IF(ISNUMBER(Setup!$E$26),Setup!$E$26,0),IF(OR($T101="Exact amounts",$T101="Custom units"),0,1))))))</f>
        <v>0</v>
      </c>
      <c r="AA101" s="29">
        <f>IF($T101="",0,IF(OR(Setup!$B$27="",Setup!$C$27="No"),0,IF(ISNUMBER(N101),N101,IF($T101="Weights",IF(ISNUMBER(Setup!$D$27),Setup!$D$27,0),IF($T101="Nights",IF(ISNUMBER(Setup!$E$27),Setup!$E$27,0),IF(OR($T101="Exact amounts",$T101="Custom units"),0,1))))))</f>
        <v>0</v>
      </c>
      <c r="AB101" s="29">
        <f>IF($T101="",0,IF(OR(Setup!$B$28="",Setup!$C$28="No"),0,IF(ISNUMBER(O101),O101,IF($T101="Weights",IF(ISNUMBER(Setup!$D$28),Setup!$D$28,0),IF($T101="Nights",IF(ISNUMBER(Setup!$E$28),Setup!$E$28,0),IF(OR($T101="Exact amounts",$T101="Custom units"),0,1))))))</f>
        <v>0</v>
      </c>
      <c r="AC101" s="29">
        <f>IF($T101="",0,IF(OR(Setup!$B$29="",Setup!$C$29="No"),0,IF(ISNUMBER(P101),P101,IF($T101="Weights",IF(ISNUMBER(Setup!$D$29),Setup!$D$29,0),IF($T101="Nights",IF(ISNUMBER(Setup!$E$29),Setup!$E$29,0),IF(OR($T101="Exact amounts",$T101="Custom units"),0,1))))))</f>
        <v>0</v>
      </c>
      <c r="AD101" s="29">
        <f>IF($T101="",0,IF(OR(Setup!$B$30="",Setup!$C$30="No"),0,IF(ISNUMBER(Q101),Q101,IF($T101="Weights",IF(ISNUMBER(Setup!$D$30),Setup!$D$30,0),IF($T101="Nights",IF(ISNUMBER(Setup!$E$30),Setup!$E$30,0),IF(OR($T101="Exact amounts",$T101="Custom units"),0,1))))))</f>
        <v>0</v>
      </c>
      <c r="AE101" s="29">
        <f t="shared" si="5"/>
        <v>0</v>
      </c>
      <c r="AF101" s="30">
        <f t="shared" si="6"/>
        <v>1</v>
      </c>
      <c r="AG101" s="29">
        <f t="shared" si="7"/>
        <v>0</v>
      </c>
    </row>
    <row r="102" spans="1:33" ht="16" x14ac:dyDescent="0.2">
      <c r="A102" s="22" t="str">
        <f t="shared" si="4"/>
        <v>—</v>
      </c>
      <c r="B102" s="23"/>
      <c r="C102" s="16"/>
      <c r="D102" s="16"/>
      <c r="E102" s="24"/>
      <c r="F102" s="16"/>
      <c r="G102" s="16"/>
      <c r="H102" s="25"/>
      <c r="I102" s="25"/>
      <c r="J102" s="25"/>
      <c r="K102" s="25"/>
      <c r="L102" s="25"/>
      <c r="M102" s="25"/>
      <c r="N102" s="25"/>
      <c r="O102" s="25"/>
      <c r="P102" s="25"/>
      <c r="Q102" s="25"/>
      <c r="R102" s="26" t="str">
        <f>IF($T102="","",IF($D102="","Who paid?",IF(SUMPRODUCT((Setup!$B$21:$B$30=$D102)*1)=0,"Payer is not in the member list on Setup",IF($E102="","Amount missing — type the number in column E",IF(NOT(ISNUMBER($E102)),"Amount must be a plain number — no currency symbol, no text",IF(AND($T102="Custom units",$AE102&lt;=0),"Custom units: nobody has units on this row — type a number for at least one person",IF($AE102&lt;=0,"Nobody shares this row — check the person columns H–Q, and the Weight / Nights columns on Setup",IF(AND($T102="Exact amounts",ABS($AE102-$AG102)&gt;0.01),"Exact amounts do not add up to the amount","OK"))))))))</f>
        <v/>
      </c>
      <c r="S102" s="27" t="str">
        <f>IFERROR(IF(OR($T102="",$C$4=""),"—",ROUND($AG102*INDEX($U102:$AD102,1,MATCH($C$4,Setup!$B$21:$B$30,0))/$AF102,2)),"—")</f>
        <v>—</v>
      </c>
      <c r="T102" s="28" t="str">
        <f>IF(AND($C102="",$D102="",NOT(ISNUMBER($E102))),"",IF($G102="",IF(Setup!$C$17="","Equal",Setup!$C$17),$G102))</f>
        <v/>
      </c>
      <c r="U102" s="29">
        <f>IF($T102="",0,IF(OR(Setup!$B$21="",Setup!$C$21="No"),0,IF(ISNUMBER(H102),H102,IF($T102="Weights",IF(ISNUMBER(Setup!$D$21),Setup!$D$21,0),IF($T102="Nights",IF(ISNUMBER(Setup!$E$21),Setup!$E$21,0),IF(OR($T102="Exact amounts",$T102="Custom units"),0,1))))))</f>
        <v>0</v>
      </c>
      <c r="V102" s="29">
        <f>IF($T102="",0,IF(OR(Setup!$B$22="",Setup!$C$22="No"),0,IF(ISNUMBER(I102),I102,IF($T102="Weights",IF(ISNUMBER(Setup!$D$22),Setup!$D$22,0),IF($T102="Nights",IF(ISNUMBER(Setup!$E$22),Setup!$E$22,0),IF(OR($T102="Exact amounts",$T102="Custom units"),0,1))))))</f>
        <v>0</v>
      </c>
      <c r="W102" s="29">
        <f>IF($T102="",0,IF(OR(Setup!$B$23="",Setup!$C$23="No"),0,IF(ISNUMBER(J102),J102,IF($T102="Weights",IF(ISNUMBER(Setup!$D$23),Setup!$D$23,0),IF($T102="Nights",IF(ISNUMBER(Setup!$E$23),Setup!$E$23,0),IF(OR($T102="Exact amounts",$T102="Custom units"),0,1))))))</f>
        <v>0</v>
      </c>
      <c r="X102" s="29">
        <f>IF($T102="",0,IF(OR(Setup!$B$24="",Setup!$C$24="No"),0,IF(ISNUMBER(K102),K102,IF($T102="Weights",IF(ISNUMBER(Setup!$D$24),Setup!$D$24,0),IF($T102="Nights",IF(ISNUMBER(Setup!$E$24),Setup!$E$24,0),IF(OR($T102="Exact amounts",$T102="Custom units"),0,1))))))</f>
        <v>0</v>
      </c>
      <c r="Y102" s="29">
        <f>IF($T102="",0,IF(OR(Setup!$B$25="",Setup!$C$25="No"),0,IF(ISNUMBER(L102),L102,IF($T102="Weights",IF(ISNUMBER(Setup!$D$25),Setup!$D$25,0),IF($T102="Nights",IF(ISNUMBER(Setup!$E$25),Setup!$E$25,0),IF(OR($T102="Exact amounts",$T102="Custom units"),0,1))))))</f>
        <v>0</v>
      </c>
      <c r="Z102" s="29">
        <f>IF($T102="",0,IF(OR(Setup!$B$26="",Setup!$C$26="No"),0,IF(ISNUMBER(M102),M102,IF($T102="Weights",IF(ISNUMBER(Setup!$D$26),Setup!$D$26,0),IF($T102="Nights",IF(ISNUMBER(Setup!$E$26),Setup!$E$26,0),IF(OR($T102="Exact amounts",$T102="Custom units"),0,1))))))</f>
        <v>0</v>
      </c>
      <c r="AA102" s="29">
        <f>IF($T102="",0,IF(OR(Setup!$B$27="",Setup!$C$27="No"),0,IF(ISNUMBER(N102),N102,IF($T102="Weights",IF(ISNUMBER(Setup!$D$27),Setup!$D$27,0),IF($T102="Nights",IF(ISNUMBER(Setup!$E$27),Setup!$E$27,0),IF(OR($T102="Exact amounts",$T102="Custom units"),0,1))))))</f>
        <v>0</v>
      </c>
      <c r="AB102" s="29">
        <f>IF($T102="",0,IF(OR(Setup!$B$28="",Setup!$C$28="No"),0,IF(ISNUMBER(O102),O102,IF($T102="Weights",IF(ISNUMBER(Setup!$D$28),Setup!$D$28,0),IF($T102="Nights",IF(ISNUMBER(Setup!$E$28),Setup!$E$28,0),IF(OR($T102="Exact amounts",$T102="Custom units"),0,1))))))</f>
        <v>0</v>
      </c>
      <c r="AC102" s="29">
        <f>IF($T102="",0,IF(OR(Setup!$B$29="",Setup!$C$29="No"),0,IF(ISNUMBER(P102),P102,IF($T102="Weights",IF(ISNUMBER(Setup!$D$29),Setup!$D$29,0),IF($T102="Nights",IF(ISNUMBER(Setup!$E$29),Setup!$E$29,0),IF(OR($T102="Exact amounts",$T102="Custom units"),0,1))))))</f>
        <v>0</v>
      </c>
      <c r="AD102" s="29">
        <f>IF($T102="",0,IF(OR(Setup!$B$30="",Setup!$C$30="No"),0,IF(ISNUMBER(Q102),Q102,IF($T102="Weights",IF(ISNUMBER(Setup!$D$30),Setup!$D$30,0),IF($T102="Nights",IF(ISNUMBER(Setup!$E$30),Setup!$E$30,0),IF(OR($T102="Exact amounts",$T102="Custom units"),0,1))))))</f>
        <v>0</v>
      </c>
      <c r="AE102" s="29">
        <f t="shared" si="5"/>
        <v>0</v>
      </c>
      <c r="AF102" s="30">
        <f t="shared" si="6"/>
        <v>1</v>
      </c>
      <c r="AG102" s="29">
        <f t="shared" si="7"/>
        <v>0</v>
      </c>
    </row>
    <row r="103" spans="1:33" ht="16" x14ac:dyDescent="0.2">
      <c r="A103" s="22" t="str">
        <f t="shared" si="4"/>
        <v>—</v>
      </c>
      <c r="B103" s="31"/>
      <c r="C103" s="11"/>
      <c r="D103" s="11"/>
      <c r="E103" s="32"/>
      <c r="F103" s="11"/>
      <c r="G103" s="11"/>
      <c r="H103" s="33"/>
      <c r="I103" s="33"/>
      <c r="J103" s="33"/>
      <c r="K103" s="33"/>
      <c r="L103" s="33"/>
      <c r="M103" s="33"/>
      <c r="N103" s="33"/>
      <c r="O103" s="33"/>
      <c r="P103" s="33"/>
      <c r="Q103" s="33"/>
      <c r="R103" s="26" t="str">
        <f>IF($T103="","",IF($D103="","Who paid?",IF(SUMPRODUCT((Setup!$B$21:$B$30=$D103)*1)=0,"Payer is not in the member list on Setup",IF($E103="","Amount missing — type the number in column E",IF(NOT(ISNUMBER($E103)),"Amount must be a plain number — no currency symbol, no text",IF(AND($T103="Custom units",$AE103&lt;=0),"Custom units: nobody has units on this row — type a number for at least one person",IF($AE103&lt;=0,"Nobody shares this row — check the person columns H–Q, and the Weight / Nights columns on Setup",IF(AND($T103="Exact amounts",ABS($AE103-$AG103)&gt;0.01),"Exact amounts do not add up to the amount","OK"))))))))</f>
        <v/>
      </c>
      <c r="S103" s="27" t="str">
        <f>IFERROR(IF(OR($T103="",$C$4=""),"—",ROUND($AG103*INDEX($U103:$AD103,1,MATCH($C$4,Setup!$B$21:$B$30,0))/$AF103,2)),"—")</f>
        <v>—</v>
      </c>
      <c r="T103" s="28" t="str">
        <f>IF(AND($C103="",$D103="",NOT(ISNUMBER($E103))),"",IF($G103="",IF(Setup!$C$17="","Equal",Setup!$C$17),$G103))</f>
        <v/>
      </c>
      <c r="U103" s="29">
        <f>IF($T103="",0,IF(OR(Setup!$B$21="",Setup!$C$21="No"),0,IF(ISNUMBER(H103),H103,IF($T103="Weights",IF(ISNUMBER(Setup!$D$21),Setup!$D$21,0),IF($T103="Nights",IF(ISNUMBER(Setup!$E$21),Setup!$E$21,0),IF(OR($T103="Exact amounts",$T103="Custom units"),0,1))))))</f>
        <v>0</v>
      </c>
      <c r="V103" s="29">
        <f>IF($T103="",0,IF(OR(Setup!$B$22="",Setup!$C$22="No"),0,IF(ISNUMBER(I103),I103,IF($T103="Weights",IF(ISNUMBER(Setup!$D$22),Setup!$D$22,0),IF($T103="Nights",IF(ISNUMBER(Setup!$E$22),Setup!$E$22,0),IF(OR($T103="Exact amounts",$T103="Custom units"),0,1))))))</f>
        <v>0</v>
      </c>
      <c r="W103" s="29">
        <f>IF($T103="",0,IF(OR(Setup!$B$23="",Setup!$C$23="No"),0,IF(ISNUMBER(J103),J103,IF($T103="Weights",IF(ISNUMBER(Setup!$D$23),Setup!$D$23,0),IF($T103="Nights",IF(ISNUMBER(Setup!$E$23),Setup!$E$23,0),IF(OR($T103="Exact amounts",$T103="Custom units"),0,1))))))</f>
        <v>0</v>
      </c>
      <c r="X103" s="29">
        <f>IF($T103="",0,IF(OR(Setup!$B$24="",Setup!$C$24="No"),0,IF(ISNUMBER(K103),K103,IF($T103="Weights",IF(ISNUMBER(Setup!$D$24),Setup!$D$24,0),IF($T103="Nights",IF(ISNUMBER(Setup!$E$24),Setup!$E$24,0),IF(OR($T103="Exact amounts",$T103="Custom units"),0,1))))))</f>
        <v>0</v>
      </c>
      <c r="Y103" s="29">
        <f>IF($T103="",0,IF(OR(Setup!$B$25="",Setup!$C$25="No"),0,IF(ISNUMBER(L103),L103,IF($T103="Weights",IF(ISNUMBER(Setup!$D$25),Setup!$D$25,0),IF($T103="Nights",IF(ISNUMBER(Setup!$E$25),Setup!$E$25,0),IF(OR($T103="Exact amounts",$T103="Custom units"),0,1))))))</f>
        <v>0</v>
      </c>
      <c r="Z103" s="29">
        <f>IF($T103="",0,IF(OR(Setup!$B$26="",Setup!$C$26="No"),0,IF(ISNUMBER(M103),M103,IF($T103="Weights",IF(ISNUMBER(Setup!$D$26),Setup!$D$26,0),IF($T103="Nights",IF(ISNUMBER(Setup!$E$26),Setup!$E$26,0),IF(OR($T103="Exact amounts",$T103="Custom units"),0,1))))))</f>
        <v>0</v>
      </c>
      <c r="AA103" s="29">
        <f>IF($T103="",0,IF(OR(Setup!$B$27="",Setup!$C$27="No"),0,IF(ISNUMBER(N103),N103,IF($T103="Weights",IF(ISNUMBER(Setup!$D$27),Setup!$D$27,0),IF($T103="Nights",IF(ISNUMBER(Setup!$E$27),Setup!$E$27,0),IF(OR($T103="Exact amounts",$T103="Custom units"),0,1))))))</f>
        <v>0</v>
      </c>
      <c r="AB103" s="29">
        <f>IF($T103="",0,IF(OR(Setup!$B$28="",Setup!$C$28="No"),0,IF(ISNUMBER(O103),O103,IF($T103="Weights",IF(ISNUMBER(Setup!$D$28),Setup!$D$28,0),IF($T103="Nights",IF(ISNUMBER(Setup!$E$28),Setup!$E$28,0),IF(OR($T103="Exact amounts",$T103="Custom units"),0,1))))))</f>
        <v>0</v>
      </c>
      <c r="AC103" s="29">
        <f>IF($T103="",0,IF(OR(Setup!$B$29="",Setup!$C$29="No"),0,IF(ISNUMBER(P103),P103,IF($T103="Weights",IF(ISNUMBER(Setup!$D$29),Setup!$D$29,0),IF($T103="Nights",IF(ISNUMBER(Setup!$E$29),Setup!$E$29,0),IF(OR($T103="Exact amounts",$T103="Custom units"),0,1))))))</f>
        <v>0</v>
      </c>
      <c r="AD103" s="29">
        <f>IF($T103="",0,IF(OR(Setup!$B$30="",Setup!$C$30="No"),0,IF(ISNUMBER(Q103),Q103,IF($T103="Weights",IF(ISNUMBER(Setup!$D$30),Setup!$D$30,0),IF($T103="Nights",IF(ISNUMBER(Setup!$E$30),Setup!$E$30,0),IF(OR($T103="Exact amounts",$T103="Custom units"),0,1))))))</f>
        <v>0</v>
      </c>
      <c r="AE103" s="29">
        <f t="shared" si="5"/>
        <v>0</v>
      </c>
      <c r="AF103" s="30">
        <f t="shared" si="6"/>
        <v>1</v>
      </c>
      <c r="AG103" s="29">
        <f t="shared" si="7"/>
        <v>0</v>
      </c>
    </row>
    <row r="104" spans="1:33" ht="16" x14ac:dyDescent="0.2">
      <c r="A104" s="22" t="str">
        <f t="shared" si="4"/>
        <v>—</v>
      </c>
      <c r="B104" s="23"/>
      <c r="C104" s="16"/>
      <c r="D104" s="16"/>
      <c r="E104" s="24"/>
      <c r="F104" s="16"/>
      <c r="G104" s="16"/>
      <c r="H104" s="25"/>
      <c r="I104" s="25"/>
      <c r="J104" s="25"/>
      <c r="K104" s="25"/>
      <c r="L104" s="25"/>
      <c r="M104" s="25"/>
      <c r="N104" s="25"/>
      <c r="O104" s="25"/>
      <c r="P104" s="25"/>
      <c r="Q104" s="25"/>
      <c r="R104" s="26" t="str">
        <f>IF($T104="","",IF($D104="","Who paid?",IF(SUMPRODUCT((Setup!$B$21:$B$30=$D104)*1)=0,"Payer is not in the member list on Setup",IF($E104="","Amount missing — type the number in column E",IF(NOT(ISNUMBER($E104)),"Amount must be a plain number — no currency symbol, no text",IF(AND($T104="Custom units",$AE104&lt;=0),"Custom units: nobody has units on this row — type a number for at least one person",IF($AE104&lt;=0,"Nobody shares this row — check the person columns H–Q, and the Weight / Nights columns on Setup",IF(AND($T104="Exact amounts",ABS($AE104-$AG104)&gt;0.01),"Exact amounts do not add up to the amount","OK"))))))))</f>
        <v/>
      </c>
      <c r="S104" s="27" t="str">
        <f>IFERROR(IF(OR($T104="",$C$4=""),"—",ROUND($AG104*INDEX($U104:$AD104,1,MATCH($C$4,Setup!$B$21:$B$30,0))/$AF104,2)),"—")</f>
        <v>—</v>
      </c>
      <c r="T104" s="28" t="str">
        <f>IF(AND($C104="",$D104="",NOT(ISNUMBER($E104))),"",IF($G104="",IF(Setup!$C$17="","Equal",Setup!$C$17),$G104))</f>
        <v/>
      </c>
      <c r="U104" s="29">
        <f>IF($T104="",0,IF(OR(Setup!$B$21="",Setup!$C$21="No"),0,IF(ISNUMBER(H104),H104,IF($T104="Weights",IF(ISNUMBER(Setup!$D$21),Setup!$D$21,0),IF($T104="Nights",IF(ISNUMBER(Setup!$E$21),Setup!$E$21,0),IF(OR($T104="Exact amounts",$T104="Custom units"),0,1))))))</f>
        <v>0</v>
      </c>
      <c r="V104" s="29">
        <f>IF($T104="",0,IF(OR(Setup!$B$22="",Setup!$C$22="No"),0,IF(ISNUMBER(I104),I104,IF($T104="Weights",IF(ISNUMBER(Setup!$D$22),Setup!$D$22,0),IF($T104="Nights",IF(ISNUMBER(Setup!$E$22),Setup!$E$22,0),IF(OR($T104="Exact amounts",$T104="Custom units"),0,1))))))</f>
        <v>0</v>
      </c>
      <c r="W104" s="29">
        <f>IF($T104="",0,IF(OR(Setup!$B$23="",Setup!$C$23="No"),0,IF(ISNUMBER(J104),J104,IF($T104="Weights",IF(ISNUMBER(Setup!$D$23),Setup!$D$23,0),IF($T104="Nights",IF(ISNUMBER(Setup!$E$23),Setup!$E$23,0),IF(OR($T104="Exact amounts",$T104="Custom units"),0,1))))))</f>
        <v>0</v>
      </c>
      <c r="X104" s="29">
        <f>IF($T104="",0,IF(OR(Setup!$B$24="",Setup!$C$24="No"),0,IF(ISNUMBER(K104),K104,IF($T104="Weights",IF(ISNUMBER(Setup!$D$24),Setup!$D$24,0),IF($T104="Nights",IF(ISNUMBER(Setup!$E$24),Setup!$E$24,0),IF(OR($T104="Exact amounts",$T104="Custom units"),0,1))))))</f>
        <v>0</v>
      </c>
      <c r="Y104" s="29">
        <f>IF($T104="",0,IF(OR(Setup!$B$25="",Setup!$C$25="No"),0,IF(ISNUMBER(L104),L104,IF($T104="Weights",IF(ISNUMBER(Setup!$D$25),Setup!$D$25,0),IF($T104="Nights",IF(ISNUMBER(Setup!$E$25),Setup!$E$25,0),IF(OR($T104="Exact amounts",$T104="Custom units"),0,1))))))</f>
        <v>0</v>
      </c>
      <c r="Z104" s="29">
        <f>IF($T104="",0,IF(OR(Setup!$B$26="",Setup!$C$26="No"),0,IF(ISNUMBER(M104),M104,IF($T104="Weights",IF(ISNUMBER(Setup!$D$26),Setup!$D$26,0),IF($T104="Nights",IF(ISNUMBER(Setup!$E$26),Setup!$E$26,0),IF(OR($T104="Exact amounts",$T104="Custom units"),0,1))))))</f>
        <v>0</v>
      </c>
      <c r="AA104" s="29">
        <f>IF($T104="",0,IF(OR(Setup!$B$27="",Setup!$C$27="No"),0,IF(ISNUMBER(N104),N104,IF($T104="Weights",IF(ISNUMBER(Setup!$D$27),Setup!$D$27,0),IF($T104="Nights",IF(ISNUMBER(Setup!$E$27),Setup!$E$27,0),IF(OR($T104="Exact amounts",$T104="Custom units"),0,1))))))</f>
        <v>0</v>
      </c>
      <c r="AB104" s="29">
        <f>IF($T104="",0,IF(OR(Setup!$B$28="",Setup!$C$28="No"),0,IF(ISNUMBER(O104),O104,IF($T104="Weights",IF(ISNUMBER(Setup!$D$28),Setup!$D$28,0),IF($T104="Nights",IF(ISNUMBER(Setup!$E$28),Setup!$E$28,0),IF(OR($T104="Exact amounts",$T104="Custom units"),0,1))))))</f>
        <v>0</v>
      </c>
      <c r="AC104" s="29">
        <f>IF($T104="",0,IF(OR(Setup!$B$29="",Setup!$C$29="No"),0,IF(ISNUMBER(P104),P104,IF($T104="Weights",IF(ISNUMBER(Setup!$D$29),Setup!$D$29,0),IF($T104="Nights",IF(ISNUMBER(Setup!$E$29),Setup!$E$29,0),IF(OR($T104="Exact amounts",$T104="Custom units"),0,1))))))</f>
        <v>0</v>
      </c>
      <c r="AD104" s="29">
        <f>IF($T104="",0,IF(OR(Setup!$B$30="",Setup!$C$30="No"),0,IF(ISNUMBER(Q104),Q104,IF($T104="Weights",IF(ISNUMBER(Setup!$D$30),Setup!$D$30,0),IF($T104="Nights",IF(ISNUMBER(Setup!$E$30),Setup!$E$30,0),IF(OR($T104="Exact amounts",$T104="Custom units"),0,1))))))</f>
        <v>0</v>
      </c>
      <c r="AE104" s="29">
        <f t="shared" si="5"/>
        <v>0</v>
      </c>
      <c r="AF104" s="30">
        <f t="shared" si="6"/>
        <v>1</v>
      </c>
      <c r="AG104" s="29">
        <f t="shared" si="7"/>
        <v>0</v>
      </c>
    </row>
    <row r="105" spans="1:33" ht="16" x14ac:dyDescent="0.2">
      <c r="A105" s="22" t="str">
        <f t="shared" si="4"/>
        <v>—</v>
      </c>
      <c r="B105" s="31"/>
      <c r="C105" s="11"/>
      <c r="D105" s="11"/>
      <c r="E105" s="32"/>
      <c r="F105" s="11"/>
      <c r="G105" s="11"/>
      <c r="H105" s="33"/>
      <c r="I105" s="33"/>
      <c r="J105" s="33"/>
      <c r="K105" s="33"/>
      <c r="L105" s="33"/>
      <c r="M105" s="33"/>
      <c r="N105" s="33"/>
      <c r="O105" s="33"/>
      <c r="P105" s="33"/>
      <c r="Q105" s="33"/>
      <c r="R105" s="26" t="str">
        <f>IF($T105="","",IF($D105="","Who paid?",IF(SUMPRODUCT((Setup!$B$21:$B$30=$D105)*1)=0,"Payer is not in the member list on Setup",IF($E105="","Amount missing — type the number in column E",IF(NOT(ISNUMBER($E105)),"Amount must be a plain number — no currency symbol, no text",IF(AND($T105="Custom units",$AE105&lt;=0),"Custom units: nobody has units on this row — type a number for at least one person",IF($AE105&lt;=0,"Nobody shares this row — check the person columns H–Q, and the Weight / Nights columns on Setup",IF(AND($T105="Exact amounts",ABS($AE105-$AG105)&gt;0.01),"Exact amounts do not add up to the amount","OK"))))))))</f>
        <v/>
      </c>
      <c r="S105" s="27" t="str">
        <f>IFERROR(IF(OR($T105="",$C$4=""),"—",ROUND($AG105*INDEX($U105:$AD105,1,MATCH($C$4,Setup!$B$21:$B$30,0))/$AF105,2)),"—")</f>
        <v>—</v>
      </c>
      <c r="T105" s="28" t="str">
        <f>IF(AND($C105="",$D105="",NOT(ISNUMBER($E105))),"",IF($G105="",IF(Setup!$C$17="","Equal",Setup!$C$17),$G105))</f>
        <v/>
      </c>
      <c r="U105" s="29">
        <f>IF($T105="",0,IF(OR(Setup!$B$21="",Setup!$C$21="No"),0,IF(ISNUMBER(H105),H105,IF($T105="Weights",IF(ISNUMBER(Setup!$D$21),Setup!$D$21,0),IF($T105="Nights",IF(ISNUMBER(Setup!$E$21),Setup!$E$21,0),IF(OR($T105="Exact amounts",$T105="Custom units"),0,1))))))</f>
        <v>0</v>
      </c>
      <c r="V105" s="29">
        <f>IF($T105="",0,IF(OR(Setup!$B$22="",Setup!$C$22="No"),0,IF(ISNUMBER(I105),I105,IF($T105="Weights",IF(ISNUMBER(Setup!$D$22),Setup!$D$22,0),IF($T105="Nights",IF(ISNUMBER(Setup!$E$22),Setup!$E$22,0),IF(OR($T105="Exact amounts",$T105="Custom units"),0,1))))))</f>
        <v>0</v>
      </c>
      <c r="W105" s="29">
        <f>IF($T105="",0,IF(OR(Setup!$B$23="",Setup!$C$23="No"),0,IF(ISNUMBER(J105),J105,IF($T105="Weights",IF(ISNUMBER(Setup!$D$23),Setup!$D$23,0),IF($T105="Nights",IF(ISNUMBER(Setup!$E$23),Setup!$E$23,0),IF(OR($T105="Exact amounts",$T105="Custom units"),0,1))))))</f>
        <v>0</v>
      </c>
      <c r="X105" s="29">
        <f>IF($T105="",0,IF(OR(Setup!$B$24="",Setup!$C$24="No"),0,IF(ISNUMBER(K105),K105,IF($T105="Weights",IF(ISNUMBER(Setup!$D$24),Setup!$D$24,0),IF($T105="Nights",IF(ISNUMBER(Setup!$E$24),Setup!$E$24,0),IF(OR($T105="Exact amounts",$T105="Custom units"),0,1))))))</f>
        <v>0</v>
      </c>
      <c r="Y105" s="29">
        <f>IF($T105="",0,IF(OR(Setup!$B$25="",Setup!$C$25="No"),0,IF(ISNUMBER(L105),L105,IF($T105="Weights",IF(ISNUMBER(Setup!$D$25),Setup!$D$25,0),IF($T105="Nights",IF(ISNUMBER(Setup!$E$25),Setup!$E$25,0),IF(OR($T105="Exact amounts",$T105="Custom units"),0,1))))))</f>
        <v>0</v>
      </c>
      <c r="Z105" s="29">
        <f>IF($T105="",0,IF(OR(Setup!$B$26="",Setup!$C$26="No"),0,IF(ISNUMBER(M105),M105,IF($T105="Weights",IF(ISNUMBER(Setup!$D$26),Setup!$D$26,0),IF($T105="Nights",IF(ISNUMBER(Setup!$E$26),Setup!$E$26,0),IF(OR($T105="Exact amounts",$T105="Custom units"),0,1))))))</f>
        <v>0</v>
      </c>
      <c r="AA105" s="29">
        <f>IF($T105="",0,IF(OR(Setup!$B$27="",Setup!$C$27="No"),0,IF(ISNUMBER(N105),N105,IF($T105="Weights",IF(ISNUMBER(Setup!$D$27),Setup!$D$27,0),IF($T105="Nights",IF(ISNUMBER(Setup!$E$27),Setup!$E$27,0),IF(OR($T105="Exact amounts",$T105="Custom units"),0,1))))))</f>
        <v>0</v>
      </c>
      <c r="AB105" s="29">
        <f>IF($T105="",0,IF(OR(Setup!$B$28="",Setup!$C$28="No"),0,IF(ISNUMBER(O105),O105,IF($T105="Weights",IF(ISNUMBER(Setup!$D$28),Setup!$D$28,0),IF($T105="Nights",IF(ISNUMBER(Setup!$E$28),Setup!$E$28,0),IF(OR($T105="Exact amounts",$T105="Custom units"),0,1))))))</f>
        <v>0</v>
      </c>
      <c r="AC105" s="29">
        <f>IF($T105="",0,IF(OR(Setup!$B$29="",Setup!$C$29="No"),0,IF(ISNUMBER(P105),P105,IF($T105="Weights",IF(ISNUMBER(Setup!$D$29),Setup!$D$29,0),IF($T105="Nights",IF(ISNUMBER(Setup!$E$29),Setup!$E$29,0),IF(OR($T105="Exact amounts",$T105="Custom units"),0,1))))))</f>
        <v>0</v>
      </c>
      <c r="AD105" s="29">
        <f>IF($T105="",0,IF(OR(Setup!$B$30="",Setup!$C$30="No"),0,IF(ISNUMBER(Q105),Q105,IF($T105="Weights",IF(ISNUMBER(Setup!$D$30),Setup!$D$30,0),IF($T105="Nights",IF(ISNUMBER(Setup!$E$30),Setup!$E$30,0),IF(OR($T105="Exact amounts",$T105="Custom units"),0,1))))))</f>
        <v>0</v>
      </c>
      <c r="AE105" s="29">
        <f t="shared" si="5"/>
        <v>0</v>
      </c>
      <c r="AF105" s="30">
        <f t="shared" si="6"/>
        <v>1</v>
      </c>
      <c r="AG105" s="29">
        <f t="shared" si="7"/>
        <v>0</v>
      </c>
    </row>
    <row r="106" spans="1:33" ht="16" x14ac:dyDescent="0.2">
      <c r="A106" s="22" t="str">
        <f t="shared" si="4"/>
        <v>—</v>
      </c>
      <c r="B106" s="23"/>
      <c r="C106" s="16"/>
      <c r="D106" s="16"/>
      <c r="E106" s="24"/>
      <c r="F106" s="16"/>
      <c r="G106" s="16"/>
      <c r="H106" s="25"/>
      <c r="I106" s="25"/>
      <c r="J106" s="25"/>
      <c r="K106" s="25"/>
      <c r="L106" s="25"/>
      <c r="M106" s="25"/>
      <c r="N106" s="25"/>
      <c r="O106" s="25"/>
      <c r="P106" s="25"/>
      <c r="Q106" s="25"/>
      <c r="R106" s="26" t="str">
        <f>IF($T106="","",IF($D106="","Who paid?",IF(SUMPRODUCT((Setup!$B$21:$B$30=$D106)*1)=0,"Payer is not in the member list on Setup",IF($E106="","Amount missing — type the number in column E",IF(NOT(ISNUMBER($E106)),"Amount must be a plain number — no currency symbol, no text",IF(AND($T106="Custom units",$AE106&lt;=0),"Custom units: nobody has units on this row — type a number for at least one person",IF($AE106&lt;=0,"Nobody shares this row — check the person columns H–Q, and the Weight / Nights columns on Setup",IF(AND($T106="Exact amounts",ABS($AE106-$AG106)&gt;0.01),"Exact amounts do not add up to the amount","OK"))))))))</f>
        <v/>
      </c>
      <c r="S106" s="27" t="str">
        <f>IFERROR(IF(OR($T106="",$C$4=""),"—",ROUND($AG106*INDEX($U106:$AD106,1,MATCH($C$4,Setup!$B$21:$B$30,0))/$AF106,2)),"—")</f>
        <v>—</v>
      </c>
      <c r="T106" s="28" t="str">
        <f>IF(AND($C106="",$D106="",NOT(ISNUMBER($E106))),"",IF($G106="",IF(Setup!$C$17="","Equal",Setup!$C$17),$G106))</f>
        <v/>
      </c>
      <c r="U106" s="29">
        <f>IF($T106="",0,IF(OR(Setup!$B$21="",Setup!$C$21="No"),0,IF(ISNUMBER(H106),H106,IF($T106="Weights",IF(ISNUMBER(Setup!$D$21),Setup!$D$21,0),IF($T106="Nights",IF(ISNUMBER(Setup!$E$21),Setup!$E$21,0),IF(OR($T106="Exact amounts",$T106="Custom units"),0,1))))))</f>
        <v>0</v>
      </c>
      <c r="V106" s="29">
        <f>IF($T106="",0,IF(OR(Setup!$B$22="",Setup!$C$22="No"),0,IF(ISNUMBER(I106),I106,IF($T106="Weights",IF(ISNUMBER(Setup!$D$22),Setup!$D$22,0),IF($T106="Nights",IF(ISNUMBER(Setup!$E$22),Setup!$E$22,0),IF(OR($T106="Exact amounts",$T106="Custom units"),0,1))))))</f>
        <v>0</v>
      </c>
      <c r="W106" s="29">
        <f>IF($T106="",0,IF(OR(Setup!$B$23="",Setup!$C$23="No"),0,IF(ISNUMBER(J106),J106,IF($T106="Weights",IF(ISNUMBER(Setup!$D$23),Setup!$D$23,0),IF($T106="Nights",IF(ISNUMBER(Setup!$E$23),Setup!$E$23,0),IF(OR($T106="Exact amounts",$T106="Custom units"),0,1))))))</f>
        <v>0</v>
      </c>
      <c r="X106" s="29">
        <f>IF($T106="",0,IF(OR(Setup!$B$24="",Setup!$C$24="No"),0,IF(ISNUMBER(K106),K106,IF($T106="Weights",IF(ISNUMBER(Setup!$D$24),Setup!$D$24,0),IF($T106="Nights",IF(ISNUMBER(Setup!$E$24),Setup!$E$24,0),IF(OR($T106="Exact amounts",$T106="Custom units"),0,1))))))</f>
        <v>0</v>
      </c>
      <c r="Y106" s="29">
        <f>IF($T106="",0,IF(OR(Setup!$B$25="",Setup!$C$25="No"),0,IF(ISNUMBER(L106),L106,IF($T106="Weights",IF(ISNUMBER(Setup!$D$25),Setup!$D$25,0),IF($T106="Nights",IF(ISNUMBER(Setup!$E$25),Setup!$E$25,0),IF(OR($T106="Exact amounts",$T106="Custom units"),0,1))))))</f>
        <v>0</v>
      </c>
      <c r="Z106" s="29">
        <f>IF($T106="",0,IF(OR(Setup!$B$26="",Setup!$C$26="No"),0,IF(ISNUMBER(M106),M106,IF($T106="Weights",IF(ISNUMBER(Setup!$D$26),Setup!$D$26,0),IF($T106="Nights",IF(ISNUMBER(Setup!$E$26),Setup!$E$26,0),IF(OR($T106="Exact amounts",$T106="Custom units"),0,1))))))</f>
        <v>0</v>
      </c>
      <c r="AA106" s="29">
        <f>IF($T106="",0,IF(OR(Setup!$B$27="",Setup!$C$27="No"),0,IF(ISNUMBER(N106),N106,IF($T106="Weights",IF(ISNUMBER(Setup!$D$27),Setup!$D$27,0),IF($T106="Nights",IF(ISNUMBER(Setup!$E$27),Setup!$E$27,0),IF(OR($T106="Exact amounts",$T106="Custom units"),0,1))))))</f>
        <v>0</v>
      </c>
      <c r="AB106" s="29">
        <f>IF($T106="",0,IF(OR(Setup!$B$28="",Setup!$C$28="No"),0,IF(ISNUMBER(O106),O106,IF($T106="Weights",IF(ISNUMBER(Setup!$D$28),Setup!$D$28,0),IF($T106="Nights",IF(ISNUMBER(Setup!$E$28),Setup!$E$28,0),IF(OR($T106="Exact amounts",$T106="Custom units"),0,1))))))</f>
        <v>0</v>
      </c>
      <c r="AC106" s="29">
        <f>IF($T106="",0,IF(OR(Setup!$B$29="",Setup!$C$29="No"),0,IF(ISNUMBER(P106),P106,IF($T106="Weights",IF(ISNUMBER(Setup!$D$29),Setup!$D$29,0),IF($T106="Nights",IF(ISNUMBER(Setup!$E$29),Setup!$E$29,0),IF(OR($T106="Exact amounts",$T106="Custom units"),0,1))))))</f>
        <v>0</v>
      </c>
      <c r="AD106" s="29">
        <f>IF($T106="",0,IF(OR(Setup!$B$30="",Setup!$C$30="No"),0,IF(ISNUMBER(Q106),Q106,IF($T106="Weights",IF(ISNUMBER(Setup!$D$30),Setup!$D$30,0),IF($T106="Nights",IF(ISNUMBER(Setup!$E$30),Setup!$E$30,0),IF(OR($T106="Exact amounts",$T106="Custom units"),0,1))))))</f>
        <v>0</v>
      </c>
      <c r="AE106" s="29">
        <f t="shared" si="5"/>
        <v>0</v>
      </c>
      <c r="AF106" s="30">
        <f t="shared" si="6"/>
        <v>1</v>
      </c>
      <c r="AG106" s="29">
        <f t="shared" si="7"/>
        <v>0</v>
      </c>
    </row>
    <row r="107" spans="1:33" ht="16" x14ac:dyDescent="0.2">
      <c r="A107" s="22" t="str">
        <f t="shared" si="4"/>
        <v>—</v>
      </c>
      <c r="B107" s="31"/>
      <c r="C107" s="11"/>
      <c r="D107" s="11"/>
      <c r="E107" s="32"/>
      <c r="F107" s="11"/>
      <c r="G107" s="11"/>
      <c r="H107" s="33"/>
      <c r="I107" s="33"/>
      <c r="J107" s="33"/>
      <c r="K107" s="33"/>
      <c r="L107" s="33"/>
      <c r="M107" s="33"/>
      <c r="N107" s="33"/>
      <c r="O107" s="33"/>
      <c r="P107" s="33"/>
      <c r="Q107" s="33"/>
      <c r="R107" s="26" t="str">
        <f>IF($T107="","",IF($D107="","Who paid?",IF(SUMPRODUCT((Setup!$B$21:$B$30=$D107)*1)=0,"Payer is not in the member list on Setup",IF($E107="","Amount missing — type the number in column E",IF(NOT(ISNUMBER($E107)),"Amount must be a plain number — no currency symbol, no text",IF(AND($T107="Custom units",$AE107&lt;=0),"Custom units: nobody has units on this row — type a number for at least one person",IF($AE107&lt;=0,"Nobody shares this row — check the person columns H–Q, and the Weight / Nights columns on Setup",IF(AND($T107="Exact amounts",ABS($AE107-$AG107)&gt;0.01),"Exact amounts do not add up to the amount","OK"))))))))</f>
        <v/>
      </c>
      <c r="S107" s="27" t="str">
        <f>IFERROR(IF(OR($T107="",$C$4=""),"—",ROUND($AG107*INDEX($U107:$AD107,1,MATCH($C$4,Setup!$B$21:$B$30,0))/$AF107,2)),"—")</f>
        <v>—</v>
      </c>
      <c r="T107" s="28" t="str">
        <f>IF(AND($C107="",$D107="",NOT(ISNUMBER($E107))),"",IF($G107="",IF(Setup!$C$17="","Equal",Setup!$C$17),$G107))</f>
        <v/>
      </c>
      <c r="U107" s="29">
        <f>IF($T107="",0,IF(OR(Setup!$B$21="",Setup!$C$21="No"),0,IF(ISNUMBER(H107),H107,IF($T107="Weights",IF(ISNUMBER(Setup!$D$21),Setup!$D$21,0),IF($T107="Nights",IF(ISNUMBER(Setup!$E$21),Setup!$E$21,0),IF(OR($T107="Exact amounts",$T107="Custom units"),0,1))))))</f>
        <v>0</v>
      </c>
      <c r="V107" s="29">
        <f>IF($T107="",0,IF(OR(Setup!$B$22="",Setup!$C$22="No"),0,IF(ISNUMBER(I107),I107,IF($T107="Weights",IF(ISNUMBER(Setup!$D$22),Setup!$D$22,0),IF($T107="Nights",IF(ISNUMBER(Setup!$E$22),Setup!$E$22,0),IF(OR($T107="Exact amounts",$T107="Custom units"),0,1))))))</f>
        <v>0</v>
      </c>
      <c r="W107" s="29">
        <f>IF($T107="",0,IF(OR(Setup!$B$23="",Setup!$C$23="No"),0,IF(ISNUMBER(J107),J107,IF($T107="Weights",IF(ISNUMBER(Setup!$D$23),Setup!$D$23,0),IF($T107="Nights",IF(ISNUMBER(Setup!$E$23),Setup!$E$23,0),IF(OR($T107="Exact amounts",$T107="Custom units"),0,1))))))</f>
        <v>0</v>
      </c>
      <c r="X107" s="29">
        <f>IF($T107="",0,IF(OR(Setup!$B$24="",Setup!$C$24="No"),0,IF(ISNUMBER(K107),K107,IF($T107="Weights",IF(ISNUMBER(Setup!$D$24),Setup!$D$24,0),IF($T107="Nights",IF(ISNUMBER(Setup!$E$24),Setup!$E$24,0),IF(OR($T107="Exact amounts",$T107="Custom units"),0,1))))))</f>
        <v>0</v>
      </c>
      <c r="Y107" s="29">
        <f>IF($T107="",0,IF(OR(Setup!$B$25="",Setup!$C$25="No"),0,IF(ISNUMBER(L107),L107,IF($T107="Weights",IF(ISNUMBER(Setup!$D$25),Setup!$D$25,0),IF($T107="Nights",IF(ISNUMBER(Setup!$E$25),Setup!$E$25,0),IF(OR($T107="Exact amounts",$T107="Custom units"),0,1))))))</f>
        <v>0</v>
      </c>
      <c r="Z107" s="29">
        <f>IF($T107="",0,IF(OR(Setup!$B$26="",Setup!$C$26="No"),0,IF(ISNUMBER(M107),M107,IF($T107="Weights",IF(ISNUMBER(Setup!$D$26),Setup!$D$26,0),IF($T107="Nights",IF(ISNUMBER(Setup!$E$26),Setup!$E$26,0),IF(OR($T107="Exact amounts",$T107="Custom units"),0,1))))))</f>
        <v>0</v>
      </c>
      <c r="AA107" s="29">
        <f>IF($T107="",0,IF(OR(Setup!$B$27="",Setup!$C$27="No"),0,IF(ISNUMBER(N107),N107,IF($T107="Weights",IF(ISNUMBER(Setup!$D$27),Setup!$D$27,0),IF($T107="Nights",IF(ISNUMBER(Setup!$E$27),Setup!$E$27,0),IF(OR($T107="Exact amounts",$T107="Custom units"),0,1))))))</f>
        <v>0</v>
      </c>
      <c r="AB107" s="29">
        <f>IF($T107="",0,IF(OR(Setup!$B$28="",Setup!$C$28="No"),0,IF(ISNUMBER(O107),O107,IF($T107="Weights",IF(ISNUMBER(Setup!$D$28),Setup!$D$28,0),IF($T107="Nights",IF(ISNUMBER(Setup!$E$28),Setup!$E$28,0),IF(OR($T107="Exact amounts",$T107="Custom units"),0,1))))))</f>
        <v>0</v>
      </c>
      <c r="AC107" s="29">
        <f>IF($T107="",0,IF(OR(Setup!$B$29="",Setup!$C$29="No"),0,IF(ISNUMBER(P107),P107,IF($T107="Weights",IF(ISNUMBER(Setup!$D$29),Setup!$D$29,0),IF($T107="Nights",IF(ISNUMBER(Setup!$E$29),Setup!$E$29,0),IF(OR($T107="Exact amounts",$T107="Custom units"),0,1))))))</f>
        <v>0</v>
      </c>
      <c r="AD107" s="29">
        <f>IF($T107="",0,IF(OR(Setup!$B$30="",Setup!$C$30="No"),0,IF(ISNUMBER(Q107),Q107,IF($T107="Weights",IF(ISNUMBER(Setup!$D$30),Setup!$D$30,0),IF($T107="Nights",IF(ISNUMBER(Setup!$E$30),Setup!$E$30,0),IF(OR($T107="Exact amounts",$T107="Custom units"),0,1))))))</f>
        <v>0</v>
      </c>
      <c r="AE107" s="29">
        <f t="shared" si="5"/>
        <v>0</v>
      </c>
      <c r="AF107" s="30">
        <f t="shared" si="6"/>
        <v>1</v>
      </c>
      <c r="AG107" s="29">
        <f t="shared" si="7"/>
        <v>0</v>
      </c>
    </row>
    <row r="108" spans="1:33" ht="16" x14ac:dyDescent="0.2">
      <c r="A108" s="22" t="str">
        <f t="shared" si="4"/>
        <v>—</v>
      </c>
      <c r="B108" s="23"/>
      <c r="C108" s="16"/>
      <c r="D108" s="16"/>
      <c r="E108" s="24"/>
      <c r="F108" s="16"/>
      <c r="G108" s="16"/>
      <c r="H108" s="25"/>
      <c r="I108" s="25"/>
      <c r="J108" s="25"/>
      <c r="K108" s="25"/>
      <c r="L108" s="25"/>
      <c r="M108" s="25"/>
      <c r="N108" s="25"/>
      <c r="O108" s="25"/>
      <c r="P108" s="25"/>
      <c r="Q108" s="25"/>
      <c r="R108" s="26" t="str">
        <f>IF($T108="","",IF($D108="","Who paid?",IF(SUMPRODUCT((Setup!$B$21:$B$30=$D108)*1)=0,"Payer is not in the member list on Setup",IF($E108="","Amount missing — type the number in column E",IF(NOT(ISNUMBER($E108)),"Amount must be a plain number — no currency symbol, no text",IF(AND($T108="Custom units",$AE108&lt;=0),"Custom units: nobody has units on this row — type a number for at least one person",IF($AE108&lt;=0,"Nobody shares this row — check the person columns H–Q, and the Weight / Nights columns on Setup",IF(AND($T108="Exact amounts",ABS($AE108-$AG108)&gt;0.01),"Exact amounts do not add up to the amount","OK"))))))))</f>
        <v/>
      </c>
      <c r="S108" s="27" t="str">
        <f>IFERROR(IF(OR($T108="",$C$4=""),"—",ROUND($AG108*INDEX($U108:$AD108,1,MATCH($C$4,Setup!$B$21:$B$30,0))/$AF108,2)),"—")</f>
        <v>—</v>
      </c>
      <c r="T108" s="28" t="str">
        <f>IF(AND($C108="",$D108="",NOT(ISNUMBER($E108))),"",IF($G108="",IF(Setup!$C$17="","Equal",Setup!$C$17),$G108))</f>
        <v/>
      </c>
      <c r="U108" s="29">
        <f>IF($T108="",0,IF(OR(Setup!$B$21="",Setup!$C$21="No"),0,IF(ISNUMBER(H108),H108,IF($T108="Weights",IF(ISNUMBER(Setup!$D$21),Setup!$D$21,0),IF($T108="Nights",IF(ISNUMBER(Setup!$E$21),Setup!$E$21,0),IF(OR($T108="Exact amounts",$T108="Custom units"),0,1))))))</f>
        <v>0</v>
      </c>
      <c r="V108" s="29">
        <f>IF($T108="",0,IF(OR(Setup!$B$22="",Setup!$C$22="No"),0,IF(ISNUMBER(I108),I108,IF($T108="Weights",IF(ISNUMBER(Setup!$D$22),Setup!$D$22,0),IF($T108="Nights",IF(ISNUMBER(Setup!$E$22),Setup!$E$22,0),IF(OR($T108="Exact amounts",$T108="Custom units"),0,1))))))</f>
        <v>0</v>
      </c>
      <c r="W108" s="29">
        <f>IF($T108="",0,IF(OR(Setup!$B$23="",Setup!$C$23="No"),0,IF(ISNUMBER(J108),J108,IF($T108="Weights",IF(ISNUMBER(Setup!$D$23),Setup!$D$23,0),IF($T108="Nights",IF(ISNUMBER(Setup!$E$23),Setup!$E$23,0),IF(OR($T108="Exact amounts",$T108="Custom units"),0,1))))))</f>
        <v>0</v>
      </c>
      <c r="X108" s="29">
        <f>IF($T108="",0,IF(OR(Setup!$B$24="",Setup!$C$24="No"),0,IF(ISNUMBER(K108),K108,IF($T108="Weights",IF(ISNUMBER(Setup!$D$24),Setup!$D$24,0),IF($T108="Nights",IF(ISNUMBER(Setup!$E$24),Setup!$E$24,0),IF(OR($T108="Exact amounts",$T108="Custom units"),0,1))))))</f>
        <v>0</v>
      </c>
      <c r="Y108" s="29">
        <f>IF($T108="",0,IF(OR(Setup!$B$25="",Setup!$C$25="No"),0,IF(ISNUMBER(L108),L108,IF($T108="Weights",IF(ISNUMBER(Setup!$D$25),Setup!$D$25,0),IF($T108="Nights",IF(ISNUMBER(Setup!$E$25),Setup!$E$25,0),IF(OR($T108="Exact amounts",$T108="Custom units"),0,1))))))</f>
        <v>0</v>
      </c>
      <c r="Z108" s="29">
        <f>IF($T108="",0,IF(OR(Setup!$B$26="",Setup!$C$26="No"),0,IF(ISNUMBER(M108),M108,IF($T108="Weights",IF(ISNUMBER(Setup!$D$26),Setup!$D$26,0),IF($T108="Nights",IF(ISNUMBER(Setup!$E$26),Setup!$E$26,0),IF(OR($T108="Exact amounts",$T108="Custom units"),0,1))))))</f>
        <v>0</v>
      </c>
      <c r="AA108" s="29">
        <f>IF($T108="",0,IF(OR(Setup!$B$27="",Setup!$C$27="No"),0,IF(ISNUMBER(N108),N108,IF($T108="Weights",IF(ISNUMBER(Setup!$D$27),Setup!$D$27,0),IF($T108="Nights",IF(ISNUMBER(Setup!$E$27),Setup!$E$27,0),IF(OR($T108="Exact amounts",$T108="Custom units"),0,1))))))</f>
        <v>0</v>
      </c>
      <c r="AB108" s="29">
        <f>IF($T108="",0,IF(OR(Setup!$B$28="",Setup!$C$28="No"),0,IF(ISNUMBER(O108),O108,IF($T108="Weights",IF(ISNUMBER(Setup!$D$28),Setup!$D$28,0),IF($T108="Nights",IF(ISNUMBER(Setup!$E$28),Setup!$E$28,0),IF(OR($T108="Exact amounts",$T108="Custom units"),0,1))))))</f>
        <v>0</v>
      </c>
      <c r="AC108" s="29">
        <f>IF($T108="",0,IF(OR(Setup!$B$29="",Setup!$C$29="No"),0,IF(ISNUMBER(P108),P108,IF($T108="Weights",IF(ISNUMBER(Setup!$D$29),Setup!$D$29,0),IF($T108="Nights",IF(ISNUMBER(Setup!$E$29),Setup!$E$29,0),IF(OR($T108="Exact amounts",$T108="Custom units"),0,1))))))</f>
        <v>0</v>
      </c>
      <c r="AD108" s="29">
        <f>IF($T108="",0,IF(OR(Setup!$B$30="",Setup!$C$30="No"),0,IF(ISNUMBER(Q108),Q108,IF($T108="Weights",IF(ISNUMBER(Setup!$D$30),Setup!$D$30,0),IF($T108="Nights",IF(ISNUMBER(Setup!$E$30),Setup!$E$30,0),IF(OR($T108="Exact amounts",$T108="Custom units"),0,1))))))</f>
        <v>0</v>
      </c>
      <c r="AE108" s="29">
        <f t="shared" si="5"/>
        <v>0</v>
      </c>
      <c r="AF108" s="30">
        <f t="shared" si="6"/>
        <v>1</v>
      </c>
      <c r="AG108" s="29">
        <f t="shared" si="7"/>
        <v>0</v>
      </c>
    </row>
    <row r="109" spans="1:33" ht="16" x14ac:dyDescent="0.2">
      <c r="A109" s="22" t="str">
        <f t="shared" si="4"/>
        <v>—</v>
      </c>
      <c r="B109" s="31"/>
      <c r="C109" s="11"/>
      <c r="D109" s="11"/>
      <c r="E109" s="32"/>
      <c r="F109" s="11"/>
      <c r="G109" s="11"/>
      <c r="H109" s="33"/>
      <c r="I109" s="33"/>
      <c r="J109" s="33"/>
      <c r="K109" s="33"/>
      <c r="L109" s="33"/>
      <c r="M109" s="33"/>
      <c r="N109" s="33"/>
      <c r="O109" s="33"/>
      <c r="P109" s="33"/>
      <c r="Q109" s="33"/>
      <c r="R109" s="26" t="str">
        <f>IF($T109="","",IF($D109="","Who paid?",IF(SUMPRODUCT((Setup!$B$21:$B$30=$D109)*1)=0,"Payer is not in the member list on Setup",IF($E109="","Amount missing — type the number in column E",IF(NOT(ISNUMBER($E109)),"Amount must be a plain number — no currency symbol, no text",IF(AND($T109="Custom units",$AE109&lt;=0),"Custom units: nobody has units on this row — type a number for at least one person",IF($AE109&lt;=0,"Nobody shares this row — check the person columns H–Q, and the Weight / Nights columns on Setup",IF(AND($T109="Exact amounts",ABS($AE109-$AG109)&gt;0.01),"Exact amounts do not add up to the amount","OK"))))))))</f>
        <v/>
      </c>
      <c r="S109" s="27" t="str">
        <f>IFERROR(IF(OR($T109="",$C$4=""),"—",ROUND($AG109*INDEX($U109:$AD109,1,MATCH($C$4,Setup!$B$21:$B$30,0))/$AF109,2)),"—")</f>
        <v>—</v>
      </c>
      <c r="T109" s="28" t="str">
        <f>IF(AND($C109="",$D109="",NOT(ISNUMBER($E109))),"",IF($G109="",IF(Setup!$C$17="","Equal",Setup!$C$17),$G109))</f>
        <v/>
      </c>
      <c r="U109" s="29">
        <f>IF($T109="",0,IF(OR(Setup!$B$21="",Setup!$C$21="No"),0,IF(ISNUMBER(H109),H109,IF($T109="Weights",IF(ISNUMBER(Setup!$D$21),Setup!$D$21,0),IF($T109="Nights",IF(ISNUMBER(Setup!$E$21),Setup!$E$21,0),IF(OR($T109="Exact amounts",$T109="Custom units"),0,1))))))</f>
        <v>0</v>
      </c>
      <c r="V109" s="29">
        <f>IF($T109="",0,IF(OR(Setup!$B$22="",Setup!$C$22="No"),0,IF(ISNUMBER(I109),I109,IF($T109="Weights",IF(ISNUMBER(Setup!$D$22),Setup!$D$22,0),IF($T109="Nights",IF(ISNUMBER(Setup!$E$22),Setup!$E$22,0),IF(OR($T109="Exact amounts",$T109="Custom units"),0,1))))))</f>
        <v>0</v>
      </c>
      <c r="W109" s="29">
        <f>IF($T109="",0,IF(OR(Setup!$B$23="",Setup!$C$23="No"),0,IF(ISNUMBER(J109),J109,IF($T109="Weights",IF(ISNUMBER(Setup!$D$23),Setup!$D$23,0),IF($T109="Nights",IF(ISNUMBER(Setup!$E$23),Setup!$E$23,0),IF(OR($T109="Exact amounts",$T109="Custom units"),0,1))))))</f>
        <v>0</v>
      </c>
      <c r="X109" s="29">
        <f>IF($T109="",0,IF(OR(Setup!$B$24="",Setup!$C$24="No"),0,IF(ISNUMBER(K109),K109,IF($T109="Weights",IF(ISNUMBER(Setup!$D$24),Setup!$D$24,0),IF($T109="Nights",IF(ISNUMBER(Setup!$E$24),Setup!$E$24,0),IF(OR($T109="Exact amounts",$T109="Custom units"),0,1))))))</f>
        <v>0</v>
      </c>
      <c r="Y109" s="29">
        <f>IF($T109="",0,IF(OR(Setup!$B$25="",Setup!$C$25="No"),0,IF(ISNUMBER(L109),L109,IF($T109="Weights",IF(ISNUMBER(Setup!$D$25),Setup!$D$25,0),IF($T109="Nights",IF(ISNUMBER(Setup!$E$25),Setup!$E$25,0),IF(OR($T109="Exact amounts",$T109="Custom units"),0,1))))))</f>
        <v>0</v>
      </c>
      <c r="Z109" s="29">
        <f>IF($T109="",0,IF(OR(Setup!$B$26="",Setup!$C$26="No"),0,IF(ISNUMBER(M109),M109,IF($T109="Weights",IF(ISNUMBER(Setup!$D$26),Setup!$D$26,0),IF($T109="Nights",IF(ISNUMBER(Setup!$E$26),Setup!$E$26,0),IF(OR($T109="Exact amounts",$T109="Custom units"),0,1))))))</f>
        <v>0</v>
      </c>
      <c r="AA109" s="29">
        <f>IF($T109="",0,IF(OR(Setup!$B$27="",Setup!$C$27="No"),0,IF(ISNUMBER(N109),N109,IF($T109="Weights",IF(ISNUMBER(Setup!$D$27),Setup!$D$27,0),IF($T109="Nights",IF(ISNUMBER(Setup!$E$27),Setup!$E$27,0),IF(OR($T109="Exact amounts",$T109="Custom units"),0,1))))))</f>
        <v>0</v>
      </c>
      <c r="AB109" s="29">
        <f>IF($T109="",0,IF(OR(Setup!$B$28="",Setup!$C$28="No"),0,IF(ISNUMBER(O109),O109,IF($T109="Weights",IF(ISNUMBER(Setup!$D$28),Setup!$D$28,0),IF($T109="Nights",IF(ISNUMBER(Setup!$E$28),Setup!$E$28,0),IF(OR($T109="Exact amounts",$T109="Custom units"),0,1))))))</f>
        <v>0</v>
      </c>
      <c r="AC109" s="29">
        <f>IF($T109="",0,IF(OR(Setup!$B$29="",Setup!$C$29="No"),0,IF(ISNUMBER(P109),P109,IF($T109="Weights",IF(ISNUMBER(Setup!$D$29),Setup!$D$29,0),IF($T109="Nights",IF(ISNUMBER(Setup!$E$29),Setup!$E$29,0),IF(OR($T109="Exact amounts",$T109="Custom units"),0,1))))))</f>
        <v>0</v>
      </c>
      <c r="AD109" s="29">
        <f>IF($T109="",0,IF(OR(Setup!$B$30="",Setup!$C$30="No"),0,IF(ISNUMBER(Q109),Q109,IF($T109="Weights",IF(ISNUMBER(Setup!$D$30),Setup!$D$30,0),IF($T109="Nights",IF(ISNUMBER(Setup!$E$30),Setup!$E$30,0),IF(OR($T109="Exact amounts",$T109="Custom units"),0,1))))))</f>
        <v>0</v>
      </c>
      <c r="AE109" s="29">
        <f t="shared" si="5"/>
        <v>0</v>
      </c>
      <c r="AF109" s="30">
        <f t="shared" si="6"/>
        <v>1</v>
      </c>
      <c r="AG109" s="29">
        <f t="shared" si="7"/>
        <v>0</v>
      </c>
    </row>
    <row r="110" spans="1:33" ht="16" x14ac:dyDescent="0.2">
      <c r="A110" s="22" t="str">
        <f t="shared" si="4"/>
        <v>—</v>
      </c>
      <c r="B110" s="23"/>
      <c r="C110" s="16"/>
      <c r="D110" s="16"/>
      <c r="E110" s="24"/>
      <c r="F110" s="16"/>
      <c r="G110" s="16"/>
      <c r="H110" s="25"/>
      <c r="I110" s="25"/>
      <c r="J110" s="25"/>
      <c r="K110" s="25"/>
      <c r="L110" s="25"/>
      <c r="M110" s="25"/>
      <c r="N110" s="25"/>
      <c r="O110" s="25"/>
      <c r="P110" s="25"/>
      <c r="Q110" s="25"/>
      <c r="R110" s="26" t="str">
        <f>IF($T110="","",IF($D110="","Who paid?",IF(SUMPRODUCT((Setup!$B$21:$B$30=$D110)*1)=0,"Payer is not in the member list on Setup",IF($E110="","Amount missing — type the number in column E",IF(NOT(ISNUMBER($E110)),"Amount must be a plain number — no currency symbol, no text",IF(AND($T110="Custom units",$AE110&lt;=0),"Custom units: nobody has units on this row — type a number for at least one person",IF($AE110&lt;=0,"Nobody shares this row — check the person columns H–Q, and the Weight / Nights columns on Setup",IF(AND($T110="Exact amounts",ABS($AE110-$AG110)&gt;0.01),"Exact amounts do not add up to the amount","OK"))))))))</f>
        <v/>
      </c>
      <c r="S110" s="27" t="str">
        <f>IFERROR(IF(OR($T110="",$C$4=""),"—",ROUND($AG110*INDEX($U110:$AD110,1,MATCH($C$4,Setup!$B$21:$B$30,0))/$AF110,2)),"—")</f>
        <v>—</v>
      </c>
      <c r="T110" s="28" t="str">
        <f>IF(AND($C110="",$D110="",NOT(ISNUMBER($E110))),"",IF($G110="",IF(Setup!$C$17="","Equal",Setup!$C$17),$G110))</f>
        <v/>
      </c>
      <c r="U110" s="29">
        <f>IF($T110="",0,IF(OR(Setup!$B$21="",Setup!$C$21="No"),0,IF(ISNUMBER(H110),H110,IF($T110="Weights",IF(ISNUMBER(Setup!$D$21),Setup!$D$21,0),IF($T110="Nights",IF(ISNUMBER(Setup!$E$21),Setup!$E$21,0),IF(OR($T110="Exact amounts",$T110="Custom units"),0,1))))))</f>
        <v>0</v>
      </c>
      <c r="V110" s="29">
        <f>IF($T110="",0,IF(OR(Setup!$B$22="",Setup!$C$22="No"),0,IF(ISNUMBER(I110),I110,IF($T110="Weights",IF(ISNUMBER(Setup!$D$22),Setup!$D$22,0),IF($T110="Nights",IF(ISNUMBER(Setup!$E$22),Setup!$E$22,0),IF(OR($T110="Exact amounts",$T110="Custom units"),0,1))))))</f>
        <v>0</v>
      </c>
      <c r="W110" s="29">
        <f>IF($T110="",0,IF(OR(Setup!$B$23="",Setup!$C$23="No"),0,IF(ISNUMBER(J110),J110,IF($T110="Weights",IF(ISNUMBER(Setup!$D$23),Setup!$D$23,0),IF($T110="Nights",IF(ISNUMBER(Setup!$E$23),Setup!$E$23,0),IF(OR($T110="Exact amounts",$T110="Custom units"),0,1))))))</f>
        <v>0</v>
      </c>
      <c r="X110" s="29">
        <f>IF($T110="",0,IF(OR(Setup!$B$24="",Setup!$C$24="No"),0,IF(ISNUMBER(K110),K110,IF($T110="Weights",IF(ISNUMBER(Setup!$D$24),Setup!$D$24,0),IF($T110="Nights",IF(ISNUMBER(Setup!$E$24),Setup!$E$24,0),IF(OR($T110="Exact amounts",$T110="Custom units"),0,1))))))</f>
        <v>0</v>
      </c>
      <c r="Y110" s="29">
        <f>IF($T110="",0,IF(OR(Setup!$B$25="",Setup!$C$25="No"),0,IF(ISNUMBER(L110),L110,IF($T110="Weights",IF(ISNUMBER(Setup!$D$25),Setup!$D$25,0),IF($T110="Nights",IF(ISNUMBER(Setup!$E$25),Setup!$E$25,0),IF(OR($T110="Exact amounts",$T110="Custom units"),0,1))))))</f>
        <v>0</v>
      </c>
      <c r="Z110" s="29">
        <f>IF($T110="",0,IF(OR(Setup!$B$26="",Setup!$C$26="No"),0,IF(ISNUMBER(M110),M110,IF($T110="Weights",IF(ISNUMBER(Setup!$D$26),Setup!$D$26,0),IF($T110="Nights",IF(ISNUMBER(Setup!$E$26),Setup!$E$26,0),IF(OR($T110="Exact amounts",$T110="Custom units"),0,1))))))</f>
        <v>0</v>
      </c>
      <c r="AA110" s="29">
        <f>IF($T110="",0,IF(OR(Setup!$B$27="",Setup!$C$27="No"),0,IF(ISNUMBER(N110),N110,IF($T110="Weights",IF(ISNUMBER(Setup!$D$27),Setup!$D$27,0),IF($T110="Nights",IF(ISNUMBER(Setup!$E$27),Setup!$E$27,0),IF(OR($T110="Exact amounts",$T110="Custom units"),0,1))))))</f>
        <v>0</v>
      </c>
      <c r="AB110" s="29">
        <f>IF($T110="",0,IF(OR(Setup!$B$28="",Setup!$C$28="No"),0,IF(ISNUMBER(O110),O110,IF($T110="Weights",IF(ISNUMBER(Setup!$D$28),Setup!$D$28,0),IF($T110="Nights",IF(ISNUMBER(Setup!$E$28),Setup!$E$28,0),IF(OR($T110="Exact amounts",$T110="Custom units"),0,1))))))</f>
        <v>0</v>
      </c>
      <c r="AC110" s="29">
        <f>IF($T110="",0,IF(OR(Setup!$B$29="",Setup!$C$29="No"),0,IF(ISNUMBER(P110),P110,IF($T110="Weights",IF(ISNUMBER(Setup!$D$29),Setup!$D$29,0),IF($T110="Nights",IF(ISNUMBER(Setup!$E$29),Setup!$E$29,0),IF(OR($T110="Exact amounts",$T110="Custom units"),0,1))))))</f>
        <v>0</v>
      </c>
      <c r="AD110" s="29">
        <f>IF($T110="",0,IF(OR(Setup!$B$30="",Setup!$C$30="No"),0,IF(ISNUMBER(Q110),Q110,IF($T110="Weights",IF(ISNUMBER(Setup!$D$30),Setup!$D$30,0),IF($T110="Nights",IF(ISNUMBER(Setup!$E$30),Setup!$E$30,0),IF(OR($T110="Exact amounts",$T110="Custom units"),0,1))))))</f>
        <v>0</v>
      </c>
      <c r="AE110" s="29">
        <f t="shared" si="5"/>
        <v>0</v>
      </c>
      <c r="AF110" s="30">
        <f t="shared" si="6"/>
        <v>1</v>
      </c>
      <c r="AG110" s="29">
        <f t="shared" si="7"/>
        <v>0</v>
      </c>
    </row>
    <row r="111" spans="1:33" ht="16" x14ac:dyDescent="0.2">
      <c r="A111" s="22" t="str">
        <f t="shared" si="4"/>
        <v>—</v>
      </c>
      <c r="B111" s="31"/>
      <c r="C111" s="11"/>
      <c r="D111" s="11"/>
      <c r="E111" s="32"/>
      <c r="F111" s="11"/>
      <c r="G111" s="11"/>
      <c r="H111" s="33"/>
      <c r="I111" s="33"/>
      <c r="J111" s="33"/>
      <c r="K111" s="33"/>
      <c r="L111" s="33"/>
      <c r="M111" s="33"/>
      <c r="N111" s="33"/>
      <c r="O111" s="33"/>
      <c r="P111" s="33"/>
      <c r="Q111" s="33"/>
      <c r="R111" s="26" t="str">
        <f>IF($T111="","",IF($D111="","Who paid?",IF(SUMPRODUCT((Setup!$B$21:$B$30=$D111)*1)=0,"Payer is not in the member list on Setup",IF($E111="","Amount missing — type the number in column E",IF(NOT(ISNUMBER($E111)),"Amount must be a plain number — no currency symbol, no text",IF(AND($T111="Custom units",$AE111&lt;=0),"Custom units: nobody has units on this row — type a number for at least one person",IF($AE111&lt;=0,"Nobody shares this row — check the person columns H–Q, and the Weight / Nights columns on Setup",IF(AND($T111="Exact amounts",ABS($AE111-$AG111)&gt;0.01),"Exact amounts do not add up to the amount","OK"))))))))</f>
        <v/>
      </c>
      <c r="S111" s="27" t="str">
        <f>IFERROR(IF(OR($T111="",$C$4=""),"—",ROUND($AG111*INDEX($U111:$AD111,1,MATCH($C$4,Setup!$B$21:$B$30,0))/$AF111,2)),"—")</f>
        <v>—</v>
      </c>
      <c r="T111" s="28" t="str">
        <f>IF(AND($C111="",$D111="",NOT(ISNUMBER($E111))),"",IF($G111="",IF(Setup!$C$17="","Equal",Setup!$C$17),$G111))</f>
        <v/>
      </c>
      <c r="U111" s="29">
        <f>IF($T111="",0,IF(OR(Setup!$B$21="",Setup!$C$21="No"),0,IF(ISNUMBER(H111),H111,IF($T111="Weights",IF(ISNUMBER(Setup!$D$21),Setup!$D$21,0),IF($T111="Nights",IF(ISNUMBER(Setup!$E$21),Setup!$E$21,0),IF(OR($T111="Exact amounts",$T111="Custom units"),0,1))))))</f>
        <v>0</v>
      </c>
      <c r="V111" s="29">
        <f>IF($T111="",0,IF(OR(Setup!$B$22="",Setup!$C$22="No"),0,IF(ISNUMBER(I111),I111,IF($T111="Weights",IF(ISNUMBER(Setup!$D$22),Setup!$D$22,0),IF($T111="Nights",IF(ISNUMBER(Setup!$E$22),Setup!$E$22,0),IF(OR($T111="Exact amounts",$T111="Custom units"),0,1))))))</f>
        <v>0</v>
      </c>
      <c r="W111" s="29">
        <f>IF($T111="",0,IF(OR(Setup!$B$23="",Setup!$C$23="No"),0,IF(ISNUMBER(J111),J111,IF($T111="Weights",IF(ISNUMBER(Setup!$D$23),Setup!$D$23,0),IF($T111="Nights",IF(ISNUMBER(Setup!$E$23),Setup!$E$23,0),IF(OR($T111="Exact amounts",$T111="Custom units"),0,1))))))</f>
        <v>0</v>
      </c>
      <c r="X111" s="29">
        <f>IF($T111="",0,IF(OR(Setup!$B$24="",Setup!$C$24="No"),0,IF(ISNUMBER(K111),K111,IF($T111="Weights",IF(ISNUMBER(Setup!$D$24),Setup!$D$24,0),IF($T111="Nights",IF(ISNUMBER(Setup!$E$24),Setup!$E$24,0),IF(OR($T111="Exact amounts",$T111="Custom units"),0,1))))))</f>
        <v>0</v>
      </c>
      <c r="Y111" s="29">
        <f>IF($T111="",0,IF(OR(Setup!$B$25="",Setup!$C$25="No"),0,IF(ISNUMBER(L111),L111,IF($T111="Weights",IF(ISNUMBER(Setup!$D$25),Setup!$D$25,0),IF($T111="Nights",IF(ISNUMBER(Setup!$E$25),Setup!$E$25,0),IF(OR($T111="Exact amounts",$T111="Custom units"),0,1))))))</f>
        <v>0</v>
      </c>
      <c r="Z111" s="29">
        <f>IF($T111="",0,IF(OR(Setup!$B$26="",Setup!$C$26="No"),0,IF(ISNUMBER(M111),M111,IF($T111="Weights",IF(ISNUMBER(Setup!$D$26),Setup!$D$26,0),IF($T111="Nights",IF(ISNUMBER(Setup!$E$26),Setup!$E$26,0),IF(OR($T111="Exact amounts",$T111="Custom units"),0,1))))))</f>
        <v>0</v>
      </c>
      <c r="AA111" s="29">
        <f>IF($T111="",0,IF(OR(Setup!$B$27="",Setup!$C$27="No"),0,IF(ISNUMBER(N111),N111,IF($T111="Weights",IF(ISNUMBER(Setup!$D$27),Setup!$D$27,0),IF($T111="Nights",IF(ISNUMBER(Setup!$E$27),Setup!$E$27,0),IF(OR($T111="Exact amounts",$T111="Custom units"),0,1))))))</f>
        <v>0</v>
      </c>
      <c r="AB111" s="29">
        <f>IF($T111="",0,IF(OR(Setup!$B$28="",Setup!$C$28="No"),0,IF(ISNUMBER(O111),O111,IF($T111="Weights",IF(ISNUMBER(Setup!$D$28),Setup!$D$28,0),IF($T111="Nights",IF(ISNUMBER(Setup!$E$28),Setup!$E$28,0),IF(OR($T111="Exact amounts",$T111="Custom units"),0,1))))))</f>
        <v>0</v>
      </c>
      <c r="AC111" s="29">
        <f>IF($T111="",0,IF(OR(Setup!$B$29="",Setup!$C$29="No"),0,IF(ISNUMBER(P111),P111,IF($T111="Weights",IF(ISNUMBER(Setup!$D$29),Setup!$D$29,0),IF($T111="Nights",IF(ISNUMBER(Setup!$E$29),Setup!$E$29,0),IF(OR($T111="Exact amounts",$T111="Custom units"),0,1))))))</f>
        <v>0</v>
      </c>
      <c r="AD111" s="29">
        <f>IF($T111="",0,IF(OR(Setup!$B$30="",Setup!$C$30="No"),0,IF(ISNUMBER(Q111),Q111,IF($T111="Weights",IF(ISNUMBER(Setup!$D$30),Setup!$D$30,0),IF($T111="Nights",IF(ISNUMBER(Setup!$E$30),Setup!$E$30,0),IF(OR($T111="Exact amounts",$T111="Custom units"),0,1))))))</f>
        <v>0</v>
      </c>
      <c r="AE111" s="29">
        <f t="shared" si="5"/>
        <v>0</v>
      </c>
      <c r="AF111" s="30">
        <f t="shared" si="6"/>
        <v>1</v>
      </c>
      <c r="AG111" s="29">
        <f t="shared" si="7"/>
        <v>0</v>
      </c>
    </row>
    <row r="112" spans="1:33" ht="16" x14ac:dyDescent="0.2">
      <c r="A112" s="22" t="str">
        <f t="shared" si="4"/>
        <v>—</v>
      </c>
      <c r="B112" s="23"/>
      <c r="C112" s="16"/>
      <c r="D112" s="16"/>
      <c r="E112" s="24"/>
      <c r="F112" s="16"/>
      <c r="G112" s="16"/>
      <c r="H112" s="25"/>
      <c r="I112" s="25"/>
      <c r="J112" s="25"/>
      <c r="K112" s="25"/>
      <c r="L112" s="25"/>
      <c r="M112" s="25"/>
      <c r="N112" s="25"/>
      <c r="O112" s="25"/>
      <c r="P112" s="25"/>
      <c r="Q112" s="25"/>
      <c r="R112" s="26" t="str">
        <f>IF($T112="","",IF($D112="","Who paid?",IF(SUMPRODUCT((Setup!$B$21:$B$30=$D112)*1)=0,"Payer is not in the member list on Setup",IF($E112="","Amount missing — type the number in column E",IF(NOT(ISNUMBER($E112)),"Amount must be a plain number — no currency symbol, no text",IF(AND($T112="Custom units",$AE112&lt;=0),"Custom units: nobody has units on this row — type a number for at least one person",IF($AE112&lt;=0,"Nobody shares this row — check the person columns H–Q, and the Weight / Nights columns on Setup",IF(AND($T112="Exact amounts",ABS($AE112-$AG112)&gt;0.01),"Exact amounts do not add up to the amount","OK"))))))))</f>
        <v/>
      </c>
      <c r="S112" s="27" t="str">
        <f>IFERROR(IF(OR($T112="",$C$4=""),"—",ROUND($AG112*INDEX($U112:$AD112,1,MATCH($C$4,Setup!$B$21:$B$30,0))/$AF112,2)),"—")</f>
        <v>—</v>
      </c>
      <c r="T112" s="28" t="str">
        <f>IF(AND($C112="",$D112="",NOT(ISNUMBER($E112))),"",IF($G112="",IF(Setup!$C$17="","Equal",Setup!$C$17),$G112))</f>
        <v/>
      </c>
      <c r="U112" s="29">
        <f>IF($T112="",0,IF(OR(Setup!$B$21="",Setup!$C$21="No"),0,IF(ISNUMBER(H112),H112,IF($T112="Weights",IF(ISNUMBER(Setup!$D$21),Setup!$D$21,0),IF($T112="Nights",IF(ISNUMBER(Setup!$E$21),Setup!$E$21,0),IF(OR($T112="Exact amounts",$T112="Custom units"),0,1))))))</f>
        <v>0</v>
      </c>
      <c r="V112" s="29">
        <f>IF($T112="",0,IF(OR(Setup!$B$22="",Setup!$C$22="No"),0,IF(ISNUMBER(I112),I112,IF($T112="Weights",IF(ISNUMBER(Setup!$D$22),Setup!$D$22,0),IF($T112="Nights",IF(ISNUMBER(Setup!$E$22),Setup!$E$22,0),IF(OR($T112="Exact amounts",$T112="Custom units"),0,1))))))</f>
        <v>0</v>
      </c>
      <c r="W112" s="29">
        <f>IF($T112="",0,IF(OR(Setup!$B$23="",Setup!$C$23="No"),0,IF(ISNUMBER(J112),J112,IF($T112="Weights",IF(ISNUMBER(Setup!$D$23),Setup!$D$23,0),IF($T112="Nights",IF(ISNUMBER(Setup!$E$23),Setup!$E$23,0),IF(OR($T112="Exact amounts",$T112="Custom units"),0,1))))))</f>
        <v>0</v>
      </c>
      <c r="X112" s="29">
        <f>IF($T112="",0,IF(OR(Setup!$B$24="",Setup!$C$24="No"),0,IF(ISNUMBER(K112),K112,IF($T112="Weights",IF(ISNUMBER(Setup!$D$24),Setup!$D$24,0),IF($T112="Nights",IF(ISNUMBER(Setup!$E$24),Setup!$E$24,0),IF(OR($T112="Exact amounts",$T112="Custom units"),0,1))))))</f>
        <v>0</v>
      </c>
      <c r="Y112" s="29">
        <f>IF($T112="",0,IF(OR(Setup!$B$25="",Setup!$C$25="No"),0,IF(ISNUMBER(L112),L112,IF($T112="Weights",IF(ISNUMBER(Setup!$D$25),Setup!$D$25,0),IF($T112="Nights",IF(ISNUMBER(Setup!$E$25),Setup!$E$25,0),IF(OR($T112="Exact amounts",$T112="Custom units"),0,1))))))</f>
        <v>0</v>
      </c>
      <c r="Z112" s="29">
        <f>IF($T112="",0,IF(OR(Setup!$B$26="",Setup!$C$26="No"),0,IF(ISNUMBER(M112),M112,IF($T112="Weights",IF(ISNUMBER(Setup!$D$26),Setup!$D$26,0),IF($T112="Nights",IF(ISNUMBER(Setup!$E$26),Setup!$E$26,0),IF(OR($T112="Exact amounts",$T112="Custom units"),0,1))))))</f>
        <v>0</v>
      </c>
      <c r="AA112" s="29">
        <f>IF($T112="",0,IF(OR(Setup!$B$27="",Setup!$C$27="No"),0,IF(ISNUMBER(N112),N112,IF($T112="Weights",IF(ISNUMBER(Setup!$D$27),Setup!$D$27,0),IF($T112="Nights",IF(ISNUMBER(Setup!$E$27),Setup!$E$27,0),IF(OR($T112="Exact amounts",$T112="Custom units"),0,1))))))</f>
        <v>0</v>
      </c>
      <c r="AB112" s="29">
        <f>IF($T112="",0,IF(OR(Setup!$B$28="",Setup!$C$28="No"),0,IF(ISNUMBER(O112),O112,IF($T112="Weights",IF(ISNUMBER(Setup!$D$28),Setup!$D$28,0),IF($T112="Nights",IF(ISNUMBER(Setup!$E$28),Setup!$E$28,0),IF(OR($T112="Exact amounts",$T112="Custom units"),0,1))))))</f>
        <v>0</v>
      </c>
      <c r="AC112" s="29">
        <f>IF($T112="",0,IF(OR(Setup!$B$29="",Setup!$C$29="No"),0,IF(ISNUMBER(P112),P112,IF($T112="Weights",IF(ISNUMBER(Setup!$D$29),Setup!$D$29,0),IF($T112="Nights",IF(ISNUMBER(Setup!$E$29),Setup!$E$29,0),IF(OR($T112="Exact amounts",$T112="Custom units"),0,1))))))</f>
        <v>0</v>
      </c>
      <c r="AD112" s="29">
        <f>IF($T112="",0,IF(OR(Setup!$B$30="",Setup!$C$30="No"),0,IF(ISNUMBER(Q112),Q112,IF($T112="Weights",IF(ISNUMBER(Setup!$D$30),Setup!$D$30,0),IF($T112="Nights",IF(ISNUMBER(Setup!$E$30),Setup!$E$30,0),IF(OR($T112="Exact amounts",$T112="Custom units"),0,1))))))</f>
        <v>0</v>
      </c>
      <c r="AE112" s="29">
        <f t="shared" si="5"/>
        <v>0</v>
      </c>
      <c r="AF112" s="30">
        <f t="shared" si="6"/>
        <v>1</v>
      </c>
      <c r="AG112" s="29">
        <f t="shared" si="7"/>
        <v>0</v>
      </c>
    </row>
    <row r="113" spans="1:33" ht="16" x14ac:dyDescent="0.2">
      <c r="A113" s="22" t="str">
        <f t="shared" si="4"/>
        <v>—</v>
      </c>
      <c r="B113" s="31"/>
      <c r="C113" s="11"/>
      <c r="D113" s="11"/>
      <c r="E113" s="32"/>
      <c r="F113" s="11"/>
      <c r="G113" s="11"/>
      <c r="H113" s="33"/>
      <c r="I113" s="33"/>
      <c r="J113" s="33"/>
      <c r="K113" s="33"/>
      <c r="L113" s="33"/>
      <c r="M113" s="33"/>
      <c r="N113" s="33"/>
      <c r="O113" s="33"/>
      <c r="P113" s="33"/>
      <c r="Q113" s="33"/>
      <c r="R113" s="26" t="str">
        <f>IF($T113="","",IF($D113="","Who paid?",IF(SUMPRODUCT((Setup!$B$21:$B$30=$D113)*1)=0,"Payer is not in the member list on Setup",IF($E113="","Amount missing — type the number in column E",IF(NOT(ISNUMBER($E113)),"Amount must be a plain number — no currency symbol, no text",IF(AND($T113="Custom units",$AE113&lt;=0),"Custom units: nobody has units on this row — type a number for at least one person",IF($AE113&lt;=0,"Nobody shares this row — check the person columns H–Q, and the Weight / Nights columns on Setup",IF(AND($T113="Exact amounts",ABS($AE113-$AG113)&gt;0.01),"Exact amounts do not add up to the amount","OK"))))))))</f>
        <v/>
      </c>
      <c r="S113" s="27" t="str">
        <f>IFERROR(IF(OR($T113="",$C$4=""),"—",ROUND($AG113*INDEX($U113:$AD113,1,MATCH($C$4,Setup!$B$21:$B$30,0))/$AF113,2)),"—")</f>
        <v>—</v>
      </c>
      <c r="T113" s="28" t="str">
        <f>IF(AND($C113="",$D113="",NOT(ISNUMBER($E113))),"",IF($G113="",IF(Setup!$C$17="","Equal",Setup!$C$17),$G113))</f>
        <v/>
      </c>
      <c r="U113" s="29">
        <f>IF($T113="",0,IF(OR(Setup!$B$21="",Setup!$C$21="No"),0,IF(ISNUMBER(H113),H113,IF($T113="Weights",IF(ISNUMBER(Setup!$D$21),Setup!$D$21,0),IF($T113="Nights",IF(ISNUMBER(Setup!$E$21),Setup!$E$21,0),IF(OR($T113="Exact amounts",$T113="Custom units"),0,1))))))</f>
        <v>0</v>
      </c>
      <c r="V113" s="29">
        <f>IF($T113="",0,IF(OR(Setup!$B$22="",Setup!$C$22="No"),0,IF(ISNUMBER(I113),I113,IF($T113="Weights",IF(ISNUMBER(Setup!$D$22),Setup!$D$22,0),IF($T113="Nights",IF(ISNUMBER(Setup!$E$22),Setup!$E$22,0),IF(OR($T113="Exact amounts",$T113="Custom units"),0,1))))))</f>
        <v>0</v>
      </c>
      <c r="W113" s="29">
        <f>IF($T113="",0,IF(OR(Setup!$B$23="",Setup!$C$23="No"),0,IF(ISNUMBER(J113),J113,IF($T113="Weights",IF(ISNUMBER(Setup!$D$23),Setup!$D$23,0),IF($T113="Nights",IF(ISNUMBER(Setup!$E$23),Setup!$E$23,0),IF(OR($T113="Exact amounts",$T113="Custom units"),0,1))))))</f>
        <v>0</v>
      </c>
      <c r="X113" s="29">
        <f>IF($T113="",0,IF(OR(Setup!$B$24="",Setup!$C$24="No"),0,IF(ISNUMBER(K113),K113,IF($T113="Weights",IF(ISNUMBER(Setup!$D$24),Setup!$D$24,0),IF($T113="Nights",IF(ISNUMBER(Setup!$E$24),Setup!$E$24,0),IF(OR($T113="Exact amounts",$T113="Custom units"),0,1))))))</f>
        <v>0</v>
      </c>
      <c r="Y113" s="29">
        <f>IF($T113="",0,IF(OR(Setup!$B$25="",Setup!$C$25="No"),0,IF(ISNUMBER(L113),L113,IF($T113="Weights",IF(ISNUMBER(Setup!$D$25),Setup!$D$25,0),IF($T113="Nights",IF(ISNUMBER(Setup!$E$25),Setup!$E$25,0),IF(OR($T113="Exact amounts",$T113="Custom units"),0,1))))))</f>
        <v>0</v>
      </c>
      <c r="Z113" s="29">
        <f>IF($T113="",0,IF(OR(Setup!$B$26="",Setup!$C$26="No"),0,IF(ISNUMBER(M113),M113,IF($T113="Weights",IF(ISNUMBER(Setup!$D$26),Setup!$D$26,0),IF($T113="Nights",IF(ISNUMBER(Setup!$E$26),Setup!$E$26,0),IF(OR($T113="Exact amounts",$T113="Custom units"),0,1))))))</f>
        <v>0</v>
      </c>
      <c r="AA113" s="29">
        <f>IF($T113="",0,IF(OR(Setup!$B$27="",Setup!$C$27="No"),0,IF(ISNUMBER(N113),N113,IF($T113="Weights",IF(ISNUMBER(Setup!$D$27),Setup!$D$27,0),IF($T113="Nights",IF(ISNUMBER(Setup!$E$27),Setup!$E$27,0),IF(OR($T113="Exact amounts",$T113="Custom units"),0,1))))))</f>
        <v>0</v>
      </c>
      <c r="AB113" s="29">
        <f>IF($T113="",0,IF(OR(Setup!$B$28="",Setup!$C$28="No"),0,IF(ISNUMBER(O113),O113,IF($T113="Weights",IF(ISNUMBER(Setup!$D$28),Setup!$D$28,0),IF($T113="Nights",IF(ISNUMBER(Setup!$E$28),Setup!$E$28,0),IF(OR($T113="Exact amounts",$T113="Custom units"),0,1))))))</f>
        <v>0</v>
      </c>
      <c r="AC113" s="29">
        <f>IF($T113="",0,IF(OR(Setup!$B$29="",Setup!$C$29="No"),0,IF(ISNUMBER(P113),P113,IF($T113="Weights",IF(ISNUMBER(Setup!$D$29),Setup!$D$29,0),IF($T113="Nights",IF(ISNUMBER(Setup!$E$29),Setup!$E$29,0),IF(OR($T113="Exact amounts",$T113="Custom units"),0,1))))))</f>
        <v>0</v>
      </c>
      <c r="AD113" s="29">
        <f>IF($T113="",0,IF(OR(Setup!$B$30="",Setup!$C$30="No"),0,IF(ISNUMBER(Q113),Q113,IF($T113="Weights",IF(ISNUMBER(Setup!$D$30),Setup!$D$30,0),IF($T113="Nights",IF(ISNUMBER(Setup!$E$30),Setup!$E$30,0),IF(OR($T113="Exact amounts",$T113="Custom units"),0,1))))))</f>
        <v>0</v>
      </c>
      <c r="AE113" s="29">
        <f t="shared" si="5"/>
        <v>0</v>
      </c>
      <c r="AF113" s="30">
        <f t="shared" si="6"/>
        <v>1</v>
      </c>
      <c r="AG113" s="29">
        <f t="shared" si="7"/>
        <v>0</v>
      </c>
    </row>
    <row r="114" spans="1:33" ht="16" x14ac:dyDescent="0.2">
      <c r="A114" s="22" t="str">
        <f t="shared" si="4"/>
        <v>—</v>
      </c>
      <c r="B114" s="23"/>
      <c r="C114" s="16"/>
      <c r="D114" s="16"/>
      <c r="E114" s="24"/>
      <c r="F114" s="16"/>
      <c r="G114" s="16"/>
      <c r="H114" s="25"/>
      <c r="I114" s="25"/>
      <c r="J114" s="25"/>
      <c r="K114" s="25"/>
      <c r="L114" s="25"/>
      <c r="M114" s="25"/>
      <c r="N114" s="25"/>
      <c r="O114" s="25"/>
      <c r="P114" s="25"/>
      <c r="Q114" s="25"/>
      <c r="R114" s="26" t="str">
        <f>IF($T114="","",IF($D114="","Who paid?",IF(SUMPRODUCT((Setup!$B$21:$B$30=$D114)*1)=0,"Payer is not in the member list on Setup",IF($E114="","Amount missing — type the number in column E",IF(NOT(ISNUMBER($E114)),"Amount must be a plain number — no currency symbol, no text",IF(AND($T114="Custom units",$AE114&lt;=0),"Custom units: nobody has units on this row — type a number for at least one person",IF($AE114&lt;=0,"Nobody shares this row — check the person columns H–Q, and the Weight / Nights columns on Setup",IF(AND($T114="Exact amounts",ABS($AE114-$AG114)&gt;0.01),"Exact amounts do not add up to the amount","OK"))))))))</f>
        <v/>
      </c>
      <c r="S114" s="27" t="str">
        <f>IFERROR(IF(OR($T114="",$C$4=""),"—",ROUND($AG114*INDEX($U114:$AD114,1,MATCH($C$4,Setup!$B$21:$B$30,0))/$AF114,2)),"—")</f>
        <v>—</v>
      </c>
      <c r="T114" s="28" t="str">
        <f>IF(AND($C114="",$D114="",NOT(ISNUMBER($E114))),"",IF($G114="",IF(Setup!$C$17="","Equal",Setup!$C$17),$G114))</f>
        <v/>
      </c>
      <c r="U114" s="29">
        <f>IF($T114="",0,IF(OR(Setup!$B$21="",Setup!$C$21="No"),0,IF(ISNUMBER(H114),H114,IF($T114="Weights",IF(ISNUMBER(Setup!$D$21),Setup!$D$21,0),IF($T114="Nights",IF(ISNUMBER(Setup!$E$21),Setup!$E$21,0),IF(OR($T114="Exact amounts",$T114="Custom units"),0,1))))))</f>
        <v>0</v>
      </c>
      <c r="V114" s="29">
        <f>IF($T114="",0,IF(OR(Setup!$B$22="",Setup!$C$22="No"),0,IF(ISNUMBER(I114),I114,IF($T114="Weights",IF(ISNUMBER(Setup!$D$22),Setup!$D$22,0),IF($T114="Nights",IF(ISNUMBER(Setup!$E$22),Setup!$E$22,0),IF(OR($T114="Exact amounts",$T114="Custom units"),0,1))))))</f>
        <v>0</v>
      </c>
      <c r="W114" s="29">
        <f>IF($T114="",0,IF(OR(Setup!$B$23="",Setup!$C$23="No"),0,IF(ISNUMBER(J114),J114,IF($T114="Weights",IF(ISNUMBER(Setup!$D$23),Setup!$D$23,0),IF($T114="Nights",IF(ISNUMBER(Setup!$E$23),Setup!$E$23,0),IF(OR($T114="Exact amounts",$T114="Custom units"),0,1))))))</f>
        <v>0</v>
      </c>
      <c r="X114" s="29">
        <f>IF($T114="",0,IF(OR(Setup!$B$24="",Setup!$C$24="No"),0,IF(ISNUMBER(K114),K114,IF($T114="Weights",IF(ISNUMBER(Setup!$D$24),Setup!$D$24,0),IF($T114="Nights",IF(ISNUMBER(Setup!$E$24),Setup!$E$24,0),IF(OR($T114="Exact amounts",$T114="Custom units"),0,1))))))</f>
        <v>0</v>
      </c>
      <c r="Y114" s="29">
        <f>IF($T114="",0,IF(OR(Setup!$B$25="",Setup!$C$25="No"),0,IF(ISNUMBER(L114),L114,IF($T114="Weights",IF(ISNUMBER(Setup!$D$25),Setup!$D$25,0),IF($T114="Nights",IF(ISNUMBER(Setup!$E$25),Setup!$E$25,0),IF(OR($T114="Exact amounts",$T114="Custom units"),0,1))))))</f>
        <v>0</v>
      </c>
      <c r="Z114" s="29">
        <f>IF($T114="",0,IF(OR(Setup!$B$26="",Setup!$C$26="No"),0,IF(ISNUMBER(M114),M114,IF($T114="Weights",IF(ISNUMBER(Setup!$D$26),Setup!$D$26,0),IF($T114="Nights",IF(ISNUMBER(Setup!$E$26),Setup!$E$26,0),IF(OR($T114="Exact amounts",$T114="Custom units"),0,1))))))</f>
        <v>0</v>
      </c>
      <c r="AA114" s="29">
        <f>IF($T114="",0,IF(OR(Setup!$B$27="",Setup!$C$27="No"),0,IF(ISNUMBER(N114),N114,IF($T114="Weights",IF(ISNUMBER(Setup!$D$27),Setup!$D$27,0),IF($T114="Nights",IF(ISNUMBER(Setup!$E$27),Setup!$E$27,0),IF(OR($T114="Exact amounts",$T114="Custom units"),0,1))))))</f>
        <v>0</v>
      </c>
      <c r="AB114" s="29">
        <f>IF($T114="",0,IF(OR(Setup!$B$28="",Setup!$C$28="No"),0,IF(ISNUMBER(O114),O114,IF($T114="Weights",IF(ISNUMBER(Setup!$D$28),Setup!$D$28,0),IF($T114="Nights",IF(ISNUMBER(Setup!$E$28),Setup!$E$28,0),IF(OR($T114="Exact amounts",$T114="Custom units"),0,1))))))</f>
        <v>0</v>
      </c>
      <c r="AC114" s="29">
        <f>IF($T114="",0,IF(OR(Setup!$B$29="",Setup!$C$29="No"),0,IF(ISNUMBER(P114),P114,IF($T114="Weights",IF(ISNUMBER(Setup!$D$29),Setup!$D$29,0),IF($T114="Nights",IF(ISNUMBER(Setup!$E$29),Setup!$E$29,0),IF(OR($T114="Exact amounts",$T114="Custom units"),0,1))))))</f>
        <v>0</v>
      </c>
      <c r="AD114" s="29">
        <f>IF($T114="",0,IF(OR(Setup!$B$30="",Setup!$C$30="No"),0,IF(ISNUMBER(Q114),Q114,IF($T114="Weights",IF(ISNUMBER(Setup!$D$30),Setup!$D$30,0),IF($T114="Nights",IF(ISNUMBER(Setup!$E$30),Setup!$E$30,0),IF(OR($T114="Exact amounts",$T114="Custom units"),0,1))))))</f>
        <v>0</v>
      </c>
      <c r="AE114" s="29">
        <f t="shared" si="5"/>
        <v>0</v>
      </c>
      <c r="AF114" s="30">
        <f t="shared" si="6"/>
        <v>1</v>
      </c>
      <c r="AG114" s="29">
        <f t="shared" si="7"/>
        <v>0</v>
      </c>
    </row>
    <row r="115" spans="1:33" ht="16" x14ac:dyDescent="0.2">
      <c r="A115" s="22" t="str">
        <f t="shared" si="4"/>
        <v>—</v>
      </c>
      <c r="B115" s="31"/>
      <c r="C115" s="11"/>
      <c r="D115" s="11"/>
      <c r="E115" s="32"/>
      <c r="F115" s="11"/>
      <c r="G115" s="11"/>
      <c r="H115" s="33"/>
      <c r="I115" s="33"/>
      <c r="J115" s="33"/>
      <c r="K115" s="33"/>
      <c r="L115" s="33"/>
      <c r="M115" s="33"/>
      <c r="N115" s="33"/>
      <c r="O115" s="33"/>
      <c r="P115" s="33"/>
      <c r="Q115" s="33"/>
      <c r="R115" s="26" t="str">
        <f>IF($T115="","",IF($D115="","Who paid?",IF(SUMPRODUCT((Setup!$B$21:$B$30=$D115)*1)=0,"Payer is not in the member list on Setup",IF($E115="","Amount missing — type the number in column E",IF(NOT(ISNUMBER($E115)),"Amount must be a plain number — no currency symbol, no text",IF(AND($T115="Custom units",$AE115&lt;=0),"Custom units: nobody has units on this row — type a number for at least one person",IF($AE115&lt;=0,"Nobody shares this row — check the person columns H–Q, and the Weight / Nights columns on Setup",IF(AND($T115="Exact amounts",ABS($AE115-$AG115)&gt;0.01),"Exact amounts do not add up to the amount","OK"))))))))</f>
        <v/>
      </c>
      <c r="S115" s="27" t="str">
        <f>IFERROR(IF(OR($T115="",$C$4=""),"—",ROUND($AG115*INDEX($U115:$AD115,1,MATCH($C$4,Setup!$B$21:$B$30,0))/$AF115,2)),"—")</f>
        <v>—</v>
      </c>
      <c r="T115" s="28" t="str">
        <f>IF(AND($C115="",$D115="",NOT(ISNUMBER($E115))),"",IF($G115="",IF(Setup!$C$17="","Equal",Setup!$C$17),$G115))</f>
        <v/>
      </c>
      <c r="U115" s="29">
        <f>IF($T115="",0,IF(OR(Setup!$B$21="",Setup!$C$21="No"),0,IF(ISNUMBER(H115),H115,IF($T115="Weights",IF(ISNUMBER(Setup!$D$21),Setup!$D$21,0),IF($T115="Nights",IF(ISNUMBER(Setup!$E$21),Setup!$E$21,0),IF(OR($T115="Exact amounts",$T115="Custom units"),0,1))))))</f>
        <v>0</v>
      </c>
      <c r="V115" s="29">
        <f>IF($T115="",0,IF(OR(Setup!$B$22="",Setup!$C$22="No"),0,IF(ISNUMBER(I115),I115,IF($T115="Weights",IF(ISNUMBER(Setup!$D$22),Setup!$D$22,0),IF($T115="Nights",IF(ISNUMBER(Setup!$E$22),Setup!$E$22,0),IF(OR($T115="Exact amounts",$T115="Custom units"),0,1))))))</f>
        <v>0</v>
      </c>
      <c r="W115" s="29">
        <f>IF($T115="",0,IF(OR(Setup!$B$23="",Setup!$C$23="No"),0,IF(ISNUMBER(J115),J115,IF($T115="Weights",IF(ISNUMBER(Setup!$D$23),Setup!$D$23,0),IF($T115="Nights",IF(ISNUMBER(Setup!$E$23),Setup!$E$23,0),IF(OR($T115="Exact amounts",$T115="Custom units"),0,1))))))</f>
        <v>0</v>
      </c>
      <c r="X115" s="29">
        <f>IF($T115="",0,IF(OR(Setup!$B$24="",Setup!$C$24="No"),0,IF(ISNUMBER(K115),K115,IF($T115="Weights",IF(ISNUMBER(Setup!$D$24),Setup!$D$24,0),IF($T115="Nights",IF(ISNUMBER(Setup!$E$24),Setup!$E$24,0),IF(OR($T115="Exact amounts",$T115="Custom units"),0,1))))))</f>
        <v>0</v>
      </c>
      <c r="Y115" s="29">
        <f>IF($T115="",0,IF(OR(Setup!$B$25="",Setup!$C$25="No"),0,IF(ISNUMBER(L115),L115,IF($T115="Weights",IF(ISNUMBER(Setup!$D$25),Setup!$D$25,0),IF($T115="Nights",IF(ISNUMBER(Setup!$E$25),Setup!$E$25,0),IF(OR($T115="Exact amounts",$T115="Custom units"),0,1))))))</f>
        <v>0</v>
      </c>
      <c r="Z115" s="29">
        <f>IF($T115="",0,IF(OR(Setup!$B$26="",Setup!$C$26="No"),0,IF(ISNUMBER(M115),M115,IF($T115="Weights",IF(ISNUMBER(Setup!$D$26),Setup!$D$26,0),IF($T115="Nights",IF(ISNUMBER(Setup!$E$26),Setup!$E$26,0),IF(OR($T115="Exact amounts",$T115="Custom units"),0,1))))))</f>
        <v>0</v>
      </c>
      <c r="AA115" s="29">
        <f>IF($T115="",0,IF(OR(Setup!$B$27="",Setup!$C$27="No"),0,IF(ISNUMBER(N115),N115,IF($T115="Weights",IF(ISNUMBER(Setup!$D$27),Setup!$D$27,0),IF($T115="Nights",IF(ISNUMBER(Setup!$E$27),Setup!$E$27,0),IF(OR($T115="Exact amounts",$T115="Custom units"),0,1))))))</f>
        <v>0</v>
      </c>
      <c r="AB115" s="29">
        <f>IF($T115="",0,IF(OR(Setup!$B$28="",Setup!$C$28="No"),0,IF(ISNUMBER(O115),O115,IF($T115="Weights",IF(ISNUMBER(Setup!$D$28),Setup!$D$28,0),IF($T115="Nights",IF(ISNUMBER(Setup!$E$28),Setup!$E$28,0),IF(OR($T115="Exact amounts",$T115="Custom units"),0,1))))))</f>
        <v>0</v>
      </c>
      <c r="AC115" s="29">
        <f>IF($T115="",0,IF(OR(Setup!$B$29="",Setup!$C$29="No"),0,IF(ISNUMBER(P115),P115,IF($T115="Weights",IF(ISNUMBER(Setup!$D$29),Setup!$D$29,0),IF($T115="Nights",IF(ISNUMBER(Setup!$E$29),Setup!$E$29,0),IF(OR($T115="Exact amounts",$T115="Custom units"),0,1))))))</f>
        <v>0</v>
      </c>
      <c r="AD115" s="29">
        <f>IF($T115="",0,IF(OR(Setup!$B$30="",Setup!$C$30="No"),0,IF(ISNUMBER(Q115),Q115,IF($T115="Weights",IF(ISNUMBER(Setup!$D$30),Setup!$D$30,0),IF($T115="Nights",IF(ISNUMBER(Setup!$E$30),Setup!$E$30,0),IF(OR($T115="Exact amounts",$T115="Custom units"),0,1))))))</f>
        <v>0</v>
      </c>
      <c r="AE115" s="29">
        <f t="shared" si="5"/>
        <v>0</v>
      </c>
      <c r="AF115" s="30">
        <f t="shared" si="6"/>
        <v>1</v>
      </c>
      <c r="AG115" s="29">
        <f t="shared" si="7"/>
        <v>0</v>
      </c>
    </row>
    <row r="116" spans="1:33" ht="16" x14ac:dyDescent="0.2">
      <c r="A116" s="22" t="str">
        <f t="shared" si="4"/>
        <v>—</v>
      </c>
      <c r="B116" s="23"/>
      <c r="C116" s="16"/>
      <c r="D116" s="16"/>
      <c r="E116" s="24"/>
      <c r="F116" s="16"/>
      <c r="G116" s="16"/>
      <c r="H116" s="25"/>
      <c r="I116" s="25"/>
      <c r="J116" s="25"/>
      <c r="K116" s="25"/>
      <c r="L116" s="25"/>
      <c r="M116" s="25"/>
      <c r="N116" s="25"/>
      <c r="O116" s="25"/>
      <c r="P116" s="25"/>
      <c r="Q116" s="25"/>
      <c r="R116" s="26" t="str">
        <f>IF($T116="","",IF($D116="","Who paid?",IF(SUMPRODUCT((Setup!$B$21:$B$30=$D116)*1)=0,"Payer is not in the member list on Setup",IF($E116="","Amount missing — type the number in column E",IF(NOT(ISNUMBER($E116)),"Amount must be a plain number — no currency symbol, no text",IF(AND($T116="Custom units",$AE116&lt;=0),"Custom units: nobody has units on this row — type a number for at least one person",IF($AE116&lt;=0,"Nobody shares this row — check the person columns H–Q, and the Weight / Nights columns on Setup",IF(AND($T116="Exact amounts",ABS($AE116-$AG116)&gt;0.01),"Exact amounts do not add up to the amount","OK"))))))))</f>
        <v/>
      </c>
      <c r="S116" s="27" t="str">
        <f>IFERROR(IF(OR($T116="",$C$4=""),"—",ROUND($AG116*INDEX($U116:$AD116,1,MATCH($C$4,Setup!$B$21:$B$30,0))/$AF116,2)),"—")</f>
        <v>—</v>
      </c>
      <c r="T116" s="28" t="str">
        <f>IF(AND($C116="",$D116="",NOT(ISNUMBER($E116))),"",IF($G116="",IF(Setup!$C$17="","Equal",Setup!$C$17),$G116))</f>
        <v/>
      </c>
      <c r="U116" s="29">
        <f>IF($T116="",0,IF(OR(Setup!$B$21="",Setup!$C$21="No"),0,IF(ISNUMBER(H116),H116,IF($T116="Weights",IF(ISNUMBER(Setup!$D$21),Setup!$D$21,0),IF($T116="Nights",IF(ISNUMBER(Setup!$E$21),Setup!$E$21,0),IF(OR($T116="Exact amounts",$T116="Custom units"),0,1))))))</f>
        <v>0</v>
      </c>
      <c r="V116" s="29">
        <f>IF($T116="",0,IF(OR(Setup!$B$22="",Setup!$C$22="No"),0,IF(ISNUMBER(I116),I116,IF($T116="Weights",IF(ISNUMBER(Setup!$D$22),Setup!$D$22,0),IF($T116="Nights",IF(ISNUMBER(Setup!$E$22),Setup!$E$22,0),IF(OR($T116="Exact amounts",$T116="Custom units"),0,1))))))</f>
        <v>0</v>
      </c>
      <c r="W116" s="29">
        <f>IF($T116="",0,IF(OR(Setup!$B$23="",Setup!$C$23="No"),0,IF(ISNUMBER(J116),J116,IF($T116="Weights",IF(ISNUMBER(Setup!$D$23),Setup!$D$23,0),IF($T116="Nights",IF(ISNUMBER(Setup!$E$23),Setup!$E$23,0),IF(OR($T116="Exact amounts",$T116="Custom units"),0,1))))))</f>
        <v>0</v>
      </c>
      <c r="X116" s="29">
        <f>IF($T116="",0,IF(OR(Setup!$B$24="",Setup!$C$24="No"),0,IF(ISNUMBER(K116),K116,IF($T116="Weights",IF(ISNUMBER(Setup!$D$24),Setup!$D$24,0),IF($T116="Nights",IF(ISNUMBER(Setup!$E$24),Setup!$E$24,0),IF(OR($T116="Exact amounts",$T116="Custom units"),0,1))))))</f>
        <v>0</v>
      </c>
      <c r="Y116" s="29">
        <f>IF($T116="",0,IF(OR(Setup!$B$25="",Setup!$C$25="No"),0,IF(ISNUMBER(L116),L116,IF($T116="Weights",IF(ISNUMBER(Setup!$D$25),Setup!$D$25,0),IF($T116="Nights",IF(ISNUMBER(Setup!$E$25),Setup!$E$25,0),IF(OR($T116="Exact amounts",$T116="Custom units"),0,1))))))</f>
        <v>0</v>
      </c>
      <c r="Z116" s="29">
        <f>IF($T116="",0,IF(OR(Setup!$B$26="",Setup!$C$26="No"),0,IF(ISNUMBER(M116),M116,IF($T116="Weights",IF(ISNUMBER(Setup!$D$26),Setup!$D$26,0),IF($T116="Nights",IF(ISNUMBER(Setup!$E$26),Setup!$E$26,0),IF(OR($T116="Exact amounts",$T116="Custom units"),0,1))))))</f>
        <v>0</v>
      </c>
      <c r="AA116" s="29">
        <f>IF($T116="",0,IF(OR(Setup!$B$27="",Setup!$C$27="No"),0,IF(ISNUMBER(N116),N116,IF($T116="Weights",IF(ISNUMBER(Setup!$D$27),Setup!$D$27,0),IF($T116="Nights",IF(ISNUMBER(Setup!$E$27),Setup!$E$27,0),IF(OR($T116="Exact amounts",$T116="Custom units"),0,1))))))</f>
        <v>0</v>
      </c>
      <c r="AB116" s="29">
        <f>IF($T116="",0,IF(OR(Setup!$B$28="",Setup!$C$28="No"),0,IF(ISNUMBER(O116),O116,IF($T116="Weights",IF(ISNUMBER(Setup!$D$28),Setup!$D$28,0),IF($T116="Nights",IF(ISNUMBER(Setup!$E$28),Setup!$E$28,0),IF(OR($T116="Exact amounts",$T116="Custom units"),0,1))))))</f>
        <v>0</v>
      </c>
      <c r="AC116" s="29">
        <f>IF($T116="",0,IF(OR(Setup!$B$29="",Setup!$C$29="No"),0,IF(ISNUMBER(P116),P116,IF($T116="Weights",IF(ISNUMBER(Setup!$D$29),Setup!$D$29,0),IF($T116="Nights",IF(ISNUMBER(Setup!$E$29),Setup!$E$29,0),IF(OR($T116="Exact amounts",$T116="Custom units"),0,1))))))</f>
        <v>0</v>
      </c>
      <c r="AD116" s="29">
        <f>IF($T116="",0,IF(OR(Setup!$B$30="",Setup!$C$30="No"),0,IF(ISNUMBER(Q116),Q116,IF($T116="Weights",IF(ISNUMBER(Setup!$D$30),Setup!$D$30,0),IF($T116="Nights",IF(ISNUMBER(Setup!$E$30),Setup!$E$30,0),IF(OR($T116="Exact amounts",$T116="Custom units"),0,1))))))</f>
        <v>0</v>
      </c>
      <c r="AE116" s="29">
        <f t="shared" si="5"/>
        <v>0</v>
      </c>
      <c r="AF116" s="30">
        <f t="shared" si="6"/>
        <v>1</v>
      </c>
      <c r="AG116" s="29">
        <f t="shared" si="7"/>
        <v>0</v>
      </c>
    </row>
    <row r="117" spans="1:33" ht="16" x14ac:dyDescent="0.2">
      <c r="A117" s="22" t="str">
        <f t="shared" si="4"/>
        <v>—</v>
      </c>
      <c r="B117" s="31"/>
      <c r="C117" s="11"/>
      <c r="D117" s="11"/>
      <c r="E117" s="32"/>
      <c r="F117" s="11"/>
      <c r="G117" s="11"/>
      <c r="H117" s="33"/>
      <c r="I117" s="33"/>
      <c r="J117" s="33"/>
      <c r="K117" s="33"/>
      <c r="L117" s="33"/>
      <c r="M117" s="33"/>
      <c r="N117" s="33"/>
      <c r="O117" s="33"/>
      <c r="P117" s="33"/>
      <c r="Q117" s="33"/>
      <c r="R117" s="26" t="str">
        <f>IF($T117="","",IF($D117="","Who paid?",IF(SUMPRODUCT((Setup!$B$21:$B$30=$D117)*1)=0,"Payer is not in the member list on Setup",IF($E117="","Amount missing — type the number in column E",IF(NOT(ISNUMBER($E117)),"Amount must be a plain number — no currency symbol, no text",IF(AND($T117="Custom units",$AE117&lt;=0),"Custom units: nobody has units on this row — type a number for at least one person",IF($AE117&lt;=0,"Nobody shares this row — check the person columns H–Q, and the Weight / Nights columns on Setup",IF(AND($T117="Exact amounts",ABS($AE117-$AG117)&gt;0.01),"Exact amounts do not add up to the amount","OK"))))))))</f>
        <v/>
      </c>
      <c r="S117" s="27" t="str">
        <f>IFERROR(IF(OR($T117="",$C$4=""),"—",ROUND($AG117*INDEX($U117:$AD117,1,MATCH($C$4,Setup!$B$21:$B$30,0))/$AF117,2)),"—")</f>
        <v>—</v>
      </c>
      <c r="T117" s="28" t="str">
        <f>IF(AND($C117="",$D117="",NOT(ISNUMBER($E117))),"",IF($G117="",IF(Setup!$C$17="","Equal",Setup!$C$17),$G117))</f>
        <v/>
      </c>
      <c r="U117" s="29">
        <f>IF($T117="",0,IF(OR(Setup!$B$21="",Setup!$C$21="No"),0,IF(ISNUMBER(H117),H117,IF($T117="Weights",IF(ISNUMBER(Setup!$D$21),Setup!$D$21,0),IF($T117="Nights",IF(ISNUMBER(Setup!$E$21),Setup!$E$21,0),IF(OR($T117="Exact amounts",$T117="Custom units"),0,1))))))</f>
        <v>0</v>
      </c>
      <c r="V117" s="29">
        <f>IF($T117="",0,IF(OR(Setup!$B$22="",Setup!$C$22="No"),0,IF(ISNUMBER(I117),I117,IF($T117="Weights",IF(ISNUMBER(Setup!$D$22),Setup!$D$22,0),IF($T117="Nights",IF(ISNUMBER(Setup!$E$22),Setup!$E$22,0),IF(OR($T117="Exact amounts",$T117="Custom units"),0,1))))))</f>
        <v>0</v>
      </c>
      <c r="W117" s="29">
        <f>IF($T117="",0,IF(OR(Setup!$B$23="",Setup!$C$23="No"),0,IF(ISNUMBER(J117),J117,IF($T117="Weights",IF(ISNUMBER(Setup!$D$23),Setup!$D$23,0),IF($T117="Nights",IF(ISNUMBER(Setup!$E$23),Setup!$E$23,0),IF(OR($T117="Exact amounts",$T117="Custom units"),0,1))))))</f>
        <v>0</v>
      </c>
      <c r="X117" s="29">
        <f>IF($T117="",0,IF(OR(Setup!$B$24="",Setup!$C$24="No"),0,IF(ISNUMBER(K117),K117,IF($T117="Weights",IF(ISNUMBER(Setup!$D$24),Setup!$D$24,0),IF($T117="Nights",IF(ISNUMBER(Setup!$E$24),Setup!$E$24,0),IF(OR($T117="Exact amounts",$T117="Custom units"),0,1))))))</f>
        <v>0</v>
      </c>
      <c r="Y117" s="29">
        <f>IF($T117="",0,IF(OR(Setup!$B$25="",Setup!$C$25="No"),0,IF(ISNUMBER(L117),L117,IF($T117="Weights",IF(ISNUMBER(Setup!$D$25),Setup!$D$25,0),IF($T117="Nights",IF(ISNUMBER(Setup!$E$25),Setup!$E$25,0),IF(OR($T117="Exact amounts",$T117="Custom units"),0,1))))))</f>
        <v>0</v>
      </c>
      <c r="Z117" s="29">
        <f>IF($T117="",0,IF(OR(Setup!$B$26="",Setup!$C$26="No"),0,IF(ISNUMBER(M117),M117,IF($T117="Weights",IF(ISNUMBER(Setup!$D$26),Setup!$D$26,0),IF($T117="Nights",IF(ISNUMBER(Setup!$E$26),Setup!$E$26,0),IF(OR($T117="Exact amounts",$T117="Custom units"),0,1))))))</f>
        <v>0</v>
      </c>
      <c r="AA117" s="29">
        <f>IF($T117="",0,IF(OR(Setup!$B$27="",Setup!$C$27="No"),0,IF(ISNUMBER(N117),N117,IF($T117="Weights",IF(ISNUMBER(Setup!$D$27),Setup!$D$27,0),IF($T117="Nights",IF(ISNUMBER(Setup!$E$27),Setup!$E$27,0),IF(OR($T117="Exact amounts",$T117="Custom units"),0,1))))))</f>
        <v>0</v>
      </c>
      <c r="AB117" s="29">
        <f>IF($T117="",0,IF(OR(Setup!$B$28="",Setup!$C$28="No"),0,IF(ISNUMBER(O117),O117,IF($T117="Weights",IF(ISNUMBER(Setup!$D$28),Setup!$D$28,0),IF($T117="Nights",IF(ISNUMBER(Setup!$E$28),Setup!$E$28,0),IF(OR($T117="Exact amounts",$T117="Custom units"),0,1))))))</f>
        <v>0</v>
      </c>
      <c r="AC117" s="29">
        <f>IF($T117="",0,IF(OR(Setup!$B$29="",Setup!$C$29="No"),0,IF(ISNUMBER(P117),P117,IF($T117="Weights",IF(ISNUMBER(Setup!$D$29),Setup!$D$29,0),IF($T117="Nights",IF(ISNUMBER(Setup!$E$29),Setup!$E$29,0),IF(OR($T117="Exact amounts",$T117="Custom units"),0,1))))))</f>
        <v>0</v>
      </c>
      <c r="AD117" s="29">
        <f>IF($T117="",0,IF(OR(Setup!$B$30="",Setup!$C$30="No"),0,IF(ISNUMBER(Q117),Q117,IF($T117="Weights",IF(ISNUMBER(Setup!$D$30),Setup!$D$30,0),IF($T117="Nights",IF(ISNUMBER(Setup!$E$30),Setup!$E$30,0),IF(OR($T117="Exact amounts",$T117="Custom units"),0,1))))))</f>
        <v>0</v>
      </c>
      <c r="AE117" s="29">
        <f t="shared" si="5"/>
        <v>0</v>
      </c>
      <c r="AF117" s="30">
        <f t="shared" si="6"/>
        <v>1</v>
      </c>
      <c r="AG117" s="29">
        <f t="shared" si="7"/>
        <v>0</v>
      </c>
    </row>
    <row r="118" spans="1:33" ht="16" x14ac:dyDescent="0.2">
      <c r="A118" s="22" t="str">
        <f t="shared" si="4"/>
        <v>—</v>
      </c>
      <c r="B118" s="23"/>
      <c r="C118" s="16"/>
      <c r="D118" s="16"/>
      <c r="E118" s="24"/>
      <c r="F118" s="16"/>
      <c r="G118" s="16"/>
      <c r="H118" s="25"/>
      <c r="I118" s="25"/>
      <c r="J118" s="25"/>
      <c r="K118" s="25"/>
      <c r="L118" s="25"/>
      <c r="M118" s="25"/>
      <c r="N118" s="25"/>
      <c r="O118" s="25"/>
      <c r="P118" s="25"/>
      <c r="Q118" s="25"/>
      <c r="R118" s="26" t="str">
        <f>IF($T118="","",IF($D118="","Who paid?",IF(SUMPRODUCT((Setup!$B$21:$B$30=$D118)*1)=0,"Payer is not in the member list on Setup",IF($E118="","Amount missing — type the number in column E",IF(NOT(ISNUMBER($E118)),"Amount must be a plain number — no currency symbol, no text",IF(AND($T118="Custom units",$AE118&lt;=0),"Custom units: nobody has units on this row — type a number for at least one person",IF($AE118&lt;=0,"Nobody shares this row — check the person columns H–Q, and the Weight / Nights columns on Setup",IF(AND($T118="Exact amounts",ABS($AE118-$AG118)&gt;0.01),"Exact amounts do not add up to the amount","OK"))))))))</f>
        <v/>
      </c>
      <c r="S118" s="27" t="str">
        <f>IFERROR(IF(OR($T118="",$C$4=""),"—",ROUND($AG118*INDEX($U118:$AD118,1,MATCH($C$4,Setup!$B$21:$B$30,0))/$AF118,2)),"—")</f>
        <v>—</v>
      </c>
      <c r="T118" s="28" t="str">
        <f>IF(AND($C118="",$D118="",NOT(ISNUMBER($E118))),"",IF($G118="",IF(Setup!$C$17="","Equal",Setup!$C$17),$G118))</f>
        <v/>
      </c>
      <c r="U118" s="29">
        <f>IF($T118="",0,IF(OR(Setup!$B$21="",Setup!$C$21="No"),0,IF(ISNUMBER(H118),H118,IF($T118="Weights",IF(ISNUMBER(Setup!$D$21),Setup!$D$21,0),IF($T118="Nights",IF(ISNUMBER(Setup!$E$21),Setup!$E$21,0),IF(OR($T118="Exact amounts",$T118="Custom units"),0,1))))))</f>
        <v>0</v>
      </c>
      <c r="V118" s="29">
        <f>IF($T118="",0,IF(OR(Setup!$B$22="",Setup!$C$22="No"),0,IF(ISNUMBER(I118),I118,IF($T118="Weights",IF(ISNUMBER(Setup!$D$22),Setup!$D$22,0),IF($T118="Nights",IF(ISNUMBER(Setup!$E$22),Setup!$E$22,0),IF(OR($T118="Exact amounts",$T118="Custom units"),0,1))))))</f>
        <v>0</v>
      </c>
      <c r="W118" s="29">
        <f>IF($T118="",0,IF(OR(Setup!$B$23="",Setup!$C$23="No"),0,IF(ISNUMBER(J118),J118,IF($T118="Weights",IF(ISNUMBER(Setup!$D$23),Setup!$D$23,0),IF($T118="Nights",IF(ISNUMBER(Setup!$E$23),Setup!$E$23,0),IF(OR($T118="Exact amounts",$T118="Custom units"),0,1))))))</f>
        <v>0</v>
      </c>
      <c r="X118" s="29">
        <f>IF($T118="",0,IF(OR(Setup!$B$24="",Setup!$C$24="No"),0,IF(ISNUMBER(K118),K118,IF($T118="Weights",IF(ISNUMBER(Setup!$D$24),Setup!$D$24,0),IF($T118="Nights",IF(ISNUMBER(Setup!$E$24),Setup!$E$24,0),IF(OR($T118="Exact amounts",$T118="Custom units"),0,1))))))</f>
        <v>0</v>
      </c>
      <c r="Y118" s="29">
        <f>IF($T118="",0,IF(OR(Setup!$B$25="",Setup!$C$25="No"),0,IF(ISNUMBER(L118),L118,IF($T118="Weights",IF(ISNUMBER(Setup!$D$25),Setup!$D$25,0),IF($T118="Nights",IF(ISNUMBER(Setup!$E$25),Setup!$E$25,0),IF(OR($T118="Exact amounts",$T118="Custom units"),0,1))))))</f>
        <v>0</v>
      </c>
      <c r="Z118" s="29">
        <f>IF($T118="",0,IF(OR(Setup!$B$26="",Setup!$C$26="No"),0,IF(ISNUMBER(M118),M118,IF($T118="Weights",IF(ISNUMBER(Setup!$D$26),Setup!$D$26,0),IF($T118="Nights",IF(ISNUMBER(Setup!$E$26),Setup!$E$26,0),IF(OR($T118="Exact amounts",$T118="Custom units"),0,1))))))</f>
        <v>0</v>
      </c>
      <c r="AA118" s="29">
        <f>IF($T118="",0,IF(OR(Setup!$B$27="",Setup!$C$27="No"),0,IF(ISNUMBER(N118),N118,IF($T118="Weights",IF(ISNUMBER(Setup!$D$27),Setup!$D$27,0),IF($T118="Nights",IF(ISNUMBER(Setup!$E$27),Setup!$E$27,0),IF(OR($T118="Exact amounts",$T118="Custom units"),0,1))))))</f>
        <v>0</v>
      </c>
      <c r="AB118" s="29">
        <f>IF($T118="",0,IF(OR(Setup!$B$28="",Setup!$C$28="No"),0,IF(ISNUMBER(O118),O118,IF($T118="Weights",IF(ISNUMBER(Setup!$D$28),Setup!$D$28,0),IF($T118="Nights",IF(ISNUMBER(Setup!$E$28),Setup!$E$28,0),IF(OR($T118="Exact amounts",$T118="Custom units"),0,1))))))</f>
        <v>0</v>
      </c>
      <c r="AC118" s="29">
        <f>IF($T118="",0,IF(OR(Setup!$B$29="",Setup!$C$29="No"),0,IF(ISNUMBER(P118),P118,IF($T118="Weights",IF(ISNUMBER(Setup!$D$29),Setup!$D$29,0),IF($T118="Nights",IF(ISNUMBER(Setup!$E$29),Setup!$E$29,0),IF(OR($T118="Exact amounts",$T118="Custom units"),0,1))))))</f>
        <v>0</v>
      </c>
      <c r="AD118" s="29">
        <f>IF($T118="",0,IF(OR(Setup!$B$30="",Setup!$C$30="No"),0,IF(ISNUMBER(Q118),Q118,IF($T118="Weights",IF(ISNUMBER(Setup!$D$30),Setup!$D$30,0),IF($T118="Nights",IF(ISNUMBER(Setup!$E$30),Setup!$E$30,0),IF(OR($T118="Exact amounts",$T118="Custom units"),0,1))))))</f>
        <v>0</v>
      </c>
      <c r="AE118" s="29">
        <f t="shared" si="5"/>
        <v>0</v>
      </c>
      <c r="AF118" s="30">
        <f t="shared" si="6"/>
        <v>1</v>
      </c>
      <c r="AG118" s="29">
        <f t="shared" si="7"/>
        <v>0</v>
      </c>
    </row>
    <row r="119" spans="1:33" ht="16" x14ac:dyDescent="0.2">
      <c r="A119" s="22" t="str">
        <f t="shared" si="4"/>
        <v>—</v>
      </c>
      <c r="B119" s="31"/>
      <c r="C119" s="11"/>
      <c r="D119" s="11"/>
      <c r="E119" s="32"/>
      <c r="F119" s="11"/>
      <c r="G119" s="11"/>
      <c r="H119" s="33"/>
      <c r="I119" s="33"/>
      <c r="J119" s="33"/>
      <c r="K119" s="33"/>
      <c r="L119" s="33"/>
      <c r="M119" s="33"/>
      <c r="N119" s="33"/>
      <c r="O119" s="33"/>
      <c r="P119" s="33"/>
      <c r="Q119" s="33"/>
      <c r="R119" s="26" t="str">
        <f>IF($T119="","",IF($D119="","Who paid?",IF(SUMPRODUCT((Setup!$B$21:$B$30=$D119)*1)=0,"Payer is not in the member list on Setup",IF($E119="","Amount missing — type the number in column E",IF(NOT(ISNUMBER($E119)),"Amount must be a plain number — no currency symbol, no text",IF(AND($T119="Custom units",$AE119&lt;=0),"Custom units: nobody has units on this row — type a number for at least one person",IF($AE119&lt;=0,"Nobody shares this row — check the person columns H–Q, and the Weight / Nights columns on Setup",IF(AND($T119="Exact amounts",ABS($AE119-$AG119)&gt;0.01),"Exact amounts do not add up to the amount","OK"))))))))</f>
        <v/>
      </c>
      <c r="S119" s="27" t="str">
        <f>IFERROR(IF(OR($T119="",$C$4=""),"—",ROUND($AG119*INDEX($U119:$AD119,1,MATCH($C$4,Setup!$B$21:$B$30,0))/$AF119,2)),"—")</f>
        <v>—</v>
      </c>
      <c r="T119" s="28" t="str">
        <f>IF(AND($C119="",$D119="",NOT(ISNUMBER($E119))),"",IF($G119="",IF(Setup!$C$17="","Equal",Setup!$C$17),$G119))</f>
        <v/>
      </c>
      <c r="U119" s="29">
        <f>IF($T119="",0,IF(OR(Setup!$B$21="",Setup!$C$21="No"),0,IF(ISNUMBER(H119),H119,IF($T119="Weights",IF(ISNUMBER(Setup!$D$21),Setup!$D$21,0),IF($T119="Nights",IF(ISNUMBER(Setup!$E$21),Setup!$E$21,0),IF(OR($T119="Exact amounts",$T119="Custom units"),0,1))))))</f>
        <v>0</v>
      </c>
      <c r="V119" s="29">
        <f>IF($T119="",0,IF(OR(Setup!$B$22="",Setup!$C$22="No"),0,IF(ISNUMBER(I119),I119,IF($T119="Weights",IF(ISNUMBER(Setup!$D$22),Setup!$D$22,0),IF($T119="Nights",IF(ISNUMBER(Setup!$E$22),Setup!$E$22,0),IF(OR($T119="Exact amounts",$T119="Custom units"),0,1))))))</f>
        <v>0</v>
      </c>
      <c r="W119" s="29">
        <f>IF($T119="",0,IF(OR(Setup!$B$23="",Setup!$C$23="No"),0,IF(ISNUMBER(J119),J119,IF($T119="Weights",IF(ISNUMBER(Setup!$D$23),Setup!$D$23,0),IF($T119="Nights",IF(ISNUMBER(Setup!$E$23),Setup!$E$23,0),IF(OR($T119="Exact amounts",$T119="Custom units"),0,1))))))</f>
        <v>0</v>
      </c>
      <c r="X119" s="29">
        <f>IF($T119="",0,IF(OR(Setup!$B$24="",Setup!$C$24="No"),0,IF(ISNUMBER(K119),K119,IF($T119="Weights",IF(ISNUMBER(Setup!$D$24),Setup!$D$24,0),IF($T119="Nights",IF(ISNUMBER(Setup!$E$24),Setup!$E$24,0),IF(OR($T119="Exact amounts",$T119="Custom units"),0,1))))))</f>
        <v>0</v>
      </c>
      <c r="Y119" s="29">
        <f>IF($T119="",0,IF(OR(Setup!$B$25="",Setup!$C$25="No"),0,IF(ISNUMBER(L119),L119,IF($T119="Weights",IF(ISNUMBER(Setup!$D$25),Setup!$D$25,0),IF($T119="Nights",IF(ISNUMBER(Setup!$E$25),Setup!$E$25,0),IF(OR($T119="Exact amounts",$T119="Custom units"),0,1))))))</f>
        <v>0</v>
      </c>
      <c r="Z119" s="29">
        <f>IF($T119="",0,IF(OR(Setup!$B$26="",Setup!$C$26="No"),0,IF(ISNUMBER(M119),M119,IF($T119="Weights",IF(ISNUMBER(Setup!$D$26),Setup!$D$26,0),IF($T119="Nights",IF(ISNUMBER(Setup!$E$26),Setup!$E$26,0),IF(OR($T119="Exact amounts",$T119="Custom units"),0,1))))))</f>
        <v>0</v>
      </c>
      <c r="AA119" s="29">
        <f>IF($T119="",0,IF(OR(Setup!$B$27="",Setup!$C$27="No"),0,IF(ISNUMBER(N119),N119,IF($T119="Weights",IF(ISNUMBER(Setup!$D$27),Setup!$D$27,0),IF($T119="Nights",IF(ISNUMBER(Setup!$E$27),Setup!$E$27,0),IF(OR($T119="Exact amounts",$T119="Custom units"),0,1))))))</f>
        <v>0</v>
      </c>
      <c r="AB119" s="29">
        <f>IF($T119="",0,IF(OR(Setup!$B$28="",Setup!$C$28="No"),0,IF(ISNUMBER(O119),O119,IF($T119="Weights",IF(ISNUMBER(Setup!$D$28),Setup!$D$28,0),IF($T119="Nights",IF(ISNUMBER(Setup!$E$28),Setup!$E$28,0),IF(OR($T119="Exact amounts",$T119="Custom units"),0,1))))))</f>
        <v>0</v>
      </c>
      <c r="AC119" s="29">
        <f>IF($T119="",0,IF(OR(Setup!$B$29="",Setup!$C$29="No"),0,IF(ISNUMBER(P119),P119,IF($T119="Weights",IF(ISNUMBER(Setup!$D$29),Setup!$D$29,0),IF($T119="Nights",IF(ISNUMBER(Setup!$E$29),Setup!$E$29,0),IF(OR($T119="Exact amounts",$T119="Custom units"),0,1))))))</f>
        <v>0</v>
      </c>
      <c r="AD119" s="29">
        <f>IF($T119="",0,IF(OR(Setup!$B$30="",Setup!$C$30="No"),0,IF(ISNUMBER(Q119),Q119,IF($T119="Weights",IF(ISNUMBER(Setup!$D$30),Setup!$D$30,0),IF($T119="Nights",IF(ISNUMBER(Setup!$E$30),Setup!$E$30,0),IF(OR($T119="Exact amounts",$T119="Custom units"),0,1))))))</f>
        <v>0</v>
      </c>
      <c r="AE119" s="29">
        <f t="shared" si="5"/>
        <v>0</v>
      </c>
      <c r="AF119" s="30">
        <f t="shared" si="6"/>
        <v>1</v>
      </c>
      <c r="AG119" s="29">
        <f t="shared" si="7"/>
        <v>0</v>
      </c>
    </row>
    <row r="120" spans="1:33" ht="16" x14ac:dyDescent="0.2">
      <c r="A120" s="22" t="str">
        <f t="shared" si="4"/>
        <v>—</v>
      </c>
      <c r="B120" s="23"/>
      <c r="C120" s="16"/>
      <c r="D120" s="16"/>
      <c r="E120" s="24"/>
      <c r="F120" s="16"/>
      <c r="G120" s="16"/>
      <c r="H120" s="25"/>
      <c r="I120" s="25"/>
      <c r="J120" s="25"/>
      <c r="K120" s="25"/>
      <c r="L120" s="25"/>
      <c r="M120" s="25"/>
      <c r="N120" s="25"/>
      <c r="O120" s="25"/>
      <c r="P120" s="25"/>
      <c r="Q120" s="25"/>
      <c r="R120" s="26" t="str">
        <f>IF($T120="","",IF($D120="","Who paid?",IF(SUMPRODUCT((Setup!$B$21:$B$30=$D120)*1)=0,"Payer is not in the member list on Setup",IF($E120="","Amount missing — type the number in column E",IF(NOT(ISNUMBER($E120)),"Amount must be a plain number — no currency symbol, no text",IF(AND($T120="Custom units",$AE120&lt;=0),"Custom units: nobody has units on this row — type a number for at least one person",IF($AE120&lt;=0,"Nobody shares this row — check the person columns H–Q, and the Weight / Nights columns on Setup",IF(AND($T120="Exact amounts",ABS($AE120-$AG120)&gt;0.01),"Exact amounts do not add up to the amount","OK"))))))))</f>
        <v/>
      </c>
      <c r="S120" s="27" t="str">
        <f>IFERROR(IF(OR($T120="",$C$4=""),"—",ROUND($AG120*INDEX($U120:$AD120,1,MATCH($C$4,Setup!$B$21:$B$30,0))/$AF120,2)),"—")</f>
        <v>—</v>
      </c>
      <c r="T120" s="28" t="str">
        <f>IF(AND($C120="",$D120="",NOT(ISNUMBER($E120))),"",IF($G120="",IF(Setup!$C$17="","Equal",Setup!$C$17),$G120))</f>
        <v/>
      </c>
      <c r="U120" s="29">
        <f>IF($T120="",0,IF(OR(Setup!$B$21="",Setup!$C$21="No"),0,IF(ISNUMBER(H120),H120,IF($T120="Weights",IF(ISNUMBER(Setup!$D$21),Setup!$D$21,0),IF($T120="Nights",IF(ISNUMBER(Setup!$E$21),Setup!$E$21,0),IF(OR($T120="Exact amounts",$T120="Custom units"),0,1))))))</f>
        <v>0</v>
      </c>
      <c r="V120" s="29">
        <f>IF($T120="",0,IF(OR(Setup!$B$22="",Setup!$C$22="No"),0,IF(ISNUMBER(I120),I120,IF($T120="Weights",IF(ISNUMBER(Setup!$D$22),Setup!$D$22,0),IF($T120="Nights",IF(ISNUMBER(Setup!$E$22),Setup!$E$22,0),IF(OR($T120="Exact amounts",$T120="Custom units"),0,1))))))</f>
        <v>0</v>
      </c>
      <c r="W120" s="29">
        <f>IF($T120="",0,IF(OR(Setup!$B$23="",Setup!$C$23="No"),0,IF(ISNUMBER(J120),J120,IF($T120="Weights",IF(ISNUMBER(Setup!$D$23),Setup!$D$23,0),IF($T120="Nights",IF(ISNUMBER(Setup!$E$23),Setup!$E$23,0),IF(OR($T120="Exact amounts",$T120="Custom units"),0,1))))))</f>
        <v>0</v>
      </c>
      <c r="X120" s="29">
        <f>IF($T120="",0,IF(OR(Setup!$B$24="",Setup!$C$24="No"),0,IF(ISNUMBER(K120),K120,IF($T120="Weights",IF(ISNUMBER(Setup!$D$24),Setup!$D$24,0),IF($T120="Nights",IF(ISNUMBER(Setup!$E$24),Setup!$E$24,0),IF(OR($T120="Exact amounts",$T120="Custom units"),0,1))))))</f>
        <v>0</v>
      </c>
      <c r="Y120" s="29">
        <f>IF($T120="",0,IF(OR(Setup!$B$25="",Setup!$C$25="No"),0,IF(ISNUMBER(L120),L120,IF($T120="Weights",IF(ISNUMBER(Setup!$D$25),Setup!$D$25,0),IF($T120="Nights",IF(ISNUMBER(Setup!$E$25),Setup!$E$25,0),IF(OR($T120="Exact amounts",$T120="Custom units"),0,1))))))</f>
        <v>0</v>
      </c>
      <c r="Z120" s="29">
        <f>IF($T120="",0,IF(OR(Setup!$B$26="",Setup!$C$26="No"),0,IF(ISNUMBER(M120),M120,IF($T120="Weights",IF(ISNUMBER(Setup!$D$26),Setup!$D$26,0),IF($T120="Nights",IF(ISNUMBER(Setup!$E$26),Setup!$E$26,0),IF(OR($T120="Exact amounts",$T120="Custom units"),0,1))))))</f>
        <v>0</v>
      </c>
      <c r="AA120" s="29">
        <f>IF($T120="",0,IF(OR(Setup!$B$27="",Setup!$C$27="No"),0,IF(ISNUMBER(N120),N120,IF($T120="Weights",IF(ISNUMBER(Setup!$D$27),Setup!$D$27,0),IF($T120="Nights",IF(ISNUMBER(Setup!$E$27),Setup!$E$27,0),IF(OR($T120="Exact amounts",$T120="Custom units"),0,1))))))</f>
        <v>0</v>
      </c>
      <c r="AB120" s="29">
        <f>IF($T120="",0,IF(OR(Setup!$B$28="",Setup!$C$28="No"),0,IF(ISNUMBER(O120),O120,IF($T120="Weights",IF(ISNUMBER(Setup!$D$28),Setup!$D$28,0),IF($T120="Nights",IF(ISNUMBER(Setup!$E$28),Setup!$E$28,0),IF(OR($T120="Exact amounts",$T120="Custom units"),0,1))))))</f>
        <v>0</v>
      </c>
      <c r="AC120" s="29">
        <f>IF($T120="",0,IF(OR(Setup!$B$29="",Setup!$C$29="No"),0,IF(ISNUMBER(P120),P120,IF($T120="Weights",IF(ISNUMBER(Setup!$D$29),Setup!$D$29,0),IF($T120="Nights",IF(ISNUMBER(Setup!$E$29),Setup!$E$29,0),IF(OR($T120="Exact amounts",$T120="Custom units"),0,1))))))</f>
        <v>0</v>
      </c>
      <c r="AD120" s="29">
        <f>IF($T120="",0,IF(OR(Setup!$B$30="",Setup!$C$30="No"),0,IF(ISNUMBER(Q120),Q120,IF($T120="Weights",IF(ISNUMBER(Setup!$D$30),Setup!$D$30,0),IF($T120="Nights",IF(ISNUMBER(Setup!$E$30),Setup!$E$30,0),IF(OR($T120="Exact amounts",$T120="Custom units"),0,1))))))</f>
        <v>0</v>
      </c>
      <c r="AE120" s="29">
        <f t="shared" si="5"/>
        <v>0</v>
      </c>
      <c r="AF120" s="30">
        <f t="shared" si="6"/>
        <v>1</v>
      </c>
      <c r="AG120" s="29">
        <f t="shared" si="7"/>
        <v>0</v>
      </c>
    </row>
    <row r="121" spans="1:33" ht="16" x14ac:dyDescent="0.2">
      <c r="A121" s="22" t="str">
        <f t="shared" si="4"/>
        <v>—</v>
      </c>
      <c r="B121" s="31"/>
      <c r="C121" s="11"/>
      <c r="D121" s="11"/>
      <c r="E121" s="32"/>
      <c r="F121" s="11"/>
      <c r="G121" s="11"/>
      <c r="H121" s="33"/>
      <c r="I121" s="33"/>
      <c r="J121" s="33"/>
      <c r="K121" s="33"/>
      <c r="L121" s="33"/>
      <c r="M121" s="33"/>
      <c r="N121" s="33"/>
      <c r="O121" s="33"/>
      <c r="P121" s="33"/>
      <c r="Q121" s="33"/>
      <c r="R121" s="26" t="str">
        <f>IF($T121="","",IF($D121="","Who paid?",IF(SUMPRODUCT((Setup!$B$21:$B$30=$D121)*1)=0,"Payer is not in the member list on Setup",IF($E121="","Amount missing — type the number in column E",IF(NOT(ISNUMBER($E121)),"Amount must be a plain number — no currency symbol, no text",IF(AND($T121="Custom units",$AE121&lt;=0),"Custom units: nobody has units on this row — type a number for at least one person",IF($AE121&lt;=0,"Nobody shares this row — check the person columns H–Q, and the Weight / Nights columns on Setup",IF(AND($T121="Exact amounts",ABS($AE121-$AG121)&gt;0.01),"Exact amounts do not add up to the amount","OK"))))))))</f>
        <v/>
      </c>
      <c r="S121" s="27" t="str">
        <f>IFERROR(IF(OR($T121="",$C$4=""),"—",ROUND($AG121*INDEX($U121:$AD121,1,MATCH($C$4,Setup!$B$21:$B$30,0))/$AF121,2)),"—")</f>
        <v>—</v>
      </c>
      <c r="T121" s="28" t="str">
        <f>IF(AND($C121="",$D121="",NOT(ISNUMBER($E121))),"",IF($G121="",IF(Setup!$C$17="","Equal",Setup!$C$17),$G121))</f>
        <v/>
      </c>
      <c r="U121" s="29">
        <f>IF($T121="",0,IF(OR(Setup!$B$21="",Setup!$C$21="No"),0,IF(ISNUMBER(H121),H121,IF($T121="Weights",IF(ISNUMBER(Setup!$D$21),Setup!$D$21,0),IF($T121="Nights",IF(ISNUMBER(Setup!$E$21),Setup!$E$21,0),IF(OR($T121="Exact amounts",$T121="Custom units"),0,1))))))</f>
        <v>0</v>
      </c>
      <c r="V121" s="29">
        <f>IF($T121="",0,IF(OR(Setup!$B$22="",Setup!$C$22="No"),0,IF(ISNUMBER(I121),I121,IF($T121="Weights",IF(ISNUMBER(Setup!$D$22),Setup!$D$22,0),IF($T121="Nights",IF(ISNUMBER(Setup!$E$22),Setup!$E$22,0),IF(OR($T121="Exact amounts",$T121="Custom units"),0,1))))))</f>
        <v>0</v>
      </c>
      <c r="W121" s="29">
        <f>IF($T121="",0,IF(OR(Setup!$B$23="",Setup!$C$23="No"),0,IF(ISNUMBER(J121),J121,IF($T121="Weights",IF(ISNUMBER(Setup!$D$23),Setup!$D$23,0),IF($T121="Nights",IF(ISNUMBER(Setup!$E$23),Setup!$E$23,0),IF(OR($T121="Exact amounts",$T121="Custom units"),0,1))))))</f>
        <v>0</v>
      </c>
      <c r="X121" s="29">
        <f>IF($T121="",0,IF(OR(Setup!$B$24="",Setup!$C$24="No"),0,IF(ISNUMBER(K121),K121,IF($T121="Weights",IF(ISNUMBER(Setup!$D$24),Setup!$D$24,0),IF($T121="Nights",IF(ISNUMBER(Setup!$E$24),Setup!$E$24,0),IF(OR($T121="Exact amounts",$T121="Custom units"),0,1))))))</f>
        <v>0</v>
      </c>
      <c r="Y121" s="29">
        <f>IF($T121="",0,IF(OR(Setup!$B$25="",Setup!$C$25="No"),0,IF(ISNUMBER(L121),L121,IF($T121="Weights",IF(ISNUMBER(Setup!$D$25),Setup!$D$25,0),IF($T121="Nights",IF(ISNUMBER(Setup!$E$25),Setup!$E$25,0),IF(OR($T121="Exact amounts",$T121="Custom units"),0,1))))))</f>
        <v>0</v>
      </c>
      <c r="Z121" s="29">
        <f>IF($T121="",0,IF(OR(Setup!$B$26="",Setup!$C$26="No"),0,IF(ISNUMBER(M121),M121,IF($T121="Weights",IF(ISNUMBER(Setup!$D$26),Setup!$D$26,0),IF($T121="Nights",IF(ISNUMBER(Setup!$E$26),Setup!$E$26,0),IF(OR($T121="Exact amounts",$T121="Custom units"),0,1))))))</f>
        <v>0</v>
      </c>
      <c r="AA121" s="29">
        <f>IF($T121="",0,IF(OR(Setup!$B$27="",Setup!$C$27="No"),0,IF(ISNUMBER(N121),N121,IF($T121="Weights",IF(ISNUMBER(Setup!$D$27),Setup!$D$27,0),IF($T121="Nights",IF(ISNUMBER(Setup!$E$27),Setup!$E$27,0),IF(OR($T121="Exact amounts",$T121="Custom units"),0,1))))))</f>
        <v>0</v>
      </c>
      <c r="AB121" s="29">
        <f>IF($T121="",0,IF(OR(Setup!$B$28="",Setup!$C$28="No"),0,IF(ISNUMBER(O121),O121,IF($T121="Weights",IF(ISNUMBER(Setup!$D$28),Setup!$D$28,0),IF($T121="Nights",IF(ISNUMBER(Setup!$E$28),Setup!$E$28,0),IF(OR($T121="Exact amounts",$T121="Custom units"),0,1))))))</f>
        <v>0</v>
      </c>
      <c r="AC121" s="29">
        <f>IF($T121="",0,IF(OR(Setup!$B$29="",Setup!$C$29="No"),0,IF(ISNUMBER(P121),P121,IF($T121="Weights",IF(ISNUMBER(Setup!$D$29),Setup!$D$29,0),IF($T121="Nights",IF(ISNUMBER(Setup!$E$29),Setup!$E$29,0),IF(OR($T121="Exact amounts",$T121="Custom units"),0,1))))))</f>
        <v>0</v>
      </c>
      <c r="AD121" s="29">
        <f>IF($T121="",0,IF(OR(Setup!$B$30="",Setup!$C$30="No"),0,IF(ISNUMBER(Q121),Q121,IF($T121="Weights",IF(ISNUMBER(Setup!$D$30),Setup!$D$30,0),IF($T121="Nights",IF(ISNUMBER(Setup!$E$30),Setup!$E$30,0),IF(OR($T121="Exact amounts",$T121="Custom units"),0,1))))))</f>
        <v>0</v>
      </c>
      <c r="AE121" s="29">
        <f t="shared" si="5"/>
        <v>0</v>
      </c>
      <c r="AF121" s="30">
        <f t="shared" si="6"/>
        <v>1</v>
      </c>
      <c r="AG121" s="29">
        <f t="shared" si="7"/>
        <v>0</v>
      </c>
    </row>
    <row r="122" spans="1:33" ht="16" x14ac:dyDescent="0.2">
      <c r="A122" s="22" t="str">
        <f t="shared" si="4"/>
        <v>—</v>
      </c>
      <c r="B122" s="23"/>
      <c r="C122" s="16"/>
      <c r="D122" s="16"/>
      <c r="E122" s="24"/>
      <c r="F122" s="16"/>
      <c r="G122" s="16"/>
      <c r="H122" s="25"/>
      <c r="I122" s="25"/>
      <c r="J122" s="25"/>
      <c r="K122" s="25"/>
      <c r="L122" s="25"/>
      <c r="M122" s="25"/>
      <c r="N122" s="25"/>
      <c r="O122" s="25"/>
      <c r="P122" s="25"/>
      <c r="Q122" s="25"/>
      <c r="R122" s="26" t="str">
        <f>IF($T122="","",IF($D122="","Who paid?",IF(SUMPRODUCT((Setup!$B$21:$B$30=$D122)*1)=0,"Payer is not in the member list on Setup",IF($E122="","Amount missing — type the number in column E",IF(NOT(ISNUMBER($E122)),"Amount must be a plain number — no currency symbol, no text",IF(AND($T122="Custom units",$AE122&lt;=0),"Custom units: nobody has units on this row — type a number for at least one person",IF($AE122&lt;=0,"Nobody shares this row — check the person columns H–Q, and the Weight / Nights columns on Setup",IF(AND($T122="Exact amounts",ABS($AE122-$AG122)&gt;0.01),"Exact amounts do not add up to the amount","OK"))))))))</f>
        <v/>
      </c>
      <c r="S122" s="27" t="str">
        <f>IFERROR(IF(OR($T122="",$C$4=""),"—",ROUND($AG122*INDEX($U122:$AD122,1,MATCH($C$4,Setup!$B$21:$B$30,0))/$AF122,2)),"—")</f>
        <v>—</v>
      </c>
      <c r="T122" s="28" t="str">
        <f>IF(AND($C122="",$D122="",NOT(ISNUMBER($E122))),"",IF($G122="",IF(Setup!$C$17="","Equal",Setup!$C$17),$G122))</f>
        <v/>
      </c>
      <c r="U122" s="29">
        <f>IF($T122="",0,IF(OR(Setup!$B$21="",Setup!$C$21="No"),0,IF(ISNUMBER(H122),H122,IF($T122="Weights",IF(ISNUMBER(Setup!$D$21),Setup!$D$21,0),IF($T122="Nights",IF(ISNUMBER(Setup!$E$21),Setup!$E$21,0),IF(OR($T122="Exact amounts",$T122="Custom units"),0,1))))))</f>
        <v>0</v>
      </c>
      <c r="V122" s="29">
        <f>IF($T122="",0,IF(OR(Setup!$B$22="",Setup!$C$22="No"),0,IF(ISNUMBER(I122),I122,IF($T122="Weights",IF(ISNUMBER(Setup!$D$22),Setup!$D$22,0),IF($T122="Nights",IF(ISNUMBER(Setup!$E$22),Setup!$E$22,0),IF(OR($T122="Exact amounts",$T122="Custom units"),0,1))))))</f>
        <v>0</v>
      </c>
      <c r="W122" s="29">
        <f>IF($T122="",0,IF(OR(Setup!$B$23="",Setup!$C$23="No"),0,IF(ISNUMBER(J122),J122,IF($T122="Weights",IF(ISNUMBER(Setup!$D$23),Setup!$D$23,0),IF($T122="Nights",IF(ISNUMBER(Setup!$E$23),Setup!$E$23,0),IF(OR($T122="Exact amounts",$T122="Custom units"),0,1))))))</f>
        <v>0</v>
      </c>
      <c r="X122" s="29">
        <f>IF($T122="",0,IF(OR(Setup!$B$24="",Setup!$C$24="No"),0,IF(ISNUMBER(K122),K122,IF($T122="Weights",IF(ISNUMBER(Setup!$D$24),Setup!$D$24,0),IF($T122="Nights",IF(ISNUMBER(Setup!$E$24),Setup!$E$24,0),IF(OR($T122="Exact amounts",$T122="Custom units"),0,1))))))</f>
        <v>0</v>
      </c>
      <c r="Y122" s="29">
        <f>IF($T122="",0,IF(OR(Setup!$B$25="",Setup!$C$25="No"),0,IF(ISNUMBER(L122),L122,IF($T122="Weights",IF(ISNUMBER(Setup!$D$25),Setup!$D$25,0),IF($T122="Nights",IF(ISNUMBER(Setup!$E$25),Setup!$E$25,0),IF(OR($T122="Exact amounts",$T122="Custom units"),0,1))))))</f>
        <v>0</v>
      </c>
      <c r="Z122" s="29">
        <f>IF($T122="",0,IF(OR(Setup!$B$26="",Setup!$C$26="No"),0,IF(ISNUMBER(M122),M122,IF($T122="Weights",IF(ISNUMBER(Setup!$D$26),Setup!$D$26,0),IF($T122="Nights",IF(ISNUMBER(Setup!$E$26),Setup!$E$26,0),IF(OR($T122="Exact amounts",$T122="Custom units"),0,1))))))</f>
        <v>0</v>
      </c>
      <c r="AA122" s="29">
        <f>IF($T122="",0,IF(OR(Setup!$B$27="",Setup!$C$27="No"),0,IF(ISNUMBER(N122),N122,IF($T122="Weights",IF(ISNUMBER(Setup!$D$27),Setup!$D$27,0),IF($T122="Nights",IF(ISNUMBER(Setup!$E$27),Setup!$E$27,0),IF(OR($T122="Exact amounts",$T122="Custom units"),0,1))))))</f>
        <v>0</v>
      </c>
      <c r="AB122" s="29">
        <f>IF($T122="",0,IF(OR(Setup!$B$28="",Setup!$C$28="No"),0,IF(ISNUMBER(O122),O122,IF($T122="Weights",IF(ISNUMBER(Setup!$D$28),Setup!$D$28,0),IF($T122="Nights",IF(ISNUMBER(Setup!$E$28),Setup!$E$28,0),IF(OR($T122="Exact amounts",$T122="Custom units"),0,1))))))</f>
        <v>0</v>
      </c>
      <c r="AC122" s="29">
        <f>IF($T122="",0,IF(OR(Setup!$B$29="",Setup!$C$29="No"),0,IF(ISNUMBER(P122),P122,IF($T122="Weights",IF(ISNUMBER(Setup!$D$29),Setup!$D$29,0),IF($T122="Nights",IF(ISNUMBER(Setup!$E$29),Setup!$E$29,0),IF(OR($T122="Exact amounts",$T122="Custom units"),0,1))))))</f>
        <v>0</v>
      </c>
      <c r="AD122" s="29">
        <f>IF($T122="",0,IF(OR(Setup!$B$30="",Setup!$C$30="No"),0,IF(ISNUMBER(Q122),Q122,IF($T122="Weights",IF(ISNUMBER(Setup!$D$30),Setup!$D$30,0),IF($T122="Nights",IF(ISNUMBER(Setup!$E$30),Setup!$E$30,0),IF(OR($T122="Exact amounts",$T122="Custom units"),0,1))))))</f>
        <v>0</v>
      </c>
      <c r="AE122" s="29">
        <f t="shared" si="5"/>
        <v>0</v>
      </c>
      <c r="AF122" s="30">
        <f t="shared" si="6"/>
        <v>1</v>
      </c>
      <c r="AG122" s="29">
        <f t="shared" si="7"/>
        <v>0</v>
      </c>
    </row>
    <row r="123" spans="1:33" ht="16" x14ac:dyDescent="0.2">
      <c r="A123" s="22" t="str">
        <f t="shared" si="4"/>
        <v>—</v>
      </c>
      <c r="B123" s="31"/>
      <c r="C123" s="11"/>
      <c r="D123" s="11"/>
      <c r="E123" s="32"/>
      <c r="F123" s="11"/>
      <c r="G123" s="11"/>
      <c r="H123" s="33"/>
      <c r="I123" s="33"/>
      <c r="J123" s="33"/>
      <c r="K123" s="33"/>
      <c r="L123" s="33"/>
      <c r="M123" s="33"/>
      <c r="N123" s="33"/>
      <c r="O123" s="33"/>
      <c r="P123" s="33"/>
      <c r="Q123" s="33"/>
      <c r="R123" s="26" t="str">
        <f>IF($T123="","",IF($D123="","Who paid?",IF(SUMPRODUCT((Setup!$B$21:$B$30=$D123)*1)=0,"Payer is not in the member list on Setup",IF($E123="","Amount missing — type the number in column E",IF(NOT(ISNUMBER($E123)),"Amount must be a plain number — no currency symbol, no text",IF(AND($T123="Custom units",$AE123&lt;=0),"Custom units: nobody has units on this row — type a number for at least one person",IF($AE123&lt;=0,"Nobody shares this row — check the person columns H–Q, and the Weight / Nights columns on Setup",IF(AND($T123="Exact amounts",ABS($AE123-$AG123)&gt;0.01),"Exact amounts do not add up to the amount","OK"))))))))</f>
        <v/>
      </c>
      <c r="S123" s="27" t="str">
        <f>IFERROR(IF(OR($T123="",$C$4=""),"—",ROUND($AG123*INDEX($U123:$AD123,1,MATCH($C$4,Setup!$B$21:$B$30,0))/$AF123,2)),"—")</f>
        <v>—</v>
      </c>
      <c r="T123" s="28" t="str">
        <f>IF(AND($C123="",$D123="",NOT(ISNUMBER($E123))),"",IF($G123="",IF(Setup!$C$17="","Equal",Setup!$C$17),$G123))</f>
        <v/>
      </c>
      <c r="U123" s="29">
        <f>IF($T123="",0,IF(OR(Setup!$B$21="",Setup!$C$21="No"),0,IF(ISNUMBER(H123),H123,IF($T123="Weights",IF(ISNUMBER(Setup!$D$21),Setup!$D$21,0),IF($T123="Nights",IF(ISNUMBER(Setup!$E$21),Setup!$E$21,0),IF(OR($T123="Exact amounts",$T123="Custom units"),0,1))))))</f>
        <v>0</v>
      </c>
      <c r="V123" s="29">
        <f>IF($T123="",0,IF(OR(Setup!$B$22="",Setup!$C$22="No"),0,IF(ISNUMBER(I123),I123,IF($T123="Weights",IF(ISNUMBER(Setup!$D$22),Setup!$D$22,0),IF($T123="Nights",IF(ISNUMBER(Setup!$E$22),Setup!$E$22,0),IF(OR($T123="Exact amounts",$T123="Custom units"),0,1))))))</f>
        <v>0</v>
      </c>
      <c r="W123" s="29">
        <f>IF($T123="",0,IF(OR(Setup!$B$23="",Setup!$C$23="No"),0,IF(ISNUMBER(J123),J123,IF($T123="Weights",IF(ISNUMBER(Setup!$D$23),Setup!$D$23,0),IF($T123="Nights",IF(ISNUMBER(Setup!$E$23),Setup!$E$23,0),IF(OR($T123="Exact amounts",$T123="Custom units"),0,1))))))</f>
        <v>0</v>
      </c>
      <c r="X123" s="29">
        <f>IF($T123="",0,IF(OR(Setup!$B$24="",Setup!$C$24="No"),0,IF(ISNUMBER(K123),K123,IF($T123="Weights",IF(ISNUMBER(Setup!$D$24),Setup!$D$24,0),IF($T123="Nights",IF(ISNUMBER(Setup!$E$24),Setup!$E$24,0),IF(OR($T123="Exact amounts",$T123="Custom units"),0,1))))))</f>
        <v>0</v>
      </c>
      <c r="Y123" s="29">
        <f>IF($T123="",0,IF(OR(Setup!$B$25="",Setup!$C$25="No"),0,IF(ISNUMBER(L123),L123,IF($T123="Weights",IF(ISNUMBER(Setup!$D$25),Setup!$D$25,0),IF($T123="Nights",IF(ISNUMBER(Setup!$E$25),Setup!$E$25,0),IF(OR($T123="Exact amounts",$T123="Custom units"),0,1))))))</f>
        <v>0</v>
      </c>
      <c r="Z123" s="29">
        <f>IF($T123="",0,IF(OR(Setup!$B$26="",Setup!$C$26="No"),0,IF(ISNUMBER(M123),M123,IF($T123="Weights",IF(ISNUMBER(Setup!$D$26),Setup!$D$26,0),IF($T123="Nights",IF(ISNUMBER(Setup!$E$26),Setup!$E$26,0),IF(OR($T123="Exact amounts",$T123="Custom units"),0,1))))))</f>
        <v>0</v>
      </c>
      <c r="AA123" s="29">
        <f>IF($T123="",0,IF(OR(Setup!$B$27="",Setup!$C$27="No"),0,IF(ISNUMBER(N123),N123,IF($T123="Weights",IF(ISNUMBER(Setup!$D$27),Setup!$D$27,0),IF($T123="Nights",IF(ISNUMBER(Setup!$E$27),Setup!$E$27,0),IF(OR($T123="Exact amounts",$T123="Custom units"),0,1))))))</f>
        <v>0</v>
      </c>
      <c r="AB123" s="29">
        <f>IF($T123="",0,IF(OR(Setup!$B$28="",Setup!$C$28="No"),0,IF(ISNUMBER(O123),O123,IF($T123="Weights",IF(ISNUMBER(Setup!$D$28),Setup!$D$28,0),IF($T123="Nights",IF(ISNUMBER(Setup!$E$28),Setup!$E$28,0),IF(OR($T123="Exact amounts",$T123="Custom units"),0,1))))))</f>
        <v>0</v>
      </c>
      <c r="AC123" s="29">
        <f>IF($T123="",0,IF(OR(Setup!$B$29="",Setup!$C$29="No"),0,IF(ISNUMBER(P123),P123,IF($T123="Weights",IF(ISNUMBER(Setup!$D$29),Setup!$D$29,0),IF($T123="Nights",IF(ISNUMBER(Setup!$E$29),Setup!$E$29,0),IF(OR($T123="Exact amounts",$T123="Custom units"),0,1))))))</f>
        <v>0</v>
      </c>
      <c r="AD123" s="29">
        <f>IF($T123="",0,IF(OR(Setup!$B$30="",Setup!$C$30="No"),0,IF(ISNUMBER(Q123),Q123,IF($T123="Weights",IF(ISNUMBER(Setup!$D$30),Setup!$D$30,0),IF($T123="Nights",IF(ISNUMBER(Setup!$E$30),Setup!$E$30,0),IF(OR($T123="Exact amounts",$T123="Custom units"),0,1))))))</f>
        <v>0</v>
      </c>
      <c r="AE123" s="29">
        <f t="shared" si="5"/>
        <v>0</v>
      </c>
      <c r="AF123" s="30">
        <f t="shared" si="6"/>
        <v>1</v>
      </c>
      <c r="AG123" s="29">
        <f t="shared" si="7"/>
        <v>0</v>
      </c>
    </row>
    <row r="124" spans="1:33" ht="16" x14ac:dyDescent="0.2">
      <c r="A124" s="22" t="str">
        <f t="shared" si="4"/>
        <v>—</v>
      </c>
      <c r="B124" s="23"/>
      <c r="C124" s="16"/>
      <c r="D124" s="16"/>
      <c r="E124" s="24"/>
      <c r="F124" s="16"/>
      <c r="G124" s="16"/>
      <c r="H124" s="25"/>
      <c r="I124" s="25"/>
      <c r="J124" s="25"/>
      <c r="K124" s="25"/>
      <c r="L124" s="25"/>
      <c r="M124" s="25"/>
      <c r="N124" s="25"/>
      <c r="O124" s="25"/>
      <c r="P124" s="25"/>
      <c r="Q124" s="25"/>
      <c r="R124" s="26" t="str">
        <f>IF($T124="","",IF($D124="","Who paid?",IF(SUMPRODUCT((Setup!$B$21:$B$30=$D124)*1)=0,"Payer is not in the member list on Setup",IF($E124="","Amount missing — type the number in column E",IF(NOT(ISNUMBER($E124)),"Amount must be a plain number — no currency symbol, no text",IF(AND($T124="Custom units",$AE124&lt;=0),"Custom units: nobody has units on this row — type a number for at least one person",IF($AE124&lt;=0,"Nobody shares this row — check the person columns H–Q, and the Weight / Nights columns on Setup",IF(AND($T124="Exact amounts",ABS($AE124-$AG124)&gt;0.01),"Exact amounts do not add up to the amount","OK"))))))))</f>
        <v/>
      </c>
      <c r="S124" s="27" t="str">
        <f>IFERROR(IF(OR($T124="",$C$4=""),"—",ROUND($AG124*INDEX($U124:$AD124,1,MATCH($C$4,Setup!$B$21:$B$30,0))/$AF124,2)),"—")</f>
        <v>—</v>
      </c>
      <c r="T124" s="28" t="str">
        <f>IF(AND($C124="",$D124="",NOT(ISNUMBER($E124))),"",IF($G124="",IF(Setup!$C$17="","Equal",Setup!$C$17),$G124))</f>
        <v/>
      </c>
      <c r="U124" s="29">
        <f>IF($T124="",0,IF(OR(Setup!$B$21="",Setup!$C$21="No"),0,IF(ISNUMBER(H124),H124,IF($T124="Weights",IF(ISNUMBER(Setup!$D$21),Setup!$D$21,0),IF($T124="Nights",IF(ISNUMBER(Setup!$E$21),Setup!$E$21,0),IF(OR($T124="Exact amounts",$T124="Custom units"),0,1))))))</f>
        <v>0</v>
      </c>
      <c r="V124" s="29">
        <f>IF($T124="",0,IF(OR(Setup!$B$22="",Setup!$C$22="No"),0,IF(ISNUMBER(I124),I124,IF($T124="Weights",IF(ISNUMBER(Setup!$D$22),Setup!$D$22,0),IF($T124="Nights",IF(ISNUMBER(Setup!$E$22),Setup!$E$22,0),IF(OR($T124="Exact amounts",$T124="Custom units"),0,1))))))</f>
        <v>0</v>
      </c>
      <c r="W124" s="29">
        <f>IF($T124="",0,IF(OR(Setup!$B$23="",Setup!$C$23="No"),0,IF(ISNUMBER(J124),J124,IF($T124="Weights",IF(ISNUMBER(Setup!$D$23),Setup!$D$23,0),IF($T124="Nights",IF(ISNUMBER(Setup!$E$23),Setup!$E$23,0),IF(OR($T124="Exact amounts",$T124="Custom units"),0,1))))))</f>
        <v>0</v>
      </c>
      <c r="X124" s="29">
        <f>IF($T124="",0,IF(OR(Setup!$B$24="",Setup!$C$24="No"),0,IF(ISNUMBER(K124),K124,IF($T124="Weights",IF(ISNUMBER(Setup!$D$24),Setup!$D$24,0),IF($T124="Nights",IF(ISNUMBER(Setup!$E$24),Setup!$E$24,0),IF(OR($T124="Exact amounts",$T124="Custom units"),0,1))))))</f>
        <v>0</v>
      </c>
      <c r="Y124" s="29">
        <f>IF($T124="",0,IF(OR(Setup!$B$25="",Setup!$C$25="No"),0,IF(ISNUMBER(L124),L124,IF($T124="Weights",IF(ISNUMBER(Setup!$D$25),Setup!$D$25,0),IF($T124="Nights",IF(ISNUMBER(Setup!$E$25),Setup!$E$25,0),IF(OR($T124="Exact amounts",$T124="Custom units"),0,1))))))</f>
        <v>0</v>
      </c>
      <c r="Z124" s="29">
        <f>IF($T124="",0,IF(OR(Setup!$B$26="",Setup!$C$26="No"),0,IF(ISNUMBER(M124),M124,IF($T124="Weights",IF(ISNUMBER(Setup!$D$26),Setup!$D$26,0),IF($T124="Nights",IF(ISNUMBER(Setup!$E$26),Setup!$E$26,0),IF(OR($T124="Exact amounts",$T124="Custom units"),0,1))))))</f>
        <v>0</v>
      </c>
      <c r="AA124" s="29">
        <f>IF($T124="",0,IF(OR(Setup!$B$27="",Setup!$C$27="No"),0,IF(ISNUMBER(N124),N124,IF($T124="Weights",IF(ISNUMBER(Setup!$D$27),Setup!$D$27,0),IF($T124="Nights",IF(ISNUMBER(Setup!$E$27),Setup!$E$27,0),IF(OR($T124="Exact amounts",$T124="Custom units"),0,1))))))</f>
        <v>0</v>
      </c>
      <c r="AB124" s="29">
        <f>IF($T124="",0,IF(OR(Setup!$B$28="",Setup!$C$28="No"),0,IF(ISNUMBER(O124),O124,IF($T124="Weights",IF(ISNUMBER(Setup!$D$28),Setup!$D$28,0),IF($T124="Nights",IF(ISNUMBER(Setup!$E$28),Setup!$E$28,0),IF(OR($T124="Exact amounts",$T124="Custom units"),0,1))))))</f>
        <v>0</v>
      </c>
      <c r="AC124" s="29">
        <f>IF($T124="",0,IF(OR(Setup!$B$29="",Setup!$C$29="No"),0,IF(ISNUMBER(P124),P124,IF($T124="Weights",IF(ISNUMBER(Setup!$D$29),Setup!$D$29,0),IF($T124="Nights",IF(ISNUMBER(Setup!$E$29),Setup!$E$29,0),IF(OR($T124="Exact amounts",$T124="Custom units"),0,1))))))</f>
        <v>0</v>
      </c>
      <c r="AD124" s="29">
        <f>IF($T124="",0,IF(OR(Setup!$B$30="",Setup!$C$30="No"),0,IF(ISNUMBER(Q124),Q124,IF($T124="Weights",IF(ISNUMBER(Setup!$D$30),Setup!$D$30,0),IF($T124="Nights",IF(ISNUMBER(Setup!$E$30),Setup!$E$30,0),IF(OR($T124="Exact amounts",$T124="Custom units"),0,1))))))</f>
        <v>0</v>
      </c>
      <c r="AE124" s="29">
        <f t="shared" si="5"/>
        <v>0</v>
      </c>
      <c r="AF124" s="30">
        <f t="shared" si="6"/>
        <v>1</v>
      </c>
      <c r="AG124" s="29">
        <f t="shared" si="7"/>
        <v>0</v>
      </c>
    </row>
    <row r="125" spans="1:33" ht="16" x14ac:dyDescent="0.2">
      <c r="A125" s="22" t="str">
        <f t="shared" si="4"/>
        <v>—</v>
      </c>
      <c r="B125" s="31"/>
      <c r="C125" s="11"/>
      <c r="D125" s="11"/>
      <c r="E125" s="32"/>
      <c r="F125" s="11"/>
      <c r="G125" s="11"/>
      <c r="H125" s="33"/>
      <c r="I125" s="33"/>
      <c r="J125" s="33"/>
      <c r="K125" s="33"/>
      <c r="L125" s="33"/>
      <c r="M125" s="33"/>
      <c r="N125" s="33"/>
      <c r="O125" s="33"/>
      <c r="P125" s="33"/>
      <c r="Q125" s="33"/>
      <c r="R125" s="26" t="str">
        <f>IF($T125="","",IF($D125="","Who paid?",IF(SUMPRODUCT((Setup!$B$21:$B$30=$D125)*1)=0,"Payer is not in the member list on Setup",IF($E125="","Amount missing — type the number in column E",IF(NOT(ISNUMBER($E125)),"Amount must be a plain number — no currency symbol, no text",IF(AND($T125="Custom units",$AE125&lt;=0),"Custom units: nobody has units on this row — type a number for at least one person",IF($AE125&lt;=0,"Nobody shares this row — check the person columns H–Q, and the Weight / Nights columns on Setup",IF(AND($T125="Exact amounts",ABS($AE125-$AG125)&gt;0.01),"Exact amounts do not add up to the amount","OK"))))))))</f>
        <v/>
      </c>
      <c r="S125" s="27" t="str">
        <f>IFERROR(IF(OR($T125="",$C$4=""),"—",ROUND($AG125*INDEX($U125:$AD125,1,MATCH($C$4,Setup!$B$21:$B$30,0))/$AF125,2)),"—")</f>
        <v>—</v>
      </c>
      <c r="T125" s="28" t="str">
        <f>IF(AND($C125="",$D125="",NOT(ISNUMBER($E125))),"",IF($G125="",IF(Setup!$C$17="","Equal",Setup!$C$17),$G125))</f>
        <v/>
      </c>
      <c r="U125" s="29">
        <f>IF($T125="",0,IF(OR(Setup!$B$21="",Setup!$C$21="No"),0,IF(ISNUMBER(H125),H125,IF($T125="Weights",IF(ISNUMBER(Setup!$D$21),Setup!$D$21,0),IF($T125="Nights",IF(ISNUMBER(Setup!$E$21),Setup!$E$21,0),IF(OR($T125="Exact amounts",$T125="Custom units"),0,1))))))</f>
        <v>0</v>
      </c>
      <c r="V125" s="29">
        <f>IF($T125="",0,IF(OR(Setup!$B$22="",Setup!$C$22="No"),0,IF(ISNUMBER(I125),I125,IF($T125="Weights",IF(ISNUMBER(Setup!$D$22),Setup!$D$22,0),IF($T125="Nights",IF(ISNUMBER(Setup!$E$22),Setup!$E$22,0),IF(OR($T125="Exact amounts",$T125="Custom units"),0,1))))))</f>
        <v>0</v>
      </c>
      <c r="W125" s="29">
        <f>IF($T125="",0,IF(OR(Setup!$B$23="",Setup!$C$23="No"),0,IF(ISNUMBER(J125),J125,IF($T125="Weights",IF(ISNUMBER(Setup!$D$23),Setup!$D$23,0),IF($T125="Nights",IF(ISNUMBER(Setup!$E$23),Setup!$E$23,0),IF(OR($T125="Exact amounts",$T125="Custom units"),0,1))))))</f>
        <v>0</v>
      </c>
      <c r="X125" s="29">
        <f>IF($T125="",0,IF(OR(Setup!$B$24="",Setup!$C$24="No"),0,IF(ISNUMBER(K125),K125,IF($T125="Weights",IF(ISNUMBER(Setup!$D$24),Setup!$D$24,0),IF($T125="Nights",IF(ISNUMBER(Setup!$E$24),Setup!$E$24,0),IF(OR($T125="Exact amounts",$T125="Custom units"),0,1))))))</f>
        <v>0</v>
      </c>
      <c r="Y125" s="29">
        <f>IF($T125="",0,IF(OR(Setup!$B$25="",Setup!$C$25="No"),0,IF(ISNUMBER(L125),L125,IF($T125="Weights",IF(ISNUMBER(Setup!$D$25),Setup!$D$25,0),IF($T125="Nights",IF(ISNUMBER(Setup!$E$25),Setup!$E$25,0),IF(OR($T125="Exact amounts",$T125="Custom units"),0,1))))))</f>
        <v>0</v>
      </c>
      <c r="Z125" s="29">
        <f>IF($T125="",0,IF(OR(Setup!$B$26="",Setup!$C$26="No"),0,IF(ISNUMBER(M125),M125,IF($T125="Weights",IF(ISNUMBER(Setup!$D$26),Setup!$D$26,0),IF($T125="Nights",IF(ISNUMBER(Setup!$E$26),Setup!$E$26,0),IF(OR($T125="Exact amounts",$T125="Custom units"),0,1))))))</f>
        <v>0</v>
      </c>
      <c r="AA125" s="29">
        <f>IF($T125="",0,IF(OR(Setup!$B$27="",Setup!$C$27="No"),0,IF(ISNUMBER(N125),N125,IF($T125="Weights",IF(ISNUMBER(Setup!$D$27),Setup!$D$27,0),IF($T125="Nights",IF(ISNUMBER(Setup!$E$27),Setup!$E$27,0),IF(OR($T125="Exact amounts",$T125="Custom units"),0,1))))))</f>
        <v>0</v>
      </c>
      <c r="AB125" s="29">
        <f>IF($T125="",0,IF(OR(Setup!$B$28="",Setup!$C$28="No"),0,IF(ISNUMBER(O125),O125,IF($T125="Weights",IF(ISNUMBER(Setup!$D$28),Setup!$D$28,0),IF($T125="Nights",IF(ISNUMBER(Setup!$E$28),Setup!$E$28,0),IF(OR($T125="Exact amounts",$T125="Custom units"),0,1))))))</f>
        <v>0</v>
      </c>
      <c r="AC125" s="29">
        <f>IF($T125="",0,IF(OR(Setup!$B$29="",Setup!$C$29="No"),0,IF(ISNUMBER(P125),P125,IF($T125="Weights",IF(ISNUMBER(Setup!$D$29),Setup!$D$29,0),IF($T125="Nights",IF(ISNUMBER(Setup!$E$29),Setup!$E$29,0),IF(OR($T125="Exact amounts",$T125="Custom units"),0,1))))))</f>
        <v>0</v>
      </c>
      <c r="AD125" s="29">
        <f>IF($T125="",0,IF(OR(Setup!$B$30="",Setup!$C$30="No"),0,IF(ISNUMBER(Q125),Q125,IF($T125="Weights",IF(ISNUMBER(Setup!$D$30),Setup!$D$30,0),IF($T125="Nights",IF(ISNUMBER(Setup!$E$30),Setup!$E$30,0),IF(OR($T125="Exact amounts",$T125="Custom units"),0,1))))))</f>
        <v>0</v>
      </c>
      <c r="AE125" s="29">
        <f t="shared" si="5"/>
        <v>0</v>
      </c>
      <c r="AF125" s="30">
        <f t="shared" si="6"/>
        <v>1</v>
      </c>
      <c r="AG125" s="29">
        <f t="shared" si="7"/>
        <v>0</v>
      </c>
    </row>
    <row r="126" spans="1:33" ht="16" x14ac:dyDescent="0.2">
      <c r="A126" s="22" t="str">
        <f t="shared" si="4"/>
        <v>—</v>
      </c>
      <c r="B126" s="23"/>
      <c r="C126" s="16"/>
      <c r="D126" s="16"/>
      <c r="E126" s="24"/>
      <c r="F126" s="16"/>
      <c r="G126" s="16"/>
      <c r="H126" s="25"/>
      <c r="I126" s="25"/>
      <c r="J126" s="25"/>
      <c r="K126" s="25"/>
      <c r="L126" s="25"/>
      <c r="M126" s="25"/>
      <c r="N126" s="25"/>
      <c r="O126" s="25"/>
      <c r="P126" s="25"/>
      <c r="Q126" s="25"/>
      <c r="R126" s="26" t="str">
        <f>IF($T126="","",IF($D126="","Who paid?",IF(SUMPRODUCT((Setup!$B$21:$B$30=$D126)*1)=0,"Payer is not in the member list on Setup",IF($E126="","Amount missing — type the number in column E",IF(NOT(ISNUMBER($E126)),"Amount must be a plain number — no currency symbol, no text",IF(AND($T126="Custom units",$AE126&lt;=0),"Custom units: nobody has units on this row — type a number for at least one person",IF($AE126&lt;=0,"Nobody shares this row — check the person columns H–Q, and the Weight / Nights columns on Setup",IF(AND($T126="Exact amounts",ABS($AE126-$AG126)&gt;0.01),"Exact amounts do not add up to the amount","OK"))))))))</f>
        <v/>
      </c>
      <c r="S126" s="27" t="str">
        <f>IFERROR(IF(OR($T126="",$C$4=""),"—",ROUND($AG126*INDEX($U126:$AD126,1,MATCH($C$4,Setup!$B$21:$B$30,0))/$AF126,2)),"—")</f>
        <v>—</v>
      </c>
      <c r="T126" s="28" t="str">
        <f>IF(AND($C126="",$D126="",NOT(ISNUMBER($E126))),"",IF($G126="",IF(Setup!$C$17="","Equal",Setup!$C$17),$G126))</f>
        <v/>
      </c>
      <c r="U126" s="29">
        <f>IF($T126="",0,IF(OR(Setup!$B$21="",Setup!$C$21="No"),0,IF(ISNUMBER(H126),H126,IF($T126="Weights",IF(ISNUMBER(Setup!$D$21),Setup!$D$21,0),IF($T126="Nights",IF(ISNUMBER(Setup!$E$21),Setup!$E$21,0),IF(OR($T126="Exact amounts",$T126="Custom units"),0,1))))))</f>
        <v>0</v>
      </c>
      <c r="V126" s="29">
        <f>IF($T126="",0,IF(OR(Setup!$B$22="",Setup!$C$22="No"),0,IF(ISNUMBER(I126),I126,IF($T126="Weights",IF(ISNUMBER(Setup!$D$22),Setup!$D$22,0),IF($T126="Nights",IF(ISNUMBER(Setup!$E$22),Setup!$E$22,0),IF(OR($T126="Exact amounts",$T126="Custom units"),0,1))))))</f>
        <v>0</v>
      </c>
      <c r="W126" s="29">
        <f>IF($T126="",0,IF(OR(Setup!$B$23="",Setup!$C$23="No"),0,IF(ISNUMBER(J126),J126,IF($T126="Weights",IF(ISNUMBER(Setup!$D$23),Setup!$D$23,0),IF($T126="Nights",IF(ISNUMBER(Setup!$E$23),Setup!$E$23,0),IF(OR($T126="Exact amounts",$T126="Custom units"),0,1))))))</f>
        <v>0</v>
      </c>
      <c r="X126" s="29">
        <f>IF($T126="",0,IF(OR(Setup!$B$24="",Setup!$C$24="No"),0,IF(ISNUMBER(K126),K126,IF($T126="Weights",IF(ISNUMBER(Setup!$D$24),Setup!$D$24,0),IF($T126="Nights",IF(ISNUMBER(Setup!$E$24),Setup!$E$24,0),IF(OR($T126="Exact amounts",$T126="Custom units"),0,1))))))</f>
        <v>0</v>
      </c>
      <c r="Y126" s="29">
        <f>IF($T126="",0,IF(OR(Setup!$B$25="",Setup!$C$25="No"),0,IF(ISNUMBER(L126),L126,IF($T126="Weights",IF(ISNUMBER(Setup!$D$25),Setup!$D$25,0),IF($T126="Nights",IF(ISNUMBER(Setup!$E$25),Setup!$E$25,0),IF(OR($T126="Exact amounts",$T126="Custom units"),0,1))))))</f>
        <v>0</v>
      </c>
      <c r="Z126" s="29">
        <f>IF($T126="",0,IF(OR(Setup!$B$26="",Setup!$C$26="No"),0,IF(ISNUMBER(M126),M126,IF($T126="Weights",IF(ISNUMBER(Setup!$D$26),Setup!$D$26,0),IF($T126="Nights",IF(ISNUMBER(Setup!$E$26),Setup!$E$26,0),IF(OR($T126="Exact amounts",$T126="Custom units"),0,1))))))</f>
        <v>0</v>
      </c>
      <c r="AA126" s="29">
        <f>IF($T126="",0,IF(OR(Setup!$B$27="",Setup!$C$27="No"),0,IF(ISNUMBER(N126),N126,IF($T126="Weights",IF(ISNUMBER(Setup!$D$27),Setup!$D$27,0),IF($T126="Nights",IF(ISNUMBER(Setup!$E$27),Setup!$E$27,0),IF(OR($T126="Exact amounts",$T126="Custom units"),0,1))))))</f>
        <v>0</v>
      </c>
      <c r="AB126" s="29">
        <f>IF($T126="",0,IF(OR(Setup!$B$28="",Setup!$C$28="No"),0,IF(ISNUMBER(O126),O126,IF($T126="Weights",IF(ISNUMBER(Setup!$D$28),Setup!$D$28,0),IF($T126="Nights",IF(ISNUMBER(Setup!$E$28),Setup!$E$28,0),IF(OR($T126="Exact amounts",$T126="Custom units"),0,1))))))</f>
        <v>0</v>
      </c>
      <c r="AC126" s="29">
        <f>IF($T126="",0,IF(OR(Setup!$B$29="",Setup!$C$29="No"),0,IF(ISNUMBER(P126),P126,IF($T126="Weights",IF(ISNUMBER(Setup!$D$29),Setup!$D$29,0),IF($T126="Nights",IF(ISNUMBER(Setup!$E$29),Setup!$E$29,0),IF(OR($T126="Exact amounts",$T126="Custom units"),0,1))))))</f>
        <v>0</v>
      </c>
      <c r="AD126" s="29">
        <f>IF($T126="",0,IF(OR(Setup!$B$30="",Setup!$C$30="No"),0,IF(ISNUMBER(Q126),Q126,IF($T126="Weights",IF(ISNUMBER(Setup!$D$30),Setup!$D$30,0),IF($T126="Nights",IF(ISNUMBER(Setup!$E$30),Setup!$E$30,0),IF(OR($T126="Exact amounts",$T126="Custom units"),0,1))))))</f>
        <v>0</v>
      </c>
      <c r="AE126" s="29">
        <f t="shared" si="5"/>
        <v>0</v>
      </c>
      <c r="AF126" s="30">
        <f t="shared" si="6"/>
        <v>1</v>
      </c>
      <c r="AG126" s="29">
        <f t="shared" si="7"/>
        <v>0</v>
      </c>
    </row>
    <row r="127" spans="1:33" ht="16" x14ac:dyDescent="0.2">
      <c r="A127" s="22" t="str">
        <f t="shared" si="4"/>
        <v>—</v>
      </c>
      <c r="B127" s="31"/>
      <c r="C127" s="11"/>
      <c r="D127" s="11"/>
      <c r="E127" s="32"/>
      <c r="F127" s="11"/>
      <c r="G127" s="11"/>
      <c r="H127" s="33"/>
      <c r="I127" s="33"/>
      <c r="J127" s="33"/>
      <c r="K127" s="33"/>
      <c r="L127" s="33"/>
      <c r="M127" s="33"/>
      <c r="N127" s="33"/>
      <c r="O127" s="33"/>
      <c r="P127" s="33"/>
      <c r="Q127" s="33"/>
      <c r="R127" s="26" t="str">
        <f>IF($T127="","",IF($D127="","Who paid?",IF(SUMPRODUCT((Setup!$B$21:$B$30=$D127)*1)=0,"Payer is not in the member list on Setup",IF($E127="","Amount missing — type the number in column E",IF(NOT(ISNUMBER($E127)),"Amount must be a plain number — no currency symbol, no text",IF(AND($T127="Custom units",$AE127&lt;=0),"Custom units: nobody has units on this row — type a number for at least one person",IF($AE127&lt;=0,"Nobody shares this row — check the person columns H–Q, and the Weight / Nights columns on Setup",IF(AND($T127="Exact amounts",ABS($AE127-$AG127)&gt;0.01),"Exact amounts do not add up to the amount","OK"))))))))</f>
        <v/>
      </c>
      <c r="S127" s="27" t="str">
        <f>IFERROR(IF(OR($T127="",$C$4=""),"—",ROUND($AG127*INDEX($U127:$AD127,1,MATCH($C$4,Setup!$B$21:$B$30,0))/$AF127,2)),"—")</f>
        <v>—</v>
      </c>
      <c r="T127" s="28" t="str">
        <f>IF(AND($C127="",$D127="",NOT(ISNUMBER($E127))),"",IF($G127="",IF(Setup!$C$17="","Equal",Setup!$C$17),$G127))</f>
        <v/>
      </c>
      <c r="U127" s="29">
        <f>IF($T127="",0,IF(OR(Setup!$B$21="",Setup!$C$21="No"),0,IF(ISNUMBER(H127),H127,IF($T127="Weights",IF(ISNUMBER(Setup!$D$21),Setup!$D$21,0),IF($T127="Nights",IF(ISNUMBER(Setup!$E$21),Setup!$E$21,0),IF(OR($T127="Exact amounts",$T127="Custom units"),0,1))))))</f>
        <v>0</v>
      </c>
      <c r="V127" s="29">
        <f>IF($T127="",0,IF(OR(Setup!$B$22="",Setup!$C$22="No"),0,IF(ISNUMBER(I127),I127,IF($T127="Weights",IF(ISNUMBER(Setup!$D$22),Setup!$D$22,0),IF($T127="Nights",IF(ISNUMBER(Setup!$E$22),Setup!$E$22,0),IF(OR($T127="Exact amounts",$T127="Custom units"),0,1))))))</f>
        <v>0</v>
      </c>
      <c r="W127" s="29">
        <f>IF($T127="",0,IF(OR(Setup!$B$23="",Setup!$C$23="No"),0,IF(ISNUMBER(J127),J127,IF($T127="Weights",IF(ISNUMBER(Setup!$D$23),Setup!$D$23,0),IF($T127="Nights",IF(ISNUMBER(Setup!$E$23),Setup!$E$23,0),IF(OR($T127="Exact amounts",$T127="Custom units"),0,1))))))</f>
        <v>0</v>
      </c>
      <c r="X127" s="29">
        <f>IF($T127="",0,IF(OR(Setup!$B$24="",Setup!$C$24="No"),0,IF(ISNUMBER(K127),K127,IF($T127="Weights",IF(ISNUMBER(Setup!$D$24),Setup!$D$24,0),IF($T127="Nights",IF(ISNUMBER(Setup!$E$24),Setup!$E$24,0),IF(OR($T127="Exact amounts",$T127="Custom units"),0,1))))))</f>
        <v>0</v>
      </c>
      <c r="Y127" s="29">
        <f>IF($T127="",0,IF(OR(Setup!$B$25="",Setup!$C$25="No"),0,IF(ISNUMBER(L127),L127,IF($T127="Weights",IF(ISNUMBER(Setup!$D$25),Setup!$D$25,0),IF($T127="Nights",IF(ISNUMBER(Setup!$E$25),Setup!$E$25,0),IF(OR($T127="Exact amounts",$T127="Custom units"),0,1))))))</f>
        <v>0</v>
      </c>
      <c r="Z127" s="29">
        <f>IF($T127="",0,IF(OR(Setup!$B$26="",Setup!$C$26="No"),0,IF(ISNUMBER(M127),M127,IF($T127="Weights",IF(ISNUMBER(Setup!$D$26),Setup!$D$26,0),IF($T127="Nights",IF(ISNUMBER(Setup!$E$26),Setup!$E$26,0),IF(OR($T127="Exact amounts",$T127="Custom units"),0,1))))))</f>
        <v>0</v>
      </c>
      <c r="AA127" s="29">
        <f>IF($T127="",0,IF(OR(Setup!$B$27="",Setup!$C$27="No"),0,IF(ISNUMBER(N127),N127,IF($T127="Weights",IF(ISNUMBER(Setup!$D$27),Setup!$D$27,0),IF($T127="Nights",IF(ISNUMBER(Setup!$E$27),Setup!$E$27,0),IF(OR($T127="Exact amounts",$T127="Custom units"),0,1))))))</f>
        <v>0</v>
      </c>
      <c r="AB127" s="29">
        <f>IF($T127="",0,IF(OR(Setup!$B$28="",Setup!$C$28="No"),0,IF(ISNUMBER(O127),O127,IF($T127="Weights",IF(ISNUMBER(Setup!$D$28),Setup!$D$28,0),IF($T127="Nights",IF(ISNUMBER(Setup!$E$28),Setup!$E$28,0),IF(OR($T127="Exact amounts",$T127="Custom units"),0,1))))))</f>
        <v>0</v>
      </c>
      <c r="AC127" s="29">
        <f>IF($T127="",0,IF(OR(Setup!$B$29="",Setup!$C$29="No"),0,IF(ISNUMBER(P127),P127,IF($T127="Weights",IF(ISNUMBER(Setup!$D$29),Setup!$D$29,0),IF($T127="Nights",IF(ISNUMBER(Setup!$E$29),Setup!$E$29,0),IF(OR($T127="Exact amounts",$T127="Custom units"),0,1))))))</f>
        <v>0</v>
      </c>
      <c r="AD127" s="29">
        <f>IF($T127="",0,IF(OR(Setup!$B$30="",Setup!$C$30="No"),0,IF(ISNUMBER(Q127),Q127,IF($T127="Weights",IF(ISNUMBER(Setup!$D$30),Setup!$D$30,0),IF($T127="Nights",IF(ISNUMBER(Setup!$E$30),Setup!$E$30,0),IF(OR($T127="Exact amounts",$T127="Custom units"),0,1))))))</f>
        <v>0</v>
      </c>
      <c r="AE127" s="29">
        <f t="shared" si="5"/>
        <v>0</v>
      </c>
      <c r="AF127" s="30">
        <f t="shared" si="6"/>
        <v>1</v>
      </c>
      <c r="AG127" s="29">
        <f t="shared" si="7"/>
        <v>0</v>
      </c>
    </row>
    <row r="128" spans="1:33" ht="16" x14ac:dyDescent="0.2">
      <c r="A128" s="22" t="str">
        <f t="shared" si="4"/>
        <v>—</v>
      </c>
      <c r="B128" s="23"/>
      <c r="C128" s="16"/>
      <c r="D128" s="16"/>
      <c r="E128" s="24"/>
      <c r="F128" s="16"/>
      <c r="G128" s="16"/>
      <c r="H128" s="25"/>
      <c r="I128" s="25"/>
      <c r="J128" s="25"/>
      <c r="K128" s="25"/>
      <c r="L128" s="25"/>
      <c r="M128" s="25"/>
      <c r="N128" s="25"/>
      <c r="O128" s="25"/>
      <c r="P128" s="25"/>
      <c r="Q128" s="25"/>
      <c r="R128" s="26" t="str">
        <f>IF($T128="","",IF($D128="","Who paid?",IF(SUMPRODUCT((Setup!$B$21:$B$30=$D128)*1)=0,"Payer is not in the member list on Setup",IF($E128="","Amount missing — type the number in column E",IF(NOT(ISNUMBER($E128)),"Amount must be a plain number — no currency symbol, no text",IF(AND($T128="Custom units",$AE128&lt;=0),"Custom units: nobody has units on this row — type a number for at least one person",IF($AE128&lt;=0,"Nobody shares this row — check the person columns H–Q, and the Weight / Nights columns on Setup",IF(AND($T128="Exact amounts",ABS($AE128-$AG128)&gt;0.01),"Exact amounts do not add up to the amount","OK"))))))))</f>
        <v/>
      </c>
      <c r="S128" s="27" t="str">
        <f>IFERROR(IF(OR($T128="",$C$4=""),"—",ROUND($AG128*INDEX($U128:$AD128,1,MATCH($C$4,Setup!$B$21:$B$30,0))/$AF128,2)),"—")</f>
        <v>—</v>
      </c>
      <c r="T128" s="28" t="str">
        <f>IF(AND($C128="",$D128="",NOT(ISNUMBER($E128))),"",IF($G128="",IF(Setup!$C$17="","Equal",Setup!$C$17),$G128))</f>
        <v/>
      </c>
      <c r="U128" s="29">
        <f>IF($T128="",0,IF(OR(Setup!$B$21="",Setup!$C$21="No"),0,IF(ISNUMBER(H128),H128,IF($T128="Weights",IF(ISNUMBER(Setup!$D$21),Setup!$D$21,0),IF($T128="Nights",IF(ISNUMBER(Setup!$E$21),Setup!$E$21,0),IF(OR($T128="Exact amounts",$T128="Custom units"),0,1))))))</f>
        <v>0</v>
      </c>
      <c r="V128" s="29">
        <f>IF($T128="",0,IF(OR(Setup!$B$22="",Setup!$C$22="No"),0,IF(ISNUMBER(I128),I128,IF($T128="Weights",IF(ISNUMBER(Setup!$D$22),Setup!$D$22,0),IF($T128="Nights",IF(ISNUMBER(Setup!$E$22),Setup!$E$22,0),IF(OR($T128="Exact amounts",$T128="Custom units"),0,1))))))</f>
        <v>0</v>
      </c>
      <c r="W128" s="29">
        <f>IF($T128="",0,IF(OR(Setup!$B$23="",Setup!$C$23="No"),0,IF(ISNUMBER(J128),J128,IF($T128="Weights",IF(ISNUMBER(Setup!$D$23),Setup!$D$23,0),IF($T128="Nights",IF(ISNUMBER(Setup!$E$23),Setup!$E$23,0),IF(OR($T128="Exact amounts",$T128="Custom units"),0,1))))))</f>
        <v>0</v>
      </c>
      <c r="X128" s="29">
        <f>IF($T128="",0,IF(OR(Setup!$B$24="",Setup!$C$24="No"),0,IF(ISNUMBER(K128),K128,IF($T128="Weights",IF(ISNUMBER(Setup!$D$24),Setup!$D$24,0),IF($T128="Nights",IF(ISNUMBER(Setup!$E$24),Setup!$E$24,0),IF(OR($T128="Exact amounts",$T128="Custom units"),0,1))))))</f>
        <v>0</v>
      </c>
      <c r="Y128" s="29">
        <f>IF($T128="",0,IF(OR(Setup!$B$25="",Setup!$C$25="No"),0,IF(ISNUMBER(L128),L128,IF($T128="Weights",IF(ISNUMBER(Setup!$D$25),Setup!$D$25,0),IF($T128="Nights",IF(ISNUMBER(Setup!$E$25),Setup!$E$25,0),IF(OR($T128="Exact amounts",$T128="Custom units"),0,1))))))</f>
        <v>0</v>
      </c>
      <c r="Z128" s="29">
        <f>IF($T128="",0,IF(OR(Setup!$B$26="",Setup!$C$26="No"),0,IF(ISNUMBER(M128),M128,IF($T128="Weights",IF(ISNUMBER(Setup!$D$26),Setup!$D$26,0),IF($T128="Nights",IF(ISNUMBER(Setup!$E$26),Setup!$E$26,0),IF(OR($T128="Exact amounts",$T128="Custom units"),0,1))))))</f>
        <v>0</v>
      </c>
      <c r="AA128" s="29">
        <f>IF($T128="",0,IF(OR(Setup!$B$27="",Setup!$C$27="No"),0,IF(ISNUMBER(N128),N128,IF($T128="Weights",IF(ISNUMBER(Setup!$D$27),Setup!$D$27,0),IF($T128="Nights",IF(ISNUMBER(Setup!$E$27),Setup!$E$27,0),IF(OR($T128="Exact amounts",$T128="Custom units"),0,1))))))</f>
        <v>0</v>
      </c>
      <c r="AB128" s="29">
        <f>IF($T128="",0,IF(OR(Setup!$B$28="",Setup!$C$28="No"),0,IF(ISNUMBER(O128),O128,IF($T128="Weights",IF(ISNUMBER(Setup!$D$28),Setup!$D$28,0),IF($T128="Nights",IF(ISNUMBER(Setup!$E$28),Setup!$E$28,0),IF(OR($T128="Exact amounts",$T128="Custom units"),0,1))))))</f>
        <v>0</v>
      </c>
      <c r="AC128" s="29">
        <f>IF($T128="",0,IF(OR(Setup!$B$29="",Setup!$C$29="No"),0,IF(ISNUMBER(P128),P128,IF($T128="Weights",IF(ISNUMBER(Setup!$D$29),Setup!$D$29,0),IF($T128="Nights",IF(ISNUMBER(Setup!$E$29),Setup!$E$29,0),IF(OR($T128="Exact amounts",$T128="Custom units"),0,1))))))</f>
        <v>0</v>
      </c>
      <c r="AD128" s="29">
        <f>IF($T128="",0,IF(OR(Setup!$B$30="",Setup!$C$30="No"),0,IF(ISNUMBER(Q128),Q128,IF($T128="Weights",IF(ISNUMBER(Setup!$D$30),Setup!$D$30,0),IF($T128="Nights",IF(ISNUMBER(Setup!$E$30),Setup!$E$30,0),IF(OR($T128="Exact amounts",$T128="Custom units"),0,1))))))</f>
        <v>0</v>
      </c>
      <c r="AE128" s="29">
        <f t="shared" si="5"/>
        <v>0</v>
      </c>
      <c r="AF128" s="30">
        <f t="shared" si="6"/>
        <v>1</v>
      </c>
      <c r="AG128" s="29">
        <f t="shared" si="7"/>
        <v>0</v>
      </c>
    </row>
    <row r="129" spans="1:33" ht="16" x14ac:dyDescent="0.2">
      <c r="A129" s="22" t="str">
        <f t="shared" si="4"/>
        <v>—</v>
      </c>
      <c r="B129" s="31"/>
      <c r="C129" s="11"/>
      <c r="D129" s="11"/>
      <c r="E129" s="32"/>
      <c r="F129" s="11"/>
      <c r="G129" s="11"/>
      <c r="H129" s="33"/>
      <c r="I129" s="33"/>
      <c r="J129" s="33"/>
      <c r="K129" s="33"/>
      <c r="L129" s="33"/>
      <c r="M129" s="33"/>
      <c r="N129" s="33"/>
      <c r="O129" s="33"/>
      <c r="P129" s="33"/>
      <c r="Q129" s="33"/>
      <c r="R129" s="26" t="str">
        <f>IF($T129="","",IF($D129="","Who paid?",IF(SUMPRODUCT((Setup!$B$21:$B$30=$D129)*1)=0,"Payer is not in the member list on Setup",IF($E129="","Amount missing — type the number in column E",IF(NOT(ISNUMBER($E129)),"Amount must be a plain number — no currency symbol, no text",IF(AND($T129="Custom units",$AE129&lt;=0),"Custom units: nobody has units on this row — type a number for at least one person",IF($AE129&lt;=0,"Nobody shares this row — check the person columns H–Q, and the Weight / Nights columns on Setup",IF(AND($T129="Exact amounts",ABS($AE129-$AG129)&gt;0.01),"Exact amounts do not add up to the amount","OK"))))))))</f>
        <v/>
      </c>
      <c r="S129" s="27" t="str">
        <f>IFERROR(IF(OR($T129="",$C$4=""),"—",ROUND($AG129*INDEX($U129:$AD129,1,MATCH($C$4,Setup!$B$21:$B$30,0))/$AF129,2)),"—")</f>
        <v>—</v>
      </c>
      <c r="T129" s="28" t="str">
        <f>IF(AND($C129="",$D129="",NOT(ISNUMBER($E129))),"",IF($G129="",IF(Setup!$C$17="","Equal",Setup!$C$17),$G129))</f>
        <v/>
      </c>
      <c r="U129" s="29">
        <f>IF($T129="",0,IF(OR(Setup!$B$21="",Setup!$C$21="No"),0,IF(ISNUMBER(H129),H129,IF($T129="Weights",IF(ISNUMBER(Setup!$D$21),Setup!$D$21,0),IF($T129="Nights",IF(ISNUMBER(Setup!$E$21),Setup!$E$21,0),IF(OR($T129="Exact amounts",$T129="Custom units"),0,1))))))</f>
        <v>0</v>
      </c>
      <c r="V129" s="29">
        <f>IF($T129="",0,IF(OR(Setup!$B$22="",Setup!$C$22="No"),0,IF(ISNUMBER(I129),I129,IF($T129="Weights",IF(ISNUMBER(Setup!$D$22),Setup!$D$22,0),IF($T129="Nights",IF(ISNUMBER(Setup!$E$22),Setup!$E$22,0),IF(OR($T129="Exact amounts",$T129="Custom units"),0,1))))))</f>
        <v>0</v>
      </c>
      <c r="W129" s="29">
        <f>IF($T129="",0,IF(OR(Setup!$B$23="",Setup!$C$23="No"),0,IF(ISNUMBER(J129),J129,IF($T129="Weights",IF(ISNUMBER(Setup!$D$23),Setup!$D$23,0),IF($T129="Nights",IF(ISNUMBER(Setup!$E$23),Setup!$E$23,0),IF(OR($T129="Exact amounts",$T129="Custom units"),0,1))))))</f>
        <v>0</v>
      </c>
      <c r="X129" s="29">
        <f>IF($T129="",0,IF(OR(Setup!$B$24="",Setup!$C$24="No"),0,IF(ISNUMBER(K129),K129,IF($T129="Weights",IF(ISNUMBER(Setup!$D$24),Setup!$D$24,0),IF($T129="Nights",IF(ISNUMBER(Setup!$E$24),Setup!$E$24,0),IF(OR($T129="Exact amounts",$T129="Custom units"),0,1))))))</f>
        <v>0</v>
      </c>
      <c r="Y129" s="29">
        <f>IF($T129="",0,IF(OR(Setup!$B$25="",Setup!$C$25="No"),0,IF(ISNUMBER(L129),L129,IF($T129="Weights",IF(ISNUMBER(Setup!$D$25),Setup!$D$25,0),IF($T129="Nights",IF(ISNUMBER(Setup!$E$25),Setup!$E$25,0),IF(OR($T129="Exact amounts",$T129="Custom units"),0,1))))))</f>
        <v>0</v>
      </c>
      <c r="Z129" s="29">
        <f>IF($T129="",0,IF(OR(Setup!$B$26="",Setup!$C$26="No"),0,IF(ISNUMBER(M129),M129,IF($T129="Weights",IF(ISNUMBER(Setup!$D$26),Setup!$D$26,0),IF($T129="Nights",IF(ISNUMBER(Setup!$E$26),Setup!$E$26,0),IF(OR($T129="Exact amounts",$T129="Custom units"),0,1))))))</f>
        <v>0</v>
      </c>
      <c r="AA129" s="29">
        <f>IF($T129="",0,IF(OR(Setup!$B$27="",Setup!$C$27="No"),0,IF(ISNUMBER(N129),N129,IF($T129="Weights",IF(ISNUMBER(Setup!$D$27),Setup!$D$27,0),IF($T129="Nights",IF(ISNUMBER(Setup!$E$27),Setup!$E$27,0),IF(OR($T129="Exact amounts",$T129="Custom units"),0,1))))))</f>
        <v>0</v>
      </c>
      <c r="AB129" s="29">
        <f>IF($T129="",0,IF(OR(Setup!$B$28="",Setup!$C$28="No"),0,IF(ISNUMBER(O129),O129,IF($T129="Weights",IF(ISNUMBER(Setup!$D$28),Setup!$D$28,0),IF($T129="Nights",IF(ISNUMBER(Setup!$E$28),Setup!$E$28,0),IF(OR($T129="Exact amounts",$T129="Custom units"),0,1))))))</f>
        <v>0</v>
      </c>
      <c r="AC129" s="29">
        <f>IF($T129="",0,IF(OR(Setup!$B$29="",Setup!$C$29="No"),0,IF(ISNUMBER(P129),P129,IF($T129="Weights",IF(ISNUMBER(Setup!$D$29),Setup!$D$29,0),IF($T129="Nights",IF(ISNUMBER(Setup!$E$29),Setup!$E$29,0),IF(OR($T129="Exact amounts",$T129="Custom units"),0,1))))))</f>
        <v>0</v>
      </c>
      <c r="AD129" s="29">
        <f>IF($T129="",0,IF(OR(Setup!$B$30="",Setup!$C$30="No"),0,IF(ISNUMBER(Q129),Q129,IF($T129="Weights",IF(ISNUMBER(Setup!$D$30),Setup!$D$30,0),IF($T129="Nights",IF(ISNUMBER(Setup!$E$30),Setup!$E$30,0),IF(OR($T129="Exact amounts",$T129="Custom units"),0,1))))))</f>
        <v>0</v>
      </c>
      <c r="AE129" s="29">
        <f t="shared" si="5"/>
        <v>0</v>
      </c>
      <c r="AF129" s="30">
        <f t="shared" si="6"/>
        <v>1</v>
      </c>
      <c r="AG129" s="29">
        <f t="shared" si="7"/>
        <v>0</v>
      </c>
    </row>
    <row r="130" spans="1:33" ht="16" x14ac:dyDescent="0.2">
      <c r="A130" s="22" t="str">
        <f t="shared" si="4"/>
        <v>—</v>
      </c>
      <c r="B130" s="23"/>
      <c r="C130" s="16"/>
      <c r="D130" s="16"/>
      <c r="E130" s="24"/>
      <c r="F130" s="16"/>
      <c r="G130" s="16"/>
      <c r="H130" s="25"/>
      <c r="I130" s="25"/>
      <c r="J130" s="25"/>
      <c r="K130" s="25"/>
      <c r="L130" s="25"/>
      <c r="M130" s="25"/>
      <c r="N130" s="25"/>
      <c r="O130" s="25"/>
      <c r="P130" s="25"/>
      <c r="Q130" s="25"/>
      <c r="R130" s="26" t="str">
        <f>IF($T130="","",IF($D130="","Who paid?",IF(SUMPRODUCT((Setup!$B$21:$B$30=$D130)*1)=0,"Payer is not in the member list on Setup",IF($E130="","Amount missing — type the number in column E",IF(NOT(ISNUMBER($E130)),"Amount must be a plain number — no currency symbol, no text",IF(AND($T130="Custom units",$AE130&lt;=0),"Custom units: nobody has units on this row — type a number for at least one person",IF($AE130&lt;=0,"Nobody shares this row — check the person columns H–Q, and the Weight / Nights columns on Setup",IF(AND($T130="Exact amounts",ABS($AE130-$AG130)&gt;0.01),"Exact amounts do not add up to the amount","OK"))))))))</f>
        <v/>
      </c>
      <c r="S130" s="27" t="str">
        <f>IFERROR(IF(OR($T130="",$C$4=""),"—",ROUND($AG130*INDEX($U130:$AD130,1,MATCH($C$4,Setup!$B$21:$B$30,0))/$AF130,2)),"—")</f>
        <v>—</v>
      </c>
      <c r="T130" s="28" t="str">
        <f>IF(AND($C130="",$D130="",NOT(ISNUMBER($E130))),"",IF($G130="",IF(Setup!$C$17="","Equal",Setup!$C$17),$G130))</f>
        <v/>
      </c>
      <c r="U130" s="29">
        <f>IF($T130="",0,IF(OR(Setup!$B$21="",Setup!$C$21="No"),0,IF(ISNUMBER(H130),H130,IF($T130="Weights",IF(ISNUMBER(Setup!$D$21),Setup!$D$21,0),IF($T130="Nights",IF(ISNUMBER(Setup!$E$21),Setup!$E$21,0),IF(OR($T130="Exact amounts",$T130="Custom units"),0,1))))))</f>
        <v>0</v>
      </c>
      <c r="V130" s="29">
        <f>IF($T130="",0,IF(OR(Setup!$B$22="",Setup!$C$22="No"),0,IF(ISNUMBER(I130),I130,IF($T130="Weights",IF(ISNUMBER(Setup!$D$22),Setup!$D$22,0),IF($T130="Nights",IF(ISNUMBER(Setup!$E$22),Setup!$E$22,0),IF(OR($T130="Exact amounts",$T130="Custom units"),0,1))))))</f>
        <v>0</v>
      </c>
      <c r="W130" s="29">
        <f>IF($T130="",0,IF(OR(Setup!$B$23="",Setup!$C$23="No"),0,IF(ISNUMBER(J130),J130,IF($T130="Weights",IF(ISNUMBER(Setup!$D$23),Setup!$D$23,0),IF($T130="Nights",IF(ISNUMBER(Setup!$E$23),Setup!$E$23,0),IF(OR($T130="Exact amounts",$T130="Custom units"),0,1))))))</f>
        <v>0</v>
      </c>
      <c r="X130" s="29">
        <f>IF($T130="",0,IF(OR(Setup!$B$24="",Setup!$C$24="No"),0,IF(ISNUMBER(K130),K130,IF($T130="Weights",IF(ISNUMBER(Setup!$D$24),Setup!$D$24,0),IF($T130="Nights",IF(ISNUMBER(Setup!$E$24),Setup!$E$24,0),IF(OR($T130="Exact amounts",$T130="Custom units"),0,1))))))</f>
        <v>0</v>
      </c>
      <c r="Y130" s="29">
        <f>IF($T130="",0,IF(OR(Setup!$B$25="",Setup!$C$25="No"),0,IF(ISNUMBER(L130),L130,IF($T130="Weights",IF(ISNUMBER(Setup!$D$25),Setup!$D$25,0),IF($T130="Nights",IF(ISNUMBER(Setup!$E$25),Setup!$E$25,0),IF(OR($T130="Exact amounts",$T130="Custom units"),0,1))))))</f>
        <v>0</v>
      </c>
      <c r="Z130" s="29">
        <f>IF($T130="",0,IF(OR(Setup!$B$26="",Setup!$C$26="No"),0,IF(ISNUMBER(M130),M130,IF($T130="Weights",IF(ISNUMBER(Setup!$D$26),Setup!$D$26,0),IF($T130="Nights",IF(ISNUMBER(Setup!$E$26),Setup!$E$26,0),IF(OR($T130="Exact amounts",$T130="Custom units"),0,1))))))</f>
        <v>0</v>
      </c>
      <c r="AA130" s="29">
        <f>IF($T130="",0,IF(OR(Setup!$B$27="",Setup!$C$27="No"),0,IF(ISNUMBER(N130),N130,IF($T130="Weights",IF(ISNUMBER(Setup!$D$27),Setup!$D$27,0),IF($T130="Nights",IF(ISNUMBER(Setup!$E$27),Setup!$E$27,0),IF(OR($T130="Exact amounts",$T130="Custom units"),0,1))))))</f>
        <v>0</v>
      </c>
      <c r="AB130" s="29">
        <f>IF($T130="",0,IF(OR(Setup!$B$28="",Setup!$C$28="No"),0,IF(ISNUMBER(O130),O130,IF($T130="Weights",IF(ISNUMBER(Setup!$D$28),Setup!$D$28,0),IF($T130="Nights",IF(ISNUMBER(Setup!$E$28),Setup!$E$28,0),IF(OR($T130="Exact amounts",$T130="Custom units"),0,1))))))</f>
        <v>0</v>
      </c>
      <c r="AC130" s="29">
        <f>IF($T130="",0,IF(OR(Setup!$B$29="",Setup!$C$29="No"),0,IF(ISNUMBER(P130),P130,IF($T130="Weights",IF(ISNUMBER(Setup!$D$29),Setup!$D$29,0),IF($T130="Nights",IF(ISNUMBER(Setup!$E$29),Setup!$E$29,0),IF(OR($T130="Exact amounts",$T130="Custom units"),0,1))))))</f>
        <v>0</v>
      </c>
      <c r="AD130" s="29">
        <f>IF($T130="",0,IF(OR(Setup!$B$30="",Setup!$C$30="No"),0,IF(ISNUMBER(Q130),Q130,IF($T130="Weights",IF(ISNUMBER(Setup!$D$30),Setup!$D$30,0),IF($T130="Nights",IF(ISNUMBER(Setup!$E$30),Setup!$E$30,0),IF(OR($T130="Exact amounts",$T130="Custom units"),0,1))))))</f>
        <v>0</v>
      </c>
      <c r="AE130" s="29">
        <f t="shared" si="5"/>
        <v>0</v>
      </c>
      <c r="AF130" s="30">
        <f t="shared" si="6"/>
        <v>1</v>
      </c>
      <c r="AG130" s="29">
        <f t="shared" si="7"/>
        <v>0</v>
      </c>
    </row>
    <row r="131" spans="1:33" ht="16" x14ac:dyDescent="0.2">
      <c r="A131" s="22" t="str">
        <f t="shared" si="4"/>
        <v>—</v>
      </c>
      <c r="B131" s="31"/>
      <c r="C131" s="11"/>
      <c r="D131" s="11"/>
      <c r="E131" s="32"/>
      <c r="F131" s="11"/>
      <c r="G131" s="11"/>
      <c r="H131" s="33"/>
      <c r="I131" s="33"/>
      <c r="J131" s="33"/>
      <c r="K131" s="33"/>
      <c r="L131" s="33"/>
      <c r="M131" s="33"/>
      <c r="N131" s="33"/>
      <c r="O131" s="33"/>
      <c r="P131" s="33"/>
      <c r="Q131" s="33"/>
      <c r="R131" s="26" t="str">
        <f>IF($T131="","",IF($D131="","Who paid?",IF(SUMPRODUCT((Setup!$B$21:$B$30=$D131)*1)=0,"Payer is not in the member list on Setup",IF($E131="","Amount missing — type the number in column E",IF(NOT(ISNUMBER($E131)),"Amount must be a plain number — no currency symbol, no text",IF(AND($T131="Custom units",$AE131&lt;=0),"Custom units: nobody has units on this row — type a number for at least one person",IF($AE131&lt;=0,"Nobody shares this row — check the person columns H–Q, and the Weight / Nights columns on Setup",IF(AND($T131="Exact amounts",ABS($AE131-$AG131)&gt;0.01),"Exact amounts do not add up to the amount","OK"))))))))</f>
        <v/>
      </c>
      <c r="S131" s="27" t="str">
        <f>IFERROR(IF(OR($T131="",$C$4=""),"—",ROUND($AG131*INDEX($U131:$AD131,1,MATCH($C$4,Setup!$B$21:$B$30,0))/$AF131,2)),"—")</f>
        <v>—</v>
      </c>
      <c r="T131" s="28" t="str">
        <f>IF(AND($C131="",$D131="",NOT(ISNUMBER($E131))),"",IF($G131="",IF(Setup!$C$17="","Equal",Setup!$C$17),$G131))</f>
        <v/>
      </c>
      <c r="U131" s="29">
        <f>IF($T131="",0,IF(OR(Setup!$B$21="",Setup!$C$21="No"),0,IF(ISNUMBER(H131),H131,IF($T131="Weights",IF(ISNUMBER(Setup!$D$21),Setup!$D$21,0),IF($T131="Nights",IF(ISNUMBER(Setup!$E$21),Setup!$E$21,0),IF(OR($T131="Exact amounts",$T131="Custom units"),0,1))))))</f>
        <v>0</v>
      </c>
      <c r="V131" s="29">
        <f>IF($T131="",0,IF(OR(Setup!$B$22="",Setup!$C$22="No"),0,IF(ISNUMBER(I131),I131,IF($T131="Weights",IF(ISNUMBER(Setup!$D$22),Setup!$D$22,0),IF($T131="Nights",IF(ISNUMBER(Setup!$E$22),Setup!$E$22,0),IF(OR($T131="Exact amounts",$T131="Custom units"),0,1))))))</f>
        <v>0</v>
      </c>
      <c r="W131" s="29">
        <f>IF($T131="",0,IF(OR(Setup!$B$23="",Setup!$C$23="No"),0,IF(ISNUMBER(J131),J131,IF($T131="Weights",IF(ISNUMBER(Setup!$D$23),Setup!$D$23,0),IF($T131="Nights",IF(ISNUMBER(Setup!$E$23),Setup!$E$23,0),IF(OR($T131="Exact amounts",$T131="Custom units"),0,1))))))</f>
        <v>0</v>
      </c>
      <c r="X131" s="29">
        <f>IF($T131="",0,IF(OR(Setup!$B$24="",Setup!$C$24="No"),0,IF(ISNUMBER(K131),K131,IF($T131="Weights",IF(ISNUMBER(Setup!$D$24),Setup!$D$24,0),IF($T131="Nights",IF(ISNUMBER(Setup!$E$24),Setup!$E$24,0),IF(OR($T131="Exact amounts",$T131="Custom units"),0,1))))))</f>
        <v>0</v>
      </c>
      <c r="Y131" s="29">
        <f>IF($T131="",0,IF(OR(Setup!$B$25="",Setup!$C$25="No"),0,IF(ISNUMBER(L131),L131,IF($T131="Weights",IF(ISNUMBER(Setup!$D$25),Setup!$D$25,0),IF($T131="Nights",IF(ISNUMBER(Setup!$E$25),Setup!$E$25,0),IF(OR($T131="Exact amounts",$T131="Custom units"),0,1))))))</f>
        <v>0</v>
      </c>
      <c r="Z131" s="29">
        <f>IF($T131="",0,IF(OR(Setup!$B$26="",Setup!$C$26="No"),0,IF(ISNUMBER(M131),M131,IF($T131="Weights",IF(ISNUMBER(Setup!$D$26),Setup!$D$26,0),IF($T131="Nights",IF(ISNUMBER(Setup!$E$26),Setup!$E$26,0),IF(OR($T131="Exact amounts",$T131="Custom units"),0,1))))))</f>
        <v>0</v>
      </c>
      <c r="AA131" s="29">
        <f>IF($T131="",0,IF(OR(Setup!$B$27="",Setup!$C$27="No"),0,IF(ISNUMBER(N131),N131,IF($T131="Weights",IF(ISNUMBER(Setup!$D$27),Setup!$D$27,0),IF($T131="Nights",IF(ISNUMBER(Setup!$E$27),Setup!$E$27,0),IF(OR($T131="Exact amounts",$T131="Custom units"),0,1))))))</f>
        <v>0</v>
      </c>
      <c r="AB131" s="29">
        <f>IF($T131="",0,IF(OR(Setup!$B$28="",Setup!$C$28="No"),0,IF(ISNUMBER(O131),O131,IF($T131="Weights",IF(ISNUMBER(Setup!$D$28),Setup!$D$28,0),IF($T131="Nights",IF(ISNUMBER(Setup!$E$28),Setup!$E$28,0),IF(OR($T131="Exact amounts",$T131="Custom units"),0,1))))))</f>
        <v>0</v>
      </c>
      <c r="AC131" s="29">
        <f>IF($T131="",0,IF(OR(Setup!$B$29="",Setup!$C$29="No"),0,IF(ISNUMBER(P131),P131,IF($T131="Weights",IF(ISNUMBER(Setup!$D$29),Setup!$D$29,0),IF($T131="Nights",IF(ISNUMBER(Setup!$E$29),Setup!$E$29,0),IF(OR($T131="Exact amounts",$T131="Custom units"),0,1))))))</f>
        <v>0</v>
      </c>
      <c r="AD131" s="29">
        <f>IF($T131="",0,IF(OR(Setup!$B$30="",Setup!$C$30="No"),0,IF(ISNUMBER(Q131),Q131,IF($T131="Weights",IF(ISNUMBER(Setup!$D$30),Setup!$D$30,0),IF($T131="Nights",IF(ISNUMBER(Setup!$E$30),Setup!$E$30,0),IF(OR($T131="Exact amounts",$T131="Custom units"),0,1))))))</f>
        <v>0</v>
      </c>
      <c r="AE131" s="29">
        <f t="shared" si="5"/>
        <v>0</v>
      </c>
      <c r="AF131" s="30">
        <f t="shared" si="6"/>
        <v>1</v>
      </c>
      <c r="AG131" s="29">
        <f t="shared" si="7"/>
        <v>0</v>
      </c>
    </row>
    <row r="132" spans="1:33" ht="16" x14ac:dyDescent="0.2">
      <c r="A132" s="22" t="str">
        <f t="shared" si="4"/>
        <v>—</v>
      </c>
      <c r="B132" s="23"/>
      <c r="C132" s="16"/>
      <c r="D132" s="16"/>
      <c r="E132" s="24"/>
      <c r="F132" s="16"/>
      <c r="G132" s="16"/>
      <c r="H132" s="25"/>
      <c r="I132" s="25"/>
      <c r="J132" s="25"/>
      <c r="K132" s="25"/>
      <c r="L132" s="25"/>
      <c r="M132" s="25"/>
      <c r="N132" s="25"/>
      <c r="O132" s="25"/>
      <c r="P132" s="25"/>
      <c r="Q132" s="25"/>
      <c r="R132" s="26" t="str">
        <f>IF($T132="","",IF($D132="","Who paid?",IF(SUMPRODUCT((Setup!$B$21:$B$30=$D132)*1)=0,"Payer is not in the member list on Setup",IF($E132="","Amount missing — type the number in column E",IF(NOT(ISNUMBER($E132)),"Amount must be a plain number — no currency symbol, no text",IF(AND($T132="Custom units",$AE132&lt;=0),"Custom units: nobody has units on this row — type a number for at least one person",IF($AE132&lt;=0,"Nobody shares this row — check the person columns H–Q, and the Weight / Nights columns on Setup",IF(AND($T132="Exact amounts",ABS($AE132-$AG132)&gt;0.01),"Exact amounts do not add up to the amount","OK"))))))))</f>
        <v/>
      </c>
      <c r="S132" s="27" t="str">
        <f>IFERROR(IF(OR($T132="",$C$4=""),"—",ROUND($AG132*INDEX($U132:$AD132,1,MATCH($C$4,Setup!$B$21:$B$30,0))/$AF132,2)),"—")</f>
        <v>—</v>
      </c>
      <c r="T132" s="28" t="str">
        <f>IF(AND($C132="",$D132="",NOT(ISNUMBER($E132))),"",IF($G132="",IF(Setup!$C$17="","Equal",Setup!$C$17),$G132))</f>
        <v/>
      </c>
      <c r="U132" s="29">
        <f>IF($T132="",0,IF(OR(Setup!$B$21="",Setup!$C$21="No"),0,IF(ISNUMBER(H132),H132,IF($T132="Weights",IF(ISNUMBER(Setup!$D$21),Setup!$D$21,0),IF($T132="Nights",IF(ISNUMBER(Setup!$E$21),Setup!$E$21,0),IF(OR($T132="Exact amounts",$T132="Custom units"),0,1))))))</f>
        <v>0</v>
      </c>
      <c r="V132" s="29">
        <f>IF($T132="",0,IF(OR(Setup!$B$22="",Setup!$C$22="No"),0,IF(ISNUMBER(I132),I132,IF($T132="Weights",IF(ISNUMBER(Setup!$D$22),Setup!$D$22,0),IF($T132="Nights",IF(ISNUMBER(Setup!$E$22),Setup!$E$22,0),IF(OR($T132="Exact amounts",$T132="Custom units"),0,1))))))</f>
        <v>0</v>
      </c>
      <c r="W132" s="29">
        <f>IF($T132="",0,IF(OR(Setup!$B$23="",Setup!$C$23="No"),0,IF(ISNUMBER(J132),J132,IF($T132="Weights",IF(ISNUMBER(Setup!$D$23),Setup!$D$23,0),IF($T132="Nights",IF(ISNUMBER(Setup!$E$23),Setup!$E$23,0),IF(OR($T132="Exact amounts",$T132="Custom units"),0,1))))))</f>
        <v>0</v>
      </c>
      <c r="X132" s="29">
        <f>IF($T132="",0,IF(OR(Setup!$B$24="",Setup!$C$24="No"),0,IF(ISNUMBER(K132),K132,IF($T132="Weights",IF(ISNUMBER(Setup!$D$24),Setup!$D$24,0),IF($T132="Nights",IF(ISNUMBER(Setup!$E$24),Setup!$E$24,0),IF(OR($T132="Exact amounts",$T132="Custom units"),0,1))))))</f>
        <v>0</v>
      </c>
      <c r="Y132" s="29">
        <f>IF($T132="",0,IF(OR(Setup!$B$25="",Setup!$C$25="No"),0,IF(ISNUMBER(L132),L132,IF($T132="Weights",IF(ISNUMBER(Setup!$D$25),Setup!$D$25,0),IF($T132="Nights",IF(ISNUMBER(Setup!$E$25),Setup!$E$25,0),IF(OR($T132="Exact amounts",$T132="Custom units"),0,1))))))</f>
        <v>0</v>
      </c>
      <c r="Z132" s="29">
        <f>IF($T132="",0,IF(OR(Setup!$B$26="",Setup!$C$26="No"),0,IF(ISNUMBER(M132),M132,IF($T132="Weights",IF(ISNUMBER(Setup!$D$26),Setup!$D$26,0),IF($T132="Nights",IF(ISNUMBER(Setup!$E$26),Setup!$E$26,0),IF(OR($T132="Exact amounts",$T132="Custom units"),0,1))))))</f>
        <v>0</v>
      </c>
      <c r="AA132" s="29">
        <f>IF($T132="",0,IF(OR(Setup!$B$27="",Setup!$C$27="No"),0,IF(ISNUMBER(N132),N132,IF($T132="Weights",IF(ISNUMBER(Setup!$D$27),Setup!$D$27,0),IF($T132="Nights",IF(ISNUMBER(Setup!$E$27),Setup!$E$27,0),IF(OR($T132="Exact amounts",$T132="Custom units"),0,1))))))</f>
        <v>0</v>
      </c>
      <c r="AB132" s="29">
        <f>IF($T132="",0,IF(OR(Setup!$B$28="",Setup!$C$28="No"),0,IF(ISNUMBER(O132),O132,IF($T132="Weights",IF(ISNUMBER(Setup!$D$28),Setup!$D$28,0),IF($T132="Nights",IF(ISNUMBER(Setup!$E$28),Setup!$E$28,0),IF(OR($T132="Exact amounts",$T132="Custom units"),0,1))))))</f>
        <v>0</v>
      </c>
      <c r="AC132" s="29">
        <f>IF($T132="",0,IF(OR(Setup!$B$29="",Setup!$C$29="No"),0,IF(ISNUMBER(P132),P132,IF($T132="Weights",IF(ISNUMBER(Setup!$D$29),Setup!$D$29,0),IF($T132="Nights",IF(ISNUMBER(Setup!$E$29),Setup!$E$29,0),IF(OR($T132="Exact amounts",$T132="Custom units"),0,1))))))</f>
        <v>0</v>
      </c>
      <c r="AD132" s="29">
        <f>IF($T132="",0,IF(OR(Setup!$B$30="",Setup!$C$30="No"),0,IF(ISNUMBER(Q132),Q132,IF($T132="Weights",IF(ISNUMBER(Setup!$D$30),Setup!$D$30,0),IF($T132="Nights",IF(ISNUMBER(Setup!$E$30),Setup!$E$30,0),IF(OR($T132="Exact amounts",$T132="Custom units"),0,1))))))</f>
        <v>0</v>
      </c>
      <c r="AE132" s="29">
        <f t="shared" si="5"/>
        <v>0</v>
      </c>
      <c r="AF132" s="30">
        <f t="shared" si="6"/>
        <v>1</v>
      </c>
      <c r="AG132" s="29">
        <f t="shared" si="7"/>
        <v>0</v>
      </c>
    </row>
    <row r="133" spans="1:33" ht="16" x14ac:dyDescent="0.2">
      <c r="A133" s="22" t="str">
        <f t="shared" si="4"/>
        <v>—</v>
      </c>
      <c r="B133" s="31"/>
      <c r="C133" s="11"/>
      <c r="D133" s="11"/>
      <c r="E133" s="32"/>
      <c r="F133" s="11"/>
      <c r="G133" s="11"/>
      <c r="H133" s="33"/>
      <c r="I133" s="33"/>
      <c r="J133" s="33"/>
      <c r="K133" s="33"/>
      <c r="L133" s="33"/>
      <c r="M133" s="33"/>
      <c r="N133" s="33"/>
      <c r="O133" s="33"/>
      <c r="P133" s="33"/>
      <c r="Q133" s="33"/>
      <c r="R133" s="26" t="str">
        <f>IF($T133="","",IF($D133="","Who paid?",IF(SUMPRODUCT((Setup!$B$21:$B$30=$D133)*1)=0,"Payer is not in the member list on Setup",IF($E133="","Amount missing — type the number in column E",IF(NOT(ISNUMBER($E133)),"Amount must be a plain number — no currency symbol, no text",IF(AND($T133="Custom units",$AE133&lt;=0),"Custom units: nobody has units on this row — type a number for at least one person",IF($AE133&lt;=0,"Nobody shares this row — check the person columns H–Q, and the Weight / Nights columns on Setup",IF(AND($T133="Exact amounts",ABS($AE133-$AG133)&gt;0.01),"Exact amounts do not add up to the amount","OK"))))))))</f>
        <v/>
      </c>
      <c r="S133" s="27" t="str">
        <f>IFERROR(IF(OR($T133="",$C$4=""),"—",ROUND($AG133*INDEX($U133:$AD133,1,MATCH($C$4,Setup!$B$21:$B$30,0))/$AF133,2)),"—")</f>
        <v>—</v>
      </c>
      <c r="T133" s="28" t="str">
        <f>IF(AND($C133="",$D133="",NOT(ISNUMBER($E133))),"",IF($G133="",IF(Setup!$C$17="","Equal",Setup!$C$17),$G133))</f>
        <v/>
      </c>
      <c r="U133" s="29">
        <f>IF($T133="",0,IF(OR(Setup!$B$21="",Setup!$C$21="No"),0,IF(ISNUMBER(H133),H133,IF($T133="Weights",IF(ISNUMBER(Setup!$D$21),Setup!$D$21,0),IF($T133="Nights",IF(ISNUMBER(Setup!$E$21),Setup!$E$21,0),IF(OR($T133="Exact amounts",$T133="Custom units"),0,1))))))</f>
        <v>0</v>
      </c>
      <c r="V133" s="29">
        <f>IF($T133="",0,IF(OR(Setup!$B$22="",Setup!$C$22="No"),0,IF(ISNUMBER(I133),I133,IF($T133="Weights",IF(ISNUMBER(Setup!$D$22),Setup!$D$22,0),IF($T133="Nights",IF(ISNUMBER(Setup!$E$22),Setup!$E$22,0),IF(OR($T133="Exact amounts",$T133="Custom units"),0,1))))))</f>
        <v>0</v>
      </c>
      <c r="W133" s="29">
        <f>IF($T133="",0,IF(OR(Setup!$B$23="",Setup!$C$23="No"),0,IF(ISNUMBER(J133),J133,IF($T133="Weights",IF(ISNUMBER(Setup!$D$23),Setup!$D$23,0),IF($T133="Nights",IF(ISNUMBER(Setup!$E$23),Setup!$E$23,0),IF(OR($T133="Exact amounts",$T133="Custom units"),0,1))))))</f>
        <v>0</v>
      </c>
      <c r="X133" s="29">
        <f>IF($T133="",0,IF(OR(Setup!$B$24="",Setup!$C$24="No"),0,IF(ISNUMBER(K133),K133,IF($T133="Weights",IF(ISNUMBER(Setup!$D$24),Setup!$D$24,0),IF($T133="Nights",IF(ISNUMBER(Setup!$E$24),Setup!$E$24,0),IF(OR($T133="Exact amounts",$T133="Custom units"),0,1))))))</f>
        <v>0</v>
      </c>
      <c r="Y133" s="29">
        <f>IF($T133="",0,IF(OR(Setup!$B$25="",Setup!$C$25="No"),0,IF(ISNUMBER(L133),L133,IF($T133="Weights",IF(ISNUMBER(Setup!$D$25),Setup!$D$25,0),IF($T133="Nights",IF(ISNUMBER(Setup!$E$25),Setup!$E$25,0),IF(OR($T133="Exact amounts",$T133="Custom units"),0,1))))))</f>
        <v>0</v>
      </c>
      <c r="Z133" s="29">
        <f>IF($T133="",0,IF(OR(Setup!$B$26="",Setup!$C$26="No"),0,IF(ISNUMBER(M133),M133,IF($T133="Weights",IF(ISNUMBER(Setup!$D$26),Setup!$D$26,0),IF($T133="Nights",IF(ISNUMBER(Setup!$E$26),Setup!$E$26,0),IF(OR($T133="Exact amounts",$T133="Custom units"),0,1))))))</f>
        <v>0</v>
      </c>
      <c r="AA133" s="29">
        <f>IF($T133="",0,IF(OR(Setup!$B$27="",Setup!$C$27="No"),0,IF(ISNUMBER(N133),N133,IF($T133="Weights",IF(ISNUMBER(Setup!$D$27),Setup!$D$27,0),IF($T133="Nights",IF(ISNUMBER(Setup!$E$27),Setup!$E$27,0),IF(OR($T133="Exact amounts",$T133="Custom units"),0,1))))))</f>
        <v>0</v>
      </c>
      <c r="AB133" s="29">
        <f>IF($T133="",0,IF(OR(Setup!$B$28="",Setup!$C$28="No"),0,IF(ISNUMBER(O133),O133,IF($T133="Weights",IF(ISNUMBER(Setup!$D$28),Setup!$D$28,0),IF($T133="Nights",IF(ISNUMBER(Setup!$E$28),Setup!$E$28,0),IF(OR($T133="Exact amounts",$T133="Custom units"),0,1))))))</f>
        <v>0</v>
      </c>
      <c r="AC133" s="29">
        <f>IF($T133="",0,IF(OR(Setup!$B$29="",Setup!$C$29="No"),0,IF(ISNUMBER(P133),P133,IF($T133="Weights",IF(ISNUMBER(Setup!$D$29),Setup!$D$29,0),IF($T133="Nights",IF(ISNUMBER(Setup!$E$29),Setup!$E$29,0),IF(OR($T133="Exact amounts",$T133="Custom units"),0,1))))))</f>
        <v>0</v>
      </c>
      <c r="AD133" s="29">
        <f>IF($T133="",0,IF(OR(Setup!$B$30="",Setup!$C$30="No"),0,IF(ISNUMBER(Q133),Q133,IF($T133="Weights",IF(ISNUMBER(Setup!$D$30),Setup!$D$30,0),IF($T133="Nights",IF(ISNUMBER(Setup!$E$30),Setup!$E$30,0),IF(OR($T133="Exact amounts",$T133="Custom units"),0,1))))))</f>
        <v>0</v>
      </c>
      <c r="AE133" s="29">
        <f t="shared" si="5"/>
        <v>0</v>
      </c>
      <c r="AF133" s="30">
        <f t="shared" si="6"/>
        <v>1</v>
      </c>
      <c r="AG133" s="29">
        <f t="shared" si="7"/>
        <v>0</v>
      </c>
    </row>
    <row r="134" spans="1:33" ht="16" x14ac:dyDescent="0.2">
      <c r="A134" s="22" t="str">
        <f t="shared" si="4"/>
        <v>—</v>
      </c>
      <c r="B134" s="23"/>
      <c r="C134" s="16"/>
      <c r="D134" s="16"/>
      <c r="E134" s="24"/>
      <c r="F134" s="16"/>
      <c r="G134" s="16"/>
      <c r="H134" s="25"/>
      <c r="I134" s="25"/>
      <c r="J134" s="25"/>
      <c r="K134" s="25"/>
      <c r="L134" s="25"/>
      <c r="M134" s="25"/>
      <c r="N134" s="25"/>
      <c r="O134" s="25"/>
      <c r="P134" s="25"/>
      <c r="Q134" s="25"/>
      <c r="R134" s="26" t="str">
        <f>IF($T134="","",IF($D134="","Who paid?",IF(SUMPRODUCT((Setup!$B$21:$B$30=$D134)*1)=0,"Payer is not in the member list on Setup",IF($E134="","Amount missing — type the number in column E",IF(NOT(ISNUMBER($E134)),"Amount must be a plain number — no currency symbol, no text",IF(AND($T134="Custom units",$AE134&lt;=0),"Custom units: nobody has units on this row — type a number for at least one person",IF($AE134&lt;=0,"Nobody shares this row — check the person columns H–Q, and the Weight / Nights columns on Setup",IF(AND($T134="Exact amounts",ABS($AE134-$AG134)&gt;0.01),"Exact amounts do not add up to the amount","OK"))))))))</f>
        <v/>
      </c>
      <c r="S134" s="27" t="str">
        <f>IFERROR(IF(OR($T134="",$C$4=""),"—",ROUND($AG134*INDEX($U134:$AD134,1,MATCH($C$4,Setup!$B$21:$B$30,0))/$AF134,2)),"—")</f>
        <v>—</v>
      </c>
      <c r="T134" s="28" t="str">
        <f>IF(AND($C134="",$D134="",NOT(ISNUMBER($E134))),"",IF($G134="",IF(Setup!$C$17="","Equal",Setup!$C$17),$G134))</f>
        <v/>
      </c>
      <c r="U134" s="29">
        <f>IF($T134="",0,IF(OR(Setup!$B$21="",Setup!$C$21="No"),0,IF(ISNUMBER(H134),H134,IF($T134="Weights",IF(ISNUMBER(Setup!$D$21),Setup!$D$21,0),IF($T134="Nights",IF(ISNUMBER(Setup!$E$21),Setup!$E$21,0),IF(OR($T134="Exact amounts",$T134="Custom units"),0,1))))))</f>
        <v>0</v>
      </c>
      <c r="V134" s="29">
        <f>IF($T134="",0,IF(OR(Setup!$B$22="",Setup!$C$22="No"),0,IF(ISNUMBER(I134),I134,IF($T134="Weights",IF(ISNUMBER(Setup!$D$22),Setup!$D$22,0),IF($T134="Nights",IF(ISNUMBER(Setup!$E$22),Setup!$E$22,0),IF(OR($T134="Exact amounts",$T134="Custom units"),0,1))))))</f>
        <v>0</v>
      </c>
      <c r="W134" s="29">
        <f>IF($T134="",0,IF(OR(Setup!$B$23="",Setup!$C$23="No"),0,IF(ISNUMBER(J134),J134,IF($T134="Weights",IF(ISNUMBER(Setup!$D$23),Setup!$D$23,0),IF($T134="Nights",IF(ISNUMBER(Setup!$E$23),Setup!$E$23,0),IF(OR($T134="Exact amounts",$T134="Custom units"),0,1))))))</f>
        <v>0</v>
      </c>
      <c r="X134" s="29">
        <f>IF($T134="",0,IF(OR(Setup!$B$24="",Setup!$C$24="No"),0,IF(ISNUMBER(K134),K134,IF($T134="Weights",IF(ISNUMBER(Setup!$D$24),Setup!$D$24,0),IF($T134="Nights",IF(ISNUMBER(Setup!$E$24),Setup!$E$24,0),IF(OR($T134="Exact amounts",$T134="Custom units"),0,1))))))</f>
        <v>0</v>
      </c>
      <c r="Y134" s="29">
        <f>IF($T134="",0,IF(OR(Setup!$B$25="",Setup!$C$25="No"),0,IF(ISNUMBER(L134),L134,IF($T134="Weights",IF(ISNUMBER(Setup!$D$25),Setup!$D$25,0),IF($T134="Nights",IF(ISNUMBER(Setup!$E$25),Setup!$E$25,0),IF(OR($T134="Exact amounts",$T134="Custom units"),0,1))))))</f>
        <v>0</v>
      </c>
      <c r="Z134" s="29">
        <f>IF($T134="",0,IF(OR(Setup!$B$26="",Setup!$C$26="No"),0,IF(ISNUMBER(M134),M134,IF($T134="Weights",IF(ISNUMBER(Setup!$D$26),Setup!$D$26,0),IF($T134="Nights",IF(ISNUMBER(Setup!$E$26),Setup!$E$26,0),IF(OR($T134="Exact amounts",$T134="Custom units"),0,1))))))</f>
        <v>0</v>
      </c>
      <c r="AA134" s="29">
        <f>IF($T134="",0,IF(OR(Setup!$B$27="",Setup!$C$27="No"),0,IF(ISNUMBER(N134),N134,IF($T134="Weights",IF(ISNUMBER(Setup!$D$27),Setup!$D$27,0),IF($T134="Nights",IF(ISNUMBER(Setup!$E$27),Setup!$E$27,0),IF(OR($T134="Exact amounts",$T134="Custom units"),0,1))))))</f>
        <v>0</v>
      </c>
      <c r="AB134" s="29">
        <f>IF($T134="",0,IF(OR(Setup!$B$28="",Setup!$C$28="No"),0,IF(ISNUMBER(O134),O134,IF($T134="Weights",IF(ISNUMBER(Setup!$D$28),Setup!$D$28,0),IF($T134="Nights",IF(ISNUMBER(Setup!$E$28),Setup!$E$28,0),IF(OR($T134="Exact amounts",$T134="Custom units"),0,1))))))</f>
        <v>0</v>
      </c>
      <c r="AC134" s="29">
        <f>IF($T134="",0,IF(OR(Setup!$B$29="",Setup!$C$29="No"),0,IF(ISNUMBER(P134),P134,IF($T134="Weights",IF(ISNUMBER(Setup!$D$29),Setup!$D$29,0),IF($T134="Nights",IF(ISNUMBER(Setup!$E$29),Setup!$E$29,0),IF(OR($T134="Exact amounts",$T134="Custom units"),0,1))))))</f>
        <v>0</v>
      </c>
      <c r="AD134" s="29">
        <f>IF($T134="",0,IF(OR(Setup!$B$30="",Setup!$C$30="No"),0,IF(ISNUMBER(Q134),Q134,IF($T134="Weights",IF(ISNUMBER(Setup!$D$30),Setup!$D$30,0),IF($T134="Nights",IF(ISNUMBER(Setup!$E$30),Setup!$E$30,0),IF(OR($T134="Exact amounts",$T134="Custom units"),0,1))))))</f>
        <v>0</v>
      </c>
      <c r="AE134" s="29">
        <f t="shared" si="5"/>
        <v>0</v>
      </c>
      <c r="AF134" s="30">
        <f t="shared" si="6"/>
        <v>1</v>
      </c>
      <c r="AG134" s="29">
        <f t="shared" si="7"/>
        <v>0</v>
      </c>
    </row>
    <row r="135" spans="1:33" ht="16" x14ac:dyDescent="0.2">
      <c r="A135" s="22" t="str">
        <f t="shared" si="4"/>
        <v>—</v>
      </c>
      <c r="B135" s="31"/>
      <c r="C135" s="11"/>
      <c r="D135" s="11"/>
      <c r="E135" s="32"/>
      <c r="F135" s="11"/>
      <c r="G135" s="11"/>
      <c r="H135" s="33"/>
      <c r="I135" s="33"/>
      <c r="J135" s="33"/>
      <c r="K135" s="33"/>
      <c r="L135" s="33"/>
      <c r="M135" s="33"/>
      <c r="N135" s="33"/>
      <c r="O135" s="33"/>
      <c r="P135" s="33"/>
      <c r="Q135" s="33"/>
      <c r="R135" s="26" t="str">
        <f>IF($T135="","",IF($D135="","Who paid?",IF(SUMPRODUCT((Setup!$B$21:$B$30=$D135)*1)=0,"Payer is not in the member list on Setup",IF($E135="","Amount missing — type the number in column E",IF(NOT(ISNUMBER($E135)),"Amount must be a plain number — no currency symbol, no text",IF(AND($T135="Custom units",$AE135&lt;=0),"Custom units: nobody has units on this row — type a number for at least one person",IF($AE135&lt;=0,"Nobody shares this row — check the person columns H–Q, and the Weight / Nights columns on Setup",IF(AND($T135="Exact amounts",ABS($AE135-$AG135)&gt;0.01),"Exact amounts do not add up to the amount","OK"))))))))</f>
        <v/>
      </c>
      <c r="S135" s="27" t="str">
        <f>IFERROR(IF(OR($T135="",$C$4=""),"—",ROUND($AG135*INDEX($U135:$AD135,1,MATCH($C$4,Setup!$B$21:$B$30,0))/$AF135,2)),"—")</f>
        <v>—</v>
      </c>
      <c r="T135" s="28" t="str">
        <f>IF(AND($C135="",$D135="",NOT(ISNUMBER($E135))),"",IF($G135="",IF(Setup!$C$17="","Equal",Setup!$C$17),$G135))</f>
        <v/>
      </c>
      <c r="U135" s="29">
        <f>IF($T135="",0,IF(OR(Setup!$B$21="",Setup!$C$21="No"),0,IF(ISNUMBER(H135),H135,IF($T135="Weights",IF(ISNUMBER(Setup!$D$21),Setup!$D$21,0),IF($T135="Nights",IF(ISNUMBER(Setup!$E$21),Setup!$E$21,0),IF(OR($T135="Exact amounts",$T135="Custom units"),0,1))))))</f>
        <v>0</v>
      </c>
      <c r="V135" s="29">
        <f>IF($T135="",0,IF(OR(Setup!$B$22="",Setup!$C$22="No"),0,IF(ISNUMBER(I135),I135,IF($T135="Weights",IF(ISNUMBER(Setup!$D$22),Setup!$D$22,0),IF($T135="Nights",IF(ISNUMBER(Setup!$E$22),Setup!$E$22,0),IF(OR($T135="Exact amounts",$T135="Custom units"),0,1))))))</f>
        <v>0</v>
      </c>
      <c r="W135" s="29">
        <f>IF($T135="",0,IF(OR(Setup!$B$23="",Setup!$C$23="No"),0,IF(ISNUMBER(J135),J135,IF($T135="Weights",IF(ISNUMBER(Setup!$D$23),Setup!$D$23,0),IF($T135="Nights",IF(ISNUMBER(Setup!$E$23),Setup!$E$23,0),IF(OR($T135="Exact amounts",$T135="Custom units"),0,1))))))</f>
        <v>0</v>
      </c>
      <c r="X135" s="29">
        <f>IF($T135="",0,IF(OR(Setup!$B$24="",Setup!$C$24="No"),0,IF(ISNUMBER(K135),K135,IF($T135="Weights",IF(ISNUMBER(Setup!$D$24),Setup!$D$24,0),IF($T135="Nights",IF(ISNUMBER(Setup!$E$24),Setup!$E$24,0),IF(OR($T135="Exact amounts",$T135="Custom units"),0,1))))))</f>
        <v>0</v>
      </c>
      <c r="Y135" s="29">
        <f>IF($T135="",0,IF(OR(Setup!$B$25="",Setup!$C$25="No"),0,IF(ISNUMBER(L135),L135,IF($T135="Weights",IF(ISNUMBER(Setup!$D$25),Setup!$D$25,0),IF($T135="Nights",IF(ISNUMBER(Setup!$E$25),Setup!$E$25,0),IF(OR($T135="Exact amounts",$T135="Custom units"),0,1))))))</f>
        <v>0</v>
      </c>
      <c r="Z135" s="29">
        <f>IF($T135="",0,IF(OR(Setup!$B$26="",Setup!$C$26="No"),0,IF(ISNUMBER(M135),M135,IF($T135="Weights",IF(ISNUMBER(Setup!$D$26),Setup!$D$26,0),IF($T135="Nights",IF(ISNUMBER(Setup!$E$26),Setup!$E$26,0),IF(OR($T135="Exact amounts",$T135="Custom units"),0,1))))))</f>
        <v>0</v>
      </c>
      <c r="AA135" s="29">
        <f>IF($T135="",0,IF(OR(Setup!$B$27="",Setup!$C$27="No"),0,IF(ISNUMBER(N135),N135,IF($T135="Weights",IF(ISNUMBER(Setup!$D$27),Setup!$D$27,0),IF($T135="Nights",IF(ISNUMBER(Setup!$E$27),Setup!$E$27,0),IF(OR($T135="Exact amounts",$T135="Custom units"),0,1))))))</f>
        <v>0</v>
      </c>
      <c r="AB135" s="29">
        <f>IF($T135="",0,IF(OR(Setup!$B$28="",Setup!$C$28="No"),0,IF(ISNUMBER(O135),O135,IF($T135="Weights",IF(ISNUMBER(Setup!$D$28),Setup!$D$28,0),IF($T135="Nights",IF(ISNUMBER(Setup!$E$28),Setup!$E$28,0),IF(OR($T135="Exact amounts",$T135="Custom units"),0,1))))))</f>
        <v>0</v>
      </c>
      <c r="AC135" s="29">
        <f>IF($T135="",0,IF(OR(Setup!$B$29="",Setup!$C$29="No"),0,IF(ISNUMBER(P135),P135,IF($T135="Weights",IF(ISNUMBER(Setup!$D$29),Setup!$D$29,0),IF($T135="Nights",IF(ISNUMBER(Setup!$E$29),Setup!$E$29,0),IF(OR($T135="Exact amounts",$T135="Custom units"),0,1))))))</f>
        <v>0</v>
      </c>
      <c r="AD135" s="29">
        <f>IF($T135="",0,IF(OR(Setup!$B$30="",Setup!$C$30="No"),0,IF(ISNUMBER(Q135),Q135,IF($T135="Weights",IF(ISNUMBER(Setup!$D$30),Setup!$D$30,0),IF($T135="Nights",IF(ISNUMBER(Setup!$E$30),Setup!$E$30,0),IF(OR($T135="Exact amounts",$T135="Custom units"),0,1))))))</f>
        <v>0</v>
      </c>
      <c r="AE135" s="29">
        <f t="shared" si="5"/>
        <v>0</v>
      </c>
      <c r="AF135" s="30">
        <f t="shared" si="6"/>
        <v>1</v>
      </c>
      <c r="AG135" s="29">
        <f t="shared" si="7"/>
        <v>0</v>
      </c>
    </row>
    <row r="136" spans="1:33" ht="16" x14ac:dyDescent="0.2">
      <c r="A136" s="22" t="str">
        <f t="shared" ref="A136:A199" si="8">IF($T136="","—",ROW()-7)</f>
        <v>—</v>
      </c>
      <c r="B136" s="23"/>
      <c r="C136" s="16"/>
      <c r="D136" s="16"/>
      <c r="E136" s="24"/>
      <c r="F136" s="16"/>
      <c r="G136" s="16"/>
      <c r="H136" s="25"/>
      <c r="I136" s="25"/>
      <c r="J136" s="25"/>
      <c r="K136" s="25"/>
      <c r="L136" s="25"/>
      <c r="M136" s="25"/>
      <c r="N136" s="25"/>
      <c r="O136" s="25"/>
      <c r="P136" s="25"/>
      <c r="Q136" s="25"/>
      <c r="R136" s="26" t="str">
        <f>IF($T136="","",IF($D136="","Who paid?",IF(SUMPRODUCT((Setup!$B$21:$B$30=$D136)*1)=0,"Payer is not in the member list on Setup",IF($E136="","Amount missing — type the number in column E",IF(NOT(ISNUMBER($E136)),"Amount must be a plain number — no currency symbol, no text",IF(AND($T136="Custom units",$AE136&lt;=0),"Custom units: nobody has units on this row — type a number for at least one person",IF($AE136&lt;=0,"Nobody shares this row — check the person columns H–Q, and the Weight / Nights columns on Setup",IF(AND($T136="Exact amounts",ABS($AE136-$AG136)&gt;0.01),"Exact amounts do not add up to the amount","OK"))))))))</f>
        <v/>
      </c>
      <c r="S136" s="27" t="str">
        <f>IFERROR(IF(OR($T136="",$C$4=""),"—",ROUND($AG136*INDEX($U136:$AD136,1,MATCH($C$4,Setup!$B$21:$B$30,0))/$AF136,2)),"—")</f>
        <v>—</v>
      </c>
      <c r="T136" s="28" t="str">
        <f>IF(AND($C136="",$D136="",NOT(ISNUMBER($E136))),"",IF($G136="",IF(Setup!$C$17="","Equal",Setup!$C$17),$G136))</f>
        <v/>
      </c>
      <c r="U136" s="29">
        <f>IF($T136="",0,IF(OR(Setup!$B$21="",Setup!$C$21="No"),0,IF(ISNUMBER(H136),H136,IF($T136="Weights",IF(ISNUMBER(Setup!$D$21),Setup!$D$21,0),IF($T136="Nights",IF(ISNUMBER(Setup!$E$21),Setup!$E$21,0),IF(OR($T136="Exact amounts",$T136="Custom units"),0,1))))))</f>
        <v>0</v>
      </c>
      <c r="V136" s="29">
        <f>IF($T136="",0,IF(OR(Setup!$B$22="",Setup!$C$22="No"),0,IF(ISNUMBER(I136),I136,IF($T136="Weights",IF(ISNUMBER(Setup!$D$22),Setup!$D$22,0),IF($T136="Nights",IF(ISNUMBER(Setup!$E$22),Setup!$E$22,0),IF(OR($T136="Exact amounts",$T136="Custom units"),0,1))))))</f>
        <v>0</v>
      </c>
      <c r="W136" s="29">
        <f>IF($T136="",0,IF(OR(Setup!$B$23="",Setup!$C$23="No"),0,IF(ISNUMBER(J136),J136,IF($T136="Weights",IF(ISNUMBER(Setup!$D$23),Setup!$D$23,0),IF($T136="Nights",IF(ISNUMBER(Setup!$E$23),Setup!$E$23,0),IF(OR($T136="Exact amounts",$T136="Custom units"),0,1))))))</f>
        <v>0</v>
      </c>
      <c r="X136" s="29">
        <f>IF($T136="",0,IF(OR(Setup!$B$24="",Setup!$C$24="No"),0,IF(ISNUMBER(K136),K136,IF($T136="Weights",IF(ISNUMBER(Setup!$D$24),Setup!$D$24,0),IF($T136="Nights",IF(ISNUMBER(Setup!$E$24),Setup!$E$24,0),IF(OR($T136="Exact amounts",$T136="Custom units"),0,1))))))</f>
        <v>0</v>
      </c>
      <c r="Y136" s="29">
        <f>IF($T136="",0,IF(OR(Setup!$B$25="",Setup!$C$25="No"),0,IF(ISNUMBER(L136),L136,IF($T136="Weights",IF(ISNUMBER(Setup!$D$25),Setup!$D$25,0),IF($T136="Nights",IF(ISNUMBER(Setup!$E$25),Setup!$E$25,0),IF(OR($T136="Exact amounts",$T136="Custom units"),0,1))))))</f>
        <v>0</v>
      </c>
      <c r="Z136" s="29">
        <f>IF($T136="",0,IF(OR(Setup!$B$26="",Setup!$C$26="No"),0,IF(ISNUMBER(M136),M136,IF($T136="Weights",IF(ISNUMBER(Setup!$D$26),Setup!$D$26,0),IF($T136="Nights",IF(ISNUMBER(Setup!$E$26),Setup!$E$26,0),IF(OR($T136="Exact amounts",$T136="Custom units"),0,1))))))</f>
        <v>0</v>
      </c>
      <c r="AA136" s="29">
        <f>IF($T136="",0,IF(OR(Setup!$B$27="",Setup!$C$27="No"),0,IF(ISNUMBER(N136),N136,IF($T136="Weights",IF(ISNUMBER(Setup!$D$27),Setup!$D$27,0),IF($T136="Nights",IF(ISNUMBER(Setup!$E$27),Setup!$E$27,0),IF(OR($T136="Exact amounts",$T136="Custom units"),0,1))))))</f>
        <v>0</v>
      </c>
      <c r="AB136" s="29">
        <f>IF($T136="",0,IF(OR(Setup!$B$28="",Setup!$C$28="No"),0,IF(ISNUMBER(O136),O136,IF($T136="Weights",IF(ISNUMBER(Setup!$D$28),Setup!$D$28,0),IF($T136="Nights",IF(ISNUMBER(Setup!$E$28),Setup!$E$28,0),IF(OR($T136="Exact amounts",$T136="Custom units"),0,1))))))</f>
        <v>0</v>
      </c>
      <c r="AC136" s="29">
        <f>IF($T136="",0,IF(OR(Setup!$B$29="",Setup!$C$29="No"),0,IF(ISNUMBER(P136),P136,IF($T136="Weights",IF(ISNUMBER(Setup!$D$29),Setup!$D$29,0),IF($T136="Nights",IF(ISNUMBER(Setup!$E$29),Setup!$E$29,0),IF(OR($T136="Exact amounts",$T136="Custom units"),0,1))))))</f>
        <v>0</v>
      </c>
      <c r="AD136" s="29">
        <f>IF($T136="",0,IF(OR(Setup!$B$30="",Setup!$C$30="No"),0,IF(ISNUMBER(Q136),Q136,IF($T136="Weights",IF(ISNUMBER(Setup!$D$30),Setup!$D$30,0),IF($T136="Nights",IF(ISNUMBER(Setup!$E$30),Setup!$E$30,0),IF(OR($T136="Exact amounts",$T136="Custom units"),0,1))))))</f>
        <v>0</v>
      </c>
      <c r="AE136" s="29">
        <f t="shared" ref="AE136:AE199" si="9">IF($T136="",0,SUM($U136:$AD136))</f>
        <v>0</v>
      </c>
      <c r="AF136" s="30">
        <f t="shared" ref="AF136:AF199" si="10">IF($AE136&lt;=0,1,$AE136)</f>
        <v>1</v>
      </c>
      <c r="AG136" s="29">
        <f t="shared" ref="AG136:AG199" si="11">IF(ISNUMBER($E136),$E136,0)</f>
        <v>0</v>
      </c>
    </row>
    <row r="137" spans="1:33" ht="16" x14ac:dyDescent="0.2">
      <c r="A137" s="22" t="str">
        <f t="shared" si="8"/>
        <v>—</v>
      </c>
      <c r="B137" s="31"/>
      <c r="C137" s="11"/>
      <c r="D137" s="11"/>
      <c r="E137" s="32"/>
      <c r="F137" s="11"/>
      <c r="G137" s="11"/>
      <c r="H137" s="33"/>
      <c r="I137" s="33"/>
      <c r="J137" s="33"/>
      <c r="K137" s="33"/>
      <c r="L137" s="33"/>
      <c r="M137" s="33"/>
      <c r="N137" s="33"/>
      <c r="O137" s="33"/>
      <c r="P137" s="33"/>
      <c r="Q137" s="33"/>
      <c r="R137" s="26" t="str">
        <f>IF($T137="","",IF($D137="","Who paid?",IF(SUMPRODUCT((Setup!$B$21:$B$30=$D137)*1)=0,"Payer is not in the member list on Setup",IF($E137="","Amount missing — type the number in column E",IF(NOT(ISNUMBER($E137)),"Amount must be a plain number — no currency symbol, no text",IF(AND($T137="Custom units",$AE137&lt;=0),"Custom units: nobody has units on this row — type a number for at least one person",IF($AE137&lt;=0,"Nobody shares this row — check the person columns H–Q, and the Weight / Nights columns on Setup",IF(AND($T137="Exact amounts",ABS($AE137-$AG137)&gt;0.01),"Exact amounts do not add up to the amount","OK"))))))))</f>
        <v/>
      </c>
      <c r="S137" s="27" t="str">
        <f>IFERROR(IF(OR($T137="",$C$4=""),"—",ROUND($AG137*INDEX($U137:$AD137,1,MATCH($C$4,Setup!$B$21:$B$30,0))/$AF137,2)),"—")</f>
        <v>—</v>
      </c>
      <c r="T137" s="28" t="str">
        <f>IF(AND($C137="",$D137="",NOT(ISNUMBER($E137))),"",IF($G137="",IF(Setup!$C$17="","Equal",Setup!$C$17),$G137))</f>
        <v/>
      </c>
      <c r="U137" s="29">
        <f>IF($T137="",0,IF(OR(Setup!$B$21="",Setup!$C$21="No"),0,IF(ISNUMBER(H137),H137,IF($T137="Weights",IF(ISNUMBER(Setup!$D$21),Setup!$D$21,0),IF($T137="Nights",IF(ISNUMBER(Setup!$E$21),Setup!$E$21,0),IF(OR($T137="Exact amounts",$T137="Custom units"),0,1))))))</f>
        <v>0</v>
      </c>
      <c r="V137" s="29">
        <f>IF($T137="",0,IF(OR(Setup!$B$22="",Setup!$C$22="No"),0,IF(ISNUMBER(I137),I137,IF($T137="Weights",IF(ISNUMBER(Setup!$D$22),Setup!$D$22,0),IF($T137="Nights",IF(ISNUMBER(Setup!$E$22),Setup!$E$22,0),IF(OR($T137="Exact amounts",$T137="Custom units"),0,1))))))</f>
        <v>0</v>
      </c>
      <c r="W137" s="29">
        <f>IF($T137="",0,IF(OR(Setup!$B$23="",Setup!$C$23="No"),0,IF(ISNUMBER(J137),J137,IF($T137="Weights",IF(ISNUMBER(Setup!$D$23),Setup!$D$23,0),IF($T137="Nights",IF(ISNUMBER(Setup!$E$23),Setup!$E$23,0),IF(OR($T137="Exact amounts",$T137="Custom units"),0,1))))))</f>
        <v>0</v>
      </c>
      <c r="X137" s="29">
        <f>IF($T137="",0,IF(OR(Setup!$B$24="",Setup!$C$24="No"),0,IF(ISNUMBER(K137),K137,IF($T137="Weights",IF(ISNUMBER(Setup!$D$24),Setup!$D$24,0),IF($T137="Nights",IF(ISNUMBER(Setup!$E$24),Setup!$E$24,0),IF(OR($T137="Exact amounts",$T137="Custom units"),0,1))))))</f>
        <v>0</v>
      </c>
      <c r="Y137" s="29">
        <f>IF($T137="",0,IF(OR(Setup!$B$25="",Setup!$C$25="No"),0,IF(ISNUMBER(L137),L137,IF($T137="Weights",IF(ISNUMBER(Setup!$D$25),Setup!$D$25,0),IF($T137="Nights",IF(ISNUMBER(Setup!$E$25),Setup!$E$25,0),IF(OR($T137="Exact amounts",$T137="Custom units"),0,1))))))</f>
        <v>0</v>
      </c>
      <c r="Z137" s="29">
        <f>IF($T137="",0,IF(OR(Setup!$B$26="",Setup!$C$26="No"),0,IF(ISNUMBER(M137),M137,IF($T137="Weights",IF(ISNUMBER(Setup!$D$26),Setup!$D$26,0),IF($T137="Nights",IF(ISNUMBER(Setup!$E$26),Setup!$E$26,0),IF(OR($T137="Exact amounts",$T137="Custom units"),0,1))))))</f>
        <v>0</v>
      </c>
      <c r="AA137" s="29">
        <f>IF($T137="",0,IF(OR(Setup!$B$27="",Setup!$C$27="No"),0,IF(ISNUMBER(N137),N137,IF($T137="Weights",IF(ISNUMBER(Setup!$D$27),Setup!$D$27,0),IF($T137="Nights",IF(ISNUMBER(Setup!$E$27),Setup!$E$27,0),IF(OR($T137="Exact amounts",$T137="Custom units"),0,1))))))</f>
        <v>0</v>
      </c>
      <c r="AB137" s="29">
        <f>IF($T137="",0,IF(OR(Setup!$B$28="",Setup!$C$28="No"),0,IF(ISNUMBER(O137),O137,IF($T137="Weights",IF(ISNUMBER(Setup!$D$28),Setup!$D$28,0),IF($T137="Nights",IF(ISNUMBER(Setup!$E$28),Setup!$E$28,0),IF(OR($T137="Exact amounts",$T137="Custom units"),0,1))))))</f>
        <v>0</v>
      </c>
      <c r="AC137" s="29">
        <f>IF($T137="",0,IF(OR(Setup!$B$29="",Setup!$C$29="No"),0,IF(ISNUMBER(P137),P137,IF($T137="Weights",IF(ISNUMBER(Setup!$D$29),Setup!$D$29,0),IF($T137="Nights",IF(ISNUMBER(Setup!$E$29),Setup!$E$29,0),IF(OR($T137="Exact amounts",$T137="Custom units"),0,1))))))</f>
        <v>0</v>
      </c>
      <c r="AD137" s="29">
        <f>IF($T137="",0,IF(OR(Setup!$B$30="",Setup!$C$30="No"),0,IF(ISNUMBER(Q137),Q137,IF($T137="Weights",IF(ISNUMBER(Setup!$D$30),Setup!$D$30,0),IF($T137="Nights",IF(ISNUMBER(Setup!$E$30),Setup!$E$30,0),IF(OR($T137="Exact amounts",$T137="Custom units"),0,1))))))</f>
        <v>0</v>
      </c>
      <c r="AE137" s="29">
        <f t="shared" si="9"/>
        <v>0</v>
      </c>
      <c r="AF137" s="30">
        <f t="shared" si="10"/>
        <v>1</v>
      </c>
      <c r="AG137" s="29">
        <f t="shared" si="11"/>
        <v>0</v>
      </c>
    </row>
    <row r="138" spans="1:33" ht="16" x14ac:dyDescent="0.2">
      <c r="A138" s="22" t="str">
        <f t="shared" si="8"/>
        <v>—</v>
      </c>
      <c r="B138" s="23"/>
      <c r="C138" s="16"/>
      <c r="D138" s="16"/>
      <c r="E138" s="24"/>
      <c r="F138" s="16"/>
      <c r="G138" s="16"/>
      <c r="H138" s="25"/>
      <c r="I138" s="25"/>
      <c r="J138" s="25"/>
      <c r="K138" s="25"/>
      <c r="L138" s="25"/>
      <c r="M138" s="25"/>
      <c r="N138" s="25"/>
      <c r="O138" s="25"/>
      <c r="P138" s="25"/>
      <c r="Q138" s="25"/>
      <c r="R138" s="26" t="str">
        <f>IF($T138="","",IF($D138="","Who paid?",IF(SUMPRODUCT((Setup!$B$21:$B$30=$D138)*1)=0,"Payer is not in the member list on Setup",IF($E138="","Amount missing — type the number in column E",IF(NOT(ISNUMBER($E138)),"Amount must be a plain number — no currency symbol, no text",IF(AND($T138="Custom units",$AE138&lt;=0),"Custom units: nobody has units on this row — type a number for at least one person",IF($AE138&lt;=0,"Nobody shares this row — check the person columns H–Q, and the Weight / Nights columns on Setup",IF(AND($T138="Exact amounts",ABS($AE138-$AG138)&gt;0.01),"Exact amounts do not add up to the amount","OK"))))))))</f>
        <v/>
      </c>
      <c r="S138" s="27" t="str">
        <f>IFERROR(IF(OR($T138="",$C$4=""),"—",ROUND($AG138*INDEX($U138:$AD138,1,MATCH($C$4,Setup!$B$21:$B$30,0))/$AF138,2)),"—")</f>
        <v>—</v>
      </c>
      <c r="T138" s="28" t="str">
        <f>IF(AND($C138="",$D138="",NOT(ISNUMBER($E138))),"",IF($G138="",IF(Setup!$C$17="","Equal",Setup!$C$17),$G138))</f>
        <v/>
      </c>
      <c r="U138" s="29">
        <f>IF($T138="",0,IF(OR(Setup!$B$21="",Setup!$C$21="No"),0,IF(ISNUMBER(H138),H138,IF($T138="Weights",IF(ISNUMBER(Setup!$D$21),Setup!$D$21,0),IF($T138="Nights",IF(ISNUMBER(Setup!$E$21),Setup!$E$21,0),IF(OR($T138="Exact amounts",$T138="Custom units"),0,1))))))</f>
        <v>0</v>
      </c>
      <c r="V138" s="29">
        <f>IF($T138="",0,IF(OR(Setup!$B$22="",Setup!$C$22="No"),0,IF(ISNUMBER(I138),I138,IF($T138="Weights",IF(ISNUMBER(Setup!$D$22),Setup!$D$22,0),IF($T138="Nights",IF(ISNUMBER(Setup!$E$22),Setup!$E$22,0),IF(OR($T138="Exact amounts",$T138="Custom units"),0,1))))))</f>
        <v>0</v>
      </c>
      <c r="W138" s="29">
        <f>IF($T138="",0,IF(OR(Setup!$B$23="",Setup!$C$23="No"),0,IF(ISNUMBER(J138),J138,IF($T138="Weights",IF(ISNUMBER(Setup!$D$23),Setup!$D$23,0),IF($T138="Nights",IF(ISNUMBER(Setup!$E$23),Setup!$E$23,0),IF(OR($T138="Exact amounts",$T138="Custom units"),0,1))))))</f>
        <v>0</v>
      </c>
      <c r="X138" s="29">
        <f>IF($T138="",0,IF(OR(Setup!$B$24="",Setup!$C$24="No"),0,IF(ISNUMBER(K138),K138,IF($T138="Weights",IF(ISNUMBER(Setup!$D$24),Setup!$D$24,0),IF($T138="Nights",IF(ISNUMBER(Setup!$E$24),Setup!$E$24,0),IF(OR($T138="Exact amounts",$T138="Custom units"),0,1))))))</f>
        <v>0</v>
      </c>
      <c r="Y138" s="29">
        <f>IF($T138="",0,IF(OR(Setup!$B$25="",Setup!$C$25="No"),0,IF(ISNUMBER(L138),L138,IF($T138="Weights",IF(ISNUMBER(Setup!$D$25),Setup!$D$25,0),IF($T138="Nights",IF(ISNUMBER(Setup!$E$25),Setup!$E$25,0),IF(OR($T138="Exact amounts",$T138="Custom units"),0,1))))))</f>
        <v>0</v>
      </c>
      <c r="Z138" s="29">
        <f>IF($T138="",0,IF(OR(Setup!$B$26="",Setup!$C$26="No"),0,IF(ISNUMBER(M138),M138,IF($T138="Weights",IF(ISNUMBER(Setup!$D$26),Setup!$D$26,0),IF($T138="Nights",IF(ISNUMBER(Setup!$E$26),Setup!$E$26,0),IF(OR($T138="Exact amounts",$T138="Custom units"),0,1))))))</f>
        <v>0</v>
      </c>
      <c r="AA138" s="29">
        <f>IF($T138="",0,IF(OR(Setup!$B$27="",Setup!$C$27="No"),0,IF(ISNUMBER(N138),N138,IF($T138="Weights",IF(ISNUMBER(Setup!$D$27),Setup!$D$27,0),IF($T138="Nights",IF(ISNUMBER(Setup!$E$27),Setup!$E$27,0),IF(OR($T138="Exact amounts",$T138="Custom units"),0,1))))))</f>
        <v>0</v>
      </c>
      <c r="AB138" s="29">
        <f>IF($T138="",0,IF(OR(Setup!$B$28="",Setup!$C$28="No"),0,IF(ISNUMBER(O138),O138,IF($T138="Weights",IF(ISNUMBER(Setup!$D$28),Setup!$D$28,0),IF($T138="Nights",IF(ISNUMBER(Setup!$E$28),Setup!$E$28,0),IF(OR($T138="Exact amounts",$T138="Custom units"),0,1))))))</f>
        <v>0</v>
      </c>
      <c r="AC138" s="29">
        <f>IF($T138="",0,IF(OR(Setup!$B$29="",Setup!$C$29="No"),0,IF(ISNUMBER(P138),P138,IF($T138="Weights",IF(ISNUMBER(Setup!$D$29),Setup!$D$29,0),IF($T138="Nights",IF(ISNUMBER(Setup!$E$29),Setup!$E$29,0),IF(OR($T138="Exact amounts",$T138="Custom units"),0,1))))))</f>
        <v>0</v>
      </c>
      <c r="AD138" s="29">
        <f>IF($T138="",0,IF(OR(Setup!$B$30="",Setup!$C$30="No"),0,IF(ISNUMBER(Q138),Q138,IF($T138="Weights",IF(ISNUMBER(Setup!$D$30),Setup!$D$30,0),IF($T138="Nights",IF(ISNUMBER(Setup!$E$30),Setup!$E$30,0),IF(OR($T138="Exact amounts",$T138="Custom units"),0,1))))))</f>
        <v>0</v>
      </c>
      <c r="AE138" s="29">
        <f t="shared" si="9"/>
        <v>0</v>
      </c>
      <c r="AF138" s="30">
        <f t="shared" si="10"/>
        <v>1</v>
      </c>
      <c r="AG138" s="29">
        <f t="shared" si="11"/>
        <v>0</v>
      </c>
    </row>
    <row r="139" spans="1:33" ht="16" x14ac:dyDescent="0.2">
      <c r="A139" s="22" t="str">
        <f t="shared" si="8"/>
        <v>—</v>
      </c>
      <c r="B139" s="31"/>
      <c r="C139" s="11"/>
      <c r="D139" s="11"/>
      <c r="E139" s="32"/>
      <c r="F139" s="11"/>
      <c r="G139" s="11"/>
      <c r="H139" s="33"/>
      <c r="I139" s="33"/>
      <c r="J139" s="33"/>
      <c r="K139" s="33"/>
      <c r="L139" s="33"/>
      <c r="M139" s="33"/>
      <c r="N139" s="33"/>
      <c r="O139" s="33"/>
      <c r="P139" s="33"/>
      <c r="Q139" s="33"/>
      <c r="R139" s="26" t="str">
        <f>IF($T139="","",IF($D139="","Who paid?",IF(SUMPRODUCT((Setup!$B$21:$B$30=$D139)*1)=0,"Payer is not in the member list on Setup",IF($E139="","Amount missing — type the number in column E",IF(NOT(ISNUMBER($E139)),"Amount must be a plain number — no currency symbol, no text",IF(AND($T139="Custom units",$AE139&lt;=0),"Custom units: nobody has units on this row — type a number for at least one person",IF($AE139&lt;=0,"Nobody shares this row — check the person columns H–Q, and the Weight / Nights columns on Setup",IF(AND($T139="Exact amounts",ABS($AE139-$AG139)&gt;0.01),"Exact amounts do not add up to the amount","OK"))))))))</f>
        <v/>
      </c>
      <c r="S139" s="27" t="str">
        <f>IFERROR(IF(OR($T139="",$C$4=""),"—",ROUND($AG139*INDEX($U139:$AD139,1,MATCH($C$4,Setup!$B$21:$B$30,0))/$AF139,2)),"—")</f>
        <v>—</v>
      </c>
      <c r="T139" s="28" t="str">
        <f>IF(AND($C139="",$D139="",NOT(ISNUMBER($E139))),"",IF($G139="",IF(Setup!$C$17="","Equal",Setup!$C$17),$G139))</f>
        <v/>
      </c>
      <c r="U139" s="29">
        <f>IF($T139="",0,IF(OR(Setup!$B$21="",Setup!$C$21="No"),0,IF(ISNUMBER(H139),H139,IF($T139="Weights",IF(ISNUMBER(Setup!$D$21),Setup!$D$21,0),IF($T139="Nights",IF(ISNUMBER(Setup!$E$21),Setup!$E$21,0),IF(OR($T139="Exact amounts",$T139="Custom units"),0,1))))))</f>
        <v>0</v>
      </c>
      <c r="V139" s="29">
        <f>IF($T139="",0,IF(OR(Setup!$B$22="",Setup!$C$22="No"),0,IF(ISNUMBER(I139),I139,IF($T139="Weights",IF(ISNUMBER(Setup!$D$22),Setup!$D$22,0),IF($T139="Nights",IF(ISNUMBER(Setup!$E$22),Setup!$E$22,0),IF(OR($T139="Exact amounts",$T139="Custom units"),0,1))))))</f>
        <v>0</v>
      </c>
      <c r="W139" s="29">
        <f>IF($T139="",0,IF(OR(Setup!$B$23="",Setup!$C$23="No"),0,IF(ISNUMBER(J139),J139,IF($T139="Weights",IF(ISNUMBER(Setup!$D$23),Setup!$D$23,0),IF($T139="Nights",IF(ISNUMBER(Setup!$E$23),Setup!$E$23,0),IF(OR($T139="Exact amounts",$T139="Custom units"),0,1))))))</f>
        <v>0</v>
      </c>
      <c r="X139" s="29">
        <f>IF($T139="",0,IF(OR(Setup!$B$24="",Setup!$C$24="No"),0,IF(ISNUMBER(K139),K139,IF($T139="Weights",IF(ISNUMBER(Setup!$D$24),Setup!$D$24,0),IF($T139="Nights",IF(ISNUMBER(Setup!$E$24),Setup!$E$24,0),IF(OR($T139="Exact amounts",$T139="Custom units"),0,1))))))</f>
        <v>0</v>
      </c>
      <c r="Y139" s="29">
        <f>IF($T139="",0,IF(OR(Setup!$B$25="",Setup!$C$25="No"),0,IF(ISNUMBER(L139),L139,IF($T139="Weights",IF(ISNUMBER(Setup!$D$25),Setup!$D$25,0),IF($T139="Nights",IF(ISNUMBER(Setup!$E$25),Setup!$E$25,0),IF(OR($T139="Exact amounts",$T139="Custom units"),0,1))))))</f>
        <v>0</v>
      </c>
      <c r="Z139" s="29">
        <f>IF($T139="",0,IF(OR(Setup!$B$26="",Setup!$C$26="No"),0,IF(ISNUMBER(M139),M139,IF($T139="Weights",IF(ISNUMBER(Setup!$D$26),Setup!$D$26,0),IF($T139="Nights",IF(ISNUMBER(Setup!$E$26),Setup!$E$26,0),IF(OR($T139="Exact amounts",$T139="Custom units"),0,1))))))</f>
        <v>0</v>
      </c>
      <c r="AA139" s="29">
        <f>IF($T139="",0,IF(OR(Setup!$B$27="",Setup!$C$27="No"),0,IF(ISNUMBER(N139),N139,IF($T139="Weights",IF(ISNUMBER(Setup!$D$27),Setup!$D$27,0),IF($T139="Nights",IF(ISNUMBER(Setup!$E$27),Setup!$E$27,0),IF(OR($T139="Exact amounts",$T139="Custom units"),0,1))))))</f>
        <v>0</v>
      </c>
      <c r="AB139" s="29">
        <f>IF($T139="",0,IF(OR(Setup!$B$28="",Setup!$C$28="No"),0,IF(ISNUMBER(O139),O139,IF($T139="Weights",IF(ISNUMBER(Setup!$D$28),Setup!$D$28,0),IF($T139="Nights",IF(ISNUMBER(Setup!$E$28),Setup!$E$28,0),IF(OR($T139="Exact amounts",$T139="Custom units"),0,1))))))</f>
        <v>0</v>
      </c>
      <c r="AC139" s="29">
        <f>IF($T139="",0,IF(OR(Setup!$B$29="",Setup!$C$29="No"),0,IF(ISNUMBER(P139),P139,IF($T139="Weights",IF(ISNUMBER(Setup!$D$29),Setup!$D$29,0),IF($T139="Nights",IF(ISNUMBER(Setup!$E$29),Setup!$E$29,0),IF(OR($T139="Exact amounts",$T139="Custom units"),0,1))))))</f>
        <v>0</v>
      </c>
      <c r="AD139" s="29">
        <f>IF($T139="",0,IF(OR(Setup!$B$30="",Setup!$C$30="No"),0,IF(ISNUMBER(Q139),Q139,IF($T139="Weights",IF(ISNUMBER(Setup!$D$30),Setup!$D$30,0),IF($T139="Nights",IF(ISNUMBER(Setup!$E$30),Setup!$E$30,0),IF(OR($T139="Exact amounts",$T139="Custom units"),0,1))))))</f>
        <v>0</v>
      </c>
      <c r="AE139" s="29">
        <f t="shared" si="9"/>
        <v>0</v>
      </c>
      <c r="AF139" s="30">
        <f t="shared" si="10"/>
        <v>1</v>
      </c>
      <c r="AG139" s="29">
        <f t="shared" si="11"/>
        <v>0</v>
      </c>
    </row>
    <row r="140" spans="1:33" ht="16" x14ac:dyDescent="0.2">
      <c r="A140" s="22" t="str">
        <f t="shared" si="8"/>
        <v>—</v>
      </c>
      <c r="B140" s="23"/>
      <c r="C140" s="16"/>
      <c r="D140" s="16"/>
      <c r="E140" s="24"/>
      <c r="F140" s="16"/>
      <c r="G140" s="16"/>
      <c r="H140" s="25"/>
      <c r="I140" s="25"/>
      <c r="J140" s="25"/>
      <c r="K140" s="25"/>
      <c r="L140" s="25"/>
      <c r="M140" s="25"/>
      <c r="N140" s="25"/>
      <c r="O140" s="25"/>
      <c r="P140" s="25"/>
      <c r="Q140" s="25"/>
      <c r="R140" s="26" t="str">
        <f>IF($T140="","",IF($D140="","Who paid?",IF(SUMPRODUCT((Setup!$B$21:$B$30=$D140)*1)=0,"Payer is not in the member list on Setup",IF($E140="","Amount missing — type the number in column E",IF(NOT(ISNUMBER($E140)),"Amount must be a plain number — no currency symbol, no text",IF(AND($T140="Custom units",$AE140&lt;=0),"Custom units: nobody has units on this row — type a number for at least one person",IF($AE140&lt;=0,"Nobody shares this row — check the person columns H–Q, and the Weight / Nights columns on Setup",IF(AND($T140="Exact amounts",ABS($AE140-$AG140)&gt;0.01),"Exact amounts do not add up to the amount","OK"))))))))</f>
        <v/>
      </c>
      <c r="S140" s="27" t="str">
        <f>IFERROR(IF(OR($T140="",$C$4=""),"—",ROUND($AG140*INDEX($U140:$AD140,1,MATCH($C$4,Setup!$B$21:$B$30,0))/$AF140,2)),"—")</f>
        <v>—</v>
      </c>
      <c r="T140" s="28" t="str">
        <f>IF(AND($C140="",$D140="",NOT(ISNUMBER($E140))),"",IF($G140="",IF(Setup!$C$17="","Equal",Setup!$C$17),$G140))</f>
        <v/>
      </c>
      <c r="U140" s="29">
        <f>IF($T140="",0,IF(OR(Setup!$B$21="",Setup!$C$21="No"),0,IF(ISNUMBER(H140),H140,IF($T140="Weights",IF(ISNUMBER(Setup!$D$21),Setup!$D$21,0),IF($T140="Nights",IF(ISNUMBER(Setup!$E$21),Setup!$E$21,0),IF(OR($T140="Exact amounts",$T140="Custom units"),0,1))))))</f>
        <v>0</v>
      </c>
      <c r="V140" s="29">
        <f>IF($T140="",0,IF(OR(Setup!$B$22="",Setup!$C$22="No"),0,IF(ISNUMBER(I140),I140,IF($T140="Weights",IF(ISNUMBER(Setup!$D$22),Setup!$D$22,0),IF($T140="Nights",IF(ISNUMBER(Setup!$E$22),Setup!$E$22,0),IF(OR($T140="Exact amounts",$T140="Custom units"),0,1))))))</f>
        <v>0</v>
      </c>
      <c r="W140" s="29">
        <f>IF($T140="",0,IF(OR(Setup!$B$23="",Setup!$C$23="No"),0,IF(ISNUMBER(J140),J140,IF($T140="Weights",IF(ISNUMBER(Setup!$D$23),Setup!$D$23,0),IF($T140="Nights",IF(ISNUMBER(Setup!$E$23),Setup!$E$23,0),IF(OR($T140="Exact amounts",$T140="Custom units"),0,1))))))</f>
        <v>0</v>
      </c>
      <c r="X140" s="29">
        <f>IF($T140="",0,IF(OR(Setup!$B$24="",Setup!$C$24="No"),0,IF(ISNUMBER(K140),K140,IF($T140="Weights",IF(ISNUMBER(Setup!$D$24),Setup!$D$24,0),IF($T140="Nights",IF(ISNUMBER(Setup!$E$24),Setup!$E$24,0),IF(OR($T140="Exact amounts",$T140="Custom units"),0,1))))))</f>
        <v>0</v>
      </c>
      <c r="Y140" s="29">
        <f>IF($T140="",0,IF(OR(Setup!$B$25="",Setup!$C$25="No"),0,IF(ISNUMBER(L140),L140,IF($T140="Weights",IF(ISNUMBER(Setup!$D$25),Setup!$D$25,0),IF($T140="Nights",IF(ISNUMBER(Setup!$E$25),Setup!$E$25,0),IF(OR($T140="Exact amounts",$T140="Custom units"),0,1))))))</f>
        <v>0</v>
      </c>
      <c r="Z140" s="29">
        <f>IF($T140="",0,IF(OR(Setup!$B$26="",Setup!$C$26="No"),0,IF(ISNUMBER(M140),M140,IF($T140="Weights",IF(ISNUMBER(Setup!$D$26),Setup!$D$26,0),IF($T140="Nights",IF(ISNUMBER(Setup!$E$26),Setup!$E$26,0),IF(OR($T140="Exact amounts",$T140="Custom units"),0,1))))))</f>
        <v>0</v>
      </c>
      <c r="AA140" s="29">
        <f>IF($T140="",0,IF(OR(Setup!$B$27="",Setup!$C$27="No"),0,IF(ISNUMBER(N140),N140,IF($T140="Weights",IF(ISNUMBER(Setup!$D$27),Setup!$D$27,0),IF($T140="Nights",IF(ISNUMBER(Setup!$E$27),Setup!$E$27,0),IF(OR($T140="Exact amounts",$T140="Custom units"),0,1))))))</f>
        <v>0</v>
      </c>
      <c r="AB140" s="29">
        <f>IF($T140="",0,IF(OR(Setup!$B$28="",Setup!$C$28="No"),0,IF(ISNUMBER(O140),O140,IF($T140="Weights",IF(ISNUMBER(Setup!$D$28),Setup!$D$28,0),IF($T140="Nights",IF(ISNUMBER(Setup!$E$28),Setup!$E$28,0),IF(OR($T140="Exact amounts",$T140="Custom units"),0,1))))))</f>
        <v>0</v>
      </c>
      <c r="AC140" s="29">
        <f>IF($T140="",0,IF(OR(Setup!$B$29="",Setup!$C$29="No"),0,IF(ISNUMBER(P140),P140,IF($T140="Weights",IF(ISNUMBER(Setup!$D$29),Setup!$D$29,0),IF($T140="Nights",IF(ISNUMBER(Setup!$E$29),Setup!$E$29,0),IF(OR($T140="Exact amounts",$T140="Custom units"),0,1))))))</f>
        <v>0</v>
      </c>
      <c r="AD140" s="29">
        <f>IF($T140="",0,IF(OR(Setup!$B$30="",Setup!$C$30="No"),0,IF(ISNUMBER(Q140),Q140,IF($T140="Weights",IF(ISNUMBER(Setup!$D$30),Setup!$D$30,0),IF($T140="Nights",IF(ISNUMBER(Setup!$E$30),Setup!$E$30,0),IF(OR($T140="Exact amounts",$T140="Custom units"),0,1))))))</f>
        <v>0</v>
      </c>
      <c r="AE140" s="29">
        <f t="shared" si="9"/>
        <v>0</v>
      </c>
      <c r="AF140" s="30">
        <f t="shared" si="10"/>
        <v>1</v>
      </c>
      <c r="AG140" s="29">
        <f t="shared" si="11"/>
        <v>0</v>
      </c>
    </row>
    <row r="141" spans="1:33" ht="16" x14ac:dyDescent="0.2">
      <c r="A141" s="22" t="str">
        <f t="shared" si="8"/>
        <v>—</v>
      </c>
      <c r="B141" s="31"/>
      <c r="C141" s="11"/>
      <c r="D141" s="11"/>
      <c r="E141" s="32"/>
      <c r="F141" s="11"/>
      <c r="G141" s="11"/>
      <c r="H141" s="33"/>
      <c r="I141" s="33"/>
      <c r="J141" s="33"/>
      <c r="K141" s="33"/>
      <c r="L141" s="33"/>
      <c r="M141" s="33"/>
      <c r="N141" s="33"/>
      <c r="O141" s="33"/>
      <c r="P141" s="33"/>
      <c r="Q141" s="33"/>
      <c r="R141" s="26" t="str">
        <f>IF($T141="","",IF($D141="","Who paid?",IF(SUMPRODUCT((Setup!$B$21:$B$30=$D141)*1)=0,"Payer is not in the member list on Setup",IF($E141="","Amount missing — type the number in column E",IF(NOT(ISNUMBER($E141)),"Amount must be a plain number — no currency symbol, no text",IF(AND($T141="Custom units",$AE141&lt;=0),"Custom units: nobody has units on this row — type a number for at least one person",IF($AE141&lt;=0,"Nobody shares this row — check the person columns H–Q, and the Weight / Nights columns on Setup",IF(AND($T141="Exact amounts",ABS($AE141-$AG141)&gt;0.01),"Exact amounts do not add up to the amount","OK"))))))))</f>
        <v/>
      </c>
      <c r="S141" s="27" t="str">
        <f>IFERROR(IF(OR($T141="",$C$4=""),"—",ROUND($AG141*INDEX($U141:$AD141,1,MATCH($C$4,Setup!$B$21:$B$30,0))/$AF141,2)),"—")</f>
        <v>—</v>
      </c>
      <c r="T141" s="28" t="str">
        <f>IF(AND($C141="",$D141="",NOT(ISNUMBER($E141))),"",IF($G141="",IF(Setup!$C$17="","Equal",Setup!$C$17),$G141))</f>
        <v/>
      </c>
      <c r="U141" s="29">
        <f>IF($T141="",0,IF(OR(Setup!$B$21="",Setup!$C$21="No"),0,IF(ISNUMBER(H141),H141,IF($T141="Weights",IF(ISNUMBER(Setup!$D$21),Setup!$D$21,0),IF($T141="Nights",IF(ISNUMBER(Setup!$E$21),Setup!$E$21,0),IF(OR($T141="Exact amounts",$T141="Custom units"),0,1))))))</f>
        <v>0</v>
      </c>
      <c r="V141" s="29">
        <f>IF($T141="",0,IF(OR(Setup!$B$22="",Setup!$C$22="No"),0,IF(ISNUMBER(I141),I141,IF($T141="Weights",IF(ISNUMBER(Setup!$D$22),Setup!$D$22,0),IF($T141="Nights",IF(ISNUMBER(Setup!$E$22),Setup!$E$22,0),IF(OR($T141="Exact amounts",$T141="Custom units"),0,1))))))</f>
        <v>0</v>
      </c>
      <c r="W141" s="29">
        <f>IF($T141="",0,IF(OR(Setup!$B$23="",Setup!$C$23="No"),0,IF(ISNUMBER(J141),J141,IF($T141="Weights",IF(ISNUMBER(Setup!$D$23),Setup!$D$23,0),IF($T141="Nights",IF(ISNUMBER(Setup!$E$23),Setup!$E$23,0),IF(OR($T141="Exact amounts",$T141="Custom units"),0,1))))))</f>
        <v>0</v>
      </c>
      <c r="X141" s="29">
        <f>IF($T141="",0,IF(OR(Setup!$B$24="",Setup!$C$24="No"),0,IF(ISNUMBER(K141),K141,IF($T141="Weights",IF(ISNUMBER(Setup!$D$24),Setup!$D$24,0),IF($T141="Nights",IF(ISNUMBER(Setup!$E$24),Setup!$E$24,0),IF(OR($T141="Exact amounts",$T141="Custom units"),0,1))))))</f>
        <v>0</v>
      </c>
      <c r="Y141" s="29">
        <f>IF($T141="",0,IF(OR(Setup!$B$25="",Setup!$C$25="No"),0,IF(ISNUMBER(L141),L141,IF($T141="Weights",IF(ISNUMBER(Setup!$D$25),Setup!$D$25,0),IF($T141="Nights",IF(ISNUMBER(Setup!$E$25),Setup!$E$25,0),IF(OR($T141="Exact amounts",$T141="Custom units"),0,1))))))</f>
        <v>0</v>
      </c>
      <c r="Z141" s="29">
        <f>IF($T141="",0,IF(OR(Setup!$B$26="",Setup!$C$26="No"),0,IF(ISNUMBER(M141),M141,IF($T141="Weights",IF(ISNUMBER(Setup!$D$26),Setup!$D$26,0),IF($T141="Nights",IF(ISNUMBER(Setup!$E$26),Setup!$E$26,0),IF(OR($T141="Exact amounts",$T141="Custom units"),0,1))))))</f>
        <v>0</v>
      </c>
      <c r="AA141" s="29">
        <f>IF($T141="",0,IF(OR(Setup!$B$27="",Setup!$C$27="No"),0,IF(ISNUMBER(N141),N141,IF($T141="Weights",IF(ISNUMBER(Setup!$D$27),Setup!$D$27,0),IF($T141="Nights",IF(ISNUMBER(Setup!$E$27),Setup!$E$27,0),IF(OR($T141="Exact amounts",$T141="Custom units"),0,1))))))</f>
        <v>0</v>
      </c>
      <c r="AB141" s="29">
        <f>IF($T141="",0,IF(OR(Setup!$B$28="",Setup!$C$28="No"),0,IF(ISNUMBER(O141),O141,IF($T141="Weights",IF(ISNUMBER(Setup!$D$28),Setup!$D$28,0),IF($T141="Nights",IF(ISNUMBER(Setup!$E$28),Setup!$E$28,0),IF(OR($T141="Exact amounts",$T141="Custom units"),0,1))))))</f>
        <v>0</v>
      </c>
      <c r="AC141" s="29">
        <f>IF($T141="",0,IF(OR(Setup!$B$29="",Setup!$C$29="No"),0,IF(ISNUMBER(P141),P141,IF($T141="Weights",IF(ISNUMBER(Setup!$D$29),Setup!$D$29,0),IF($T141="Nights",IF(ISNUMBER(Setup!$E$29),Setup!$E$29,0),IF(OR($T141="Exact amounts",$T141="Custom units"),0,1))))))</f>
        <v>0</v>
      </c>
      <c r="AD141" s="29">
        <f>IF($T141="",0,IF(OR(Setup!$B$30="",Setup!$C$30="No"),0,IF(ISNUMBER(Q141),Q141,IF($T141="Weights",IF(ISNUMBER(Setup!$D$30),Setup!$D$30,0),IF($T141="Nights",IF(ISNUMBER(Setup!$E$30),Setup!$E$30,0),IF(OR($T141="Exact amounts",$T141="Custom units"),0,1))))))</f>
        <v>0</v>
      </c>
      <c r="AE141" s="29">
        <f t="shared" si="9"/>
        <v>0</v>
      </c>
      <c r="AF141" s="30">
        <f t="shared" si="10"/>
        <v>1</v>
      </c>
      <c r="AG141" s="29">
        <f t="shared" si="11"/>
        <v>0</v>
      </c>
    </row>
    <row r="142" spans="1:33" ht="16" x14ac:dyDescent="0.2">
      <c r="A142" s="22" t="str">
        <f t="shared" si="8"/>
        <v>—</v>
      </c>
      <c r="B142" s="23"/>
      <c r="C142" s="16"/>
      <c r="D142" s="16"/>
      <c r="E142" s="24"/>
      <c r="F142" s="16"/>
      <c r="G142" s="16"/>
      <c r="H142" s="25"/>
      <c r="I142" s="25"/>
      <c r="J142" s="25"/>
      <c r="K142" s="25"/>
      <c r="L142" s="25"/>
      <c r="M142" s="25"/>
      <c r="N142" s="25"/>
      <c r="O142" s="25"/>
      <c r="P142" s="25"/>
      <c r="Q142" s="25"/>
      <c r="R142" s="26" t="str">
        <f>IF($T142="","",IF($D142="","Who paid?",IF(SUMPRODUCT((Setup!$B$21:$B$30=$D142)*1)=0,"Payer is not in the member list on Setup",IF($E142="","Amount missing — type the number in column E",IF(NOT(ISNUMBER($E142)),"Amount must be a plain number — no currency symbol, no text",IF(AND($T142="Custom units",$AE142&lt;=0),"Custom units: nobody has units on this row — type a number for at least one person",IF($AE142&lt;=0,"Nobody shares this row — check the person columns H–Q, and the Weight / Nights columns on Setup",IF(AND($T142="Exact amounts",ABS($AE142-$AG142)&gt;0.01),"Exact amounts do not add up to the amount","OK"))))))))</f>
        <v/>
      </c>
      <c r="S142" s="27" t="str">
        <f>IFERROR(IF(OR($T142="",$C$4=""),"—",ROUND($AG142*INDEX($U142:$AD142,1,MATCH($C$4,Setup!$B$21:$B$30,0))/$AF142,2)),"—")</f>
        <v>—</v>
      </c>
      <c r="T142" s="28" t="str">
        <f>IF(AND($C142="",$D142="",NOT(ISNUMBER($E142))),"",IF($G142="",IF(Setup!$C$17="","Equal",Setup!$C$17),$G142))</f>
        <v/>
      </c>
      <c r="U142" s="29">
        <f>IF($T142="",0,IF(OR(Setup!$B$21="",Setup!$C$21="No"),0,IF(ISNUMBER(H142),H142,IF($T142="Weights",IF(ISNUMBER(Setup!$D$21),Setup!$D$21,0),IF($T142="Nights",IF(ISNUMBER(Setup!$E$21),Setup!$E$21,0),IF(OR($T142="Exact amounts",$T142="Custom units"),0,1))))))</f>
        <v>0</v>
      </c>
      <c r="V142" s="29">
        <f>IF($T142="",0,IF(OR(Setup!$B$22="",Setup!$C$22="No"),0,IF(ISNUMBER(I142),I142,IF($T142="Weights",IF(ISNUMBER(Setup!$D$22),Setup!$D$22,0),IF($T142="Nights",IF(ISNUMBER(Setup!$E$22),Setup!$E$22,0),IF(OR($T142="Exact amounts",$T142="Custom units"),0,1))))))</f>
        <v>0</v>
      </c>
      <c r="W142" s="29">
        <f>IF($T142="",0,IF(OR(Setup!$B$23="",Setup!$C$23="No"),0,IF(ISNUMBER(J142),J142,IF($T142="Weights",IF(ISNUMBER(Setup!$D$23),Setup!$D$23,0),IF($T142="Nights",IF(ISNUMBER(Setup!$E$23),Setup!$E$23,0),IF(OR($T142="Exact amounts",$T142="Custom units"),0,1))))))</f>
        <v>0</v>
      </c>
      <c r="X142" s="29">
        <f>IF($T142="",0,IF(OR(Setup!$B$24="",Setup!$C$24="No"),0,IF(ISNUMBER(K142),K142,IF($T142="Weights",IF(ISNUMBER(Setup!$D$24),Setup!$D$24,0),IF($T142="Nights",IF(ISNUMBER(Setup!$E$24),Setup!$E$24,0),IF(OR($T142="Exact amounts",$T142="Custom units"),0,1))))))</f>
        <v>0</v>
      </c>
      <c r="Y142" s="29">
        <f>IF($T142="",0,IF(OR(Setup!$B$25="",Setup!$C$25="No"),0,IF(ISNUMBER(L142),L142,IF($T142="Weights",IF(ISNUMBER(Setup!$D$25),Setup!$D$25,0),IF($T142="Nights",IF(ISNUMBER(Setup!$E$25),Setup!$E$25,0),IF(OR($T142="Exact amounts",$T142="Custom units"),0,1))))))</f>
        <v>0</v>
      </c>
      <c r="Z142" s="29">
        <f>IF($T142="",0,IF(OR(Setup!$B$26="",Setup!$C$26="No"),0,IF(ISNUMBER(M142),M142,IF($T142="Weights",IF(ISNUMBER(Setup!$D$26),Setup!$D$26,0),IF($T142="Nights",IF(ISNUMBER(Setup!$E$26),Setup!$E$26,0),IF(OR($T142="Exact amounts",$T142="Custom units"),0,1))))))</f>
        <v>0</v>
      </c>
      <c r="AA142" s="29">
        <f>IF($T142="",0,IF(OR(Setup!$B$27="",Setup!$C$27="No"),0,IF(ISNUMBER(N142),N142,IF($T142="Weights",IF(ISNUMBER(Setup!$D$27),Setup!$D$27,0),IF($T142="Nights",IF(ISNUMBER(Setup!$E$27),Setup!$E$27,0),IF(OR($T142="Exact amounts",$T142="Custom units"),0,1))))))</f>
        <v>0</v>
      </c>
      <c r="AB142" s="29">
        <f>IF($T142="",0,IF(OR(Setup!$B$28="",Setup!$C$28="No"),0,IF(ISNUMBER(O142),O142,IF($T142="Weights",IF(ISNUMBER(Setup!$D$28),Setup!$D$28,0),IF($T142="Nights",IF(ISNUMBER(Setup!$E$28),Setup!$E$28,0),IF(OR($T142="Exact amounts",$T142="Custom units"),0,1))))))</f>
        <v>0</v>
      </c>
      <c r="AC142" s="29">
        <f>IF($T142="",0,IF(OR(Setup!$B$29="",Setup!$C$29="No"),0,IF(ISNUMBER(P142),P142,IF($T142="Weights",IF(ISNUMBER(Setup!$D$29),Setup!$D$29,0),IF($T142="Nights",IF(ISNUMBER(Setup!$E$29),Setup!$E$29,0),IF(OR($T142="Exact amounts",$T142="Custom units"),0,1))))))</f>
        <v>0</v>
      </c>
      <c r="AD142" s="29">
        <f>IF($T142="",0,IF(OR(Setup!$B$30="",Setup!$C$30="No"),0,IF(ISNUMBER(Q142),Q142,IF($T142="Weights",IF(ISNUMBER(Setup!$D$30),Setup!$D$30,0),IF($T142="Nights",IF(ISNUMBER(Setup!$E$30),Setup!$E$30,0),IF(OR($T142="Exact amounts",$T142="Custom units"),0,1))))))</f>
        <v>0</v>
      </c>
      <c r="AE142" s="29">
        <f t="shared" si="9"/>
        <v>0</v>
      </c>
      <c r="AF142" s="30">
        <f t="shared" si="10"/>
        <v>1</v>
      </c>
      <c r="AG142" s="29">
        <f t="shared" si="11"/>
        <v>0</v>
      </c>
    </row>
    <row r="143" spans="1:33" ht="16" x14ac:dyDescent="0.2">
      <c r="A143" s="22" t="str">
        <f t="shared" si="8"/>
        <v>—</v>
      </c>
      <c r="B143" s="31"/>
      <c r="C143" s="11"/>
      <c r="D143" s="11"/>
      <c r="E143" s="32"/>
      <c r="F143" s="11"/>
      <c r="G143" s="11"/>
      <c r="H143" s="33"/>
      <c r="I143" s="33"/>
      <c r="J143" s="33"/>
      <c r="K143" s="33"/>
      <c r="L143" s="33"/>
      <c r="M143" s="33"/>
      <c r="N143" s="33"/>
      <c r="O143" s="33"/>
      <c r="P143" s="33"/>
      <c r="Q143" s="33"/>
      <c r="R143" s="26" t="str">
        <f>IF($T143="","",IF($D143="","Who paid?",IF(SUMPRODUCT((Setup!$B$21:$B$30=$D143)*1)=0,"Payer is not in the member list on Setup",IF($E143="","Amount missing — type the number in column E",IF(NOT(ISNUMBER($E143)),"Amount must be a plain number — no currency symbol, no text",IF(AND($T143="Custom units",$AE143&lt;=0),"Custom units: nobody has units on this row — type a number for at least one person",IF($AE143&lt;=0,"Nobody shares this row — check the person columns H–Q, and the Weight / Nights columns on Setup",IF(AND($T143="Exact amounts",ABS($AE143-$AG143)&gt;0.01),"Exact amounts do not add up to the amount","OK"))))))))</f>
        <v/>
      </c>
      <c r="S143" s="27" t="str">
        <f>IFERROR(IF(OR($T143="",$C$4=""),"—",ROUND($AG143*INDEX($U143:$AD143,1,MATCH($C$4,Setup!$B$21:$B$30,0))/$AF143,2)),"—")</f>
        <v>—</v>
      </c>
      <c r="T143" s="28" t="str">
        <f>IF(AND($C143="",$D143="",NOT(ISNUMBER($E143))),"",IF($G143="",IF(Setup!$C$17="","Equal",Setup!$C$17),$G143))</f>
        <v/>
      </c>
      <c r="U143" s="29">
        <f>IF($T143="",0,IF(OR(Setup!$B$21="",Setup!$C$21="No"),0,IF(ISNUMBER(H143),H143,IF($T143="Weights",IF(ISNUMBER(Setup!$D$21),Setup!$D$21,0),IF($T143="Nights",IF(ISNUMBER(Setup!$E$21),Setup!$E$21,0),IF(OR($T143="Exact amounts",$T143="Custom units"),0,1))))))</f>
        <v>0</v>
      </c>
      <c r="V143" s="29">
        <f>IF($T143="",0,IF(OR(Setup!$B$22="",Setup!$C$22="No"),0,IF(ISNUMBER(I143),I143,IF($T143="Weights",IF(ISNUMBER(Setup!$D$22),Setup!$D$22,0),IF($T143="Nights",IF(ISNUMBER(Setup!$E$22),Setup!$E$22,0),IF(OR($T143="Exact amounts",$T143="Custom units"),0,1))))))</f>
        <v>0</v>
      </c>
      <c r="W143" s="29">
        <f>IF($T143="",0,IF(OR(Setup!$B$23="",Setup!$C$23="No"),0,IF(ISNUMBER(J143),J143,IF($T143="Weights",IF(ISNUMBER(Setup!$D$23),Setup!$D$23,0),IF($T143="Nights",IF(ISNUMBER(Setup!$E$23),Setup!$E$23,0),IF(OR($T143="Exact amounts",$T143="Custom units"),0,1))))))</f>
        <v>0</v>
      </c>
      <c r="X143" s="29">
        <f>IF($T143="",0,IF(OR(Setup!$B$24="",Setup!$C$24="No"),0,IF(ISNUMBER(K143),K143,IF($T143="Weights",IF(ISNUMBER(Setup!$D$24),Setup!$D$24,0),IF($T143="Nights",IF(ISNUMBER(Setup!$E$24),Setup!$E$24,0),IF(OR($T143="Exact amounts",$T143="Custom units"),0,1))))))</f>
        <v>0</v>
      </c>
      <c r="Y143" s="29">
        <f>IF($T143="",0,IF(OR(Setup!$B$25="",Setup!$C$25="No"),0,IF(ISNUMBER(L143),L143,IF($T143="Weights",IF(ISNUMBER(Setup!$D$25),Setup!$D$25,0),IF($T143="Nights",IF(ISNUMBER(Setup!$E$25),Setup!$E$25,0),IF(OR($T143="Exact amounts",$T143="Custom units"),0,1))))))</f>
        <v>0</v>
      </c>
      <c r="Z143" s="29">
        <f>IF($T143="",0,IF(OR(Setup!$B$26="",Setup!$C$26="No"),0,IF(ISNUMBER(M143),M143,IF($T143="Weights",IF(ISNUMBER(Setup!$D$26),Setup!$D$26,0),IF($T143="Nights",IF(ISNUMBER(Setup!$E$26),Setup!$E$26,0),IF(OR($T143="Exact amounts",$T143="Custom units"),0,1))))))</f>
        <v>0</v>
      </c>
      <c r="AA143" s="29">
        <f>IF($T143="",0,IF(OR(Setup!$B$27="",Setup!$C$27="No"),0,IF(ISNUMBER(N143),N143,IF($T143="Weights",IF(ISNUMBER(Setup!$D$27),Setup!$D$27,0),IF($T143="Nights",IF(ISNUMBER(Setup!$E$27),Setup!$E$27,0),IF(OR($T143="Exact amounts",$T143="Custom units"),0,1))))))</f>
        <v>0</v>
      </c>
      <c r="AB143" s="29">
        <f>IF($T143="",0,IF(OR(Setup!$B$28="",Setup!$C$28="No"),0,IF(ISNUMBER(O143),O143,IF($T143="Weights",IF(ISNUMBER(Setup!$D$28),Setup!$D$28,0),IF($T143="Nights",IF(ISNUMBER(Setup!$E$28),Setup!$E$28,0),IF(OR($T143="Exact amounts",$T143="Custom units"),0,1))))))</f>
        <v>0</v>
      </c>
      <c r="AC143" s="29">
        <f>IF($T143="",0,IF(OR(Setup!$B$29="",Setup!$C$29="No"),0,IF(ISNUMBER(P143),P143,IF($T143="Weights",IF(ISNUMBER(Setup!$D$29),Setup!$D$29,0),IF($T143="Nights",IF(ISNUMBER(Setup!$E$29),Setup!$E$29,0),IF(OR($T143="Exact amounts",$T143="Custom units"),0,1))))))</f>
        <v>0</v>
      </c>
      <c r="AD143" s="29">
        <f>IF($T143="",0,IF(OR(Setup!$B$30="",Setup!$C$30="No"),0,IF(ISNUMBER(Q143),Q143,IF($T143="Weights",IF(ISNUMBER(Setup!$D$30),Setup!$D$30,0),IF($T143="Nights",IF(ISNUMBER(Setup!$E$30),Setup!$E$30,0),IF(OR($T143="Exact amounts",$T143="Custom units"),0,1))))))</f>
        <v>0</v>
      </c>
      <c r="AE143" s="29">
        <f t="shared" si="9"/>
        <v>0</v>
      </c>
      <c r="AF143" s="30">
        <f t="shared" si="10"/>
        <v>1</v>
      </c>
      <c r="AG143" s="29">
        <f t="shared" si="11"/>
        <v>0</v>
      </c>
    </row>
    <row r="144" spans="1:33" ht="16" x14ac:dyDescent="0.2">
      <c r="A144" s="22" t="str">
        <f t="shared" si="8"/>
        <v>—</v>
      </c>
      <c r="B144" s="23"/>
      <c r="C144" s="16"/>
      <c r="D144" s="16"/>
      <c r="E144" s="24"/>
      <c r="F144" s="16"/>
      <c r="G144" s="16"/>
      <c r="H144" s="25"/>
      <c r="I144" s="25"/>
      <c r="J144" s="25"/>
      <c r="K144" s="25"/>
      <c r="L144" s="25"/>
      <c r="M144" s="25"/>
      <c r="N144" s="25"/>
      <c r="O144" s="25"/>
      <c r="P144" s="25"/>
      <c r="Q144" s="25"/>
      <c r="R144" s="26" t="str">
        <f>IF($T144="","",IF($D144="","Who paid?",IF(SUMPRODUCT((Setup!$B$21:$B$30=$D144)*1)=0,"Payer is not in the member list on Setup",IF($E144="","Amount missing — type the number in column E",IF(NOT(ISNUMBER($E144)),"Amount must be a plain number — no currency symbol, no text",IF(AND($T144="Custom units",$AE144&lt;=0),"Custom units: nobody has units on this row — type a number for at least one person",IF($AE144&lt;=0,"Nobody shares this row — check the person columns H–Q, and the Weight / Nights columns on Setup",IF(AND($T144="Exact amounts",ABS($AE144-$AG144)&gt;0.01),"Exact amounts do not add up to the amount","OK"))))))))</f>
        <v/>
      </c>
      <c r="S144" s="27" t="str">
        <f>IFERROR(IF(OR($T144="",$C$4=""),"—",ROUND($AG144*INDEX($U144:$AD144,1,MATCH($C$4,Setup!$B$21:$B$30,0))/$AF144,2)),"—")</f>
        <v>—</v>
      </c>
      <c r="T144" s="28" t="str">
        <f>IF(AND($C144="",$D144="",NOT(ISNUMBER($E144))),"",IF($G144="",IF(Setup!$C$17="","Equal",Setup!$C$17),$G144))</f>
        <v/>
      </c>
      <c r="U144" s="29">
        <f>IF($T144="",0,IF(OR(Setup!$B$21="",Setup!$C$21="No"),0,IF(ISNUMBER(H144),H144,IF($T144="Weights",IF(ISNUMBER(Setup!$D$21),Setup!$D$21,0),IF($T144="Nights",IF(ISNUMBER(Setup!$E$21),Setup!$E$21,0),IF(OR($T144="Exact amounts",$T144="Custom units"),0,1))))))</f>
        <v>0</v>
      </c>
      <c r="V144" s="29">
        <f>IF($T144="",0,IF(OR(Setup!$B$22="",Setup!$C$22="No"),0,IF(ISNUMBER(I144),I144,IF($T144="Weights",IF(ISNUMBER(Setup!$D$22),Setup!$D$22,0),IF($T144="Nights",IF(ISNUMBER(Setup!$E$22),Setup!$E$22,0),IF(OR($T144="Exact amounts",$T144="Custom units"),0,1))))))</f>
        <v>0</v>
      </c>
      <c r="W144" s="29">
        <f>IF($T144="",0,IF(OR(Setup!$B$23="",Setup!$C$23="No"),0,IF(ISNUMBER(J144),J144,IF($T144="Weights",IF(ISNUMBER(Setup!$D$23),Setup!$D$23,0),IF($T144="Nights",IF(ISNUMBER(Setup!$E$23),Setup!$E$23,0),IF(OR($T144="Exact amounts",$T144="Custom units"),0,1))))))</f>
        <v>0</v>
      </c>
      <c r="X144" s="29">
        <f>IF($T144="",0,IF(OR(Setup!$B$24="",Setup!$C$24="No"),0,IF(ISNUMBER(K144),K144,IF($T144="Weights",IF(ISNUMBER(Setup!$D$24),Setup!$D$24,0),IF($T144="Nights",IF(ISNUMBER(Setup!$E$24),Setup!$E$24,0),IF(OR($T144="Exact amounts",$T144="Custom units"),0,1))))))</f>
        <v>0</v>
      </c>
      <c r="Y144" s="29">
        <f>IF($T144="",0,IF(OR(Setup!$B$25="",Setup!$C$25="No"),0,IF(ISNUMBER(L144),L144,IF($T144="Weights",IF(ISNUMBER(Setup!$D$25),Setup!$D$25,0),IF($T144="Nights",IF(ISNUMBER(Setup!$E$25),Setup!$E$25,0),IF(OR($T144="Exact amounts",$T144="Custom units"),0,1))))))</f>
        <v>0</v>
      </c>
      <c r="Z144" s="29">
        <f>IF($T144="",0,IF(OR(Setup!$B$26="",Setup!$C$26="No"),0,IF(ISNUMBER(M144),M144,IF($T144="Weights",IF(ISNUMBER(Setup!$D$26),Setup!$D$26,0),IF($T144="Nights",IF(ISNUMBER(Setup!$E$26),Setup!$E$26,0),IF(OR($T144="Exact amounts",$T144="Custom units"),0,1))))))</f>
        <v>0</v>
      </c>
      <c r="AA144" s="29">
        <f>IF($T144="",0,IF(OR(Setup!$B$27="",Setup!$C$27="No"),0,IF(ISNUMBER(N144),N144,IF($T144="Weights",IF(ISNUMBER(Setup!$D$27),Setup!$D$27,0),IF($T144="Nights",IF(ISNUMBER(Setup!$E$27),Setup!$E$27,0),IF(OR($T144="Exact amounts",$T144="Custom units"),0,1))))))</f>
        <v>0</v>
      </c>
      <c r="AB144" s="29">
        <f>IF($T144="",0,IF(OR(Setup!$B$28="",Setup!$C$28="No"),0,IF(ISNUMBER(O144),O144,IF($T144="Weights",IF(ISNUMBER(Setup!$D$28),Setup!$D$28,0),IF($T144="Nights",IF(ISNUMBER(Setup!$E$28),Setup!$E$28,0),IF(OR($T144="Exact amounts",$T144="Custom units"),0,1))))))</f>
        <v>0</v>
      </c>
      <c r="AC144" s="29">
        <f>IF($T144="",0,IF(OR(Setup!$B$29="",Setup!$C$29="No"),0,IF(ISNUMBER(P144),P144,IF($T144="Weights",IF(ISNUMBER(Setup!$D$29),Setup!$D$29,0),IF($T144="Nights",IF(ISNUMBER(Setup!$E$29),Setup!$E$29,0),IF(OR($T144="Exact amounts",$T144="Custom units"),0,1))))))</f>
        <v>0</v>
      </c>
      <c r="AD144" s="29">
        <f>IF($T144="",0,IF(OR(Setup!$B$30="",Setup!$C$30="No"),0,IF(ISNUMBER(Q144),Q144,IF($T144="Weights",IF(ISNUMBER(Setup!$D$30),Setup!$D$30,0),IF($T144="Nights",IF(ISNUMBER(Setup!$E$30),Setup!$E$30,0),IF(OR($T144="Exact amounts",$T144="Custom units"),0,1))))))</f>
        <v>0</v>
      </c>
      <c r="AE144" s="29">
        <f t="shared" si="9"/>
        <v>0</v>
      </c>
      <c r="AF144" s="30">
        <f t="shared" si="10"/>
        <v>1</v>
      </c>
      <c r="AG144" s="29">
        <f t="shared" si="11"/>
        <v>0</v>
      </c>
    </row>
    <row r="145" spans="1:33" ht="16" x14ac:dyDescent="0.2">
      <c r="A145" s="22" t="str">
        <f t="shared" si="8"/>
        <v>—</v>
      </c>
      <c r="B145" s="31"/>
      <c r="C145" s="11"/>
      <c r="D145" s="11"/>
      <c r="E145" s="32"/>
      <c r="F145" s="11"/>
      <c r="G145" s="11"/>
      <c r="H145" s="33"/>
      <c r="I145" s="33"/>
      <c r="J145" s="33"/>
      <c r="K145" s="33"/>
      <c r="L145" s="33"/>
      <c r="M145" s="33"/>
      <c r="N145" s="33"/>
      <c r="O145" s="33"/>
      <c r="P145" s="33"/>
      <c r="Q145" s="33"/>
      <c r="R145" s="26" t="str">
        <f>IF($T145="","",IF($D145="","Who paid?",IF(SUMPRODUCT((Setup!$B$21:$B$30=$D145)*1)=0,"Payer is not in the member list on Setup",IF($E145="","Amount missing — type the number in column E",IF(NOT(ISNUMBER($E145)),"Amount must be a plain number — no currency symbol, no text",IF(AND($T145="Custom units",$AE145&lt;=0),"Custom units: nobody has units on this row — type a number for at least one person",IF($AE145&lt;=0,"Nobody shares this row — check the person columns H–Q, and the Weight / Nights columns on Setup",IF(AND($T145="Exact amounts",ABS($AE145-$AG145)&gt;0.01),"Exact amounts do not add up to the amount","OK"))))))))</f>
        <v/>
      </c>
      <c r="S145" s="27" t="str">
        <f>IFERROR(IF(OR($T145="",$C$4=""),"—",ROUND($AG145*INDEX($U145:$AD145,1,MATCH($C$4,Setup!$B$21:$B$30,0))/$AF145,2)),"—")</f>
        <v>—</v>
      </c>
      <c r="T145" s="28" t="str">
        <f>IF(AND($C145="",$D145="",NOT(ISNUMBER($E145))),"",IF($G145="",IF(Setup!$C$17="","Equal",Setup!$C$17),$G145))</f>
        <v/>
      </c>
      <c r="U145" s="29">
        <f>IF($T145="",0,IF(OR(Setup!$B$21="",Setup!$C$21="No"),0,IF(ISNUMBER(H145),H145,IF($T145="Weights",IF(ISNUMBER(Setup!$D$21),Setup!$D$21,0),IF($T145="Nights",IF(ISNUMBER(Setup!$E$21),Setup!$E$21,0),IF(OR($T145="Exact amounts",$T145="Custom units"),0,1))))))</f>
        <v>0</v>
      </c>
      <c r="V145" s="29">
        <f>IF($T145="",0,IF(OR(Setup!$B$22="",Setup!$C$22="No"),0,IF(ISNUMBER(I145),I145,IF($T145="Weights",IF(ISNUMBER(Setup!$D$22),Setup!$D$22,0),IF($T145="Nights",IF(ISNUMBER(Setup!$E$22),Setup!$E$22,0),IF(OR($T145="Exact amounts",$T145="Custom units"),0,1))))))</f>
        <v>0</v>
      </c>
      <c r="W145" s="29">
        <f>IF($T145="",0,IF(OR(Setup!$B$23="",Setup!$C$23="No"),0,IF(ISNUMBER(J145),J145,IF($T145="Weights",IF(ISNUMBER(Setup!$D$23),Setup!$D$23,0),IF($T145="Nights",IF(ISNUMBER(Setup!$E$23),Setup!$E$23,0),IF(OR($T145="Exact amounts",$T145="Custom units"),0,1))))))</f>
        <v>0</v>
      </c>
      <c r="X145" s="29">
        <f>IF($T145="",0,IF(OR(Setup!$B$24="",Setup!$C$24="No"),0,IF(ISNUMBER(K145),K145,IF($T145="Weights",IF(ISNUMBER(Setup!$D$24),Setup!$D$24,0),IF($T145="Nights",IF(ISNUMBER(Setup!$E$24),Setup!$E$24,0),IF(OR($T145="Exact amounts",$T145="Custom units"),0,1))))))</f>
        <v>0</v>
      </c>
      <c r="Y145" s="29">
        <f>IF($T145="",0,IF(OR(Setup!$B$25="",Setup!$C$25="No"),0,IF(ISNUMBER(L145),L145,IF($T145="Weights",IF(ISNUMBER(Setup!$D$25),Setup!$D$25,0),IF($T145="Nights",IF(ISNUMBER(Setup!$E$25),Setup!$E$25,0),IF(OR($T145="Exact amounts",$T145="Custom units"),0,1))))))</f>
        <v>0</v>
      </c>
      <c r="Z145" s="29">
        <f>IF($T145="",0,IF(OR(Setup!$B$26="",Setup!$C$26="No"),0,IF(ISNUMBER(M145),M145,IF($T145="Weights",IF(ISNUMBER(Setup!$D$26),Setup!$D$26,0),IF($T145="Nights",IF(ISNUMBER(Setup!$E$26),Setup!$E$26,0),IF(OR($T145="Exact amounts",$T145="Custom units"),0,1))))))</f>
        <v>0</v>
      </c>
      <c r="AA145" s="29">
        <f>IF($T145="",0,IF(OR(Setup!$B$27="",Setup!$C$27="No"),0,IF(ISNUMBER(N145),N145,IF($T145="Weights",IF(ISNUMBER(Setup!$D$27),Setup!$D$27,0),IF($T145="Nights",IF(ISNUMBER(Setup!$E$27),Setup!$E$27,0),IF(OR($T145="Exact amounts",$T145="Custom units"),0,1))))))</f>
        <v>0</v>
      </c>
      <c r="AB145" s="29">
        <f>IF($T145="",0,IF(OR(Setup!$B$28="",Setup!$C$28="No"),0,IF(ISNUMBER(O145),O145,IF($T145="Weights",IF(ISNUMBER(Setup!$D$28),Setup!$D$28,0),IF($T145="Nights",IF(ISNUMBER(Setup!$E$28),Setup!$E$28,0),IF(OR($T145="Exact amounts",$T145="Custom units"),0,1))))))</f>
        <v>0</v>
      </c>
      <c r="AC145" s="29">
        <f>IF($T145="",0,IF(OR(Setup!$B$29="",Setup!$C$29="No"),0,IF(ISNUMBER(P145),P145,IF($T145="Weights",IF(ISNUMBER(Setup!$D$29),Setup!$D$29,0),IF($T145="Nights",IF(ISNUMBER(Setup!$E$29),Setup!$E$29,0),IF(OR($T145="Exact amounts",$T145="Custom units"),0,1))))))</f>
        <v>0</v>
      </c>
      <c r="AD145" s="29">
        <f>IF($T145="",0,IF(OR(Setup!$B$30="",Setup!$C$30="No"),0,IF(ISNUMBER(Q145),Q145,IF($T145="Weights",IF(ISNUMBER(Setup!$D$30),Setup!$D$30,0),IF($T145="Nights",IF(ISNUMBER(Setup!$E$30),Setup!$E$30,0),IF(OR($T145="Exact amounts",$T145="Custom units"),0,1))))))</f>
        <v>0</v>
      </c>
      <c r="AE145" s="29">
        <f t="shared" si="9"/>
        <v>0</v>
      </c>
      <c r="AF145" s="30">
        <f t="shared" si="10"/>
        <v>1</v>
      </c>
      <c r="AG145" s="29">
        <f t="shared" si="11"/>
        <v>0</v>
      </c>
    </row>
    <row r="146" spans="1:33" ht="16" x14ac:dyDescent="0.2">
      <c r="A146" s="22" t="str">
        <f t="shared" si="8"/>
        <v>—</v>
      </c>
      <c r="B146" s="23"/>
      <c r="C146" s="16"/>
      <c r="D146" s="16"/>
      <c r="E146" s="24"/>
      <c r="F146" s="16"/>
      <c r="G146" s="16"/>
      <c r="H146" s="25"/>
      <c r="I146" s="25"/>
      <c r="J146" s="25"/>
      <c r="K146" s="25"/>
      <c r="L146" s="25"/>
      <c r="M146" s="25"/>
      <c r="N146" s="25"/>
      <c r="O146" s="25"/>
      <c r="P146" s="25"/>
      <c r="Q146" s="25"/>
      <c r="R146" s="26" t="str">
        <f>IF($T146="","",IF($D146="","Who paid?",IF(SUMPRODUCT((Setup!$B$21:$B$30=$D146)*1)=0,"Payer is not in the member list on Setup",IF($E146="","Amount missing — type the number in column E",IF(NOT(ISNUMBER($E146)),"Amount must be a plain number — no currency symbol, no text",IF(AND($T146="Custom units",$AE146&lt;=0),"Custom units: nobody has units on this row — type a number for at least one person",IF($AE146&lt;=0,"Nobody shares this row — check the person columns H–Q, and the Weight / Nights columns on Setup",IF(AND($T146="Exact amounts",ABS($AE146-$AG146)&gt;0.01),"Exact amounts do not add up to the amount","OK"))))))))</f>
        <v/>
      </c>
      <c r="S146" s="27" t="str">
        <f>IFERROR(IF(OR($T146="",$C$4=""),"—",ROUND($AG146*INDEX($U146:$AD146,1,MATCH($C$4,Setup!$B$21:$B$30,0))/$AF146,2)),"—")</f>
        <v>—</v>
      </c>
      <c r="T146" s="28" t="str">
        <f>IF(AND($C146="",$D146="",NOT(ISNUMBER($E146))),"",IF($G146="",IF(Setup!$C$17="","Equal",Setup!$C$17),$G146))</f>
        <v/>
      </c>
      <c r="U146" s="29">
        <f>IF($T146="",0,IF(OR(Setup!$B$21="",Setup!$C$21="No"),0,IF(ISNUMBER(H146),H146,IF($T146="Weights",IF(ISNUMBER(Setup!$D$21),Setup!$D$21,0),IF($T146="Nights",IF(ISNUMBER(Setup!$E$21),Setup!$E$21,0),IF(OR($T146="Exact amounts",$T146="Custom units"),0,1))))))</f>
        <v>0</v>
      </c>
      <c r="V146" s="29">
        <f>IF($T146="",0,IF(OR(Setup!$B$22="",Setup!$C$22="No"),0,IF(ISNUMBER(I146),I146,IF($T146="Weights",IF(ISNUMBER(Setup!$D$22),Setup!$D$22,0),IF($T146="Nights",IF(ISNUMBER(Setup!$E$22),Setup!$E$22,0),IF(OR($T146="Exact amounts",$T146="Custom units"),0,1))))))</f>
        <v>0</v>
      </c>
      <c r="W146" s="29">
        <f>IF($T146="",0,IF(OR(Setup!$B$23="",Setup!$C$23="No"),0,IF(ISNUMBER(J146),J146,IF($T146="Weights",IF(ISNUMBER(Setup!$D$23),Setup!$D$23,0),IF($T146="Nights",IF(ISNUMBER(Setup!$E$23),Setup!$E$23,0),IF(OR($T146="Exact amounts",$T146="Custom units"),0,1))))))</f>
        <v>0</v>
      </c>
      <c r="X146" s="29">
        <f>IF($T146="",0,IF(OR(Setup!$B$24="",Setup!$C$24="No"),0,IF(ISNUMBER(K146),K146,IF($T146="Weights",IF(ISNUMBER(Setup!$D$24),Setup!$D$24,0),IF($T146="Nights",IF(ISNUMBER(Setup!$E$24),Setup!$E$24,0),IF(OR($T146="Exact amounts",$T146="Custom units"),0,1))))))</f>
        <v>0</v>
      </c>
      <c r="Y146" s="29">
        <f>IF($T146="",0,IF(OR(Setup!$B$25="",Setup!$C$25="No"),0,IF(ISNUMBER(L146),L146,IF($T146="Weights",IF(ISNUMBER(Setup!$D$25),Setup!$D$25,0),IF($T146="Nights",IF(ISNUMBER(Setup!$E$25),Setup!$E$25,0),IF(OR($T146="Exact amounts",$T146="Custom units"),0,1))))))</f>
        <v>0</v>
      </c>
      <c r="Z146" s="29">
        <f>IF($T146="",0,IF(OR(Setup!$B$26="",Setup!$C$26="No"),0,IF(ISNUMBER(M146),M146,IF($T146="Weights",IF(ISNUMBER(Setup!$D$26),Setup!$D$26,0),IF($T146="Nights",IF(ISNUMBER(Setup!$E$26),Setup!$E$26,0),IF(OR($T146="Exact amounts",$T146="Custom units"),0,1))))))</f>
        <v>0</v>
      </c>
      <c r="AA146" s="29">
        <f>IF($T146="",0,IF(OR(Setup!$B$27="",Setup!$C$27="No"),0,IF(ISNUMBER(N146),N146,IF($T146="Weights",IF(ISNUMBER(Setup!$D$27),Setup!$D$27,0),IF($T146="Nights",IF(ISNUMBER(Setup!$E$27),Setup!$E$27,0),IF(OR($T146="Exact amounts",$T146="Custom units"),0,1))))))</f>
        <v>0</v>
      </c>
      <c r="AB146" s="29">
        <f>IF($T146="",0,IF(OR(Setup!$B$28="",Setup!$C$28="No"),0,IF(ISNUMBER(O146),O146,IF($T146="Weights",IF(ISNUMBER(Setup!$D$28),Setup!$D$28,0),IF($T146="Nights",IF(ISNUMBER(Setup!$E$28),Setup!$E$28,0),IF(OR($T146="Exact amounts",$T146="Custom units"),0,1))))))</f>
        <v>0</v>
      </c>
      <c r="AC146" s="29">
        <f>IF($T146="",0,IF(OR(Setup!$B$29="",Setup!$C$29="No"),0,IF(ISNUMBER(P146),P146,IF($T146="Weights",IF(ISNUMBER(Setup!$D$29),Setup!$D$29,0),IF($T146="Nights",IF(ISNUMBER(Setup!$E$29),Setup!$E$29,0),IF(OR($T146="Exact amounts",$T146="Custom units"),0,1))))))</f>
        <v>0</v>
      </c>
      <c r="AD146" s="29">
        <f>IF($T146="",0,IF(OR(Setup!$B$30="",Setup!$C$30="No"),0,IF(ISNUMBER(Q146),Q146,IF($T146="Weights",IF(ISNUMBER(Setup!$D$30),Setup!$D$30,0),IF($T146="Nights",IF(ISNUMBER(Setup!$E$30),Setup!$E$30,0),IF(OR($T146="Exact amounts",$T146="Custom units"),0,1))))))</f>
        <v>0</v>
      </c>
      <c r="AE146" s="29">
        <f t="shared" si="9"/>
        <v>0</v>
      </c>
      <c r="AF146" s="30">
        <f t="shared" si="10"/>
        <v>1</v>
      </c>
      <c r="AG146" s="29">
        <f t="shared" si="11"/>
        <v>0</v>
      </c>
    </row>
    <row r="147" spans="1:33" ht="16" x14ac:dyDescent="0.2">
      <c r="A147" s="22" t="str">
        <f t="shared" si="8"/>
        <v>—</v>
      </c>
      <c r="B147" s="31"/>
      <c r="C147" s="11"/>
      <c r="D147" s="11"/>
      <c r="E147" s="32"/>
      <c r="F147" s="11"/>
      <c r="G147" s="11"/>
      <c r="H147" s="33"/>
      <c r="I147" s="33"/>
      <c r="J147" s="33"/>
      <c r="K147" s="33"/>
      <c r="L147" s="33"/>
      <c r="M147" s="33"/>
      <c r="N147" s="33"/>
      <c r="O147" s="33"/>
      <c r="P147" s="33"/>
      <c r="Q147" s="33"/>
      <c r="R147" s="26" t="str">
        <f>IF($T147="","",IF($D147="","Who paid?",IF(SUMPRODUCT((Setup!$B$21:$B$30=$D147)*1)=0,"Payer is not in the member list on Setup",IF($E147="","Amount missing — type the number in column E",IF(NOT(ISNUMBER($E147)),"Amount must be a plain number — no currency symbol, no text",IF(AND($T147="Custom units",$AE147&lt;=0),"Custom units: nobody has units on this row — type a number for at least one person",IF($AE147&lt;=0,"Nobody shares this row — check the person columns H–Q, and the Weight / Nights columns on Setup",IF(AND($T147="Exact amounts",ABS($AE147-$AG147)&gt;0.01),"Exact amounts do not add up to the amount","OK"))))))))</f>
        <v/>
      </c>
      <c r="S147" s="27" t="str">
        <f>IFERROR(IF(OR($T147="",$C$4=""),"—",ROUND($AG147*INDEX($U147:$AD147,1,MATCH($C$4,Setup!$B$21:$B$30,0))/$AF147,2)),"—")</f>
        <v>—</v>
      </c>
      <c r="T147" s="28" t="str">
        <f>IF(AND($C147="",$D147="",NOT(ISNUMBER($E147))),"",IF($G147="",IF(Setup!$C$17="","Equal",Setup!$C$17),$G147))</f>
        <v/>
      </c>
      <c r="U147" s="29">
        <f>IF($T147="",0,IF(OR(Setup!$B$21="",Setup!$C$21="No"),0,IF(ISNUMBER(H147),H147,IF($T147="Weights",IF(ISNUMBER(Setup!$D$21),Setup!$D$21,0),IF($T147="Nights",IF(ISNUMBER(Setup!$E$21),Setup!$E$21,0),IF(OR($T147="Exact amounts",$T147="Custom units"),0,1))))))</f>
        <v>0</v>
      </c>
      <c r="V147" s="29">
        <f>IF($T147="",0,IF(OR(Setup!$B$22="",Setup!$C$22="No"),0,IF(ISNUMBER(I147),I147,IF($T147="Weights",IF(ISNUMBER(Setup!$D$22),Setup!$D$22,0),IF($T147="Nights",IF(ISNUMBER(Setup!$E$22),Setup!$E$22,0),IF(OR($T147="Exact amounts",$T147="Custom units"),0,1))))))</f>
        <v>0</v>
      </c>
      <c r="W147" s="29">
        <f>IF($T147="",0,IF(OR(Setup!$B$23="",Setup!$C$23="No"),0,IF(ISNUMBER(J147),J147,IF($T147="Weights",IF(ISNUMBER(Setup!$D$23),Setup!$D$23,0),IF($T147="Nights",IF(ISNUMBER(Setup!$E$23),Setup!$E$23,0),IF(OR($T147="Exact amounts",$T147="Custom units"),0,1))))))</f>
        <v>0</v>
      </c>
      <c r="X147" s="29">
        <f>IF($T147="",0,IF(OR(Setup!$B$24="",Setup!$C$24="No"),0,IF(ISNUMBER(K147),K147,IF($T147="Weights",IF(ISNUMBER(Setup!$D$24),Setup!$D$24,0),IF($T147="Nights",IF(ISNUMBER(Setup!$E$24),Setup!$E$24,0),IF(OR($T147="Exact amounts",$T147="Custom units"),0,1))))))</f>
        <v>0</v>
      </c>
      <c r="Y147" s="29">
        <f>IF($T147="",0,IF(OR(Setup!$B$25="",Setup!$C$25="No"),0,IF(ISNUMBER(L147),L147,IF($T147="Weights",IF(ISNUMBER(Setup!$D$25),Setup!$D$25,0),IF($T147="Nights",IF(ISNUMBER(Setup!$E$25),Setup!$E$25,0),IF(OR($T147="Exact amounts",$T147="Custom units"),0,1))))))</f>
        <v>0</v>
      </c>
      <c r="Z147" s="29">
        <f>IF($T147="",0,IF(OR(Setup!$B$26="",Setup!$C$26="No"),0,IF(ISNUMBER(M147),M147,IF($T147="Weights",IF(ISNUMBER(Setup!$D$26),Setup!$D$26,0),IF($T147="Nights",IF(ISNUMBER(Setup!$E$26),Setup!$E$26,0),IF(OR($T147="Exact amounts",$T147="Custom units"),0,1))))))</f>
        <v>0</v>
      </c>
      <c r="AA147" s="29">
        <f>IF($T147="",0,IF(OR(Setup!$B$27="",Setup!$C$27="No"),0,IF(ISNUMBER(N147),N147,IF($T147="Weights",IF(ISNUMBER(Setup!$D$27),Setup!$D$27,0),IF($T147="Nights",IF(ISNUMBER(Setup!$E$27),Setup!$E$27,0),IF(OR($T147="Exact amounts",$T147="Custom units"),0,1))))))</f>
        <v>0</v>
      </c>
      <c r="AB147" s="29">
        <f>IF($T147="",0,IF(OR(Setup!$B$28="",Setup!$C$28="No"),0,IF(ISNUMBER(O147),O147,IF($T147="Weights",IF(ISNUMBER(Setup!$D$28),Setup!$D$28,0),IF($T147="Nights",IF(ISNUMBER(Setup!$E$28),Setup!$E$28,0),IF(OR($T147="Exact amounts",$T147="Custom units"),0,1))))))</f>
        <v>0</v>
      </c>
      <c r="AC147" s="29">
        <f>IF($T147="",0,IF(OR(Setup!$B$29="",Setup!$C$29="No"),0,IF(ISNUMBER(P147),P147,IF($T147="Weights",IF(ISNUMBER(Setup!$D$29),Setup!$D$29,0),IF($T147="Nights",IF(ISNUMBER(Setup!$E$29),Setup!$E$29,0),IF(OR($T147="Exact amounts",$T147="Custom units"),0,1))))))</f>
        <v>0</v>
      </c>
      <c r="AD147" s="29">
        <f>IF($T147="",0,IF(OR(Setup!$B$30="",Setup!$C$30="No"),0,IF(ISNUMBER(Q147),Q147,IF($T147="Weights",IF(ISNUMBER(Setup!$D$30),Setup!$D$30,0),IF($T147="Nights",IF(ISNUMBER(Setup!$E$30),Setup!$E$30,0),IF(OR($T147="Exact amounts",$T147="Custom units"),0,1))))))</f>
        <v>0</v>
      </c>
      <c r="AE147" s="29">
        <f t="shared" si="9"/>
        <v>0</v>
      </c>
      <c r="AF147" s="30">
        <f t="shared" si="10"/>
        <v>1</v>
      </c>
      <c r="AG147" s="29">
        <f t="shared" si="11"/>
        <v>0</v>
      </c>
    </row>
    <row r="148" spans="1:33" ht="16" x14ac:dyDescent="0.2">
      <c r="A148" s="22" t="str">
        <f t="shared" si="8"/>
        <v>—</v>
      </c>
      <c r="B148" s="23"/>
      <c r="C148" s="16"/>
      <c r="D148" s="16"/>
      <c r="E148" s="24"/>
      <c r="F148" s="16"/>
      <c r="G148" s="16"/>
      <c r="H148" s="25"/>
      <c r="I148" s="25"/>
      <c r="J148" s="25"/>
      <c r="K148" s="25"/>
      <c r="L148" s="25"/>
      <c r="M148" s="25"/>
      <c r="N148" s="25"/>
      <c r="O148" s="25"/>
      <c r="P148" s="25"/>
      <c r="Q148" s="25"/>
      <c r="R148" s="26" t="str">
        <f>IF($T148="","",IF($D148="","Who paid?",IF(SUMPRODUCT((Setup!$B$21:$B$30=$D148)*1)=0,"Payer is not in the member list on Setup",IF($E148="","Amount missing — type the number in column E",IF(NOT(ISNUMBER($E148)),"Amount must be a plain number — no currency symbol, no text",IF(AND($T148="Custom units",$AE148&lt;=0),"Custom units: nobody has units on this row — type a number for at least one person",IF($AE148&lt;=0,"Nobody shares this row — check the person columns H–Q, and the Weight / Nights columns on Setup",IF(AND($T148="Exact amounts",ABS($AE148-$AG148)&gt;0.01),"Exact amounts do not add up to the amount","OK"))))))))</f>
        <v/>
      </c>
      <c r="S148" s="27" t="str">
        <f>IFERROR(IF(OR($T148="",$C$4=""),"—",ROUND($AG148*INDEX($U148:$AD148,1,MATCH($C$4,Setup!$B$21:$B$30,0))/$AF148,2)),"—")</f>
        <v>—</v>
      </c>
      <c r="T148" s="28" t="str">
        <f>IF(AND($C148="",$D148="",NOT(ISNUMBER($E148))),"",IF($G148="",IF(Setup!$C$17="","Equal",Setup!$C$17),$G148))</f>
        <v/>
      </c>
      <c r="U148" s="29">
        <f>IF($T148="",0,IF(OR(Setup!$B$21="",Setup!$C$21="No"),0,IF(ISNUMBER(H148),H148,IF($T148="Weights",IF(ISNUMBER(Setup!$D$21),Setup!$D$21,0),IF($T148="Nights",IF(ISNUMBER(Setup!$E$21),Setup!$E$21,0),IF(OR($T148="Exact amounts",$T148="Custom units"),0,1))))))</f>
        <v>0</v>
      </c>
      <c r="V148" s="29">
        <f>IF($T148="",0,IF(OR(Setup!$B$22="",Setup!$C$22="No"),0,IF(ISNUMBER(I148),I148,IF($T148="Weights",IF(ISNUMBER(Setup!$D$22),Setup!$D$22,0),IF($T148="Nights",IF(ISNUMBER(Setup!$E$22),Setup!$E$22,0),IF(OR($T148="Exact amounts",$T148="Custom units"),0,1))))))</f>
        <v>0</v>
      </c>
      <c r="W148" s="29">
        <f>IF($T148="",0,IF(OR(Setup!$B$23="",Setup!$C$23="No"),0,IF(ISNUMBER(J148),J148,IF($T148="Weights",IF(ISNUMBER(Setup!$D$23),Setup!$D$23,0),IF($T148="Nights",IF(ISNUMBER(Setup!$E$23),Setup!$E$23,0),IF(OR($T148="Exact amounts",$T148="Custom units"),0,1))))))</f>
        <v>0</v>
      </c>
      <c r="X148" s="29">
        <f>IF($T148="",0,IF(OR(Setup!$B$24="",Setup!$C$24="No"),0,IF(ISNUMBER(K148),K148,IF($T148="Weights",IF(ISNUMBER(Setup!$D$24),Setup!$D$24,0),IF($T148="Nights",IF(ISNUMBER(Setup!$E$24),Setup!$E$24,0),IF(OR($T148="Exact amounts",$T148="Custom units"),0,1))))))</f>
        <v>0</v>
      </c>
      <c r="Y148" s="29">
        <f>IF($T148="",0,IF(OR(Setup!$B$25="",Setup!$C$25="No"),0,IF(ISNUMBER(L148),L148,IF($T148="Weights",IF(ISNUMBER(Setup!$D$25),Setup!$D$25,0),IF($T148="Nights",IF(ISNUMBER(Setup!$E$25),Setup!$E$25,0),IF(OR($T148="Exact amounts",$T148="Custom units"),0,1))))))</f>
        <v>0</v>
      </c>
      <c r="Z148" s="29">
        <f>IF($T148="",0,IF(OR(Setup!$B$26="",Setup!$C$26="No"),0,IF(ISNUMBER(M148),M148,IF($T148="Weights",IF(ISNUMBER(Setup!$D$26),Setup!$D$26,0),IF($T148="Nights",IF(ISNUMBER(Setup!$E$26),Setup!$E$26,0),IF(OR($T148="Exact amounts",$T148="Custom units"),0,1))))))</f>
        <v>0</v>
      </c>
      <c r="AA148" s="29">
        <f>IF($T148="",0,IF(OR(Setup!$B$27="",Setup!$C$27="No"),0,IF(ISNUMBER(N148),N148,IF($T148="Weights",IF(ISNUMBER(Setup!$D$27),Setup!$D$27,0),IF($T148="Nights",IF(ISNUMBER(Setup!$E$27),Setup!$E$27,0),IF(OR($T148="Exact amounts",$T148="Custom units"),0,1))))))</f>
        <v>0</v>
      </c>
      <c r="AB148" s="29">
        <f>IF($T148="",0,IF(OR(Setup!$B$28="",Setup!$C$28="No"),0,IF(ISNUMBER(O148),O148,IF($T148="Weights",IF(ISNUMBER(Setup!$D$28),Setup!$D$28,0),IF($T148="Nights",IF(ISNUMBER(Setup!$E$28),Setup!$E$28,0),IF(OR($T148="Exact amounts",$T148="Custom units"),0,1))))))</f>
        <v>0</v>
      </c>
      <c r="AC148" s="29">
        <f>IF($T148="",0,IF(OR(Setup!$B$29="",Setup!$C$29="No"),0,IF(ISNUMBER(P148),P148,IF($T148="Weights",IF(ISNUMBER(Setup!$D$29),Setup!$D$29,0),IF($T148="Nights",IF(ISNUMBER(Setup!$E$29),Setup!$E$29,0),IF(OR($T148="Exact amounts",$T148="Custom units"),0,1))))))</f>
        <v>0</v>
      </c>
      <c r="AD148" s="29">
        <f>IF($T148="",0,IF(OR(Setup!$B$30="",Setup!$C$30="No"),0,IF(ISNUMBER(Q148),Q148,IF($T148="Weights",IF(ISNUMBER(Setup!$D$30),Setup!$D$30,0),IF($T148="Nights",IF(ISNUMBER(Setup!$E$30),Setup!$E$30,0),IF(OR($T148="Exact amounts",$T148="Custom units"),0,1))))))</f>
        <v>0</v>
      </c>
      <c r="AE148" s="29">
        <f t="shared" si="9"/>
        <v>0</v>
      </c>
      <c r="AF148" s="30">
        <f t="shared" si="10"/>
        <v>1</v>
      </c>
      <c r="AG148" s="29">
        <f t="shared" si="11"/>
        <v>0</v>
      </c>
    </row>
    <row r="149" spans="1:33" ht="16" x14ac:dyDescent="0.2">
      <c r="A149" s="22" t="str">
        <f t="shared" si="8"/>
        <v>—</v>
      </c>
      <c r="B149" s="31"/>
      <c r="C149" s="11"/>
      <c r="D149" s="11"/>
      <c r="E149" s="32"/>
      <c r="F149" s="11"/>
      <c r="G149" s="11"/>
      <c r="H149" s="33"/>
      <c r="I149" s="33"/>
      <c r="J149" s="33"/>
      <c r="K149" s="33"/>
      <c r="L149" s="33"/>
      <c r="M149" s="33"/>
      <c r="N149" s="33"/>
      <c r="O149" s="33"/>
      <c r="P149" s="33"/>
      <c r="Q149" s="33"/>
      <c r="R149" s="26" t="str">
        <f>IF($T149="","",IF($D149="","Who paid?",IF(SUMPRODUCT((Setup!$B$21:$B$30=$D149)*1)=0,"Payer is not in the member list on Setup",IF($E149="","Amount missing — type the number in column E",IF(NOT(ISNUMBER($E149)),"Amount must be a plain number — no currency symbol, no text",IF(AND($T149="Custom units",$AE149&lt;=0),"Custom units: nobody has units on this row — type a number for at least one person",IF($AE149&lt;=0,"Nobody shares this row — check the person columns H–Q, and the Weight / Nights columns on Setup",IF(AND($T149="Exact amounts",ABS($AE149-$AG149)&gt;0.01),"Exact amounts do not add up to the amount","OK"))))))))</f>
        <v/>
      </c>
      <c r="S149" s="27" t="str">
        <f>IFERROR(IF(OR($T149="",$C$4=""),"—",ROUND($AG149*INDEX($U149:$AD149,1,MATCH($C$4,Setup!$B$21:$B$30,0))/$AF149,2)),"—")</f>
        <v>—</v>
      </c>
      <c r="T149" s="28" t="str">
        <f>IF(AND($C149="",$D149="",NOT(ISNUMBER($E149))),"",IF($G149="",IF(Setup!$C$17="","Equal",Setup!$C$17),$G149))</f>
        <v/>
      </c>
      <c r="U149" s="29">
        <f>IF($T149="",0,IF(OR(Setup!$B$21="",Setup!$C$21="No"),0,IF(ISNUMBER(H149),H149,IF($T149="Weights",IF(ISNUMBER(Setup!$D$21),Setup!$D$21,0),IF($T149="Nights",IF(ISNUMBER(Setup!$E$21),Setup!$E$21,0),IF(OR($T149="Exact amounts",$T149="Custom units"),0,1))))))</f>
        <v>0</v>
      </c>
      <c r="V149" s="29">
        <f>IF($T149="",0,IF(OR(Setup!$B$22="",Setup!$C$22="No"),0,IF(ISNUMBER(I149),I149,IF($T149="Weights",IF(ISNUMBER(Setup!$D$22),Setup!$D$22,0),IF($T149="Nights",IF(ISNUMBER(Setup!$E$22),Setup!$E$22,0),IF(OR($T149="Exact amounts",$T149="Custom units"),0,1))))))</f>
        <v>0</v>
      </c>
      <c r="W149" s="29">
        <f>IF($T149="",0,IF(OR(Setup!$B$23="",Setup!$C$23="No"),0,IF(ISNUMBER(J149),J149,IF($T149="Weights",IF(ISNUMBER(Setup!$D$23),Setup!$D$23,0),IF($T149="Nights",IF(ISNUMBER(Setup!$E$23),Setup!$E$23,0),IF(OR($T149="Exact amounts",$T149="Custom units"),0,1))))))</f>
        <v>0</v>
      </c>
      <c r="X149" s="29">
        <f>IF($T149="",0,IF(OR(Setup!$B$24="",Setup!$C$24="No"),0,IF(ISNUMBER(K149),K149,IF($T149="Weights",IF(ISNUMBER(Setup!$D$24),Setup!$D$24,0),IF($T149="Nights",IF(ISNUMBER(Setup!$E$24),Setup!$E$24,0),IF(OR($T149="Exact amounts",$T149="Custom units"),0,1))))))</f>
        <v>0</v>
      </c>
      <c r="Y149" s="29">
        <f>IF($T149="",0,IF(OR(Setup!$B$25="",Setup!$C$25="No"),0,IF(ISNUMBER(L149),L149,IF($T149="Weights",IF(ISNUMBER(Setup!$D$25),Setup!$D$25,0),IF($T149="Nights",IF(ISNUMBER(Setup!$E$25),Setup!$E$25,0),IF(OR($T149="Exact amounts",$T149="Custom units"),0,1))))))</f>
        <v>0</v>
      </c>
      <c r="Z149" s="29">
        <f>IF($T149="",0,IF(OR(Setup!$B$26="",Setup!$C$26="No"),0,IF(ISNUMBER(M149),M149,IF($T149="Weights",IF(ISNUMBER(Setup!$D$26),Setup!$D$26,0),IF($T149="Nights",IF(ISNUMBER(Setup!$E$26),Setup!$E$26,0),IF(OR($T149="Exact amounts",$T149="Custom units"),0,1))))))</f>
        <v>0</v>
      </c>
      <c r="AA149" s="29">
        <f>IF($T149="",0,IF(OR(Setup!$B$27="",Setup!$C$27="No"),0,IF(ISNUMBER(N149),N149,IF($T149="Weights",IF(ISNUMBER(Setup!$D$27),Setup!$D$27,0),IF($T149="Nights",IF(ISNUMBER(Setup!$E$27),Setup!$E$27,0),IF(OR($T149="Exact amounts",$T149="Custom units"),0,1))))))</f>
        <v>0</v>
      </c>
      <c r="AB149" s="29">
        <f>IF($T149="",0,IF(OR(Setup!$B$28="",Setup!$C$28="No"),0,IF(ISNUMBER(O149),O149,IF($T149="Weights",IF(ISNUMBER(Setup!$D$28),Setup!$D$28,0),IF($T149="Nights",IF(ISNUMBER(Setup!$E$28),Setup!$E$28,0),IF(OR($T149="Exact amounts",$T149="Custom units"),0,1))))))</f>
        <v>0</v>
      </c>
      <c r="AC149" s="29">
        <f>IF($T149="",0,IF(OR(Setup!$B$29="",Setup!$C$29="No"),0,IF(ISNUMBER(P149),P149,IF($T149="Weights",IF(ISNUMBER(Setup!$D$29),Setup!$D$29,0),IF($T149="Nights",IF(ISNUMBER(Setup!$E$29),Setup!$E$29,0),IF(OR($T149="Exact amounts",$T149="Custom units"),0,1))))))</f>
        <v>0</v>
      </c>
      <c r="AD149" s="29">
        <f>IF($T149="",0,IF(OR(Setup!$B$30="",Setup!$C$30="No"),0,IF(ISNUMBER(Q149),Q149,IF($T149="Weights",IF(ISNUMBER(Setup!$D$30),Setup!$D$30,0),IF($T149="Nights",IF(ISNUMBER(Setup!$E$30),Setup!$E$30,0),IF(OR($T149="Exact amounts",$T149="Custom units"),0,1))))))</f>
        <v>0</v>
      </c>
      <c r="AE149" s="29">
        <f t="shared" si="9"/>
        <v>0</v>
      </c>
      <c r="AF149" s="30">
        <f t="shared" si="10"/>
        <v>1</v>
      </c>
      <c r="AG149" s="29">
        <f t="shared" si="11"/>
        <v>0</v>
      </c>
    </row>
    <row r="150" spans="1:33" ht="16" x14ac:dyDescent="0.2">
      <c r="A150" s="22" t="str">
        <f t="shared" si="8"/>
        <v>—</v>
      </c>
      <c r="B150" s="23"/>
      <c r="C150" s="16"/>
      <c r="D150" s="16"/>
      <c r="E150" s="24"/>
      <c r="F150" s="16"/>
      <c r="G150" s="16"/>
      <c r="H150" s="25"/>
      <c r="I150" s="25"/>
      <c r="J150" s="25"/>
      <c r="K150" s="25"/>
      <c r="L150" s="25"/>
      <c r="M150" s="25"/>
      <c r="N150" s="25"/>
      <c r="O150" s="25"/>
      <c r="P150" s="25"/>
      <c r="Q150" s="25"/>
      <c r="R150" s="26" t="str">
        <f>IF($T150="","",IF($D150="","Who paid?",IF(SUMPRODUCT((Setup!$B$21:$B$30=$D150)*1)=0,"Payer is not in the member list on Setup",IF($E150="","Amount missing — type the number in column E",IF(NOT(ISNUMBER($E150)),"Amount must be a plain number — no currency symbol, no text",IF(AND($T150="Custom units",$AE150&lt;=0),"Custom units: nobody has units on this row — type a number for at least one person",IF($AE150&lt;=0,"Nobody shares this row — check the person columns H–Q, and the Weight / Nights columns on Setup",IF(AND($T150="Exact amounts",ABS($AE150-$AG150)&gt;0.01),"Exact amounts do not add up to the amount","OK"))))))))</f>
        <v/>
      </c>
      <c r="S150" s="27" t="str">
        <f>IFERROR(IF(OR($T150="",$C$4=""),"—",ROUND($AG150*INDEX($U150:$AD150,1,MATCH($C$4,Setup!$B$21:$B$30,0))/$AF150,2)),"—")</f>
        <v>—</v>
      </c>
      <c r="T150" s="28" t="str">
        <f>IF(AND($C150="",$D150="",NOT(ISNUMBER($E150))),"",IF($G150="",IF(Setup!$C$17="","Equal",Setup!$C$17),$G150))</f>
        <v/>
      </c>
      <c r="U150" s="29">
        <f>IF($T150="",0,IF(OR(Setup!$B$21="",Setup!$C$21="No"),0,IF(ISNUMBER(H150),H150,IF($T150="Weights",IF(ISNUMBER(Setup!$D$21),Setup!$D$21,0),IF($T150="Nights",IF(ISNUMBER(Setup!$E$21),Setup!$E$21,0),IF(OR($T150="Exact amounts",$T150="Custom units"),0,1))))))</f>
        <v>0</v>
      </c>
      <c r="V150" s="29">
        <f>IF($T150="",0,IF(OR(Setup!$B$22="",Setup!$C$22="No"),0,IF(ISNUMBER(I150),I150,IF($T150="Weights",IF(ISNUMBER(Setup!$D$22),Setup!$D$22,0),IF($T150="Nights",IF(ISNUMBER(Setup!$E$22),Setup!$E$22,0),IF(OR($T150="Exact amounts",$T150="Custom units"),0,1))))))</f>
        <v>0</v>
      </c>
      <c r="W150" s="29">
        <f>IF($T150="",0,IF(OR(Setup!$B$23="",Setup!$C$23="No"),0,IF(ISNUMBER(J150),J150,IF($T150="Weights",IF(ISNUMBER(Setup!$D$23),Setup!$D$23,0),IF($T150="Nights",IF(ISNUMBER(Setup!$E$23),Setup!$E$23,0),IF(OR($T150="Exact amounts",$T150="Custom units"),0,1))))))</f>
        <v>0</v>
      </c>
      <c r="X150" s="29">
        <f>IF($T150="",0,IF(OR(Setup!$B$24="",Setup!$C$24="No"),0,IF(ISNUMBER(K150),K150,IF($T150="Weights",IF(ISNUMBER(Setup!$D$24),Setup!$D$24,0),IF($T150="Nights",IF(ISNUMBER(Setup!$E$24),Setup!$E$24,0),IF(OR($T150="Exact amounts",$T150="Custom units"),0,1))))))</f>
        <v>0</v>
      </c>
      <c r="Y150" s="29">
        <f>IF($T150="",0,IF(OR(Setup!$B$25="",Setup!$C$25="No"),0,IF(ISNUMBER(L150),L150,IF($T150="Weights",IF(ISNUMBER(Setup!$D$25),Setup!$D$25,0),IF($T150="Nights",IF(ISNUMBER(Setup!$E$25),Setup!$E$25,0),IF(OR($T150="Exact amounts",$T150="Custom units"),0,1))))))</f>
        <v>0</v>
      </c>
      <c r="Z150" s="29">
        <f>IF($T150="",0,IF(OR(Setup!$B$26="",Setup!$C$26="No"),0,IF(ISNUMBER(M150),M150,IF($T150="Weights",IF(ISNUMBER(Setup!$D$26),Setup!$D$26,0),IF($T150="Nights",IF(ISNUMBER(Setup!$E$26),Setup!$E$26,0),IF(OR($T150="Exact amounts",$T150="Custom units"),0,1))))))</f>
        <v>0</v>
      </c>
      <c r="AA150" s="29">
        <f>IF($T150="",0,IF(OR(Setup!$B$27="",Setup!$C$27="No"),0,IF(ISNUMBER(N150),N150,IF($T150="Weights",IF(ISNUMBER(Setup!$D$27),Setup!$D$27,0),IF($T150="Nights",IF(ISNUMBER(Setup!$E$27),Setup!$E$27,0),IF(OR($T150="Exact amounts",$T150="Custom units"),0,1))))))</f>
        <v>0</v>
      </c>
      <c r="AB150" s="29">
        <f>IF($T150="",0,IF(OR(Setup!$B$28="",Setup!$C$28="No"),0,IF(ISNUMBER(O150),O150,IF($T150="Weights",IF(ISNUMBER(Setup!$D$28),Setup!$D$28,0),IF($T150="Nights",IF(ISNUMBER(Setup!$E$28),Setup!$E$28,0),IF(OR($T150="Exact amounts",$T150="Custom units"),0,1))))))</f>
        <v>0</v>
      </c>
      <c r="AC150" s="29">
        <f>IF($T150="",0,IF(OR(Setup!$B$29="",Setup!$C$29="No"),0,IF(ISNUMBER(P150),P150,IF($T150="Weights",IF(ISNUMBER(Setup!$D$29),Setup!$D$29,0),IF($T150="Nights",IF(ISNUMBER(Setup!$E$29),Setup!$E$29,0),IF(OR($T150="Exact amounts",$T150="Custom units"),0,1))))))</f>
        <v>0</v>
      </c>
      <c r="AD150" s="29">
        <f>IF($T150="",0,IF(OR(Setup!$B$30="",Setup!$C$30="No"),0,IF(ISNUMBER(Q150),Q150,IF($T150="Weights",IF(ISNUMBER(Setup!$D$30),Setup!$D$30,0),IF($T150="Nights",IF(ISNUMBER(Setup!$E$30),Setup!$E$30,0),IF(OR($T150="Exact amounts",$T150="Custom units"),0,1))))))</f>
        <v>0</v>
      </c>
      <c r="AE150" s="29">
        <f t="shared" si="9"/>
        <v>0</v>
      </c>
      <c r="AF150" s="30">
        <f t="shared" si="10"/>
        <v>1</v>
      </c>
      <c r="AG150" s="29">
        <f t="shared" si="11"/>
        <v>0</v>
      </c>
    </row>
    <row r="151" spans="1:33" ht="16" x14ac:dyDescent="0.2">
      <c r="A151" s="22" t="str">
        <f t="shared" si="8"/>
        <v>—</v>
      </c>
      <c r="B151" s="31"/>
      <c r="C151" s="11"/>
      <c r="D151" s="11"/>
      <c r="E151" s="32"/>
      <c r="F151" s="11"/>
      <c r="G151" s="11"/>
      <c r="H151" s="33"/>
      <c r="I151" s="33"/>
      <c r="J151" s="33"/>
      <c r="K151" s="33"/>
      <c r="L151" s="33"/>
      <c r="M151" s="33"/>
      <c r="N151" s="33"/>
      <c r="O151" s="33"/>
      <c r="P151" s="33"/>
      <c r="Q151" s="33"/>
      <c r="R151" s="26" t="str">
        <f>IF($T151="","",IF($D151="","Who paid?",IF(SUMPRODUCT((Setup!$B$21:$B$30=$D151)*1)=0,"Payer is not in the member list on Setup",IF($E151="","Amount missing — type the number in column E",IF(NOT(ISNUMBER($E151)),"Amount must be a plain number — no currency symbol, no text",IF(AND($T151="Custom units",$AE151&lt;=0),"Custom units: nobody has units on this row — type a number for at least one person",IF($AE151&lt;=0,"Nobody shares this row — check the person columns H–Q, and the Weight / Nights columns on Setup",IF(AND($T151="Exact amounts",ABS($AE151-$AG151)&gt;0.01),"Exact amounts do not add up to the amount","OK"))))))))</f>
        <v/>
      </c>
      <c r="S151" s="27" t="str">
        <f>IFERROR(IF(OR($T151="",$C$4=""),"—",ROUND($AG151*INDEX($U151:$AD151,1,MATCH($C$4,Setup!$B$21:$B$30,0))/$AF151,2)),"—")</f>
        <v>—</v>
      </c>
      <c r="T151" s="28" t="str">
        <f>IF(AND($C151="",$D151="",NOT(ISNUMBER($E151))),"",IF($G151="",IF(Setup!$C$17="","Equal",Setup!$C$17),$G151))</f>
        <v/>
      </c>
      <c r="U151" s="29">
        <f>IF($T151="",0,IF(OR(Setup!$B$21="",Setup!$C$21="No"),0,IF(ISNUMBER(H151),H151,IF($T151="Weights",IF(ISNUMBER(Setup!$D$21),Setup!$D$21,0),IF($T151="Nights",IF(ISNUMBER(Setup!$E$21),Setup!$E$21,0),IF(OR($T151="Exact amounts",$T151="Custom units"),0,1))))))</f>
        <v>0</v>
      </c>
      <c r="V151" s="29">
        <f>IF($T151="",0,IF(OR(Setup!$B$22="",Setup!$C$22="No"),0,IF(ISNUMBER(I151),I151,IF($T151="Weights",IF(ISNUMBER(Setup!$D$22),Setup!$D$22,0),IF($T151="Nights",IF(ISNUMBER(Setup!$E$22),Setup!$E$22,0),IF(OR($T151="Exact amounts",$T151="Custom units"),0,1))))))</f>
        <v>0</v>
      </c>
      <c r="W151" s="29">
        <f>IF($T151="",0,IF(OR(Setup!$B$23="",Setup!$C$23="No"),0,IF(ISNUMBER(J151),J151,IF($T151="Weights",IF(ISNUMBER(Setup!$D$23),Setup!$D$23,0),IF($T151="Nights",IF(ISNUMBER(Setup!$E$23),Setup!$E$23,0),IF(OR($T151="Exact amounts",$T151="Custom units"),0,1))))))</f>
        <v>0</v>
      </c>
      <c r="X151" s="29">
        <f>IF($T151="",0,IF(OR(Setup!$B$24="",Setup!$C$24="No"),0,IF(ISNUMBER(K151),K151,IF($T151="Weights",IF(ISNUMBER(Setup!$D$24),Setup!$D$24,0),IF($T151="Nights",IF(ISNUMBER(Setup!$E$24),Setup!$E$24,0),IF(OR($T151="Exact amounts",$T151="Custom units"),0,1))))))</f>
        <v>0</v>
      </c>
      <c r="Y151" s="29">
        <f>IF($T151="",0,IF(OR(Setup!$B$25="",Setup!$C$25="No"),0,IF(ISNUMBER(L151),L151,IF($T151="Weights",IF(ISNUMBER(Setup!$D$25),Setup!$D$25,0),IF($T151="Nights",IF(ISNUMBER(Setup!$E$25),Setup!$E$25,0),IF(OR($T151="Exact amounts",$T151="Custom units"),0,1))))))</f>
        <v>0</v>
      </c>
      <c r="Z151" s="29">
        <f>IF($T151="",0,IF(OR(Setup!$B$26="",Setup!$C$26="No"),0,IF(ISNUMBER(M151),M151,IF($T151="Weights",IF(ISNUMBER(Setup!$D$26),Setup!$D$26,0),IF($T151="Nights",IF(ISNUMBER(Setup!$E$26),Setup!$E$26,0),IF(OR($T151="Exact amounts",$T151="Custom units"),0,1))))))</f>
        <v>0</v>
      </c>
      <c r="AA151" s="29">
        <f>IF($T151="",0,IF(OR(Setup!$B$27="",Setup!$C$27="No"),0,IF(ISNUMBER(N151),N151,IF($T151="Weights",IF(ISNUMBER(Setup!$D$27),Setup!$D$27,0),IF($T151="Nights",IF(ISNUMBER(Setup!$E$27),Setup!$E$27,0),IF(OR($T151="Exact amounts",$T151="Custom units"),0,1))))))</f>
        <v>0</v>
      </c>
      <c r="AB151" s="29">
        <f>IF($T151="",0,IF(OR(Setup!$B$28="",Setup!$C$28="No"),0,IF(ISNUMBER(O151),O151,IF($T151="Weights",IF(ISNUMBER(Setup!$D$28),Setup!$D$28,0),IF($T151="Nights",IF(ISNUMBER(Setup!$E$28),Setup!$E$28,0),IF(OR($T151="Exact amounts",$T151="Custom units"),0,1))))))</f>
        <v>0</v>
      </c>
      <c r="AC151" s="29">
        <f>IF($T151="",0,IF(OR(Setup!$B$29="",Setup!$C$29="No"),0,IF(ISNUMBER(P151),P151,IF($T151="Weights",IF(ISNUMBER(Setup!$D$29),Setup!$D$29,0),IF($T151="Nights",IF(ISNUMBER(Setup!$E$29),Setup!$E$29,0),IF(OR($T151="Exact amounts",$T151="Custom units"),0,1))))))</f>
        <v>0</v>
      </c>
      <c r="AD151" s="29">
        <f>IF($T151="",0,IF(OR(Setup!$B$30="",Setup!$C$30="No"),0,IF(ISNUMBER(Q151),Q151,IF($T151="Weights",IF(ISNUMBER(Setup!$D$30),Setup!$D$30,0),IF($T151="Nights",IF(ISNUMBER(Setup!$E$30),Setup!$E$30,0),IF(OR($T151="Exact amounts",$T151="Custom units"),0,1))))))</f>
        <v>0</v>
      </c>
      <c r="AE151" s="29">
        <f t="shared" si="9"/>
        <v>0</v>
      </c>
      <c r="AF151" s="30">
        <f t="shared" si="10"/>
        <v>1</v>
      </c>
      <c r="AG151" s="29">
        <f t="shared" si="11"/>
        <v>0</v>
      </c>
    </row>
    <row r="152" spans="1:33" ht="16" x14ac:dyDescent="0.2">
      <c r="A152" s="22" t="str">
        <f t="shared" si="8"/>
        <v>—</v>
      </c>
      <c r="B152" s="23"/>
      <c r="C152" s="16"/>
      <c r="D152" s="16"/>
      <c r="E152" s="24"/>
      <c r="F152" s="16"/>
      <c r="G152" s="16"/>
      <c r="H152" s="25"/>
      <c r="I152" s="25"/>
      <c r="J152" s="25"/>
      <c r="K152" s="25"/>
      <c r="L152" s="25"/>
      <c r="M152" s="25"/>
      <c r="N152" s="25"/>
      <c r="O152" s="25"/>
      <c r="P152" s="25"/>
      <c r="Q152" s="25"/>
      <c r="R152" s="26" t="str">
        <f>IF($T152="","",IF($D152="","Who paid?",IF(SUMPRODUCT((Setup!$B$21:$B$30=$D152)*1)=0,"Payer is not in the member list on Setup",IF($E152="","Amount missing — type the number in column E",IF(NOT(ISNUMBER($E152)),"Amount must be a plain number — no currency symbol, no text",IF(AND($T152="Custom units",$AE152&lt;=0),"Custom units: nobody has units on this row — type a number for at least one person",IF($AE152&lt;=0,"Nobody shares this row — check the person columns H–Q, and the Weight / Nights columns on Setup",IF(AND($T152="Exact amounts",ABS($AE152-$AG152)&gt;0.01),"Exact amounts do not add up to the amount","OK"))))))))</f>
        <v/>
      </c>
      <c r="S152" s="27" t="str">
        <f>IFERROR(IF(OR($T152="",$C$4=""),"—",ROUND($AG152*INDEX($U152:$AD152,1,MATCH($C$4,Setup!$B$21:$B$30,0))/$AF152,2)),"—")</f>
        <v>—</v>
      </c>
      <c r="T152" s="28" t="str">
        <f>IF(AND($C152="",$D152="",NOT(ISNUMBER($E152))),"",IF($G152="",IF(Setup!$C$17="","Equal",Setup!$C$17),$G152))</f>
        <v/>
      </c>
      <c r="U152" s="29">
        <f>IF($T152="",0,IF(OR(Setup!$B$21="",Setup!$C$21="No"),0,IF(ISNUMBER(H152),H152,IF($T152="Weights",IF(ISNUMBER(Setup!$D$21),Setup!$D$21,0),IF($T152="Nights",IF(ISNUMBER(Setup!$E$21),Setup!$E$21,0),IF(OR($T152="Exact amounts",$T152="Custom units"),0,1))))))</f>
        <v>0</v>
      </c>
      <c r="V152" s="29">
        <f>IF($T152="",0,IF(OR(Setup!$B$22="",Setup!$C$22="No"),0,IF(ISNUMBER(I152),I152,IF($T152="Weights",IF(ISNUMBER(Setup!$D$22),Setup!$D$22,0),IF($T152="Nights",IF(ISNUMBER(Setup!$E$22),Setup!$E$22,0),IF(OR($T152="Exact amounts",$T152="Custom units"),0,1))))))</f>
        <v>0</v>
      </c>
      <c r="W152" s="29">
        <f>IF($T152="",0,IF(OR(Setup!$B$23="",Setup!$C$23="No"),0,IF(ISNUMBER(J152),J152,IF($T152="Weights",IF(ISNUMBER(Setup!$D$23),Setup!$D$23,0),IF($T152="Nights",IF(ISNUMBER(Setup!$E$23),Setup!$E$23,0),IF(OR($T152="Exact amounts",$T152="Custom units"),0,1))))))</f>
        <v>0</v>
      </c>
      <c r="X152" s="29">
        <f>IF($T152="",0,IF(OR(Setup!$B$24="",Setup!$C$24="No"),0,IF(ISNUMBER(K152),K152,IF($T152="Weights",IF(ISNUMBER(Setup!$D$24),Setup!$D$24,0),IF($T152="Nights",IF(ISNUMBER(Setup!$E$24),Setup!$E$24,0),IF(OR($T152="Exact amounts",$T152="Custom units"),0,1))))))</f>
        <v>0</v>
      </c>
      <c r="Y152" s="29">
        <f>IF($T152="",0,IF(OR(Setup!$B$25="",Setup!$C$25="No"),0,IF(ISNUMBER(L152),L152,IF($T152="Weights",IF(ISNUMBER(Setup!$D$25),Setup!$D$25,0),IF($T152="Nights",IF(ISNUMBER(Setup!$E$25),Setup!$E$25,0),IF(OR($T152="Exact amounts",$T152="Custom units"),0,1))))))</f>
        <v>0</v>
      </c>
      <c r="Z152" s="29">
        <f>IF($T152="",0,IF(OR(Setup!$B$26="",Setup!$C$26="No"),0,IF(ISNUMBER(M152),M152,IF($T152="Weights",IF(ISNUMBER(Setup!$D$26),Setup!$D$26,0),IF($T152="Nights",IF(ISNUMBER(Setup!$E$26),Setup!$E$26,0),IF(OR($T152="Exact amounts",$T152="Custom units"),0,1))))))</f>
        <v>0</v>
      </c>
      <c r="AA152" s="29">
        <f>IF($T152="",0,IF(OR(Setup!$B$27="",Setup!$C$27="No"),0,IF(ISNUMBER(N152),N152,IF($T152="Weights",IF(ISNUMBER(Setup!$D$27),Setup!$D$27,0),IF($T152="Nights",IF(ISNUMBER(Setup!$E$27),Setup!$E$27,0),IF(OR($T152="Exact amounts",$T152="Custom units"),0,1))))))</f>
        <v>0</v>
      </c>
      <c r="AB152" s="29">
        <f>IF($T152="",0,IF(OR(Setup!$B$28="",Setup!$C$28="No"),0,IF(ISNUMBER(O152),O152,IF($T152="Weights",IF(ISNUMBER(Setup!$D$28),Setup!$D$28,0),IF($T152="Nights",IF(ISNUMBER(Setup!$E$28),Setup!$E$28,0),IF(OR($T152="Exact amounts",$T152="Custom units"),0,1))))))</f>
        <v>0</v>
      </c>
      <c r="AC152" s="29">
        <f>IF($T152="",0,IF(OR(Setup!$B$29="",Setup!$C$29="No"),0,IF(ISNUMBER(P152),P152,IF($T152="Weights",IF(ISNUMBER(Setup!$D$29),Setup!$D$29,0),IF($T152="Nights",IF(ISNUMBER(Setup!$E$29),Setup!$E$29,0),IF(OR($T152="Exact amounts",$T152="Custom units"),0,1))))))</f>
        <v>0</v>
      </c>
      <c r="AD152" s="29">
        <f>IF($T152="",0,IF(OR(Setup!$B$30="",Setup!$C$30="No"),0,IF(ISNUMBER(Q152),Q152,IF($T152="Weights",IF(ISNUMBER(Setup!$D$30),Setup!$D$30,0),IF($T152="Nights",IF(ISNUMBER(Setup!$E$30),Setup!$E$30,0),IF(OR($T152="Exact amounts",$T152="Custom units"),0,1))))))</f>
        <v>0</v>
      </c>
      <c r="AE152" s="29">
        <f t="shared" si="9"/>
        <v>0</v>
      </c>
      <c r="AF152" s="30">
        <f t="shared" si="10"/>
        <v>1</v>
      </c>
      <c r="AG152" s="29">
        <f t="shared" si="11"/>
        <v>0</v>
      </c>
    </row>
    <row r="153" spans="1:33" ht="16" x14ac:dyDescent="0.2">
      <c r="A153" s="22" t="str">
        <f t="shared" si="8"/>
        <v>—</v>
      </c>
      <c r="B153" s="31"/>
      <c r="C153" s="11"/>
      <c r="D153" s="11"/>
      <c r="E153" s="32"/>
      <c r="F153" s="11"/>
      <c r="G153" s="11"/>
      <c r="H153" s="33"/>
      <c r="I153" s="33"/>
      <c r="J153" s="33"/>
      <c r="K153" s="33"/>
      <c r="L153" s="33"/>
      <c r="M153" s="33"/>
      <c r="N153" s="33"/>
      <c r="O153" s="33"/>
      <c r="P153" s="33"/>
      <c r="Q153" s="33"/>
      <c r="R153" s="26" t="str">
        <f>IF($T153="","",IF($D153="","Who paid?",IF(SUMPRODUCT((Setup!$B$21:$B$30=$D153)*1)=0,"Payer is not in the member list on Setup",IF($E153="","Amount missing — type the number in column E",IF(NOT(ISNUMBER($E153)),"Amount must be a plain number — no currency symbol, no text",IF(AND($T153="Custom units",$AE153&lt;=0),"Custom units: nobody has units on this row — type a number for at least one person",IF($AE153&lt;=0,"Nobody shares this row — check the person columns H–Q, and the Weight / Nights columns on Setup",IF(AND($T153="Exact amounts",ABS($AE153-$AG153)&gt;0.01),"Exact amounts do not add up to the amount","OK"))))))))</f>
        <v/>
      </c>
      <c r="S153" s="27" t="str">
        <f>IFERROR(IF(OR($T153="",$C$4=""),"—",ROUND($AG153*INDEX($U153:$AD153,1,MATCH($C$4,Setup!$B$21:$B$30,0))/$AF153,2)),"—")</f>
        <v>—</v>
      </c>
      <c r="T153" s="28" t="str">
        <f>IF(AND($C153="",$D153="",NOT(ISNUMBER($E153))),"",IF($G153="",IF(Setup!$C$17="","Equal",Setup!$C$17),$G153))</f>
        <v/>
      </c>
      <c r="U153" s="29">
        <f>IF($T153="",0,IF(OR(Setup!$B$21="",Setup!$C$21="No"),0,IF(ISNUMBER(H153),H153,IF($T153="Weights",IF(ISNUMBER(Setup!$D$21),Setup!$D$21,0),IF($T153="Nights",IF(ISNUMBER(Setup!$E$21),Setup!$E$21,0),IF(OR($T153="Exact amounts",$T153="Custom units"),0,1))))))</f>
        <v>0</v>
      </c>
      <c r="V153" s="29">
        <f>IF($T153="",0,IF(OR(Setup!$B$22="",Setup!$C$22="No"),0,IF(ISNUMBER(I153),I153,IF($T153="Weights",IF(ISNUMBER(Setup!$D$22),Setup!$D$22,0),IF($T153="Nights",IF(ISNUMBER(Setup!$E$22),Setup!$E$22,0),IF(OR($T153="Exact amounts",$T153="Custom units"),0,1))))))</f>
        <v>0</v>
      </c>
      <c r="W153" s="29">
        <f>IF($T153="",0,IF(OR(Setup!$B$23="",Setup!$C$23="No"),0,IF(ISNUMBER(J153),J153,IF($T153="Weights",IF(ISNUMBER(Setup!$D$23),Setup!$D$23,0),IF($T153="Nights",IF(ISNUMBER(Setup!$E$23),Setup!$E$23,0),IF(OR($T153="Exact amounts",$T153="Custom units"),0,1))))))</f>
        <v>0</v>
      </c>
      <c r="X153" s="29">
        <f>IF($T153="",0,IF(OR(Setup!$B$24="",Setup!$C$24="No"),0,IF(ISNUMBER(K153),K153,IF($T153="Weights",IF(ISNUMBER(Setup!$D$24),Setup!$D$24,0),IF($T153="Nights",IF(ISNUMBER(Setup!$E$24),Setup!$E$24,0),IF(OR($T153="Exact amounts",$T153="Custom units"),0,1))))))</f>
        <v>0</v>
      </c>
      <c r="Y153" s="29">
        <f>IF($T153="",0,IF(OR(Setup!$B$25="",Setup!$C$25="No"),0,IF(ISNUMBER(L153),L153,IF($T153="Weights",IF(ISNUMBER(Setup!$D$25),Setup!$D$25,0),IF($T153="Nights",IF(ISNUMBER(Setup!$E$25),Setup!$E$25,0),IF(OR($T153="Exact amounts",$T153="Custom units"),0,1))))))</f>
        <v>0</v>
      </c>
      <c r="Z153" s="29">
        <f>IF($T153="",0,IF(OR(Setup!$B$26="",Setup!$C$26="No"),0,IF(ISNUMBER(M153),M153,IF($T153="Weights",IF(ISNUMBER(Setup!$D$26),Setup!$D$26,0),IF($T153="Nights",IF(ISNUMBER(Setup!$E$26),Setup!$E$26,0),IF(OR($T153="Exact amounts",$T153="Custom units"),0,1))))))</f>
        <v>0</v>
      </c>
      <c r="AA153" s="29">
        <f>IF($T153="",0,IF(OR(Setup!$B$27="",Setup!$C$27="No"),0,IF(ISNUMBER(N153),N153,IF($T153="Weights",IF(ISNUMBER(Setup!$D$27),Setup!$D$27,0),IF($T153="Nights",IF(ISNUMBER(Setup!$E$27),Setup!$E$27,0),IF(OR($T153="Exact amounts",$T153="Custom units"),0,1))))))</f>
        <v>0</v>
      </c>
      <c r="AB153" s="29">
        <f>IF($T153="",0,IF(OR(Setup!$B$28="",Setup!$C$28="No"),0,IF(ISNUMBER(O153),O153,IF($T153="Weights",IF(ISNUMBER(Setup!$D$28),Setup!$D$28,0),IF($T153="Nights",IF(ISNUMBER(Setup!$E$28),Setup!$E$28,0),IF(OR($T153="Exact amounts",$T153="Custom units"),0,1))))))</f>
        <v>0</v>
      </c>
      <c r="AC153" s="29">
        <f>IF($T153="",0,IF(OR(Setup!$B$29="",Setup!$C$29="No"),0,IF(ISNUMBER(P153),P153,IF($T153="Weights",IF(ISNUMBER(Setup!$D$29),Setup!$D$29,0),IF($T153="Nights",IF(ISNUMBER(Setup!$E$29),Setup!$E$29,0),IF(OR($T153="Exact amounts",$T153="Custom units"),0,1))))))</f>
        <v>0</v>
      </c>
      <c r="AD153" s="29">
        <f>IF($T153="",0,IF(OR(Setup!$B$30="",Setup!$C$30="No"),0,IF(ISNUMBER(Q153),Q153,IF($T153="Weights",IF(ISNUMBER(Setup!$D$30),Setup!$D$30,0),IF($T153="Nights",IF(ISNUMBER(Setup!$E$30),Setup!$E$30,0),IF(OR($T153="Exact amounts",$T153="Custom units"),0,1))))))</f>
        <v>0</v>
      </c>
      <c r="AE153" s="29">
        <f t="shared" si="9"/>
        <v>0</v>
      </c>
      <c r="AF153" s="30">
        <f t="shared" si="10"/>
        <v>1</v>
      </c>
      <c r="AG153" s="29">
        <f t="shared" si="11"/>
        <v>0</v>
      </c>
    </row>
    <row r="154" spans="1:33" ht="16" x14ac:dyDescent="0.2">
      <c r="A154" s="22" t="str">
        <f t="shared" si="8"/>
        <v>—</v>
      </c>
      <c r="B154" s="23"/>
      <c r="C154" s="16"/>
      <c r="D154" s="16"/>
      <c r="E154" s="24"/>
      <c r="F154" s="16"/>
      <c r="G154" s="16"/>
      <c r="H154" s="25"/>
      <c r="I154" s="25"/>
      <c r="J154" s="25"/>
      <c r="K154" s="25"/>
      <c r="L154" s="25"/>
      <c r="M154" s="25"/>
      <c r="N154" s="25"/>
      <c r="O154" s="25"/>
      <c r="P154" s="25"/>
      <c r="Q154" s="25"/>
      <c r="R154" s="26" t="str">
        <f>IF($T154="","",IF($D154="","Who paid?",IF(SUMPRODUCT((Setup!$B$21:$B$30=$D154)*1)=0,"Payer is not in the member list on Setup",IF($E154="","Amount missing — type the number in column E",IF(NOT(ISNUMBER($E154)),"Amount must be a plain number — no currency symbol, no text",IF(AND($T154="Custom units",$AE154&lt;=0),"Custom units: nobody has units on this row — type a number for at least one person",IF($AE154&lt;=0,"Nobody shares this row — check the person columns H–Q, and the Weight / Nights columns on Setup",IF(AND($T154="Exact amounts",ABS($AE154-$AG154)&gt;0.01),"Exact amounts do not add up to the amount","OK"))))))))</f>
        <v/>
      </c>
      <c r="S154" s="27" t="str">
        <f>IFERROR(IF(OR($T154="",$C$4=""),"—",ROUND($AG154*INDEX($U154:$AD154,1,MATCH($C$4,Setup!$B$21:$B$30,0))/$AF154,2)),"—")</f>
        <v>—</v>
      </c>
      <c r="T154" s="28" t="str">
        <f>IF(AND($C154="",$D154="",NOT(ISNUMBER($E154))),"",IF($G154="",IF(Setup!$C$17="","Equal",Setup!$C$17),$G154))</f>
        <v/>
      </c>
      <c r="U154" s="29">
        <f>IF($T154="",0,IF(OR(Setup!$B$21="",Setup!$C$21="No"),0,IF(ISNUMBER(H154),H154,IF($T154="Weights",IF(ISNUMBER(Setup!$D$21),Setup!$D$21,0),IF($T154="Nights",IF(ISNUMBER(Setup!$E$21),Setup!$E$21,0),IF(OR($T154="Exact amounts",$T154="Custom units"),0,1))))))</f>
        <v>0</v>
      </c>
      <c r="V154" s="29">
        <f>IF($T154="",0,IF(OR(Setup!$B$22="",Setup!$C$22="No"),0,IF(ISNUMBER(I154),I154,IF($T154="Weights",IF(ISNUMBER(Setup!$D$22),Setup!$D$22,0),IF($T154="Nights",IF(ISNUMBER(Setup!$E$22),Setup!$E$22,0),IF(OR($T154="Exact amounts",$T154="Custom units"),0,1))))))</f>
        <v>0</v>
      </c>
      <c r="W154" s="29">
        <f>IF($T154="",0,IF(OR(Setup!$B$23="",Setup!$C$23="No"),0,IF(ISNUMBER(J154),J154,IF($T154="Weights",IF(ISNUMBER(Setup!$D$23),Setup!$D$23,0),IF($T154="Nights",IF(ISNUMBER(Setup!$E$23),Setup!$E$23,0),IF(OR($T154="Exact amounts",$T154="Custom units"),0,1))))))</f>
        <v>0</v>
      </c>
      <c r="X154" s="29">
        <f>IF($T154="",0,IF(OR(Setup!$B$24="",Setup!$C$24="No"),0,IF(ISNUMBER(K154),K154,IF($T154="Weights",IF(ISNUMBER(Setup!$D$24),Setup!$D$24,0),IF($T154="Nights",IF(ISNUMBER(Setup!$E$24),Setup!$E$24,0),IF(OR($T154="Exact amounts",$T154="Custom units"),0,1))))))</f>
        <v>0</v>
      </c>
      <c r="Y154" s="29">
        <f>IF($T154="",0,IF(OR(Setup!$B$25="",Setup!$C$25="No"),0,IF(ISNUMBER(L154),L154,IF($T154="Weights",IF(ISNUMBER(Setup!$D$25),Setup!$D$25,0),IF($T154="Nights",IF(ISNUMBER(Setup!$E$25),Setup!$E$25,0),IF(OR($T154="Exact amounts",$T154="Custom units"),0,1))))))</f>
        <v>0</v>
      </c>
      <c r="Z154" s="29">
        <f>IF($T154="",0,IF(OR(Setup!$B$26="",Setup!$C$26="No"),0,IF(ISNUMBER(M154),M154,IF($T154="Weights",IF(ISNUMBER(Setup!$D$26),Setup!$D$26,0),IF($T154="Nights",IF(ISNUMBER(Setup!$E$26),Setup!$E$26,0),IF(OR($T154="Exact amounts",$T154="Custom units"),0,1))))))</f>
        <v>0</v>
      </c>
      <c r="AA154" s="29">
        <f>IF($T154="",0,IF(OR(Setup!$B$27="",Setup!$C$27="No"),0,IF(ISNUMBER(N154),N154,IF($T154="Weights",IF(ISNUMBER(Setup!$D$27),Setup!$D$27,0),IF($T154="Nights",IF(ISNUMBER(Setup!$E$27),Setup!$E$27,0),IF(OR($T154="Exact amounts",$T154="Custom units"),0,1))))))</f>
        <v>0</v>
      </c>
      <c r="AB154" s="29">
        <f>IF($T154="",0,IF(OR(Setup!$B$28="",Setup!$C$28="No"),0,IF(ISNUMBER(O154),O154,IF($T154="Weights",IF(ISNUMBER(Setup!$D$28),Setup!$D$28,0),IF($T154="Nights",IF(ISNUMBER(Setup!$E$28),Setup!$E$28,0),IF(OR($T154="Exact amounts",$T154="Custom units"),0,1))))))</f>
        <v>0</v>
      </c>
      <c r="AC154" s="29">
        <f>IF($T154="",0,IF(OR(Setup!$B$29="",Setup!$C$29="No"),0,IF(ISNUMBER(P154),P154,IF($T154="Weights",IF(ISNUMBER(Setup!$D$29),Setup!$D$29,0),IF($T154="Nights",IF(ISNUMBER(Setup!$E$29),Setup!$E$29,0),IF(OR($T154="Exact amounts",$T154="Custom units"),0,1))))))</f>
        <v>0</v>
      </c>
      <c r="AD154" s="29">
        <f>IF($T154="",0,IF(OR(Setup!$B$30="",Setup!$C$30="No"),0,IF(ISNUMBER(Q154),Q154,IF($T154="Weights",IF(ISNUMBER(Setup!$D$30),Setup!$D$30,0),IF($T154="Nights",IF(ISNUMBER(Setup!$E$30),Setup!$E$30,0),IF(OR($T154="Exact amounts",$T154="Custom units"),0,1))))))</f>
        <v>0</v>
      </c>
      <c r="AE154" s="29">
        <f t="shared" si="9"/>
        <v>0</v>
      </c>
      <c r="AF154" s="30">
        <f t="shared" si="10"/>
        <v>1</v>
      </c>
      <c r="AG154" s="29">
        <f t="shared" si="11"/>
        <v>0</v>
      </c>
    </row>
    <row r="155" spans="1:33" ht="16" x14ac:dyDescent="0.2">
      <c r="A155" s="22" t="str">
        <f t="shared" si="8"/>
        <v>—</v>
      </c>
      <c r="B155" s="31"/>
      <c r="C155" s="11"/>
      <c r="D155" s="11"/>
      <c r="E155" s="32"/>
      <c r="F155" s="11"/>
      <c r="G155" s="11"/>
      <c r="H155" s="33"/>
      <c r="I155" s="33"/>
      <c r="J155" s="33"/>
      <c r="K155" s="33"/>
      <c r="L155" s="33"/>
      <c r="M155" s="33"/>
      <c r="N155" s="33"/>
      <c r="O155" s="33"/>
      <c r="P155" s="33"/>
      <c r="Q155" s="33"/>
      <c r="R155" s="26" t="str">
        <f>IF($T155="","",IF($D155="","Who paid?",IF(SUMPRODUCT((Setup!$B$21:$B$30=$D155)*1)=0,"Payer is not in the member list on Setup",IF($E155="","Amount missing — type the number in column E",IF(NOT(ISNUMBER($E155)),"Amount must be a plain number — no currency symbol, no text",IF(AND($T155="Custom units",$AE155&lt;=0),"Custom units: nobody has units on this row — type a number for at least one person",IF($AE155&lt;=0,"Nobody shares this row — check the person columns H–Q, and the Weight / Nights columns on Setup",IF(AND($T155="Exact amounts",ABS($AE155-$AG155)&gt;0.01),"Exact amounts do not add up to the amount","OK"))))))))</f>
        <v/>
      </c>
      <c r="S155" s="27" t="str">
        <f>IFERROR(IF(OR($T155="",$C$4=""),"—",ROUND($AG155*INDEX($U155:$AD155,1,MATCH($C$4,Setup!$B$21:$B$30,0))/$AF155,2)),"—")</f>
        <v>—</v>
      </c>
      <c r="T155" s="28" t="str">
        <f>IF(AND($C155="",$D155="",NOT(ISNUMBER($E155))),"",IF($G155="",IF(Setup!$C$17="","Equal",Setup!$C$17),$G155))</f>
        <v/>
      </c>
      <c r="U155" s="29">
        <f>IF($T155="",0,IF(OR(Setup!$B$21="",Setup!$C$21="No"),0,IF(ISNUMBER(H155),H155,IF($T155="Weights",IF(ISNUMBER(Setup!$D$21),Setup!$D$21,0),IF($T155="Nights",IF(ISNUMBER(Setup!$E$21),Setup!$E$21,0),IF(OR($T155="Exact amounts",$T155="Custom units"),0,1))))))</f>
        <v>0</v>
      </c>
      <c r="V155" s="29">
        <f>IF($T155="",0,IF(OR(Setup!$B$22="",Setup!$C$22="No"),0,IF(ISNUMBER(I155),I155,IF($T155="Weights",IF(ISNUMBER(Setup!$D$22),Setup!$D$22,0),IF($T155="Nights",IF(ISNUMBER(Setup!$E$22),Setup!$E$22,0),IF(OR($T155="Exact amounts",$T155="Custom units"),0,1))))))</f>
        <v>0</v>
      </c>
      <c r="W155" s="29">
        <f>IF($T155="",0,IF(OR(Setup!$B$23="",Setup!$C$23="No"),0,IF(ISNUMBER(J155),J155,IF($T155="Weights",IF(ISNUMBER(Setup!$D$23),Setup!$D$23,0),IF($T155="Nights",IF(ISNUMBER(Setup!$E$23),Setup!$E$23,0),IF(OR($T155="Exact amounts",$T155="Custom units"),0,1))))))</f>
        <v>0</v>
      </c>
      <c r="X155" s="29">
        <f>IF($T155="",0,IF(OR(Setup!$B$24="",Setup!$C$24="No"),0,IF(ISNUMBER(K155),K155,IF($T155="Weights",IF(ISNUMBER(Setup!$D$24),Setup!$D$24,0),IF($T155="Nights",IF(ISNUMBER(Setup!$E$24),Setup!$E$24,0),IF(OR($T155="Exact amounts",$T155="Custom units"),0,1))))))</f>
        <v>0</v>
      </c>
      <c r="Y155" s="29">
        <f>IF($T155="",0,IF(OR(Setup!$B$25="",Setup!$C$25="No"),0,IF(ISNUMBER(L155),L155,IF($T155="Weights",IF(ISNUMBER(Setup!$D$25),Setup!$D$25,0),IF($T155="Nights",IF(ISNUMBER(Setup!$E$25),Setup!$E$25,0),IF(OR($T155="Exact amounts",$T155="Custom units"),0,1))))))</f>
        <v>0</v>
      </c>
      <c r="Z155" s="29">
        <f>IF($T155="",0,IF(OR(Setup!$B$26="",Setup!$C$26="No"),0,IF(ISNUMBER(M155),M155,IF($T155="Weights",IF(ISNUMBER(Setup!$D$26),Setup!$D$26,0),IF($T155="Nights",IF(ISNUMBER(Setup!$E$26),Setup!$E$26,0),IF(OR($T155="Exact amounts",$T155="Custom units"),0,1))))))</f>
        <v>0</v>
      </c>
      <c r="AA155" s="29">
        <f>IF($T155="",0,IF(OR(Setup!$B$27="",Setup!$C$27="No"),0,IF(ISNUMBER(N155),N155,IF($T155="Weights",IF(ISNUMBER(Setup!$D$27),Setup!$D$27,0),IF($T155="Nights",IF(ISNUMBER(Setup!$E$27),Setup!$E$27,0),IF(OR($T155="Exact amounts",$T155="Custom units"),0,1))))))</f>
        <v>0</v>
      </c>
      <c r="AB155" s="29">
        <f>IF($T155="",0,IF(OR(Setup!$B$28="",Setup!$C$28="No"),0,IF(ISNUMBER(O155),O155,IF($T155="Weights",IF(ISNUMBER(Setup!$D$28),Setup!$D$28,0),IF($T155="Nights",IF(ISNUMBER(Setup!$E$28),Setup!$E$28,0),IF(OR($T155="Exact amounts",$T155="Custom units"),0,1))))))</f>
        <v>0</v>
      </c>
      <c r="AC155" s="29">
        <f>IF($T155="",0,IF(OR(Setup!$B$29="",Setup!$C$29="No"),0,IF(ISNUMBER(P155),P155,IF($T155="Weights",IF(ISNUMBER(Setup!$D$29),Setup!$D$29,0),IF($T155="Nights",IF(ISNUMBER(Setup!$E$29),Setup!$E$29,0),IF(OR($T155="Exact amounts",$T155="Custom units"),0,1))))))</f>
        <v>0</v>
      </c>
      <c r="AD155" s="29">
        <f>IF($T155="",0,IF(OR(Setup!$B$30="",Setup!$C$30="No"),0,IF(ISNUMBER(Q155),Q155,IF($T155="Weights",IF(ISNUMBER(Setup!$D$30),Setup!$D$30,0),IF($T155="Nights",IF(ISNUMBER(Setup!$E$30),Setup!$E$30,0),IF(OR($T155="Exact amounts",$T155="Custom units"),0,1))))))</f>
        <v>0</v>
      </c>
      <c r="AE155" s="29">
        <f t="shared" si="9"/>
        <v>0</v>
      </c>
      <c r="AF155" s="30">
        <f t="shared" si="10"/>
        <v>1</v>
      </c>
      <c r="AG155" s="29">
        <f t="shared" si="11"/>
        <v>0</v>
      </c>
    </row>
    <row r="156" spans="1:33" ht="16" x14ac:dyDescent="0.2">
      <c r="A156" s="22" t="str">
        <f t="shared" si="8"/>
        <v>—</v>
      </c>
      <c r="B156" s="23"/>
      <c r="C156" s="16"/>
      <c r="D156" s="16"/>
      <c r="E156" s="24"/>
      <c r="F156" s="16"/>
      <c r="G156" s="16"/>
      <c r="H156" s="25"/>
      <c r="I156" s="25"/>
      <c r="J156" s="25"/>
      <c r="K156" s="25"/>
      <c r="L156" s="25"/>
      <c r="M156" s="25"/>
      <c r="N156" s="25"/>
      <c r="O156" s="25"/>
      <c r="P156" s="25"/>
      <c r="Q156" s="25"/>
      <c r="R156" s="26" t="str">
        <f>IF($T156="","",IF($D156="","Who paid?",IF(SUMPRODUCT((Setup!$B$21:$B$30=$D156)*1)=0,"Payer is not in the member list on Setup",IF($E156="","Amount missing — type the number in column E",IF(NOT(ISNUMBER($E156)),"Amount must be a plain number — no currency symbol, no text",IF(AND($T156="Custom units",$AE156&lt;=0),"Custom units: nobody has units on this row — type a number for at least one person",IF($AE156&lt;=0,"Nobody shares this row — check the person columns H–Q, and the Weight / Nights columns on Setup",IF(AND($T156="Exact amounts",ABS($AE156-$AG156)&gt;0.01),"Exact amounts do not add up to the amount","OK"))))))))</f>
        <v/>
      </c>
      <c r="S156" s="27" t="str">
        <f>IFERROR(IF(OR($T156="",$C$4=""),"—",ROUND($AG156*INDEX($U156:$AD156,1,MATCH($C$4,Setup!$B$21:$B$30,0))/$AF156,2)),"—")</f>
        <v>—</v>
      </c>
      <c r="T156" s="28" t="str">
        <f>IF(AND($C156="",$D156="",NOT(ISNUMBER($E156))),"",IF($G156="",IF(Setup!$C$17="","Equal",Setup!$C$17),$G156))</f>
        <v/>
      </c>
      <c r="U156" s="29">
        <f>IF($T156="",0,IF(OR(Setup!$B$21="",Setup!$C$21="No"),0,IF(ISNUMBER(H156),H156,IF($T156="Weights",IF(ISNUMBER(Setup!$D$21),Setup!$D$21,0),IF($T156="Nights",IF(ISNUMBER(Setup!$E$21),Setup!$E$21,0),IF(OR($T156="Exact amounts",$T156="Custom units"),0,1))))))</f>
        <v>0</v>
      </c>
      <c r="V156" s="29">
        <f>IF($T156="",0,IF(OR(Setup!$B$22="",Setup!$C$22="No"),0,IF(ISNUMBER(I156),I156,IF($T156="Weights",IF(ISNUMBER(Setup!$D$22),Setup!$D$22,0),IF($T156="Nights",IF(ISNUMBER(Setup!$E$22),Setup!$E$22,0),IF(OR($T156="Exact amounts",$T156="Custom units"),0,1))))))</f>
        <v>0</v>
      </c>
      <c r="W156" s="29">
        <f>IF($T156="",0,IF(OR(Setup!$B$23="",Setup!$C$23="No"),0,IF(ISNUMBER(J156),J156,IF($T156="Weights",IF(ISNUMBER(Setup!$D$23),Setup!$D$23,0),IF($T156="Nights",IF(ISNUMBER(Setup!$E$23),Setup!$E$23,0),IF(OR($T156="Exact amounts",$T156="Custom units"),0,1))))))</f>
        <v>0</v>
      </c>
      <c r="X156" s="29">
        <f>IF($T156="",0,IF(OR(Setup!$B$24="",Setup!$C$24="No"),0,IF(ISNUMBER(K156),K156,IF($T156="Weights",IF(ISNUMBER(Setup!$D$24),Setup!$D$24,0),IF($T156="Nights",IF(ISNUMBER(Setup!$E$24),Setup!$E$24,0),IF(OR($T156="Exact amounts",$T156="Custom units"),0,1))))))</f>
        <v>0</v>
      </c>
      <c r="Y156" s="29">
        <f>IF($T156="",0,IF(OR(Setup!$B$25="",Setup!$C$25="No"),0,IF(ISNUMBER(L156),L156,IF($T156="Weights",IF(ISNUMBER(Setup!$D$25),Setup!$D$25,0),IF($T156="Nights",IF(ISNUMBER(Setup!$E$25),Setup!$E$25,0),IF(OR($T156="Exact amounts",$T156="Custom units"),0,1))))))</f>
        <v>0</v>
      </c>
      <c r="Z156" s="29">
        <f>IF($T156="",0,IF(OR(Setup!$B$26="",Setup!$C$26="No"),0,IF(ISNUMBER(M156),M156,IF($T156="Weights",IF(ISNUMBER(Setup!$D$26),Setup!$D$26,0),IF($T156="Nights",IF(ISNUMBER(Setup!$E$26),Setup!$E$26,0),IF(OR($T156="Exact amounts",$T156="Custom units"),0,1))))))</f>
        <v>0</v>
      </c>
      <c r="AA156" s="29">
        <f>IF($T156="",0,IF(OR(Setup!$B$27="",Setup!$C$27="No"),0,IF(ISNUMBER(N156),N156,IF($T156="Weights",IF(ISNUMBER(Setup!$D$27),Setup!$D$27,0),IF($T156="Nights",IF(ISNUMBER(Setup!$E$27),Setup!$E$27,0),IF(OR($T156="Exact amounts",$T156="Custom units"),0,1))))))</f>
        <v>0</v>
      </c>
      <c r="AB156" s="29">
        <f>IF($T156="",0,IF(OR(Setup!$B$28="",Setup!$C$28="No"),0,IF(ISNUMBER(O156),O156,IF($T156="Weights",IF(ISNUMBER(Setup!$D$28),Setup!$D$28,0),IF($T156="Nights",IF(ISNUMBER(Setup!$E$28),Setup!$E$28,0),IF(OR($T156="Exact amounts",$T156="Custom units"),0,1))))))</f>
        <v>0</v>
      </c>
      <c r="AC156" s="29">
        <f>IF($T156="",0,IF(OR(Setup!$B$29="",Setup!$C$29="No"),0,IF(ISNUMBER(P156),P156,IF($T156="Weights",IF(ISNUMBER(Setup!$D$29),Setup!$D$29,0),IF($T156="Nights",IF(ISNUMBER(Setup!$E$29),Setup!$E$29,0),IF(OR($T156="Exact amounts",$T156="Custom units"),0,1))))))</f>
        <v>0</v>
      </c>
      <c r="AD156" s="29">
        <f>IF($T156="",0,IF(OR(Setup!$B$30="",Setup!$C$30="No"),0,IF(ISNUMBER(Q156),Q156,IF($T156="Weights",IF(ISNUMBER(Setup!$D$30),Setup!$D$30,0),IF($T156="Nights",IF(ISNUMBER(Setup!$E$30),Setup!$E$30,0),IF(OR($T156="Exact amounts",$T156="Custom units"),0,1))))))</f>
        <v>0</v>
      </c>
      <c r="AE156" s="29">
        <f t="shared" si="9"/>
        <v>0</v>
      </c>
      <c r="AF156" s="30">
        <f t="shared" si="10"/>
        <v>1</v>
      </c>
      <c r="AG156" s="29">
        <f t="shared" si="11"/>
        <v>0</v>
      </c>
    </row>
    <row r="157" spans="1:33" ht="16" x14ac:dyDescent="0.2">
      <c r="A157" s="22" t="str">
        <f t="shared" si="8"/>
        <v>—</v>
      </c>
      <c r="B157" s="31"/>
      <c r="C157" s="11"/>
      <c r="D157" s="11"/>
      <c r="E157" s="32"/>
      <c r="F157" s="11"/>
      <c r="G157" s="11"/>
      <c r="H157" s="33"/>
      <c r="I157" s="33"/>
      <c r="J157" s="33"/>
      <c r="K157" s="33"/>
      <c r="L157" s="33"/>
      <c r="M157" s="33"/>
      <c r="N157" s="33"/>
      <c r="O157" s="33"/>
      <c r="P157" s="33"/>
      <c r="Q157" s="33"/>
      <c r="R157" s="26" t="str">
        <f>IF($T157="","",IF($D157="","Who paid?",IF(SUMPRODUCT((Setup!$B$21:$B$30=$D157)*1)=0,"Payer is not in the member list on Setup",IF($E157="","Amount missing — type the number in column E",IF(NOT(ISNUMBER($E157)),"Amount must be a plain number — no currency symbol, no text",IF(AND($T157="Custom units",$AE157&lt;=0),"Custom units: nobody has units on this row — type a number for at least one person",IF($AE157&lt;=0,"Nobody shares this row — check the person columns H–Q, and the Weight / Nights columns on Setup",IF(AND($T157="Exact amounts",ABS($AE157-$AG157)&gt;0.01),"Exact amounts do not add up to the amount","OK"))))))))</f>
        <v/>
      </c>
      <c r="S157" s="27" t="str">
        <f>IFERROR(IF(OR($T157="",$C$4=""),"—",ROUND($AG157*INDEX($U157:$AD157,1,MATCH($C$4,Setup!$B$21:$B$30,0))/$AF157,2)),"—")</f>
        <v>—</v>
      </c>
      <c r="T157" s="28" t="str">
        <f>IF(AND($C157="",$D157="",NOT(ISNUMBER($E157))),"",IF($G157="",IF(Setup!$C$17="","Equal",Setup!$C$17),$G157))</f>
        <v/>
      </c>
      <c r="U157" s="29">
        <f>IF($T157="",0,IF(OR(Setup!$B$21="",Setup!$C$21="No"),0,IF(ISNUMBER(H157),H157,IF($T157="Weights",IF(ISNUMBER(Setup!$D$21),Setup!$D$21,0),IF($T157="Nights",IF(ISNUMBER(Setup!$E$21),Setup!$E$21,0),IF(OR($T157="Exact amounts",$T157="Custom units"),0,1))))))</f>
        <v>0</v>
      </c>
      <c r="V157" s="29">
        <f>IF($T157="",0,IF(OR(Setup!$B$22="",Setup!$C$22="No"),0,IF(ISNUMBER(I157),I157,IF($T157="Weights",IF(ISNUMBER(Setup!$D$22),Setup!$D$22,0),IF($T157="Nights",IF(ISNUMBER(Setup!$E$22),Setup!$E$22,0),IF(OR($T157="Exact amounts",$T157="Custom units"),0,1))))))</f>
        <v>0</v>
      </c>
      <c r="W157" s="29">
        <f>IF($T157="",0,IF(OR(Setup!$B$23="",Setup!$C$23="No"),0,IF(ISNUMBER(J157),J157,IF($T157="Weights",IF(ISNUMBER(Setup!$D$23),Setup!$D$23,0),IF($T157="Nights",IF(ISNUMBER(Setup!$E$23),Setup!$E$23,0),IF(OR($T157="Exact amounts",$T157="Custom units"),0,1))))))</f>
        <v>0</v>
      </c>
      <c r="X157" s="29">
        <f>IF($T157="",0,IF(OR(Setup!$B$24="",Setup!$C$24="No"),0,IF(ISNUMBER(K157),K157,IF($T157="Weights",IF(ISNUMBER(Setup!$D$24),Setup!$D$24,0),IF($T157="Nights",IF(ISNUMBER(Setup!$E$24),Setup!$E$24,0),IF(OR($T157="Exact amounts",$T157="Custom units"),0,1))))))</f>
        <v>0</v>
      </c>
      <c r="Y157" s="29">
        <f>IF($T157="",0,IF(OR(Setup!$B$25="",Setup!$C$25="No"),0,IF(ISNUMBER(L157),L157,IF($T157="Weights",IF(ISNUMBER(Setup!$D$25),Setup!$D$25,0),IF($T157="Nights",IF(ISNUMBER(Setup!$E$25),Setup!$E$25,0),IF(OR($T157="Exact amounts",$T157="Custom units"),0,1))))))</f>
        <v>0</v>
      </c>
      <c r="Z157" s="29">
        <f>IF($T157="",0,IF(OR(Setup!$B$26="",Setup!$C$26="No"),0,IF(ISNUMBER(M157),M157,IF($T157="Weights",IF(ISNUMBER(Setup!$D$26),Setup!$D$26,0),IF($T157="Nights",IF(ISNUMBER(Setup!$E$26),Setup!$E$26,0),IF(OR($T157="Exact amounts",$T157="Custom units"),0,1))))))</f>
        <v>0</v>
      </c>
      <c r="AA157" s="29">
        <f>IF($T157="",0,IF(OR(Setup!$B$27="",Setup!$C$27="No"),0,IF(ISNUMBER(N157),N157,IF($T157="Weights",IF(ISNUMBER(Setup!$D$27),Setup!$D$27,0),IF($T157="Nights",IF(ISNUMBER(Setup!$E$27),Setup!$E$27,0),IF(OR($T157="Exact amounts",$T157="Custom units"),0,1))))))</f>
        <v>0</v>
      </c>
      <c r="AB157" s="29">
        <f>IF($T157="",0,IF(OR(Setup!$B$28="",Setup!$C$28="No"),0,IF(ISNUMBER(O157),O157,IF($T157="Weights",IF(ISNUMBER(Setup!$D$28),Setup!$D$28,0),IF($T157="Nights",IF(ISNUMBER(Setup!$E$28),Setup!$E$28,0),IF(OR($T157="Exact amounts",$T157="Custom units"),0,1))))))</f>
        <v>0</v>
      </c>
      <c r="AC157" s="29">
        <f>IF($T157="",0,IF(OR(Setup!$B$29="",Setup!$C$29="No"),0,IF(ISNUMBER(P157),P157,IF($T157="Weights",IF(ISNUMBER(Setup!$D$29),Setup!$D$29,0),IF($T157="Nights",IF(ISNUMBER(Setup!$E$29),Setup!$E$29,0),IF(OR($T157="Exact amounts",$T157="Custom units"),0,1))))))</f>
        <v>0</v>
      </c>
      <c r="AD157" s="29">
        <f>IF($T157="",0,IF(OR(Setup!$B$30="",Setup!$C$30="No"),0,IF(ISNUMBER(Q157),Q157,IF($T157="Weights",IF(ISNUMBER(Setup!$D$30),Setup!$D$30,0),IF($T157="Nights",IF(ISNUMBER(Setup!$E$30),Setup!$E$30,0),IF(OR($T157="Exact amounts",$T157="Custom units"),0,1))))))</f>
        <v>0</v>
      </c>
      <c r="AE157" s="29">
        <f t="shared" si="9"/>
        <v>0</v>
      </c>
      <c r="AF157" s="30">
        <f t="shared" si="10"/>
        <v>1</v>
      </c>
      <c r="AG157" s="29">
        <f t="shared" si="11"/>
        <v>0</v>
      </c>
    </row>
    <row r="158" spans="1:33" ht="16" x14ac:dyDescent="0.2">
      <c r="A158" s="22" t="str">
        <f t="shared" si="8"/>
        <v>—</v>
      </c>
      <c r="B158" s="23"/>
      <c r="C158" s="16"/>
      <c r="D158" s="16"/>
      <c r="E158" s="24"/>
      <c r="F158" s="16"/>
      <c r="G158" s="16"/>
      <c r="H158" s="25"/>
      <c r="I158" s="25"/>
      <c r="J158" s="25"/>
      <c r="K158" s="25"/>
      <c r="L158" s="25"/>
      <c r="M158" s="25"/>
      <c r="N158" s="25"/>
      <c r="O158" s="25"/>
      <c r="P158" s="25"/>
      <c r="Q158" s="25"/>
      <c r="R158" s="26" t="str">
        <f>IF($T158="","",IF($D158="","Who paid?",IF(SUMPRODUCT((Setup!$B$21:$B$30=$D158)*1)=0,"Payer is not in the member list on Setup",IF($E158="","Amount missing — type the number in column E",IF(NOT(ISNUMBER($E158)),"Amount must be a plain number — no currency symbol, no text",IF(AND($T158="Custom units",$AE158&lt;=0),"Custom units: nobody has units on this row — type a number for at least one person",IF($AE158&lt;=0,"Nobody shares this row — check the person columns H–Q, and the Weight / Nights columns on Setup",IF(AND($T158="Exact amounts",ABS($AE158-$AG158)&gt;0.01),"Exact amounts do not add up to the amount","OK"))))))))</f>
        <v/>
      </c>
      <c r="S158" s="27" t="str">
        <f>IFERROR(IF(OR($T158="",$C$4=""),"—",ROUND($AG158*INDEX($U158:$AD158,1,MATCH($C$4,Setup!$B$21:$B$30,0))/$AF158,2)),"—")</f>
        <v>—</v>
      </c>
      <c r="T158" s="28" t="str">
        <f>IF(AND($C158="",$D158="",NOT(ISNUMBER($E158))),"",IF($G158="",IF(Setup!$C$17="","Equal",Setup!$C$17),$G158))</f>
        <v/>
      </c>
      <c r="U158" s="29">
        <f>IF($T158="",0,IF(OR(Setup!$B$21="",Setup!$C$21="No"),0,IF(ISNUMBER(H158),H158,IF($T158="Weights",IF(ISNUMBER(Setup!$D$21),Setup!$D$21,0),IF($T158="Nights",IF(ISNUMBER(Setup!$E$21),Setup!$E$21,0),IF(OR($T158="Exact amounts",$T158="Custom units"),0,1))))))</f>
        <v>0</v>
      </c>
      <c r="V158" s="29">
        <f>IF($T158="",0,IF(OR(Setup!$B$22="",Setup!$C$22="No"),0,IF(ISNUMBER(I158),I158,IF($T158="Weights",IF(ISNUMBER(Setup!$D$22),Setup!$D$22,0),IF($T158="Nights",IF(ISNUMBER(Setup!$E$22),Setup!$E$22,0),IF(OR($T158="Exact amounts",$T158="Custom units"),0,1))))))</f>
        <v>0</v>
      </c>
      <c r="W158" s="29">
        <f>IF($T158="",0,IF(OR(Setup!$B$23="",Setup!$C$23="No"),0,IF(ISNUMBER(J158),J158,IF($T158="Weights",IF(ISNUMBER(Setup!$D$23),Setup!$D$23,0),IF($T158="Nights",IF(ISNUMBER(Setup!$E$23),Setup!$E$23,0),IF(OR($T158="Exact amounts",$T158="Custom units"),0,1))))))</f>
        <v>0</v>
      </c>
      <c r="X158" s="29">
        <f>IF($T158="",0,IF(OR(Setup!$B$24="",Setup!$C$24="No"),0,IF(ISNUMBER(K158),K158,IF($T158="Weights",IF(ISNUMBER(Setup!$D$24),Setup!$D$24,0),IF($T158="Nights",IF(ISNUMBER(Setup!$E$24),Setup!$E$24,0),IF(OR($T158="Exact amounts",$T158="Custom units"),0,1))))))</f>
        <v>0</v>
      </c>
      <c r="Y158" s="29">
        <f>IF($T158="",0,IF(OR(Setup!$B$25="",Setup!$C$25="No"),0,IF(ISNUMBER(L158),L158,IF($T158="Weights",IF(ISNUMBER(Setup!$D$25),Setup!$D$25,0),IF($T158="Nights",IF(ISNUMBER(Setup!$E$25),Setup!$E$25,0),IF(OR($T158="Exact amounts",$T158="Custom units"),0,1))))))</f>
        <v>0</v>
      </c>
      <c r="Z158" s="29">
        <f>IF($T158="",0,IF(OR(Setup!$B$26="",Setup!$C$26="No"),0,IF(ISNUMBER(M158),M158,IF($T158="Weights",IF(ISNUMBER(Setup!$D$26),Setup!$D$26,0),IF($T158="Nights",IF(ISNUMBER(Setup!$E$26),Setup!$E$26,0),IF(OR($T158="Exact amounts",$T158="Custom units"),0,1))))))</f>
        <v>0</v>
      </c>
      <c r="AA158" s="29">
        <f>IF($T158="",0,IF(OR(Setup!$B$27="",Setup!$C$27="No"),0,IF(ISNUMBER(N158),N158,IF($T158="Weights",IF(ISNUMBER(Setup!$D$27),Setup!$D$27,0),IF($T158="Nights",IF(ISNUMBER(Setup!$E$27),Setup!$E$27,0),IF(OR($T158="Exact amounts",$T158="Custom units"),0,1))))))</f>
        <v>0</v>
      </c>
      <c r="AB158" s="29">
        <f>IF($T158="",0,IF(OR(Setup!$B$28="",Setup!$C$28="No"),0,IF(ISNUMBER(O158),O158,IF($T158="Weights",IF(ISNUMBER(Setup!$D$28),Setup!$D$28,0),IF($T158="Nights",IF(ISNUMBER(Setup!$E$28),Setup!$E$28,0),IF(OR($T158="Exact amounts",$T158="Custom units"),0,1))))))</f>
        <v>0</v>
      </c>
      <c r="AC158" s="29">
        <f>IF($T158="",0,IF(OR(Setup!$B$29="",Setup!$C$29="No"),0,IF(ISNUMBER(P158),P158,IF($T158="Weights",IF(ISNUMBER(Setup!$D$29),Setup!$D$29,0),IF($T158="Nights",IF(ISNUMBER(Setup!$E$29),Setup!$E$29,0),IF(OR($T158="Exact amounts",$T158="Custom units"),0,1))))))</f>
        <v>0</v>
      </c>
      <c r="AD158" s="29">
        <f>IF($T158="",0,IF(OR(Setup!$B$30="",Setup!$C$30="No"),0,IF(ISNUMBER(Q158),Q158,IF($T158="Weights",IF(ISNUMBER(Setup!$D$30),Setup!$D$30,0),IF($T158="Nights",IF(ISNUMBER(Setup!$E$30),Setup!$E$30,0),IF(OR($T158="Exact amounts",$T158="Custom units"),0,1))))))</f>
        <v>0</v>
      </c>
      <c r="AE158" s="29">
        <f t="shared" si="9"/>
        <v>0</v>
      </c>
      <c r="AF158" s="30">
        <f t="shared" si="10"/>
        <v>1</v>
      </c>
      <c r="AG158" s="29">
        <f t="shared" si="11"/>
        <v>0</v>
      </c>
    </row>
    <row r="159" spans="1:33" ht="16" x14ac:dyDescent="0.2">
      <c r="A159" s="22" t="str">
        <f t="shared" si="8"/>
        <v>—</v>
      </c>
      <c r="B159" s="31"/>
      <c r="C159" s="11"/>
      <c r="D159" s="11"/>
      <c r="E159" s="32"/>
      <c r="F159" s="11"/>
      <c r="G159" s="11"/>
      <c r="H159" s="33"/>
      <c r="I159" s="33"/>
      <c r="J159" s="33"/>
      <c r="K159" s="33"/>
      <c r="L159" s="33"/>
      <c r="M159" s="33"/>
      <c r="N159" s="33"/>
      <c r="O159" s="33"/>
      <c r="P159" s="33"/>
      <c r="Q159" s="33"/>
      <c r="R159" s="26" t="str">
        <f>IF($T159="","",IF($D159="","Who paid?",IF(SUMPRODUCT((Setup!$B$21:$B$30=$D159)*1)=0,"Payer is not in the member list on Setup",IF($E159="","Amount missing — type the number in column E",IF(NOT(ISNUMBER($E159)),"Amount must be a plain number — no currency symbol, no text",IF(AND($T159="Custom units",$AE159&lt;=0),"Custom units: nobody has units on this row — type a number for at least one person",IF($AE159&lt;=0,"Nobody shares this row — check the person columns H–Q, and the Weight / Nights columns on Setup",IF(AND($T159="Exact amounts",ABS($AE159-$AG159)&gt;0.01),"Exact amounts do not add up to the amount","OK"))))))))</f>
        <v/>
      </c>
      <c r="S159" s="27" t="str">
        <f>IFERROR(IF(OR($T159="",$C$4=""),"—",ROUND($AG159*INDEX($U159:$AD159,1,MATCH($C$4,Setup!$B$21:$B$30,0))/$AF159,2)),"—")</f>
        <v>—</v>
      </c>
      <c r="T159" s="28" t="str">
        <f>IF(AND($C159="",$D159="",NOT(ISNUMBER($E159))),"",IF($G159="",IF(Setup!$C$17="","Equal",Setup!$C$17),$G159))</f>
        <v/>
      </c>
      <c r="U159" s="29">
        <f>IF($T159="",0,IF(OR(Setup!$B$21="",Setup!$C$21="No"),0,IF(ISNUMBER(H159),H159,IF($T159="Weights",IF(ISNUMBER(Setup!$D$21),Setup!$D$21,0),IF($T159="Nights",IF(ISNUMBER(Setup!$E$21),Setup!$E$21,0),IF(OR($T159="Exact amounts",$T159="Custom units"),0,1))))))</f>
        <v>0</v>
      </c>
      <c r="V159" s="29">
        <f>IF($T159="",0,IF(OR(Setup!$B$22="",Setup!$C$22="No"),0,IF(ISNUMBER(I159),I159,IF($T159="Weights",IF(ISNUMBER(Setup!$D$22),Setup!$D$22,0),IF($T159="Nights",IF(ISNUMBER(Setup!$E$22),Setup!$E$22,0),IF(OR($T159="Exact amounts",$T159="Custom units"),0,1))))))</f>
        <v>0</v>
      </c>
      <c r="W159" s="29">
        <f>IF($T159="",0,IF(OR(Setup!$B$23="",Setup!$C$23="No"),0,IF(ISNUMBER(J159),J159,IF($T159="Weights",IF(ISNUMBER(Setup!$D$23),Setup!$D$23,0),IF($T159="Nights",IF(ISNUMBER(Setup!$E$23),Setup!$E$23,0),IF(OR($T159="Exact amounts",$T159="Custom units"),0,1))))))</f>
        <v>0</v>
      </c>
      <c r="X159" s="29">
        <f>IF($T159="",0,IF(OR(Setup!$B$24="",Setup!$C$24="No"),0,IF(ISNUMBER(K159),K159,IF($T159="Weights",IF(ISNUMBER(Setup!$D$24),Setup!$D$24,0),IF($T159="Nights",IF(ISNUMBER(Setup!$E$24),Setup!$E$24,0),IF(OR($T159="Exact amounts",$T159="Custom units"),0,1))))))</f>
        <v>0</v>
      </c>
      <c r="Y159" s="29">
        <f>IF($T159="",0,IF(OR(Setup!$B$25="",Setup!$C$25="No"),0,IF(ISNUMBER(L159),L159,IF($T159="Weights",IF(ISNUMBER(Setup!$D$25),Setup!$D$25,0),IF($T159="Nights",IF(ISNUMBER(Setup!$E$25),Setup!$E$25,0),IF(OR($T159="Exact amounts",$T159="Custom units"),0,1))))))</f>
        <v>0</v>
      </c>
      <c r="Z159" s="29">
        <f>IF($T159="",0,IF(OR(Setup!$B$26="",Setup!$C$26="No"),0,IF(ISNUMBER(M159),M159,IF($T159="Weights",IF(ISNUMBER(Setup!$D$26),Setup!$D$26,0),IF($T159="Nights",IF(ISNUMBER(Setup!$E$26),Setup!$E$26,0),IF(OR($T159="Exact amounts",$T159="Custom units"),0,1))))))</f>
        <v>0</v>
      </c>
      <c r="AA159" s="29">
        <f>IF($T159="",0,IF(OR(Setup!$B$27="",Setup!$C$27="No"),0,IF(ISNUMBER(N159),N159,IF($T159="Weights",IF(ISNUMBER(Setup!$D$27),Setup!$D$27,0),IF($T159="Nights",IF(ISNUMBER(Setup!$E$27),Setup!$E$27,0),IF(OR($T159="Exact amounts",$T159="Custom units"),0,1))))))</f>
        <v>0</v>
      </c>
      <c r="AB159" s="29">
        <f>IF($T159="",0,IF(OR(Setup!$B$28="",Setup!$C$28="No"),0,IF(ISNUMBER(O159),O159,IF($T159="Weights",IF(ISNUMBER(Setup!$D$28),Setup!$D$28,0),IF($T159="Nights",IF(ISNUMBER(Setup!$E$28),Setup!$E$28,0),IF(OR($T159="Exact amounts",$T159="Custom units"),0,1))))))</f>
        <v>0</v>
      </c>
      <c r="AC159" s="29">
        <f>IF($T159="",0,IF(OR(Setup!$B$29="",Setup!$C$29="No"),0,IF(ISNUMBER(P159),P159,IF($T159="Weights",IF(ISNUMBER(Setup!$D$29),Setup!$D$29,0),IF($T159="Nights",IF(ISNUMBER(Setup!$E$29),Setup!$E$29,0),IF(OR($T159="Exact amounts",$T159="Custom units"),0,1))))))</f>
        <v>0</v>
      </c>
      <c r="AD159" s="29">
        <f>IF($T159="",0,IF(OR(Setup!$B$30="",Setup!$C$30="No"),0,IF(ISNUMBER(Q159),Q159,IF($T159="Weights",IF(ISNUMBER(Setup!$D$30),Setup!$D$30,0),IF($T159="Nights",IF(ISNUMBER(Setup!$E$30),Setup!$E$30,0),IF(OR($T159="Exact amounts",$T159="Custom units"),0,1))))))</f>
        <v>0</v>
      </c>
      <c r="AE159" s="29">
        <f t="shared" si="9"/>
        <v>0</v>
      </c>
      <c r="AF159" s="30">
        <f t="shared" si="10"/>
        <v>1</v>
      </c>
      <c r="AG159" s="29">
        <f t="shared" si="11"/>
        <v>0</v>
      </c>
    </row>
    <row r="160" spans="1:33" ht="16" x14ac:dyDescent="0.2">
      <c r="A160" s="22" t="str">
        <f t="shared" si="8"/>
        <v>—</v>
      </c>
      <c r="B160" s="23"/>
      <c r="C160" s="16"/>
      <c r="D160" s="16"/>
      <c r="E160" s="24"/>
      <c r="F160" s="16"/>
      <c r="G160" s="16"/>
      <c r="H160" s="25"/>
      <c r="I160" s="25"/>
      <c r="J160" s="25"/>
      <c r="K160" s="25"/>
      <c r="L160" s="25"/>
      <c r="M160" s="25"/>
      <c r="N160" s="25"/>
      <c r="O160" s="25"/>
      <c r="P160" s="25"/>
      <c r="Q160" s="25"/>
      <c r="R160" s="26" t="str">
        <f>IF($T160="","",IF($D160="","Who paid?",IF(SUMPRODUCT((Setup!$B$21:$B$30=$D160)*1)=0,"Payer is not in the member list on Setup",IF($E160="","Amount missing — type the number in column E",IF(NOT(ISNUMBER($E160)),"Amount must be a plain number — no currency symbol, no text",IF(AND($T160="Custom units",$AE160&lt;=0),"Custom units: nobody has units on this row — type a number for at least one person",IF($AE160&lt;=0,"Nobody shares this row — check the person columns H–Q, and the Weight / Nights columns on Setup",IF(AND($T160="Exact amounts",ABS($AE160-$AG160)&gt;0.01),"Exact amounts do not add up to the amount","OK"))))))))</f>
        <v/>
      </c>
      <c r="S160" s="27" t="str">
        <f>IFERROR(IF(OR($T160="",$C$4=""),"—",ROUND($AG160*INDEX($U160:$AD160,1,MATCH($C$4,Setup!$B$21:$B$30,0))/$AF160,2)),"—")</f>
        <v>—</v>
      </c>
      <c r="T160" s="28" t="str">
        <f>IF(AND($C160="",$D160="",NOT(ISNUMBER($E160))),"",IF($G160="",IF(Setup!$C$17="","Equal",Setup!$C$17),$G160))</f>
        <v/>
      </c>
      <c r="U160" s="29">
        <f>IF($T160="",0,IF(OR(Setup!$B$21="",Setup!$C$21="No"),0,IF(ISNUMBER(H160),H160,IF($T160="Weights",IF(ISNUMBER(Setup!$D$21),Setup!$D$21,0),IF($T160="Nights",IF(ISNUMBER(Setup!$E$21),Setup!$E$21,0),IF(OR($T160="Exact amounts",$T160="Custom units"),0,1))))))</f>
        <v>0</v>
      </c>
      <c r="V160" s="29">
        <f>IF($T160="",0,IF(OR(Setup!$B$22="",Setup!$C$22="No"),0,IF(ISNUMBER(I160),I160,IF($T160="Weights",IF(ISNUMBER(Setup!$D$22),Setup!$D$22,0),IF($T160="Nights",IF(ISNUMBER(Setup!$E$22),Setup!$E$22,0),IF(OR($T160="Exact amounts",$T160="Custom units"),0,1))))))</f>
        <v>0</v>
      </c>
      <c r="W160" s="29">
        <f>IF($T160="",0,IF(OR(Setup!$B$23="",Setup!$C$23="No"),0,IF(ISNUMBER(J160),J160,IF($T160="Weights",IF(ISNUMBER(Setup!$D$23),Setup!$D$23,0),IF($T160="Nights",IF(ISNUMBER(Setup!$E$23),Setup!$E$23,0),IF(OR($T160="Exact amounts",$T160="Custom units"),0,1))))))</f>
        <v>0</v>
      </c>
      <c r="X160" s="29">
        <f>IF($T160="",0,IF(OR(Setup!$B$24="",Setup!$C$24="No"),0,IF(ISNUMBER(K160),K160,IF($T160="Weights",IF(ISNUMBER(Setup!$D$24),Setup!$D$24,0),IF($T160="Nights",IF(ISNUMBER(Setup!$E$24),Setup!$E$24,0),IF(OR($T160="Exact amounts",$T160="Custom units"),0,1))))))</f>
        <v>0</v>
      </c>
      <c r="Y160" s="29">
        <f>IF($T160="",0,IF(OR(Setup!$B$25="",Setup!$C$25="No"),0,IF(ISNUMBER(L160),L160,IF($T160="Weights",IF(ISNUMBER(Setup!$D$25),Setup!$D$25,0),IF($T160="Nights",IF(ISNUMBER(Setup!$E$25),Setup!$E$25,0),IF(OR($T160="Exact amounts",$T160="Custom units"),0,1))))))</f>
        <v>0</v>
      </c>
      <c r="Z160" s="29">
        <f>IF($T160="",0,IF(OR(Setup!$B$26="",Setup!$C$26="No"),0,IF(ISNUMBER(M160),M160,IF($T160="Weights",IF(ISNUMBER(Setup!$D$26),Setup!$D$26,0),IF($T160="Nights",IF(ISNUMBER(Setup!$E$26),Setup!$E$26,0),IF(OR($T160="Exact amounts",$T160="Custom units"),0,1))))))</f>
        <v>0</v>
      </c>
      <c r="AA160" s="29">
        <f>IF($T160="",0,IF(OR(Setup!$B$27="",Setup!$C$27="No"),0,IF(ISNUMBER(N160),N160,IF($T160="Weights",IF(ISNUMBER(Setup!$D$27),Setup!$D$27,0),IF($T160="Nights",IF(ISNUMBER(Setup!$E$27),Setup!$E$27,0),IF(OR($T160="Exact amounts",$T160="Custom units"),0,1))))))</f>
        <v>0</v>
      </c>
      <c r="AB160" s="29">
        <f>IF($T160="",0,IF(OR(Setup!$B$28="",Setup!$C$28="No"),0,IF(ISNUMBER(O160),O160,IF($T160="Weights",IF(ISNUMBER(Setup!$D$28),Setup!$D$28,0),IF($T160="Nights",IF(ISNUMBER(Setup!$E$28),Setup!$E$28,0),IF(OR($T160="Exact amounts",$T160="Custom units"),0,1))))))</f>
        <v>0</v>
      </c>
      <c r="AC160" s="29">
        <f>IF($T160="",0,IF(OR(Setup!$B$29="",Setup!$C$29="No"),0,IF(ISNUMBER(P160),P160,IF($T160="Weights",IF(ISNUMBER(Setup!$D$29),Setup!$D$29,0),IF($T160="Nights",IF(ISNUMBER(Setup!$E$29),Setup!$E$29,0),IF(OR($T160="Exact amounts",$T160="Custom units"),0,1))))))</f>
        <v>0</v>
      </c>
      <c r="AD160" s="29">
        <f>IF($T160="",0,IF(OR(Setup!$B$30="",Setup!$C$30="No"),0,IF(ISNUMBER(Q160),Q160,IF($T160="Weights",IF(ISNUMBER(Setup!$D$30),Setup!$D$30,0),IF($T160="Nights",IF(ISNUMBER(Setup!$E$30),Setup!$E$30,0),IF(OR($T160="Exact amounts",$T160="Custom units"),0,1))))))</f>
        <v>0</v>
      </c>
      <c r="AE160" s="29">
        <f t="shared" si="9"/>
        <v>0</v>
      </c>
      <c r="AF160" s="30">
        <f t="shared" si="10"/>
        <v>1</v>
      </c>
      <c r="AG160" s="29">
        <f t="shared" si="11"/>
        <v>0</v>
      </c>
    </row>
    <row r="161" spans="1:33" ht="16" x14ac:dyDescent="0.2">
      <c r="A161" s="22" t="str">
        <f t="shared" si="8"/>
        <v>—</v>
      </c>
      <c r="B161" s="31"/>
      <c r="C161" s="11"/>
      <c r="D161" s="11"/>
      <c r="E161" s="32"/>
      <c r="F161" s="11"/>
      <c r="G161" s="11"/>
      <c r="H161" s="33"/>
      <c r="I161" s="33"/>
      <c r="J161" s="33"/>
      <c r="K161" s="33"/>
      <c r="L161" s="33"/>
      <c r="M161" s="33"/>
      <c r="N161" s="33"/>
      <c r="O161" s="33"/>
      <c r="P161" s="33"/>
      <c r="Q161" s="33"/>
      <c r="R161" s="26" t="str">
        <f>IF($T161="","",IF($D161="","Who paid?",IF(SUMPRODUCT((Setup!$B$21:$B$30=$D161)*1)=0,"Payer is not in the member list on Setup",IF($E161="","Amount missing — type the number in column E",IF(NOT(ISNUMBER($E161)),"Amount must be a plain number — no currency symbol, no text",IF(AND($T161="Custom units",$AE161&lt;=0),"Custom units: nobody has units on this row — type a number for at least one person",IF($AE161&lt;=0,"Nobody shares this row — check the person columns H–Q, and the Weight / Nights columns on Setup",IF(AND($T161="Exact amounts",ABS($AE161-$AG161)&gt;0.01),"Exact amounts do not add up to the amount","OK"))))))))</f>
        <v/>
      </c>
      <c r="S161" s="27" t="str">
        <f>IFERROR(IF(OR($T161="",$C$4=""),"—",ROUND($AG161*INDEX($U161:$AD161,1,MATCH($C$4,Setup!$B$21:$B$30,0))/$AF161,2)),"—")</f>
        <v>—</v>
      </c>
      <c r="T161" s="28" t="str">
        <f>IF(AND($C161="",$D161="",NOT(ISNUMBER($E161))),"",IF($G161="",IF(Setup!$C$17="","Equal",Setup!$C$17),$G161))</f>
        <v/>
      </c>
      <c r="U161" s="29">
        <f>IF($T161="",0,IF(OR(Setup!$B$21="",Setup!$C$21="No"),0,IF(ISNUMBER(H161),H161,IF($T161="Weights",IF(ISNUMBER(Setup!$D$21),Setup!$D$21,0),IF($T161="Nights",IF(ISNUMBER(Setup!$E$21),Setup!$E$21,0),IF(OR($T161="Exact amounts",$T161="Custom units"),0,1))))))</f>
        <v>0</v>
      </c>
      <c r="V161" s="29">
        <f>IF($T161="",0,IF(OR(Setup!$B$22="",Setup!$C$22="No"),0,IF(ISNUMBER(I161),I161,IF($T161="Weights",IF(ISNUMBER(Setup!$D$22),Setup!$D$22,0),IF($T161="Nights",IF(ISNUMBER(Setup!$E$22),Setup!$E$22,0),IF(OR($T161="Exact amounts",$T161="Custom units"),0,1))))))</f>
        <v>0</v>
      </c>
      <c r="W161" s="29">
        <f>IF($T161="",0,IF(OR(Setup!$B$23="",Setup!$C$23="No"),0,IF(ISNUMBER(J161),J161,IF($T161="Weights",IF(ISNUMBER(Setup!$D$23),Setup!$D$23,0),IF($T161="Nights",IF(ISNUMBER(Setup!$E$23),Setup!$E$23,0),IF(OR($T161="Exact amounts",$T161="Custom units"),0,1))))))</f>
        <v>0</v>
      </c>
      <c r="X161" s="29">
        <f>IF($T161="",0,IF(OR(Setup!$B$24="",Setup!$C$24="No"),0,IF(ISNUMBER(K161),K161,IF($T161="Weights",IF(ISNUMBER(Setup!$D$24),Setup!$D$24,0),IF($T161="Nights",IF(ISNUMBER(Setup!$E$24),Setup!$E$24,0),IF(OR($T161="Exact amounts",$T161="Custom units"),0,1))))))</f>
        <v>0</v>
      </c>
      <c r="Y161" s="29">
        <f>IF($T161="",0,IF(OR(Setup!$B$25="",Setup!$C$25="No"),0,IF(ISNUMBER(L161),L161,IF($T161="Weights",IF(ISNUMBER(Setup!$D$25),Setup!$D$25,0),IF($T161="Nights",IF(ISNUMBER(Setup!$E$25),Setup!$E$25,0),IF(OR($T161="Exact amounts",$T161="Custom units"),0,1))))))</f>
        <v>0</v>
      </c>
      <c r="Z161" s="29">
        <f>IF($T161="",0,IF(OR(Setup!$B$26="",Setup!$C$26="No"),0,IF(ISNUMBER(M161),M161,IF($T161="Weights",IF(ISNUMBER(Setup!$D$26),Setup!$D$26,0),IF($T161="Nights",IF(ISNUMBER(Setup!$E$26),Setup!$E$26,0),IF(OR($T161="Exact amounts",$T161="Custom units"),0,1))))))</f>
        <v>0</v>
      </c>
      <c r="AA161" s="29">
        <f>IF($T161="",0,IF(OR(Setup!$B$27="",Setup!$C$27="No"),0,IF(ISNUMBER(N161),N161,IF($T161="Weights",IF(ISNUMBER(Setup!$D$27),Setup!$D$27,0),IF($T161="Nights",IF(ISNUMBER(Setup!$E$27),Setup!$E$27,0),IF(OR($T161="Exact amounts",$T161="Custom units"),0,1))))))</f>
        <v>0</v>
      </c>
      <c r="AB161" s="29">
        <f>IF($T161="",0,IF(OR(Setup!$B$28="",Setup!$C$28="No"),0,IF(ISNUMBER(O161),O161,IF($T161="Weights",IF(ISNUMBER(Setup!$D$28),Setup!$D$28,0),IF($T161="Nights",IF(ISNUMBER(Setup!$E$28),Setup!$E$28,0),IF(OR($T161="Exact amounts",$T161="Custom units"),0,1))))))</f>
        <v>0</v>
      </c>
      <c r="AC161" s="29">
        <f>IF($T161="",0,IF(OR(Setup!$B$29="",Setup!$C$29="No"),0,IF(ISNUMBER(P161),P161,IF($T161="Weights",IF(ISNUMBER(Setup!$D$29),Setup!$D$29,0),IF($T161="Nights",IF(ISNUMBER(Setup!$E$29),Setup!$E$29,0),IF(OR($T161="Exact amounts",$T161="Custom units"),0,1))))))</f>
        <v>0</v>
      </c>
      <c r="AD161" s="29">
        <f>IF($T161="",0,IF(OR(Setup!$B$30="",Setup!$C$30="No"),0,IF(ISNUMBER(Q161),Q161,IF($T161="Weights",IF(ISNUMBER(Setup!$D$30),Setup!$D$30,0),IF($T161="Nights",IF(ISNUMBER(Setup!$E$30),Setup!$E$30,0),IF(OR($T161="Exact amounts",$T161="Custom units"),0,1))))))</f>
        <v>0</v>
      </c>
      <c r="AE161" s="29">
        <f t="shared" si="9"/>
        <v>0</v>
      </c>
      <c r="AF161" s="30">
        <f t="shared" si="10"/>
        <v>1</v>
      </c>
      <c r="AG161" s="29">
        <f t="shared" si="11"/>
        <v>0</v>
      </c>
    </row>
    <row r="162" spans="1:33" ht="16" x14ac:dyDescent="0.2">
      <c r="A162" s="22" t="str">
        <f t="shared" si="8"/>
        <v>—</v>
      </c>
      <c r="B162" s="23"/>
      <c r="C162" s="16"/>
      <c r="D162" s="16"/>
      <c r="E162" s="24"/>
      <c r="F162" s="16"/>
      <c r="G162" s="16"/>
      <c r="H162" s="25"/>
      <c r="I162" s="25"/>
      <c r="J162" s="25"/>
      <c r="K162" s="25"/>
      <c r="L162" s="25"/>
      <c r="M162" s="25"/>
      <c r="N162" s="25"/>
      <c r="O162" s="25"/>
      <c r="P162" s="25"/>
      <c r="Q162" s="25"/>
      <c r="R162" s="26" t="str">
        <f>IF($T162="","",IF($D162="","Who paid?",IF(SUMPRODUCT((Setup!$B$21:$B$30=$D162)*1)=0,"Payer is not in the member list on Setup",IF($E162="","Amount missing — type the number in column E",IF(NOT(ISNUMBER($E162)),"Amount must be a plain number — no currency symbol, no text",IF(AND($T162="Custom units",$AE162&lt;=0),"Custom units: nobody has units on this row — type a number for at least one person",IF($AE162&lt;=0,"Nobody shares this row — check the person columns H–Q, and the Weight / Nights columns on Setup",IF(AND($T162="Exact amounts",ABS($AE162-$AG162)&gt;0.01),"Exact amounts do not add up to the amount","OK"))))))))</f>
        <v/>
      </c>
      <c r="S162" s="27" t="str">
        <f>IFERROR(IF(OR($T162="",$C$4=""),"—",ROUND($AG162*INDEX($U162:$AD162,1,MATCH($C$4,Setup!$B$21:$B$30,0))/$AF162,2)),"—")</f>
        <v>—</v>
      </c>
      <c r="T162" s="28" t="str">
        <f>IF(AND($C162="",$D162="",NOT(ISNUMBER($E162))),"",IF($G162="",IF(Setup!$C$17="","Equal",Setup!$C$17),$G162))</f>
        <v/>
      </c>
      <c r="U162" s="29">
        <f>IF($T162="",0,IF(OR(Setup!$B$21="",Setup!$C$21="No"),0,IF(ISNUMBER(H162),H162,IF($T162="Weights",IF(ISNUMBER(Setup!$D$21),Setup!$D$21,0),IF($T162="Nights",IF(ISNUMBER(Setup!$E$21),Setup!$E$21,0),IF(OR($T162="Exact amounts",$T162="Custom units"),0,1))))))</f>
        <v>0</v>
      </c>
      <c r="V162" s="29">
        <f>IF($T162="",0,IF(OR(Setup!$B$22="",Setup!$C$22="No"),0,IF(ISNUMBER(I162),I162,IF($T162="Weights",IF(ISNUMBER(Setup!$D$22),Setup!$D$22,0),IF($T162="Nights",IF(ISNUMBER(Setup!$E$22),Setup!$E$22,0),IF(OR($T162="Exact amounts",$T162="Custom units"),0,1))))))</f>
        <v>0</v>
      </c>
      <c r="W162" s="29">
        <f>IF($T162="",0,IF(OR(Setup!$B$23="",Setup!$C$23="No"),0,IF(ISNUMBER(J162),J162,IF($T162="Weights",IF(ISNUMBER(Setup!$D$23),Setup!$D$23,0),IF($T162="Nights",IF(ISNUMBER(Setup!$E$23),Setup!$E$23,0),IF(OR($T162="Exact amounts",$T162="Custom units"),0,1))))))</f>
        <v>0</v>
      </c>
      <c r="X162" s="29">
        <f>IF($T162="",0,IF(OR(Setup!$B$24="",Setup!$C$24="No"),0,IF(ISNUMBER(K162),K162,IF($T162="Weights",IF(ISNUMBER(Setup!$D$24),Setup!$D$24,0),IF($T162="Nights",IF(ISNUMBER(Setup!$E$24),Setup!$E$24,0),IF(OR($T162="Exact amounts",$T162="Custom units"),0,1))))))</f>
        <v>0</v>
      </c>
      <c r="Y162" s="29">
        <f>IF($T162="",0,IF(OR(Setup!$B$25="",Setup!$C$25="No"),0,IF(ISNUMBER(L162),L162,IF($T162="Weights",IF(ISNUMBER(Setup!$D$25),Setup!$D$25,0),IF($T162="Nights",IF(ISNUMBER(Setup!$E$25),Setup!$E$25,0),IF(OR($T162="Exact amounts",$T162="Custom units"),0,1))))))</f>
        <v>0</v>
      </c>
      <c r="Z162" s="29">
        <f>IF($T162="",0,IF(OR(Setup!$B$26="",Setup!$C$26="No"),0,IF(ISNUMBER(M162),M162,IF($T162="Weights",IF(ISNUMBER(Setup!$D$26),Setup!$D$26,0),IF($T162="Nights",IF(ISNUMBER(Setup!$E$26),Setup!$E$26,0),IF(OR($T162="Exact amounts",$T162="Custom units"),0,1))))))</f>
        <v>0</v>
      </c>
      <c r="AA162" s="29">
        <f>IF($T162="",0,IF(OR(Setup!$B$27="",Setup!$C$27="No"),0,IF(ISNUMBER(N162),N162,IF($T162="Weights",IF(ISNUMBER(Setup!$D$27),Setup!$D$27,0),IF($T162="Nights",IF(ISNUMBER(Setup!$E$27),Setup!$E$27,0),IF(OR($T162="Exact amounts",$T162="Custom units"),0,1))))))</f>
        <v>0</v>
      </c>
      <c r="AB162" s="29">
        <f>IF($T162="",0,IF(OR(Setup!$B$28="",Setup!$C$28="No"),0,IF(ISNUMBER(O162),O162,IF($T162="Weights",IF(ISNUMBER(Setup!$D$28),Setup!$D$28,0),IF($T162="Nights",IF(ISNUMBER(Setup!$E$28),Setup!$E$28,0),IF(OR($T162="Exact amounts",$T162="Custom units"),0,1))))))</f>
        <v>0</v>
      </c>
      <c r="AC162" s="29">
        <f>IF($T162="",0,IF(OR(Setup!$B$29="",Setup!$C$29="No"),0,IF(ISNUMBER(P162),P162,IF($T162="Weights",IF(ISNUMBER(Setup!$D$29),Setup!$D$29,0),IF($T162="Nights",IF(ISNUMBER(Setup!$E$29),Setup!$E$29,0),IF(OR($T162="Exact amounts",$T162="Custom units"),0,1))))))</f>
        <v>0</v>
      </c>
      <c r="AD162" s="29">
        <f>IF($T162="",0,IF(OR(Setup!$B$30="",Setup!$C$30="No"),0,IF(ISNUMBER(Q162),Q162,IF($T162="Weights",IF(ISNUMBER(Setup!$D$30),Setup!$D$30,0),IF($T162="Nights",IF(ISNUMBER(Setup!$E$30),Setup!$E$30,0),IF(OR($T162="Exact amounts",$T162="Custom units"),0,1))))))</f>
        <v>0</v>
      </c>
      <c r="AE162" s="29">
        <f t="shared" si="9"/>
        <v>0</v>
      </c>
      <c r="AF162" s="30">
        <f t="shared" si="10"/>
        <v>1</v>
      </c>
      <c r="AG162" s="29">
        <f t="shared" si="11"/>
        <v>0</v>
      </c>
    </row>
    <row r="163" spans="1:33" ht="16" x14ac:dyDescent="0.2">
      <c r="A163" s="22" t="str">
        <f t="shared" si="8"/>
        <v>—</v>
      </c>
      <c r="B163" s="31"/>
      <c r="C163" s="11"/>
      <c r="D163" s="11"/>
      <c r="E163" s="32"/>
      <c r="F163" s="11"/>
      <c r="G163" s="11"/>
      <c r="H163" s="33"/>
      <c r="I163" s="33"/>
      <c r="J163" s="33"/>
      <c r="K163" s="33"/>
      <c r="L163" s="33"/>
      <c r="M163" s="33"/>
      <c r="N163" s="33"/>
      <c r="O163" s="33"/>
      <c r="P163" s="33"/>
      <c r="Q163" s="33"/>
      <c r="R163" s="26" t="str">
        <f>IF($T163="","",IF($D163="","Who paid?",IF(SUMPRODUCT((Setup!$B$21:$B$30=$D163)*1)=0,"Payer is not in the member list on Setup",IF($E163="","Amount missing — type the number in column E",IF(NOT(ISNUMBER($E163)),"Amount must be a plain number — no currency symbol, no text",IF(AND($T163="Custom units",$AE163&lt;=0),"Custom units: nobody has units on this row — type a number for at least one person",IF($AE163&lt;=0,"Nobody shares this row — check the person columns H–Q, and the Weight / Nights columns on Setup",IF(AND($T163="Exact amounts",ABS($AE163-$AG163)&gt;0.01),"Exact amounts do not add up to the amount","OK"))))))))</f>
        <v/>
      </c>
      <c r="S163" s="27" t="str">
        <f>IFERROR(IF(OR($T163="",$C$4=""),"—",ROUND($AG163*INDEX($U163:$AD163,1,MATCH($C$4,Setup!$B$21:$B$30,0))/$AF163,2)),"—")</f>
        <v>—</v>
      </c>
      <c r="T163" s="28" t="str">
        <f>IF(AND($C163="",$D163="",NOT(ISNUMBER($E163))),"",IF($G163="",IF(Setup!$C$17="","Equal",Setup!$C$17),$G163))</f>
        <v/>
      </c>
      <c r="U163" s="29">
        <f>IF($T163="",0,IF(OR(Setup!$B$21="",Setup!$C$21="No"),0,IF(ISNUMBER(H163),H163,IF($T163="Weights",IF(ISNUMBER(Setup!$D$21),Setup!$D$21,0),IF($T163="Nights",IF(ISNUMBER(Setup!$E$21),Setup!$E$21,0),IF(OR($T163="Exact amounts",$T163="Custom units"),0,1))))))</f>
        <v>0</v>
      </c>
      <c r="V163" s="29">
        <f>IF($T163="",0,IF(OR(Setup!$B$22="",Setup!$C$22="No"),0,IF(ISNUMBER(I163),I163,IF($T163="Weights",IF(ISNUMBER(Setup!$D$22),Setup!$D$22,0),IF($T163="Nights",IF(ISNUMBER(Setup!$E$22),Setup!$E$22,0),IF(OR($T163="Exact amounts",$T163="Custom units"),0,1))))))</f>
        <v>0</v>
      </c>
      <c r="W163" s="29">
        <f>IF($T163="",0,IF(OR(Setup!$B$23="",Setup!$C$23="No"),0,IF(ISNUMBER(J163),J163,IF($T163="Weights",IF(ISNUMBER(Setup!$D$23),Setup!$D$23,0),IF($T163="Nights",IF(ISNUMBER(Setup!$E$23),Setup!$E$23,0),IF(OR($T163="Exact amounts",$T163="Custom units"),0,1))))))</f>
        <v>0</v>
      </c>
      <c r="X163" s="29">
        <f>IF($T163="",0,IF(OR(Setup!$B$24="",Setup!$C$24="No"),0,IF(ISNUMBER(K163),K163,IF($T163="Weights",IF(ISNUMBER(Setup!$D$24),Setup!$D$24,0),IF($T163="Nights",IF(ISNUMBER(Setup!$E$24),Setup!$E$24,0),IF(OR($T163="Exact amounts",$T163="Custom units"),0,1))))))</f>
        <v>0</v>
      </c>
      <c r="Y163" s="29">
        <f>IF($T163="",0,IF(OR(Setup!$B$25="",Setup!$C$25="No"),0,IF(ISNUMBER(L163),L163,IF($T163="Weights",IF(ISNUMBER(Setup!$D$25),Setup!$D$25,0),IF($T163="Nights",IF(ISNUMBER(Setup!$E$25),Setup!$E$25,0),IF(OR($T163="Exact amounts",$T163="Custom units"),0,1))))))</f>
        <v>0</v>
      </c>
      <c r="Z163" s="29">
        <f>IF($T163="",0,IF(OR(Setup!$B$26="",Setup!$C$26="No"),0,IF(ISNUMBER(M163),M163,IF($T163="Weights",IF(ISNUMBER(Setup!$D$26),Setup!$D$26,0),IF($T163="Nights",IF(ISNUMBER(Setup!$E$26),Setup!$E$26,0),IF(OR($T163="Exact amounts",$T163="Custom units"),0,1))))))</f>
        <v>0</v>
      </c>
      <c r="AA163" s="29">
        <f>IF($T163="",0,IF(OR(Setup!$B$27="",Setup!$C$27="No"),0,IF(ISNUMBER(N163),N163,IF($T163="Weights",IF(ISNUMBER(Setup!$D$27),Setup!$D$27,0),IF($T163="Nights",IF(ISNUMBER(Setup!$E$27),Setup!$E$27,0),IF(OR($T163="Exact amounts",$T163="Custom units"),0,1))))))</f>
        <v>0</v>
      </c>
      <c r="AB163" s="29">
        <f>IF($T163="",0,IF(OR(Setup!$B$28="",Setup!$C$28="No"),0,IF(ISNUMBER(O163),O163,IF($T163="Weights",IF(ISNUMBER(Setup!$D$28),Setup!$D$28,0),IF($T163="Nights",IF(ISNUMBER(Setup!$E$28),Setup!$E$28,0),IF(OR($T163="Exact amounts",$T163="Custom units"),0,1))))))</f>
        <v>0</v>
      </c>
      <c r="AC163" s="29">
        <f>IF($T163="",0,IF(OR(Setup!$B$29="",Setup!$C$29="No"),0,IF(ISNUMBER(P163),P163,IF($T163="Weights",IF(ISNUMBER(Setup!$D$29),Setup!$D$29,0),IF($T163="Nights",IF(ISNUMBER(Setup!$E$29),Setup!$E$29,0),IF(OR($T163="Exact amounts",$T163="Custom units"),0,1))))))</f>
        <v>0</v>
      </c>
      <c r="AD163" s="29">
        <f>IF($T163="",0,IF(OR(Setup!$B$30="",Setup!$C$30="No"),0,IF(ISNUMBER(Q163),Q163,IF($T163="Weights",IF(ISNUMBER(Setup!$D$30),Setup!$D$30,0),IF($T163="Nights",IF(ISNUMBER(Setup!$E$30),Setup!$E$30,0),IF(OR($T163="Exact amounts",$T163="Custom units"),0,1))))))</f>
        <v>0</v>
      </c>
      <c r="AE163" s="29">
        <f t="shared" si="9"/>
        <v>0</v>
      </c>
      <c r="AF163" s="30">
        <f t="shared" si="10"/>
        <v>1</v>
      </c>
      <c r="AG163" s="29">
        <f t="shared" si="11"/>
        <v>0</v>
      </c>
    </row>
    <row r="164" spans="1:33" ht="16" x14ac:dyDescent="0.2">
      <c r="A164" s="22" t="str">
        <f t="shared" si="8"/>
        <v>—</v>
      </c>
      <c r="B164" s="23"/>
      <c r="C164" s="16"/>
      <c r="D164" s="16"/>
      <c r="E164" s="24"/>
      <c r="F164" s="16"/>
      <c r="G164" s="16"/>
      <c r="H164" s="25"/>
      <c r="I164" s="25"/>
      <c r="J164" s="25"/>
      <c r="K164" s="25"/>
      <c r="L164" s="25"/>
      <c r="M164" s="25"/>
      <c r="N164" s="25"/>
      <c r="O164" s="25"/>
      <c r="P164" s="25"/>
      <c r="Q164" s="25"/>
      <c r="R164" s="26" t="str">
        <f>IF($T164="","",IF($D164="","Who paid?",IF(SUMPRODUCT((Setup!$B$21:$B$30=$D164)*1)=0,"Payer is not in the member list on Setup",IF($E164="","Amount missing — type the number in column E",IF(NOT(ISNUMBER($E164)),"Amount must be a plain number — no currency symbol, no text",IF(AND($T164="Custom units",$AE164&lt;=0),"Custom units: nobody has units on this row — type a number for at least one person",IF($AE164&lt;=0,"Nobody shares this row — check the person columns H–Q, and the Weight / Nights columns on Setup",IF(AND($T164="Exact amounts",ABS($AE164-$AG164)&gt;0.01),"Exact amounts do not add up to the amount","OK"))))))))</f>
        <v/>
      </c>
      <c r="S164" s="27" t="str">
        <f>IFERROR(IF(OR($T164="",$C$4=""),"—",ROUND($AG164*INDEX($U164:$AD164,1,MATCH($C$4,Setup!$B$21:$B$30,0))/$AF164,2)),"—")</f>
        <v>—</v>
      </c>
      <c r="T164" s="28" t="str">
        <f>IF(AND($C164="",$D164="",NOT(ISNUMBER($E164))),"",IF($G164="",IF(Setup!$C$17="","Equal",Setup!$C$17),$G164))</f>
        <v/>
      </c>
      <c r="U164" s="29">
        <f>IF($T164="",0,IF(OR(Setup!$B$21="",Setup!$C$21="No"),0,IF(ISNUMBER(H164),H164,IF($T164="Weights",IF(ISNUMBER(Setup!$D$21),Setup!$D$21,0),IF($T164="Nights",IF(ISNUMBER(Setup!$E$21),Setup!$E$21,0),IF(OR($T164="Exact amounts",$T164="Custom units"),0,1))))))</f>
        <v>0</v>
      </c>
      <c r="V164" s="29">
        <f>IF($T164="",0,IF(OR(Setup!$B$22="",Setup!$C$22="No"),0,IF(ISNUMBER(I164),I164,IF($T164="Weights",IF(ISNUMBER(Setup!$D$22),Setup!$D$22,0),IF($T164="Nights",IF(ISNUMBER(Setup!$E$22),Setup!$E$22,0),IF(OR($T164="Exact amounts",$T164="Custom units"),0,1))))))</f>
        <v>0</v>
      </c>
      <c r="W164" s="29">
        <f>IF($T164="",0,IF(OR(Setup!$B$23="",Setup!$C$23="No"),0,IF(ISNUMBER(J164),J164,IF($T164="Weights",IF(ISNUMBER(Setup!$D$23),Setup!$D$23,0),IF($T164="Nights",IF(ISNUMBER(Setup!$E$23),Setup!$E$23,0),IF(OR($T164="Exact amounts",$T164="Custom units"),0,1))))))</f>
        <v>0</v>
      </c>
      <c r="X164" s="29">
        <f>IF($T164="",0,IF(OR(Setup!$B$24="",Setup!$C$24="No"),0,IF(ISNUMBER(K164),K164,IF($T164="Weights",IF(ISNUMBER(Setup!$D$24),Setup!$D$24,0),IF($T164="Nights",IF(ISNUMBER(Setup!$E$24),Setup!$E$24,0),IF(OR($T164="Exact amounts",$T164="Custom units"),0,1))))))</f>
        <v>0</v>
      </c>
      <c r="Y164" s="29">
        <f>IF($T164="",0,IF(OR(Setup!$B$25="",Setup!$C$25="No"),0,IF(ISNUMBER(L164),L164,IF($T164="Weights",IF(ISNUMBER(Setup!$D$25),Setup!$D$25,0),IF($T164="Nights",IF(ISNUMBER(Setup!$E$25),Setup!$E$25,0),IF(OR($T164="Exact amounts",$T164="Custom units"),0,1))))))</f>
        <v>0</v>
      </c>
      <c r="Z164" s="29">
        <f>IF($T164="",0,IF(OR(Setup!$B$26="",Setup!$C$26="No"),0,IF(ISNUMBER(M164),M164,IF($T164="Weights",IF(ISNUMBER(Setup!$D$26),Setup!$D$26,0),IF($T164="Nights",IF(ISNUMBER(Setup!$E$26),Setup!$E$26,0),IF(OR($T164="Exact amounts",$T164="Custom units"),0,1))))))</f>
        <v>0</v>
      </c>
      <c r="AA164" s="29">
        <f>IF($T164="",0,IF(OR(Setup!$B$27="",Setup!$C$27="No"),0,IF(ISNUMBER(N164),N164,IF($T164="Weights",IF(ISNUMBER(Setup!$D$27),Setup!$D$27,0),IF($T164="Nights",IF(ISNUMBER(Setup!$E$27),Setup!$E$27,0),IF(OR($T164="Exact amounts",$T164="Custom units"),0,1))))))</f>
        <v>0</v>
      </c>
      <c r="AB164" s="29">
        <f>IF($T164="",0,IF(OR(Setup!$B$28="",Setup!$C$28="No"),0,IF(ISNUMBER(O164),O164,IF($T164="Weights",IF(ISNUMBER(Setup!$D$28),Setup!$D$28,0),IF($T164="Nights",IF(ISNUMBER(Setup!$E$28),Setup!$E$28,0),IF(OR($T164="Exact amounts",$T164="Custom units"),0,1))))))</f>
        <v>0</v>
      </c>
      <c r="AC164" s="29">
        <f>IF($T164="",0,IF(OR(Setup!$B$29="",Setup!$C$29="No"),0,IF(ISNUMBER(P164),P164,IF($T164="Weights",IF(ISNUMBER(Setup!$D$29),Setup!$D$29,0),IF($T164="Nights",IF(ISNUMBER(Setup!$E$29),Setup!$E$29,0),IF(OR($T164="Exact amounts",$T164="Custom units"),0,1))))))</f>
        <v>0</v>
      </c>
      <c r="AD164" s="29">
        <f>IF($T164="",0,IF(OR(Setup!$B$30="",Setup!$C$30="No"),0,IF(ISNUMBER(Q164),Q164,IF($T164="Weights",IF(ISNUMBER(Setup!$D$30),Setup!$D$30,0),IF($T164="Nights",IF(ISNUMBER(Setup!$E$30),Setup!$E$30,0),IF(OR($T164="Exact amounts",$T164="Custom units"),0,1))))))</f>
        <v>0</v>
      </c>
      <c r="AE164" s="29">
        <f t="shared" si="9"/>
        <v>0</v>
      </c>
      <c r="AF164" s="30">
        <f t="shared" si="10"/>
        <v>1</v>
      </c>
      <c r="AG164" s="29">
        <f t="shared" si="11"/>
        <v>0</v>
      </c>
    </row>
    <row r="165" spans="1:33" ht="16" x14ac:dyDescent="0.2">
      <c r="A165" s="22" t="str">
        <f t="shared" si="8"/>
        <v>—</v>
      </c>
      <c r="B165" s="31"/>
      <c r="C165" s="11"/>
      <c r="D165" s="11"/>
      <c r="E165" s="32"/>
      <c r="F165" s="11"/>
      <c r="G165" s="11"/>
      <c r="H165" s="33"/>
      <c r="I165" s="33"/>
      <c r="J165" s="33"/>
      <c r="K165" s="33"/>
      <c r="L165" s="33"/>
      <c r="M165" s="33"/>
      <c r="N165" s="33"/>
      <c r="O165" s="33"/>
      <c r="P165" s="33"/>
      <c r="Q165" s="33"/>
      <c r="R165" s="26" t="str">
        <f>IF($T165="","",IF($D165="","Who paid?",IF(SUMPRODUCT((Setup!$B$21:$B$30=$D165)*1)=0,"Payer is not in the member list on Setup",IF($E165="","Amount missing — type the number in column E",IF(NOT(ISNUMBER($E165)),"Amount must be a plain number — no currency symbol, no text",IF(AND($T165="Custom units",$AE165&lt;=0),"Custom units: nobody has units on this row — type a number for at least one person",IF($AE165&lt;=0,"Nobody shares this row — check the person columns H–Q, and the Weight / Nights columns on Setup",IF(AND($T165="Exact amounts",ABS($AE165-$AG165)&gt;0.01),"Exact amounts do not add up to the amount","OK"))))))))</f>
        <v/>
      </c>
      <c r="S165" s="27" t="str">
        <f>IFERROR(IF(OR($T165="",$C$4=""),"—",ROUND($AG165*INDEX($U165:$AD165,1,MATCH($C$4,Setup!$B$21:$B$30,0))/$AF165,2)),"—")</f>
        <v>—</v>
      </c>
      <c r="T165" s="28" t="str">
        <f>IF(AND($C165="",$D165="",NOT(ISNUMBER($E165))),"",IF($G165="",IF(Setup!$C$17="","Equal",Setup!$C$17),$G165))</f>
        <v/>
      </c>
      <c r="U165" s="29">
        <f>IF($T165="",0,IF(OR(Setup!$B$21="",Setup!$C$21="No"),0,IF(ISNUMBER(H165),H165,IF($T165="Weights",IF(ISNUMBER(Setup!$D$21),Setup!$D$21,0),IF($T165="Nights",IF(ISNUMBER(Setup!$E$21),Setup!$E$21,0),IF(OR($T165="Exact amounts",$T165="Custom units"),0,1))))))</f>
        <v>0</v>
      </c>
      <c r="V165" s="29">
        <f>IF($T165="",0,IF(OR(Setup!$B$22="",Setup!$C$22="No"),0,IF(ISNUMBER(I165),I165,IF($T165="Weights",IF(ISNUMBER(Setup!$D$22),Setup!$D$22,0),IF($T165="Nights",IF(ISNUMBER(Setup!$E$22),Setup!$E$22,0),IF(OR($T165="Exact amounts",$T165="Custom units"),0,1))))))</f>
        <v>0</v>
      </c>
      <c r="W165" s="29">
        <f>IF($T165="",0,IF(OR(Setup!$B$23="",Setup!$C$23="No"),0,IF(ISNUMBER(J165),J165,IF($T165="Weights",IF(ISNUMBER(Setup!$D$23),Setup!$D$23,0),IF($T165="Nights",IF(ISNUMBER(Setup!$E$23),Setup!$E$23,0),IF(OR($T165="Exact amounts",$T165="Custom units"),0,1))))))</f>
        <v>0</v>
      </c>
      <c r="X165" s="29">
        <f>IF($T165="",0,IF(OR(Setup!$B$24="",Setup!$C$24="No"),0,IF(ISNUMBER(K165),K165,IF($T165="Weights",IF(ISNUMBER(Setup!$D$24),Setup!$D$24,0),IF($T165="Nights",IF(ISNUMBER(Setup!$E$24),Setup!$E$24,0),IF(OR($T165="Exact amounts",$T165="Custom units"),0,1))))))</f>
        <v>0</v>
      </c>
      <c r="Y165" s="29">
        <f>IF($T165="",0,IF(OR(Setup!$B$25="",Setup!$C$25="No"),0,IF(ISNUMBER(L165),L165,IF($T165="Weights",IF(ISNUMBER(Setup!$D$25),Setup!$D$25,0),IF($T165="Nights",IF(ISNUMBER(Setup!$E$25),Setup!$E$25,0),IF(OR($T165="Exact amounts",$T165="Custom units"),0,1))))))</f>
        <v>0</v>
      </c>
      <c r="Z165" s="29">
        <f>IF($T165="",0,IF(OR(Setup!$B$26="",Setup!$C$26="No"),0,IF(ISNUMBER(M165),M165,IF($T165="Weights",IF(ISNUMBER(Setup!$D$26),Setup!$D$26,0),IF($T165="Nights",IF(ISNUMBER(Setup!$E$26),Setup!$E$26,0),IF(OR($T165="Exact amounts",$T165="Custom units"),0,1))))))</f>
        <v>0</v>
      </c>
      <c r="AA165" s="29">
        <f>IF($T165="",0,IF(OR(Setup!$B$27="",Setup!$C$27="No"),0,IF(ISNUMBER(N165),N165,IF($T165="Weights",IF(ISNUMBER(Setup!$D$27),Setup!$D$27,0),IF($T165="Nights",IF(ISNUMBER(Setup!$E$27),Setup!$E$27,0),IF(OR($T165="Exact amounts",$T165="Custom units"),0,1))))))</f>
        <v>0</v>
      </c>
      <c r="AB165" s="29">
        <f>IF($T165="",0,IF(OR(Setup!$B$28="",Setup!$C$28="No"),0,IF(ISNUMBER(O165),O165,IF($T165="Weights",IF(ISNUMBER(Setup!$D$28),Setup!$D$28,0),IF($T165="Nights",IF(ISNUMBER(Setup!$E$28),Setup!$E$28,0),IF(OR($T165="Exact amounts",$T165="Custom units"),0,1))))))</f>
        <v>0</v>
      </c>
      <c r="AC165" s="29">
        <f>IF($T165="",0,IF(OR(Setup!$B$29="",Setup!$C$29="No"),0,IF(ISNUMBER(P165),P165,IF($T165="Weights",IF(ISNUMBER(Setup!$D$29),Setup!$D$29,0),IF($T165="Nights",IF(ISNUMBER(Setup!$E$29),Setup!$E$29,0),IF(OR($T165="Exact amounts",$T165="Custom units"),0,1))))))</f>
        <v>0</v>
      </c>
      <c r="AD165" s="29">
        <f>IF($T165="",0,IF(OR(Setup!$B$30="",Setup!$C$30="No"),0,IF(ISNUMBER(Q165),Q165,IF($T165="Weights",IF(ISNUMBER(Setup!$D$30),Setup!$D$30,0),IF($T165="Nights",IF(ISNUMBER(Setup!$E$30),Setup!$E$30,0),IF(OR($T165="Exact amounts",$T165="Custom units"),0,1))))))</f>
        <v>0</v>
      </c>
      <c r="AE165" s="29">
        <f t="shared" si="9"/>
        <v>0</v>
      </c>
      <c r="AF165" s="30">
        <f t="shared" si="10"/>
        <v>1</v>
      </c>
      <c r="AG165" s="29">
        <f t="shared" si="11"/>
        <v>0</v>
      </c>
    </row>
    <row r="166" spans="1:33" ht="16" x14ac:dyDescent="0.2">
      <c r="A166" s="22" t="str">
        <f t="shared" si="8"/>
        <v>—</v>
      </c>
      <c r="B166" s="23"/>
      <c r="C166" s="16"/>
      <c r="D166" s="16"/>
      <c r="E166" s="24"/>
      <c r="F166" s="16"/>
      <c r="G166" s="16"/>
      <c r="H166" s="25"/>
      <c r="I166" s="25"/>
      <c r="J166" s="25"/>
      <c r="K166" s="25"/>
      <c r="L166" s="25"/>
      <c r="M166" s="25"/>
      <c r="N166" s="25"/>
      <c r="O166" s="25"/>
      <c r="P166" s="25"/>
      <c r="Q166" s="25"/>
      <c r="R166" s="26" t="str">
        <f>IF($T166="","",IF($D166="","Who paid?",IF(SUMPRODUCT((Setup!$B$21:$B$30=$D166)*1)=0,"Payer is not in the member list on Setup",IF($E166="","Amount missing — type the number in column E",IF(NOT(ISNUMBER($E166)),"Amount must be a plain number — no currency symbol, no text",IF(AND($T166="Custom units",$AE166&lt;=0),"Custom units: nobody has units on this row — type a number for at least one person",IF($AE166&lt;=0,"Nobody shares this row — check the person columns H–Q, and the Weight / Nights columns on Setup",IF(AND($T166="Exact amounts",ABS($AE166-$AG166)&gt;0.01),"Exact amounts do not add up to the amount","OK"))))))))</f>
        <v/>
      </c>
      <c r="S166" s="27" t="str">
        <f>IFERROR(IF(OR($T166="",$C$4=""),"—",ROUND($AG166*INDEX($U166:$AD166,1,MATCH($C$4,Setup!$B$21:$B$30,0))/$AF166,2)),"—")</f>
        <v>—</v>
      </c>
      <c r="T166" s="28" t="str">
        <f>IF(AND($C166="",$D166="",NOT(ISNUMBER($E166))),"",IF($G166="",IF(Setup!$C$17="","Equal",Setup!$C$17),$G166))</f>
        <v/>
      </c>
      <c r="U166" s="29">
        <f>IF($T166="",0,IF(OR(Setup!$B$21="",Setup!$C$21="No"),0,IF(ISNUMBER(H166),H166,IF($T166="Weights",IF(ISNUMBER(Setup!$D$21),Setup!$D$21,0),IF($T166="Nights",IF(ISNUMBER(Setup!$E$21),Setup!$E$21,0),IF(OR($T166="Exact amounts",$T166="Custom units"),0,1))))))</f>
        <v>0</v>
      </c>
      <c r="V166" s="29">
        <f>IF($T166="",0,IF(OR(Setup!$B$22="",Setup!$C$22="No"),0,IF(ISNUMBER(I166),I166,IF($T166="Weights",IF(ISNUMBER(Setup!$D$22),Setup!$D$22,0),IF($T166="Nights",IF(ISNUMBER(Setup!$E$22),Setup!$E$22,0),IF(OR($T166="Exact amounts",$T166="Custom units"),0,1))))))</f>
        <v>0</v>
      </c>
      <c r="W166" s="29">
        <f>IF($T166="",0,IF(OR(Setup!$B$23="",Setup!$C$23="No"),0,IF(ISNUMBER(J166),J166,IF($T166="Weights",IF(ISNUMBER(Setup!$D$23),Setup!$D$23,0),IF($T166="Nights",IF(ISNUMBER(Setup!$E$23),Setup!$E$23,0),IF(OR($T166="Exact amounts",$T166="Custom units"),0,1))))))</f>
        <v>0</v>
      </c>
      <c r="X166" s="29">
        <f>IF($T166="",0,IF(OR(Setup!$B$24="",Setup!$C$24="No"),0,IF(ISNUMBER(K166),K166,IF($T166="Weights",IF(ISNUMBER(Setup!$D$24),Setup!$D$24,0),IF($T166="Nights",IF(ISNUMBER(Setup!$E$24),Setup!$E$24,0),IF(OR($T166="Exact amounts",$T166="Custom units"),0,1))))))</f>
        <v>0</v>
      </c>
      <c r="Y166" s="29">
        <f>IF($T166="",0,IF(OR(Setup!$B$25="",Setup!$C$25="No"),0,IF(ISNUMBER(L166),L166,IF($T166="Weights",IF(ISNUMBER(Setup!$D$25),Setup!$D$25,0),IF($T166="Nights",IF(ISNUMBER(Setup!$E$25),Setup!$E$25,0),IF(OR($T166="Exact amounts",$T166="Custom units"),0,1))))))</f>
        <v>0</v>
      </c>
      <c r="Z166" s="29">
        <f>IF($T166="",0,IF(OR(Setup!$B$26="",Setup!$C$26="No"),0,IF(ISNUMBER(M166),M166,IF($T166="Weights",IF(ISNUMBER(Setup!$D$26),Setup!$D$26,0),IF($T166="Nights",IF(ISNUMBER(Setup!$E$26),Setup!$E$26,0),IF(OR($T166="Exact amounts",$T166="Custom units"),0,1))))))</f>
        <v>0</v>
      </c>
      <c r="AA166" s="29">
        <f>IF($T166="",0,IF(OR(Setup!$B$27="",Setup!$C$27="No"),0,IF(ISNUMBER(N166),N166,IF($T166="Weights",IF(ISNUMBER(Setup!$D$27),Setup!$D$27,0),IF($T166="Nights",IF(ISNUMBER(Setup!$E$27),Setup!$E$27,0),IF(OR($T166="Exact amounts",$T166="Custom units"),0,1))))))</f>
        <v>0</v>
      </c>
      <c r="AB166" s="29">
        <f>IF($T166="",0,IF(OR(Setup!$B$28="",Setup!$C$28="No"),0,IF(ISNUMBER(O166),O166,IF($T166="Weights",IF(ISNUMBER(Setup!$D$28),Setup!$D$28,0),IF($T166="Nights",IF(ISNUMBER(Setup!$E$28),Setup!$E$28,0),IF(OR($T166="Exact amounts",$T166="Custom units"),0,1))))))</f>
        <v>0</v>
      </c>
      <c r="AC166" s="29">
        <f>IF($T166="",0,IF(OR(Setup!$B$29="",Setup!$C$29="No"),0,IF(ISNUMBER(P166),P166,IF($T166="Weights",IF(ISNUMBER(Setup!$D$29),Setup!$D$29,0),IF($T166="Nights",IF(ISNUMBER(Setup!$E$29),Setup!$E$29,0),IF(OR($T166="Exact amounts",$T166="Custom units"),0,1))))))</f>
        <v>0</v>
      </c>
      <c r="AD166" s="29">
        <f>IF($T166="",0,IF(OR(Setup!$B$30="",Setup!$C$30="No"),0,IF(ISNUMBER(Q166),Q166,IF($T166="Weights",IF(ISNUMBER(Setup!$D$30),Setup!$D$30,0),IF($T166="Nights",IF(ISNUMBER(Setup!$E$30),Setup!$E$30,0),IF(OR($T166="Exact amounts",$T166="Custom units"),0,1))))))</f>
        <v>0</v>
      </c>
      <c r="AE166" s="29">
        <f t="shared" si="9"/>
        <v>0</v>
      </c>
      <c r="AF166" s="30">
        <f t="shared" si="10"/>
        <v>1</v>
      </c>
      <c r="AG166" s="29">
        <f t="shared" si="11"/>
        <v>0</v>
      </c>
    </row>
    <row r="167" spans="1:33" ht="16" x14ac:dyDescent="0.2">
      <c r="A167" s="22" t="str">
        <f t="shared" si="8"/>
        <v>—</v>
      </c>
      <c r="B167" s="31"/>
      <c r="C167" s="11"/>
      <c r="D167" s="11"/>
      <c r="E167" s="32"/>
      <c r="F167" s="11"/>
      <c r="G167" s="11"/>
      <c r="H167" s="33"/>
      <c r="I167" s="33"/>
      <c r="J167" s="33"/>
      <c r="K167" s="33"/>
      <c r="L167" s="33"/>
      <c r="M167" s="33"/>
      <c r="N167" s="33"/>
      <c r="O167" s="33"/>
      <c r="P167" s="33"/>
      <c r="Q167" s="33"/>
      <c r="R167" s="26" t="str">
        <f>IF($T167="","",IF($D167="","Who paid?",IF(SUMPRODUCT((Setup!$B$21:$B$30=$D167)*1)=0,"Payer is not in the member list on Setup",IF($E167="","Amount missing — type the number in column E",IF(NOT(ISNUMBER($E167)),"Amount must be a plain number — no currency symbol, no text",IF(AND($T167="Custom units",$AE167&lt;=0),"Custom units: nobody has units on this row — type a number for at least one person",IF($AE167&lt;=0,"Nobody shares this row — check the person columns H–Q, and the Weight / Nights columns on Setup",IF(AND($T167="Exact amounts",ABS($AE167-$AG167)&gt;0.01),"Exact amounts do not add up to the amount","OK"))))))))</f>
        <v/>
      </c>
      <c r="S167" s="27" t="str">
        <f>IFERROR(IF(OR($T167="",$C$4=""),"—",ROUND($AG167*INDEX($U167:$AD167,1,MATCH($C$4,Setup!$B$21:$B$30,0))/$AF167,2)),"—")</f>
        <v>—</v>
      </c>
      <c r="T167" s="28" t="str">
        <f>IF(AND($C167="",$D167="",NOT(ISNUMBER($E167))),"",IF($G167="",IF(Setup!$C$17="","Equal",Setup!$C$17),$G167))</f>
        <v/>
      </c>
      <c r="U167" s="29">
        <f>IF($T167="",0,IF(OR(Setup!$B$21="",Setup!$C$21="No"),0,IF(ISNUMBER(H167),H167,IF($T167="Weights",IF(ISNUMBER(Setup!$D$21),Setup!$D$21,0),IF($T167="Nights",IF(ISNUMBER(Setup!$E$21),Setup!$E$21,0),IF(OR($T167="Exact amounts",$T167="Custom units"),0,1))))))</f>
        <v>0</v>
      </c>
      <c r="V167" s="29">
        <f>IF($T167="",0,IF(OR(Setup!$B$22="",Setup!$C$22="No"),0,IF(ISNUMBER(I167),I167,IF($T167="Weights",IF(ISNUMBER(Setup!$D$22),Setup!$D$22,0),IF($T167="Nights",IF(ISNUMBER(Setup!$E$22),Setup!$E$22,0),IF(OR($T167="Exact amounts",$T167="Custom units"),0,1))))))</f>
        <v>0</v>
      </c>
      <c r="W167" s="29">
        <f>IF($T167="",0,IF(OR(Setup!$B$23="",Setup!$C$23="No"),0,IF(ISNUMBER(J167),J167,IF($T167="Weights",IF(ISNUMBER(Setup!$D$23),Setup!$D$23,0),IF($T167="Nights",IF(ISNUMBER(Setup!$E$23),Setup!$E$23,0),IF(OR($T167="Exact amounts",$T167="Custom units"),0,1))))))</f>
        <v>0</v>
      </c>
      <c r="X167" s="29">
        <f>IF($T167="",0,IF(OR(Setup!$B$24="",Setup!$C$24="No"),0,IF(ISNUMBER(K167),K167,IF($T167="Weights",IF(ISNUMBER(Setup!$D$24),Setup!$D$24,0),IF($T167="Nights",IF(ISNUMBER(Setup!$E$24),Setup!$E$24,0),IF(OR($T167="Exact amounts",$T167="Custom units"),0,1))))))</f>
        <v>0</v>
      </c>
      <c r="Y167" s="29">
        <f>IF($T167="",0,IF(OR(Setup!$B$25="",Setup!$C$25="No"),0,IF(ISNUMBER(L167),L167,IF($T167="Weights",IF(ISNUMBER(Setup!$D$25),Setup!$D$25,0),IF($T167="Nights",IF(ISNUMBER(Setup!$E$25),Setup!$E$25,0),IF(OR($T167="Exact amounts",$T167="Custom units"),0,1))))))</f>
        <v>0</v>
      </c>
      <c r="Z167" s="29">
        <f>IF($T167="",0,IF(OR(Setup!$B$26="",Setup!$C$26="No"),0,IF(ISNUMBER(M167),M167,IF($T167="Weights",IF(ISNUMBER(Setup!$D$26),Setup!$D$26,0),IF($T167="Nights",IF(ISNUMBER(Setup!$E$26),Setup!$E$26,0),IF(OR($T167="Exact amounts",$T167="Custom units"),0,1))))))</f>
        <v>0</v>
      </c>
      <c r="AA167" s="29">
        <f>IF($T167="",0,IF(OR(Setup!$B$27="",Setup!$C$27="No"),0,IF(ISNUMBER(N167),N167,IF($T167="Weights",IF(ISNUMBER(Setup!$D$27),Setup!$D$27,0),IF($T167="Nights",IF(ISNUMBER(Setup!$E$27),Setup!$E$27,0),IF(OR($T167="Exact amounts",$T167="Custom units"),0,1))))))</f>
        <v>0</v>
      </c>
      <c r="AB167" s="29">
        <f>IF($T167="",0,IF(OR(Setup!$B$28="",Setup!$C$28="No"),0,IF(ISNUMBER(O167),O167,IF($T167="Weights",IF(ISNUMBER(Setup!$D$28),Setup!$D$28,0),IF($T167="Nights",IF(ISNUMBER(Setup!$E$28),Setup!$E$28,0),IF(OR($T167="Exact amounts",$T167="Custom units"),0,1))))))</f>
        <v>0</v>
      </c>
      <c r="AC167" s="29">
        <f>IF($T167="",0,IF(OR(Setup!$B$29="",Setup!$C$29="No"),0,IF(ISNUMBER(P167),P167,IF($T167="Weights",IF(ISNUMBER(Setup!$D$29),Setup!$D$29,0),IF($T167="Nights",IF(ISNUMBER(Setup!$E$29),Setup!$E$29,0),IF(OR($T167="Exact amounts",$T167="Custom units"),0,1))))))</f>
        <v>0</v>
      </c>
      <c r="AD167" s="29">
        <f>IF($T167="",0,IF(OR(Setup!$B$30="",Setup!$C$30="No"),0,IF(ISNUMBER(Q167),Q167,IF($T167="Weights",IF(ISNUMBER(Setup!$D$30),Setup!$D$30,0),IF($T167="Nights",IF(ISNUMBER(Setup!$E$30),Setup!$E$30,0),IF(OR($T167="Exact amounts",$T167="Custom units"),0,1))))))</f>
        <v>0</v>
      </c>
      <c r="AE167" s="29">
        <f t="shared" si="9"/>
        <v>0</v>
      </c>
      <c r="AF167" s="30">
        <f t="shared" si="10"/>
        <v>1</v>
      </c>
      <c r="AG167" s="29">
        <f t="shared" si="11"/>
        <v>0</v>
      </c>
    </row>
    <row r="168" spans="1:33" ht="16" x14ac:dyDescent="0.2">
      <c r="A168" s="22" t="str">
        <f t="shared" si="8"/>
        <v>—</v>
      </c>
      <c r="B168" s="23"/>
      <c r="C168" s="16"/>
      <c r="D168" s="16"/>
      <c r="E168" s="24"/>
      <c r="F168" s="16"/>
      <c r="G168" s="16"/>
      <c r="H168" s="25"/>
      <c r="I168" s="25"/>
      <c r="J168" s="25"/>
      <c r="K168" s="25"/>
      <c r="L168" s="25"/>
      <c r="M168" s="25"/>
      <c r="N168" s="25"/>
      <c r="O168" s="25"/>
      <c r="P168" s="25"/>
      <c r="Q168" s="25"/>
      <c r="R168" s="26" t="str">
        <f>IF($T168="","",IF($D168="","Who paid?",IF(SUMPRODUCT((Setup!$B$21:$B$30=$D168)*1)=0,"Payer is not in the member list on Setup",IF($E168="","Amount missing — type the number in column E",IF(NOT(ISNUMBER($E168)),"Amount must be a plain number — no currency symbol, no text",IF(AND($T168="Custom units",$AE168&lt;=0),"Custom units: nobody has units on this row — type a number for at least one person",IF($AE168&lt;=0,"Nobody shares this row — check the person columns H–Q, and the Weight / Nights columns on Setup",IF(AND($T168="Exact amounts",ABS($AE168-$AG168)&gt;0.01),"Exact amounts do not add up to the amount","OK"))))))))</f>
        <v/>
      </c>
      <c r="S168" s="27" t="str">
        <f>IFERROR(IF(OR($T168="",$C$4=""),"—",ROUND($AG168*INDEX($U168:$AD168,1,MATCH($C$4,Setup!$B$21:$B$30,0))/$AF168,2)),"—")</f>
        <v>—</v>
      </c>
      <c r="T168" s="28" t="str">
        <f>IF(AND($C168="",$D168="",NOT(ISNUMBER($E168))),"",IF($G168="",IF(Setup!$C$17="","Equal",Setup!$C$17),$G168))</f>
        <v/>
      </c>
      <c r="U168" s="29">
        <f>IF($T168="",0,IF(OR(Setup!$B$21="",Setup!$C$21="No"),0,IF(ISNUMBER(H168),H168,IF($T168="Weights",IF(ISNUMBER(Setup!$D$21),Setup!$D$21,0),IF($T168="Nights",IF(ISNUMBER(Setup!$E$21),Setup!$E$21,0),IF(OR($T168="Exact amounts",$T168="Custom units"),0,1))))))</f>
        <v>0</v>
      </c>
      <c r="V168" s="29">
        <f>IF($T168="",0,IF(OR(Setup!$B$22="",Setup!$C$22="No"),0,IF(ISNUMBER(I168),I168,IF($T168="Weights",IF(ISNUMBER(Setup!$D$22),Setup!$D$22,0),IF($T168="Nights",IF(ISNUMBER(Setup!$E$22),Setup!$E$22,0),IF(OR($T168="Exact amounts",$T168="Custom units"),0,1))))))</f>
        <v>0</v>
      </c>
      <c r="W168" s="29">
        <f>IF($T168="",0,IF(OR(Setup!$B$23="",Setup!$C$23="No"),0,IF(ISNUMBER(J168),J168,IF($T168="Weights",IF(ISNUMBER(Setup!$D$23),Setup!$D$23,0),IF($T168="Nights",IF(ISNUMBER(Setup!$E$23),Setup!$E$23,0),IF(OR($T168="Exact amounts",$T168="Custom units"),0,1))))))</f>
        <v>0</v>
      </c>
      <c r="X168" s="29">
        <f>IF($T168="",0,IF(OR(Setup!$B$24="",Setup!$C$24="No"),0,IF(ISNUMBER(K168),K168,IF($T168="Weights",IF(ISNUMBER(Setup!$D$24),Setup!$D$24,0),IF($T168="Nights",IF(ISNUMBER(Setup!$E$24),Setup!$E$24,0),IF(OR($T168="Exact amounts",$T168="Custom units"),0,1))))))</f>
        <v>0</v>
      </c>
      <c r="Y168" s="29">
        <f>IF($T168="",0,IF(OR(Setup!$B$25="",Setup!$C$25="No"),0,IF(ISNUMBER(L168),L168,IF($T168="Weights",IF(ISNUMBER(Setup!$D$25),Setup!$D$25,0),IF($T168="Nights",IF(ISNUMBER(Setup!$E$25),Setup!$E$25,0),IF(OR($T168="Exact amounts",$T168="Custom units"),0,1))))))</f>
        <v>0</v>
      </c>
      <c r="Z168" s="29">
        <f>IF($T168="",0,IF(OR(Setup!$B$26="",Setup!$C$26="No"),0,IF(ISNUMBER(M168),M168,IF($T168="Weights",IF(ISNUMBER(Setup!$D$26),Setup!$D$26,0),IF($T168="Nights",IF(ISNUMBER(Setup!$E$26),Setup!$E$26,0),IF(OR($T168="Exact amounts",$T168="Custom units"),0,1))))))</f>
        <v>0</v>
      </c>
      <c r="AA168" s="29">
        <f>IF($T168="",0,IF(OR(Setup!$B$27="",Setup!$C$27="No"),0,IF(ISNUMBER(N168),N168,IF($T168="Weights",IF(ISNUMBER(Setup!$D$27),Setup!$D$27,0),IF($T168="Nights",IF(ISNUMBER(Setup!$E$27),Setup!$E$27,0),IF(OR($T168="Exact amounts",$T168="Custom units"),0,1))))))</f>
        <v>0</v>
      </c>
      <c r="AB168" s="29">
        <f>IF($T168="",0,IF(OR(Setup!$B$28="",Setup!$C$28="No"),0,IF(ISNUMBER(O168),O168,IF($T168="Weights",IF(ISNUMBER(Setup!$D$28),Setup!$D$28,0),IF($T168="Nights",IF(ISNUMBER(Setup!$E$28),Setup!$E$28,0),IF(OR($T168="Exact amounts",$T168="Custom units"),0,1))))))</f>
        <v>0</v>
      </c>
      <c r="AC168" s="29">
        <f>IF($T168="",0,IF(OR(Setup!$B$29="",Setup!$C$29="No"),0,IF(ISNUMBER(P168),P168,IF($T168="Weights",IF(ISNUMBER(Setup!$D$29),Setup!$D$29,0),IF($T168="Nights",IF(ISNUMBER(Setup!$E$29),Setup!$E$29,0),IF(OR($T168="Exact amounts",$T168="Custom units"),0,1))))))</f>
        <v>0</v>
      </c>
      <c r="AD168" s="29">
        <f>IF($T168="",0,IF(OR(Setup!$B$30="",Setup!$C$30="No"),0,IF(ISNUMBER(Q168),Q168,IF($T168="Weights",IF(ISNUMBER(Setup!$D$30),Setup!$D$30,0),IF($T168="Nights",IF(ISNUMBER(Setup!$E$30),Setup!$E$30,0),IF(OR($T168="Exact amounts",$T168="Custom units"),0,1))))))</f>
        <v>0</v>
      </c>
      <c r="AE168" s="29">
        <f t="shared" si="9"/>
        <v>0</v>
      </c>
      <c r="AF168" s="30">
        <f t="shared" si="10"/>
        <v>1</v>
      </c>
      <c r="AG168" s="29">
        <f t="shared" si="11"/>
        <v>0</v>
      </c>
    </row>
    <row r="169" spans="1:33" ht="16" x14ac:dyDescent="0.2">
      <c r="A169" s="22" t="str">
        <f t="shared" si="8"/>
        <v>—</v>
      </c>
      <c r="B169" s="31"/>
      <c r="C169" s="11"/>
      <c r="D169" s="11"/>
      <c r="E169" s="32"/>
      <c r="F169" s="11"/>
      <c r="G169" s="11"/>
      <c r="H169" s="33"/>
      <c r="I169" s="33"/>
      <c r="J169" s="33"/>
      <c r="K169" s="33"/>
      <c r="L169" s="33"/>
      <c r="M169" s="33"/>
      <c r="N169" s="33"/>
      <c r="O169" s="33"/>
      <c r="P169" s="33"/>
      <c r="Q169" s="33"/>
      <c r="R169" s="26" t="str">
        <f>IF($T169="","",IF($D169="","Who paid?",IF(SUMPRODUCT((Setup!$B$21:$B$30=$D169)*1)=0,"Payer is not in the member list on Setup",IF($E169="","Amount missing — type the number in column E",IF(NOT(ISNUMBER($E169)),"Amount must be a plain number — no currency symbol, no text",IF(AND($T169="Custom units",$AE169&lt;=0),"Custom units: nobody has units on this row — type a number for at least one person",IF($AE169&lt;=0,"Nobody shares this row — check the person columns H–Q, and the Weight / Nights columns on Setup",IF(AND($T169="Exact amounts",ABS($AE169-$AG169)&gt;0.01),"Exact amounts do not add up to the amount","OK"))))))))</f>
        <v/>
      </c>
      <c r="S169" s="27" t="str">
        <f>IFERROR(IF(OR($T169="",$C$4=""),"—",ROUND($AG169*INDEX($U169:$AD169,1,MATCH($C$4,Setup!$B$21:$B$30,0))/$AF169,2)),"—")</f>
        <v>—</v>
      </c>
      <c r="T169" s="28" t="str">
        <f>IF(AND($C169="",$D169="",NOT(ISNUMBER($E169))),"",IF($G169="",IF(Setup!$C$17="","Equal",Setup!$C$17),$G169))</f>
        <v/>
      </c>
      <c r="U169" s="29">
        <f>IF($T169="",0,IF(OR(Setup!$B$21="",Setup!$C$21="No"),0,IF(ISNUMBER(H169),H169,IF($T169="Weights",IF(ISNUMBER(Setup!$D$21),Setup!$D$21,0),IF($T169="Nights",IF(ISNUMBER(Setup!$E$21),Setup!$E$21,0),IF(OR($T169="Exact amounts",$T169="Custom units"),0,1))))))</f>
        <v>0</v>
      </c>
      <c r="V169" s="29">
        <f>IF($T169="",0,IF(OR(Setup!$B$22="",Setup!$C$22="No"),0,IF(ISNUMBER(I169),I169,IF($T169="Weights",IF(ISNUMBER(Setup!$D$22),Setup!$D$22,0),IF($T169="Nights",IF(ISNUMBER(Setup!$E$22),Setup!$E$22,0),IF(OR($T169="Exact amounts",$T169="Custom units"),0,1))))))</f>
        <v>0</v>
      </c>
      <c r="W169" s="29">
        <f>IF($T169="",0,IF(OR(Setup!$B$23="",Setup!$C$23="No"),0,IF(ISNUMBER(J169),J169,IF($T169="Weights",IF(ISNUMBER(Setup!$D$23),Setup!$D$23,0),IF($T169="Nights",IF(ISNUMBER(Setup!$E$23),Setup!$E$23,0),IF(OR($T169="Exact amounts",$T169="Custom units"),0,1))))))</f>
        <v>0</v>
      </c>
      <c r="X169" s="29">
        <f>IF($T169="",0,IF(OR(Setup!$B$24="",Setup!$C$24="No"),0,IF(ISNUMBER(K169),K169,IF($T169="Weights",IF(ISNUMBER(Setup!$D$24),Setup!$D$24,0),IF($T169="Nights",IF(ISNUMBER(Setup!$E$24),Setup!$E$24,0),IF(OR($T169="Exact amounts",$T169="Custom units"),0,1))))))</f>
        <v>0</v>
      </c>
      <c r="Y169" s="29">
        <f>IF($T169="",0,IF(OR(Setup!$B$25="",Setup!$C$25="No"),0,IF(ISNUMBER(L169),L169,IF($T169="Weights",IF(ISNUMBER(Setup!$D$25),Setup!$D$25,0),IF($T169="Nights",IF(ISNUMBER(Setup!$E$25),Setup!$E$25,0),IF(OR($T169="Exact amounts",$T169="Custom units"),0,1))))))</f>
        <v>0</v>
      </c>
      <c r="Z169" s="29">
        <f>IF($T169="",0,IF(OR(Setup!$B$26="",Setup!$C$26="No"),0,IF(ISNUMBER(M169),M169,IF($T169="Weights",IF(ISNUMBER(Setup!$D$26),Setup!$D$26,0),IF($T169="Nights",IF(ISNUMBER(Setup!$E$26),Setup!$E$26,0),IF(OR($T169="Exact amounts",$T169="Custom units"),0,1))))))</f>
        <v>0</v>
      </c>
      <c r="AA169" s="29">
        <f>IF($T169="",0,IF(OR(Setup!$B$27="",Setup!$C$27="No"),0,IF(ISNUMBER(N169),N169,IF($T169="Weights",IF(ISNUMBER(Setup!$D$27),Setup!$D$27,0),IF($T169="Nights",IF(ISNUMBER(Setup!$E$27),Setup!$E$27,0),IF(OR($T169="Exact amounts",$T169="Custom units"),0,1))))))</f>
        <v>0</v>
      </c>
      <c r="AB169" s="29">
        <f>IF($T169="",0,IF(OR(Setup!$B$28="",Setup!$C$28="No"),0,IF(ISNUMBER(O169),O169,IF($T169="Weights",IF(ISNUMBER(Setup!$D$28),Setup!$D$28,0),IF($T169="Nights",IF(ISNUMBER(Setup!$E$28),Setup!$E$28,0),IF(OR($T169="Exact amounts",$T169="Custom units"),0,1))))))</f>
        <v>0</v>
      </c>
      <c r="AC169" s="29">
        <f>IF($T169="",0,IF(OR(Setup!$B$29="",Setup!$C$29="No"),0,IF(ISNUMBER(P169),P169,IF($T169="Weights",IF(ISNUMBER(Setup!$D$29),Setup!$D$29,0),IF($T169="Nights",IF(ISNUMBER(Setup!$E$29),Setup!$E$29,0),IF(OR($T169="Exact amounts",$T169="Custom units"),0,1))))))</f>
        <v>0</v>
      </c>
      <c r="AD169" s="29">
        <f>IF($T169="",0,IF(OR(Setup!$B$30="",Setup!$C$30="No"),0,IF(ISNUMBER(Q169),Q169,IF($T169="Weights",IF(ISNUMBER(Setup!$D$30),Setup!$D$30,0),IF($T169="Nights",IF(ISNUMBER(Setup!$E$30),Setup!$E$30,0),IF(OR($T169="Exact amounts",$T169="Custom units"),0,1))))))</f>
        <v>0</v>
      </c>
      <c r="AE169" s="29">
        <f t="shared" si="9"/>
        <v>0</v>
      </c>
      <c r="AF169" s="30">
        <f t="shared" si="10"/>
        <v>1</v>
      </c>
      <c r="AG169" s="29">
        <f t="shared" si="11"/>
        <v>0</v>
      </c>
    </row>
    <row r="170" spans="1:33" ht="16" x14ac:dyDescent="0.2">
      <c r="A170" s="22" t="str">
        <f t="shared" si="8"/>
        <v>—</v>
      </c>
      <c r="B170" s="23"/>
      <c r="C170" s="16"/>
      <c r="D170" s="16"/>
      <c r="E170" s="24"/>
      <c r="F170" s="16"/>
      <c r="G170" s="16"/>
      <c r="H170" s="25"/>
      <c r="I170" s="25"/>
      <c r="J170" s="25"/>
      <c r="K170" s="25"/>
      <c r="L170" s="25"/>
      <c r="M170" s="25"/>
      <c r="N170" s="25"/>
      <c r="O170" s="25"/>
      <c r="P170" s="25"/>
      <c r="Q170" s="25"/>
      <c r="R170" s="26" t="str">
        <f>IF($T170="","",IF($D170="","Who paid?",IF(SUMPRODUCT((Setup!$B$21:$B$30=$D170)*1)=0,"Payer is not in the member list on Setup",IF($E170="","Amount missing — type the number in column E",IF(NOT(ISNUMBER($E170)),"Amount must be a plain number — no currency symbol, no text",IF(AND($T170="Custom units",$AE170&lt;=0),"Custom units: nobody has units on this row — type a number for at least one person",IF($AE170&lt;=0,"Nobody shares this row — check the person columns H–Q, and the Weight / Nights columns on Setup",IF(AND($T170="Exact amounts",ABS($AE170-$AG170)&gt;0.01),"Exact amounts do not add up to the amount","OK"))))))))</f>
        <v/>
      </c>
      <c r="S170" s="27" t="str">
        <f>IFERROR(IF(OR($T170="",$C$4=""),"—",ROUND($AG170*INDEX($U170:$AD170,1,MATCH($C$4,Setup!$B$21:$B$30,0))/$AF170,2)),"—")</f>
        <v>—</v>
      </c>
      <c r="T170" s="28" t="str">
        <f>IF(AND($C170="",$D170="",NOT(ISNUMBER($E170))),"",IF($G170="",IF(Setup!$C$17="","Equal",Setup!$C$17),$G170))</f>
        <v/>
      </c>
      <c r="U170" s="29">
        <f>IF($T170="",0,IF(OR(Setup!$B$21="",Setup!$C$21="No"),0,IF(ISNUMBER(H170),H170,IF($T170="Weights",IF(ISNUMBER(Setup!$D$21),Setup!$D$21,0),IF($T170="Nights",IF(ISNUMBER(Setup!$E$21),Setup!$E$21,0),IF(OR($T170="Exact amounts",$T170="Custom units"),0,1))))))</f>
        <v>0</v>
      </c>
      <c r="V170" s="29">
        <f>IF($T170="",0,IF(OR(Setup!$B$22="",Setup!$C$22="No"),0,IF(ISNUMBER(I170),I170,IF($T170="Weights",IF(ISNUMBER(Setup!$D$22),Setup!$D$22,0),IF($T170="Nights",IF(ISNUMBER(Setup!$E$22),Setup!$E$22,0),IF(OR($T170="Exact amounts",$T170="Custom units"),0,1))))))</f>
        <v>0</v>
      </c>
      <c r="W170" s="29">
        <f>IF($T170="",0,IF(OR(Setup!$B$23="",Setup!$C$23="No"),0,IF(ISNUMBER(J170),J170,IF($T170="Weights",IF(ISNUMBER(Setup!$D$23),Setup!$D$23,0),IF($T170="Nights",IF(ISNUMBER(Setup!$E$23),Setup!$E$23,0),IF(OR($T170="Exact amounts",$T170="Custom units"),0,1))))))</f>
        <v>0</v>
      </c>
      <c r="X170" s="29">
        <f>IF($T170="",0,IF(OR(Setup!$B$24="",Setup!$C$24="No"),0,IF(ISNUMBER(K170),K170,IF($T170="Weights",IF(ISNUMBER(Setup!$D$24),Setup!$D$24,0),IF($T170="Nights",IF(ISNUMBER(Setup!$E$24),Setup!$E$24,0),IF(OR($T170="Exact amounts",$T170="Custom units"),0,1))))))</f>
        <v>0</v>
      </c>
      <c r="Y170" s="29">
        <f>IF($T170="",0,IF(OR(Setup!$B$25="",Setup!$C$25="No"),0,IF(ISNUMBER(L170),L170,IF($T170="Weights",IF(ISNUMBER(Setup!$D$25),Setup!$D$25,0),IF($T170="Nights",IF(ISNUMBER(Setup!$E$25),Setup!$E$25,0),IF(OR($T170="Exact amounts",$T170="Custom units"),0,1))))))</f>
        <v>0</v>
      </c>
      <c r="Z170" s="29">
        <f>IF($T170="",0,IF(OR(Setup!$B$26="",Setup!$C$26="No"),0,IF(ISNUMBER(M170),M170,IF($T170="Weights",IF(ISNUMBER(Setup!$D$26),Setup!$D$26,0),IF($T170="Nights",IF(ISNUMBER(Setup!$E$26),Setup!$E$26,0),IF(OR($T170="Exact amounts",$T170="Custom units"),0,1))))))</f>
        <v>0</v>
      </c>
      <c r="AA170" s="29">
        <f>IF($T170="",0,IF(OR(Setup!$B$27="",Setup!$C$27="No"),0,IF(ISNUMBER(N170),N170,IF($T170="Weights",IF(ISNUMBER(Setup!$D$27),Setup!$D$27,0),IF($T170="Nights",IF(ISNUMBER(Setup!$E$27),Setup!$E$27,0),IF(OR($T170="Exact amounts",$T170="Custom units"),0,1))))))</f>
        <v>0</v>
      </c>
      <c r="AB170" s="29">
        <f>IF($T170="",0,IF(OR(Setup!$B$28="",Setup!$C$28="No"),0,IF(ISNUMBER(O170),O170,IF($T170="Weights",IF(ISNUMBER(Setup!$D$28),Setup!$D$28,0),IF($T170="Nights",IF(ISNUMBER(Setup!$E$28),Setup!$E$28,0),IF(OR($T170="Exact amounts",$T170="Custom units"),0,1))))))</f>
        <v>0</v>
      </c>
      <c r="AC170" s="29">
        <f>IF($T170="",0,IF(OR(Setup!$B$29="",Setup!$C$29="No"),0,IF(ISNUMBER(P170),P170,IF($T170="Weights",IF(ISNUMBER(Setup!$D$29),Setup!$D$29,0),IF($T170="Nights",IF(ISNUMBER(Setup!$E$29),Setup!$E$29,0),IF(OR($T170="Exact amounts",$T170="Custom units"),0,1))))))</f>
        <v>0</v>
      </c>
      <c r="AD170" s="29">
        <f>IF($T170="",0,IF(OR(Setup!$B$30="",Setup!$C$30="No"),0,IF(ISNUMBER(Q170),Q170,IF($T170="Weights",IF(ISNUMBER(Setup!$D$30),Setup!$D$30,0),IF($T170="Nights",IF(ISNUMBER(Setup!$E$30),Setup!$E$30,0),IF(OR($T170="Exact amounts",$T170="Custom units"),0,1))))))</f>
        <v>0</v>
      </c>
      <c r="AE170" s="29">
        <f t="shared" si="9"/>
        <v>0</v>
      </c>
      <c r="AF170" s="30">
        <f t="shared" si="10"/>
        <v>1</v>
      </c>
      <c r="AG170" s="29">
        <f t="shared" si="11"/>
        <v>0</v>
      </c>
    </row>
    <row r="171" spans="1:33" ht="16" x14ac:dyDescent="0.2">
      <c r="A171" s="22" t="str">
        <f t="shared" si="8"/>
        <v>—</v>
      </c>
      <c r="B171" s="31"/>
      <c r="C171" s="11"/>
      <c r="D171" s="11"/>
      <c r="E171" s="32"/>
      <c r="F171" s="11"/>
      <c r="G171" s="11"/>
      <c r="H171" s="33"/>
      <c r="I171" s="33"/>
      <c r="J171" s="33"/>
      <c r="K171" s="33"/>
      <c r="L171" s="33"/>
      <c r="M171" s="33"/>
      <c r="N171" s="33"/>
      <c r="O171" s="33"/>
      <c r="P171" s="33"/>
      <c r="Q171" s="33"/>
      <c r="R171" s="26" t="str">
        <f>IF($T171="","",IF($D171="","Who paid?",IF(SUMPRODUCT((Setup!$B$21:$B$30=$D171)*1)=0,"Payer is not in the member list on Setup",IF($E171="","Amount missing — type the number in column E",IF(NOT(ISNUMBER($E171)),"Amount must be a plain number — no currency symbol, no text",IF(AND($T171="Custom units",$AE171&lt;=0),"Custom units: nobody has units on this row — type a number for at least one person",IF($AE171&lt;=0,"Nobody shares this row — check the person columns H–Q, and the Weight / Nights columns on Setup",IF(AND($T171="Exact amounts",ABS($AE171-$AG171)&gt;0.01),"Exact amounts do not add up to the amount","OK"))))))))</f>
        <v/>
      </c>
      <c r="S171" s="27" t="str">
        <f>IFERROR(IF(OR($T171="",$C$4=""),"—",ROUND($AG171*INDEX($U171:$AD171,1,MATCH($C$4,Setup!$B$21:$B$30,0))/$AF171,2)),"—")</f>
        <v>—</v>
      </c>
      <c r="T171" s="28" t="str">
        <f>IF(AND($C171="",$D171="",NOT(ISNUMBER($E171))),"",IF($G171="",IF(Setup!$C$17="","Equal",Setup!$C$17),$G171))</f>
        <v/>
      </c>
      <c r="U171" s="29">
        <f>IF($T171="",0,IF(OR(Setup!$B$21="",Setup!$C$21="No"),0,IF(ISNUMBER(H171),H171,IF($T171="Weights",IF(ISNUMBER(Setup!$D$21),Setup!$D$21,0),IF($T171="Nights",IF(ISNUMBER(Setup!$E$21),Setup!$E$21,0),IF(OR($T171="Exact amounts",$T171="Custom units"),0,1))))))</f>
        <v>0</v>
      </c>
      <c r="V171" s="29">
        <f>IF($T171="",0,IF(OR(Setup!$B$22="",Setup!$C$22="No"),0,IF(ISNUMBER(I171),I171,IF($T171="Weights",IF(ISNUMBER(Setup!$D$22),Setup!$D$22,0),IF($T171="Nights",IF(ISNUMBER(Setup!$E$22),Setup!$E$22,0),IF(OR($T171="Exact amounts",$T171="Custom units"),0,1))))))</f>
        <v>0</v>
      </c>
      <c r="W171" s="29">
        <f>IF($T171="",0,IF(OR(Setup!$B$23="",Setup!$C$23="No"),0,IF(ISNUMBER(J171),J171,IF($T171="Weights",IF(ISNUMBER(Setup!$D$23),Setup!$D$23,0),IF($T171="Nights",IF(ISNUMBER(Setup!$E$23),Setup!$E$23,0),IF(OR($T171="Exact amounts",$T171="Custom units"),0,1))))))</f>
        <v>0</v>
      </c>
      <c r="X171" s="29">
        <f>IF($T171="",0,IF(OR(Setup!$B$24="",Setup!$C$24="No"),0,IF(ISNUMBER(K171),K171,IF($T171="Weights",IF(ISNUMBER(Setup!$D$24),Setup!$D$24,0),IF($T171="Nights",IF(ISNUMBER(Setup!$E$24),Setup!$E$24,0),IF(OR($T171="Exact amounts",$T171="Custom units"),0,1))))))</f>
        <v>0</v>
      </c>
      <c r="Y171" s="29">
        <f>IF($T171="",0,IF(OR(Setup!$B$25="",Setup!$C$25="No"),0,IF(ISNUMBER(L171),L171,IF($T171="Weights",IF(ISNUMBER(Setup!$D$25),Setup!$D$25,0),IF($T171="Nights",IF(ISNUMBER(Setup!$E$25),Setup!$E$25,0),IF(OR($T171="Exact amounts",$T171="Custom units"),0,1))))))</f>
        <v>0</v>
      </c>
      <c r="Z171" s="29">
        <f>IF($T171="",0,IF(OR(Setup!$B$26="",Setup!$C$26="No"),0,IF(ISNUMBER(M171),M171,IF($T171="Weights",IF(ISNUMBER(Setup!$D$26),Setup!$D$26,0),IF($T171="Nights",IF(ISNUMBER(Setup!$E$26),Setup!$E$26,0),IF(OR($T171="Exact amounts",$T171="Custom units"),0,1))))))</f>
        <v>0</v>
      </c>
      <c r="AA171" s="29">
        <f>IF($T171="",0,IF(OR(Setup!$B$27="",Setup!$C$27="No"),0,IF(ISNUMBER(N171),N171,IF($T171="Weights",IF(ISNUMBER(Setup!$D$27),Setup!$D$27,0),IF($T171="Nights",IF(ISNUMBER(Setup!$E$27),Setup!$E$27,0),IF(OR($T171="Exact amounts",$T171="Custom units"),0,1))))))</f>
        <v>0</v>
      </c>
      <c r="AB171" s="29">
        <f>IF($T171="",0,IF(OR(Setup!$B$28="",Setup!$C$28="No"),0,IF(ISNUMBER(O171),O171,IF($T171="Weights",IF(ISNUMBER(Setup!$D$28),Setup!$D$28,0),IF($T171="Nights",IF(ISNUMBER(Setup!$E$28),Setup!$E$28,0),IF(OR($T171="Exact amounts",$T171="Custom units"),0,1))))))</f>
        <v>0</v>
      </c>
      <c r="AC171" s="29">
        <f>IF($T171="",0,IF(OR(Setup!$B$29="",Setup!$C$29="No"),0,IF(ISNUMBER(P171),P171,IF($T171="Weights",IF(ISNUMBER(Setup!$D$29),Setup!$D$29,0),IF($T171="Nights",IF(ISNUMBER(Setup!$E$29),Setup!$E$29,0),IF(OR($T171="Exact amounts",$T171="Custom units"),0,1))))))</f>
        <v>0</v>
      </c>
      <c r="AD171" s="29">
        <f>IF($T171="",0,IF(OR(Setup!$B$30="",Setup!$C$30="No"),0,IF(ISNUMBER(Q171),Q171,IF($T171="Weights",IF(ISNUMBER(Setup!$D$30),Setup!$D$30,0),IF($T171="Nights",IF(ISNUMBER(Setup!$E$30),Setup!$E$30,0),IF(OR($T171="Exact amounts",$T171="Custom units"),0,1))))))</f>
        <v>0</v>
      </c>
      <c r="AE171" s="29">
        <f t="shared" si="9"/>
        <v>0</v>
      </c>
      <c r="AF171" s="30">
        <f t="shared" si="10"/>
        <v>1</v>
      </c>
      <c r="AG171" s="29">
        <f t="shared" si="11"/>
        <v>0</v>
      </c>
    </row>
    <row r="172" spans="1:33" ht="16" x14ac:dyDescent="0.2">
      <c r="A172" s="22" t="str">
        <f t="shared" si="8"/>
        <v>—</v>
      </c>
      <c r="B172" s="23"/>
      <c r="C172" s="16"/>
      <c r="D172" s="16"/>
      <c r="E172" s="24"/>
      <c r="F172" s="16"/>
      <c r="G172" s="16"/>
      <c r="H172" s="25"/>
      <c r="I172" s="25"/>
      <c r="J172" s="25"/>
      <c r="K172" s="25"/>
      <c r="L172" s="25"/>
      <c r="M172" s="25"/>
      <c r="N172" s="25"/>
      <c r="O172" s="25"/>
      <c r="P172" s="25"/>
      <c r="Q172" s="25"/>
      <c r="R172" s="26" t="str">
        <f>IF($T172="","",IF($D172="","Who paid?",IF(SUMPRODUCT((Setup!$B$21:$B$30=$D172)*1)=0,"Payer is not in the member list on Setup",IF($E172="","Amount missing — type the number in column E",IF(NOT(ISNUMBER($E172)),"Amount must be a plain number — no currency symbol, no text",IF(AND($T172="Custom units",$AE172&lt;=0),"Custom units: nobody has units on this row — type a number for at least one person",IF($AE172&lt;=0,"Nobody shares this row — check the person columns H–Q, and the Weight / Nights columns on Setup",IF(AND($T172="Exact amounts",ABS($AE172-$AG172)&gt;0.01),"Exact amounts do not add up to the amount","OK"))))))))</f>
        <v/>
      </c>
      <c r="S172" s="27" t="str">
        <f>IFERROR(IF(OR($T172="",$C$4=""),"—",ROUND($AG172*INDEX($U172:$AD172,1,MATCH($C$4,Setup!$B$21:$B$30,0))/$AF172,2)),"—")</f>
        <v>—</v>
      </c>
      <c r="T172" s="28" t="str">
        <f>IF(AND($C172="",$D172="",NOT(ISNUMBER($E172))),"",IF($G172="",IF(Setup!$C$17="","Equal",Setup!$C$17),$G172))</f>
        <v/>
      </c>
      <c r="U172" s="29">
        <f>IF($T172="",0,IF(OR(Setup!$B$21="",Setup!$C$21="No"),0,IF(ISNUMBER(H172),H172,IF($T172="Weights",IF(ISNUMBER(Setup!$D$21),Setup!$D$21,0),IF($T172="Nights",IF(ISNUMBER(Setup!$E$21),Setup!$E$21,0),IF(OR($T172="Exact amounts",$T172="Custom units"),0,1))))))</f>
        <v>0</v>
      </c>
      <c r="V172" s="29">
        <f>IF($T172="",0,IF(OR(Setup!$B$22="",Setup!$C$22="No"),0,IF(ISNUMBER(I172),I172,IF($T172="Weights",IF(ISNUMBER(Setup!$D$22),Setup!$D$22,0),IF($T172="Nights",IF(ISNUMBER(Setup!$E$22),Setup!$E$22,0),IF(OR($T172="Exact amounts",$T172="Custom units"),0,1))))))</f>
        <v>0</v>
      </c>
      <c r="W172" s="29">
        <f>IF($T172="",0,IF(OR(Setup!$B$23="",Setup!$C$23="No"),0,IF(ISNUMBER(J172),J172,IF($T172="Weights",IF(ISNUMBER(Setup!$D$23),Setup!$D$23,0),IF($T172="Nights",IF(ISNUMBER(Setup!$E$23),Setup!$E$23,0),IF(OR($T172="Exact amounts",$T172="Custom units"),0,1))))))</f>
        <v>0</v>
      </c>
      <c r="X172" s="29">
        <f>IF($T172="",0,IF(OR(Setup!$B$24="",Setup!$C$24="No"),0,IF(ISNUMBER(K172),K172,IF($T172="Weights",IF(ISNUMBER(Setup!$D$24),Setup!$D$24,0),IF($T172="Nights",IF(ISNUMBER(Setup!$E$24),Setup!$E$24,0),IF(OR($T172="Exact amounts",$T172="Custom units"),0,1))))))</f>
        <v>0</v>
      </c>
      <c r="Y172" s="29">
        <f>IF($T172="",0,IF(OR(Setup!$B$25="",Setup!$C$25="No"),0,IF(ISNUMBER(L172),L172,IF($T172="Weights",IF(ISNUMBER(Setup!$D$25),Setup!$D$25,0),IF($T172="Nights",IF(ISNUMBER(Setup!$E$25),Setup!$E$25,0),IF(OR($T172="Exact amounts",$T172="Custom units"),0,1))))))</f>
        <v>0</v>
      </c>
      <c r="Z172" s="29">
        <f>IF($T172="",0,IF(OR(Setup!$B$26="",Setup!$C$26="No"),0,IF(ISNUMBER(M172),M172,IF($T172="Weights",IF(ISNUMBER(Setup!$D$26),Setup!$D$26,0),IF($T172="Nights",IF(ISNUMBER(Setup!$E$26),Setup!$E$26,0),IF(OR($T172="Exact amounts",$T172="Custom units"),0,1))))))</f>
        <v>0</v>
      </c>
      <c r="AA172" s="29">
        <f>IF($T172="",0,IF(OR(Setup!$B$27="",Setup!$C$27="No"),0,IF(ISNUMBER(N172),N172,IF($T172="Weights",IF(ISNUMBER(Setup!$D$27),Setup!$D$27,0),IF($T172="Nights",IF(ISNUMBER(Setup!$E$27),Setup!$E$27,0),IF(OR($T172="Exact amounts",$T172="Custom units"),0,1))))))</f>
        <v>0</v>
      </c>
      <c r="AB172" s="29">
        <f>IF($T172="",0,IF(OR(Setup!$B$28="",Setup!$C$28="No"),0,IF(ISNUMBER(O172),O172,IF($T172="Weights",IF(ISNUMBER(Setup!$D$28),Setup!$D$28,0),IF($T172="Nights",IF(ISNUMBER(Setup!$E$28),Setup!$E$28,0),IF(OR($T172="Exact amounts",$T172="Custom units"),0,1))))))</f>
        <v>0</v>
      </c>
      <c r="AC172" s="29">
        <f>IF($T172="",0,IF(OR(Setup!$B$29="",Setup!$C$29="No"),0,IF(ISNUMBER(P172),P172,IF($T172="Weights",IF(ISNUMBER(Setup!$D$29),Setup!$D$29,0),IF($T172="Nights",IF(ISNUMBER(Setup!$E$29),Setup!$E$29,0),IF(OR($T172="Exact amounts",$T172="Custom units"),0,1))))))</f>
        <v>0</v>
      </c>
      <c r="AD172" s="29">
        <f>IF($T172="",0,IF(OR(Setup!$B$30="",Setup!$C$30="No"),0,IF(ISNUMBER(Q172),Q172,IF($T172="Weights",IF(ISNUMBER(Setup!$D$30),Setup!$D$30,0),IF($T172="Nights",IF(ISNUMBER(Setup!$E$30),Setup!$E$30,0),IF(OR($T172="Exact amounts",$T172="Custom units"),0,1))))))</f>
        <v>0</v>
      </c>
      <c r="AE172" s="29">
        <f t="shared" si="9"/>
        <v>0</v>
      </c>
      <c r="AF172" s="30">
        <f t="shared" si="10"/>
        <v>1</v>
      </c>
      <c r="AG172" s="29">
        <f t="shared" si="11"/>
        <v>0</v>
      </c>
    </row>
    <row r="173" spans="1:33" ht="16" x14ac:dyDescent="0.2">
      <c r="A173" s="22" t="str">
        <f t="shared" si="8"/>
        <v>—</v>
      </c>
      <c r="B173" s="31"/>
      <c r="C173" s="11"/>
      <c r="D173" s="11"/>
      <c r="E173" s="32"/>
      <c r="F173" s="11"/>
      <c r="G173" s="11"/>
      <c r="H173" s="33"/>
      <c r="I173" s="33"/>
      <c r="J173" s="33"/>
      <c r="K173" s="33"/>
      <c r="L173" s="33"/>
      <c r="M173" s="33"/>
      <c r="N173" s="33"/>
      <c r="O173" s="33"/>
      <c r="P173" s="33"/>
      <c r="Q173" s="33"/>
      <c r="R173" s="26" t="str">
        <f>IF($T173="","",IF($D173="","Who paid?",IF(SUMPRODUCT((Setup!$B$21:$B$30=$D173)*1)=0,"Payer is not in the member list on Setup",IF($E173="","Amount missing — type the number in column E",IF(NOT(ISNUMBER($E173)),"Amount must be a plain number — no currency symbol, no text",IF(AND($T173="Custom units",$AE173&lt;=0),"Custom units: nobody has units on this row — type a number for at least one person",IF($AE173&lt;=0,"Nobody shares this row — check the person columns H–Q, and the Weight / Nights columns on Setup",IF(AND($T173="Exact amounts",ABS($AE173-$AG173)&gt;0.01),"Exact amounts do not add up to the amount","OK"))))))))</f>
        <v/>
      </c>
      <c r="S173" s="27" t="str">
        <f>IFERROR(IF(OR($T173="",$C$4=""),"—",ROUND($AG173*INDEX($U173:$AD173,1,MATCH($C$4,Setup!$B$21:$B$30,0))/$AF173,2)),"—")</f>
        <v>—</v>
      </c>
      <c r="T173" s="28" t="str">
        <f>IF(AND($C173="",$D173="",NOT(ISNUMBER($E173))),"",IF($G173="",IF(Setup!$C$17="","Equal",Setup!$C$17),$G173))</f>
        <v/>
      </c>
      <c r="U173" s="29">
        <f>IF($T173="",0,IF(OR(Setup!$B$21="",Setup!$C$21="No"),0,IF(ISNUMBER(H173),H173,IF($T173="Weights",IF(ISNUMBER(Setup!$D$21),Setup!$D$21,0),IF($T173="Nights",IF(ISNUMBER(Setup!$E$21),Setup!$E$21,0),IF(OR($T173="Exact amounts",$T173="Custom units"),0,1))))))</f>
        <v>0</v>
      </c>
      <c r="V173" s="29">
        <f>IF($T173="",0,IF(OR(Setup!$B$22="",Setup!$C$22="No"),0,IF(ISNUMBER(I173),I173,IF($T173="Weights",IF(ISNUMBER(Setup!$D$22),Setup!$D$22,0),IF($T173="Nights",IF(ISNUMBER(Setup!$E$22),Setup!$E$22,0),IF(OR($T173="Exact amounts",$T173="Custom units"),0,1))))))</f>
        <v>0</v>
      </c>
      <c r="W173" s="29">
        <f>IF($T173="",0,IF(OR(Setup!$B$23="",Setup!$C$23="No"),0,IF(ISNUMBER(J173),J173,IF($T173="Weights",IF(ISNUMBER(Setup!$D$23),Setup!$D$23,0),IF($T173="Nights",IF(ISNUMBER(Setup!$E$23),Setup!$E$23,0),IF(OR($T173="Exact amounts",$T173="Custom units"),0,1))))))</f>
        <v>0</v>
      </c>
      <c r="X173" s="29">
        <f>IF($T173="",0,IF(OR(Setup!$B$24="",Setup!$C$24="No"),0,IF(ISNUMBER(K173),K173,IF($T173="Weights",IF(ISNUMBER(Setup!$D$24),Setup!$D$24,0),IF($T173="Nights",IF(ISNUMBER(Setup!$E$24),Setup!$E$24,0),IF(OR($T173="Exact amounts",$T173="Custom units"),0,1))))))</f>
        <v>0</v>
      </c>
      <c r="Y173" s="29">
        <f>IF($T173="",0,IF(OR(Setup!$B$25="",Setup!$C$25="No"),0,IF(ISNUMBER(L173),L173,IF($T173="Weights",IF(ISNUMBER(Setup!$D$25),Setup!$D$25,0),IF($T173="Nights",IF(ISNUMBER(Setup!$E$25),Setup!$E$25,0),IF(OR($T173="Exact amounts",$T173="Custom units"),0,1))))))</f>
        <v>0</v>
      </c>
      <c r="Z173" s="29">
        <f>IF($T173="",0,IF(OR(Setup!$B$26="",Setup!$C$26="No"),0,IF(ISNUMBER(M173),M173,IF($T173="Weights",IF(ISNUMBER(Setup!$D$26),Setup!$D$26,0),IF($T173="Nights",IF(ISNUMBER(Setup!$E$26),Setup!$E$26,0),IF(OR($T173="Exact amounts",$T173="Custom units"),0,1))))))</f>
        <v>0</v>
      </c>
      <c r="AA173" s="29">
        <f>IF($T173="",0,IF(OR(Setup!$B$27="",Setup!$C$27="No"),0,IF(ISNUMBER(N173),N173,IF($T173="Weights",IF(ISNUMBER(Setup!$D$27),Setup!$D$27,0),IF($T173="Nights",IF(ISNUMBER(Setup!$E$27),Setup!$E$27,0),IF(OR($T173="Exact amounts",$T173="Custom units"),0,1))))))</f>
        <v>0</v>
      </c>
      <c r="AB173" s="29">
        <f>IF($T173="",0,IF(OR(Setup!$B$28="",Setup!$C$28="No"),0,IF(ISNUMBER(O173),O173,IF($T173="Weights",IF(ISNUMBER(Setup!$D$28),Setup!$D$28,0),IF($T173="Nights",IF(ISNUMBER(Setup!$E$28),Setup!$E$28,0),IF(OR($T173="Exact amounts",$T173="Custom units"),0,1))))))</f>
        <v>0</v>
      </c>
      <c r="AC173" s="29">
        <f>IF($T173="",0,IF(OR(Setup!$B$29="",Setup!$C$29="No"),0,IF(ISNUMBER(P173),P173,IF($T173="Weights",IF(ISNUMBER(Setup!$D$29),Setup!$D$29,0),IF($T173="Nights",IF(ISNUMBER(Setup!$E$29),Setup!$E$29,0),IF(OR($T173="Exact amounts",$T173="Custom units"),0,1))))))</f>
        <v>0</v>
      </c>
      <c r="AD173" s="29">
        <f>IF($T173="",0,IF(OR(Setup!$B$30="",Setup!$C$30="No"),0,IF(ISNUMBER(Q173),Q173,IF($T173="Weights",IF(ISNUMBER(Setup!$D$30),Setup!$D$30,0),IF($T173="Nights",IF(ISNUMBER(Setup!$E$30),Setup!$E$30,0),IF(OR($T173="Exact amounts",$T173="Custom units"),0,1))))))</f>
        <v>0</v>
      </c>
      <c r="AE173" s="29">
        <f t="shared" si="9"/>
        <v>0</v>
      </c>
      <c r="AF173" s="30">
        <f t="shared" si="10"/>
        <v>1</v>
      </c>
      <c r="AG173" s="29">
        <f t="shared" si="11"/>
        <v>0</v>
      </c>
    </row>
    <row r="174" spans="1:33" ht="16" x14ac:dyDescent="0.2">
      <c r="A174" s="22" t="str">
        <f t="shared" si="8"/>
        <v>—</v>
      </c>
      <c r="B174" s="23"/>
      <c r="C174" s="16"/>
      <c r="D174" s="16"/>
      <c r="E174" s="24"/>
      <c r="F174" s="16"/>
      <c r="G174" s="16"/>
      <c r="H174" s="25"/>
      <c r="I174" s="25"/>
      <c r="J174" s="25"/>
      <c r="K174" s="25"/>
      <c r="L174" s="25"/>
      <c r="M174" s="25"/>
      <c r="N174" s="25"/>
      <c r="O174" s="25"/>
      <c r="P174" s="25"/>
      <c r="Q174" s="25"/>
      <c r="R174" s="26" t="str">
        <f>IF($T174="","",IF($D174="","Who paid?",IF(SUMPRODUCT((Setup!$B$21:$B$30=$D174)*1)=0,"Payer is not in the member list on Setup",IF($E174="","Amount missing — type the number in column E",IF(NOT(ISNUMBER($E174)),"Amount must be a plain number — no currency symbol, no text",IF(AND($T174="Custom units",$AE174&lt;=0),"Custom units: nobody has units on this row — type a number for at least one person",IF($AE174&lt;=0,"Nobody shares this row — check the person columns H–Q, and the Weight / Nights columns on Setup",IF(AND($T174="Exact amounts",ABS($AE174-$AG174)&gt;0.01),"Exact amounts do not add up to the amount","OK"))))))))</f>
        <v/>
      </c>
      <c r="S174" s="27" t="str">
        <f>IFERROR(IF(OR($T174="",$C$4=""),"—",ROUND($AG174*INDEX($U174:$AD174,1,MATCH($C$4,Setup!$B$21:$B$30,0))/$AF174,2)),"—")</f>
        <v>—</v>
      </c>
      <c r="T174" s="28" t="str">
        <f>IF(AND($C174="",$D174="",NOT(ISNUMBER($E174))),"",IF($G174="",IF(Setup!$C$17="","Equal",Setup!$C$17),$G174))</f>
        <v/>
      </c>
      <c r="U174" s="29">
        <f>IF($T174="",0,IF(OR(Setup!$B$21="",Setup!$C$21="No"),0,IF(ISNUMBER(H174),H174,IF($T174="Weights",IF(ISNUMBER(Setup!$D$21),Setup!$D$21,0),IF($T174="Nights",IF(ISNUMBER(Setup!$E$21),Setup!$E$21,0),IF(OR($T174="Exact amounts",$T174="Custom units"),0,1))))))</f>
        <v>0</v>
      </c>
      <c r="V174" s="29">
        <f>IF($T174="",0,IF(OR(Setup!$B$22="",Setup!$C$22="No"),0,IF(ISNUMBER(I174),I174,IF($T174="Weights",IF(ISNUMBER(Setup!$D$22),Setup!$D$22,0),IF($T174="Nights",IF(ISNUMBER(Setup!$E$22),Setup!$E$22,0),IF(OR($T174="Exact amounts",$T174="Custom units"),0,1))))))</f>
        <v>0</v>
      </c>
      <c r="W174" s="29">
        <f>IF($T174="",0,IF(OR(Setup!$B$23="",Setup!$C$23="No"),0,IF(ISNUMBER(J174),J174,IF($T174="Weights",IF(ISNUMBER(Setup!$D$23),Setup!$D$23,0),IF($T174="Nights",IF(ISNUMBER(Setup!$E$23),Setup!$E$23,0),IF(OR($T174="Exact amounts",$T174="Custom units"),0,1))))))</f>
        <v>0</v>
      </c>
      <c r="X174" s="29">
        <f>IF($T174="",0,IF(OR(Setup!$B$24="",Setup!$C$24="No"),0,IF(ISNUMBER(K174),K174,IF($T174="Weights",IF(ISNUMBER(Setup!$D$24),Setup!$D$24,0),IF($T174="Nights",IF(ISNUMBER(Setup!$E$24),Setup!$E$24,0),IF(OR($T174="Exact amounts",$T174="Custom units"),0,1))))))</f>
        <v>0</v>
      </c>
      <c r="Y174" s="29">
        <f>IF($T174="",0,IF(OR(Setup!$B$25="",Setup!$C$25="No"),0,IF(ISNUMBER(L174),L174,IF($T174="Weights",IF(ISNUMBER(Setup!$D$25),Setup!$D$25,0),IF($T174="Nights",IF(ISNUMBER(Setup!$E$25),Setup!$E$25,0),IF(OR($T174="Exact amounts",$T174="Custom units"),0,1))))))</f>
        <v>0</v>
      </c>
      <c r="Z174" s="29">
        <f>IF($T174="",0,IF(OR(Setup!$B$26="",Setup!$C$26="No"),0,IF(ISNUMBER(M174),M174,IF($T174="Weights",IF(ISNUMBER(Setup!$D$26),Setup!$D$26,0),IF($T174="Nights",IF(ISNUMBER(Setup!$E$26),Setup!$E$26,0),IF(OR($T174="Exact amounts",$T174="Custom units"),0,1))))))</f>
        <v>0</v>
      </c>
      <c r="AA174" s="29">
        <f>IF($T174="",0,IF(OR(Setup!$B$27="",Setup!$C$27="No"),0,IF(ISNUMBER(N174),N174,IF($T174="Weights",IF(ISNUMBER(Setup!$D$27),Setup!$D$27,0),IF($T174="Nights",IF(ISNUMBER(Setup!$E$27),Setup!$E$27,0),IF(OR($T174="Exact amounts",$T174="Custom units"),0,1))))))</f>
        <v>0</v>
      </c>
      <c r="AB174" s="29">
        <f>IF($T174="",0,IF(OR(Setup!$B$28="",Setup!$C$28="No"),0,IF(ISNUMBER(O174),O174,IF($T174="Weights",IF(ISNUMBER(Setup!$D$28),Setup!$D$28,0),IF($T174="Nights",IF(ISNUMBER(Setup!$E$28),Setup!$E$28,0),IF(OR($T174="Exact amounts",$T174="Custom units"),0,1))))))</f>
        <v>0</v>
      </c>
      <c r="AC174" s="29">
        <f>IF($T174="",0,IF(OR(Setup!$B$29="",Setup!$C$29="No"),0,IF(ISNUMBER(P174),P174,IF($T174="Weights",IF(ISNUMBER(Setup!$D$29),Setup!$D$29,0),IF($T174="Nights",IF(ISNUMBER(Setup!$E$29),Setup!$E$29,0),IF(OR($T174="Exact amounts",$T174="Custom units"),0,1))))))</f>
        <v>0</v>
      </c>
      <c r="AD174" s="29">
        <f>IF($T174="",0,IF(OR(Setup!$B$30="",Setup!$C$30="No"),0,IF(ISNUMBER(Q174),Q174,IF($T174="Weights",IF(ISNUMBER(Setup!$D$30),Setup!$D$30,0),IF($T174="Nights",IF(ISNUMBER(Setup!$E$30),Setup!$E$30,0),IF(OR($T174="Exact amounts",$T174="Custom units"),0,1))))))</f>
        <v>0</v>
      </c>
      <c r="AE174" s="29">
        <f t="shared" si="9"/>
        <v>0</v>
      </c>
      <c r="AF174" s="30">
        <f t="shared" si="10"/>
        <v>1</v>
      </c>
      <c r="AG174" s="29">
        <f t="shared" si="11"/>
        <v>0</v>
      </c>
    </row>
    <row r="175" spans="1:33" ht="16" x14ac:dyDescent="0.2">
      <c r="A175" s="22" t="str">
        <f t="shared" si="8"/>
        <v>—</v>
      </c>
      <c r="B175" s="31"/>
      <c r="C175" s="11"/>
      <c r="D175" s="11"/>
      <c r="E175" s="32"/>
      <c r="F175" s="11"/>
      <c r="G175" s="11"/>
      <c r="H175" s="33"/>
      <c r="I175" s="33"/>
      <c r="J175" s="33"/>
      <c r="K175" s="33"/>
      <c r="L175" s="33"/>
      <c r="M175" s="33"/>
      <c r="N175" s="33"/>
      <c r="O175" s="33"/>
      <c r="P175" s="33"/>
      <c r="Q175" s="33"/>
      <c r="R175" s="26" t="str">
        <f>IF($T175="","",IF($D175="","Who paid?",IF(SUMPRODUCT((Setup!$B$21:$B$30=$D175)*1)=0,"Payer is not in the member list on Setup",IF($E175="","Amount missing — type the number in column E",IF(NOT(ISNUMBER($E175)),"Amount must be a plain number — no currency symbol, no text",IF(AND($T175="Custom units",$AE175&lt;=0),"Custom units: nobody has units on this row — type a number for at least one person",IF($AE175&lt;=0,"Nobody shares this row — check the person columns H–Q, and the Weight / Nights columns on Setup",IF(AND($T175="Exact amounts",ABS($AE175-$AG175)&gt;0.01),"Exact amounts do not add up to the amount","OK"))))))))</f>
        <v/>
      </c>
      <c r="S175" s="27" t="str">
        <f>IFERROR(IF(OR($T175="",$C$4=""),"—",ROUND($AG175*INDEX($U175:$AD175,1,MATCH($C$4,Setup!$B$21:$B$30,0))/$AF175,2)),"—")</f>
        <v>—</v>
      </c>
      <c r="T175" s="28" t="str">
        <f>IF(AND($C175="",$D175="",NOT(ISNUMBER($E175))),"",IF($G175="",IF(Setup!$C$17="","Equal",Setup!$C$17),$G175))</f>
        <v/>
      </c>
      <c r="U175" s="29">
        <f>IF($T175="",0,IF(OR(Setup!$B$21="",Setup!$C$21="No"),0,IF(ISNUMBER(H175),H175,IF($T175="Weights",IF(ISNUMBER(Setup!$D$21),Setup!$D$21,0),IF($T175="Nights",IF(ISNUMBER(Setup!$E$21),Setup!$E$21,0),IF(OR($T175="Exact amounts",$T175="Custom units"),0,1))))))</f>
        <v>0</v>
      </c>
      <c r="V175" s="29">
        <f>IF($T175="",0,IF(OR(Setup!$B$22="",Setup!$C$22="No"),0,IF(ISNUMBER(I175),I175,IF($T175="Weights",IF(ISNUMBER(Setup!$D$22),Setup!$D$22,0),IF($T175="Nights",IF(ISNUMBER(Setup!$E$22),Setup!$E$22,0),IF(OR($T175="Exact amounts",$T175="Custom units"),0,1))))))</f>
        <v>0</v>
      </c>
      <c r="W175" s="29">
        <f>IF($T175="",0,IF(OR(Setup!$B$23="",Setup!$C$23="No"),0,IF(ISNUMBER(J175),J175,IF($T175="Weights",IF(ISNUMBER(Setup!$D$23),Setup!$D$23,0),IF($T175="Nights",IF(ISNUMBER(Setup!$E$23),Setup!$E$23,0),IF(OR($T175="Exact amounts",$T175="Custom units"),0,1))))))</f>
        <v>0</v>
      </c>
      <c r="X175" s="29">
        <f>IF($T175="",0,IF(OR(Setup!$B$24="",Setup!$C$24="No"),0,IF(ISNUMBER(K175),K175,IF($T175="Weights",IF(ISNUMBER(Setup!$D$24),Setup!$D$24,0),IF($T175="Nights",IF(ISNUMBER(Setup!$E$24),Setup!$E$24,0),IF(OR($T175="Exact amounts",$T175="Custom units"),0,1))))))</f>
        <v>0</v>
      </c>
      <c r="Y175" s="29">
        <f>IF($T175="",0,IF(OR(Setup!$B$25="",Setup!$C$25="No"),0,IF(ISNUMBER(L175),L175,IF($T175="Weights",IF(ISNUMBER(Setup!$D$25),Setup!$D$25,0),IF($T175="Nights",IF(ISNUMBER(Setup!$E$25),Setup!$E$25,0),IF(OR($T175="Exact amounts",$T175="Custom units"),0,1))))))</f>
        <v>0</v>
      </c>
      <c r="Z175" s="29">
        <f>IF($T175="",0,IF(OR(Setup!$B$26="",Setup!$C$26="No"),0,IF(ISNUMBER(M175),M175,IF($T175="Weights",IF(ISNUMBER(Setup!$D$26),Setup!$D$26,0),IF($T175="Nights",IF(ISNUMBER(Setup!$E$26),Setup!$E$26,0),IF(OR($T175="Exact amounts",$T175="Custom units"),0,1))))))</f>
        <v>0</v>
      </c>
      <c r="AA175" s="29">
        <f>IF($T175="",0,IF(OR(Setup!$B$27="",Setup!$C$27="No"),0,IF(ISNUMBER(N175),N175,IF($T175="Weights",IF(ISNUMBER(Setup!$D$27),Setup!$D$27,0),IF($T175="Nights",IF(ISNUMBER(Setup!$E$27),Setup!$E$27,0),IF(OR($T175="Exact amounts",$T175="Custom units"),0,1))))))</f>
        <v>0</v>
      </c>
      <c r="AB175" s="29">
        <f>IF($T175="",0,IF(OR(Setup!$B$28="",Setup!$C$28="No"),0,IF(ISNUMBER(O175),O175,IF($T175="Weights",IF(ISNUMBER(Setup!$D$28),Setup!$D$28,0),IF($T175="Nights",IF(ISNUMBER(Setup!$E$28),Setup!$E$28,0),IF(OR($T175="Exact amounts",$T175="Custom units"),0,1))))))</f>
        <v>0</v>
      </c>
      <c r="AC175" s="29">
        <f>IF($T175="",0,IF(OR(Setup!$B$29="",Setup!$C$29="No"),0,IF(ISNUMBER(P175),P175,IF($T175="Weights",IF(ISNUMBER(Setup!$D$29),Setup!$D$29,0),IF($T175="Nights",IF(ISNUMBER(Setup!$E$29),Setup!$E$29,0),IF(OR($T175="Exact amounts",$T175="Custom units"),0,1))))))</f>
        <v>0</v>
      </c>
      <c r="AD175" s="29">
        <f>IF($T175="",0,IF(OR(Setup!$B$30="",Setup!$C$30="No"),0,IF(ISNUMBER(Q175),Q175,IF($T175="Weights",IF(ISNUMBER(Setup!$D$30),Setup!$D$30,0),IF($T175="Nights",IF(ISNUMBER(Setup!$E$30),Setup!$E$30,0),IF(OR($T175="Exact amounts",$T175="Custom units"),0,1))))))</f>
        <v>0</v>
      </c>
      <c r="AE175" s="29">
        <f t="shared" si="9"/>
        <v>0</v>
      </c>
      <c r="AF175" s="30">
        <f t="shared" si="10"/>
        <v>1</v>
      </c>
      <c r="AG175" s="29">
        <f t="shared" si="11"/>
        <v>0</v>
      </c>
    </row>
    <row r="176" spans="1:33" ht="16" x14ac:dyDescent="0.2">
      <c r="A176" s="22" t="str">
        <f t="shared" si="8"/>
        <v>—</v>
      </c>
      <c r="B176" s="23"/>
      <c r="C176" s="16"/>
      <c r="D176" s="16"/>
      <c r="E176" s="24"/>
      <c r="F176" s="16"/>
      <c r="G176" s="16"/>
      <c r="H176" s="25"/>
      <c r="I176" s="25"/>
      <c r="J176" s="25"/>
      <c r="K176" s="25"/>
      <c r="L176" s="25"/>
      <c r="M176" s="25"/>
      <c r="N176" s="25"/>
      <c r="O176" s="25"/>
      <c r="P176" s="25"/>
      <c r="Q176" s="25"/>
      <c r="R176" s="26" t="str">
        <f>IF($T176="","",IF($D176="","Who paid?",IF(SUMPRODUCT((Setup!$B$21:$B$30=$D176)*1)=0,"Payer is not in the member list on Setup",IF($E176="","Amount missing — type the number in column E",IF(NOT(ISNUMBER($E176)),"Amount must be a plain number — no currency symbol, no text",IF(AND($T176="Custom units",$AE176&lt;=0),"Custom units: nobody has units on this row — type a number for at least one person",IF($AE176&lt;=0,"Nobody shares this row — check the person columns H–Q, and the Weight / Nights columns on Setup",IF(AND($T176="Exact amounts",ABS($AE176-$AG176)&gt;0.01),"Exact amounts do not add up to the amount","OK"))))))))</f>
        <v/>
      </c>
      <c r="S176" s="27" t="str">
        <f>IFERROR(IF(OR($T176="",$C$4=""),"—",ROUND($AG176*INDEX($U176:$AD176,1,MATCH($C$4,Setup!$B$21:$B$30,0))/$AF176,2)),"—")</f>
        <v>—</v>
      </c>
      <c r="T176" s="28" t="str">
        <f>IF(AND($C176="",$D176="",NOT(ISNUMBER($E176))),"",IF($G176="",IF(Setup!$C$17="","Equal",Setup!$C$17),$G176))</f>
        <v/>
      </c>
      <c r="U176" s="29">
        <f>IF($T176="",0,IF(OR(Setup!$B$21="",Setup!$C$21="No"),0,IF(ISNUMBER(H176),H176,IF($T176="Weights",IF(ISNUMBER(Setup!$D$21),Setup!$D$21,0),IF($T176="Nights",IF(ISNUMBER(Setup!$E$21),Setup!$E$21,0),IF(OR($T176="Exact amounts",$T176="Custom units"),0,1))))))</f>
        <v>0</v>
      </c>
      <c r="V176" s="29">
        <f>IF($T176="",0,IF(OR(Setup!$B$22="",Setup!$C$22="No"),0,IF(ISNUMBER(I176),I176,IF($T176="Weights",IF(ISNUMBER(Setup!$D$22),Setup!$D$22,0),IF($T176="Nights",IF(ISNUMBER(Setup!$E$22),Setup!$E$22,0),IF(OR($T176="Exact amounts",$T176="Custom units"),0,1))))))</f>
        <v>0</v>
      </c>
      <c r="W176" s="29">
        <f>IF($T176="",0,IF(OR(Setup!$B$23="",Setup!$C$23="No"),0,IF(ISNUMBER(J176),J176,IF($T176="Weights",IF(ISNUMBER(Setup!$D$23),Setup!$D$23,0),IF($T176="Nights",IF(ISNUMBER(Setup!$E$23),Setup!$E$23,0),IF(OR($T176="Exact amounts",$T176="Custom units"),0,1))))))</f>
        <v>0</v>
      </c>
      <c r="X176" s="29">
        <f>IF($T176="",0,IF(OR(Setup!$B$24="",Setup!$C$24="No"),0,IF(ISNUMBER(K176),K176,IF($T176="Weights",IF(ISNUMBER(Setup!$D$24),Setup!$D$24,0),IF($T176="Nights",IF(ISNUMBER(Setup!$E$24),Setup!$E$24,0),IF(OR($T176="Exact amounts",$T176="Custom units"),0,1))))))</f>
        <v>0</v>
      </c>
      <c r="Y176" s="29">
        <f>IF($T176="",0,IF(OR(Setup!$B$25="",Setup!$C$25="No"),0,IF(ISNUMBER(L176),L176,IF($T176="Weights",IF(ISNUMBER(Setup!$D$25),Setup!$D$25,0),IF($T176="Nights",IF(ISNUMBER(Setup!$E$25),Setup!$E$25,0),IF(OR($T176="Exact amounts",$T176="Custom units"),0,1))))))</f>
        <v>0</v>
      </c>
      <c r="Z176" s="29">
        <f>IF($T176="",0,IF(OR(Setup!$B$26="",Setup!$C$26="No"),0,IF(ISNUMBER(M176),M176,IF($T176="Weights",IF(ISNUMBER(Setup!$D$26),Setup!$D$26,0),IF($T176="Nights",IF(ISNUMBER(Setup!$E$26),Setup!$E$26,0),IF(OR($T176="Exact amounts",$T176="Custom units"),0,1))))))</f>
        <v>0</v>
      </c>
      <c r="AA176" s="29">
        <f>IF($T176="",0,IF(OR(Setup!$B$27="",Setup!$C$27="No"),0,IF(ISNUMBER(N176),N176,IF($T176="Weights",IF(ISNUMBER(Setup!$D$27),Setup!$D$27,0),IF($T176="Nights",IF(ISNUMBER(Setup!$E$27),Setup!$E$27,0),IF(OR($T176="Exact amounts",$T176="Custom units"),0,1))))))</f>
        <v>0</v>
      </c>
      <c r="AB176" s="29">
        <f>IF($T176="",0,IF(OR(Setup!$B$28="",Setup!$C$28="No"),0,IF(ISNUMBER(O176),O176,IF($T176="Weights",IF(ISNUMBER(Setup!$D$28),Setup!$D$28,0),IF($T176="Nights",IF(ISNUMBER(Setup!$E$28),Setup!$E$28,0),IF(OR($T176="Exact amounts",$T176="Custom units"),0,1))))))</f>
        <v>0</v>
      </c>
      <c r="AC176" s="29">
        <f>IF($T176="",0,IF(OR(Setup!$B$29="",Setup!$C$29="No"),0,IF(ISNUMBER(P176),P176,IF($T176="Weights",IF(ISNUMBER(Setup!$D$29),Setup!$D$29,0),IF($T176="Nights",IF(ISNUMBER(Setup!$E$29),Setup!$E$29,0),IF(OR($T176="Exact amounts",$T176="Custom units"),0,1))))))</f>
        <v>0</v>
      </c>
      <c r="AD176" s="29">
        <f>IF($T176="",0,IF(OR(Setup!$B$30="",Setup!$C$30="No"),0,IF(ISNUMBER(Q176),Q176,IF($T176="Weights",IF(ISNUMBER(Setup!$D$30),Setup!$D$30,0),IF($T176="Nights",IF(ISNUMBER(Setup!$E$30),Setup!$E$30,0),IF(OR($T176="Exact amounts",$T176="Custom units"),0,1))))))</f>
        <v>0</v>
      </c>
      <c r="AE176" s="29">
        <f t="shared" si="9"/>
        <v>0</v>
      </c>
      <c r="AF176" s="30">
        <f t="shared" si="10"/>
        <v>1</v>
      </c>
      <c r="AG176" s="29">
        <f t="shared" si="11"/>
        <v>0</v>
      </c>
    </row>
    <row r="177" spans="1:33" ht="16" x14ac:dyDescent="0.2">
      <c r="A177" s="22" t="str">
        <f t="shared" si="8"/>
        <v>—</v>
      </c>
      <c r="B177" s="31"/>
      <c r="C177" s="11"/>
      <c r="D177" s="11"/>
      <c r="E177" s="32"/>
      <c r="F177" s="11"/>
      <c r="G177" s="11"/>
      <c r="H177" s="33"/>
      <c r="I177" s="33"/>
      <c r="J177" s="33"/>
      <c r="K177" s="33"/>
      <c r="L177" s="33"/>
      <c r="M177" s="33"/>
      <c r="N177" s="33"/>
      <c r="O177" s="33"/>
      <c r="P177" s="33"/>
      <c r="Q177" s="33"/>
      <c r="R177" s="26" t="str">
        <f>IF($T177="","",IF($D177="","Who paid?",IF(SUMPRODUCT((Setup!$B$21:$B$30=$D177)*1)=0,"Payer is not in the member list on Setup",IF($E177="","Amount missing — type the number in column E",IF(NOT(ISNUMBER($E177)),"Amount must be a plain number — no currency symbol, no text",IF(AND($T177="Custom units",$AE177&lt;=0),"Custom units: nobody has units on this row — type a number for at least one person",IF($AE177&lt;=0,"Nobody shares this row — check the person columns H–Q, and the Weight / Nights columns on Setup",IF(AND($T177="Exact amounts",ABS($AE177-$AG177)&gt;0.01),"Exact amounts do not add up to the amount","OK"))))))))</f>
        <v/>
      </c>
      <c r="S177" s="27" t="str">
        <f>IFERROR(IF(OR($T177="",$C$4=""),"—",ROUND($AG177*INDEX($U177:$AD177,1,MATCH($C$4,Setup!$B$21:$B$30,0))/$AF177,2)),"—")</f>
        <v>—</v>
      </c>
      <c r="T177" s="28" t="str">
        <f>IF(AND($C177="",$D177="",NOT(ISNUMBER($E177))),"",IF($G177="",IF(Setup!$C$17="","Equal",Setup!$C$17),$G177))</f>
        <v/>
      </c>
      <c r="U177" s="29">
        <f>IF($T177="",0,IF(OR(Setup!$B$21="",Setup!$C$21="No"),0,IF(ISNUMBER(H177),H177,IF($T177="Weights",IF(ISNUMBER(Setup!$D$21),Setup!$D$21,0),IF($T177="Nights",IF(ISNUMBER(Setup!$E$21),Setup!$E$21,0),IF(OR($T177="Exact amounts",$T177="Custom units"),0,1))))))</f>
        <v>0</v>
      </c>
      <c r="V177" s="29">
        <f>IF($T177="",0,IF(OR(Setup!$B$22="",Setup!$C$22="No"),0,IF(ISNUMBER(I177),I177,IF($T177="Weights",IF(ISNUMBER(Setup!$D$22),Setup!$D$22,0),IF($T177="Nights",IF(ISNUMBER(Setup!$E$22),Setup!$E$22,0),IF(OR($T177="Exact amounts",$T177="Custom units"),0,1))))))</f>
        <v>0</v>
      </c>
      <c r="W177" s="29">
        <f>IF($T177="",0,IF(OR(Setup!$B$23="",Setup!$C$23="No"),0,IF(ISNUMBER(J177),J177,IF($T177="Weights",IF(ISNUMBER(Setup!$D$23),Setup!$D$23,0),IF($T177="Nights",IF(ISNUMBER(Setup!$E$23),Setup!$E$23,0),IF(OR($T177="Exact amounts",$T177="Custom units"),0,1))))))</f>
        <v>0</v>
      </c>
      <c r="X177" s="29">
        <f>IF($T177="",0,IF(OR(Setup!$B$24="",Setup!$C$24="No"),0,IF(ISNUMBER(K177),K177,IF($T177="Weights",IF(ISNUMBER(Setup!$D$24),Setup!$D$24,0),IF($T177="Nights",IF(ISNUMBER(Setup!$E$24),Setup!$E$24,0),IF(OR($T177="Exact amounts",$T177="Custom units"),0,1))))))</f>
        <v>0</v>
      </c>
      <c r="Y177" s="29">
        <f>IF($T177="",0,IF(OR(Setup!$B$25="",Setup!$C$25="No"),0,IF(ISNUMBER(L177),L177,IF($T177="Weights",IF(ISNUMBER(Setup!$D$25),Setup!$D$25,0),IF($T177="Nights",IF(ISNUMBER(Setup!$E$25),Setup!$E$25,0),IF(OR($T177="Exact amounts",$T177="Custom units"),0,1))))))</f>
        <v>0</v>
      </c>
      <c r="Z177" s="29">
        <f>IF($T177="",0,IF(OR(Setup!$B$26="",Setup!$C$26="No"),0,IF(ISNUMBER(M177),M177,IF($T177="Weights",IF(ISNUMBER(Setup!$D$26),Setup!$D$26,0),IF($T177="Nights",IF(ISNUMBER(Setup!$E$26),Setup!$E$26,0),IF(OR($T177="Exact amounts",$T177="Custom units"),0,1))))))</f>
        <v>0</v>
      </c>
      <c r="AA177" s="29">
        <f>IF($T177="",0,IF(OR(Setup!$B$27="",Setup!$C$27="No"),0,IF(ISNUMBER(N177),N177,IF($T177="Weights",IF(ISNUMBER(Setup!$D$27),Setup!$D$27,0),IF($T177="Nights",IF(ISNUMBER(Setup!$E$27),Setup!$E$27,0),IF(OR($T177="Exact amounts",$T177="Custom units"),0,1))))))</f>
        <v>0</v>
      </c>
      <c r="AB177" s="29">
        <f>IF($T177="",0,IF(OR(Setup!$B$28="",Setup!$C$28="No"),0,IF(ISNUMBER(O177),O177,IF($T177="Weights",IF(ISNUMBER(Setup!$D$28),Setup!$D$28,0),IF($T177="Nights",IF(ISNUMBER(Setup!$E$28),Setup!$E$28,0),IF(OR($T177="Exact amounts",$T177="Custom units"),0,1))))))</f>
        <v>0</v>
      </c>
      <c r="AC177" s="29">
        <f>IF($T177="",0,IF(OR(Setup!$B$29="",Setup!$C$29="No"),0,IF(ISNUMBER(P177),P177,IF($T177="Weights",IF(ISNUMBER(Setup!$D$29),Setup!$D$29,0),IF($T177="Nights",IF(ISNUMBER(Setup!$E$29),Setup!$E$29,0),IF(OR($T177="Exact amounts",$T177="Custom units"),0,1))))))</f>
        <v>0</v>
      </c>
      <c r="AD177" s="29">
        <f>IF($T177="",0,IF(OR(Setup!$B$30="",Setup!$C$30="No"),0,IF(ISNUMBER(Q177),Q177,IF($T177="Weights",IF(ISNUMBER(Setup!$D$30),Setup!$D$30,0),IF($T177="Nights",IF(ISNUMBER(Setup!$E$30),Setup!$E$30,0),IF(OR($T177="Exact amounts",$T177="Custom units"),0,1))))))</f>
        <v>0</v>
      </c>
      <c r="AE177" s="29">
        <f t="shared" si="9"/>
        <v>0</v>
      </c>
      <c r="AF177" s="30">
        <f t="shared" si="10"/>
        <v>1</v>
      </c>
      <c r="AG177" s="29">
        <f t="shared" si="11"/>
        <v>0</v>
      </c>
    </row>
    <row r="178" spans="1:33" ht="16" x14ac:dyDescent="0.2">
      <c r="A178" s="22" t="str">
        <f t="shared" si="8"/>
        <v>—</v>
      </c>
      <c r="B178" s="23"/>
      <c r="C178" s="16"/>
      <c r="D178" s="16"/>
      <c r="E178" s="24"/>
      <c r="F178" s="16"/>
      <c r="G178" s="16"/>
      <c r="H178" s="25"/>
      <c r="I178" s="25"/>
      <c r="J178" s="25"/>
      <c r="K178" s="25"/>
      <c r="L178" s="25"/>
      <c r="M178" s="25"/>
      <c r="N178" s="25"/>
      <c r="O178" s="25"/>
      <c r="P178" s="25"/>
      <c r="Q178" s="25"/>
      <c r="R178" s="26" t="str">
        <f>IF($T178="","",IF($D178="","Who paid?",IF(SUMPRODUCT((Setup!$B$21:$B$30=$D178)*1)=0,"Payer is not in the member list on Setup",IF($E178="","Amount missing — type the number in column E",IF(NOT(ISNUMBER($E178)),"Amount must be a plain number — no currency symbol, no text",IF(AND($T178="Custom units",$AE178&lt;=0),"Custom units: nobody has units on this row — type a number for at least one person",IF($AE178&lt;=0,"Nobody shares this row — check the person columns H–Q, and the Weight / Nights columns on Setup",IF(AND($T178="Exact amounts",ABS($AE178-$AG178)&gt;0.01),"Exact amounts do not add up to the amount","OK"))))))))</f>
        <v/>
      </c>
      <c r="S178" s="27" t="str">
        <f>IFERROR(IF(OR($T178="",$C$4=""),"—",ROUND($AG178*INDEX($U178:$AD178,1,MATCH($C$4,Setup!$B$21:$B$30,0))/$AF178,2)),"—")</f>
        <v>—</v>
      </c>
      <c r="T178" s="28" t="str">
        <f>IF(AND($C178="",$D178="",NOT(ISNUMBER($E178))),"",IF($G178="",IF(Setup!$C$17="","Equal",Setup!$C$17),$G178))</f>
        <v/>
      </c>
      <c r="U178" s="29">
        <f>IF($T178="",0,IF(OR(Setup!$B$21="",Setup!$C$21="No"),0,IF(ISNUMBER(H178),H178,IF($T178="Weights",IF(ISNUMBER(Setup!$D$21),Setup!$D$21,0),IF($T178="Nights",IF(ISNUMBER(Setup!$E$21),Setup!$E$21,0),IF(OR($T178="Exact amounts",$T178="Custom units"),0,1))))))</f>
        <v>0</v>
      </c>
      <c r="V178" s="29">
        <f>IF($T178="",0,IF(OR(Setup!$B$22="",Setup!$C$22="No"),0,IF(ISNUMBER(I178),I178,IF($T178="Weights",IF(ISNUMBER(Setup!$D$22),Setup!$D$22,0),IF($T178="Nights",IF(ISNUMBER(Setup!$E$22),Setup!$E$22,0),IF(OR($T178="Exact amounts",$T178="Custom units"),0,1))))))</f>
        <v>0</v>
      </c>
      <c r="W178" s="29">
        <f>IF($T178="",0,IF(OR(Setup!$B$23="",Setup!$C$23="No"),0,IF(ISNUMBER(J178),J178,IF($T178="Weights",IF(ISNUMBER(Setup!$D$23),Setup!$D$23,0),IF($T178="Nights",IF(ISNUMBER(Setup!$E$23),Setup!$E$23,0),IF(OR($T178="Exact amounts",$T178="Custom units"),0,1))))))</f>
        <v>0</v>
      </c>
      <c r="X178" s="29">
        <f>IF($T178="",0,IF(OR(Setup!$B$24="",Setup!$C$24="No"),0,IF(ISNUMBER(K178),K178,IF($T178="Weights",IF(ISNUMBER(Setup!$D$24),Setup!$D$24,0),IF($T178="Nights",IF(ISNUMBER(Setup!$E$24),Setup!$E$24,0),IF(OR($T178="Exact amounts",$T178="Custom units"),0,1))))))</f>
        <v>0</v>
      </c>
      <c r="Y178" s="29">
        <f>IF($T178="",0,IF(OR(Setup!$B$25="",Setup!$C$25="No"),0,IF(ISNUMBER(L178),L178,IF($T178="Weights",IF(ISNUMBER(Setup!$D$25),Setup!$D$25,0),IF($T178="Nights",IF(ISNUMBER(Setup!$E$25),Setup!$E$25,0),IF(OR($T178="Exact amounts",$T178="Custom units"),0,1))))))</f>
        <v>0</v>
      </c>
      <c r="Z178" s="29">
        <f>IF($T178="",0,IF(OR(Setup!$B$26="",Setup!$C$26="No"),0,IF(ISNUMBER(M178),M178,IF($T178="Weights",IF(ISNUMBER(Setup!$D$26),Setup!$D$26,0),IF($T178="Nights",IF(ISNUMBER(Setup!$E$26),Setup!$E$26,0),IF(OR($T178="Exact amounts",$T178="Custom units"),0,1))))))</f>
        <v>0</v>
      </c>
      <c r="AA178" s="29">
        <f>IF($T178="",0,IF(OR(Setup!$B$27="",Setup!$C$27="No"),0,IF(ISNUMBER(N178),N178,IF($T178="Weights",IF(ISNUMBER(Setup!$D$27),Setup!$D$27,0),IF($T178="Nights",IF(ISNUMBER(Setup!$E$27),Setup!$E$27,0),IF(OR($T178="Exact amounts",$T178="Custom units"),0,1))))))</f>
        <v>0</v>
      </c>
      <c r="AB178" s="29">
        <f>IF($T178="",0,IF(OR(Setup!$B$28="",Setup!$C$28="No"),0,IF(ISNUMBER(O178),O178,IF($T178="Weights",IF(ISNUMBER(Setup!$D$28),Setup!$D$28,0),IF($T178="Nights",IF(ISNUMBER(Setup!$E$28),Setup!$E$28,0),IF(OR($T178="Exact amounts",$T178="Custom units"),0,1))))))</f>
        <v>0</v>
      </c>
      <c r="AC178" s="29">
        <f>IF($T178="",0,IF(OR(Setup!$B$29="",Setup!$C$29="No"),0,IF(ISNUMBER(P178),P178,IF($T178="Weights",IF(ISNUMBER(Setup!$D$29),Setup!$D$29,0),IF($T178="Nights",IF(ISNUMBER(Setup!$E$29),Setup!$E$29,0),IF(OR($T178="Exact amounts",$T178="Custom units"),0,1))))))</f>
        <v>0</v>
      </c>
      <c r="AD178" s="29">
        <f>IF($T178="",0,IF(OR(Setup!$B$30="",Setup!$C$30="No"),0,IF(ISNUMBER(Q178),Q178,IF($T178="Weights",IF(ISNUMBER(Setup!$D$30),Setup!$D$30,0),IF($T178="Nights",IF(ISNUMBER(Setup!$E$30),Setup!$E$30,0),IF(OR($T178="Exact amounts",$T178="Custom units"),0,1))))))</f>
        <v>0</v>
      </c>
      <c r="AE178" s="29">
        <f t="shared" si="9"/>
        <v>0</v>
      </c>
      <c r="AF178" s="30">
        <f t="shared" si="10"/>
        <v>1</v>
      </c>
      <c r="AG178" s="29">
        <f t="shared" si="11"/>
        <v>0</v>
      </c>
    </row>
    <row r="179" spans="1:33" ht="16" x14ac:dyDescent="0.2">
      <c r="A179" s="22" t="str">
        <f t="shared" si="8"/>
        <v>—</v>
      </c>
      <c r="B179" s="31"/>
      <c r="C179" s="11"/>
      <c r="D179" s="11"/>
      <c r="E179" s="32"/>
      <c r="F179" s="11"/>
      <c r="G179" s="11"/>
      <c r="H179" s="33"/>
      <c r="I179" s="33"/>
      <c r="J179" s="33"/>
      <c r="K179" s="33"/>
      <c r="L179" s="33"/>
      <c r="M179" s="33"/>
      <c r="N179" s="33"/>
      <c r="O179" s="33"/>
      <c r="P179" s="33"/>
      <c r="Q179" s="33"/>
      <c r="R179" s="26" t="str">
        <f>IF($T179="","",IF($D179="","Who paid?",IF(SUMPRODUCT((Setup!$B$21:$B$30=$D179)*1)=0,"Payer is not in the member list on Setup",IF($E179="","Amount missing — type the number in column E",IF(NOT(ISNUMBER($E179)),"Amount must be a plain number — no currency symbol, no text",IF(AND($T179="Custom units",$AE179&lt;=0),"Custom units: nobody has units on this row — type a number for at least one person",IF($AE179&lt;=0,"Nobody shares this row — check the person columns H–Q, and the Weight / Nights columns on Setup",IF(AND($T179="Exact amounts",ABS($AE179-$AG179)&gt;0.01),"Exact amounts do not add up to the amount","OK"))))))))</f>
        <v/>
      </c>
      <c r="S179" s="27" t="str">
        <f>IFERROR(IF(OR($T179="",$C$4=""),"—",ROUND($AG179*INDEX($U179:$AD179,1,MATCH($C$4,Setup!$B$21:$B$30,0))/$AF179,2)),"—")</f>
        <v>—</v>
      </c>
      <c r="T179" s="28" t="str">
        <f>IF(AND($C179="",$D179="",NOT(ISNUMBER($E179))),"",IF($G179="",IF(Setup!$C$17="","Equal",Setup!$C$17),$G179))</f>
        <v/>
      </c>
      <c r="U179" s="29">
        <f>IF($T179="",0,IF(OR(Setup!$B$21="",Setup!$C$21="No"),0,IF(ISNUMBER(H179),H179,IF($T179="Weights",IF(ISNUMBER(Setup!$D$21),Setup!$D$21,0),IF($T179="Nights",IF(ISNUMBER(Setup!$E$21),Setup!$E$21,0),IF(OR($T179="Exact amounts",$T179="Custom units"),0,1))))))</f>
        <v>0</v>
      </c>
      <c r="V179" s="29">
        <f>IF($T179="",0,IF(OR(Setup!$B$22="",Setup!$C$22="No"),0,IF(ISNUMBER(I179),I179,IF($T179="Weights",IF(ISNUMBER(Setup!$D$22),Setup!$D$22,0),IF($T179="Nights",IF(ISNUMBER(Setup!$E$22),Setup!$E$22,0),IF(OR($T179="Exact amounts",$T179="Custom units"),0,1))))))</f>
        <v>0</v>
      </c>
      <c r="W179" s="29">
        <f>IF($T179="",0,IF(OR(Setup!$B$23="",Setup!$C$23="No"),0,IF(ISNUMBER(J179),J179,IF($T179="Weights",IF(ISNUMBER(Setup!$D$23),Setup!$D$23,0),IF($T179="Nights",IF(ISNUMBER(Setup!$E$23),Setup!$E$23,0),IF(OR($T179="Exact amounts",$T179="Custom units"),0,1))))))</f>
        <v>0</v>
      </c>
      <c r="X179" s="29">
        <f>IF($T179="",0,IF(OR(Setup!$B$24="",Setup!$C$24="No"),0,IF(ISNUMBER(K179),K179,IF($T179="Weights",IF(ISNUMBER(Setup!$D$24),Setup!$D$24,0),IF($T179="Nights",IF(ISNUMBER(Setup!$E$24),Setup!$E$24,0),IF(OR($T179="Exact amounts",$T179="Custom units"),0,1))))))</f>
        <v>0</v>
      </c>
      <c r="Y179" s="29">
        <f>IF($T179="",0,IF(OR(Setup!$B$25="",Setup!$C$25="No"),0,IF(ISNUMBER(L179),L179,IF($T179="Weights",IF(ISNUMBER(Setup!$D$25),Setup!$D$25,0),IF($T179="Nights",IF(ISNUMBER(Setup!$E$25),Setup!$E$25,0),IF(OR($T179="Exact amounts",$T179="Custom units"),0,1))))))</f>
        <v>0</v>
      </c>
      <c r="Z179" s="29">
        <f>IF($T179="",0,IF(OR(Setup!$B$26="",Setup!$C$26="No"),0,IF(ISNUMBER(M179),M179,IF($T179="Weights",IF(ISNUMBER(Setup!$D$26),Setup!$D$26,0),IF($T179="Nights",IF(ISNUMBER(Setup!$E$26),Setup!$E$26,0),IF(OR($T179="Exact amounts",$T179="Custom units"),0,1))))))</f>
        <v>0</v>
      </c>
      <c r="AA179" s="29">
        <f>IF($T179="",0,IF(OR(Setup!$B$27="",Setup!$C$27="No"),0,IF(ISNUMBER(N179),N179,IF($T179="Weights",IF(ISNUMBER(Setup!$D$27),Setup!$D$27,0),IF($T179="Nights",IF(ISNUMBER(Setup!$E$27),Setup!$E$27,0),IF(OR($T179="Exact amounts",$T179="Custom units"),0,1))))))</f>
        <v>0</v>
      </c>
      <c r="AB179" s="29">
        <f>IF($T179="",0,IF(OR(Setup!$B$28="",Setup!$C$28="No"),0,IF(ISNUMBER(O179),O179,IF($T179="Weights",IF(ISNUMBER(Setup!$D$28),Setup!$D$28,0),IF($T179="Nights",IF(ISNUMBER(Setup!$E$28),Setup!$E$28,0),IF(OR($T179="Exact amounts",$T179="Custom units"),0,1))))))</f>
        <v>0</v>
      </c>
      <c r="AC179" s="29">
        <f>IF($T179="",0,IF(OR(Setup!$B$29="",Setup!$C$29="No"),0,IF(ISNUMBER(P179),P179,IF($T179="Weights",IF(ISNUMBER(Setup!$D$29),Setup!$D$29,0),IF($T179="Nights",IF(ISNUMBER(Setup!$E$29),Setup!$E$29,0),IF(OR($T179="Exact amounts",$T179="Custom units"),0,1))))))</f>
        <v>0</v>
      </c>
      <c r="AD179" s="29">
        <f>IF($T179="",0,IF(OR(Setup!$B$30="",Setup!$C$30="No"),0,IF(ISNUMBER(Q179),Q179,IF($T179="Weights",IF(ISNUMBER(Setup!$D$30),Setup!$D$30,0),IF($T179="Nights",IF(ISNUMBER(Setup!$E$30),Setup!$E$30,0),IF(OR($T179="Exact amounts",$T179="Custom units"),0,1))))))</f>
        <v>0</v>
      </c>
      <c r="AE179" s="29">
        <f t="shared" si="9"/>
        <v>0</v>
      </c>
      <c r="AF179" s="30">
        <f t="shared" si="10"/>
        <v>1</v>
      </c>
      <c r="AG179" s="29">
        <f t="shared" si="11"/>
        <v>0</v>
      </c>
    </row>
    <row r="180" spans="1:33" ht="16" x14ac:dyDescent="0.2">
      <c r="A180" s="22" t="str">
        <f t="shared" si="8"/>
        <v>—</v>
      </c>
      <c r="B180" s="23"/>
      <c r="C180" s="16"/>
      <c r="D180" s="16"/>
      <c r="E180" s="24"/>
      <c r="F180" s="16"/>
      <c r="G180" s="16"/>
      <c r="H180" s="25"/>
      <c r="I180" s="25"/>
      <c r="J180" s="25"/>
      <c r="K180" s="25"/>
      <c r="L180" s="25"/>
      <c r="M180" s="25"/>
      <c r="N180" s="25"/>
      <c r="O180" s="25"/>
      <c r="P180" s="25"/>
      <c r="Q180" s="25"/>
      <c r="R180" s="26" t="str">
        <f>IF($T180="","",IF($D180="","Who paid?",IF(SUMPRODUCT((Setup!$B$21:$B$30=$D180)*1)=0,"Payer is not in the member list on Setup",IF($E180="","Amount missing — type the number in column E",IF(NOT(ISNUMBER($E180)),"Amount must be a plain number — no currency symbol, no text",IF(AND($T180="Custom units",$AE180&lt;=0),"Custom units: nobody has units on this row — type a number for at least one person",IF($AE180&lt;=0,"Nobody shares this row — check the person columns H–Q, and the Weight / Nights columns on Setup",IF(AND($T180="Exact amounts",ABS($AE180-$AG180)&gt;0.01),"Exact amounts do not add up to the amount","OK"))))))))</f>
        <v/>
      </c>
      <c r="S180" s="27" t="str">
        <f>IFERROR(IF(OR($T180="",$C$4=""),"—",ROUND($AG180*INDEX($U180:$AD180,1,MATCH($C$4,Setup!$B$21:$B$30,0))/$AF180,2)),"—")</f>
        <v>—</v>
      </c>
      <c r="T180" s="28" t="str">
        <f>IF(AND($C180="",$D180="",NOT(ISNUMBER($E180))),"",IF($G180="",IF(Setup!$C$17="","Equal",Setup!$C$17),$G180))</f>
        <v/>
      </c>
      <c r="U180" s="29">
        <f>IF($T180="",0,IF(OR(Setup!$B$21="",Setup!$C$21="No"),0,IF(ISNUMBER(H180),H180,IF($T180="Weights",IF(ISNUMBER(Setup!$D$21),Setup!$D$21,0),IF($T180="Nights",IF(ISNUMBER(Setup!$E$21),Setup!$E$21,0),IF(OR($T180="Exact amounts",$T180="Custom units"),0,1))))))</f>
        <v>0</v>
      </c>
      <c r="V180" s="29">
        <f>IF($T180="",0,IF(OR(Setup!$B$22="",Setup!$C$22="No"),0,IF(ISNUMBER(I180),I180,IF($T180="Weights",IF(ISNUMBER(Setup!$D$22),Setup!$D$22,0),IF($T180="Nights",IF(ISNUMBER(Setup!$E$22),Setup!$E$22,0),IF(OR($T180="Exact amounts",$T180="Custom units"),0,1))))))</f>
        <v>0</v>
      </c>
      <c r="W180" s="29">
        <f>IF($T180="",0,IF(OR(Setup!$B$23="",Setup!$C$23="No"),0,IF(ISNUMBER(J180),J180,IF($T180="Weights",IF(ISNUMBER(Setup!$D$23),Setup!$D$23,0),IF($T180="Nights",IF(ISNUMBER(Setup!$E$23),Setup!$E$23,0),IF(OR($T180="Exact amounts",$T180="Custom units"),0,1))))))</f>
        <v>0</v>
      </c>
      <c r="X180" s="29">
        <f>IF($T180="",0,IF(OR(Setup!$B$24="",Setup!$C$24="No"),0,IF(ISNUMBER(K180),K180,IF($T180="Weights",IF(ISNUMBER(Setup!$D$24),Setup!$D$24,0),IF($T180="Nights",IF(ISNUMBER(Setup!$E$24),Setup!$E$24,0),IF(OR($T180="Exact amounts",$T180="Custom units"),0,1))))))</f>
        <v>0</v>
      </c>
      <c r="Y180" s="29">
        <f>IF($T180="",0,IF(OR(Setup!$B$25="",Setup!$C$25="No"),0,IF(ISNUMBER(L180),L180,IF($T180="Weights",IF(ISNUMBER(Setup!$D$25),Setup!$D$25,0),IF($T180="Nights",IF(ISNUMBER(Setup!$E$25),Setup!$E$25,0),IF(OR($T180="Exact amounts",$T180="Custom units"),0,1))))))</f>
        <v>0</v>
      </c>
      <c r="Z180" s="29">
        <f>IF($T180="",0,IF(OR(Setup!$B$26="",Setup!$C$26="No"),0,IF(ISNUMBER(M180),M180,IF($T180="Weights",IF(ISNUMBER(Setup!$D$26),Setup!$D$26,0),IF($T180="Nights",IF(ISNUMBER(Setup!$E$26),Setup!$E$26,0),IF(OR($T180="Exact amounts",$T180="Custom units"),0,1))))))</f>
        <v>0</v>
      </c>
      <c r="AA180" s="29">
        <f>IF($T180="",0,IF(OR(Setup!$B$27="",Setup!$C$27="No"),0,IF(ISNUMBER(N180),N180,IF($T180="Weights",IF(ISNUMBER(Setup!$D$27),Setup!$D$27,0),IF($T180="Nights",IF(ISNUMBER(Setup!$E$27),Setup!$E$27,0),IF(OR($T180="Exact amounts",$T180="Custom units"),0,1))))))</f>
        <v>0</v>
      </c>
      <c r="AB180" s="29">
        <f>IF($T180="",0,IF(OR(Setup!$B$28="",Setup!$C$28="No"),0,IF(ISNUMBER(O180),O180,IF($T180="Weights",IF(ISNUMBER(Setup!$D$28),Setup!$D$28,0),IF($T180="Nights",IF(ISNUMBER(Setup!$E$28),Setup!$E$28,0),IF(OR($T180="Exact amounts",$T180="Custom units"),0,1))))))</f>
        <v>0</v>
      </c>
      <c r="AC180" s="29">
        <f>IF($T180="",0,IF(OR(Setup!$B$29="",Setup!$C$29="No"),0,IF(ISNUMBER(P180),P180,IF($T180="Weights",IF(ISNUMBER(Setup!$D$29),Setup!$D$29,0),IF($T180="Nights",IF(ISNUMBER(Setup!$E$29),Setup!$E$29,0),IF(OR($T180="Exact amounts",$T180="Custom units"),0,1))))))</f>
        <v>0</v>
      </c>
      <c r="AD180" s="29">
        <f>IF($T180="",0,IF(OR(Setup!$B$30="",Setup!$C$30="No"),0,IF(ISNUMBER(Q180),Q180,IF($T180="Weights",IF(ISNUMBER(Setup!$D$30),Setup!$D$30,0),IF($T180="Nights",IF(ISNUMBER(Setup!$E$30),Setup!$E$30,0),IF(OR($T180="Exact amounts",$T180="Custom units"),0,1))))))</f>
        <v>0</v>
      </c>
      <c r="AE180" s="29">
        <f t="shared" si="9"/>
        <v>0</v>
      </c>
      <c r="AF180" s="30">
        <f t="shared" si="10"/>
        <v>1</v>
      </c>
      <c r="AG180" s="29">
        <f t="shared" si="11"/>
        <v>0</v>
      </c>
    </row>
    <row r="181" spans="1:33" ht="16" x14ac:dyDescent="0.2">
      <c r="A181" s="22" t="str">
        <f t="shared" si="8"/>
        <v>—</v>
      </c>
      <c r="B181" s="31"/>
      <c r="C181" s="11"/>
      <c r="D181" s="11"/>
      <c r="E181" s="32"/>
      <c r="F181" s="11"/>
      <c r="G181" s="11"/>
      <c r="H181" s="33"/>
      <c r="I181" s="33"/>
      <c r="J181" s="33"/>
      <c r="K181" s="33"/>
      <c r="L181" s="33"/>
      <c r="M181" s="33"/>
      <c r="N181" s="33"/>
      <c r="O181" s="33"/>
      <c r="P181" s="33"/>
      <c r="Q181" s="33"/>
      <c r="R181" s="26" t="str">
        <f>IF($T181="","",IF($D181="","Who paid?",IF(SUMPRODUCT((Setup!$B$21:$B$30=$D181)*1)=0,"Payer is not in the member list on Setup",IF($E181="","Amount missing — type the number in column E",IF(NOT(ISNUMBER($E181)),"Amount must be a plain number — no currency symbol, no text",IF(AND($T181="Custom units",$AE181&lt;=0),"Custom units: nobody has units on this row — type a number for at least one person",IF($AE181&lt;=0,"Nobody shares this row — check the person columns H–Q, and the Weight / Nights columns on Setup",IF(AND($T181="Exact amounts",ABS($AE181-$AG181)&gt;0.01),"Exact amounts do not add up to the amount","OK"))))))))</f>
        <v/>
      </c>
      <c r="S181" s="27" t="str">
        <f>IFERROR(IF(OR($T181="",$C$4=""),"—",ROUND($AG181*INDEX($U181:$AD181,1,MATCH($C$4,Setup!$B$21:$B$30,0))/$AF181,2)),"—")</f>
        <v>—</v>
      </c>
      <c r="T181" s="28" t="str">
        <f>IF(AND($C181="",$D181="",NOT(ISNUMBER($E181))),"",IF($G181="",IF(Setup!$C$17="","Equal",Setup!$C$17),$G181))</f>
        <v/>
      </c>
      <c r="U181" s="29">
        <f>IF($T181="",0,IF(OR(Setup!$B$21="",Setup!$C$21="No"),0,IF(ISNUMBER(H181),H181,IF($T181="Weights",IF(ISNUMBER(Setup!$D$21),Setup!$D$21,0),IF($T181="Nights",IF(ISNUMBER(Setup!$E$21),Setup!$E$21,0),IF(OR($T181="Exact amounts",$T181="Custom units"),0,1))))))</f>
        <v>0</v>
      </c>
      <c r="V181" s="29">
        <f>IF($T181="",0,IF(OR(Setup!$B$22="",Setup!$C$22="No"),0,IF(ISNUMBER(I181),I181,IF($T181="Weights",IF(ISNUMBER(Setup!$D$22),Setup!$D$22,0),IF($T181="Nights",IF(ISNUMBER(Setup!$E$22),Setup!$E$22,0),IF(OR($T181="Exact amounts",$T181="Custom units"),0,1))))))</f>
        <v>0</v>
      </c>
      <c r="W181" s="29">
        <f>IF($T181="",0,IF(OR(Setup!$B$23="",Setup!$C$23="No"),0,IF(ISNUMBER(J181),J181,IF($T181="Weights",IF(ISNUMBER(Setup!$D$23),Setup!$D$23,0),IF($T181="Nights",IF(ISNUMBER(Setup!$E$23),Setup!$E$23,0),IF(OR($T181="Exact amounts",$T181="Custom units"),0,1))))))</f>
        <v>0</v>
      </c>
      <c r="X181" s="29">
        <f>IF($T181="",0,IF(OR(Setup!$B$24="",Setup!$C$24="No"),0,IF(ISNUMBER(K181),K181,IF($T181="Weights",IF(ISNUMBER(Setup!$D$24),Setup!$D$24,0),IF($T181="Nights",IF(ISNUMBER(Setup!$E$24),Setup!$E$24,0),IF(OR($T181="Exact amounts",$T181="Custom units"),0,1))))))</f>
        <v>0</v>
      </c>
      <c r="Y181" s="29">
        <f>IF($T181="",0,IF(OR(Setup!$B$25="",Setup!$C$25="No"),0,IF(ISNUMBER(L181),L181,IF($T181="Weights",IF(ISNUMBER(Setup!$D$25),Setup!$D$25,0),IF($T181="Nights",IF(ISNUMBER(Setup!$E$25),Setup!$E$25,0),IF(OR($T181="Exact amounts",$T181="Custom units"),0,1))))))</f>
        <v>0</v>
      </c>
      <c r="Z181" s="29">
        <f>IF($T181="",0,IF(OR(Setup!$B$26="",Setup!$C$26="No"),0,IF(ISNUMBER(M181),M181,IF($T181="Weights",IF(ISNUMBER(Setup!$D$26),Setup!$D$26,0),IF($T181="Nights",IF(ISNUMBER(Setup!$E$26),Setup!$E$26,0),IF(OR($T181="Exact amounts",$T181="Custom units"),0,1))))))</f>
        <v>0</v>
      </c>
      <c r="AA181" s="29">
        <f>IF($T181="",0,IF(OR(Setup!$B$27="",Setup!$C$27="No"),0,IF(ISNUMBER(N181),N181,IF($T181="Weights",IF(ISNUMBER(Setup!$D$27),Setup!$D$27,0),IF($T181="Nights",IF(ISNUMBER(Setup!$E$27),Setup!$E$27,0),IF(OR($T181="Exact amounts",$T181="Custom units"),0,1))))))</f>
        <v>0</v>
      </c>
      <c r="AB181" s="29">
        <f>IF($T181="",0,IF(OR(Setup!$B$28="",Setup!$C$28="No"),0,IF(ISNUMBER(O181),O181,IF($T181="Weights",IF(ISNUMBER(Setup!$D$28),Setup!$D$28,0),IF($T181="Nights",IF(ISNUMBER(Setup!$E$28),Setup!$E$28,0),IF(OR($T181="Exact amounts",$T181="Custom units"),0,1))))))</f>
        <v>0</v>
      </c>
      <c r="AC181" s="29">
        <f>IF($T181="",0,IF(OR(Setup!$B$29="",Setup!$C$29="No"),0,IF(ISNUMBER(P181),P181,IF($T181="Weights",IF(ISNUMBER(Setup!$D$29),Setup!$D$29,0),IF($T181="Nights",IF(ISNUMBER(Setup!$E$29),Setup!$E$29,0),IF(OR($T181="Exact amounts",$T181="Custom units"),0,1))))))</f>
        <v>0</v>
      </c>
      <c r="AD181" s="29">
        <f>IF($T181="",0,IF(OR(Setup!$B$30="",Setup!$C$30="No"),0,IF(ISNUMBER(Q181),Q181,IF($T181="Weights",IF(ISNUMBER(Setup!$D$30),Setup!$D$30,0),IF($T181="Nights",IF(ISNUMBER(Setup!$E$30),Setup!$E$30,0),IF(OR($T181="Exact amounts",$T181="Custom units"),0,1))))))</f>
        <v>0</v>
      </c>
      <c r="AE181" s="29">
        <f t="shared" si="9"/>
        <v>0</v>
      </c>
      <c r="AF181" s="30">
        <f t="shared" si="10"/>
        <v>1</v>
      </c>
      <c r="AG181" s="29">
        <f t="shared" si="11"/>
        <v>0</v>
      </c>
    </row>
    <row r="182" spans="1:33" ht="16" x14ac:dyDescent="0.2">
      <c r="A182" s="22" t="str">
        <f t="shared" si="8"/>
        <v>—</v>
      </c>
      <c r="B182" s="23"/>
      <c r="C182" s="16"/>
      <c r="D182" s="16"/>
      <c r="E182" s="24"/>
      <c r="F182" s="16"/>
      <c r="G182" s="16"/>
      <c r="H182" s="25"/>
      <c r="I182" s="25"/>
      <c r="J182" s="25"/>
      <c r="K182" s="25"/>
      <c r="L182" s="25"/>
      <c r="M182" s="25"/>
      <c r="N182" s="25"/>
      <c r="O182" s="25"/>
      <c r="P182" s="25"/>
      <c r="Q182" s="25"/>
      <c r="R182" s="26" t="str">
        <f>IF($T182="","",IF($D182="","Who paid?",IF(SUMPRODUCT((Setup!$B$21:$B$30=$D182)*1)=0,"Payer is not in the member list on Setup",IF($E182="","Amount missing — type the number in column E",IF(NOT(ISNUMBER($E182)),"Amount must be a plain number — no currency symbol, no text",IF(AND($T182="Custom units",$AE182&lt;=0),"Custom units: nobody has units on this row — type a number for at least one person",IF($AE182&lt;=0,"Nobody shares this row — check the person columns H–Q, and the Weight / Nights columns on Setup",IF(AND($T182="Exact amounts",ABS($AE182-$AG182)&gt;0.01),"Exact amounts do not add up to the amount","OK"))))))))</f>
        <v/>
      </c>
      <c r="S182" s="27" t="str">
        <f>IFERROR(IF(OR($T182="",$C$4=""),"—",ROUND($AG182*INDEX($U182:$AD182,1,MATCH($C$4,Setup!$B$21:$B$30,0))/$AF182,2)),"—")</f>
        <v>—</v>
      </c>
      <c r="T182" s="28" t="str">
        <f>IF(AND($C182="",$D182="",NOT(ISNUMBER($E182))),"",IF($G182="",IF(Setup!$C$17="","Equal",Setup!$C$17),$G182))</f>
        <v/>
      </c>
      <c r="U182" s="29">
        <f>IF($T182="",0,IF(OR(Setup!$B$21="",Setup!$C$21="No"),0,IF(ISNUMBER(H182),H182,IF($T182="Weights",IF(ISNUMBER(Setup!$D$21),Setup!$D$21,0),IF($T182="Nights",IF(ISNUMBER(Setup!$E$21),Setup!$E$21,0),IF(OR($T182="Exact amounts",$T182="Custom units"),0,1))))))</f>
        <v>0</v>
      </c>
      <c r="V182" s="29">
        <f>IF($T182="",0,IF(OR(Setup!$B$22="",Setup!$C$22="No"),0,IF(ISNUMBER(I182),I182,IF($T182="Weights",IF(ISNUMBER(Setup!$D$22),Setup!$D$22,0),IF($T182="Nights",IF(ISNUMBER(Setup!$E$22),Setup!$E$22,0),IF(OR($T182="Exact amounts",$T182="Custom units"),0,1))))))</f>
        <v>0</v>
      </c>
      <c r="W182" s="29">
        <f>IF($T182="",0,IF(OR(Setup!$B$23="",Setup!$C$23="No"),0,IF(ISNUMBER(J182),J182,IF($T182="Weights",IF(ISNUMBER(Setup!$D$23),Setup!$D$23,0),IF($T182="Nights",IF(ISNUMBER(Setup!$E$23),Setup!$E$23,0),IF(OR($T182="Exact amounts",$T182="Custom units"),0,1))))))</f>
        <v>0</v>
      </c>
      <c r="X182" s="29">
        <f>IF($T182="",0,IF(OR(Setup!$B$24="",Setup!$C$24="No"),0,IF(ISNUMBER(K182),K182,IF($T182="Weights",IF(ISNUMBER(Setup!$D$24),Setup!$D$24,0),IF($T182="Nights",IF(ISNUMBER(Setup!$E$24),Setup!$E$24,0),IF(OR($T182="Exact amounts",$T182="Custom units"),0,1))))))</f>
        <v>0</v>
      </c>
      <c r="Y182" s="29">
        <f>IF($T182="",0,IF(OR(Setup!$B$25="",Setup!$C$25="No"),0,IF(ISNUMBER(L182),L182,IF($T182="Weights",IF(ISNUMBER(Setup!$D$25),Setup!$D$25,0),IF($T182="Nights",IF(ISNUMBER(Setup!$E$25),Setup!$E$25,0),IF(OR($T182="Exact amounts",$T182="Custom units"),0,1))))))</f>
        <v>0</v>
      </c>
      <c r="Z182" s="29">
        <f>IF($T182="",0,IF(OR(Setup!$B$26="",Setup!$C$26="No"),0,IF(ISNUMBER(M182),M182,IF($T182="Weights",IF(ISNUMBER(Setup!$D$26),Setup!$D$26,0),IF($T182="Nights",IF(ISNUMBER(Setup!$E$26),Setup!$E$26,0),IF(OR($T182="Exact amounts",$T182="Custom units"),0,1))))))</f>
        <v>0</v>
      </c>
      <c r="AA182" s="29">
        <f>IF($T182="",0,IF(OR(Setup!$B$27="",Setup!$C$27="No"),0,IF(ISNUMBER(N182),N182,IF($T182="Weights",IF(ISNUMBER(Setup!$D$27),Setup!$D$27,0),IF($T182="Nights",IF(ISNUMBER(Setup!$E$27),Setup!$E$27,0),IF(OR($T182="Exact amounts",$T182="Custom units"),0,1))))))</f>
        <v>0</v>
      </c>
      <c r="AB182" s="29">
        <f>IF($T182="",0,IF(OR(Setup!$B$28="",Setup!$C$28="No"),0,IF(ISNUMBER(O182),O182,IF($T182="Weights",IF(ISNUMBER(Setup!$D$28),Setup!$D$28,0),IF($T182="Nights",IF(ISNUMBER(Setup!$E$28),Setup!$E$28,0),IF(OR($T182="Exact amounts",$T182="Custom units"),0,1))))))</f>
        <v>0</v>
      </c>
      <c r="AC182" s="29">
        <f>IF($T182="",0,IF(OR(Setup!$B$29="",Setup!$C$29="No"),0,IF(ISNUMBER(P182),P182,IF($T182="Weights",IF(ISNUMBER(Setup!$D$29),Setup!$D$29,0),IF($T182="Nights",IF(ISNUMBER(Setup!$E$29),Setup!$E$29,0),IF(OR($T182="Exact amounts",$T182="Custom units"),0,1))))))</f>
        <v>0</v>
      </c>
      <c r="AD182" s="29">
        <f>IF($T182="",0,IF(OR(Setup!$B$30="",Setup!$C$30="No"),0,IF(ISNUMBER(Q182),Q182,IF($T182="Weights",IF(ISNUMBER(Setup!$D$30),Setup!$D$30,0),IF($T182="Nights",IF(ISNUMBER(Setup!$E$30),Setup!$E$30,0),IF(OR($T182="Exact amounts",$T182="Custom units"),0,1))))))</f>
        <v>0</v>
      </c>
      <c r="AE182" s="29">
        <f t="shared" si="9"/>
        <v>0</v>
      </c>
      <c r="AF182" s="30">
        <f t="shared" si="10"/>
        <v>1</v>
      </c>
      <c r="AG182" s="29">
        <f t="shared" si="11"/>
        <v>0</v>
      </c>
    </row>
    <row r="183" spans="1:33" ht="16" x14ac:dyDescent="0.2">
      <c r="A183" s="22" t="str">
        <f t="shared" si="8"/>
        <v>—</v>
      </c>
      <c r="B183" s="31"/>
      <c r="C183" s="11"/>
      <c r="D183" s="11"/>
      <c r="E183" s="32"/>
      <c r="F183" s="11"/>
      <c r="G183" s="11"/>
      <c r="H183" s="33"/>
      <c r="I183" s="33"/>
      <c r="J183" s="33"/>
      <c r="K183" s="33"/>
      <c r="L183" s="33"/>
      <c r="M183" s="33"/>
      <c r="N183" s="33"/>
      <c r="O183" s="33"/>
      <c r="P183" s="33"/>
      <c r="Q183" s="33"/>
      <c r="R183" s="26" t="str">
        <f>IF($T183="","",IF($D183="","Who paid?",IF(SUMPRODUCT((Setup!$B$21:$B$30=$D183)*1)=0,"Payer is not in the member list on Setup",IF($E183="","Amount missing — type the number in column E",IF(NOT(ISNUMBER($E183)),"Amount must be a plain number — no currency symbol, no text",IF(AND($T183="Custom units",$AE183&lt;=0),"Custom units: nobody has units on this row — type a number for at least one person",IF($AE183&lt;=0,"Nobody shares this row — check the person columns H–Q, and the Weight / Nights columns on Setup",IF(AND($T183="Exact amounts",ABS($AE183-$AG183)&gt;0.01),"Exact amounts do not add up to the amount","OK"))))))))</f>
        <v/>
      </c>
      <c r="S183" s="27" t="str">
        <f>IFERROR(IF(OR($T183="",$C$4=""),"—",ROUND($AG183*INDEX($U183:$AD183,1,MATCH($C$4,Setup!$B$21:$B$30,0))/$AF183,2)),"—")</f>
        <v>—</v>
      </c>
      <c r="T183" s="28" t="str">
        <f>IF(AND($C183="",$D183="",NOT(ISNUMBER($E183))),"",IF($G183="",IF(Setup!$C$17="","Equal",Setup!$C$17),$G183))</f>
        <v/>
      </c>
      <c r="U183" s="29">
        <f>IF($T183="",0,IF(OR(Setup!$B$21="",Setup!$C$21="No"),0,IF(ISNUMBER(H183),H183,IF($T183="Weights",IF(ISNUMBER(Setup!$D$21),Setup!$D$21,0),IF($T183="Nights",IF(ISNUMBER(Setup!$E$21),Setup!$E$21,0),IF(OR($T183="Exact amounts",$T183="Custom units"),0,1))))))</f>
        <v>0</v>
      </c>
      <c r="V183" s="29">
        <f>IF($T183="",0,IF(OR(Setup!$B$22="",Setup!$C$22="No"),0,IF(ISNUMBER(I183),I183,IF($T183="Weights",IF(ISNUMBER(Setup!$D$22),Setup!$D$22,0),IF($T183="Nights",IF(ISNUMBER(Setup!$E$22),Setup!$E$22,0),IF(OR($T183="Exact amounts",$T183="Custom units"),0,1))))))</f>
        <v>0</v>
      </c>
      <c r="W183" s="29">
        <f>IF($T183="",0,IF(OR(Setup!$B$23="",Setup!$C$23="No"),0,IF(ISNUMBER(J183),J183,IF($T183="Weights",IF(ISNUMBER(Setup!$D$23),Setup!$D$23,0),IF($T183="Nights",IF(ISNUMBER(Setup!$E$23),Setup!$E$23,0),IF(OR($T183="Exact amounts",$T183="Custom units"),0,1))))))</f>
        <v>0</v>
      </c>
      <c r="X183" s="29">
        <f>IF($T183="",0,IF(OR(Setup!$B$24="",Setup!$C$24="No"),0,IF(ISNUMBER(K183),K183,IF($T183="Weights",IF(ISNUMBER(Setup!$D$24),Setup!$D$24,0),IF($T183="Nights",IF(ISNUMBER(Setup!$E$24),Setup!$E$24,0),IF(OR($T183="Exact amounts",$T183="Custom units"),0,1))))))</f>
        <v>0</v>
      </c>
      <c r="Y183" s="29">
        <f>IF($T183="",0,IF(OR(Setup!$B$25="",Setup!$C$25="No"),0,IF(ISNUMBER(L183),L183,IF($T183="Weights",IF(ISNUMBER(Setup!$D$25),Setup!$D$25,0),IF($T183="Nights",IF(ISNUMBER(Setup!$E$25),Setup!$E$25,0),IF(OR($T183="Exact amounts",$T183="Custom units"),0,1))))))</f>
        <v>0</v>
      </c>
      <c r="Z183" s="29">
        <f>IF($T183="",0,IF(OR(Setup!$B$26="",Setup!$C$26="No"),0,IF(ISNUMBER(M183),M183,IF($T183="Weights",IF(ISNUMBER(Setup!$D$26),Setup!$D$26,0),IF($T183="Nights",IF(ISNUMBER(Setup!$E$26),Setup!$E$26,0),IF(OR($T183="Exact amounts",$T183="Custom units"),0,1))))))</f>
        <v>0</v>
      </c>
      <c r="AA183" s="29">
        <f>IF($T183="",0,IF(OR(Setup!$B$27="",Setup!$C$27="No"),0,IF(ISNUMBER(N183),N183,IF($T183="Weights",IF(ISNUMBER(Setup!$D$27),Setup!$D$27,0),IF($T183="Nights",IF(ISNUMBER(Setup!$E$27),Setup!$E$27,0),IF(OR($T183="Exact amounts",$T183="Custom units"),0,1))))))</f>
        <v>0</v>
      </c>
      <c r="AB183" s="29">
        <f>IF($T183="",0,IF(OR(Setup!$B$28="",Setup!$C$28="No"),0,IF(ISNUMBER(O183),O183,IF($T183="Weights",IF(ISNUMBER(Setup!$D$28),Setup!$D$28,0),IF($T183="Nights",IF(ISNUMBER(Setup!$E$28),Setup!$E$28,0),IF(OR($T183="Exact amounts",$T183="Custom units"),0,1))))))</f>
        <v>0</v>
      </c>
      <c r="AC183" s="29">
        <f>IF($T183="",0,IF(OR(Setup!$B$29="",Setup!$C$29="No"),0,IF(ISNUMBER(P183),P183,IF($T183="Weights",IF(ISNUMBER(Setup!$D$29),Setup!$D$29,0),IF($T183="Nights",IF(ISNUMBER(Setup!$E$29),Setup!$E$29,0),IF(OR($T183="Exact amounts",$T183="Custom units"),0,1))))))</f>
        <v>0</v>
      </c>
      <c r="AD183" s="29">
        <f>IF($T183="",0,IF(OR(Setup!$B$30="",Setup!$C$30="No"),0,IF(ISNUMBER(Q183),Q183,IF($T183="Weights",IF(ISNUMBER(Setup!$D$30),Setup!$D$30,0),IF($T183="Nights",IF(ISNUMBER(Setup!$E$30),Setup!$E$30,0),IF(OR($T183="Exact amounts",$T183="Custom units"),0,1))))))</f>
        <v>0</v>
      </c>
      <c r="AE183" s="29">
        <f t="shared" si="9"/>
        <v>0</v>
      </c>
      <c r="AF183" s="30">
        <f t="shared" si="10"/>
        <v>1</v>
      </c>
      <c r="AG183" s="29">
        <f t="shared" si="11"/>
        <v>0</v>
      </c>
    </row>
    <row r="184" spans="1:33" ht="16" x14ac:dyDescent="0.2">
      <c r="A184" s="22" t="str">
        <f t="shared" si="8"/>
        <v>—</v>
      </c>
      <c r="B184" s="23"/>
      <c r="C184" s="16"/>
      <c r="D184" s="16"/>
      <c r="E184" s="24"/>
      <c r="F184" s="16"/>
      <c r="G184" s="16"/>
      <c r="H184" s="25"/>
      <c r="I184" s="25"/>
      <c r="J184" s="25"/>
      <c r="K184" s="25"/>
      <c r="L184" s="25"/>
      <c r="M184" s="25"/>
      <c r="N184" s="25"/>
      <c r="O184" s="25"/>
      <c r="P184" s="25"/>
      <c r="Q184" s="25"/>
      <c r="R184" s="26" t="str">
        <f>IF($T184="","",IF($D184="","Who paid?",IF(SUMPRODUCT((Setup!$B$21:$B$30=$D184)*1)=0,"Payer is not in the member list on Setup",IF($E184="","Amount missing — type the number in column E",IF(NOT(ISNUMBER($E184)),"Amount must be a plain number — no currency symbol, no text",IF(AND($T184="Custom units",$AE184&lt;=0),"Custom units: nobody has units on this row — type a number for at least one person",IF($AE184&lt;=0,"Nobody shares this row — check the person columns H–Q, and the Weight / Nights columns on Setup",IF(AND($T184="Exact amounts",ABS($AE184-$AG184)&gt;0.01),"Exact amounts do not add up to the amount","OK"))))))))</f>
        <v/>
      </c>
      <c r="S184" s="27" t="str">
        <f>IFERROR(IF(OR($T184="",$C$4=""),"—",ROUND($AG184*INDEX($U184:$AD184,1,MATCH($C$4,Setup!$B$21:$B$30,0))/$AF184,2)),"—")</f>
        <v>—</v>
      </c>
      <c r="T184" s="28" t="str">
        <f>IF(AND($C184="",$D184="",NOT(ISNUMBER($E184))),"",IF($G184="",IF(Setup!$C$17="","Equal",Setup!$C$17),$G184))</f>
        <v/>
      </c>
      <c r="U184" s="29">
        <f>IF($T184="",0,IF(OR(Setup!$B$21="",Setup!$C$21="No"),0,IF(ISNUMBER(H184),H184,IF($T184="Weights",IF(ISNUMBER(Setup!$D$21),Setup!$D$21,0),IF($T184="Nights",IF(ISNUMBER(Setup!$E$21),Setup!$E$21,0),IF(OR($T184="Exact amounts",$T184="Custom units"),0,1))))))</f>
        <v>0</v>
      </c>
      <c r="V184" s="29">
        <f>IF($T184="",0,IF(OR(Setup!$B$22="",Setup!$C$22="No"),0,IF(ISNUMBER(I184),I184,IF($T184="Weights",IF(ISNUMBER(Setup!$D$22),Setup!$D$22,0),IF($T184="Nights",IF(ISNUMBER(Setup!$E$22),Setup!$E$22,0),IF(OR($T184="Exact amounts",$T184="Custom units"),0,1))))))</f>
        <v>0</v>
      </c>
      <c r="W184" s="29">
        <f>IF($T184="",0,IF(OR(Setup!$B$23="",Setup!$C$23="No"),0,IF(ISNUMBER(J184),J184,IF($T184="Weights",IF(ISNUMBER(Setup!$D$23),Setup!$D$23,0),IF($T184="Nights",IF(ISNUMBER(Setup!$E$23),Setup!$E$23,0),IF(OR($T184="Exact amounts",$T184="Custom units"),0,1))))))</f>
        <v>0</v>
      </c>
      <c r="X184" s="29">
        <f>IF($T184="",0,IF(OR(Setup!$B$24="",Setup!$C$24="No"),0,IF(ISNUMBER(K184),K184,IF($T184="Weights",IF(ISNUMBER(Setup!$D$24),Setup!$D$24,0),IF($T184="Nights",IF(ISNUMBER(Setup!$E$24),Setup!$E$24,0),IF(OR($T184="Exact amounts",$T184="Custom units"),0,1))))))</f>
        <v>0</v>
      </c>
      <c r="Y184" s="29">
        <f>IF($T184="",0,IF(OR(Setup!$B$25="",Setup!$C$25="No"),0,IF(ISNUMBER(L184),L184,IF($T184="Weights",IF(ISNUMBER(Setup!$D$25),Setup!$D$25,0),IF($T184="Nights",IF(ISNUMBER(Setup!$E$25),Setup!$E$25,0),IF(OR($T184="Exact amounts",$T184="Custom units"),0,1))))))</f>
        <v>0</v>
      </c>
      <c r="Z184" s="29">
        <f>IF($T184="",0,IF(OR(Setup!$B$26="",Setup!$C$26="No"),0,IF(ISNUMBER(M184),M184,IF($T184="Weights",IF(ISNUMBER(Setup!$D$26),Setup!$D$26,0),IF($T184="Nights",IF(ISNUMBER(Setup!$E$26),Setup!$E$26,0),IF(OR($T184="Exact amounts",$T184="Custom units"),0,1))))))</f>
        <v>0</v>
      </c>
      <c r="AA184" s="29">
        <f>IF($T184="",0,IF(OR(Setup!$B$27="",Setup!$C$27="No"),0,IF(ISNUMBER(N184),N184,IF($T184="Weights",IF(ISNUMBER(Setup!$D$27),Setup!$D$27,0),IF($T184="Nights",IF(ISNUMBER(Setup!$E$27),Setup!$E$27,0),IF(OR($T184="Exact amounts",$T184="Custom units"),0,1))))))</f>
        <v>0</v>
      </c>
      <c r="AB184" s="29">
        <f>IF($T184="",0,IF(OR(Setup!$B$28="",Setup!$C$28="No"),0,IF(ISNUMBER(O184),O184,IF($T184="Weights",IF(ISNUMBER(Setup!$D$28),Setup!$D$28,0),IF($T184="Nights",IF(ISNUMBER(Setup!$E$28),Setup!$E$28,0),IF(OR($T184="Exact amounts",$T184="Custom units"),0,1))))))</f>
        <v>0</v>
      </c>
      <c r="AC184" s="29">
        <f>IF($T184="",0,IF(OR(Setup!$B$29="",Setup!$C$29="No"),0,IF(ISNUMBER(P184),P184,IF($T184="Weights",IF(ISNUMBER(Setup!$D$29),Setup!$D$29,0),IF($T184="Nights",IF(ISNUMBER(Setup!$E$29),Setup!$E$29,0),IF(OR($T184="Exact amounts",$T184="Custom units"),0,1))))))</f>
        <v>0</v>
      </c>
      <c r="AD184" s="29">
        <f>IF($T184="",0,IF(OR(Setup!$B$30="",Setup!$C$30="No"),0,IF(ISNUMBER(Q184),Q184,IF($T184="Weights",IF(ISNUMBER(Setup!$D$30),Setup!$D$30,0),IF($T184="Nights",IF(ISNUMBER(Setup!$E$30),Setup!$E$30,0),IF(OR($T184="Exact amounts",$T184="Custom units"),0,1))))))</f>
        <v>0</v>
      </c>
      <c r="AE184" s="29">
        <f t="shared" si="9"/>
        <v>0</v>
      </c>
      <c r="AF184" s="30">
        <f t="shared" si="10"/>
        <v>1</v>
      </c>
      <c r="AG184" s="29">
        <f t="shared" si="11"/>
        <v>0</v>
      </c>
    </row>
    <row r="185" spans="1:33" ht="16" x14ac:dyDescent="0.2">
      <c r="A185" s="22" t="str">
        <f t="shared" si="8"/>
        <v>—</v>
      </c>
      <c r="B185" s="31"/>
      <c r="C185" s="11"/>
      <c r="D185" s="11"/>
      <c r="E185" s="32"/>
      <c r="F185" s="11"/>
      <c r="G185" s="11"/>
      <c r="H185" s="33"/>
      <c r="I185" s="33"/>
      <c r="J185" s="33"/>
      <c r="K185" s="33"/>
      <c r="L185" s="33"/>
      <c r="M185" s="33"/>
      <c r="N185" s="33"/>
      <c r="O185" s="33"/>
      <c r="P185" s="33"/>
      <c r="Q185" s="33"/>
      <c r="R185" s="26" t="str">
        <f>IF($T185="","",IF($D185="","Who paid?",IF(SUMPRODUCT((Setup!$B$21:$B$30=$D185)*1)=0,"Payer is not in the member list on Setup",IF($E185="","Amount missing — type the number in column E",IF(NOT(ISNUMBER($E185)),"Amount must be a plain number — no currency symbol, no text",IF(AND($T185="Custom units",$AE185&lt;=0),"Custom units: nobody has units on this row — type a number for at least one person",IF($AE185&lt;=0,"Nobody shares this row — check the person columns H–Q, and the Weight / Nights columns on Setup",IF(AND($T185="Exact amounts",ABS($AE185-$AG185)&gt;0.01),"Exact amounts do not add up to the amount","OK"))))))))</f>
        <v/>
      </c>
      <c r="S185" s="27" t="str">
        <f>IFERROR(IF(OR($T185="",$C$4=""),"—",ROUND($AG185*INDEX($U185:$AD185,1,MATCH($C$4,Setup!$B$21:$B$30,0))/$AF185,2)),"—")</f>
        <v>—</v>
      </c>
      <c r="T185" s="28" t="str">
        <f>IF(AND($C185="",$D185="",NOT(ISNUMBER($E185))),"",IF($G185="",IF(Setup!$C$17="","Equal",Setup!$C$17),$G185))</f>
        <v/>
      </c>
      <c r="U185" s="29">
        <f>IF($T185="",0,IF(OR(Setup!$B$21="",Setup!$C$21="No"),0,IF(ISNUMBER(H185),H185,IF($T185="Weights",IF(ISNUMBER(Setup!$D$21),Setup!$D$21,0),IF($T185="Nights",IF(ISNUMBER(Setup!$E$21),Setup!$E$21,0),IF(OR($T185="Exact amounts",$T185="Custom units"),0,1))))))</f>
        <v>0</v>
      </c>
      <c r="V185" s="29">
        <f>IF($T185="",0,IF(OR(Setup!$B$22="",Setup!$C$22="No"),0,IF(ISNUMBER(I185),I185,IF($T185="Weights",IF(ISNUMBER(Setup!$D$22),Setup!$D$22,0),IF($T185="Nights",IF(ISNUMBER(Setup!$E$22),Setup!$E$22,0),IF(OR($T185="Exact amounts",$T185="Custom units"),0,1))))))</f>
        <v>0</v>
      </c>
      <c r="W185" s="29">
        <f>IF($T185="",0,IF(OR(Setup!$B$23="",Setup!$C$23="No"),0,IF(ISNUMBER(J185),J185,IF($T185="Weights",IF(ISNUMBER(Setup!$D$23),Setup!$D$23,0),IF($T185="Nights",IF(ISNUMBER(Setup!$E$23),Setup!$E$23,0),IF(OR($T185="Exact amounts",$T185="Custom units"),0,1))))))</f>
        <v>0</v>
      </c>
      <c r="X185" s="29">
        <f>IF($T185="",0,IF(OR(Setup!$B$24="",Setup!$C$24="No"),0,IF(ISNUMBER(K185),K185,IF($T185="Weights",IF(ISNUMBER(Setup!$D$24),Setup!$D$24,0),IF($T185="Nights",IF(ISNUMBER(Setup!$E$24),Setup!$E$24,0),IF(OR($T185="Exact amounts",$T185="Custom units"),0,1))))))</f>
        <v>0</v>
      </c>
      <c r="Y185" s="29">
        <f>IF($T185="",0,IF(OR(Setup!$B$25="",Setup!$C$25="No"),0,IF(ISNUMBER(L185),L185,IF($T185="Weights",IF(ISNUMBER(Setup!$D$25),Setup!$D$25,0),IF($T185="Nights",IF(ISNUMBER(Setup!$E$25),Setup!$E$25,0),IF(OR($T185="Exact amounts",$T185="Custom units"),0,1))))))</f>
        <v>0</v>
      </c>
      <c r="Z185" s="29">
        <f>IF($T185="",0,IF(OR(Setup!$B$26="",Setup!$C$26="No"),0,IF(ISNUMBER(M185),M185,IF($T185="Weights",IF(ISNUMBER(Setup!$D$26),Setup!$D$26,0),IF($T185="Nights",IF(ISNUMBER(Setup!$E$26),Setup!$E$26,0),IF(OR($T185="Exact amounts",$T185="Custom units"),0,1))))))</f>
        <v>0</v>
      </c>
      <c r="AA185" s="29">
        <f>IF($T185="",0,IF(OR(Setup!$B$27="",Setup!$C$27="No"),0,IF(ISNUMBER(N185),N185,IF($T185="Weights",IF(ISNUMBER(Setup!$D$27),Setup!$D$27,0),IF($T185="Nights",IF(ISNUMBER(Setup!$E$27),Setup!$E$27,0),IF(OR($T185="Exact amounts",$T185="Custom units"),0,1))))))</f>
        <v>0</v>
      </c>
      <c r="AB185" s="29">
        <f>IF($T185="",0,IF(OR(Setup!$B$28="",Setup!$C$28="No"),0,IF(ISNUMBER(O185),O185,IF($T185="Weights",IF(ISNUMBER(Setup!$D$28),Setup!$D$28,0),IF($T185="Nights",IF(ISNUMBER(Setup!$E$28),Setup!$E$28,0),IF(OR($T185="Exact amounts",$T185="Custom units"),0,1))))))</f>
        <v>0</v>
      </c>
      <c r="AC185" s="29">
        <f>IF($T185="",0,IF(OR(Setup!$B$29="",Setup!$C$29="No"),0,IF(ISNUMBER(P185),P185,IF($T185="Weights",IF(ISNUMBER(Setup!$D$29),Setup!$D$29,0),IF($T185="Nights",IF(ISNUMBER(Setup!$E$29),Setup!$E$29,0),IF(OR($T185="Exact amounts",$T185="Custom units"),0,1))))))</f>
        <v>0</v>
      </c>
      <c r="AD185" s="29">
        <f>IF($T185="",0,IF(OR(Setup!$B$30="",Setup!$C$30="No"),0,IF(ISNUMBER(Q185),Q185,IF($T185="Weights",IF(ISNUMBER(Setup!$D$30),Setup!$D$30,0),IF($T185="Nights",IF(ISNUMBER(Setup!$E$30),Setup!$E$30,0),IF(OR($T185="Exact amounts",$T185="Custom units"),0,1))))))</f>
        <v>0</v>
      </c>
      <c r="AE185" s="29">
        <f t="shared" si="9"/>
        <v>0</v>
      </c>
      <c r="AF185" s="30">
        <f t="shared" si="10"/>
        <v>1</v>
      </c>
      <c r="AG185" s="29">
        <f t="shared" si="11"/>
        <v>0</v>
      </c>
    </row>
    <row r="186" spans="1:33" ht="16" x14ac:dyDescent="0.2">
      <c r="A186" s="22" t="str">
        <f t="shared" si="8"/>
        <v>—</v>
      </c>
      <c r="B186" s="23"/>
      <c r="C186" s="16"/>
      <c r="D186" s="16"/>
      <c r="E186" s="24"/>
      <c r="F186" s="16"/>
      <c r="G186" s="16"/>
      <c r="H186" s="25"/>
      <c r="I186" s="25"/>
      <c r="J186" s="25"/>
      <c r="K186" s="25"/>
      <c r="L186" s="25"/>
      <c r="M186" s="25"/>
      <c r="N186" s="25"/>
      <c r="O186" s="25"/>
      <c r="P186" s="25"/>
      <c r="Q186" s="25"/>
      <c r="R186" s="26" t="str">
        <f>IF($T186="","",IF($D186="","Who paid?",IF(SUMPRODUCT((Setup!$B$21:$B$30=$D186)*1)=0,"Payer is not in the member list on Setup",IF($E186="","Amount missing — type the number in column E",IF(NOT(ISNUMBER($E186)),"Amount must be a plain number — no currency symbol, no text",IF(AND($T186="Custom units",$AE186&lt;=0),"Custom units: nobody has units on this row — type a number for at least one person",IF($AE186&lt;=0,"Nobody shares this row — check the person columns H–Q, and the Weight / Nights columns on Setup",IF(AND($T186="Exact amounts",ABS($AE186-$AG186)&gt;0.01),"Exact amounts do not add up to the amount","OK"))))))))</f>
        <v/>
      </c>
      <c r="S186" s="27" t="str">
        <f>IFERROR(IF(OR($T186="",$C$4=""),"—",ROUND($AG186*INDEX($U186:$AD186,1,MATCH($C$4,Setup!$B$21:$B$30,0))/$AF186,2)),"—")</f>
        <v>—</v>
      </c>
      <c r="T186" s="28" t="str">
        <f>IF(AND($C186="",$D186="",NOT(ISNUMBER($E186))),"",IF($G186="",IF(Setup!$C$17="","Equal",Setup!$C$17),$G186))</f>
        <v/>
      </c>
      <c r="U186" s="29">
        <f>IF($T186="",0,IF(OR(Setup!$B$21="",Setup!$C$21="No"),0,IF(ISNUMBER(H186),H186,IF($T186="Weights",IF(ISNUMBER(Setup!$D$21),Setup!$D$21,0),IF($T186="Nights",IF(ISNUMBER(Setup!$E$21),Setup!$E$21,0),IF(OR($T186="Exact amounts",$T186="Custom units"),0,1))))))</f>
        <v>0</v>
      </c>
      <c r="V186" s="29">
        <f>IF($T186="",0,IF(OR(Setup!$B$22="",Setup!$C$22="No"),0,IF(ISNUMBER(I186),I186,IF($T186="Weights",IF(ISNUMBER(Setup!$D$22),Setup!$D$22,0),IF($T186="Nights",IF(ISNUMBER(Setup!$E$22),Setup!$E$22,0),IF(OR($T186="Exact amounts",$T186="Custom units"),0,1))))))</f>
        <v>0</v>
      </c>
      <c r="W186" s="29">
        <f>IF($T186="",0,IF(OR(Setup!$B$23="",Setup!$C$23="No"),0,IF(ISNUMBER(J186),J186,IF($T186="Weights",IF(ISNUMBER(Setup!$D$23),Setup!$D$23,0),IF($T186="Nights",IF(ISNUMBER(Setup!$E$23),Setup!$E$23,0),IF(OR($T186="Exact amounts",$T186="Custom units"),0,1))))))</f>
        <v>0</v>
      </c>
      <c r="X186" s="29">
        <f>IF($T186="",0,IF(OR(Setup!$B$24="",Setup!$C$24="No"),0,IF(ISNUMBER(K186),K186,IF($T186="Weights",IF(ISNUMBER(Setup!$D$24),Setup!$D$24,0),IF($T186="Nights",IF(ISNUMBER(Setup!$E$24),Setup!$E$24,0),IF(OR($T186="Exact amounts",$T186="Custom units"),0,1))))))</f>
        <v>0</v>
      </c>
      <c r="Y186" s="29">
        <f>IF($T186="",0,IF(OR(Setup!$B$25="",Setup!$C$25="No"),0,IF(ISNUMBER(L186),L186,IF($T186="Weights",IF(ISNUMBER(Setup!$D$25),Setup!$D$25,0),IF($T186="Nights",IF(ISNUMBER(Setup!$E$25),Setup!$E$25,0),IF(OR($T186="Exact amounts",$T186="Custom units"),0,1))))))</f>
        <v>0</v>
      </c>
      <c r="Z186" s="29">
        <f>IF($T186="",0,IF(OR(Setup!$B$26="",Setup!$C$26="No"),0,IF(ISNUMBER(M186),M186,IF($T186="Weights",IF(ISNUMBER(Setup!$D$26),Setup!$D$26,0),IF($T186="Nights",IF(ISNUMBER(Setup!$E$26),Setup!$E$26,0),IF(OR($T186="Exact amounts",$T186="Custom units"),0,1))))))</f>
        <v>0</v>
      </c>
      <c r="AA186" s="29">
        <f>IF($T186="",0,IF(OR(Setup!$B$27="",Setup!$C$27="No"),0,IF(ISNUMBER(N186),N186,IF($T186="Weights",IF(ISNUMBER(Setup!$D$27),Setup!$D$27,0),IF($T186="Nights",IF(ISNUMBER(Setup!$E$27),Setup!$E$27,0),IF(OR($T186="Exact amounts",$T186="Custom units"),0,1))))))</f>
        <v>0</v>
      </c>
      <c r="AB186" s="29">
        <f>IF($T186="",0,IF(OR(Setup!$B$28="",Setup!$C$28="No"),0,IF(ISNUMBER(O186),O186,IF($T186="Weights",IF(ISNUMBER(Setup!$D$28),Setup!$D$28,0),IF($T186="Nights",IF(ISNUMBER(Setup!$E$28),Setup!$E$28,0),IF(OR($T186="Exact amounts",$T186="Custom units"),0,1))))))</f>
        <v>0</v>
      </c>
      <c r="AC186" s="29">
        <f>IF($T186="",0,IF(OR(Setup!$B$29="",Setup!$C$29="No"),0,IF(ISNUMBER(P186),P186,IF($T186="Weights",IF(ISNUMBER(Setup!$D$29),Setup!$D$29,0),IF($T186="Nights",IF(ISNUMBER(Setup!$E$29),Setup!$E$29,0),IF(OR($T186="Exact amounts",$T186="Custom units"),0,1))))))</f>
        <v>0</v>
      </c>
      <c r="AD186" s="29">
        <f>IF($T186="",0,IF(OR(Setup!$B$30="",Setup!$C$30="No"),0,IF(ISNUMBER(Q186),Q186,IF($T186="Weights",IF(ISNUMBER(Setup!$D$30),Setup!$D$30,0),IF($T186="Nights",IF(ISNUMBER(Setup!$E$30),Setup!$E$30,0),IF(OR($T186="Exact amounts",$T186="Custom units"),0,1))))))</f>
        <v>0</v>
      </c>
      <c r="AE186" s="29">
        <f t="shared" si="9"/>
        <v>0</v>
      </c>
      <c r="AF186" s="30">
        <f t="shared" si="10"/>
        <v>1</v>
      </c>
      <c r="AG186" s="29">
        <f t="shared" si="11"/>
        <v>0</v>
      </c>
    </row>
    <row r="187" spans="1:33" ht="16" x14ac:dyDescent="0.2">
      <c r="A187" s="22" t="str">
        <f t="shared" si="8"/>
        <v>—</v>
      </c>
      <c r="B187" s="31"/>
      <c r="C187" s="11"/>
      <c r="D187" s="11"/>
      <c r="E187" s="32"/>
      <c r="F187" s="11"/>
      <c r="G187" s="11"/>
      <c r="H187" s="33"/>
      <c r="I187" s="33"/>
      <c r="J187" s="33"/>
      <c r="K187" s="33"/>
      <c r="L187" s="33"/>
      <c r="M187" s="33"/>
      <c r="N187" s="33"/>
      <c r="O187" s="33"/>
      <c r="P187" s="33"/>
      <c r="Q187" s="33"/>
      <c r="R187" s="26" t="str">
        <f>IF($T187="","",IF($D187="","Who paid?",IF(SUMPRODUCT((Setup!$B$21:$B$30=$D187)*1)=0,"Payer is not in the member list on Setup",IF($E187="","Amount missing — type the number in column E",IF(NOT(ISNUMBER($E187)),"Amount must be a plain number — no currency symbol, no text",IF(AND($T187="Custom units",$AE187&lt;=0),"Custom units: nobody has units on this row — type a number for at least one person",IF($AE187&lt;=0,"Nobody shares this row — check the person columns H–Q, and the Weight / Nights columns on Setup",IF(AND($T187="Exact amounts",ABS($AE187-$AG187)&gt;0.01),"Exact amounts do not add up to the amount","OK"))))))))</f>
        <v/>
      </c>
      <c r="S187" s="27" t="str">
        <f>IFERROR(IF(OR($T187="",$C$4=""),"—",ROUND($AG187*INDEX($U187:$AD187,1,MATCH($C$4,Setup!$B$21:$B$30,0))/$AF187,2)),"—")</f>
        <v>—</v>
      </c>
      <c r="T187" s="28" t="str">
        <f>IF(AND($C187="",$D187="",NOT(ISNUMBER($E187))),"",IF($G187="",IF(Setup!$C$17="","Equal",Setup!$C$17),$G187))</f>
        <v/>
      </c>
      <c r="U187" s="29">
        <f>IF($T187="",0,IF(OR(Setup!$B$21="",Setup!$C$21="No"),0,IF(ISNUMBER(H187),H187,IF($T187="Weights",IF(ISNUMBER(Setup!$D$21),Setup!$D$21,0),IF($T187="Nights",IF(ISNUMBER(Setup!$E$21),Setup!$E$21,0),IF(OR($T187="Exact amounts",$T187="Custom units"),0,1))))))</f>
        <v>0</v>
      </c>
      <c r="V187" s="29">
        <f>IF($T187="",0,IF(OR(Setup!$B$22="",Setup!$C$22="No"),0,IF(ISNUMBER(I187),I187,IF($T187="Weights",IF(ISNUMBER(Setup!$D$22),Setup!$D$22,0),IF($T187="Nights",IF(ISNUMBER(Setup!$E$22),Setup!$E$22,0),IF(OR($T187="Exact amounts",$T187="Custom units"),0,1))))))</f>
        <v>0</v>
      </c>
      <c r="W187" s="29">
        <f>IF($T187="",0,IF(OR(Setup!$B$23="",Setup!$C$23="No"),0,IF(ISNUMBER(J187),J187,IF($T187="Weights",IF(ISNUMBER(Setup!$D$23),Setup!$D$23,0),IF($T187="Nights",IF(ISNUMBER(Setup!$E$23),Setup!$E$23,0),IF(OR($T187="Exact amounts",$T187="Custom units"),0,1))))))</f>
        <v>0</v>
      </c>
      <c r="X187" s="29">
        <f>IF($T187="",0,IF(OR(Setup!$B$24="",Setup!$C$24="No"),0,IF(ISNUMBER(K187),K187,IF($T187="Weights",IF(ISNUMBER(Setup!$D$24),Setup!$D$24,0),IF($T187="Nights",IF(ISNUMBER(Setup!$E$24),Setup!$E$24,0),IF(OR($T187="Exact amounts",$T187="Custom units"),0,1))))))</f>
        <v>0</v>
      </c>
      <c r="Y187" s="29">
        <f>IF($T187="",0,IF(OR(Setup!$B$25="",Setup!$C$25="No"),0,IF(ISNUMBER(L187),L187,IF($T187="Weights",IF(ISNUMBER(Setup!$D$25),Setup!$D$25,0),IF($T187="Nights",IF(ISNUMBER(Setup!$E$25),Setup!$E$25,0),IF(OR($T187="Exact amounts",$T187="Custom units"),0,1))))))</f>
        <v>0</v>
      </c>
      <c r="Z187" s="29">
        <f>IF($T187="",0,IF(OR(Setup!$B$26="",Setup!$C$26="No"),0,IF(ISNUMBER(M187),M187,IF($T187="Weights",IF(ISNUMBER(Setup!$D$26),Setup!$D$26,0),IF($T187="Nights",IF(ISNUMBER(Setup!$E$26),Setup!$E$26,0),IF(OR($T187="Exact amounts",$T187="Custom units"),0,1))))))</f>
        <v>0</v>
      </c>
      <c r="AA187" s="29">
        <f>IF($T187="",0,IF(OR(Setup!$B$27="",Setup!$C$27="No"),0,IF(ISNUMBER(N187),N187,IF($T187="Weights",IF(ISNUMBER(Setup!$D$27),Setup!$D$27,0),IF($T187="Nights",IF(ISNUMBER(Setup!$E$27),Setup!$E$27,0),IF(OR($T187="Exact amounts",$T187="Custom units"),0,1))))))</f>
        <v>0</v>
      </c>
      <c r="AB187" s="29">
        <f>IF($T187="",0,IF(OR(Setup!$B$28="",Setup!$C$28="No"),0,IF(ISNUMBER(O187),O187,IF($T187="Weights",IF(ISNUMBER(Setup!$D$28),Setup!$D$28,0),IF($T187="Nights",IF(ISNUMBER(Setup!$E$28),Setup!$E$28,0),IF(OR($T187="Exact amounts",$T187="Custom units"),0,1))))))</f>
        <v>0</v>
      </c>
      <c r="AC187" s="29">
        <f>IF($T187="",0,IF(OR(Setup!$B$29="",Setup!$C$29="No"),0,IF(ISNUMBER(P187),P187,IF($T187="Weights",IF(ISNUMBER(Setup!$D$29),Setup!$D$29,0),IF($T187="Nights",IF(ISNUMBER(Setup!$E$29),Setup!$E$29,0),IF(OR($T187="Exact amounts",$T187="Custom units"),0,1))))))</f>
        <v>0</v>
      </c>
      <c r="AD187" s="29">
        <f>IF($T187="",0,IF(OR(Setup!$B$30="",Setup!$C$30="No"),0,IF(ISNUMBER(Q187),Q187,IF($T187="Weights",IF(ISNUMBER(Setup!$D$30),Setup!$D$30,0),IF($T187="Nights",IF(ISNUMBER(Setup!$E$30),Setup!$E$30,0),IF(OR($T187="Exact amounts",$T187="Custom units"),0,1))))))</f>
        <v>0</v>
      </c>
      <c r="AE187" s="29">
        <f t="shared" si="9"/>
        <v>0</v>
      </c>
      <c r="AF187" s="30">
        <f t="shared" si="10"/>
        <v>1</v>
      </c>
      <c r="AG187" s="29">
        <f t="shared" si="11"/>
        <v>0</v>
      </c>
    </row>
    <row r="188" spans="1:33" ht="16" x14ac:dyDescent="0.2">
      <c r="A188" s="22" t="str">
        <f t="shared" si="8"/>
        <v>—</v>
      </c>
      <c r="B188" s="23"/>
      <c r="C188" s="16"/>
      <c r="D188" s="16"/>
      <c r="E188" s="24"/>
      <c r="F188" s="16"/>
      <c r="G188" s="16"/>
      <c r="H188" s="25"/>
      <c r="I188" s="25"/>
      <c r="J188" s="25"/>
      <c r="K188" s="25"/>
      <c r="L188" s="25"/>
      <c r="M188" s="25"/>
      <c r="N188" s="25"/>
      <c r="O188" s="25"/>
      <c r="P188" s="25"/>
      <c r="Q188" s="25"/>
      <c r="R188" s="26" t="str">
        <f>IF($T188="","",IF($D188="","Who paid?",IF(SUMPRODUCT((Setup!$B$21:$B$30=$D188)*1)=0,"Payer is not in the member list on Setup",IF($E188="","Amount missing — type the number in column E",IF(NOT(ISNUMBER($E188)),"Amount must be a plain number — no currency symbol, no text",IF(AND($T188="Custom units",$AE188&lt;=0),"Custom units: nobody has units on this row — type a number for at least one person",IF($AE188&lt;=0,"Nobody shares this row — check the person columns H–Q, and the Weight / Nights columns on Setup",IF(AND($T188="Exact amounts",ABS($AE188-$AG188)&gt;0.01),"Exact amounts do not add up to the amount","OK"))))))))</f>
        <v/>
      </c>
      <c r="S188" s="27" t="str">
        <f>IFERROR(IF(OR($T188="",$C$4=""),"—",ROUND($AG188*INDEX($U188:$AD188,1,MATCH($C$4,Setup!$B$21:$B$30,0))/$AF188,2)),"—")</f>
        <v>—</v>
      </c>
      <c r="T188" s="28" t="str">
        <f>IF(AND($C188="",$D188="",NOT(ISNUMBER($E188))),"",IF($G188="",IF(Setup!$C$17="","Equal",Setup!$C$17),$G188))</f>
        <v/>
      </c>
      <c r="U188" s="29">
        <f>IF($T188="",0,IF(OR(Setup!$B$21="",Setup!$C$21="No"),0,IF(ISNUMBER(H188),H188,IF($T188="Weights",IF(ISNUMBER(Setup!$D$21),Setup!$D$21,0),IF($T188="Nights",IF(ISNUMBER(Setup!$E$21),Setup!$E$21,0),IF(OR($T188="Exact amounts",$T188="Custom units"),0,1))))))</f>
        <v>0</v>
      </c>
      <c r="V188" s="29">
        <f>IF($T188="",0,IF(OR(Setup!$B$22="",Setup!$C$22="No"),0,IF(ISNUMBER(I188),I188,IF($T188="Weights",IF(ISNUMBER(Setup!$D$22),Setup!$D$22,0),IF($T188="Nights",IF(ISNUMBER(Setup!$E$22),Setup!$E$22,0),IF(OR($T188="Exact amounts",$T188="Custom units"),0,1))))))</f>
        <v>0</v>
      </c>
      <c r="W188" s="29">
        <f>IF($T188="",0,IF(OR(Setup!$B$23="",Setup!$C$23="No"),0,IF(ISNUMBER(J188),J188,IF($T188="Weights",IF(ISNUMBER(Setup!$D$23),Setup!$D$23,0),IF($T188="Nights",IF(ISNUMBER(Setup!$E$23),Setup!$E$23,0),IF(OR($T188="Exact amounts",$T188="Custom units"),0,1))))))</f>
        <v>0</v>
      </c>
      <c r="X188" s="29">
        <f>IF($T188="",0,IF(OR(Setup!$B$24="",Setup!$C$24="No"),0,IF(ISNUMBER(K188),K188,IF($T188="Weights",IF(ISNUMBER(Setup!$D$24),Setup!$D$24,0),IF($T188="Nights",IF(ISNUMBER(Setup!$E$24),Setup!$E$24,0),IF(OR($T188="Exact amounts",$T188="Custom units"),0,1))))))</f>
        <v>0</v>
      </c>
      <c r="Y188" s="29">
        <f>IF($T188="",0,IF(OR(Setup!$B$25="",Setup!$C$25="No"),0,IF(ISNUMBER(L188),L188,IF($T188="Weights",IF(ISNUMBER(Setup!$D$25),Setup!$D$25,0),IF($T188="Nights",IF(ISNUMBER(Setup!$E$25),Setup!$E$25,0),IF(OR($T188="Exact amounts",$T188="Custom units"),0,1))))))</f>
        <v>0</v>
      </c>
      <c r="Z188" s="29">
        <f>IF($T188="",0,IF(OR(Setup!$B$26="",Setup!$C$26="No"),0,IF(ISNUMBER(M188),M188,IF($T188="Weights",IF(ISNUMBER(Setup!$D$26),Setup!$D$26,0),IF($T188="Nights",IF(ISNUMBER(Setup!$E$26),Setup!$E$26,0),IF(OR($T188="Exact amounts",$T188="Custom units"),0,1))))))</f>
        <v>0</v>
      </c>
      <c r="AA188" s="29">
        <f>IF($T188="",0,IF(OR(Setup!$B$27="",Setup!$C$27="No"),0,IF(ISNUMBER(N188),N188,IF($T188="Weights",IF(ISNUMBER(Setup!$D$27),Setup!$D$27,0),IF($T188="Nights",IF(ISNUMBER(Setup!$E$27),Setup!$E$27,0),IF(OR($T188="Exact amounts",$T188="Custom units"),0,1))))))</f>
        <v>0</v>
      </c>
      <c r="AB188" s="29">
        <f>IF($T188="",0,IF(OR(Setup!$B$28="",Setup!$C$28="No"),0,IF(ISNUMBER(O188),O188,IF($T188="Weights",IF(ISNUMBER(Setup!$D$28),Setup!$D$28,0),IF($T188="Nights",IF(ISNUMBER(Setup!$E$28),Setup!$E$28,0),IF(OR($T188="Exact amounts",$T188="Custom units"),0,1))))))</f>
        <v>0</v>
      </c>
      <c r="AC188" s="29">
        <f>IF($T188="",0,IF(OR(Setup!$B$29="",Setup!$C$29="No"),0,IF(ISNUMBER(P188),P188,IF($T188="Weights",IF(ISNUMBER(Setup!$D$29),Setup!$D$29,0),IF($T188="Nights",IF(ISNUMBER(Setup!$E$29),Setup!$E$29,0),IF(OR($T188="Exact amounts",$T188="Custom units"),0,1))))))</f>
        <v>0</v>
      </c>
      <c r="AD188" s="29">
        <f>IF($T188="",0,IF(OR(Setup!$B$30="",Setup!$C$30="No"),0,IF(ISNUMBER(Q188),Q188,IF($T188="Weights",IF(ISNUMBER(Setup!$D$30),Setup!$D$30,0),IF($T188="Nights",IF(ISNUMBER(Setup!$E$30),Setup!$E$30,0),IF(OR($T188="Exact amounts",$T188="Custom units"),0,1))))))</f>
        <v>0</v>
      </c>
      <c r="AE188" s="29">
        <f t="shared" si="9"/>
        <v>0</v>
      </c>
      <c r="AF188" s="30">
        <f t="shared" si="10"/>
        <v>1</v>
      </c>
      <c r="AG188" s="29">
        <f t="shared" si="11"/>
        <v>0</v>
      </c>
    </row>
    <row r="189" spans="1:33" ht="16" x14ac:dyDescent="0.2">
      <c r="A189" s="22" t="str">
        <f t="shared" si="8"/>
        <v>—</v>
      </c>
      <c r="B189" s="31"/>
      <c r="C189" s="11"/>
      <c r="D189" s="11"/>
      <c r="E189" s="32"/>
      <c r="F189" s="11"/>
      <c r="G189" s="11"/>
      <c r="H189" s="33"/>
      <c r="I189" s="33"/>
      <c r="J189" s="33"/>
      <c r="K189" s="33"/>
      <c r="L189" s="33"/>
      <c r="M189" s="33"/>
      <c r="N189" s="33"/>
      <c r="O189" s="33"/>
      <c r="P189" s="33"/>
      <c r="Q189" s="33"/>
      <c r="R189" s="26" t="str">
        <f>IF($T189="","",IF($D189="","Who paid?",IF(SUMPRODUCT((Setup!$B$21:$B$30=$D189)*1)=0,"Payer is not in the member list on Setup",IF($E189="","Amount missing — type the number in column E",IF(NOT(ISNUMBER($E189)),"Amount must be a plain number — no currency symbol, no text",IF(AND($T189="Custom units",$AE189&lt;=0),"Custom units: nobody has units on this row — type a number for at least one person",IF($AE189&lt;=0,"Nobody shares this row — check the person columns H–Q, and the Weight / Nights columns on Setup",IF(AND($T189="Exact amounts",ABS($AE189-$AG189)&gt;0.01),"Exact amounts do not add up to the amount","OK"))))))))</f>
        <v/>
      </c>
      <c r="S189" s="27" t="str">
        <f>IFERROR(IF(OR($T189="",$C$4=""),"—",ROUND($AG189*INDEX($U189:$AD189,1,MATCH($C$4,Setup!$B$21:$B$30,0))/$AF189,2)),"—")</f>
        <v>—</v>
      </c>
      <c r="T189" s="28" t="str">
        <f>IF(AND($C189="",$D189="",NOT(ISNUMBER($E189))),"",IF($G189="",IF(Setup!$C$17="","Equal",Setup!$C$17),$G189))</f>
        <v/>
      </c>
      <c r="U189" s="29">
        <f>IF($T189="",0,IF(OR(Setup!$B$21="",Setup!$C$21="No"),0,IF(ISNUMBER(H189),H189,IF($T189="Weights",IF(ISNUMBER(Setup!$D$21),Setup!$D$21,0),IF($T189="Nights",IF(ISNUMBER(Setup!$E$21),Setup!$E$21,0),IF(OR($T189="Exact amounts",$T189="Custom units"),0,1))))))</f>
        <v>0</v>
      </c>
      <c r="V189" s="29">
        <f>IF($T189="",0,IF(OR(Setup!$B$22="",Setup!$C$22="No"),0,IF(ISNUMBER(I189),I189,IF($T189="Weights",IF(ISNUMBER(Setup!$D$22),Setup!$D$22,0),IF($T189="Nights",IF(ISNUMBER(Setup!$E$22),Setup!$E$22,0),IF(OR($T189="Exact amounts",$T189="Custom units"),0,1))))))</f>
        <v>0</v>
      </c>
      <c r="W189" s="29">
        <f>IF($T189="",0,IF(OR(Setup!$B$23="",Setup!$C$23="No"),0,IF(ISNUMBER(J189),J189,IF($T189="Weights",IF(ISNUMBER(Setup!$D$23),Setup!$D$23,0),IF($T189="Nights",IF(ISNUMBER(Setup!$E$23),Setup!$E$23,0),IF(OR($T189="Exact amounts",$T189="Custom units"),0,1))))))</f>
        <v>0</v>
      </c>
      <c r="X189" s="29">
        <f>IF($T189="",0,IF(OR(Setup!$B$24="",Setup!$C$24="No"),0,IF(ISNUMBER(K189),K189,IF($T189="Weights",IF(ISNUMBER(Setup!$D$24),Setup!$D$24,0),IF($T189="Nights",IF(ISNUMBER(Setup!$E$24),Setup!$E$24,0),IF(OR($T189="Exact amounts",$T189="Custom units"),0,1))))))</f>
        <v>0</v>
      </c>
      <c r="Y189" s="29">
        <f>IF($T189="",0,IF(OR(Setup!$B$25="",Setup!$C$25="No"),0,IF(ISNUMBER(L189),L189,IF($T189="Weights",IF(ISNUMBER(Setup!$D$25),Setup!$D$25,0),IF($T189="Nights",IF(ISNUMBER(Setup!$E$25),Setup!$E$25,0),IF(OR($T189="Exact amounts",$T189="Custom units"),0,1))))))</f>
        <v>0</v>
      </c>
      <c r="Z189" s="29">
        <f>IF($T189="",0,IF(OR(Setup!$B$26="",Setup!$C$26="No"),0,IF(ISNUMBER(M189),M189,IF($T189="Weights",IF(ISNUMBER(Setup!$D$26),Setup!$D$26,0),IF($T189="Nights",IF(ISNUMBER(Setup!$E$26),Setup!$E$26,0),IF(OR($T189="Exact amounts",$T189="Custom units"),0,1))))))</f>
        <v>0</v>
      </c>
      <c r="AA189" s="29">
        <f>IF($T189="",0,IF(OR(Setup!$B$27="",Setup!$C$27="No"),0,IF(ISNUMBER(N189),N189,IF($T189="Weights",IF(ISNUMBER(Setup!$D$27),Setup!$D$27,0),IF($T189="Nights",IF(ISNUMBER(Setup!$E$27),Setup!$E$27,0),IF(OR($T189="Exact amounts",$T189="Custom units"),0,1))))))</f>
        <v>0</v>
      </c>
      <c r="AB189" s="29">
        <f>IF($T189="",0,IF(OR(Setup!$B$28="",Setup!$C$28="No"),0,IF(ISNUMBER(O189),O189,IF($T189="Weights",IF(ISNUMBER(Setup!$D$28),Setup!$D$28,0),IF($T189="Nights",IF(ISNUMBER(Setup!$E$28),Setup!$E$28,0),IF(OR($T189="Exact amounts",$T189="Custom units"),0,1))))))</f>
        <v>0</v>
      </c>
      <c r="AC189" s="29">
        <f>IF($T189="",0,IF(OR(Setup!$B$29="",Setup!$C$29="No"),0,IF(ISNUMBER(P189),P189,IF($T189="Weights",IF(ISNUMBER(Setup!$D$29),Setup!$D$29,0),IF($T189="Nights",IF(ISNUMBER(Setup!$E$29),Setup!$E$29,0),IF(OR($T189="Exact amounts",$T189="Custom units"),0,1))))))</f>
        <v>0</v>
      </c>
      <c r="AD189" s="29">
        <f>IF($T189="",0,IF(OR(Setup!$B$30="",Setup!$C$30="No"),0,IF(ISNUMBER(Q189),Q189,IF($T189="Weights",IF(ISNUMBER(Setup!$D$30),Setup!$D$30,0),IF($T189="Nights",IF(ISNUMBER(Setup!$E$30),Setup!$E$30,0),IF(OR($T189="Exact amounts",$T189="Custom units"),0,1))))))</f>
        <v>0</v>
      </c>
      <c r="AE189" s="29">
        <f t="shared" si="9"/>
        <v>0</v>
      </c>
      <c r="AF189" s="30">
        <f t="shared" si="10"/>
        <v>1</v>
      </c>
      <c r="AG189" s="29">
        <f t="shared" si="11"/>
        <v>0</v>
      </c>
    </row>
    <row r="190" spans="1:33" ht="16" x14ac:dyDescent="0.2">
      <c r="A190" s="22" t="str">
        <f t="shared" si="8"/>
        <v>—</v>
      </c>
      <c r="B190" s="23"/>
      <c r="C190" s="16"/>
      <c r="D190" s="16"/>
      <c r="E190" s="24"/>
      <c r="F190" s="16"/>
      <c r="G190" s="16"/>
      <c r="H190" s="25"/>
      <c r="I190" s="25"/>
      <c r="J190" s="25"/>
      <c r="K190" s="25"/>
      <c r="L190" s="25"/>
      <c r="M190" s="25"/>
      <c r="N190" s="25"/>
      <c r="O190" s="25"/>
      <c r="P190" s="25"/>
      <c r="Q190" s="25"/>
      <c r="R190" s="26" t="str">
        <f>IF($T190="","",IF($D190="","Who paid?",IF(SUMPRODUCT((Setup!$B$21:$B$30=$D190)*1)=0,"Payer is not in the member list on Setup",IF($E190="","Amount missing — type the number in column E",IF(NOT(ISNUMBER($E190)),"Amount must be a plain number — no currency symbol, no text",IF(AND($T190="Custom units",$AE190&lt;=0),"Custom units: nobody has units on this row — type a number for at least one person",IF($AE190&lt;=0,"Nobody shares this row — check the person columns H–Q, and the Weight / Nights columns on Setup",IF(AND($T190="Exact amounts",ABS($AE190-$AG190)&gt;0.01),"Exact amounts do not add up to the amount","OK"))))))))</f>
        <v/>
      </c>
      <c r="S190" s="27" t="str">
        <f>IFERROR(IF(OR($T190="",$C$4=""),"—",ROUND($AG190*INDEX($U190:$AD190,1,MATCH($C$4,Setup!$B$21:$B$30,0))/$AF190,2)),"—")</f>
        <v>—</v>
      </c>
      <c r="T190" s="28" t="str">
        <f>IF(AND($C190="",$D190="",NOT(ISNUMBER($E190))),"",IF($G190="",IF(Setup!$C$17="","Equal",Setup!$C$17),$G190))</f>
        <v/>
      </c>
      <c r="U190" s="29">
        <f>IF($T190="",0,IF(OR(Setup!$B$21="",Setup!$C$21="No"),0,IF(ISNUMBER(H190),H190,IF($T190="Weights",IF(ISNUMBER(Setup!$D$21),Setup!$D$21,0),IF($T190="Nights",IF(ISNUMBER(Setup!$E$21),Setup!$E$21,0),IF(OR($T190="Exact amounts",$T190="Custom units"),0,1))))))</f>
        <v>0</v>
      </c>
      <c r="V190" s="29">
        <f>IF($T190="",0,IF(OR(Setup!$B$22="",Setup!$C$22="No"),0,IF(ISNUMBER(I190),I190,IF($T190="Weights",IF(ISNUMBER(Setup!$D$22),Setup!$D$22,0),IF($T190="Nights",IF(ISNUMBER(Setup!$E$22),Setup!$E$22,0),IF(OR($T190="Exact amounts",$T190="Custom units"),0,1))))))</f>
        <v>0</v>
      </c>
      <c r="W190" s="29">
        <f>IF($T190="",0,IF(OR(Setup!$B$23="",Setup!$C$23="No"),0,IF(ISNUMBER(J190),J190,IF($T190="Weights",IF(ISNUMBER(Setup!$D$23),Setup!$D$23,0),IF($T190="Nights",IF(ISNUMBER(Setup!$E$23),Setup!$E$23,0),IF(OR($T190="Exact amounts",$T190="Custom units"),0,1))))))</f>
        <v>0</v>
      </c>
      <c r="X190" s="29">
        <f>IF($T190="",0,IF(OR(Setup!$B$24="",Setup!$C$24="No"),0,IF(ISNUMBER(K190),K190,IF($T190="Weights",IF(ISNUMBER(Setup!$D$24),Setup!$D$24,0),IF($T190="Nights",IF(ISNUMBER(Setup!$E$24),Setup!$E$24,0),IF(OR($T190="Exact amounts",$T190="Custom units"),0,1))))))</f>
        <v>0</v>
      </c>
      <c r="Y190" s="29">
        <f>IF($T190="",0,IF(OR(Setup!$B$25="",Setup!$C$25="No"),0,IF(ISNUMBER(L190),L190,IF($T190="Weights",IF(ISNUMBER(Setup!$D$25),Setup!$D$25,0),IF($T190="Nights",IF(ISNUMBER(Setup!$E$25),Setup!$E$25,0),IF(OR($T190="Exact amounts",$T190="Custom units"),0,1))))))</f>
        <v>0</v>
      </c>
      <c r="Z190" s="29">
        <f>IF($T190="",0,IF(OR(Setup!$B$26="",Setup!$C$26="No"),0,IF(ISNUMBER(M190),M190,IF($T190="Weights",IF(ISNUMBER(Setup!$D$26),Setup!$D$26,0),IF($T190="Nights",IF(ISNUMBER(Setup!$E$26),Setup!$E$26,0),IF(OR($T190="Exact amounts",$T190="Custom units"),0,1))))))</f>
        <v>0</v>
      </c>
      <c r="AA190" s="29">
        <f>IF($T190="",0,IF(OR(Setup!$B$27="",Setup!$C$27="No"),0,IF(ISNUMBER(N190),N190,IF($T190="Weights",IF(ISNUMBER(Setup!$D$27),Setup!$D$27,0),IF($T190="Nights",IF(ISNUMBER(Setup!$E$27),Setup!$E$27,0),IF(OR($T190="Exact amounts",$T190="Custom units"),0,1))))))</f>
        <v>0</v>
      </c>
      <c r="AB190" s="29">
        <f>IF($T190="",0,IF(OR(Setup!$B$28="",Setup!$C$28="No"),0,IF(ISNUMBER(O190),O190,IF($T190="Weights",IF(ISNUMBER(Setup!$D$28),Setup!$D$28,0),IF($T190="Nights",IF(ISNUMBER(Setup!$E$28),Setup!$E$28,0),IF(OR($T190="Exact amounts",$T190="Custom units"),0,1))))))</f>
        <v>0</v>
      </c>
      <c r="AC190" s="29">
        <f>IF($T190="",0,IF(OR(Setup!$B$29="",Setup!$C$29="No"),0,IF(ISNUMBER(P190),P190,IF($T190="Weights",IF(ISNUMBER(Setup!$D$29),Setup!$D$29,0),IF($T190="Nights",IF(ISNUMBER(Setup!$E$29),Setup!$E$29,0),IF(OR($T190="Exact amounts",$T190="Custom units"),0,1))))))</f>
        <v>0</v>
      </c>
      <c r="AD190" s="29">
        <f>IF($T190="",0,IF(OR(Setup!$B$30="",Setup!$C$30="No"),0,IF(ISNUMBER(Q190),Q190,IF($T190="Weights",IF(ISNUMBER(Setup!$D$30),Setup!$D$30,0),IF($T190="Nights",IF(ISNUMBER(Setup!$E$30),Setup!$E$30,0),IF(OR($T190="Exact amounts",$T190="Custom units"),0,1))))))</f>
        <v>0</v>
      </c>
      <c r="AE190" s="29">
        <f t="shared" si="9"/>
        <v>0</v>
      </c>
      <c r="AF190" s="30">
        <f t="shared" si="10"/>
        <v>1</v>
      </c>
      <c r="AG190" s="29">
        <f t="shared" si="11"/>
        <v>0</v>
      </c>
    </row>
    <row r="191" spans="1:33" ht="16" x14ac:dyDescent="0.2">
      <c r="A191" s="22" t="str">
        <f t="shared" si="8"/>
        <v>—</v>
      </c>
      <c r="B191" s="31"/>
      <c r="C191" s="11"/>
      <c r="D191" s="11"/>
      <c r="E191" s="32"/>
      <c r="F191" s="11"/>
      <c r="G191" s="11"/>
      <c r="H191" s="33"/>
      <c r="I191" s="33"/>
      <c r="J191" s="33"/>
      <c r="K191" s="33"/>
      <c r="L191" s="33"/>
      <c r="M191" s="33"/>
      <c r="N191" s="33"/>
      <c r="O191" s="33"/>
      <c r="P191" s="33"/>
      <c r="Q191" s="33"/>
      <c r="R191" s="26" t="str">
        <f>IF($T191="","",IF($D191="","Who paid?",IF(SUMPRODUCT((Setup!$B$21:$B$30=$D191)*1)=0,"Payer is not in the member list on Setup",IF($E191="","Amount missing — type the number in column E",IF(NOT(ISNUMBER($E191)),"Amount must be a plain number — no currency symbol, no text",IF(AND($T191="Custom units",$AE191&lt;=0),"Custom units: nobody has units on this row — type a number for at least one person",IF($AE191&lt;=0,"Nobody shares this row — check the person columns H–Q, and the Weight / Nights columns on Setup",IF(AND($T191="Exact amounts",ABS($AE191-$AG191)&gt;0.01),"Exact amounts do not add up to the amount","OK"))))))))</f>
        <v/>
      </c>
      <c r="S191" s="27" t="str">
        <f>IFERROR(IF(OR($T191="",$C$4=""),"—",ROUND($AG191*INDEX($U191:$AD191,1,MATCH($C$4,Setup!$B$21:$B$30,0))/$AF191,2)),"—")</f>
        <v>—</v>
      </c>
      <c r="T191" s="28" t="str">
        <f>IF(AND($C191="",$D191="",NOT(ISNUMBER($E191))),"",IF($G191="",IF(Setup!$C$17="","Equal",Setup!$C$17),$G191))</f>
        <v/>
      </c>
      <c r="U191" s="29">
        <f>IF($T191="",0,IF(OR(Setup!$B$21="",Setup!$C$21="No"),0,IF(ISNUMBER(H191),H191,IF($T191="Weights",IF(ISNUMBER(Setup!$D$21),Setup!$D$21,0),IF($T191="Nights",IF(ISNUMBER(Setup!$E$21),Setup!$E$21,0),IF(OR($T191="Exact amounts",$T191="Custom units"),0,1))))))</f>
        <v>0</v>
      </c>
      <c r="V191" s="29">
        <f>IF($T191="",0,IF(OR(Setup!$B$22="",Setup!$C$22="No"),0,IF(ISNUMBER(I191),I191,IF($T191="Weights",IF(ISNUMBER(Setup!$D$22),Setup!$D$22,0),IF($T191="Nights",IF(ISNUMBER(Setup!$E$22),Setup!$E$22,0),IF(OR($T191="Exact amounts",$T191="Custom units"),0,1))))))</f>
        <v>0</v>
      </c>
      <c r="W191" s="29">
        <f>IF($T191="",0,IF(OR(Setup!$B$23="",Setup!$C$23="No"),0,IF(ISNUMBER(J191),J191,IF($T191="Weights",IF(ISNUMBER(Setup!$D$23),Setup!$D$23,0),IF($T191="Nights",IF(ISNUMBER(Setup!$E$23),Setup!$E$23,0),IF(OR($T191="Exact amounts",$T191="Custom units"),0,1))))))</f>
        <v>0</v>
      </c>
      <c r="X191" s="29">
        <f>IF($T191="",0,IF(OR(Setup!$B$24="",Setup!$C$24="No"),0,IF(ISNUMBER(K191),K191,IF($T191="Weights",IF(ISNUMBER(Setup!$D$24),Setup!$D$24,0),IF($T191="Nights",IF(ISNUMBER(Setup!$E$24),Setup!$E$24,0),IF(OR($T191="Exact amounts",$T191="Custom units"),0,1))))))</f>
        <v>0</v>
      </c>
      <c r="Y191" s="29">
        <f>IF($T191="",0,IF(OR(Setup!$B$25="",Setup!$C$25="No"),0,IF(ISNUMBER(L191),L191,IF($T191="Weights",IF(ISNUMBER(Setup!$D$25),Setup!$D$25,0),IF($T191="Nights",IF(ISNUMBER(Setup!$E$25),Setup!$E$25,0),IF(OR($T191="Exact amounts",$T191="Custom units"),0,1))))))</f>
        <v>0</v>
      </c>
      <c r="Z191" s="29">
        <f>IF($T191="",0,IF(OR(Setup!$B$26="",Setup!$C$26="No"),0,IF(ISNUMBER(M191),M191,IF($T191="Weights",IF(ISNUMBER(Setup!$D$26),Setup!$D$26,0),IF($T191="Nights",IF(ISNUMBER(Setup!$E$26),Setup!$E$26,0),IF(OR($T191="Exact amounts",$T191="Custom units"),0,1))))))</f>
        <v>0</v>
      </c>
      <c r="AA191" s="29">
        <f>IF($T191="",0,IF(OR(Setup!$B$27="",Setup!$C$27="No"),0,IF(ISNUMBER(N191),N191,IF($T191="Weights",IF(ISNUMBER(Setup!$D$27),Setup!$D$27,0),IF($T191="Nights",IF(ISNUMBER(Setup!$E$27),Setup!$E$27,0),IF(OR($T191="Exact amounts",$T191="Custom units"),0,1))))))</f>
        <v>0</v>
      </c>
      <c r="AB191" s="29">
        <f>IF($T191="",0,IF(OR(Setup!$B$28="",Setup!$C$28="No"),0,IF(ISNUMBER(O191),O191,IF($T191="Weights",IF(ISNUMBER(Setup!$D$28),Setup!$D$28,0),IF($T191="Nights",IF(ISNUMBER(Setup!$E$28),Setup!$E$28,0),IF(OR($T191="Exact amounts",$T191="Custom units"),0,1))))))</f>
        <v>0</v>
      </c>
      <c r="AC191" s="29">
        <f>IF($T191="",0,IF(OR(Setup!$B$29="",Setup!$C$29="No"),0,IF(ISNUMBER(P191),P191,IF($T191="Weights",IF(ISNUMBER(Setup!$D$29),Setup!$D$29,0),IF($T191="Nights",IF(ISNUMBER(Setup!$E$29),Setup!$E$29,0),IF(OR($T191="Exact amounts",$T191="Custom units"),0,1))))))</f>
        <v>0</v>
      </c>
      <c r="AD191" s="29">
        <f>IF($T191="",0,IF(OR(Setup!$B$30="",Setup!$C$30="No"),0,IF(ISNUMBER(Q191),Q191,IF($T191="Weights",IF(ISNUMBER(Setup!$D$30),Setup!$D$30,0),IF($T191="Nights",IF(ISNUMBER(Setup!$E$30),Setup!$E$30,0),IF(OR($T191="Exact amounts",$T191="Custom units"),0,1))))))</f>
        <v>0</v>
      </c>
      <c r="AE191" s="29">
        <f t="shared" si="9"/>
        <v>0</v>
      </c>
      <c r="AF191" s="30">
        <f t="shared" si="10"/>
        <v>1</v>
      </c>
      <c r="AG191" s="29">
        <f t="shared" si="11"/>
        <v>0</v>
      </c>
    </row>
    <row r="192" spans="1:33" ht="16" x14ac:dyDescent="0.2">
      <c r="A192" s="22" t="str">
        <f t="shared" si="8"/>
        <v>—</v>
      </c>
      <c r="B192" s="23"/>
      <c r="C192" s="16"/>
      <c r="D192" s="16"/>
      <c r="E192" s="24"/>
      <c r="F192" s="16"/>
      <c r="G192" s="16"/>
      <c r="H192" s="25"/>
      <c r="I192" s="25"/>
      <c r="J192" s="25"/>
      <c r="K192" s="25"/>
      <c r="L192" s="25"/>
      <c r="M192" s="25"/>
      <c r="N192" s="25"/>
      <c r="O192" s="25"/>
      <c r="P192" s="25"/>
      <c r="Q192" s="25"/>
      <c r="R192" s="26" t="str">
        <f>IF($T192="","",IF($D192="","Who paid?",IF(SUMPRODUCT((Setup!$B$21:$B$30=$D192)*1)=0,"Payer is not in the member list on Setup",IF($E192="","Amount missing — type the number in column E",IF(NOT(ISNUMBER($E192)),"Amount must be a plain number — no currency symbol, no text",IF(AND($T192="Custom units",$AE192&lt;=0),"Custom units: nobody has units on this row — type a number for at least one person",IF($AE192&lt;=0,"Nobody shares this row — check the person columns H–Q, and the Weight / Nights columns on Setup",IF(AND($T192="Exact amounts",ABS($AE192-$AG192)&gt;0.01),"Exact amounts do not add up to the amount","OK"))))))))</f>
        <v/>
      </c>
      <c r="S192" s="27" t="str">
        <f>IFERROR(IF(OR($T192="",$C$4=""),"—",ROUND($AG192*INDEX($U192:$AD192,1,MATCH($C$4,Setup!$B$21:$B$30,0))/$AF192,2)),"—")</f>
        <v>—</v>
      </c>
      <c r="T192" s="28" t="str">
        <f>IF(AND($C192="",$D192="",NOT(ISNUMBER($E192))),"",IF($G192="",IF(Setup!$C$17="","Equal",Setup!$C$17),$G192))</f>
        <v/>
      </c>
      <c r="U192" s="29">
        <f>IF($T192="",0,IF(OR(Setup!$B$21="",Setup!$C$21="No"),0,IF(ISNUMBER(H192),H192,IF($T192="Weights",IF(ISNUMBER(Setup!$D$21),Setup!$D$21,0),IF($T192="Nights",IF(ISNUMBER(Setup!$E$21),Setup!$E$21,0),IF(OR($T192="Exact amounts",$T192="Custom units"),0,1))))))</f>
        <v>0</v>
      </c>
      <c r="V192" s="29">
        <f>IF($T192="",0,IF(OR(Setup!$B$22="",Setup!$C$22="No"),0,IF(ISNUMBER(I192),I192,IF($T192="Weights",IF(ISNUMBER(Setup!$D$22),Setup!$D$22,0),IF($T192="Nights",IF(ISNUMBER(Setup!$E$22),Setup!$E$22,0),IF(OR($T192="Exact amounts",$T192="Custom units"),0,1))))))</f>
        <v>0</v>
      </c>
      <c r="W192" s="29">
        <f>IF($T192="",0,IF(OR(Setup!$B$23="",Setup!$C$23="No"),0,IF(ISNUMBER(J192),J192,IF($T192="Weights",IF(ISNUMBER(Setup!$D$23),Setup!$D$23,0),IF($T192="Nights",IF(ISNUMBER(Setup!$E$23),Setup!$E$23,0),IF(OR($T192="Exact amounts",$T192="Custom units"),0,1))))))</f>
        <v>0</v>
      </c>
      <c r="X192" s="29">
        <f>IF($T192="",0,IF(OR(Setup!$B$24="",Setup!$C$24="No"),0,IF(ISNUMBER(K192),K192,IF($T192="Weights",IF(ISNUMBER(Setup!$D$24),Setup!$D$24,0),IF($T192="Nights",IF(ISNUMBER(Setup!$E$24),Setup!$E$24,0),IF(OR($T192="Exact amounts",$T192="Custom units"),0,1))))))</f>
        <v>0</v>
      </c>
      <c r="Y192" s="29">
        <f>IF($T192="",0,IF(OR(Setup!$B$25="",Setup!$C$25="No"),0,IF(ISNUMBER(L192),L192,IF($T192="Weights",IF(ISNUMBER(Setup!$D$25),Setup!$D$25,0),IF($T192="Nights",IF(ISNUMBER(Setup!$E$25),Setup!$E$25,0),IF(OR($T192="Exact amounts",$T192="Custom units"),0,1))))))</f>
        <v>0</v>
      </c>
      <c r="Z192" s="29">
        <f>IF($T192="",0,IF(OR(Setup!$B$26="",Setup!$C$26="No"),0,IF(ISNUMBER(M192),M192,IF($T192="Weights",IF(ISNUMBER(Setup!$D$26),Setup!$D$26,0),IF($T192="Nights",IF(ISNUMBER(Setup!$E$26),Setup!$E$26,0),IF(OR($T192="Exact amounts",$T192="Custom units"),0,1))))))</f>
        <v>0</v>
      </c>
      <c r="AA192" s="29">
        <f>IF($T192="",0,IF(OR(Setup!$B$27="",Setup!$C$27="No"),0,IF(ISNUMBER(N192),N192,IF($T192="Weights",IF(ISNUMBER(Setup!$D$27),Setup!$D$27,0),IF($T192="Nights",IF(ISNUMBER(Setup!$E$27),Setup!$E$27,0),IF(OR($T192="Exact amounts",$T192="Custom units"),0,1))))))</f>
        <v>0</v>
      </c>
      <c r="AB192" s="29">
        <f>IF($T192="",0,IF(OR(Setup!$B$28="",Setup!$C$28="No"),0,IF(ISNUMBER(O192),O192,IF($T192="Weights",IF(ISNUMBER(Setup!$D$28),Setup!$D$28,0),IF($T192="Nights",IF(ISNUMBER(Setup!$E$28),Setup!$E$28,0),IF(OR($T192="Exact amounts",$T192="Custom units"),0,1))))))</f>
        <v>0</v>
      </c>
      <c r="AC192" s="29">
        <f>IF($T192="",0,IF(OR(Setup!$B$29="",Setup!$C$29="No"),0,IF(ISNUMBER(P192),P192,IF($T192="Weights",IF(ISNUMBER(Setup!$D$29),Setup!$D$29,0),IF($T192="Nights",IF(ISNUMBER(Setup!$E$29),Setup!$E$29,0),IF(OR($T192="Exact amounts",$T192="Custom units"),0,1))))))</f>
        <v>0</v>
      </c>
      <c r="AD192" s="29">
        <f>IF($T192="",0,IF(OR(Setup!$B$30="",Setup!$C$30="No"),0,IF(ISNUMBER(Q192),Q192,IF($T192="Weights",IF(ISNUMBER(Setup!$D$30),Setup!$D$30,0),IF($T192="Nights",IF(ISNUMBER(Setup!$E$30),Setup!$E$30,0),IF(OR($T192="Exact amounts",$T192="Custom units"),0,1))))))</f>
        <v>0</v>
      </c>
      <c r="AE192" s="29">
        <f t="shared" si="9"/>
        <v>0</v>
      </c>
      <c r="AF192" s="30">
        <f t="shared" si="10"/>
        <v>1</v>
      </c>
      <c r="AG192" s="29">
        <f t="shared" si="11"/>
        <v>0</v>
      </c>
    </row>
    <row r="193" spans="1:33" ht="16" x14ac:dyDescent="0.2">
      <c r="A193" s="22" t="str">
        <f t="shared" si="8"/>
        <v>—</v>
      </c>
      <c r="B193" s="31"/>
      <c r="C193" s="11"/>
      <c r="D193" s="11"/>
      <c r="E193" s="32"/>
      <c r="F193" s="11"/>
      <c r="G193" s="11"/>
      <c r="H193" s="33"/>
      <c r="I193" s="33"/>
      <c r="J193" s="33"/>
      <c r="K193" s="33"/>
      <c r="L193" s="33"/>
      <c r="M193" s="33"/>
      <c r="N193" s="33"/>
      <c r="O193" s="33"/>
      <c r="P193" s="33"/>
      <c r="Q193" s="33"/>
      <c r="R193" s="26" t="str">
        <f>IF($T193="","",IF($D193="","Who paid?",IF(SUMPRODUCT((Setup!$B$21:$B$30=$D193)*1)=0,"Payer is not in the member list on Setup",IF($E193="","Amount missing — type the number in column E",IF(NOT(ISNUMBER($E193)),"Amount must be a plain number — no currency symbol, no text",IF(AND($T193="Custom units",$AE193&lt;=0),"Custom units: nobody has units on this row — type a number for at least one person",IF($AE193&lt;=0,"Nobody shares this row — check the person columns H–Q, and the Weight / Nights columns on Setup",IF(AND($T193="Exact amounts",ABS($AE193-$AG193)&gt;0.01),"Exact amounts do not add up to the amount","OK"))))))))</f>
        <v/>
      </c>
      <c r="S193" s="27" t="str">
        <f>IFERROR(IF(OR($T193="",$C$4=""),"—",ROUND($AG193*INDEX($U193:$AD193,1,MATCH($C$4,Setup!$B$21:$B$30,0))/$AF193,2)),"—")</f>
        <v>—</v>
      </c>
      <c r="T193" s="28" t="str">
        <f>IF(AND($C193="",$D193="",NOT(ISNUMBER($E193))),"",IF($G193="",IF(Setup!$C$17="","Equal",Setup!$C$17),$G193))</f>
        <v/>
      </c>
      <c r="U193" s="29">
        <f>IF($T193="",0,IF(OR(Setup!$B$21="",Setup!$C$21="No"),0,IF(ISNUMBER(H193),H193,IF($T193="Weights",IF(ISNUMBER(Setup!$D$21),Setup!$D$21,0),IF($T193="Nights",IF(ISNUMBER(Setup!$E$21),Setup!$E$21,0),IF(OR($T193="Exact amounts",$T193="Custom units"),0,1))))))</f>
        <v>0</v>
      </c>
      <c r="V193" s="29">
        <f>IF($T193="",0,IF(OR(Setup!$B$22="",Setup!$C$22="No"),0,IF(ISNUMBER(I193),I193,IF($T193="Weights",IF(ISNUMBER(Setup!$D$22),Setup!$D$22,0),IF($T193="Nights",IF(ISNUMBER(Setup!$E$22),Setup!$E$22,0),IF(OR($T193="Exact amounts",$T193="Custom units"),0,1))))))</f>
        <v>0</v>
      </c>
      <c r="W193" s="29">
        <f>IF($T193="",0,IF(OR(Setup!$B$23="",Setup!$C$23="No"),0,IF(ISNUMBER(J193),J193,IF($T193="Weights",IF(ISNUMBER(Setup!$D$23),Setup!$D$23,0),IF($T193="Nights",IF(ISNUMBER(Setup!$E$23),Setup!$E$23,0),IF(OR($T193="Exact amounts",$T193="Custom units"),0,1))))))</f>
        <v>0</v>
      </c>
      <c r="X193" s="29">
        <f>IF($T193="",0,IF(OR(Setup!$B$24="",Setup!$C$24="No"),0,IF(ISNUMBER(K193),K193,IF($T193="Weights",IF(ISNUMBER(Setup!$D$24),Setup!$D$24,0),IF($T193="Nights",IF(ISNUMBER(Setup!$E$24),Setup!$E$24,0),IF(OR($T193="Exact amounts",$T193="Custom units"),0,1))))))</f>
        <v>0</v>
      </c>
      <c r="Y193" s="29">
        <f>IF($T193="",0,IF(OR(Setup!$B$25="",Setup!$C$25="No"),0,IF(ISNUMBER(L193),L193,IF($T193="Weights",IF(ISNUMBER(Setup!$D$25),Setup!$D$25,0),IF($T193="Nights",IF(ISNUMBER(Setup!$E$25),Setup!$E$25,0),IF(OR($T193="Exact amounts",$T193="Custom units"),0,1))))))</f>
        <v>0</v>
      </c>
      <c r="Z193" s="29">
        <f>IF($T193="",0,IF(OR(Setup!$B$26="",Setup!$C$26="No"),0,IF(ISNUMBER(M193),M193,IF($T193="Weights",IF(ISNUMBER(Setup!$D$26),Setup!$D$26,0),IF($T193="Nights",IF(ISNUMBER(Setup!$E$26),Setup!$E$26,0),IF(OR($T193="Exact amounts",$T193="Custom units"),0,1))))))</f>
        <v>0</v>
      </c>
      <c r="AA193" s="29">
        <f>IF($T193="",0,IF(OR(Setup!$B$27="",Setup!$C$27="No"),0,IF(ISNUMBER(N193),N193,IF($T193="Weights",IF(ISNUMBER(Setup!$D$27),Setup!$D$27,0),IF($T193="Nights",IF(ISNUMBER(Setup!$E$27),Setup!$E$27,0),IF(OR($T193="Exact amounts",$T193="Custom units"),0,1))))))</f>
        <v>0</v>
      </c>
      <c r="AB193" s="29">
        <f>IF($T193="",0,IF(OR(Setup!$B$28="",Setup!$C$28="No"),0,IF(ISNUMBER(O193),O193,IF($T193="Weights",IF(ISNUMBER(Setup!$D$28),Setup!$D$28,0),IF($T193="Nights",IF(ISNUMBER(Setup!$E$28),Setup!$E$28,0),IF(OR($T193="Exact amounts",$T193="Custom units"),0,1))))))</f>
        <v>0</v>
      </c>
      <c r="AC193" s="29">
        <f>IF($T193="",0,IF(OR(Setup!$B$29="",Setup!$C$29="No"),0,IF(ISNUMBER(P193),P193,IF($T193="Weights",IF(ISNUMBER(Setup!$D$29),Setup!$D$29,0),IF($T193="Nights",IF(ISNUMBER(Setup!$E$29),Setup!$E$29,0),IF(OR($T193="Exact amounts",$T193="Custom units"),0,1))))))</f>
        <v>0</v>
      </c>
      <c r="AD193" s="29">
        <f>IF($T193="",0,IF(OR(Setup!$B$30="",Setup!$C$30="No"),0,IF(ISNUMBER(Q193),Q193,IF($T193="Weights",IF(ISNUMBER(Setup!$D$30),Setup!$D$30,0),IF($T193="Nights",IF(ISNUMBER(Setup!$E$30),Setup!$E$30,0),IF(OR($T193="Exact amounts",$T193="Custom units"),0,1))))))</f>
        <v>0</v>
      </c>
      <c r="AE193" s="29">
        <f t="shared" si="9"/>
        <v>0</v>
      </c>
      <c r="AF193" s="30">
        <f t="shared" si="10"/>
        <v>1</v>
      </c>
      <c r="AG193" s="29">
        <f t="shared" si="11"/>
        <v>0</v>
      </c>
    </row>
    <row r="194" spans="1:33" ht="16" x14ac:dyDescent="0.2">
      <c r="A194" s="22" t="str">
        <f t="shared" si="8"/>
        <v>—</v>
      </c>
      <c r="B194" s="23"/>
      <c r="C194" s="16"/>
      <c r="D194" s="16"/>
      <c r="E194" s="24"/>
      <c r="F194" s="16"/>
      <c r="G194" s="16"/>
      <c r="H194" s="25"/>
      <c r="I194" s="25"/>
      <c r="J194" s="25"/>
      <c r="K194" s="25"/>
      <c r="L194" s="25"/>
      <c r="M194" s="25"/>
      <c r="N194" s="25"/>
      <c r="O194" s="25"/>
      <c r="P194" s="25"/>
      <c r="Q194" s="25"/>
      <c r="R194" s="26" t="str">
        <f>IF($T194="","",IF($D194="","Who paid?",IF(SUMPRODUCT((Setup!$B$21:$B$30=$D194)*1)=0,"Payer is not in the member list on Setup",IF($E194="","Amount missing — type the number in column E",IF(NOT(ISNUMBER($E194)),"Amount must be a plain number — no currency symbol, no text",IF(AND($T194="Custom units",$AE194&lt;=0),"Custom units: nobody has units on this row — type a number for at least one person",IF($AE194&lt;=0,"Nobody shares this row — check the person columns H–Q, and the Weight / Nights columns on Setup",IF(AND($T194="Exact amounts",ABS($AE194-$AG194)&gt;0.01),"Exact amounts do not add up to the amount","OK"))))))))</f>
        <v/>
      </c>
      <c r="S194" s="27" t="str">
        <f>IFERROR(IF(OR($T194="",$C$4=""),"—",ROUND($AG194*INDEX($U194:$AD194,1,MATCH($C$4,Setup!$B$21:$B$30,0))/$AF194,2)),"—")</f>
        <v>—</v>
      </c>
      <c r="T194" s="28" t="str">
        <f>IF(AND($C194="",$D194="",NOT(ISNUMBER($E194))),"",IF($G194="",IF(Setup!$C$17="","Equal",Setup!$C$17),$G194))</f>
        <v/>
      </c>
      <c r="U194" s="29">
        <f>IF($T194="",0,IF(OR(Setup!$B$21="",Setup!$C$21="No"),0,IF(ISNUMBER(H194),H194,IF($T194="Weights",IF(ISNUMBER(Setup!$D$21),Setup!$D$21,0),IF($T194="Nights",IF(ISNUMBER(Setup!$E$21),Setup!$E$21,0),IF(OR($T194="Exact amounts",$T194="Custom units"),0,1))))))</f>
        <v>0</v>
      </c>
      <c r="V194" s="29">
        <f>IF($T194="",0,IF(OR(Setup!$B$22="",Setup!$C$22="No"),0,IF(ISNUMBER(I194),I194,IF($T194="Weights",IF(ISNUMBER(Setup!$D$22),Setup!$D$22,0),IF($T194="Nights",IF(ISNUMBER(Setup!$E$22),Setup!$E$22,0),IF(OR($T194="Exact amounts",$T194="Custom units"),0,1))))))</f>
        <v>0</v>
      </c>
      <c r="W194" s="29">
        <f>IF($T194="",0,IF(OR(Setup!$B$23="",Setup!$C$23="No"),0,IF(ISNUMBER(J194),J194,IF($T194="Weights",IF(ISNUMBER(Setup!$D$23),Setup!$D$23,0),IF($T194="Nights",IF(ISNUMBER(Setup!$E$23),Setup!$E$23,0),IF(OR($T194="Exact amounts",$T194="Custom units"),0,1))))))</f>
        <v>0</v>
      </c>
      <c r="X194" s="29">
        <f>IF($T194="",0,IF(OR(Setup!$B$24="",Setup!$C$24="No"),0,IF(ISNUMBER(K194),K194,IF($T194="Weights",IF(ISNUMBER(Setup!$D$24),Setup!$D$24,0),IF($T194="Nights",IF(ISNUMBER(Setup!$E$24),Setup!$E$24,0),IF(OR($T194="Exact amounts",$T194="Custom units"),0,1))))))</f>
        <v>0</v>
      </c>
      <c r="Y194" s="29">
        <f>IF($T194="",0,IF(OR(Setup!$B$25="",Setup!$C$25="No"),0,IF(ISNUMBER(L194),L194,IF($T194="Weights",IF(ISNUMBER(Setup!$D$25),Setup!$D$25,0),IF($T194="Nights",IF(ISNUMBER(Setup!$E$25),Setup!$E$25,0),IF(OR($T194="Exact amounts",$T194="Custom units"),0,1))))))</f>
        <v>0</v>
      </c>
      <c r="Z194" s="29">
        <f>IF($T194="",0,IF(OR(Setup!$B$26="",Setup!$C$26="No"),0,IF(ISNUMBER(M194),M194,IF($T194="Weights",IF(ISNUMBER(Setup!$D$26),Setup!$D$26,0),IF($T194="Nights",IF(ISNUMBER(Setup!$E$26),Setup!$E$26,0),IF(OR($T194="Exact amounts",$T194="Custom units"),0,1))))))</f>
        <v>0</v>
      </c>
      <c r="AA194" s="29">
        <f>IF($T194="",0,IF(OR(Setup!$B$27="",Setup!$C$27="No"),0,IF(ISNUMBER(N194),N194,IF($T194="Weights",IF(ISNUMBER(Setup!$D$27),Setup!$D$27,0),IF($T194="Nights",IF(ISNUMBER(Setup!$E$27),Setup!$E$27,0),IF(OR($T194="Exact amounts",$T194="Custom units"),0,1))))))</f>
        <v>0</v>
      </c>
      <c r="AB194" s="29">
        <f>IF($T194="",0,IF(OR(Setup!$B$28="",Setup!$C$28="No"),0,IF(ISNUMBER(O194),O194,IF($T194="Weights",IF(ISNUMBER(Setup!$D$28),Setup!$D$28,0),IF($T194="Nights",IF(ISNUMBER(Setup!$E$28),Setup!$E$28,0),IF(OR($T194="Exact amounts",$T194="Custom units"),0,1))))))</f>
        <v>0</v>
      </c>
      <c r="AC194" s="29">
        <f>IF($T194="",0,IF(OR(Setup!$B$29="",Setup!$C$29="No"),0,IF(ISNUMBER(P194),P194,IF($T194="Weights",IF(ISNUMBER(Setup!$D$29),Setup!$D$29,0),IF($T194="Nights",IF(ISNUMBER(Setup!$E$29),Setup!$E$29,0),IF(OR($T194="Exact amounts",$T194="Custom units"),0,1))))))</f>
        <v>0</v>
      </c>
      <c r="AD194" s="29">
        <f>IF($T194="",0,IF(OR(Setup!$B$30="",Setup!$C$30="No"),0,IF(ISNUMBER(Q194),Q194,IF($T194="Weights",IF(ISNUMBER(Setup!$D$30),Setup!$D$30,0),IF($T194="Nights",IF(ISNUMBER(Setup!$E$30),Setup!$E$30,0),IF(OR($T194="Exact amounts",$T194="Custom units"),0,1))))))</f>
        <v>0</v>
      </c>
      <c r="AE194" s="29">
        <f t="shared" si="9"/>
        <v>0</v>
      </c>
      <c r="AF194" s="30">
        <f t="shared" si="10"/>
        <v>1</v>
      </c>
      <c r="AG194" s="29">
        <f t="shared" si="11"/>
        <v>0</v>
      </c>
    </row>
    <row r="195" spans="1:33" ht="16" x14ac:dyDescent="0.2">
      <c r="A195" s="22" t="str">
        <f t="shared" si="8"/>
        <v>—</v>
      </c>
      <c r="B195" s="31"/>
      <c r="C195" s="11"/>
      <c r="D195" s="11"/>
      <c r="E195" s="32"/>
      <c r="F195" s="11"/>
      <c r="G195" s="11"/>
      <c r="H195" s="33"/>
      <c r="I195" s="33"/>
      <c r="J195" s="33"/>
      <c r="K195" s="33"/>
      <c r="L195" s="33"/>
      <c r="M195" s="33"/>
      <c r="N195" s="33"/>
      <c r="O195" s="33"/>
      <c r="P195" s="33"/>
      <c r="Q195" s="33"/>
      <c r="R195" s="26" t="str">
        <f>IF($T195="","",IF($D195="","Who paid?",IF(SUMPRODUCT((Setup!$B$21:$B$30=$D195)*1)=0,"Payer is not in the member list on Setup",IF($E195="","Amount missing — type the number in column E",IF(NOT(ISNUMBER($E195)),"Amount must be a plain number — no currency symbol, no text",IF(AND($T195="Custom units",$AE195&lt;=0),"Custom units: nobody has units on this row — type a number for at least one person",IF($AE195&lt;=0,"Nobody shares this row — check the person columns H–Q, and the Weight / Nights columns on Setup",IF(AND($T195="Exact amounts",ABS($AE195-$AG195)&gt;0.01),"Exact amounts do not add up to the amount","OK"))))))))</f>
        <v/>
      </c>
      <c r="S195" s="27" t="str">
        <f>IFERROR(IF(OR($T195="",$C$4=""),"—",ROUND($AG195*INDEX($U195:$AD195,1,MATCH($C$4,Setup!$B$21:$B$30,0))/$AF195,2)),"—")</f>
        <v>—</v>
      </c>
      <c r="T195" s="28" t="str">
        <f>IF(AND($C195="",$D195="",NOT(ISNUMBER($E195))),"",IF($G195="",IF(Setup!$C$17="","Equal",Setup!$C$17),$G195))</f>
        <v/>
      </c>
      <c r="U195" s="29">
        <f>IF($T195="",0,IF(OR(Setup!$B$21="",Setup!$C$21="No"),0,IF(ISNUMBER(H195),H195,IF($T195="Weights",IF(ISNUMBER(Setup!$D$21),Setup!$D$21,0),IF($T195="Nights",IF(ISNUMBER(Setup!$E$21),Setup!$E$21,0),IF(OR($T195="Exact amounts",$T195="Custom units"),0,1))))))</f>
        <v>0</v>
      </c>
      <c r="V195" s="29">
        <f>IF($T195="",0,IF(OR(Setup!$B$22="",Setup!$C$22="No"),0,IF(ISNUMBER(I195),I195,IF($T195="Weights",IF(ISNUMBER(Setup!$D$22),Setup!$D$22,0),IF($T195="Nights",IF(ISNUMBER(Setup!$E$22),Setup!$E$22,0),IF(OR($T195="Exact amounts",$T195="Custom units"),0,1))))))</f>
        <v>0</v>
      </c>
      <c r="W195" s="29">
        <f>IF($T195="",0,IF(OR(Setup!$B$23="",Setup!$C$23="No"),0,IF(ISNUMBER(J195),J195,IF($T195="Weights",IF(ISNUMBER(Setup!$D$23),Setup!$D$23,0),IF($T195="Nights",IF(ISNUMBER(Setup!$E$23),Setup!$E$23,0),IF(OR($T195="Exact amounts",$T195="Custom units"),0,1))))))</f>
        <v>0</v>
      </c>
      <c r="X195" s="29">
        <f>IF($T195="",0,IF(OR(Setup!$B$24="",Setup!$C$24="No"),0,IF(ISNUMBER(K195),K195,IF($T195="Weights",IF(ISNUMBER(Setup!$D$24),Setup!$D$24,0),IF($T195="Nights",IF(ISNUMBER(Setup!$E$24),Setup!$E$24,0),IF(OR($T195="Exact amounts",$T195="Custom units"),0,1))))))</f>
        <v>0</v>
      </c>
      <c r="Y195" s="29">
        <f>IF($T195="",0,IF(OR(Setup!$B$25="",Setup!$C$25="No"),0,IF(ISNUMBER(L195),L195,IF($T195="Weights",IF(ISNUMBER(Setup!$D$25),Setup!$D$25,0),IF($T195="Nights",IF(ISNUMBER(Setup!$E$25),Setup!$E$25,0),IF(OR($T195="Exact amounts",$T195="Custom units"),0,1))))))</f>
        <v>0</v>
      </c>
      <c r="Z195" s="29">
        <f>IF($T195="",0,IF(OR(Setup!$B$26="",Setup!$C$26="No"),0,IF(ISNUMBER(M195),M195,IF($T195="Weights",IF(ISNUMBER(Setup!$D$26),Setup!$D$26,0),IF($T195="Nights",IF(ISNUMBER(Setup!$E$26),Setup!$E$26,0),IF(OR($T195="Exact amounts",$T195="Custom units"),0,1))))))</f>
        <v>0</v>
      </c>
      <c r="AA195" s="29">
        <f>IF($T195="",0,IF(OR(Setup!$B$27="",Setup!$C$27="No"),0,IF(ISNUMBER(N195),N195,IF($T195="Weights",IF(ISNUMBER(Setup!$D$27),Setup!$D$27,0),IF($T195="Nights",IF(ISNUMBER(Setup!$E$27),Setup!$E$27,0),IF(OR($T195="Exact amounts",$T195="Custom units"),0,1))))))</f>
        <v>0</v>
      </c>
      <c r="AB195" s="29">
        <f>IF($T195="",0,IF(OR(Setup!$B$28="",Setup!$C$28="No"),0,IF(ISNUMBER(O195),O195,IF($T195="Weights",IF(ISNUMBER(Setup!$D$28),Setup!$D$28,0),IF($T195="Nights",IF(ISNUMBER(Setup!$E$28),Setup!$E$28,0),IF(OR($T195="Exact amounts",$T195="Custom units"),0,1))))))</f>
        <v>0</v>
      </c>
      <c r="AC195" s="29">
        <f>IF($T195="",0,IF(OR(Setup!$B$29="",Setup!$C$29="No"),0,IF(ISNUMBER(P195),P195,IF($T195="Weights",IF(ISNUMBER(Setup!$D$29),Setup!$D$29,0),IF($T195="Nights",IF(ISNUMBER(Setup!$E$29),Setup!$E$29,0),IF(OR($T195="Exact amounts",$T195="Custom units"),0,1))))))</f>
        <v>0</v>
      </c>
      <c r="AD195" s="29">
        <f>IF($T195="",0,IF(OR(Setup!$B$30="",Setup!$C$30="No"),0,IF(ISNUMBER(Q195),Q195,IF($T195="Weights",IF(ISNUMBER(Setup!$D$30),Setup!$D$30,0),IF($T195="Nights",IF(ISNUMBER(Setup!$E$30),Setup!$E$30,0),IF(OR($T195="Exact amounts",$T195="Custom units"),0,1))))))</f>
        <v>0</v>
      </c>
      <c r="AE195" s="29">
        <f t="shared" si="9"/>
        <v>0</v>
      </c>
      <c r="AF195" s="30">
        <f t="shared" si="10"/>
        <v>1</v>
      </c>
      <c r="AG195" s="29">
        <f t="shared" si="11"/>
        <v>0</v>
      </c>
    </row>
    <row r="196" spans="1:33" ht="16" x14ac:dyDescent="0.2">
      <c r="A196" s="22" t="str">
        <f t="shared" si="8"/>
        <v>—</v>
      </c>
      <c r="B196" s="23"/>
      <c r="C196" s="16"/>
      <c r="D196" s="16"/>
      <c r="E196" s="24"/>
      <c r="F196" s="16"/>
      <c r="G196" s="16"/>
      <c r="H196" s="25"/>
      <c r="I196" s="25"/>
      <c r="J196" s="25"/>
      <c r="K196" s="25"/>
      <c r="L196" s="25"/>
      <c r="M196" s="25"/>
      <c r="N196" s="25"/>
      <c r="O196" s="25"/>
      <c r="P196" s="25"/>
      <c r="Q196" s="25"/>
      <c r="R196" s="26" t="str">
        <f>IF($T196="","",IF($D196="","Who paid?",IF(SUMPRODUCT((Setup!$B$21:$B$30=$D196)*1)=0,"Payer is not in the member list on Setup",IF($E196="","Amount missing — type the number in column E",IF(NOT(ISNUMBER($E196)),"Amount must be a plain number — no currency symbol, no text",IF(AND($T196="Custom units",$AE196&lt;=0),"Custom units: nobody has units on this row — type a number for at least one person",IF($AE196&lt;=0,"Nobody shares this row — check the person columns H–Q, and the Weight / Nights columns on Setup",IF(AND($T196="Exact amounts",ABS($AE196-$AG196)&gt;0.01),"Exact amounts do not add up to the amount","OK"))))))))</f>
        <v/>
      </c>
      <c r="S196" s="27" t="str">
        <f>IFERROR(IF(OR($T196="",$C$4=""),"—",ROUND($AG196*INDEX($U196:$AD196,1,MATCH($C$4,Setup!$B$21:$B$30,0))/$AF196,2)),"—")</f>
        <v>—</v>
      </c>
      <c r="T196" s="28" t="str">
        <f>IF(AND($C196="",$D196="",NOT(ISNUMBER($E196))),"",IF($G196="",IF(Setup!$C$17="","Equal",Setup!$C$17),$G196))</f>
        <v/>
      </c>
      <c r="U196" s="29">
        <f>IF($T196="",0,IF(OR(Setup!$B$21="",Setup!$C$21="No"),0,IF(ISNUMBER(H196),H196,IF($T196="Weights",IF(ISNUMBER(Setup!$D$21),Setup!$D$21,0),IF($T196="Nights",IF(ISNUMBER(Setup!$E$21),Setup!$E$21,0),IF(OR($T196="Exact amounts",$T196="Custom units"),0,1))))))</f>
        <v>0</v>
      </c>
      <c r="V196" s="29">
        <f>IF($T196="",0,IF(OR(Setup!$B$22="",Setup!$C$22="No"),0,IF(ISNUMBER(I196),I196,IF($T196="Weights",IF(ISNUMBER(Setup!$D$22),Setup!$D$22,0),IF($T196="Nights",IF(ISNUMBER(Setup!$E$22),Setup!$E$22,0),IF(OR($T196="Exact amounts",$T196="Custom units"),0,1))))))</f>
        <v>0</v>
      </c>
      <c r="W196" s="29">
        <f>IF($T196="",0,IF(OR(Setup!$B$23="",Setup!$C$23="No"),0,IF(ISNUMBER(J196),J196,IF($T196="Weights",IF(ISNUMBER(Setup!$D$23),Setup!$D$23,0),IF($T196="Nights",IF(ISNUMBER(Setup!$E$23),Setup!$E$23,0),IF(OR($T196="Exact amounts",$T196="Custom units"),0,1))))))</f>
        <v>0</v>
      </c>
      <c r="X196" s="29">
        <f>IF($T196="",0,IF(OR(Setup!$B$24="",Setup!$C$24="No"),0,IF(ISNUMBER(K196),K196,IF($T196="Weights",IF(ISNUMBER(Setup!$D$24),Setup!$D$24,0),IF($T196="Nights",IF(ISNUMBER(Setup!$E$24),Setup!$E$24,0),IF(OR($T196="Exact amounts",$T196="Custom units"),0,1))))))</f>
        <v>0</v>
      </c>
      <c r="Y196" s="29">
        <f>IF($T196="",0,IF(OR(Setup!$B$25="",Setup!$C$25="No"),0,IF(ISNUMBER(L196),L196,IF($T196="Weights",IF(ISNUMBER(Setup!$D$25),Setup!$D$25,0),IF($T196="Nights",IF(ISNUMBER(Setup!$E$25),Setup!$E$25,0),IF(OR($T196="Exact amounts",$T196="Custom units"),0,1))))))</f>
        <v>0</v>
      </c>
      <c r="Z196" s="29">
        <f>IF($T196="",0,IF(OR(Setup!$B$26="",Setup!$C$26="No"),0,IF(ISNUMBER(M196),M196,IF($T196="Weights",IF(ISNUMBER(Setup!$D$26),Setup!$D$26,0),IF($T196="Nights",IF(ISNUMBER(Setup!$E$26),Setup!$E$26,0),IF(OR($T196="Exact amounts",$T196="Custom units"),0,1))))))</f>
        <v>0</v>
      </c>
      <c r="AA196" s="29">
        <f>IF($T196="",0,IF(OR(Setup!$B$27="",Setup!$C$27="No"),0,IF(ISNUMBER(N196),N196,IF($T196="Weights",IF(ISNUMBER(Setup!$D$27),Setup!$D$27,0),IF($T196="Nights",IF(ISNUMBER(Setup!$E$27),Setup!$E$27,0),IF(OR($T196="Exact amounts",$T196="Custom units"),0,1))))))</f>
        <v>0</v>
      </c>
      <c r="AB196" s="29">
        <f>IF($T196="",0,IF(OR(Setup!$B$28="",Setup!$C$28="No"),0,IF(ISNUMBER(O196),O196,IF($T196="Weights",IF(ISNUMBER(Setup!$D$28),Setup!$D$28,0),IF($T196="Nights",IF(ISNUMBER(Setup!$E$28),Setup!$E$28,0),IF(OR($T196="Exact amounts",$T196="Custom units"),0,1))))))</f>
        <v>0</v>
      </c>
      <c r="AC196" s="29">
        <f>IF($T196="",0,IF(OR(Setup!$B$29="",Setup!$C$29="No"),0,IF(ISNUMBER(P196),P196,IF($T196="Weights",IF(ISNUMBER(Setup!$D$29),Setup!$D$29,0),IF($T196="Nights",IF(ISNUMBER(Setup!$E$29),Setup!$E$29,0),IF(OR($T196="Exact amounts",$T196="Custom units"),0,1))))))</f>
        <v>0</v>
      </c>
      <c r="AD196" s="29">
        <f>IF($T196="",0,IF(OR(Setup!$B$30="",Setup!$C$30="No"),0,IF(ISNUMBER(Q196),Q196,IF($T196="Weights",IF(ISNUMBER(Setup!$D$30),Setup!$D$30,0),IF($T196="Nights",IF(ISNUMBER(Setup!$E$30),Setup!$E$30,0),IF(OR($T196="Exact amounts",$T196="Custom units"),0,1))))))</f>
        <v>0</v>
      </c>
      <c r="AE196" s="29">
        <f t="shared" si="9"/>
        <v>0</v>
      </c>
      <c r="AF196" s="30">
        <f t="shared" si="10"/>
        <v>1</v>
      </c>
      <c r="AG196" s="29">
        <f t="shared" si="11"/>
        <v>0</v>
      </c>
    </row>
    <row r="197" spans="1:33" ht="16" x14ac:dyDescent="0.2">
      <c r="A197" s="22" t="str">
        <f t="shared" si="8"/>
        <v>—</v>
      </c>
      <c r="B197" s="31"/>
      <c r="C197" s="11"/>
      <c r="D197" s="11"/>
      <c r="E197" s="32"/>
      <c r="F197" s="11"/>
      <c r="G197" s="11"/>
      <c r="H197" s="33"/>
      <c r="I197" s="33"/>
      <c r="J197" s="33"/>
      <c r="K197" s="33"/>
      <c r="L197" s="33"/>
      <c r="M197" s="33"/>
      <c r="N197" s="33"/>
      <c r="O197" s="33"/>
      <c r="P197" s="33"/>
      <c r="Q197" s="33"/>
      <c r="R197" s="26" t="str">
        <f>IF($T197="","",IF($D197="","Who paid?",IF(SUMPRODUCT((Setup!$B$21:$B$30=$D197)*1)=0,"Payer is not in the member list on Setup",IF($E197="","Amount missing — type the number in column E",IF(NOT(ISNUMBER($E197)),"Amount must be a plain number — no currency symbol, no text",IF(AND($T197="Custom units",$AE197&lt;=0),"Custom units: nobody has units on this row — type a number for at least one person",IF($AE197&lt;=0,"Nobody shares this row — check the person columns H–Q, and the Weight / Nights columns on Setup",IF(AND($T197="Exact amounts",ABS($AE197-$AG197)&gt;0.01),"Exact amounts do not add up to the amount","OK"))))))))</f>
        <v/>
      </c>
      <c r="S197" s="27" t="str">
        <f>IFERROR(IF(OR($T197="",$C$4=""),"—",ROUND($AG197*INDEX($U197:$AD197,1,MATCH($C$4,Setup!$B$21:$B$30,0))/$AF197,2)),"—")</f>
        <v>—</v>
      </c>
      <c r="T197" s="28" t="str">
        <f>IF(AND($C197="",$D197="",NOT(ISNUMBER($E197))),"",IF($G197="",IF(Setup!$C$17="","Equal",Setup!$C$17),$G197))</f>
        <v/>
      </c>
      <c r="U197" s="29">
        <f>IF($T197="",0,IF(OR(Setup!$B$21="",Setup!$C$21="No"),0,IF(ISNUMBER(H197),H197,IF($T197="Weights",IF(ISNUMBER(Setup!$D$21),Setup!$D$21,0),IF($T197="Nights",IF(ISNUMBER(Setup!$E$21),Setup!$E$21,0),IF(OR($T197="Exact amounts",$T197="Custom units"),0,1))))))</f>
        <v>0</v>
      </c>
      <c r="V197" s="29">
        <f>IF($T197="",0,IF(OR(Setup!$B$22="",Setup!$C$22="No"),0,IF(ISNUMBER(I197),I197,IF($T197="Weights",IF(ISNUMBER(Setup!$D$22),Setup!$D$22,0),IF($T197="Nights",IF(ISNUMBER(Setup!$E$22),Setup!$E$22,0),IF(OR($T197="Exact amounts",$T197="Custom units"),0,1))))))</f>
        <v>0</v>
      </c>
      <c r="W197" s="29">
        <f>IF($T197="",0,IF(OR(Setup!$B$23="",Setup!$C$23="No"),0,IF(ISNUMBER(J197),J197,IF($T197="Weights",IF(ISNUMBER(Setup!$D$23),Setup!$D$23,0),IF($T197="Nights",IF(ISNUMBER(Setup!$E$23),Setup!$E$23,0),IF(OR($T197="Exact amounts",$T197="Custom units"),0,1))))))</f>
        <v>0</v>
      </c>
      <c r="X197" s="29">
        <f>IF($T197="",0,IF(OR(Setup!$B$24="",Setup!$C$24="No"),0,IF(ISNUMBER(K197),K197,IF($T197="Weights",IF(ISNUMBER(Setup!$D$24),Setup!$D$24,0),IF($T197="Nights",IF(ISNUMBER(Setup!$E$24),Setup!$E$24,0),IF(OR($T197="Exact amounts",$T197="Custom units"),0,1))))))</f>
        <v>0</v>
      </c>
      <c r="Y197" s="29">
        <f>IF($T197="",0,IF(OR(Setup!$B$25="",Setup!$C$25="No"),0,IF(ISNUMBER(L197),L197,IF($T197="Weights",IF(ISNUMBER(Setup!$D$25),Setup!$D$25,0),IF($T197="Nights",IF(ISNUMBER(Setup!$E$25),Setup!$E$25,0),IF(OR($T197="Exact amounts",$T197="Custom units"),0,1))))))</f>
        <v>0</v>
      </c>
      <c r="Z197" s="29">
        <f>IF($T197="",0,IF(OR(Setup!$B$26="",Setup!$C$26="No"),0,IF(ISNUMBER(M197),M197,IF($T197="Weights",IF(ISNUMBER(Setup!$D$26),Setup!$D$26,0),IF($T197="Nights",IF(ISNUMBER(Setup!$E$26),Setup!$E$26,0),IF(OR($T197="Exact amounts",$T197="Custom units"),0,1))))))</f>
        <v>0</v>
      </c>
      <c r="AA197" s="29">
        <f>IF($T197="",0,IF(OR(Setup!$B$27="",Setup!$C$27="No"),0,IF(ISNUMBER(N197),N197,IF($T197="Weights",IF(ISNUMBER(Setup!$D$27),Setup!$D$27,0),IF($T197="Nights",IF(ISNUMBER(Setup!$E$27),Setup!$E$27,0),IF(OR($T197="Exact amounts",$T197="Custom units"),0,1))))))</f>
        <v>0</v>
      </c>
      <c r="AB197" s="29">
        <f>IF($T197="",0,IF(OR(Setup!$B$28="",Setup!$C$28="No"),0,IF(ISNUMBER(O197),O197,IF($T197="Weights",IF(ISNUMBER(Setup!$D$28),Setup!$D$28,0),IF($T197="Nights",IF(ISNUMBER(Setup!$E$28),Setup!$E$28,0),IF(OR($T197="Exact amounts",$T197="Custom units"),0,1))))))</f>
        <v>0</v>
      </c>
      <c r="AC197" s="29">
        <f>IF($T197="",0,IF(OR(Setup!$B$29="",Setup!$C$29="No"),0,IF(ISNUMBER(P197),P197,IF($T197="Weights",IF(ISNUMBER(Setup!$D$29),Setup!$D$29,0),IF($T197="Nights",IF(ISNUMBER(Setup!$E$29),Setup!$E$29,0),IF(OR($T197="Exact amounts",$T197="Custom units"),0,1))))))</f>
        <v>0</v>
      </c>
      <c r="AD197" s="29">
        <f>IF($T197="",0,IF(OR(Setup!$B$30="",Setup!$C$30="No"),0,IF(ISNUMBER(Q197),Q197,IF($T197="Weights",IF(ISNUMBER(Setup!$D$30),Setup!$D$30,0),IF($T197="Nights",IF(ISNUMBER(Setup!$E$30),Setup!$E$30,0),IF(OR($T197="Exact amounts",$T197="Custom units"),0,1))))))</f>
        <v>0</v>
      </c>
      <c r="AE197" s="29">
        <f t="shared" si="9"/>
        <v>0</v>
      </c>
      <c r="AF197" s="30">
        <f t="shared" si="10"/>
        <v>1</v>
      </c>
      <c r="AG197" s="29">
        <f t="shared" si="11"/>
        <v>0</v>
      </c>
    </row>
    <row r="198" spans="1:33" ht="16" x14ac:dyDescent="0.2">
      <c r="A198" s="22" t="str">
        <f t="shared" si="8"/>
        <v>—</v>
      </c>
      <c r="B198" s="23"/>
      <c r="C198" s="16"/>
      <c r="D198" s="16"/>
      <c r="E198" s="24"/>
      <c r="F198" s="16"/>
      <c r="G198" s="16"/>
      <c r="H198" s="25"/>
      <c r="I198" s="25"/>
      <c r="J198" s="25"/>
      <c r="K198" s="25"/>
      <c r="L198" s="25"/>
      <c r="M198" s="25"/>
      <c r="N198" s="25"/>
      <c r="O198" s="25"/>
      <c r="P198" s="25"/>
      <c r="Q198" s="25"/>
      <c r="R198" s="26" t="str">
        <f>IF($T198="","",IF($D198="","Who paid?",IF(SUMPRODUCT((Setup!$B$21:$B$30=$D198)*1)=0,"Payer is not in the member list on Setup",IF($E198="","Amount missing — type the number in column E",IF(NOT(ISNUMBER($E198)),"Amount must be a plain number — no currency symbol, no text",IF(AND($T198="Custom units",$AE198&lt;=0),"Custom units: nobody has units on this row — type a number for at least one person",IF($AE198&lt;=0,"Nobody shares this row — check the person columns H–Q, and the Weight / Nights columns on Setup",IF(AND($T198="Exact amounts",ABS($AE198-$AG198)&gt;0.01),"Exact amounts do not add up to the amount","OK"))))))))</f>
        <v/>
      </c>
      <c r="S198" s="27" t="str">
        <f>IFERROR(IF(OR($T198="",$C$4=""),"—",ROUND($AG198*INDEX($U198:$AD198,1,MATCH($C$4,Setup!$B$21:$B$30,0))/$AF198,2)),"—")</f>
        <v>—</v>
      </c>
      <c r="T198" s="28" t="str">
        <f>IF(AND($C198="",$D198="",NOT(ISNUMBER($E198))),"",IF($G198="",IF(Setup!$C$17="","Equal",Setup!$C$17),$G198))</f>
        <v/>
      </c>
      <c r="U198" s="29">
        <f>IF($T198="",0,IF(OR(Setup!$B$21="",Setup!$C$21="No"),0,IF(ISNUMBER(H198),H198,IF($T198="Weights",IF(ISNUMBER(Setup!$D$21),Setup!$D$21,0),IF($T198="Nights",IF(ISNUMBER(Setup!$E$21),Setup!$E$21,0),IF(OR($T198="Exact amounts",$T198="Custom units"),0,1))))))</f>
        <v>0</v>
      </c>
      <c r="V198" s="29">
        <f>IF($T198="",0,IF(OR(Setup!$B$22="",Setup!$C$22="No"),0,IF(ISNUMBER(I198),I198,IF($T198="Weights",IF(ISNUMBER(Setup!$D$22),Setup!$D$22,0),IF($T198="Nights",IF(ISNUMBER(Setup!$E$22),Setup!$E$22,0),IF(OR($T198="Exact amounts",$T198="Custom units"),0,1))))))</f>
        <v>0</v>
      </c>
      <c r="W198" s="29">
        <f>IF($T198="",0,IF(OR(Setup!$B$23="",Setup!$C$23="No"),0,IF(ISNUMBER(J198),J198,IF($T198="Weights",IF(ISNUMBER(Setup!$D$23),Setup!$D$23,0),IF($T198="Nights",IF(ISNUMBER(Setup!$E$23),Setup!$E$23,0),IF(OR($T198="Exact amounts",$T198="Custom units"),0,1))))))</f>
        <v>0</v>
      </c>
      <c r="X198" s="29">
        <f>IF($T198="",0,IF(OR(Setup!$B$24="",Setup!$C$24="No"),0,IF(ISNUMBER(K198),K198,IF($T198="Weights",IF(ISNUMBER(Setup!$D$24),Setup!$D$24,0),IF($T198="Nights",IF(ISNUMBER(Setup!$E$24),Setup!$E$24,0),IF(OR($T198="Exact amounts",$T198="Custom units"),0,1))))))</f>
        <v>0</v>
      </c>
      <c r="Y198" s="29">
        <f>IF($T198="",0,IF(OR(Setup!$B$25="",Setup!$C$25="No"),0,IF(ISNUMBER(L198),L198,IF($T198="Weights",IF(ISNUMBER(Setup!$D$25),Setup!$D$25,0),IF($T198="Nights",IF(ISNUMBER(Setup!$E$25),Setup!$E$25,0),IF(OR($T198="Exact amounts",$T198="Custom units"),0,1))))))</f>
        <v>0</v>
      </c>
      <c r="Z198" s="29">
        <f>IF($T198="",0,IF(OR(Setup!$B$26="",Setup!$C$26="No"),0,IF(ISNUMBER(M198),M198,IF($T198="Weights",IF(ISNUMBER(Setup!$D$26),Setup!$D$26,0),IF($T198="Nights",IF(ISNUMBER(Setup!$E$26),Setup!$E$26,0),IF(OR($T198="Exact amounts",$T198="Custom units"),0,1))))))</f>
        <v>0</v>
      </c>
      <c r="AA198" s="29">
        <f>IF($T198="",0,IF(OR(Setup!$B$27="",Setup!$C$27="No"),0,IF(ISNUMBER(N198),N198,IF($T198="Weights",IF(ISNUMBER(Setup!$D$27),Setup!$D$27,0),IF($T198="Nights",IF(ISNUMBER(Setup!$E$27),Setup!$E$27,0),IF(OR($T198="Exact amounts",$T198="Custom units"),0,1))))))</f>
        <v>0</v>
      </c>
      <c r="AB198" s="29">
        <f>IF($T198="",0,IF(OR(Setup!$B$28="",Setup!$C$28="No"),0,IF(ISNUMBER(O198),O198,IF($T198="Weights",IF(ISNUMBER(Setup!$D$28),Setup!$D$28,0),IF($T198="Nights",IF(ISNUMBER(Setup!$E$28),Setup!$E$28,0),IF(OR($T198="Exact amounts",$T198="Custom units"),0,1))))))</f>
        <v>0</v>
      </c>
      <c r="AC198" s="29">
        <f>IF($T198="",0,IF(OR(Setup!$B$29="",Setup!$C$29="No"),0,IF(ISNUMBER(P198),P198,IF($T198="Weights",IF(ISNUMBER(Setup!$D$29),Setup!$D$29,0),IF($T198="Nights",IF(ISNUMBER(Setup!$E$29),Setup!$E$29,0),IF(OR($T198="Exact amounts",$T198="Custom units"),0,1))))))</f>
        <v>0</v>
      </c>
      <c r="AD198" s="29">
        <f>IF($T198="",0,IF(OR(Setup!$B$30="",Setup!$C$30="No"),0,IF(ISNUMBER(Q198),Q198,IF($T198="Weights",IF(ISNUMBER(Setup!$D$30),Setup!$D$30,0),IF($T198="Nights",IF(ISNUMBER(Setup!$E$30),Setup!$E$30,0),IF(OR($T198="Exact amounts",$T198="Custom units"),0,1))))))</f>
        <v>0</v>
      </c>
      <c r="AE198" s="29">
        <f t="shared" si="9"/>
        <v>0</v>
      </c>
      <c r="AF198" s="30">
        <f t="shared" si="10"/>
        <v>1</v>
      </c>
      <c r="AG198" s="29">
        <f t="shared" si="11"/>
        <v>0</v>
      </c>
    </row>
    <row r="199" spans="1:33" ht="16" x14ac:dyDescent="0.2">
      <c r="A199" s="22" t="str">
        <f t="shared" si="8"/>
        <v>—</v>
      </c>
      <c r="B199" s="31"/>
      <c r="C199" s="11"/>
      <c r="D199" s="11"/>
      <c r="E199" s="32"/>
      <c r="F199" s="11"/>
      <c r="G199" s="11"/>
      <c r="H199" s="33"/>
      <c r="I199" s="33"/>
      <c r="J199" s="33"/>
      <c r="K199" s="33"/>
      <c r="L199" s="33"/>
      <c r="M199" s="33"/>
      <c r="N199" s="33"/>
      <c r="O199" s="33"/>
      <c r="P199" s="33"/>
      <c r="Q199" s="33"/>
      <c r="R199" s="26" t="str">
        <f>IF($T199="","",IF($D199="","Who paid?",IF(SUMPRODUCT((Setup!$B$21:$B$30=$D199)*1)=0,"Payer is not in the member list on Setup",IF($E199="","Amount missing — type the number in column E",IF(NOT(ISNUMBER($E199)),"Amount must be a plain number — no currency symbol, no text",IF(AND($T199="Custom units",$AE199&lt;=0),"Custom units: nobody has units on this row — type a number for at least one person",IF($AE199&lt;=0,"Nobody shares this row — check the person columns H–Q, and the Weight / Nights columns on Setup",IF(AND($T199="Exact amounts",ABS($AE199-$AG199)&gt;0.01),"Exact amounts do not add up to the amount","OK"))))))))</f>
        <v/>
      </c>
      <c r="S199" s="27" t="str">
        <f>IFERROR(IF(OR($T199="",$C$4=""),"—",ROUND($AG199*INDEX($U199:$AD199,1,MATCH($C$4,Setup!$B$21:$B$30,0))/$AF199,2)),"—")</f>
        <v>—</v>
      </c>
      <c r="T199" s="28" t="str">
        <f>IF(AND($C199="",$D199="",NOT(ISNUMBER($E199))),"",IF($G199="",IF(Setup!$C$17="","Equal",Setup!$C$17),$G199))</f>
        <v/>
      </c>
      <c r="U199" s="29">
        <f>IF($T199="",0,IF(OR(Setup!$B$21="",Setup!$C$21="No"),0,IF(ISNUMBER(H199),H199,IF($T199="Weights",IF(ISNUMBER(Setup!$D$21),Setup!$D$21,0),IF($T199="Nights",IF(ISNUMBER(Setup!$E$21),Setup!$E$21,0),IF(OR($T199="Exact amounts",$T199="Custom units"),0,1))))))</f>
        <v>0</v>
      </c>
      <c r="V199" s="29">
        <f>IF($T199="",0,IF(OR(Setup!$B$22="",Setup!$C$22="No"),0,IF(ISNUMBER(I199),I199,IF($T199="Weights",IF(ISNUMBER(Setup!$D$22),Setup!$D$22,0),IF($T199="Nights",IF(ISNUMBER(Setup!$E$22),Setup!$E$22,0),IF(OR($T199="Exact amounts",$T199="Custom units"),0,1))))))</f>
        <v>0</v>
      </c>
      <c r="W199" s="29">
        <f>IF($T199="",0,IF(OR(Setup!$B$23="",Setup!$C$23="No"),0,IF(ISNUMBER(J199),J199,IF($T199="Weights",IF(ISNUMBER(Setup!$D$23),Setup!$D$23,0),IF($T199="Nights",IF(ISNUMBER(Setup!$E$23),Setup!$E$23,0),IF(OR($T199="Exact amounts",$T199="Custom units"),0,1))))))</f>
        <v>0</v>
      </c>
      <c r="X199" s="29">
        <f>IF($T199="",0,IF(OR(Setup!$B$24="",Setup!$C$24="No"),0,IF(ISNUMBER(K199),K199,IF($T199="Weights",IF(ISNUMBER(Setup!$D$24),Setup!$D$24,0),IF($T199="Nights",IF(ISNUMBER(Setup!$E$24),Setup!$E$24,0),IF(OR($T199="Exact amounts",$T199="Custom units"),0,1))))))</f>
        <v>0</v>
      </c>
      <c r="Y199" s="29">
        <f>IF($T199="",0,IF(OR(Setup!$B$25="",Setup!$C$25="No"),0,IF(ISNUMBER(L199),L199,IF($T199="Weights",IF(ISNUMBER(Setup!$D$25),Setup!$D$25,0),IF($T199="Nights",IF(ISNUMBER(Setup!$E$25),Setup!$E$25,0),IF(OR($T199="Exact amounts",$T199="Custom units"),0,1))))))</f>
        <v>0</v>
      </c>
      <c r="Z199" s="29">
        <f>IF($T199="",0,IF(OR(Setup!$B$26="",Setup!$C$26="No"),0,IF(ISNUMBER(M199),M199,IF($T199="Weights",IF(ISNUMBER(Setup!$D$26),Setup!$D$26,0),IF($T199="Nights",IF(ISNUMBER(Setup!$E$26),Setup!$E$26,0),IF(OR($T199="Exact amounts",$T199="Custom units"),0,1))))))</f>
        <v>0</v>
      </c>
      <c r="AA199" s="29">
        <f>IF($T199="",0,IF(OR(Setup!$B$27="",Setup!$C$27="No"),0,IF(ISNUMBER(N199),N199,IF($T199="Weights",IF(ISNUMBER(Setup!$D$27),Setup!$D$27,0),IF($T199="Nights",IF(ISNUMBER(Setup!$E$27),Setup!$E$27,0),IF(OR($T199="Exact amounts",$T199="Custom units"),0,1))))))</f>
        <v>0</v>
      </c>
      <c r="AB199" s="29">
        <f>IF($T199="",0,IF(OR(Setup!$B$28="",Setup!$C$28="No"),0,IF(ISNUMBER(O199),O199,IF($T199="Weights",IF(ISNUMBER(Setup!$D$28),Setup!$D$28,0),IF($T199="Nights",IF(ISNUMBER(Setup!$E$28),Setup!$E$28,0),IF(OR($T199="Exact amounts",$T199="Custom units"),0,1))))))</f>
        <v>0</v>
      </c>
      <c r="AC199" s="29">
        <f>IF($T199="",0,IF(OR(Setup!$B$29="",Setup!$C$29="No"),0,IF(ISNUMBER(P199),P199,IF($T199="Weights",IF(ISNUMBER(Setup!$D$29),Setup!$D$29,0),IF($T199="Nights",IF(ISNUMBER(Setup!$E$29),Setup!$E$29,0),IF(OR($T199="Exact amounts",$T199="Custom units"),0,1))))))</f>
        <v>0</v>
      </c>
      <c r="AD199" s="29">
        <f>IF($T199="",0,IF(OR(Setup!$B$30="",Setup!$C$30="No"),0,IF(ISNUMBER(Q199),Q199,IF($T199="Weights",IF(ISNUMBER(Setup!$D$30),Setup!$D$30,0),IF($T199="Nights",IF(ISNUMBER(Setup!$E$30),Setup!$E$30,0),IF(OR($T199="Exact amounts",$T199="Custom units"),0,1))))))</f>
        <v>0</v>
      </c>
      <c r="AE199" s="29">
        <f t="shared" si="9"/>
        <v>0</v>
      </c>
      <c r="AF199" s="30">
        <f t="shared" si="10"/>
        <v>1</v>
      </c>
      <c r="AG199" s="29">
        <f t="shared" si="11"/>
        <v>0</v>
      </c>
    </row>
    <row r="200" spans="1:33" ht="16" x14ac:dyDescent="0.2">
      <c r="A200" s="22" t="str">
        <f t="shared" ref="A200:A263" si="12">IF($T200="","—",ROW()-7)</f>
        <v>—</v>
      </c>
      <c r="B200" s="23"/>
      <c r="C200" s="16"/>
      <c r="D200" s="16"/>
      <c r="E200" s="24"/>
      <c r="F200" s="16"/>
      <c r="G200" s="16"/>
      <c r="H200" s="25"/>
      <c r="I200" s="25"/>
      <c r="J200" s="25"/>
      <c r="K200" s="25"/>
      <c r="L200" s="25"/>
      <c r="M200" s="25"/>
      <c r="N200" s="25"/>
      <c r="O200" s="25"/>
      <c r="P200" s="25"/>
      <c r="Q200" s="25"/>
      <c r="R200" s="26" t="str">
        <f>IF($T200="","",IF($D200="","Who paid?",IF(SUMPRODUCT((Setup!$B$21:$B$30=$D200)*1)=0,"Payer is not in the member list on Setup",IF($E200="","Amount missing — type the number in column E",IF(NOT(ISNUMBER($E200)),"Amount must be a plain number — no currency symbol, no text",IF(AND($T200="Custom units",$AE200&lt;=0),"Custom units: nobody has units on this row — type a number for at least one person",IF($AE200&lt;=0,"Nobody shares this row — check the person columns H–Q, and the Weight / Nights columns on Setup",IF(AND($T200="Exact amounts",ABS($AE200-$AG200)&gt;0.01),"Exact amounts do not add up to the amount","OK"))))))))</f>
        <v/>
      </c>
      <c r="S200" s="27" t="str">
        <f>IFERROR(IF(OR($T200="",$C$4=""),"—",ROUND($AG200*INDEX($U200:$AD200,1,MATCH($C$4,Setup!$B$21:$B$30,0))/$AF200,2)),"—")</f>
        <v>—</v>
      </c>
      <c r="T200" s="28" t="str">
        <f>IF(AND($C200="",$D200="",NOT(ISNUMBER($E200))),"",IF($G200="",IF(Setup!$C$17="","Equal",Setup!$C$17),$G200))</f>
        <v/>
      </c>
      <c r="U200" s="29">
        <f>IF($T200="",0,IF(OR(Setup!$B$21="",Setup!$C$21="No"),0,IF(ISNUMBER(H200),H200,IF($T200="Weights",IF(ISNUMBER(Setup!$D$21),Setup!$D$21,0),IF($T200="Nights",IF(ISNUMBER(Setup!$E$21),Setup!$E$21,0),IF(OR($T200="Exact amounts",$T200="Custom units"),0,1))))))</f>
        <v>0</v>
      </c>
      <c r="V200" s="29">
        <f>IF($T200="",0,IF(OR(Setup!$B$22="",Setup!$C$22="No"),0,IF(ISNUMBER(I200),I200,IF($T200="Weights",IF(ISNUMBER(Setup!$D$22),Setup!$D$22,0),IF($T200="Nights",IF(ISNUMBER(Setup!$E$22),Setup!$E$22,0),IF(OR($T200="Exact amounts",$T200="Custom units"),0,1))))))</f>
        <v>0</v>
      </c>
      <c r="W200" s="29">
        <f>IF($T200="",0,IF(OR(Setup!$B$23="",Setup!$C$23="No"),0,IF(ISNUMBER(J200),J200,IF($T200="Weights",IF(ISNUMBER(Setup!$D$23),Setup!$D$23,0),IF($T200="Nights",IF(ISNUMBER(Setup!$E$23),Setup!$E$23,0),IF(OR($T200="Exact amounts",$T200="Custom units"),0,1))))))</f>
        <v>0</v>
      </c>
      <c r="X200" s="29">
        <f>IF($T200="",0,IF(OR(Setup!$B$24="",Setup!$C$24="No"),0,IF(ISNUMBER(K200),K200,IF($T200="Weights",IF(ISNUMBER(Setup!$D$24),Setup!$D$24,0),IF($T200="Nights",IF(ISNUMBER(Setup!$E$24),Setup!$E$24,0),IF(OR($T200="Exact amounts",$T200="Custom units"),0,1))))))</f>
        <v>0</v>
      </c>
      <c r="Y200" s="29">
        <f>IF($T200="",0,IF(OR(Setup!$B$25="",Setup!$C$25="No"),0,IF(ISNUMBER(L200),L200,IF($T200="Weights",IF(ISNUMBER(Setup!$D$25),Setup!$D$25,0),IF($T200="Nights",IF(ISNUMBER(Setup!$E$25),Setup!$E$25,0),IF(OR($T200="Exact amounts",$T200="Custom units"),0,1))))))</f>
        <v>0</v>
      </c>
      <c r="Z200" s="29">
        <f>IF($T200="",0,IF(OR(Setup!$B$26="",Setup!$C$26="No"),0,IF(ISNUMBER(M200),M200,IF($T200="Weights",IF(ISNUMBER(Setup!$D$26),Setup!$D$26,0),IF($T200="Nights",IF(ISNUMBER(Setup!$E$26),Setup!$E$26,0),IF(OR($T200="Exact amounts",$T200="Custom units"),0,1))))))</f>
        <v>0</v>
      </c>
      <c r="AA200" s="29">
        <f>IF($T200="",0,IF(OR(Setup!$B$27="",Setup!$C$27="No"),0,IF(ISNUMBER(N200),N200,IF($T200="Weights",IF(ISNUMBER(Setup!$D$27),Setup!$D$27,0),IF($T200="Nights",IF(ISNUMBER(Setup!$E$27),Setup!$E$27,0),IF(OR($T200="Exact amounts",$T200="Custom units"),0,1))))))</f>
        <v>0</v>
      </c>
      <c r="AB200" s="29">
        <f>IF($T200="",0,IF(OR(Setup!$B$28="",Setup!$C$28="No"),0,IF(ISNUMBER(O200),O200,IF($T200="Weights",IF(ISNUMBER(Setup!$D$28),Setup!$D$28,0),IF($T200="Nights",IF(ISNUMBER(Setup!$E$28),Setup!$E$28,0),IF(OR($T200="Exact amounts",$T200="Custom units"),0,1))))))</f>
        <v>0</v>
      </c>
      <c r="AC200" s="29">
        <f>IF($T200="",0,IF(OR(Setup!$B$29="",Setup!$C$29="No"),0,IF(ISNUMBER(P200),P200,IF($T200="Weights",IF(ISNUMBER(Setup!$D$29),Setup!$D$29,0),IF($T200="Nights",IF(ISNUMBER(Setup!$E$29),Setup!$E$29,0),IF(OR($T200="Exact amounts",$T200="Custom units"),0,1))))))</f>
        <v>0</v>
      </c>
      <c r="AD200" s="29">
        <f>IF($T200="",0,IF(OR(Setup!$B$30="",Setup!$C$30="No"),0,IF(ISNUMBER(Q200),Q200,IF($T200="Weights",IF(ISNUMBER(Setup!$D$30),Setup!$D$30,0),IF($T200="Nights",IF(ISNUMBER(Setup!$E$30),Setup!$E$30,0),IF(OR($T200="Exact amounts",$T200="Custom units"),0,1))))))</f>
        <v>0</v>
      </c>
      <c r="AE200" s="29">
        <f t="shared" ref="AE200:AE263" si="13">IF($T200="",0,SUM($U200:$AD200))</f>
        <v>0</v>
      </c>
      <c r="AF200" s="30">
        <f t="shared" ref="AF200:AF263" si="14">IF($AE200&lt;=0,1,$AE200)</f>
        <v>1</v>
      </c>
      <c r="AG200" s="29">
        <f t="shared" ref="AG200:AG263" si="15">IF(ISNUMBER($E200),$E200,0)</f>
        <v>0</v>
      </c>
    </row>
    <row r="201" spans="1:33" ht="16" x14ac:dyDescent="0.2">
      <c r="A201" s="22" t="str">
        <f t="shared" si="12"/>
        <v>—</v>
      </c>
      <c r="B201" s="31"/>
      <c r="C201" s="11"/>
      <c r="D201" s="11"/>
      <c r="E201" s="32"/>
      <c r="F201" s="11"/>
      <c r="G201" s="11"/>
      <c r="H201" s="33"/>
      <c r="I201" s="33"/>
      <c r="J201" s="33"/>
      <c r="K201" s="33"/>
      <c r="L201" s="33"/>
      <c r="M201" s="33"/>
      <c r="N201" s="33"/>
      <c r="O201" s="33"/>
      <c r="P201" s="33"/>
      <c r="Q201" s="33"/>
      <c r="R201" s="26" t="str">
        <f>IF($T201="","",IF($D201="","Who paid?",IF(SUMPRODUCT((Setup!$B$21:$B$30=$D201)*1)=0,"Payer is not in the member list on Setup",IF($E201="","Amount missing — type the number in column E",IF(NOT(ISNUMBER($E201)),"Amount must be a plain number — no currency symbol, no text",IF(AND($T201="Custom units",$AE201&lt;=0),"Custom units: nobody has units on this row — type a number for at least one person",IF($AE201&lt;=0,"Nobody shares this row — check the person columns H–Q, and the Weight / Nights columns on Setup",IF(AND($T201="Exact amounts",ABS($AE201-$AG201)&gt;0.01),"Exact amounts do not add up to the amount","OK"))))))))</f>
        <v/>
      </c>
      <c r="S201" s="27" t="str">
        <f>IFERROR(IF(OR($T201="",$C$4=""),"—",ROUND($AG201*INDEX($U201:$AD201,1,MATCH($C$4,Setup!$B$21:$B$30,0))/$AF201,2)),"—")</f>
        <v>—</v>
      </c>
      <c r="T201" s="28" t="str">
        <f>IF(AND($C201="",$D201="",NOT(ISNUMBER($E201))),"",IF($G201="",IF(Setup!$C$17="","Equal",Setup!$C$17),$G201))</f>
        <v/>
      </c>
      <c r="U201" s="29">
        <f>IF($T201="",0,IF(OR(Setup!$B$21="",Setup!$C$21="No"),0,IF(ISNUMBER(H201),H201,IF($T201="Weights",IF(ISNUMBER(Setup!$D$21),Setup!$D$21,0),IF($T201="Nights",IF(ISNUMBER(Setup!$E$21),Setup!$E$21,0),IF(OR($T201="Exact amounts",$T201="Custom units"),0,1))))))</f>
        <v>0</v>
      </c>
      <c r="V201" s="29">
        <f>IF($T201="",0,IF(OR(Setup!$B$22="",Setup!$C$22="No"),0,IF(ISNUMBER(I201),I201,IF($T201="Weights",IF(ISNUMBER(Setup!$D$22),Setup!$D$22,0),IF($T201="Nights",IF(ISNUMBER(Setup!$E$22),Setup!$E$22,0),IF(OR($T201="Exact amounts",$T201="Custom units"),0,1))))))</f>
        <v>0</v>
      </c>
      <c r="W201" s="29">
        <f>IF($T201="",0,IF(OR(Setup!$B$23="",Setup!$C$23="No"),0,IF(ISNUMBER(J201),J201,IF($T201="Weights",IF(ISNUMBER(Setup!$D$23),Setup!$D$23,0),IF($T201="Nights",IF(ISNUMBER(Setup!$E$23),Setup!$E$23,0),IF(OR($T201="Exact amounts",$T201="Custom units"),0,1))))))</f>
        <v>0</v>
      </c>
      <c r="X201" s="29">
        <f>IF($T201="",0,IF(OR(Setup!$B$24="",Setup!$C$24="No"),0,IF(ISNUMBER(K201),K201,IF($T201="Weights",IF(ISNUMBER(Setup!$D$24),Setup!$D$24,0),IF($T201="Nights",IF(ISNUMBER(Setup!$E$24),Setup!$E$24,0),IF(OR($T201="Exact amounts",$T201="Custom units"),0,1))))))</f>
        <v>0</v>
      </c>
      <c r="Y201" s="29">
        <f>IF($T201="",0,IF(OR(Setup!$B$25="",Setup!$C$25="No"),0,IF(ISNUMBER(L201),L201,IF($T201="Weights",IF(ISNUMBER(Setup!$D$25),Setup!$D$25,0),IF($T201="Nights",IF(ISNUMBER(Setup!$E$25),Setup!$E$25,0),IF(OR($T201="Exact amounts",$T201="Custom units"),0,1))))))</f>
        <v>0</v>
      </c>
      <c r="Z201" s="29">
        <f>IF($T201="",0,IF(OR(Setup!$B$26="",Setup!$C$26="No"),0,IF(ISNUMBER(M201),M201,IF($T201="Weights",IF(ISNUMBER(Setup!$D$26),Setup!$D$26,0),IF($T201="Nights",IF(ISNUMBER(Setup!$E$26),Setup!$E$26,0),IF(OR($T201="Exact amounts",$T201="Custom units"),0,1))))))</f>
        <v>0</v>
      </c>
      <c r="AA201" s="29">
        <f>IF($T201="",0,IF(OR(Setup!$B$27="",Setup!$C$27="No"),0,IF(ISNUMBER(N201),N201,IF($T201="Weights",IF(ISNUMBER(Setup!$D$27),Setup!$D$27,0),IF($T201="Nights",IF(ISNUMBER(Setup!$E$27),Setup!$E$27,0),IF(OR($T201="Exact amounts",$T201="Custom units"),0,1))))))</f>
        <v>0</v>
      </c>
      <c r="AB201" s="29">
        <f>IF($T201="",0,IF(OR(Setup!$B$28="",Setup!$C$28="No"),0,IF(ISNUMBER(O201),O201,IF($T201="Weights",IF(ISNUMBER(Setup!$D$28),Setup!$D$28,0),IF($T201="Nights",IF(ISNUMBER(Setup!$E$28),Setup!$E$28,0),IF(OR($T201="Exact amounts",$T201="Custom units"),0,1))))))</f>
        <v>0</v>
      </c>
      <c r="AC201" s="29">
        <f>IF($T201="",0,IF(OR(Setup!$B$29="",Setup!$C$29="No"),0,IF(ISNUMBER(P201),P201,IF($T201="Weights",IF(ISNUMBER(Setup!$D$29),Setup!$D$29,0),IF($T201="Nights",IF(ISNUMBER(Setup!$E$29),Setup!$E$29,0),IF(OR($T201="Exact amounts",$T201="Custom units"),0,1))))))</f>
        <v>0</v>
      </c>
      <c r="AD201" s="29">
        <f>IF($T201="",0,IF(OR(Setup!$B$30="",Setup!$C$30="No"),0,IF(ISNUMBER(Q201),Q201,IF($T201="Weights",IF(ISNUMBER(Setup!$D$30),Setup!$D$30,0),IF($T201="Nights",IF(ISNUMBER(Setup!$E$30),Setup!$E$30,0),IF(OR($T201="Exact amounts",$T201="Custom units"),0,1))))))</f>
        <v>0</v>
      </c>
      <c r="AE201" s="29">
        <f t="shared" si="13"/>
        <v>0</v>
      </c>
      <c r="AF201" s="30">
        <f t="shared" si="14"/>
        <v>1</v>
      </c>
      <c r="AG201" s="29">
        <f t="shared" si="15"/>
        <v>0</v>
      </c>
    </row>
    <row r="202" spans="1:33" ht="16" x14ac:dyDescent="0.2">
      <c r="A202" s="22" t="str">
        <f t="shared" si="12"/>
        <v>—</v>
      </c>
      <c r="B202" s="23"/>
      <c r="C202" s="16"/>
      <c r="D202" s="16"/>
      <c r="E202" s="24"/>
      <c r="F202" s="16"/>
      <c r="G202" s="16"/>
      <c r="H202" s="25"/>
      <c r="I202" s="25"/>
      <c r="J202" s="25"/>
      <c r="K202" s="25"/>
      <c r="L202" s="25"/>
      <c r="M202" s="25"/>
      <c r="N202" s="25"/>
      <c r="O202" s="25"/>
      <c r="P202" s="25"/>
      <c r="Q202" s="25"/>
      <c r="R202" s="26" t="str">
        <f>IF($T202="","",IF($D202="","Who paid?",IF(SUMPRODUCT((Setup!$B$21:$B$30=$D202)*1)=0,"Payer is not in the member list on Setup",IF($E202="","Amount missing — type the number in column E",IF(NOT(ISNUMBER($E202)),"Amount must be a plain number — no currency symbol, no text",IF(AND($T202="Custom units",$AE202&lt;=0),"Custom units: nobody has units on this row — type a number for at least one person",IF($AE202&lt;=0,"Nobody shares this row — check the person columns H–Q, and the Weight / Nights columns on Setup",IF(AND($T202="Exact amounts",ABS($AE202-$AG202)&gt;0.01),"Exact amounts do not add up to the amount","OK"))))))))</f>
        <v/>
      </c>
      <c r="S202" s="27" t="str">
        <f>IFERROR(IF(OR($T202="",$C$4=""),"—",ROUND($AG202*INDEX($U202:$AD202,1,MATCH($C$4,Setup!$B$21:$B$30,0))/$AF202,2)),"—")</f>
        <v>—</v>
      </c>
      <c r="T202" s="28" t="str">
        <f>IF(AND($C202="",$D202="",NOT(ISNUMBER($E202))),"",IF($G202="",IF(Setup!$C$17="","Equal",Setup!$C$17),$G202))</f>
        <v/>
      </c>
      <c r="U202" s="29">
        <f>IF($T202="",0,IF(OR(Setup!$B$21="",Setup!$C$21="No"),0,IF(ISNUMBER(H202),H202,IF($T202="Weights",IF(ISNUMBER(Setup!$D$21),Setup!$D$21,0),IF($T202="Nights",IF(ISNUMBER(Setup!$E$21),Setup!$E$21,0),IF(OR($T202="Exact amounts",$T202="Custom units"),0,1))))))</f>
        <v>0</v>
      </c>
      <c r="V202" s="29">
        <f>IF($T202="",0,IF(OR(Setup!$B$22="",Setup!$C$22="No"),0,IF(ISNUMBER(I202),I202,IF($T202="Weights",IF(ISNUMBER(Setup!$D$22),Setup!$D$22,0),IF($T202="Nights",IF(ISNUMBER(Setup!$E$22),Setup!$E$22,0),IF(OR($T202="Exact amounts",$T202="Custom units"),0,1))))))</f>
        <v>0</v>
      </c>
      <c r="W202" s="29">
        <f>IF($T202="",0,IF(OR(Setup!$B$23="",Setup!$C$23="No"),0,IF(ISNUMBER(J202),J202,IF($T202="Weights",IF(ISNUMBER(Setup!$D$23),Setup!$D$23,0),IF($T202="Nights",IF(ISNUMBER(Setup!$E$23),Setup!$E$23,0),IF(OR($T202="Exact amounts",$T202="Custom units"),0,1))))))</f>
        <v>0</v>
      </c>
      <c r="X202" s="29">
        <f>IF($T202="",0,IF(OR(Setup!$B$24="",Setup!$C$24="No"),0,IF(ISNUMBER(K202),K202,IF($T202="Weights",IF(ISNUMBER(Setup!$D$24),Setup!$D$24,0),IF($T202="Nights",IF(ISNUMBER(Setup!$E$24),Setup!$E$24,0),IF(OR($T202="Exact amounts",$T202="Custom units"),0,1))))))</f>
        <v>0</v>
      </c>
      <c r="Y202" s="29">
        <f>IF($T202="",0,IF(OR(Setup!$B$25="",Setup!$C$25="No"),0,IF(ISNUMBER(L202),L202,IF($T202="Weights",IF(ISNUMBER(Setup!$D$25),Setup!$D$25,0),IF($T202="Nights",IF(ISNUMBER(Setup!$E$25),Setup!$E$25,0),IF(OR($T202="Exact amounts",$T202="Custom units"),0,1))))))</f>
        <v>0</v>
      </c>
      <c r="Z202" s="29">
        <f>IF($T202="",0,IF(OR(Setup!$B$26="",Setup!$C$26="No"),0,IF(ISNUMBER(M202),M202,IF($T202="Weights",IF(ISNUMBER(Setup!$D$26),Setup!$D$26,0),IF($T202="Nights",IF(ISNUMBER(Setup!$E$26),Setup!$E$26,0),IF(OR($T202="Exact amounts",$T202="Custom units"),0,1))))))</f>
        <v>0</v>
      </c>
      <c r="AA202" s="29">
        <f>IF($T202="",0,IF(OR(Setup!$B$27="",Setup!$C$27="No"),0,IF(ISNUMBER(N202),N202,IF($T202="Weights",IF(ISNUMBER(Setup!$D$27),Setup!$D$27,0),IF($T202="Nights",IF(ISNUMBER(Setup!$E$27),Setup!$E$27,0),IF(OR($T202="Exact amounts",$T202="Custom units"),0,1))))))</f>
        <v>0</v>
      </c>
      <c r="AB202" s="29">
        <f>IF($T202="",0,IF(OR(Setup!$B$28="",Setup!$C$28="No"),0,IF(ISNUMBER(O202),O202,IF($T202="Weights",IF(ISNUMBER(Setup!$D$28),Setup!$D$28,0),IF($T202="Nights",IF(ISNUMBER(Setup!$E$28),Setup!$E$28,0),IF(OR($T202="Exact amounts",$T202="Custom units"),0,1))))))</f>
        <v>0</v>
      </c>
      <c r="AC202" s="29">
        <f>IF($T202="",0,IF(OR(Setup!$B$29="",Setup!$C$29="No"),0,IF(ISNUMBER(P202),P202,IF($T202="Weights",IF(ISNUMBER(Setup!$D$29),Setup!$D$29,0),IF($T202="Nights",IF(ISNUMBER(Setup!$E$29),Setup!$E$29,0),IF(OR($T202="Exact amounts",$T202="Custom units"),0,1))))))</f>
        <v>0</v>
      </c>
      <c r="AD202" s="29">
        <f>IF($T202="",0,IF(OR(Setup!$B$30="",Setup!$C$30="No"),0,IF(ISNUMBER(Q202),Q202,IF($T202="Weights",IF(ISNUMBER(Setup!$D$30),Setup!$D$30,0),IF($T202="Nights",IF(ISNUMBER(Setup!$E$30),Setup!$E$30,0),IF(OR($T202="Exact amounts",$T202="Custom units"),0,1))))))</f>
        <v>0</v>
      </c>
      <c r="AE202" s="29">
        <f t="shared" si="13"/>
        <v>0</v>
      </c>
      <c r="AF202" s="30">
        <f t="shared" si="14"/>
        <v>1</v>
      </c>
      <c r="AG202" s="29">
        <f t="shared" si="15"/>
        <v>0</v>
      </c>
    </row>
    <row r="203" spans="1:33" ht="16" x14ac:dyDescent="0.2">
      <c r="A203" s="22" t="str">
        <f t="shared" si="12"/>
        <v>—</v>
      </c>
      <c r="B203" s="31"/>
      <c r="C203" s="11"/>
      <c r="D203" s="11"/>
      <c r="E203" s="32"/>
      <c r="F203" s="11"/>
      <c r="G203" s="11"/>
      <c r="H203" s="33"/>
      <c r="I203" s="33"/>
      <c r="J203" s="33"/>
      <c r="K203" s="33"/>
      <c r="L203" s="33"/>
      <c r="M203" s="33"/>
      <c r="N203" s="33"/>
      <c r="O203" s="33"/>
      <c r="P203" s="33"/>
      <c r="Q203" s="33"/>
      <c r="R203" s="26" t="str">
        <f>IF($T203="","",IF($D203="","Who paid?",IF(SUMPRODUCT((Setup!$B$21:$B$30=$D203)*1)=0,"Payer is not in the member list on Setup",IF($E203="","Amount missing — type the number in column E",IF(NOT(ISNUMBER($E203)),"Amount must be a plain number — no currency symbol, no text",IF(AND($T203="Custom units",$AE203&lt;=0),"Custom units: nobody has units on this row — type a number for at least one person",IF($AE203&lt;=0,"Nobody shares this row — check the person columns H–Q, and the Weight / Nights columns on Setup",IF(AND($T203="Exact amounts",ABS($AE203-$AG203)&gt;0.01),"Exact amounts do not add up to the amount","OK"))))))))</f>
        <v/>
      </c>
      <c r="S203" s="27" t="str">
        <f>IFERROR(IF(OR($T203="",$C$4=""),"—",ROUND($AG203*INDEX($U203:$AD203,1,MATCH($C$4,Setup!$B$21:$B$30,0))/$AF203,2)),"—")</f>
        <v>—</v>
      </c>
      <c r="T203" s="28" t="str">
        <f>IF(AND($C203="",$D203="",NOT(ISNUMBER($E203))),"",IF($G203="",IF(Setup!$C$17="","Equal",Setup!$C$17),$G203))</f>
        <v/>
      </c>
      <c r="U203" s="29">
        <f>IF($T203="",0,IF(OR(Setup!$B$21="",Setup!$C$21="No"),0,IF(ISNUMBER(H203),H203,IF($T203="Weights",IF(ISNUMBER(Setup!$D$21),Setup!$D$21,0),IF($T203="Nights",IF(ISNUMBER(Setup!$E$21),Setup!$E$21,0),IF(OR($T203="Exact amounts",$T203="Custom units"),0,1))))))</f>
        <v>0</v>
      </c>
      <c r="V203" s="29">
        <f>IF($T203="",0,IF(OR(Setup!$B$22="",Setup!$C$22="No"),0,IF(ISNUMBER(I203),I203,IF($T203="Weights",IF(ISNUMBER(Setup!$D$22),Setup!$D$22,0),IF($T203="Nights",IF(ISNUMBER(Setup!$E$22),Setup!$E$22,0),IF(OR($T203="Exact amounts",$T203="Custom units"),0,1))))))</f>
        <v>0</v>
      </c>
      <c r="W203" s="29">
        <f>IF($T203="",0,IF(OR(Setup!$B$23="",Setup!$C$23="No"),0,IF(ISNUMBER(J203),J203,IF($T203="Weights",IF(ISNUMBER(Setup!$D$23),Setup!$D$23,0),IF($T203="Nights",IF(ISNUMBER(Setup!$E$23),Setup!$E$23,0),IF(OR($T203="Exact amounts",$T203="Custom units"),0,1))))))</f>
        <v>0</v>
      </c>
      <c r="X203" s="29">
        <f>IF($T203="",0,IF(OR(Setup!$B$24="",Setup!$C$24="No"),0,IF(ISNUMBER(K203),K203,IF($T203="Weights",IF(ISNUMBER(Setup!$D$24),Setup!$D$24,0),IF($T203="Nights",IF(ISNUMBER(Setup!$E$24),Setup!$E$24,0),IF(OR($T203="Exact amounts",$T203="Custom units"),0,1))))))</f>
        <v>0</v>
      </c>
      <c r="Y203" s="29">
        <f>IF($T203="",0,IF(OR(Setup!$B$25="",Setup!$C$25="No"),0,IF(ISNUMBER(L203),L203,IF($T203="Weights",IF(ISNUMBER(Setup!$D$25),Setup!$D$25,0),IF($T203="Nights",IF(ISNUMBER(Setup!$E$25),Setup!$E$25,0),IF(OR($T203="Exact amounts",$T203="Custom units"),0,1))))))</f>
        <v>0</v>
      </c>
      <c r="Z203" s="29">
        <f>IF($T203="",0,IF(OR(Setup!$B$26="",Setup!$C$26="No"),0,IF(ISNUMBER(M203),M203,IF($T203="Weights",IF(ISNUMBER(Setup!$D$26),Setup!$D$26,0),IF($T203="Nights",IF(ISNUMBER(Setup!$E$26),Setup!$E$26,0),IF(OR($T203="Exact amounts",$T203="Custom units"),0,1))))))</f>
        <v>0</v>
      </c>
      <c r="AA203" s="29">
        <f>IF($T203="",0,IF(OR(Setup!$B$27="",Setup!$C$27="No"),0,IF(ISNUMBER(N203),N203,IF($T203="Weights",IF(ISNUMBER(Setup!$D$27),Setup!$D$27,0),IF($T203="Nights",IF(ISNUMBER(Setup!$E$27),Setup!$E$27,0),IF(OR($T203="Exact amounts",$T203="Custom units"),0,1))))))</f>
        <v>0</v>
      </c>
      <c r="AB203" s="29">
        <f>IF($T203="",0,IF(OR(Setup!$B$28="",Setup!$C$28="No"),0,IF(ISNUMBER(O203),O203,IF($T203="Weights",IF(ISNUMBER(Setup!$D$28),Setup!$D$28,0),IF($T203="Nights",IF(ISNUMBER(Setup!$E$28),Setup!$E$28,0),IF(OR($T203="Exact amounts",$T203="Custom units"),0,1))))))</f>
        <v>0</v>
      </c>
      <c r="AC203" s="29">
        <f>IF($T203="",0,IF(OR(Setup!$B$29="",Setup!$C$29="No"),0,IF(ISNUMBER(P203),P203,IF($T203="Weights",IF(ISNUMBER(Setup!$D$29),Setup!$D$29,0),IF($T203="Nights",IF(ISNUMBER(Setup!$E$29),Setup!$E$29,0),IF(OR($T203="Exact amounts",$T203="Custom units"),0,1))))))</f>
        <v>0</v>
      </c>
      <c r="AD203" s="29">
        <f>IF($T203="",0,IF(OR(Setup!$B$30="",Setup!$C$30="No"),0,IF(ISNUMBER(Q203),Q203,IF($T203="Weights",IF(ISNUMBER(Setup!$D$30),Setup!$D$30,0),IF($T203="Nights",IF(ISNUMBER(Setup!$E$30),Setup!$E$30,0),IF(OR($T203="Exact amounts",$T203="Custom units"),0,1))))))</f>
        <v>0</v>
      </c>
      <c r="AE203" s="29">
        <f t="shared" si="13"/>
        <v>0</v>
      </c>
      <c r="AF203" s="30">
        <f t="shared" si="14"/>
        <v>1</v>
      </c>
      <c r="AG203" s="29">
        <f t="shared" si="15"/>
        <v>0</v>
      </c>
    </row>
    <row r="204" spans="1:33" ht="16" x14ac:dyDescent="0.2">
      <c r="A204" s="22" t="str">
        <f t="shared" si="12"/>
        <v>—</v>
      </c>
      <c r="B204" s="23"/>
      <c r="C204" s="16"/>
      <c r="D204" s="16"/>
      <c r="E204" s="24"/>
      <c r="F204" s="16"/>
      <c r="G204" s="16"/>
      <c r="H204" s="25"/>
      <c r="I204" s="25"/>
      <c r="J204" s="25"/>
      <c r="K204" s="25"/>
      <c r="L204" s="25"/>
      <c r="M204" s="25"/>
      <c r="N204" s="25"/>
      <c r="O204" s="25"/>
      <c r="P204" s="25"/>
      <c r="Q204" s="25"/>
      <c r="R204" s="26" t="str">
        <f>IF($T204="","",IF($D204="","Who paid?",IF(SUMPRODUCT((Setup!$B$21:$B$30=$D204)*1)=0,"Payer is not in the member list on Setup",IF($E204="","Amount missing — type the number in column E",IF(NOT(ISNUMBER($E204)),"Amount must be a plain number — no currency symbol, no text",IF(AND($T204="Custom units",$AE204&lt;=0),"Custom units: nobody has units on this row — type a number for at least one person",IF($AE204&lt;=0,"Nobody shares this row — check the person columns H–Q, and the Weight / Nights columns on Setup",IF(AND($T204="Exact amounts",ABS($AE204-$AG204)&gt;0.01),"Exact amounts do not add up to the amount","OK"))))))))</f>
        <v/>
      </c>
      <c r="S204" s="27" t="str">
        <f>IFERROR(IF(OR($T204="",$C$4=""),"—",ROUND($AG204*INDEX($U204:$AD204,1,MATCH($C$4,Setup!$B$21:$B$30,0))/$AF204,2)),"—")</f>
        <v>—</v>
      </c>
      <c r="T204" s="28" t="str">
        <f>IF(AND($C204="",$D204="",NOT(ISNUMBER($E204))),"",IF($G204="",IF(Setup!$C$17="","Equal",Setup!$C$17),$G204))</f>
        <v/>
      </c>
      <c r="U204" s="29">
        <f>IF($T204="",0,IF(OR(Setup!$B$21="",Setup!$C$21="No"),0,IF(ISNUMBER(H204),H204,IF($T204="Weights",IF(ISNUMBER(Setup!$D$21),Setup!$D$21,0),IF($T204="Nights",IF(ISNUMBER(Setup!$E$21),Setup!$E$21,0),IF(OR($T204="Exact amounts",$T204="Custom units"),0,1))))))</f>
        <v>0</v>
      </c>
      <c r="V204" s="29">
        <f>IF($T204="",0,IF(OR(Setup!$B$22="",Setup!$C$22="No"),0,IF(ISNUMBER(I204),I204,IF($T204="Weights",IF(ISNUMBER(Setup!$D$22),Setup!$D$22,0),IF($T204="Nights",IF(ISNUMBER(Setup!$E$22),Setup!$E$22,0),IF(OR($T204="Exact amounts",$T204="Custom units"),0,1))))))</f>
        <v>0</v>
      </c>
      <c r="W204" s="29">
        <f>IF($T204="",0,IF(OR(Setup!$B$23="",Setup!$C$23="No"),0,IF(ISNUMBER(J204),J204,IF($T204="Weights",IF(ISNUMBER(Setup!$D$23),Setup!$D$23,0),IF($T204="Nights",IF(ISNUMBER(Setup!$E$23),Setup!$E$23,0),IF(OR($T204="Exact amounts",$T204="Custom units"),0,1))))))</f>
        <v>0</v>
      </c>
      <c r="X204" s="29">
        <f>IF($T204="",0,IF(OR(Setup!$B$24="",Setup!$C$24="No"),0,IF(ISNUMBER(K204),K204,IF($T204="Weights",IF(ISNUMBER(Setup!$D$24),Setup!$D$24,0),IF($T204="Nights",IF(ISNUMBER(Setup!$E$24),Setup!$E$24,0),IF(OR($T204="Exact amounts",$T204="Custom units"),0,1))))))</f>
        <v>0</v>
      </c>
      <c r="Y204" s="29">
        <f>IF($T204="",0,IF(OR(Setup!$B$25="",Setup!$C$25="No"),0,IF(ISNUMBER(L204),L204,IF($T204="Weights",IF(ISNUMBER(Setup!$D$25),Setup!$D$25,0),IF($T204="Nights",IF(ISNUMBER(Setup!$E$25),Setup!$E$25,0),IF(OR($T204="Exact amounts",$T204="Custom units"),0,1))))))</f>
        <v>0</v>
      </c>
      <c r="Z204" s="29">
        <f>IF($T204="",0,IF(OR(Setup!$B$26="",Setup!$C$26="No"),0,IF(ISNUMBER(M204),M204,IF($T204="Weights",IF(ISNUMBER(Setup!$D$26),Setup!$D$26,0),IF($T204="Nights",IF(ISNUMBER(Setup!$E$26),Setup!$E$26,0),IF(OR($T204="Exact amounts",$T204="Custom units"),0,1))))))</f>
        <v>0</v>
      </c>
      <c r="AA204" s="29">
        <f>IF($T204="",0,IF(OR(Setup!$B$27="",Setup!$C$27="No"),0,IF(ISNUMBER(N204),N204,IF($T204="Weights",IF(ISNUMBER(Setup!$D$27),Setup!$D$27,0),IF($T204="Nights",IF(ISNUMBER(Setup!$E$27),Setup!$E$27,0),IF(OR($T204="Exact amounts",$T204="Custom units"),0,1))))))</f>
        <v>0</v>
      </c>
      <c r="AB204" s="29">
        <f>IF($T204="",0,IF(OR(Setup!$B$28="",Setup!$C$28="No"),0,IF(ISNUMBER(O204),O204,IF($T204="Weights",IF(ISNUMBER(Setup!$D$28),Setup!$D$28,0),IF($T204="Nights",IF(ISNUMBER(Setup!$E$28),Setup!$E$28,0),IF(OR($T204="Exact amounts",$T204="Custom units"),0,1))))))</f>
        <v>0</v>
      </c>
      <c r="AC204" s="29">
        <f>IF($T204="",0,IF(OR(Setup!$B$29="",Setup!$C$29="No"),0,IF(ISNUMBER(P204),P204,IF($T204="Weights",IF(ISNUMBER(Setup!$D$29),Setup!$D$29,0),IF($T204="Nights",IF(ISNUMBER(Setup!$E$29),Setup!$E$29,0),IF(OR($T204="Exact amounts",$T204="Custom units"),0,1))))))</f>
        <v>0</v>
      </c>
      <c r="AD204" s="29">
        <f>IF($T204="",0,IF(OR(Setup!$B$30="",Setup!$C$30="No"),0,IF(ISNUMBER(Q204),Q204,IF($T204="Weights",IF(ISNUMBER(Setup!$D$30),Setup!$D$30,0),IF($T204="Nights",IF(ISNUMBER(Setup!$E$30),Setup!$E$30,0),IF(OR($T204="Exact amounts",$T204="Custom units"),0,1))))))</f>
        <v>0</v>
      </c>
      <c r="AE204" s="29">
        <f t="shared" si="13"/>
        <v>0</v>
      </c>
      <c r="AF204" s="30">
        <f t="shared" si="14"/>
        <v>1</v>
      </c>
      <c r="AG204" s="29">
        <f t="shared" si="15"/>
        <v>0</v>
      </c>
    </row>
    <row r="205" spans="1:33" ht="16" x14ac:dyDescent="0.2">
      <c r="A205" s="22" t="str">
        <f t="shared" si="12"/>
        <v>—</v>
      </c>
      <c r="B205" s="31"/>
      <c r="C205" s="11"/>
      <c r="D205" s="11"/>
      <c r="E205" s="32"/>
      <c r="F205" s="11"/>
      <c r="G205" s="11"/>
      <c r="H205" s="33"/>
      <c r="I205" s="33"/>
      <c r="J205" s="33"/>
      <c r="K205" s="33"/>
      <c r="L205" s="33"/>
      <c r="M205" s="33"/>
      <c r="N205" s="33"/>
      <c r="O205" s="33"/>
      <c r="P205" s="33"/>
      <c r="Q205" s="33"/>
      <c r="R205" s="26" t="str">
        <f>IF($T205="","",IF($D205="","Who paid?",IF(SUMPRODUCT((Setup!$B$21:$B$30=$D205)*1)=0,"Payer is not in the member list on Setup",IF($E205="","Amount missing — type the number in column E",IF(NOT(ISNUMBER($E205)),"Amount must be a plain number — no currency symbol, no text",IF(AND($T205="Custom units",$AE205&lt;=0),"Custom units: nobody has units on this row — type a number for at least one person",IF($AE205&lt;=0,"Nobody shares this row — check the person columns H–Q, and the Weight / Nights columns on Setup",IF(AND($T205="Exact amounts",ABS($AE205-$AG205)&gt;0.01),"Exact amounts do not add up to the amount","OK"))))))))</f>
        <v/>
      </c>
      <c r="S205" s="27" t="str">
        <f>IFERROR(IF(OR($T205="",$C$4=""),"—",ROUND($AG205*INDEX($U205:$AD205,1,MATCH($C$4,Setup!$B$21:$B$30,0))/$AF205,2)),"—")</f>
        <v>—</v>
      </c>
      <c r="T205" s="28" t="str">
        <f>IF(AND($C205="",$D205="",NOT(ISNUMBER($E205))),"",IF($G205="",IF(Setup!$C$17="","Equal",Setup!$C$17),$G205))</f>
        <v/>
      </c>
      <c r="U205" s="29">
        <f>IF($T205="",0,IF(OR(Setup!$B$21="",Setup!$C$21="No"),0,IF(ISNUMBER(H205),H205,IF($T205="Weights",IF(ISNUMBER(Setup!$D$21),Setup!$D$21,0),IF($T205="Nights",IF(ISNUMBER(Setup!$E$21),Setup!$E$21,0),IF(OR($T205="Exact amounts",$T205="Custom units"),0,1))))))</f>
        <v>0</v>
      </c>
      <c r="V205" s="29">
        <f>IF($T205="",0,IF(OR(Setup!$B$22="",Setup!$C$22="No"),0,IF(ISNUMBER(I205),I205,IF($T205="Weights",IF(ISNUMBER(Setup!$D$22),Setup!$D$22,0),IF($T205="Nights",IF(ISNUMBER(Setup!$E$22),Setup!$E$22,0),IF(OR($T205="Exact amounts",$T205="Custom units"),0,1))))))</f>
        <v>0</v>
      </c>
      <c r="W205" s="29">
        <f>IF($T205="",0,IF(OR(Setup!$B$23="",Setup!$C$23="No"),0,IF(ISNUMBER(J205),J205,IF($T205="Weights",IF(ISNUMBER(Setup!$D$23),Setup!$D$23,0),IF($T205="Nights",IF(ISNUMBER(Setup!$E$23),Setup!$E$23,0),IF(OR($T205="Exact amounts",$T205="Custom units"),0,1))))))</f>
        <v>0</v>
      </c>
      <c r="X205" s="29">
        <f>IF($T205="",0,IF(OR(Setup!$B$24="",Setup!$C$24="No"),0,IF(ISNUMBER(K205),K205,IF($T205="Weights",IF(ISNUMBER(Setup!$D$24),Setup!$D$24,0),IF($T205="Nights",IF(ISNUMBER(Setup!$E$24),Setup!$E$24,0),IF(OR($T205="Exact amounts",$T205="Custom units"),0,1))))))</f>
        <v>0</v>
      </c>
      <c r="Y205" s="29">
        <f>IF($T205="",0,IF(OR(Setup!$B$25="",Setup!$C$25="No"),0,IF(ISNUMBER(L205),L205,IF($T205="Weights",IF(ISNUMBER(Setup!$D$25),Setup!$D$25,0),IF($T205="Nights",IF(ISNUMBER(Setup!$E$25),Setup!$E$25,0),IF(OR($T205="Exact amounts",$T205="Custom units"),0,1))))))</f>
        <v>0</v>
      </c>
      <c r="Z205" s="29">
        <f>IF($T205="",0,IF(OR(Setup!$B$26="",Setup!$C$26="No"),0,IF(ISNUMBER(M205),M205,IF($T205="Weights",IF(ISNUMBER(Setup!$D$26),Setup!$D$26,0),IF($T205="Nights",IF(ISNUMBER(Setup!$E$26),Setup!$E$26,0),IF(OR($T205="Exact amounts",$T205="Custom units"),0,1))))))</f>
        <v>0</v>
      </c>
      <c r="AA205" s="29">
        <f>IF($T205="",0,IF(OR(Setup!$B$27="",Setup!$C$27="No"),0,IF(ISNUMBER(N205),N205,IF($T205="Weights",IF(ISNUMBER(Setup!$D$27),Setup!$D$27,0),IF($T205="Nights",IF(ISNUMBER(Setup!$E$27),Setup!$E$27,0),IF(OR($T205="Exact amounts",$T205="Custom units"),0,1))))))</f>
        <v>0</v>
      </c>
      <c r="AB205" s="29">
        <f>IF($T205="",0,IF(OR(Setup!$B$28="",Setup!$C$28="No"),0,IF(ISNUMBER(O205),O205,IF($T205="Weights",IF(ISNUMBER(Setup!$D$28),Setup!$D$28,0),IF($T205="Nights",IF(ISNUMBER(Setup!$E$28),Setup!$E$28,0),IF(OR($T205="Exact amounts",$T205="Custom units"),0,1))))))</f>
        <v>0</v>
      </c>
      <c r="AC205" s="29">
        <f>IF($T205="",0,IF(OR(Setup!$B$29="",Setup!$C$29="No"),0,IF(ISNUMBER(P205),P205,IF($T205="Weights",IF(ISNUMBER(Setup!$D$29),Setup!$D$29,0),IF($T205="Nights",IF(ISNUMBER(Setup!$E$29),Setup!$E$29,0),IF(OR($T205="Exact amounts",$T205="Custom units"),0,1))))))</f>
        <v>0</v>
      </c>
      <c r="AD205" s="29">
        <f>IF($T205="",0,IF(OR(Setup!$B$30="",Setup!$C$30="No"),0,IF(ISNUMBER(Q205),Q205,IF($T205="Weights",IF(ISNUMBER(Setup!$D$30),Setup!$D$30,0),IF($T205="Nights",IF(ISNUMBER(Setup!$E$30),Setup!$E$30,0),IF(OR($T205="Exact amounts",$T205="Custom units"),0,1))))))</f>
        <v>0</v>
      </c>
      <c r="AE205" s="29">
        <f t="shared" si="13"/>
        <v>0</v>
      </c>
      <c r="AF205" s="30">
        <f t="shared" si="14"/>
        <v>1</v>
      </c>
      <c r="AG205" s="29">
        <f t="shared" si="15"/>
        <v>0</v>
      </c>
    </row>
    <row r="206" spans="1:33" ht="16" x14ac:dyDescent="0.2">
      <c r="A206" s="22" t="str">
        <f t="shared" si="12"/>
        <v>—</v>
      </c>
      <c r="B206" s="23"/>
      <c r="C206" s="16"/>
      <c r="D206" s="16"/>
      <c r="E206" s="24"/>
      <c r="F206" s="16"/>
      <c r="G206" s="16"/>
      <c r="H206" s="25"/>
      <c r="I206" s="25"/>
      <c r="J206" s="25"/>
      <c r="K206" s="25"/>
      <c r="L206" s="25"/>
      <c r="M206" s="25"/>
      <c r="N206" s="25"/>
      <c r="O206" s="25"/>
      <c r="P206" s="25"/>
      <c r="Q206" s="25"/>
      <c r="R206" s="26" t="str">
        <f>IF($T206="","",IF($D206="","Who paid?",IF(SUMPRODUCT((Setup!$B$21:$B$30=$D206)*1)=0,"Payer is not in the member list on Setup",IF($E206="","Amount missing — type the number in column E",IF(NOT(ISNUMBER($E206)),"Amount must be a plain number — no currency symbol, no text",IF(AND($T206="Custom units",$AE206&lt;=0),"Custom units: nobody has units on this row — type a number for at least one person",IF($AE206&lt;=0,"Nobody shares this row — check the person columns H–Q, and the Weight / Nights columns on Setup",IF(AND($T206="Exact amounts",ABS($AE206-$AG206)&gt;0.01),"Exact amounts do not add up to the amount","OK"))))))))</f>
        <v/>
      </c>
      <c r="S206" s="27" t="str">
        <f>IFERROR(IF(OR($T206="",$C$4=""),"—",ROUND($AG206*INDEX($U206:$AD206,1,MATCH($C$4,Setup!$B$21:$B$30,0))/$AF206,2)),"—")</f>
        <v>—</v>
      </c>
      <c r="T206" s="28" t="str">
        <f>IF(AND($C206="",$D206="",NOT(ISNUMBER($E206))),"",IF($G206="",IF(Setup!$C$17="","Equal",Setup!$C$17),$G206))</f>
        <v/>
      </c>
      <c r="U206" s="29">
        <f>IF($T206="",0,IF(OR(Setup!$B$21="",Setup!$C$21="No"),0,IF(ISNUMBER(H206),H206,IF($T206="Weights",IF(ISNUMBER(Setup!$D$21),Setup!$D$21,0),IF($T206="Nights",IF(ISNUMBER(Setup!$E$21),Setup!$E$21,0),IF(OR($T206="Exact amounts",$T206="Custom units"),0,1))))))</f>
        <v>0</v>
      </c>
      <c r="V206" s="29">
        <f>IF($T206="",0,IF(OR(Setup!$B$22="",Setup!$C$22="No"),0,IF(ISNUMBER(I206),I206,IF($T206="Weights",IF(ISNUMBER(Setup!$D$22),Setup!$D$22,0),IF($T206="Nights",IF(ISNUMBER(Setup!$E$22),Setup!$E$22,0),IF(OR($T206="Exact amounts",$T206="Custom units"),0,1))))))</f>
        <v>0</v>
      </c>
      <c r="W206" s="29">
        <f>IF($T206="",0,IF(OR(Setup!$B$23="",Setup!$C$23="No"),0,IF(ISNUMBER(J206),J206,IF($T206="Weights",IF(ISNUMBER(Setup!$D$23),Setup!$D$23,0),IF($T206="Nights",IF(ISNUMBER(Setup!$E$23),Setup!$E$23,0),IF(OR($T206="Exact amounts",$T206="Custom units"),0,1))))))</f>
        <v>0</v>
      </c>
      <c r="X206" s="29">
        <f>IF($T206="",0,IF(OR(Setup!$B$24="",Setup!$C$24="No"),0,IF(ISNUMBER(K206),K206,IF($T206="Weights",IF(ISNUMBER(Setup!$D$24),Setup!$D$24,0),IF($T206="Nights",IF(ISNUMBER(Setup!$E$24),Setup!$E$24,0),IF(OR($T206="Exact amounts",$T206="Custom units"),0,1))))))</f>
        <v>0</v>
      </c>
      <c r="Y206" s="29">
        <f>IF($T206="",0,IF(OR(Setup!$B$25="",Setup!$C$25="No"),0,IF(ISNUMBER(L206),L206,IF($T206="Weights",IF(ISNUMBER(Setup!$D$25),Setup!$D$25,0),IF($T206="Nights",IF(ISNUMBER(Setup!$E$25),Setup!$E$25,0),IF(OR($T206="Exact amounts",$T206="Custom units"),0,1))))))</f>
        <v>0</v>
      </c>
      <c r="Z206" s="29">
        <f>IF($T206="",0,IF(OR(Setup!$B$26="",Setup!$C$26="No"),0,IF(ISNUMBER(M206),M206,IF($T206="Weights",IF(ISNUMBER(Setup!$D$26),Setup!$D$26,0),IF($T206="Nights",IF(ISNUMBER(Setup!$E$26),Setup!$E$26,0),IF(OR($T206="Exact amounts",$T206="Custom units"),0,1))))))</f>
        <v>0</v>
      </c>
      <c r="AA206" s="29">
        <f>IF($T206="",0,IF(OR(Setup!$B$27="",Setup!$C$27="No"),0,IF(ISNUMBER(N206),N206,IF($T206="Weights",IF(ISNUMBER(Setup!$D$27),Setup!$D$27,0),IF($T206="Nights",IF(ISNUMBER(Setup!$E$27),Setup!$E$27,0),IF(OR($T206="Exact amounts",$T206="Custom units"),0,1))))))</f>
        <v>0</v>
      </c>
      <c r="AB206" s="29">
        <f>IF($T206="",0,IF(OR(Setup!$B$28="",Setup!$C$28="No"),0,IF(ISNUMBER(O206),O206,IF($T206="Weights",IF(ISNUMBER(Setup!$D$28),Setup!$D$28,0),IF($T206="Nights",IF(ISNUMBER(Setup!$E$28),Setup!$E$28,0),IF(OR($T206="Exact amounts",$T206="Custom units"),0,1))))))</f>
        <v>0</v>
      </c>
      <c r="AC206" s="29">
        <f>IF($T206="",0,IF(OR(Setup!$B$29="",Setup!$C$29="No"),0,IF(ISNUMBER(P206),P206,IF($T206="Weights",IF(ISNUMBER(Setup!$D$29),Setup!$D$29,0),IF($T206="Nights",IF(ISNUMBER(Setup!$E$29),Setup!$E$29,0),IF(OR($T206="Exact amounts",$T206="Custom units"),0,1))))))</f>
        <v>0</v>
      </c>
      <c r="AD206" s="29">
        <f>IF($T206="",0,IF(OR(Setup!$B$30="",Setup!$C$30="No"),0,IF(ISNUMBER(Q206),Q206,IF($T206="Weights",IF(ISNUMBER(Setup!$D$30),Setup!$D$30,0),IF($T206="Nights",IF(ISNUMBER(Setup!$E$30),Setup!$E$30,0),IF(OR($T206="Exact amounts",$T206="Custom units"),0,1))))))</f>
        <v>0</v>
      </c>
      <c r="AE206" s="29">
        <f t="shared" si="13"/>
        <v>0</v>
      </c>
      <c r="AF206" s="30">
        <f t="shared" si="14"/>
        <v>1</v>
      </c>
      <c r="AG206" s="29">
        <f t="shared" si="15"/>
        <v>0</v>
      </c>
    </row>
    <row r="207" spans="1:33" ht="16" x14ac:dyDescent="0.2">
      <c r="A207" s="22" t="str">
        <f t="shared" si="12"/>
        <v>—</v>
      </c>
      <c r="B207" s="31"/>
      <c r="C207" s="11"/>
      <c r="D207" s="11"/>
      <c r="E207" s="32"/>
      <c r="F207" s="11"/>
      <c r="G207" s="11"/>
      <c r="H207" s="33"/>
      <c r="I207" s="33"/>
      <c r="J207" s="33"/>
      <c r="K207" s="33"/>
      <c r="L207" s="33"/>
      <c r="M207" s="33"/>
      <c r="N207" s="33"/>
      <c r="O207" s="33"/>
      <c r="P207" s="33"/>
      <c r="Q207" s="33"/>
      <c r="R207" s="26" t="str">
        <f>IF($T207="","",IF($D207="","Who paid?",IF(SUMPRODUCT((Setup!$B$21:$B$30=$D207)*1)=0,"Payer is not in the member list on Setup",IF($E207="","Amount missing — type the number in column E",IF(NOT(ISNUMBER($E207)),"Amount must be a plain number — no currency symbol, no text",IF(AND($T207="Custom units",$AE207&lt;=0),"Custom units: nobody has units on this row — type a number for at least one person",IF($AE207&lt;=0,"Nobody shares this row — check the person columns H–Q, and the Weight / Nights columns on Setup",IF(AND($T207="Exact amounts",ABS($AE207-$AG207)&gt;0.01),"Exact amounts do not add up to the amount","OK"))))))))</f>
        <v/>
      </c>
      <c r="S207" s="27" t="str">
        <f>IFERROR(IF(OR($T207="",$C$4=""),"—",ROUND($AG207*INDEX($U207:$AD207,1,MATCH($C$4,Setup!$B$21:$B$30,0))/$AF207,2)),"—")</f>
        <v>—</v>
      </c>
      <c r="T207" s="28" t="str">
        <f>IF(AND($C207="",$D207="",NOT(ISNUMBER($E207))),"",IF($G207="",IF(Setup!$C$17="","Equal",Setup!$C$17),$G207))</f>
        <v/>
      </c>
      <c r="U207" s="29">
        <f>IF($T207="",0,IF(OR(Setup!$B$21="",Setup!$C$21="No"),0,IF(ISNUMBER(H207),H207,IF($T207="Weights",IF(ISNUMBER(Setup!$D$21),Setup!$D$21,0),IF($T207="Nights",IF(ISNUMBER(Setup!$E$21),Setup!$E$21,0),IF(OR($T207="Exact amounts",$T207="Custom units"),0,1))))))</f>
        <v>0</v>
      </c>
      <c r="V207" s="29">
        <f>IF($T207="",0,IF(OR(Setup!$B$22="",Setup!$C$22="No"),0,IF(ISNUMBER(I207),I207,IF($T207="Weights",IF(ISNUMBER(Setup!$D$22),Setup!$D$22,0),IF($T207="Nights",IF(ISNUMBER(Setup!$E$22),Setup!$E$22,0),IF(OR($T207="Exact amounts",$T207="Custom units"),0,1))))))</f>
        <v>0</v>
      </c>
      <c r="W207" s="29">
        <f>IF($T207="",0,IF(OR(Setup!$B$23="",Setup!$C$23="No"),0,IF(ISNUMBER(J207),J207,IF($T207="Weights",IF(ISNUMBER(Setup!$D$23),Setup!$D$23,0),IF($T207="Nights",IF(ISNUMBER(Setup!$E$23),Setup!$E$23,0),IF(OR($T207="Exact amounts",$T207="Custom units"),0,1))))))</f>
        <v>0</v>
      </c>
      <c r="X207" s="29">
        <f>IF($T207="",0,IF(OR(Setup!$B$24="",Setup!$C$24="No"),0,IF(ISNUMBER(K207),K207,IF($T207="Weights",IF(ISNUMBER(Setup!$D$24),Setup!$D$24,0),IF($T207="Nights",IF(ISNUMBER(Setup!$E$24),Setup!$E$24,0),IF(OR($T207="Exact amounts",$T207="Custom units"),0,1))))))</f>
        <v>0</v>
      </c>
      <c r="Y207" s="29">
        <f>IF($T207="",0,IF(OR(Setup!$B$25="",Setup!$C$25="No"),0,IF(ISNUMBER(L207),L207,IF($T207="Weights",IF(ISNUMBER(Setup!$D$25),Setup!$D$25,0),IF($T207="Nights",IF(ISNUMBER(Setup!$E$25),Setup!$E$25,0),IF(OR($T207="Exact amounts",$T207="Custom units"),0,1))))))</f>
        <v>0</v>
      </c>
      <c r="Z207" s="29">
        <f>IF($T207="",0,IF(OR(Setup!$B$26="",Setup!$C$26="No"),0,IF(ISNUMBER(M207),M207,IF($T207="Weights",IF(ISNUMBER(Setup!$D$26),Setup!$D$26,0),IF($T207="Nights",IF(ISNUMBER(Setup!$E$26),Setup!$E$26,0),IF(OR($T207="Exact amounts",$T207="Custom units"),0,1))))))</f>
        <v>0</v>
      </c>
      <c r="AA207" s="29">
        <f>IF($T207="",0,IF(OR(Setup!$B$27="",Setup!$C$27="No"),0,IF(ISNUMBER(N207),N207,IF($T207="Weights",IF(ISNUMBER(Setup!$D$27),Setup!$D$27,0),IF($T207="Nights",IF(ISNUMBER(Setup!$E$27),Setup!$E$27,0),IF(OR($T207="Exact amounts",$T207="Custom units"),0,1))))))</f>
        <v>0</v>
      </c>
      <c r="AB207" s="29">
        <f>IF($T207="",0,IF(OR(Setup!$B$28="",Setup!$C$28="No"),0,IF(ISNUMBER(O207),O207,IF($T207="Weights",IF(ISNUMBER(Setup!$D$28),Setup!$D$28,0),IF($T207="Nights",IF(ISNUMBER(Setup!$E$28),Setup!$E$28,0),IF(OR($T207="Exact amounts",$T207="Custom units"),0,1))))))</f>
        <v>0</v>
      </c>
      <c r="AC207" s="29">
        <f>IF($T207="",0,IF(OR(Setup!$B$29="",Setup!$C$29="No"),0,IF(ISNUMBER(P207),P207,IF($T207="Weights",IF(ISNUMBER(Setup!$D$29),Setup!$D$29,0),IF($T207="Nights",IF(ISNUMBER(Setup!$E$29),Setup!$E$29,0),IF(OR($T207="Exact amounts",$T207="Custom units"),0,1))))))</f>
        <v>0</v>
      </c>
      <c r="AD207" s="29">
        <f>IF($T207="",0,IF(OR(Setup!$B$30="",Setup!$C$30="No"),0,IF(ISNUMBER(Q207),Q207,IF($T207="Weights",IF(ISNUMBER(Setup!$D$30),Setup!$D$30,0),IF($T207="Nights",IF(ISNUMBER(Setup!$E$30),Setup!$E$30,0),IF(OR($T207="Exact amounts",$T207="Custom units"),0,1))))))</f>
        <v>0</v>
      </c>
      <c r="AE207" s="29">
        <f t="shared" si="13"/>
        <v>0</v>
      </c>
      <c r="AF207" s="30">
        <f t="shared" si="14"/>
        <v>1</v>
      </c>
      <c r="AG207" s="29">
        <f t="shared" si="15"/>
        <v>0</v>
      </c>
    </row>
    <row r="208" spans="1:33" ht="16" x14ac:dyDescent="0.2">
      <c r="A208" s="22" t="str">
        <f t="shared" si="12"/>
        <v>—</v>
      </c>
      <c r="B208" s="23"/>
      <c r="C208" s="16"/>
      <c r="D208" s="16"/>
      <c r="E208" s="24"/>
      <c r="F208" s="16"/>
      <c r="G208" s="16"/>
      <c r="H208" s="25"/>
      <c r="I208" s="25"/>
      <c r="J208" s="25"/>
      <c r="K208" s="25"/>
      <c r="L208" s="25"/>
      <c r="M208" s="25"/>
      <c r="N208" s="25"/>
      <c r="O208" s="25"/>
      <c r="P208" s="25"/>
      <c r="Q208" s="25"/>
      <c r="R208" s="26" t="str">
        <f>IF($T208="","",IF($D208="","Who paid?",IF(SUMPRODUCT((Setup!$B$21:$B$30=$D208)*1)=0,"Payer is not in the member list on Setup",IF($E208="","Amount missing — type the number in column E",IF(NOT(ISNUMBER($E208)),"Amount must be a plain number — no currency symbol, no text",IF(AND($T208="Custom units",$AE208&lt;=0),"Custom units: nobody has units on this row — type a number for at least one person",IF($AE208&lt;=0,"Nobody shares this row — check the person columns H–Q, and the Weight / Nights columns on Setup",IF(AND($T208="Exact amounts",ABS($AE208-$AG208)&gt;0.01),"Exact amounts do not add up to the amount","OK"))))))))</f>
        <v/>
      </c>
      <c r="S208" s="27" t="str">
        <f>IFERROR(IF(OR($T208="",$C$4=""),"—",ROUND($AG208*INDEX($U208:$AD208,1,MATCH($C$4,Setup!$B$21:$B$30,0))/$AF208,2)),"—")</f>
        <v>—</v>
      </c>
      <c r="T208" s="28" t="str">
        <f>IF(AND($C208="",$D208="",NOT(ISNUMBER($E208))),"",IF($G208="",IF(Setup!$C$17="","Equal",Setup!$C$17),$G208))</f>
        <v/>
      </c>
      <c r="U208" s="29">
        <f>IF($T208="",0,IF(OR(Setup!$B$21="",Setup!$C$21="No"),0,IF(ISNUMBER(H208),H208,IF($T208="Weights",IF(ISNUMBER(Setup!$D$21),Setup!$D$21,0),IF($T208="Nights",IF(ISNUMBER(Setup!$E$21),Setup!$E$21,0),IF(OR($T208="Exact amounts",$T208="Custom units"),0,1))))))</f>
        <v>0</v>
      </c>
      <c r="V208" s="29">
        <f>IF($T208="",0,IF(OR(Setup!$B$22="",Setup!$C$22="No"),0,IF(ISNUMBER(I208),I208,IF($T208="Weights",IF(ISNUMBER(Setup!$D$22),Setup!$D$22,0),IF($T208="Nights",IF(ISNUMBER(Setup!$E$22),Setup!$E$22,0),IF(OR($T208="Exact amounts",$T208="Custom units"),0,1))))))</f>
        <v>0</v>
      </c>
      <c r="W208" s="29">
        <f>IF($T208="",0,IF(OR(Setup!$B$23="",Setup!$C$23="No"),0,IF(ISNUMBER(J208),J208,IF($T208="Weights",IF(ISNUMBER(Setup!$D$23),Setup!$D$23,0),IF($T208="Nights",IF(ISNUMBER(Setup!$E$23),Setup!$E$23,0),IF(OR($T208="Exact amounts",$T208="Custom units"),0,1))))))</f>
        <v>0</v>
      </c>
      <c r="X208" s="29">
        <f>IF($T208="",0,IF(OR(Setup!$B$24="",Setup!$C$24="No"),0,IF(ISNUMBER(K208),K208,IF($T208="Weights",IF(ISNUMBER(Setup!$D$24),Setup!$D$24,0),IF($T208="Nights",IF(ISNUMBER(Setup!$E$24),Setup!$E$24,0),IF(OR($T208="Exact amounts",$T208="Custom units"),0,1))))))</f>
        <v>0</v>
      </c>
      <c r="Y208" s="29">
        <f>IF($T208="",0,IF(OR(Setup!$B$25="",Setup!$C$25="No"),0,IF(ISNUMBER(L208),L208,IF($T208="Weights",IF(ISNUMBER(Setup!$D$25),Setup!$D$25,0),IF($T208="Nights",IF(ISNUMBER(Setup!$E$25),Setup!$E$25,0),IF(OR($T208="Exact amounts",$T208="Custom units"),0,1))))))</f>
        <v>0</v>
      </c>
      <c r="Z208" s="29">
        <f>IF($T208="",0,IF(OR(Setup!$B$26="",Setup!$C$26="No"),0,IF(ISNUMBER(M208),M208,IF($T208="Weights",IF(ISNUMBER(Setup!$D$26),Setup!$D$26,0),IF($T208="Nights",IF(ISNUMBER(Setup!$E$26),Setup!$E$26,0),IF(OR($T208="Exact amounts",$T208="Custom units"),0,1))))))</f>
        <v>0</v>
      </c>
      <c r="AA208" s="29">
        <f>IF($T208="",0,IF(OR(Setup!$B$27="",Setup!$C$27="No"),0,IF(ISNUMBER(N208),N208,IF($T208="Weights",IF(ISNUMBER(Setup!$D$27),Setup!$D$27,0),IF($T208="Nights",IF(ISNUMBER(Setup!$E$27),Setup!$E$27,0),IF(OR($T208="Exact amounts",$T208="Custom units"),0,1))))))</f>
        <v>0</v>
      </c>
      <c r="AB208" s="29">
        <f>IF($T208="",0,IF(OR(Setup!$B$28="",Setup!$C$28="No"),0,IF(ISNUMBER(O208),O208,IF($T208="Weights",IF(ISNUMBER(Setup!$D$28),Setup!$D$28,0),IF($T208="Nights",IF(ISNUMBER(Setup!$E$28),Setup!$E$28,0),IF(OR($T208="Exact amounts",$T208="Custom units"),0,1))))))</f>
        <v>0</v>
      </c>
      <c r="AC208" s="29">
        <f>IF($T208="",0,IF(OR(Setup!$B$29="",Setup!$C$29="No"),0,IF(ISNUMBER(P208),P208,IF($T208="Weights",IF(ISNUMBER(Setup!$D$29),Setup!$D$29,0),IF($T208="Nights",IF(ISNUMBER(Setup!$E$29),Setup!$E$29,0),IF(OR($T208="Exact amounts",$T208="Custom units"),0,1))))))</f>
        <v>0</v>
      </c>
      <c r="AD208" s="29">
        <f>IF($T208="",0,IF(OR(Setup!$B$30="",Setup!$C$30="No"),0,IF(ISNUMBER(Q208),Q208,IF($T208="Weights",IF(ISNUMBER(Setup!$D$30),Setup!$D$30,0),IF($T208="Nights",IF(ISNUMBER(Setup!$E$30),Setup!$E$30,0),IF(OR($T208="Exact amounts",$T208="Custom units"),0,1))))))</f>
        <v>0</v>
      </c>
      <c r="AE208" s="29">
        <f t="shared" si="13"/>
        <v>0</v>
      </c>
      <c r="AF208" s="30">
        <f t="shared" si="14"/>
        <v>1</v>
      </c>
      <c r="AG208" s="29">
        <f t="shared" si="15"/>
        <v>0</v>
      </c>
    </row>
    <row r="209" spans="1:33" ht="16" x14ac:dyDescent="0.2">
      <c r="A209" s="22" t="str">
        <f t="shared" si="12"/>
        <v>—</v>
      </c>
      <c r="B209" s="31"/>
      <c r="C209" s="11"/>
      <c r="D209" s="11"/>
      <c r="E209" s="32"/>
      <c r="F209" s="11"/>
      <c r="G209" s="11"/>
      <c r="H209" s="33"/>
      <c r="I209" s="33"/>
      <c r="J209" s="33"/>
      <c r="K209" s="33"/>
      <c r="L209" s="33"/>
      <c r="M209" s="33"/>
      <c r="N209" s="33"/>
      <c r="O209" s="33"/>
      <c r="P209" s="33"/>
      <c r="Q209" s="33"/>
      <c r="R209" s="26" t="str">
        <f>IF($T209="","",IF($D209="","Who paid?",IF(SUMPRODUCT((Setup!$B$21:$B$30=$D209)*1)=0,"Payer is not in the member list on Setup",IF($E209="","Amount missing — type the number in column E",IF(NOT(ISNUMBER($E209)),"Amount must be a plain number — no currency symbol, no text",IF(AND($T209="Custom units",$AE209&lt;=0),"Custom units: nobody has units on this row — type a number for at least one person",IF($AE209&lt;=0,"Nobody shares this row — check the person columns H–Q, and the Weight / Nights columns on Setup",IF(AND($T209="Exact amounts",ABS($AE209-$AG209)&gt;0.01),"Exact amounts do not add up to the amount","OK"))))))))</f>
        <v/>
      </c>
      <c r="S209" s="27" t="str">
        <f>IFERROR(IF(OR($T209="",$C$4=""),"—",ROUND($AG209*INDEX($U209:$AD209,1,MATCH($C$4,Setup!$B$21:$B$30,0))/$AF209,2)),"—")</f>
        <v>—</v>
      </c>
      <c r="T209" s="28" t="str">
        <f>IF(AND($C209="",$D209="",NOT(ISNUMBER($E209))),"",IF($G209="",IF(Setup!$C$17="","Equal",Setup!$C$17),$G209))</f>
        <v/>
      </c>
      <c r="U209" s="29">
        <f>IF($T209="",0,IF(OR(Setup!$B$21="",Setup!$C$21="No"),0,IF(ISNUMBER(H209),H209,IF($T209="Weights",IF(ISNUMBER(Setup!$D$21),Setup!$D$21,0),IF($T209="Nights",IF(ISNUMBER(Setup!$E$21),Setup!$E$21,0),IF(OR($T209="Exact amounts",$T209="Custom units"),0,1))))))</f>
        <v>0</v>
      </c>
      <c r="V209" s="29">
        <f>IF($T209="",0,IF(OR(Setup!$B$22="",Setup!$C$22="No"),0,IF(ISNUMBER(I209),I209,IF($T209="Weights",IF(ISNUMBER(Setup!$D$22),Setup!$D$22,0),IF($T209="Nights",IF(ISNUMBER(Setup!$E$22),Setup!$E$22,0),IF(OR($T209="Exact amounts",$T209="Custom units"),0,1))))))</f>
        <v>0</v>
      </c>
      <c r="W209" s="29">
        <f>IF($T209="",0,IF(OR(Setup!$B$23="",Setup!$C$23="No"),0,IF(ISNUMBER(J209),J209,IF($T209="Weights",IF(ISNUMBER(Setup!$D$23),Setup!$D$23,0),IF($T209="Nights",IF(ISNUMBER(Setup!$E$23),Setup!$E$23,0),IF(OR($T209="Exact amounts",$T209="Custom units"),0,1))))))</f>
        <v>0</v>
      </c>
      <c r="X209" s="29">
        <f>IF($T209="",0,IF(OR(Setup!$B$24="",Setup!$C$24="No"),0,IF(ISNUMBER(K209),K209,IF($T209="Weights",IF(ISNUMBER(Setup!$D$24),Setup!$D$24,0),IF($T209="Nights",IF(ISNUMBER(Setup!$E$24),Setup!$E$24,0),IF(OR($T209="Exact amounts",$T209="Custom units"),0,1))))))</f>
        <v>0</v>
      </c>
      <c r="Y209" s="29">
        <f>IF($T209="",0,IF(OR(Setup!$B$25="",Setup!$C$25="No"),0,IF(ISNUMBER(L209),L209,IF($T209="Weights",IF(ISNUMBER(Setup!$D$25),Setup!$D$25,0),IF($T209="Nights",IF(ISNUMBER(Setup!$E$25),Setup!$E$25,0),IF(OR($T209="Exact amounts",$T209="Custom units"),0,1))))))</f>
        <v>0</v>
      </c>
      <c r="Z209" s="29">
        <f>IF($T209="",0,IF(OR(Setup!$B$26="",Setup!$C$26="No"),0,IF(ISNUMBER(M209),M209,IF($T209="Weights",IF(ISNUMBER(Setup!$D$26),Setup!$D$26,0),IF($T209="Nights",IF(ISNUMBER(Setup!$E$26),Setup!$E$26,0),IF(OR($T209="Exact amounts",$T209="Custom units"),0,1))))))</f>
        <v>0</v>
      </c>
      <c r="AA209" s="29">
        <f>IF($T209="",0,IF(OR(Setup!$B$27="",Setup!$C$27="No"),0,IF(ISNUMBER(N209),N209,IF($T209="Weights",IF(ISNUMBER(Setup!$D$27),Setup!$D$27,0),IF($T209="Nights",IF(ISNUMBER(Setup!$E$27),Setup!$E$27,0),IF(OR($T209="Exact amounts",$T209="Custom units"),0,1))))))</f>
        <v>0</v>
      </c>
      <c r="AB209" s="29">
        <f>IF($T209="",0,IF(OR(Setup!$B$28="",Setup!$C$28="No"),0,IF(ISNUMBER(O209),O209,IF($T209="Weights",IF(ISNUMBER(Setup!$D$28),Setup!$D$28,0),IF($T209="Nights",IF(ISNUMBER(Setup!$E$28),Setup!$E$28,0),IF(OR($T209="Exact amounts",$T209="Custom units"),0,1))))))</f>
        <v>0</v>
      </c>
      <c r="AC209" s="29">
        <f>IF($T209="",0,IF(OR(Setup!$B$29="",Setup!$C$29="No"),0,IF(ISNUMBER(P209),P209,IF($T209="Weights",IF(ISNUMBER(Setup!$D$29),Setup!$D$29,0),IF($T209="Nights",IF(ISNUMBER(Setup!$E$29),Setup!$E$29,0),IF(OR($T209="Exact amounts",$T209="Custom units"),0,1))))))</f>
        <v>0</v>
      </c>
      <c r="AD209" s="29">
        <f>IF($T209="",0,IF(OR(Setup!$B$30="",Setup!$C$30="No"),0,IF(ISNUMBER(Q209),Q209,IF($T209="Weights",IF(ISNUMBER(Setup!$D$30),Setup!$D$30,0),IF($T209="Nights",IF(ISNUMBER(Setup!$E$30),Setup!$E$30,0),IF(OR($T209="Exact amounts",$T209="Custom units"),0,1))))))</f>
        <v>0</v>
      </c>
      <c r="AE209" s="29">
        <f t="shared" si="13"/>
        <v>0</v>
      </c>
      <c r="AF209" s="30">
        <f t="shared" si="14"/>
        <v>1</v>
      </c>
      <c r="AG209" s="29">
        <f t="shared" si="15"/>
        <v>0</v>
      </c>
    </row>
    <row r="210" spans="1:33" ht="16" x14ac:dyDescent="0.2">
      <c r="A210" s="22" t="str">
        <f t="shared" si="12"/>
        <v>—</v>
      </c>
      <c r="B210" s="23"/>
      <c r="C210" s="16"/>
      <c r="D210" s="16"/>
      <c r="E210" s="24"/>
      <c r="F210" s="16"/>
      <c r="G210" s="16"/>
      <c r="H210" s="25"/>
      <c r="I210" s="25"/>
      <c r="J210" s="25"/>
      <c r="K210" s="25"/>
      <c r="L210" s="25"/>
      <c r="M210" s="25"/>
      <c r="N210" s="25"/>
      <c r="O210" s="25"/>
      <c r="P210" s="25"/>
      <c r="Q210" s="25"/>
      <c r="R210" s="26" t="str">
        <f>IF($T210="","",IF($D210="","Who paid?",IF(SUMPRODUCT((Setup!$B$21:$B$30=$D210)*1)=0,"Payer is not in the member list on Setup",IF($E210="","Amount missing — type the number in column E",IF(NOT(ISNUMBER($E210)),"Amount must be a plain number — no currency symbol, no text",IF(AND($T210="Custom units",$AE210&lt;=0),"Custom units: nobody has units on this row — type a number for at least one person",IF($AE210&lt;=0,"Nobody shares this row — check the person columns H–Q, and the Weight / Nights columns on Setup",IF(AND($T210="Exact amounts",ABS($AE210-$AG210)&gt;0.01),"Exact amounts do not add up to the amount","OK"))))))))</f>
        <v/>
      </c>
      <c r="S210" s="27" t="str">
        <f>IFERROR(IF(OR($T210="",$C$4=""),"—",ROUND($AG210*INDEX($U210:$AD210,1,MATCH($C$4,Setup!$B$21:$B$30,0))/$AF210,2)),"—")</f>
        <v>—</v>
      </c>
      <c r="T210" s="28" t="str">
        <f>IF(AND($C210="",$D210="",NOT(ISNUMBER($E210))),"",IF($G210="",IF(Setup!$C$17="","Equal",Setup!$C$17),$G210))</f>
        <v/>
      </c>
      <c r="U210" s="29">
        <f>IF($T210="",0,IF(OR(Setup!$B$21="",Setup!$C$21="No"),0,IF(ISNUMBER(H210),H210,IF($T210="Weights",IF(ISNUMBER(Setup!$D$21),Setup!$D$21,0),IF($T210="Nights",IF(ISNUMBER(Setup!$E$21),Setup!$E$21,0),IF(OR($T210="Exact amounts",$T210="Custom units"),0,1))))))</f>
        <v>0</v>
      </c>
      <c r="V210" s="29">
        <f>IF($T210="",0,IF(OR(Setup!$B$22="",Setup!$C$22="No"),0,IF(ISNUMBER(I210),I210,IF($T210="Weights",IF(ISNUMBER(Setup!$D$22),Setup!$D$22,0),IF($T210="Nights",IF(ISNUMBER(Setup!$E$22),Setup!$E$22,0),IF(OR($T210="Exact amounts",$T210="Custom units"),0,1))))))</f>
        <v>0</v>
      </c>
      <c r="W210" s="29">
        <f>IF($T210="",0,IF(OR(Setup!$B$23="",Setup!$C$23="No"),0,IF(ISNUMBER(J210),J210,IF($T210="Weights",IF(ISNUMBER(Setup!$D$23),Setup!$D$23,0),IF($T210="Nights",IF(ISNUMBER(Setup!$E$23),Setup!$E$23,0),IF(OR($T210="Exact amounts",$T210="Custom units"),0,1))))))</f>
        <v>0</v>
      </c>
      <c r="X210" s="29">
        <f>IF($T210="",0,IF(OR(Setup!$B$24="",Setup!$C$24="No"),0,IF(ISNUMBER(K210),K210,IF($T210="Weights",IF(ISNUMBER(Setup!$D$24),Setup!$D$24,0),IF($T210="Nights",IF(ISNUMBER(Setup!$E$24),Setup!$E$24,0),IF(OR($T210="Exact amounts",$T210="Custom units"),0,1))))))</f>
        <v>0</v>
      </c>
      <c r="Y210" s="29">
        <f>IF($T210="",0,IF(OR(Setup!$B$25="",Setup!$C$25="No"),0,IF(ISNUMBER(L210),L210,IF($T210="Weights",IF(ISNUMBER(Setup!$D$25),Setup!$D$25,0),IF($T210="Nights",IF(ISNUMBER(Setup!$E$25),Setup!$E$25,0),IF(OR($T210="Exact amounts",$T210="Custom units"),0,1))))))</f>
        <v>0</v>
      </c>
      <c r="Z210" s="29">
        <f>IF($T210="",0,IF(OR(Setup!$B$26="",Setup!$C$26="No"),0,IF(ISNUMBER(M210),M210,IF($T210="Weights",IF(ISNUMBER(Setup!$D$26),Setup!$D$26,0),IF($T210="Nights",IF(ISNUMBER(Setup!$E$26),Setup!$E$26,0),IF(OR($T210="Exact amounts",$T210="Custom units"),0,1))))))</f>
        <v>0</v>
      </c>
      <c r="AA210" s="29">
        <f>IF($T210="",0,IF(OR(Setup!$B$27="",Setup!$C$27="No"),0,IF(ISNUMBER(N210),N210,IF($T210="Weights",IF(ISNUMBER(Setup!$D$27),Setup!$D$27,0),IF($T210="Nights",IF(ISNUMBER(Setup!$E$27),Setup!$E$27,0),IF(OR($T210="Exact amounts",$T210="Custom units"),0,1))))))</f>
        <v>0</v>
      </c>
      <c r="AB210" s="29">
        <f>IF($T210="",0,IF(OR(Setup!$B$28="",Setup!$C$28="No"),0,IF(ISNUMBER(O210),O210,IF($T210="Weights",IF(ISNUMBER(Setup!$D$28),Setup!$D$28,0),IF($T210="Nights",IF(ISNUMBER(Setup!$E$28),Setup!$E$28,0),IF(OR($T210="Exact amounts",$T210="Custom units"),0,1))))))</f>
        <v>0</v>
      </c>
      <c r="AC210" s="29">
        <f>IF($T210="",0,IF(OR(Setup!$B$29="",Setup!$C$29="No"),0,IF(ISNUMBER(P210),P210,IF($T210="Weights",IF(ISNUMBER(Setup!$D$29),Setup!$D$29,0),IF($T210="Nights",IF(ISNUMBER(Setup!$E$29),Setup!$E$29,0),IF(OR($T210="Exact amounts",$T210="Custom units"),0,1))))))</f>
        <v>0</v>
      </c>
      <c r="AD210" s="29">
        <f>IF($T210="",0,IF(OR(Setup!$B$30="",Setup!$C$30="No"),0,IF(ISNUMBER(Q210),Q210,IF($T210="Weights",IF(ISNUMBER(Setup!$D$30),Setup!$D$30,0),IF($T210="Nights",IF(ISNUMBER(Setup!$E$30),Setup!$E$30,0),IF(OR($T210="Exact amounts",$T210="Custom units"),0,1))))))</f>
        <v>0</v>
      </c>
      <c r="AE210" s="29">
        <f t="shared" si="13"/>
        <v>0</v>
      </c>
      <c r="AF210" s="30">
        <f t="shared" si="14"/>
        <v>1</v>
      </c>
      <c r="AG210" s="29">
        <f t="shared" si="15"/>
        <v>0</v>
      </c>
    </row>
    <row r="211" spans="1:33" ht="16" x14ac:dyDescent="0.2">
      <c r="A211" s="22" t="str">
        <f t="shared" si="12"/>
        <v>—</v>
      </c>
      <c r="B211" s="31"/>
      <c r="C211" s="11"/>
      <c r="D211" s="11"/>
      <c r="E211" s="32"/>
      <c r="F211" s="11"/>
      <c r="G211" s="11"/>
      <c r="H211" s="33"/>
      <c r="I211" s="33"/>
      <c r="J211" s="33"/>
      <c r="K211" s="33"/>
      <c r="L211" s="33"/>
      <c r="M211" s="33"/>
      <c r="N211" s="33"/>
      <c r="O211" s="33"/>
      <c r="P211" s="33"/>
      <c r="Q211" s="33"/>
      <c r="R211" s="26" t="str">
        <f>IF($T211="","",IF($D211="","Who paid?",IF(SUMPRODUCT((Setup!$B$21:$B$30=$D211)*1)=0,"Payer is not in the member list on Setup",IF($E211="","Amount missing — type the number in column E",IF(NOT(ISNUMBER($E211)),"Amount must be a plain number — no currency symbol, no text",IF(AND($T211="Custom units",$AE211&lt;=0),"Custom units: nobody has units on this row — type a number for at least one person",IF($AE211&lt;=0,"Nobody shares this row — check the person columns H–Q, and the Weight / Nights columns on Setup",IF(AND($T211="Exact amounts",ABS($AE211-$AG211)&gt;0.01),"Exact amounts do not add up to the amount","OK"))))))))</f>
        <v/>
      </c>
      <c r="S211" s="27" t="str">
        <f>IFERROR(IF(OR($T211="",$C$4=""),"—",ROUND($AG211*INDEX($U211:$AD211,1,MATCH($C$4,Setup!$B$21:$B$30,0))/$AF211,2)),"—")</f>
        <v>—</v>
      </c>
      <c r="T211" s="28" t="str">
        <f>IF(AND($C211="",$D211="",NOT(ISNUMBER($E211))),"",IF($G211="",IF(Setup!$C$17="","Equal",Setup!$C$17),$G211))</f>
        <v/>
      </c>
      <c r="U211" s="29">
        <f>IF($T211="",0,IF(OR(Setup!$B$21="",Setup!$C$21="No"),0,IF(ISNUMBER(H211),H211,IF($T211="Weights",IF(ISNUMBER(Setup!$D$21),Setup!$D$21,0),IF($T211="Nights",IF(ISNUMBER(Setup!$E$21),Setup!$E$21,0),IF(OR($T211="Exact amounts",$T211="Custom units"),0,1))))))</f>
        <v>0</v>
      </c>
      <c r="V211" s="29">
        <f>IF($T211="",0,IF(OR(Setup!$B$22="",Setup!$C$22="No"),0,IF(ISNUMBER(I211),I211,IF($T211="Weights",IF(ISNUMBER(Setup!$D$22),Setup!$D$22,0),IF($T211="Nights",IF(ISNUMBER(Setup!$E$22),Setup!$E$22,0),IF(OR($T211="Exact amounts",$T211="Custom units"),0,1))))))</f>
        <v>0</v>
      </c>
      <c r="W211" s="29">
        <f>IF($T211="",0,IF(OR(Setup!$B$23="",Setup!$C$23="No"),0,IF(ISNUMBER(J211),J211,IF($T211="Weights",IF(ISNUMBER(Setup!$D$23),Setup!$D$23,0),IF($T211="Nights",IF(ISNUMBER(Setup!$E$23),Setup!$E$23,0),IF(OR($T211="Exact amounts",$T211="Custom units"),0,1))))))</f>
        <v>0</v>
      </c>
      <c r="X211" s="29">
        <f>IF($T211="",0,IF(OR(Setup!$B$24="",Setup!$C$24="No"),0,IF(ISNUMBER(K211),K211,IF($T211="Weights",IF(ISNUMBER(Setup!$D$24),Setup!$D$24,0),IF($T211="Nights",IF(ISNUMBER(Setup!$E$24),Setup!$E$24,0),IF(OR($T211="Exact amounts",$T211="Custom units"),0,1))))))</f>
        <v>0</v>
      </c>
      <c r="Y211" s="29">
        <f>IF($T211="",0,IF(OR(Setup!$B$25="",Setup!$C$25="No"),0,IF(ISNUMBER(L211),L211,IF($T211="Weights",IF(ISNUMBER(Setup!$D$25),Setup!$D$25,0),IF($T211="Nights",IF(ISNUMBER(Setup!$E$25),Setup!$E$25,0),IF(OR($T211="Exact amounts",$T211="Custom units"),0,1))))))</f>
        <v>0</v>
      </c>
      <c r="Z211" s="29">
        <f>IF($T211="",0,IF(OR(Setup!$B$26="",Setup!$C$26="No"),0,IF(ISNUMBER(M211),M211,IF($T211="Weights",IF(ISNUMBER(Setup!$D$26),Setup!$D$26,0),IF($T211="Nights",IF(ISNUMBER(Setup!$E$26),Setup!$E$26,0),IF(OR($T211="Exact amounts",$T211="Custom units"),0,1))))))</f>
        <v>0</v>
      </c>
      <c r="AA211" s="29">
        <f>IF($T211="",0,IF(OR(Setup!$B$27="",Setup!$C$27="No"),0,IF(ISNUMBER(N211),N211,IF($T211="Weights",IF(ISNUMBER(Setup!$D$27),Setup!$D$27,0),IF($T211="Nights",IF(ISNUMBER(Setup!$E$27),Setup!$E$27,0),IF(OR($T211="Exact amounts",$T211="Custom units"),0,1))))))</f>
        <v>0</v>
      </c>
      <c r="AB211" s="29">
        <f>IF($T211="",0,IF(OR(Setup!$B$28="",Setup!$C$28="No"),0,IF(ISNUMBER(O211),O211,IF($T211="Weights",IF(ISNUMBER(Setup!$D$28),Setup!$D$28,0),IF($T211="Nights",IF(ISNUMBER(Setup!$E$28),Setup!$E$28,0),IF(OR($T211="Exact amounts",$T211="Custom units"),0,1))))))</f>
        <v>0</v>
      </c>
      <c r="AC211" s="29">
        <f>IF($T211="",0,IF(OR(Setup!$B$29="",Setup!$C$29="No"),0,IF(ISNUMBER(P211),P211,IF($T211="Weights",IF(ISNUMBER(Setup!$D$29),Setup!$D$29,0),IF($T211="Nights",IF(ISNUMBER(Setup!$E$29),Setup!$E$29,0),IF(OR($T211="Exact amounts",$T211="Custom units"),0,1))))))</f>
        <v>0</v>
      </c>
      <c r="AD211" s="29">
        <f>IF($T211="",0,IF(OR(Setup!$B$30="",Setup!$C$30="No"),0,IF(ISNUMBER(Q211),Q211,IF($T211="Weights",IF(ISNUMBER(Setup!$D$30),Setup!$D$30,0),IF($T211="Nights",IF(ISNUMBER(Setup!$E$30),Setup!$E$30,0),IF(OR($T211="Exact amounts",$T211="Custom units"),0,1))))))</f>
        <v>0</v>
      </c>
      <c r="AE211" s="29">
        <f t="shared" si="13"/>
        <v>0</v>
      </c>
      <c r="AF211" s="30">
        <f t="shared" si="14"/>
        <v>1</v>
      </c>
      <c r="AG211" s="29">
        <f t="shared" si="15"/>
        <v>0</v>
      </c>
    </row>
    <row r="212" spans="1:33" ht="16" x14ac:dyDescent="0.2">
      <c r="A212" s="22" t="str">
        <f t="shared" si="12"/>
        <v>—</v>
      </c>
      <c r="B212" s="23"/>
      <c r="C212" s="16"/>
      <c r="D212" s="16"/>
      <c r="E212" s="24"/>
      <c r="F212" s="16"/>
      <c r="G212" s="16"/>
      <c r="H212" s="25"/>
      <c r="I212" s="25"/>
      <c r="J212" s="25"/>
      <c r="K212" s="25"/>
      <c r="L212" s="25"/>
      <c r="M212" s="25"/>
      <c r="N212" s="25"/>
      <c r="O212" s="25"/>
      <c r="P212" s="25"/>
      <c r="Q212" s="25"/>
      <c r="R212" s="26" t="str">
        <f>IF($T212="","",IF($D212="","Who paid?",IF(SUMPRODUCT((Setup!$B$21:$B$30=$D212)*1)=0,"Payer is not in the member list on Setup",IF($E212="","Amount missing — type the number in column E",IF(NOT(ISNUMBER($E212)),"Amount must be a plain number — no currency symbol, no text",IF(AND($T212="Custom units",$AE212&lt;=0),"Custom units: nobody has units on this row — type a number for at least one person",IF($AE212&lt;=0,"Nobody shares this row — check the person columns H–Q, and the Weight / Nights columns on Setup",IF(AND($T212="Exact amounts",ABS($AE212-$AG212)&gt;0.01),"Exact amounts do not add up to the amount","OK"))))))))</f>
        <v/>
      </c>
      <c r="S212" s="27" t="str">
        <f>IFERROR(IF(OR($T212="",$C$4=""),"—",ROUND($AG212*INDEX($U212:$AD212,1,MATCH($C$4,Setup!$B$21:$B$30,0))/$AF212,2)),"—")</f>
        <v>—</v>
      </c>
      <c r="T212" s="28" t="str">
        <f>IF(AND($C212="",$D212="",NOT(ISNUMBER($E212))),"",IF($G212="",IF(Setup!$C$17="","Equal",Setup!$C$17),$G212))</f>
        <v/>
      </c>
      <c r="U212" s="29">
        <f>IF($T212="",0,IF(OR(Setup!$B$21="",Setup!$C$21="No"),0,IF(ISNUMBER(H212),H212,IF($T212="Weights",IF(ISNUMBER(Setup!$D$21),Setup!$D$21,0),IF($T212="Nights",IF(ISNUMBER(Setup!$E$21),Setup!$E$21,0),IF(OR($T212="Exact amounts",$T212="Custom units"),0,1))))))</f>
        <v>0</v>
      </c>
      <c r="V212" s="29">
        <f>IF($T212="",0,IF(OR(Setup!$B$22="",Setup!$C$22="No"),0,IF(ISNUMBER(I212),I212,IF($T212="Weights",IF(ISNUMBER(Setup!$D$22),Setup!$D$22,0),IF($T212="Nights",IF(ISNUMBER(Setup!$E$22),Setup!$E$22,0),IF(OR($T212="Exact amounts",$T212="Custom units"),0,1))))))</f>
        <v>0</v>
      </c>
      <c r="W212" s="29">
        <f>IF($T212="",0,IF(OR(Setup!$B$23="",Setup!$C$23="No"),0,IF(ISNUMBER(J212),J212,IF($T212="Weights",IF(ISNUMBER(Setup!$D$23),Setup!$D$23,0),IF($T212="Nights",IF(ISNUMBER(Setup!$E$23),Setup!$E$23,0),IF(OR($T212="Exact amounts",$T212="Custom units"),0,1))))))</f>
        <v>0</v>
      </c>
      <c r="X212" s="29">
        <f>IF($T212="",0,IF(OR(Setup!$B$24="",Setup!$C$24="No"),0,IF(ISNUMBER(K212),K212,IF($T212="Weights",IF(ISNUMBER(Setup!$D$24),Setup!$D$24,0),IF($T212="Nights",IF(ISNUMBER(Setup!$E$24),Setup!$E$24,0),IF(OR($T212="Exact amounts",$T212="Custom units"),0,1))))))</f>
        <v>0</v>
      </c>
      <c r="Y212" s="29">
        <f>IF($T212="",0,IF(OR(Setup!$B$25="",Setup!$C$25="No"),0,IF(ISNUMBER(L212),L212,IF($T212="Weights",IF(ISNUMBER(Setup!$D$25),Setup!$D$25,0),IF($T212="Nights",IF(ISNUMBER(Setup!$E$25),Setup!$E$25,0),IF(OR($T212="Exact amounts",$T212="Custom units"),0,1))))))</f>
        <v>0</v>
      </c>
      <c r="Z212" s="29">
        <f>IF($T212="",0,IF(OR(Setup!$B$26="",Setup!$C$26="No"),0,IF(ISNUMBER(M212),M212,IF($T212="Weights",IF(ISNUMBER(Setup!$D$26),Setup!$D$26,0),IF($T212="Nights",IF(ISNUMBER(Setup!$E$26),Setup!$E$26,0),IF(OR($T212="Exact amounts",$T212="Custom units"),0,1))))))</f>
        <v>0</v>
      </c>
      <c r="AA212" s="29">
        <f>IF($T212="",0,IF(OR(Setup!$B$27="",Setup!$C$27="No"),0,IF(ISNUMBER(N212),N212,IF($T212="Weights",IF(ISNUMBER(Setup!$D$27),Setup!$D$27,0),IF($T212="Nights",IF(ISNUMBER(Setup!$E$27),Setup!$E$27,0),IF(OR($T212="Exact amounts",$T212="Custom units"),0,1))))))</f>
        <v>0</v>
      </c>
      <c r="AB212" s="29">
        <f>IF($T212="",0,IF(OR(Setup!$B$28="",Setup!$C$28="No"),0,IF(ISNUMBER(O212),O212,IF($T212="Weights",IF(ISNUMBER(Setup!$D$28),Setup!$D$28,0),IF($T212="Nights",IF(ISNUMBER(Setup!$E$28),Setup!$E$28,0),IF(OR($T212="Exact amounts",$T212="Custom units"),0,1))))))</f>
        <v>0</v>
      </c>
      <c r="AC212" s="29">
        <f>IF($T212="",0,IF(OR(Setup!$B$29="",Setup!$C$29="No"),0,IF(ISNUMBER(P212),P212,IF($T212="Weights",IF(ISNUMBER(Setup!$D$29),Setup!$D$29,0),IF($T212="Nights",IF(ISNUMBER(Setup!$E$29),Setup!$E$29,0),IF(OR($T212="Exact amounts",$T212="Custom units"),0,1))))))</f>
        <v>0</v>
      </c>
      <c r="AD212" s="29">
        <f>IF($T212="",0,IF(OR(Setup!$B$30="",Setup!$C$30="No"),0,IF(ISNUMBER(Q212),Q212,IF($T212="Weights",IF(ISNUMBER(Setup!$D$30),Setup!$D$30,0),IF($T212="Nights",IF(ISNUMBER(Setup!$E$30),Setup!$E$30,0),IF(OR($T212="Exact amounts",$T212="Custom units"),0,1))))))</f>
        <v>0</v>
      </c>
      <c r="AE212" s="29">
        <f t="shared" si="13"/>
        <v>0</v>
      </c>
      <c r="AF212" s="30">
        <f t="shared" si="14"/>
        <v>1</v>
      </c>
      <c r="AG212" s="29">
        <f t="shared" si="15"/>
        <v>0</v>
      </c>
    </row>
    <row r="213" spans="1:33" ht="16" x14ac:dyDescent="0.2">
      <c r="A213" s="22" t="str">
        <f t="shared" si="12"/>
        <v>—</v>
      </c>
      <c r="B213" s="31"/>
      <c r="C213" s="11"/>
      <c r="D213" s="11"/>
      <c r="E213" s="32"/>
      <c r="F213" s="11"/>
      <c r="G213" s="11"/>
      <c r="H213" s="33"/>
      <c r="I213" s="33"/>
      <c r="J213" s="33"/>
      <c r="K213" s="33"/>
      <c r="L213" s="33"/>
      <c r="M213" s="33"/>
      <c r="N213" s="33"/>
      <c r="O213" s="33"/>
      <c r="P213" s="33"/>
      <c r="Q213" s="33"/>
      <c r="R213" s="26" t="str">
        <f>IF($T213="","",IF($D213="","Who paid?",IF(SUMPRODUCT((Setup!$B$21:$B$30=$D213)*1)=0,"Payer is not in the member list on Setup",IF($E213="","Amount missing — type the number in column E",IF(NOT(ISNUMBER($E213)),"Amount must be a plain number — no currency symbol, no text",IF(AND($T213="Custom units",$AE213&lt;=0),"Custom units: nobody has units on this row — type a number for at least one person",IF($AE213&lt;=0,"Nobody shares this row — check the person columns H–Q, and the Weight / Nights columns on Setup",IF(AND($T213="Exact amounts",ABS($AE213-$AG213)&gt;0.01),"Exact amounts do not add up to the amount","OK"))))))))</f>
        <v/>
      </c>
      <c r="S213" s="27" t="str">
        <f>IFERROR(IF(OR($T213="",$C$4=""),"—",ROUND($AG213*INDEX($U213:$AD213,1,MATCH($C$4,Setup!$B$21:$B$30,0))/$AF213,2)),"—")</f>
        <v>—</v>
      </c>
      <c r="T213" s="28" t="str">
        <f>IF(AND($C213="",$D213="",NOT(ISNUMBER($E213))),"",IF($G213="",IF(Setup!$C$17="","Equal",Setup!$C$17),$G213))</f>
        <v/>
      </c>
      <c r="U213" s="29">
        <f>IF($T213="",0,IF(OR(Setup!$B$21="",Setup!$C$21="No"),0,IF(ISNUMBER(H213),H213,IF($T213="Weights",IF(ISNUMBER(Setup!$D$21),Setup!$D$21,0),IF($T213="Nights",IF(ISNUMBER(Setup!$E$21),Setup!$E$21,0),IF(OR($T213="Exact amounts",$T213="Custom units"),0,1))))))</f>
        <v>0</v>
      </c>
      <c r="V213" s="29">
        <f>IF($T213="",0,IF(OR(Setup!$B$22="",Setup!$C$22="No"),0,IF(ISNUMBER(I213),I213,IF($T213="Weights",IF(ISNUMBER(Setup!$D$22),Setup!$D$22,0),IF($T213="Nights",IF(ISNUMBER(Setup!$E$22),Setup!$E$22,0),IF(OR($T213="Exact amounts",$T213="Custom units"),0,1))))))</f>
        <v>0</v>
      </c>
      <c r="W213" s="29">
        <f>IF($T213="",0,IF(OR(Setup!$B$23="",Setup!$C$23="No"),0,IF(ISNUMBER(J213),J213,IF($T213="Weights",IF(ISNUMBER(Setup!$D$23),Setup!$D$23,0),IF($T213="Nights",IF(ISNUMBER(Setup!$E$23),Setup!$E$23,0),IF(OR($T213="Exact amounts",$T213="Custom units"),0,1))))))</f>
        <v>0</v>
      </c>
      <c r="X213" s="29">
        <f>IF($T213="",0,IF(OR(Setup!$B$24="",Setup!$C$24="No"),0,IF(ISNUMBER(K213),K213,IF($T213="Weights",IF(ISNUMBER(Setup!$D$24),Setup!$D$24,0),IF($T213="Nights",IF(ISNUMBER(Setup!$E$24),Setup!$E$24,0),IF(OR($T213="Exact amounts",$T213="Custom units"),0,1))))))</f>
        <v>0</v>
      </c>
      <c r="Y213" s="29">
        <f>IF($T213="",0,IF(OR(Setup!$B$25="",Setup!$C$25="No"),0,IF(ISNUMBER(L213),L213,IF($T213="Weights",IF(ISNUMBER(Setup!$D$25),Setup!$D$25,0),IF($T213="Nights",IF(ISNUMBER(Setup!$E$25),Setup!$E$25,0),IF(OR($T213="Exact amounts",$T213="Custom units"),0,1))))))</f>
        <v>0</v>
      </c>
      <c r="Z213" s="29">
        <f>IF($T213="",0,IF(OR(Setup!$B$26="",Setup!$C$26="No"),0,IF(ISNUMBER(M213),M213,IF($T213="Weights",IF(ISNUMBER(Setup!$D$26),Setup!$D$26,0),IF($T213="Nights",IF(ISNUMBER(Setup!$E$26),Setup!$E$26,0),IF(OR($T213="Exact amounts",$T213="Custom units"),0,1))))))</f>
        <v>0</v>
      </c>
      <c r="AA213" s="29">
        <f>IF($T213="",0,IF(OR(Setup!$B$27="",Setup!$C$27="No"),0,IF(ISNUMBER(N213),N213,IF($T213="Weights",IF(ISNUMBER(Setup!$D$27),Setup!$D$27,0),IF($T213="Nights",IF(ISNUMBER(Setup!$E$27),Setup!$E$27,0),IF(OR($T213="Exact amounts",$T213="Custom units"),0,1))))))</f>
        <v>0</v>
      </c>
      <c r="AB213" s="29">
        <f>IF($T213="",0,IF(OR(Setup!$B$28="",Setup!$C$28="No"),0,IF(ISNUMBER(O213),O213,IF($T213="Weights",IF(ISNUMBER(Setup!$D$28),Setup!$D$28,0),IF($T213="Nights",IF(ISNUMBER(Setup!$E$28),Setup!$E$28,0),IF(OR($T213="Exact amounts",$T213="Custom units"),0,1))))))</f>
        <v>0</v>
      </c>
      <c r="AC213" s="29">
        <f>IF($T213="",0,IF(OR(Setup!$B$29="",Setup!$C$29="No"),0,IF(ISNUMBER(P213),P213,IF($T213="Weights",IF(ISNUMBER(Setup!$D$29),Setup!$D$29,0),IF($T213="Nights",IF(ISNUMBER(Setup!$E$29),Setup!$E$29,0),IF(OR($T213="Exact amounts",$T213="Custom units"),0,1))))))</f>
        <v>0</v>
      </c>
      <c r="AD213" s="29">
        <f>IF($T213="",0,IF(OR(Setup!$B$30="",Setup!$C$30="No"),0,IF(ISNUMBER(Q213),Q213,IF($T213="Weights",IF(ISNUMBER(Setup!$D$30),Setup!$D$30,0),IF($T213="Nights",IF(ISNUMBER(Setup!$E$30),Setup!$E$30,0),IF(OR($T213="Exact amounts",$T213="Custom units"),0,1))))))</f>
        <v>0</v>
      </c>
      <c r="AE213" s="29">
        <f t="shared" si="13"/>
        <v>0</v>
      </c>
      <c r="AF213" s="30">
        <f t="shared" si="14"/>
        <v>1</v>
      </c>
      <c r="AG213" s="29">
        <f t="shared" si="15"/>
        <v>0</v>
      </c>
    </row>
    <row r="214" spans="1:33" ht="16" x14ac:dyDescent="0.2">
      <c r="A214" s="22" t="str">
        <f t="shared" si="12"/>
        <v>—</v>
      </c>
      <c r="B214" s="23"/>
      <c r="C214" s="16"/>
      <c r="D214" s="16"/>
      <c r="E214" s="24"/>
      <c r="F214" s="16"/>
      <c r="G214" s="16"/>
      <c r="H214" s="25"/>
      <c r="I214" s="25"/>
      <c r="J214" s="25"/>
      <c r="K214" s="25"/>
      <c r="L214" s="25"/>
      <c r="M214" s="25"/>
      <c r="N214" s="25"/>
      <c r="O214" s="25"/>
      <c r="P214" s="25"/>
      <c r="Q214" s="25"/>
      <c r="R214" s="26" t="str">
        <f>IF($T214="","",IF($D214="","Who paid?",IF(SUMPRODUCT((Setup!$B$21:$B$30=$D214)*1)=0,"Payer is not in the member list on Setup",IF($E214="","Amount missing — type the number in column E",IF(NOT(ISNUMBER($E214)),"Amount must be a plain number — no currency symbol, no text",IF(AND($T214="Custom units",$AE214&lt;=0),"Custom units: nobody has units on this row — type a number for at least one person",IF($AE214&lt;=0,"Nobody shares this row — check the person columns H–Q, and the Weight / Nights columns on Setup",IF(AND($T214="Exact amounts",ABS($AE214-$AG214)&gt;0.01),"Exact amounts do not add up to the amount","OK"))))))))</f>
        <v/>
      </c>
      <c r="S214" s="27" t="str">
        <f>IFERROR(IF(OR($T214="",$C$4=""),"—",ROUND($AG214*INDEX($U214:$AD214,1,MATCH($C$4,Setup!$B$21:$B$30,0))/$AF214,2)),"—")</f>
        <v>—</v>
      </c>
      <c r="T214" s="28" t="str">
        <f>IF(AND($C214="",$D214="",NOT(ISNUMBER($E214))),"",IF($G214="",IF(Setup!$C$17="","Equal",Setup!$C$17),$G214))</f>
        <v/>
      </c>
      <c r="U214" s="29">
        <f>IF($T214="",0,IF(OR(Setup!$B$21="",Setup!$C$21="No"),0,IF(ISNUMBER(H214),H214,IF($T214="Weights",IF(ISNUMBER(Setup!$D$21),Setup!$D$21,0),IF($T214="Nights",IF(ISNUMBER(Setup!$E$21),Setup!$E$21,0),IF(OR($T214="Exact amounts",$T214="Custom units"),0,1))))))</f>
        <v>0</v>
      </c>
      <c r="V214" s="29">
        <f>IF($T214="",0,IF(OR(Setup!$B$22="",Setup!$C$22="No"),0,IF(ISNUMBER(I214),I214,IF($T214="Weights",IF(ISNUMBER(Setup!$D$22),Setup!$D$22,0),IF($T214="Nights",IF(ISNUMBER(Setup!$E$22),Setup!$E$22,0),IF(OR($T214="Exact amounts",$T214="Custom units"),0,1))))))</f>
        <v>0</v>
      </c>
      <c r="W214" s="29">
        <f>IF($T214="",0,IF(OR(Setup!$B$23="",Setup!$C$23="No"),0,IF(ISNUMBER(J214),J214,IF($T214="Weights",IF(ISNUMBER(Setup!$D$23),Setup!$D$23,0),IF($T214="Nights",IF(ISNUMBER(Setup!$E$23),Setup!$E$23,0),IF(OR($T214="Exact amounts",$T214="Custom units"),0,1))))))</f>
        <v>0</v>
      </c>
      <c r="X214" s="29">
        <f>IF($T214="",0,IF(OR(Setup!$B$24="",Setup!$C$24="No"),0,IF(ISNUMBER(K214),K214,IF($T214="Weights",IF(ISNUMBER(Setup!$D$24),Setup!$D$24,0),IF($T214="Nights",IF(ISNUMBER(Setup!$E$24),Setup!$E$24,0),IF(OR($T214="Exact amounts",$T214="Custom units"),0,1))))))</f>
        <v>0</v>
      </c>
      <c r="Y214" s="29">
        <f>IF($T214="",0,IF(OR(Setup!$B$25="",Setup!$C$25="No"),0,IF(ISNUMBER(L214),L214,IF($T214="Weights",IF(ISNUMBER(Setup!$D$25),Setup!$D$25,0),IF($T214="Nights",IF(ISNUMBER(Setup!$E$25),Setup!$E$25,0),IF(OR($T214="Exact amounts",$T214="Custom units"),0,1))))))</f>
        <v>0</v>
      </c>
      <c r="Z214" s="29">
        <f>IF($T214="",0,IF(OR(Setup!$B$26="",Setup!$C$26="No"),0,IF(ISNUMBER(M214),M214,IF($T214="Weights",IF(ISNUMBER(Setup!$D$26),Setup!$D$26,0),IF($T214="Nights",IF(ISNUMBER(Setup!$E$26),Setup!$E$26,0),IF(OR($T214="Exact amounts",$T214="Custom units"),0,1))))))</f>
        <v>0</v>
      </c>
      <c r="AA214" s="29">
        <f>IF($T214="",0,IF(OR(Setup!$B$27="",Setup!$C$27="No"),0,IF(ISNUMBER(N214),N214,IF($T214="Weights",IF(ISNUMBER(Setup!$D$27),Setup!$D$27,0),IF($T214="Nights",IF(ISNUMBER(Setup!$E$27),Setup!$E$27,0),IF(OR($T214="Exact amounts",$T214="Custom units"),0,1))))))</f>
        <v>0</v>
      </c>
      <c r="AB214" s="29">
        <f>IF($T214="",0,IF(OR(Setup!$B$28="",Setup!$C$28="No"),0,IF(ISNUMBER(O214),O214,IF($T214="Weights",IF(ISNUMBER(Setup!$D$28),Setup!$D$28,0),IF($T214="Nights",IF(ISNUMBER(Setup!$E$28),Setup!$E$28,0),IF(OR($T214="Exact amounts",$T214="Custom units"),0,1))))))</f>
        <v>0</v>
      </c>
      <c r="AC214" s="29">
        <f>IF($T214="",0,IF(OR(Setup!$B$29="",Setup!$C$29="No"),0,IF(ISNUMBER(P214),P214,IF($T214="Weights",IF(ISNUMBER(Setup!$D$29),Setup!$D$29,0),IF($T214="Nights",IF(ISNUMBER(Setup!$E$29),Setup!$E$29,0),IF(OR($T214="Exact amounts",$T214="Custom units"),0,1))))))</f>
        <v>0</v>
      </c>
      <c r="AD214" s="29">
        <f>IF($T214="",0,IF(OR(Setup!$B$30="",Setup!$C$30="No"),0,IF(ISNUMBER(Q214),Q214,IF($T214="Weights",IF(ISNUMBER(Setup!$D$30),Setup!$D$30,0),IF($T214="Nights",IF(ISNUMBER(Setup!$E$30),Setup!$E$30,0),IF(OR($T214="Exact amounts",$T214="Custom units"),0,1))))))</f>
        <v>0</v>
      </c>
      <c r="AE214" s="29">
        <f t="shared" si="13"/>
        <v>0</v>
      </c>
      <c r="AF214" s="30">
        <f t="shared" si="14"/>
        <v>1</v>
      </c>
      <c r="AG214" s="29">
        <f t="shared" si="15"/>
        <v>0</v>
      </c>
    </row>
    <row r="215" spans="1:33" ht="16" x14ac:dyDescent="0.2">
      <c r="A215" s="22" t="str">
        <f t="shared" si="12"/>
        <v>—</v>
      </c>
      <c r="B215" s="31"/>
      <c r="C215" s="11"/>
      <c r="D215" s="11"/>
      <c r="E215" s="32"/>
      <c r="F215" s="11"/>
      <c r="G215" s="11"/>
      <c r="H215" s="33"/>
      <c r="I215" s="33"/>
      <c r="J215" s="33"/>
      <c r="K215" s="33"/>
      <c r="L215" s="33"/>
      <c r="M215" s="33"/>
      <c r="N215" s="33"/>
      <c r="O215" s="33"/>
      <c r="P215" s="33"/>
      <c r="Q215" s="33"/>
      <c r="R215" s="26" t="str">
        <f>IF($T215="","",IF($D215="","Who paid?",IF(SUMPRODUCT((Setup!$B$21:$B$30=$D215)*1)=0,"Payer is not in the member list on Setup",IF($E215="","Amount missing — type the number in column E",IF(NOT(ISNUMBER($E215)),"Amount must be a plain number — no currency symbol, no text",IF(AND($T215="Custom units",$AE215&lt;=0),"Custom units: nobody has units on this row — type a number for at least one person",IF($AE215&lt;=0,"Nobody shares this row — check the person columns H–Q, and the Weight / Nights columns on Setup",IF(AND($T215="Exact amounts",ABS($AE215-$AG215)&gt;0.01),"Exact amounts do not add up to the amount","OK"))))))))</f>
        <v/>
      </c>
      <c r="S215" s="27" t="str">
        <f>IFERROR(IF(OR($T215="",$C$4=""),"—",ROUND($AG215*INDEX($U215:$AD215,1,MATCH($C$4,Setup!$B$21:$B$30,0))/$AF215,2)),"—")</f>
        <v>—</v>
      </c>
      <c r="T215" s="28" t="str">
        <f>IF(AND($C215="",$D215="",NOT(ISNUMBER($E215))),"",IF($G215="",IF(Setup!$C$17="","Equal",Setup!$C$17),$G215))</f>
        <v/>
      </c>
      <c r="U215" s="29">
        <f>IF($T215="",0,IF(OR(Setup!$B$21="",Setup!$C$21="No"),0,IF(ISNUMBER(H215),H215,IF($T215="Weights",IF(ISNUMBER(Setup!$D$21),Setup!$D$21,0),IF($T215="Nights",IF(ISNUMBER(Setup!$E$21),Setup!$E$21,0),IF(OR($T215="Exact amounts",$T215="Custom units"),0,1))))))</f>
        <v>0</v>
      </c>
      <c r="V215" s="29">
        <f>IF($T215="",0,IF(OR(Setup!$B$22="",Setup!$C$22="No"),0,IF(ISNUMBER(I215),I215,IF($T215="Weights",IF(ISNUMBER(Setup!$D$22),Setup!$D$22,0),IF($T215="Nights",IF(ISNUMBER(Setup!$E$22),Setup!$E$22,0),IF(OR($T215="Exact amounts",$T215="Custom units"),0,1))))))</f>
        <v>0</v>
      </c>
      <c r="W215" s="29">
        <f>IF($T215="",0,IF(OR(Setup!$B$23="",Setup!$C$23="No"),0,IF(ISNUMBER(J215),J215,IF($T215="Weights",IF(ISNUMBER(Setup!$D$23),Setup!$D$23,0),IF($T215="Nights",IF(ISNUMBER(Setup!$E$23),Setup!$E$23,0),IF(OR($T215="Exact amounts",$T215="Custom units"),0,1))))))</f>
        <v>0</v>
      </c>
      <c r="X215" s="29">
        <f>IF($T215="",0,IF(OR(Setup!$B$24="",Setup!$C$24="No"),0,IF(ISNUMBER(K215),K215,IF($T215="Weights",IF(ISNUMBER(Setup!$D$24),Setup!$D$24,0),IF($T215="Nights",IF(ISNUMBER(Setup!$E$24),Setup!$E$24,0),IF(OR($T215="Exact amounts",$T215="Custom units"),0,1))))))</f>
        <v>0</v>
      </c>
      <c r="Y215" s="29">
        <f>IF($T215="",0,IF(OR(Setup!$B$25="",Setup!$C$25="No"),0,IF(ISNUMBER(L215),L215,IF($T215="Weights",IF(ISNUMBER(Setup!$D$25),Setup!$D$25,0),IF($T215="Nights",IF(ISNUMBER(Setup!$E$25),Setup!$E$25,0),IF(OR($T215="Exact amounts",$T215="Custom units"),0,1))))))</f>
        <v>0</v>
      </c>
      <c r="Z215" s="29">
        <f>IF($T215="",0,IF(OR(Setup!$B$26="",Setup!$C$26="No"),0,IF(ISNUMBER(M215),M215,IF($T215="Weights",IF(ISNUMBER(Setup!$D$26),Setup!$D$26,0),IF($T215="Nights",IF(ISNUMBER(Setup!$E$26),Setup!$E$26,0),IF(OR($T215="Exact amounts",$T215="Custom units"),0,1))))))</f>
        <v>0</v>
      </c>
      <c r="AA215" s="29">
        <f>IF($T215="",0,IF(OR(Setup!$B$27="",Setup!$C$27="No"),0,IF(ISNUMBER(N215),N215,IF($T215="Weights",IF(ISNUMBER(Setup!$D$27),Setup!$D$27,0),IF($T215="Nights",IF(ISNUMBER(Setup!$E$27),Setup!$E$27,0),IF(OR($T215="Exact amounts",$T215="Custom units"),0,1))))))</f>
        <v>0</v>
      </c>
      <c r="AB215" s="29">
        <f>IF($T215="",0,IF(OR(Setup!$B$28="",Setup!$C$28="No"),0,IF(ISNUMBER(O215),O215,IF($T215="Weights",IF(ISNUMBER(Setup!$D$28),Setup!$D$28,0),IF($T215="Nights",IF(ISNUMBER(Setup!$E$28),Setup!$E$28,0),IF(OR($T215="Exact amounts",$T215="Custom units"),0,1))))))</f>
        <v>0</v>
      </c>
      <c r="AC215" s="29">
        <f>IF($T215="",0,IF(OR(Setup!$B$29="",Setup!$C$29="No"),0,IF(ISNUMBER(P215),P215,IF($T215="Weights",IF(ISNUMBER(Setup!$D$29),Setup!$D$29,0),IF($T215="Nights",IF(ISNUMBER(Setup!$E$29),Setup!$E$29,0),IF(OR($T215="Exact amounts",$T215="Custom units"),0,1))))))</f>
        <v>0</v>
      </c>
      <c r="AD215" s="29">
        <f>IF($T215="",0,IF(OR(Setup!$B$30="",Setup!$C$30="No"),0,IF(ISNUMBER(Q215),Q215,IF($T215="Weights",IF(ISNUMBER(Setup!$D$30),Setup!$D$30,0),IF($T215="Nights",IF(ISNUMBER(Setup!$E$30),Setup!$E$30,0),IF(OR($T215="Exact amounts",$T215="Custom units"),0,1))))))</f>
        <v>0</v>
      </c>
      <c r="AE215" s="29">
        <f t="shared" si="13"/>
        <v>0</v>
      </c>
      <c r="AF215" s="30">
        <f t="shared" si="14"/>
        <v>1</v>
      </c>
      <c r="AG215" s="29">
        <f t="shared" si="15"/>
        <v>0</v>
      </c>
    </row>
    <row r="216" spans="1:33" ht="16" x14ac:dyDescent="0.2">
      <c r="A216" s="22" t="str">
        <f t="shared" si="12"/>
        <v>—</v>
      </c>
      <c r="B216" s="23"/>
      <c r="C216" s="16"/>
      <c r="D216" s="16"/>
      <c r="E216" s="24"/>
      <c r="F216" s="16"/>
      <c r="G216" s="16"/>
      <c r="H216" s="25"/>
      <c r="I216" s="25"/>
      <c r="J216" s="25"/>
      <c r="K216" s="25"/>
      <c r="L216" s="25"/>
      <c r="M216" s="25"/>
      <c r="N216" s="25"/>
      <c r="O216" s="25"/>
      <c r="P216" s="25"/>
      <c r="Q216" s="25"/>
      <c r="R216" s="26" t="str">
        <f>IF($T216="","",IF($D216="","Who paid?",IF(SUMPRODUCT((Setup!$B$21:$B$30=$D216)*1)=0,"Payer is not in the member list on Setup",IF($E216="","Amount missing — type the number in column E",IF(NOT(ISNUMBER($E216)),"Amount must be a plain number — no currency symbol, no text",IF(AND($T216="Custom units",$AE216&lt;=0),"Custom units: nobody has units on this row — type a number for at least one person",IF($AE216&lt;=0,"Nobody shares this row — check the person columns H–Q, and the Weight / Nights columns on Setup",IF(AND($T216="Exact amounts",ABS($AE216-$AG216)&gt;0.01),"Exact amounts do not add up to the amount","OK"))))))))</f>
        <v/>
      </c>
      <c r="S216" s="27" t="str">
        <f>IFERROR(IF(OR($T216="",$C$4=""),"—",ROUND($AG216*INDEX($U216:$AD216,1,MATCH($C$4,Setup!$B$21:$B$30,0))/$AF216,2)),"—")</f>
        <v>—</v>
      </c>
      <c r="T216" s="28" t="str">
        <f>IF(AND($C216="",$D216="",NOT(ISNUMBER($E216))),"",IF($G216="",IF(Setup!$C$17="","Equal",Setup!$C$17),$G216))</f>
        <v/>
      </c>
      <c r="U216" s="29">
        <f>IF($T216="",0,IF(OR(Setup!$B$21="",Setup!$C$21="No"),0,IF(ISNUMBER(H216),H216,IF($T216="Weights",IF(ISNUMBER(Setup!$D$21),Setup!$D$21,0),IF($T216="Nights",IF(ISNUMBER(Setup!$E$21),Setup!$E$21,0),IF(OR($T216="Exact amounts",$T216="Custom units"),0,1))))))</f>
        <v>0</v>
      </c>
      <c r="V216" s="29">
        <f>IF($T216="",0,IF(OR(Setup!$B$22="",Setup!$C$22="No"),0,IF(ISNUMBER(I216),I216,IF($T216="Weights",IF(ISNUMBER(Setup!$D$22),Setup!$D$22,0),IF($T216="Nights",IF(ISNUMBER(Setup!$E$22),Setup!$E$22,0),IF(OR($T216="Exact amounts",$T216="Custom units"),0,1))))))</f>
        <v>0</v>
      </c>
      <c r="W216" s="29">
        <f>IF($T216="",0,IF(OR(Setup!$B$23="",Setup!$C$23="No"),0,IF(ISNUMBER(J216),J216,IF($T216="Weights",IF(ISNUMBER(Setup!$D$23),Setup!$D$23,0),IF($T216="Nights",IF(ISNUMBER(Setup!$E$23),Setup!$E$23,0),IF(OR($T216="Exact amounts",$T216="Custom units"),0,1))))))</f>
        <v>0</v>
      </c>
      <c r="X216" s="29">
        <f>IF($T216="",0,IF(OR(Setup!$B$24="",Setup!$C$24="No"),0,IF(ISNUMBER(K216),K216,IF($T216="Weights",IF(ISNUMBER(Setup!$D$24),Setup!$D$24,0),IF($T216="Nights",IF(ISNUMBER(Setup!$E$24),Setup!$E$24,0),IF(OR($T216="Exact amounts",$T216="Custom units"),0,1))))))</f>
        <v>0</v>
      </c>
      <c r="Y216" s="29">
        <f>IF($T216="",0,IF(OR(Setup!$B$25="",Setup!$C$25="No"),0,IF(ISNUMBER(L216),L216,IF($T216="Weights",IF(ISNUMBER(Setup!$D$25),Setup!$D$25,0),IF($T216="Nights",IF(ISNUMBER(Setup!$E$25),Setup!$E$25,0),IF(OR($T216="Exact amounts",$T216="Custom units"),0,1))))))</f>
        <v>0</v>
      </c>
      <c r="Z216" s="29">
        <f>IF($T216="",0,IF(OR(Setup!$B$26="",Setup!$C$26="No"),0,IF(ISNUMBER(M216),M216,IF($T216="Weights",IF(ISNUMBER(Setup!$D$26),Setup!$D$26,0),IF($T216="Nights",IF(ISNUMBER(Setup!$E$26),Setup!$E$26,0),IF(OR($T216="Exact amounts",$T216="Custom units"),0,1))))))</f>
        <v>0</v>
      </c>
      <c r="AA216" s="29">
        <f>IF($T216="",0,IF(OR(Setup!$B$27="",Setup!$C$27="No"),0,IF(ISNUMBER(N216),N216,IF($T216="Weights",IF(ISNUMBER(Setup!$D$27),Setup!$D$27,0),IF($T216="Nights",IF(ISNUMBER(Setup!$E$27),Setup!$E$27,0),IF(OR($T216="Exact amounts",$T216="Custom units"),0,1))))))</f>
        <v>0</v>
      </c>
      <c r="AB216" s="29">
        <f>IF($T216="",0,IF(OR(Setup!$B$28="",Setup!$C$28="No"),0,IF(ISNUMBER(O216),O216,IF($T216="Weights",IF(ISNUMBER(Setup!$D$28),Setup!$D$28,0),IF($T216="Nights",IF(ISNUMBER(Setup!$E$28),Setup!$E$28,0),IF(OR($T216="Exact amounts",$T216="Custom units"),0,1))))))</f>
        <v>0</v>
      </c>
      <c r="AC216" s="29">
        <f>IF($T216="",0,IF(OR(Setup!$B$29="",Setup!$C$29="No"),0,IF(ISNUMBER(P216),P216,IF($T216="Weights",IF(ISNUMBER(Setup!$D$29),Setup!$D$29,0),IF($T216="Nights",IF(ISNUMBER(Setup!$E$29),Setup!$E$29,0),IF(OR($T216="Exact amounts",$T216="Custom units"),0,1))))))</f>
        <v>0</v>
      </c>
      <c r="AD216" s="29">
        <f>IF($T216="",0,IF(OR(Setup!$B$30="",Setup!$C$30="No"),0,IF(ISNUMBER(Q216),Q216,IF($T216="Weights",IF(ISNUMBER(Setup!$D$30),Setup!$D$30,0),IF($T216="Nights",IF(ISNUMBER(Setup!$E$30),Setup!$E$30,0),IF(OR($T216="Exact amounts",$T216="Custom units"),0,1))))))</f>
        <v>0</v>
      </c>
      <c r="AE216" s="29">
        <f t="shared" si="13"/>
        <v>0</v>
      </c>
      <c r="AF216" s="30">
        <f t="shared" si="14"/>
        <v>1</v>
      </c>
      <c r="AG216" s="29">
        <f t="shared" si="15"/>
        <v>0</v>
      </c>
    </row>
    <row r="217" spans="1:33" ht="16" x14ac:dyDescent="0.2">
      <c r="A217" s="22" t="str">
        <f t="shared" si="12"/>
        <v>—</v>
      </c>
      <c r="B217" s="31"/>
      <c r="C217" s="11"/>
      <c r="D217" s="11"/>
      <c r="E217" s="32"/>
      <c r="F217" s="11"/>
      <c r="G217" s="11"/>
      <c r="H217" s="33"/>
      <c r="I217" s="33"/>
      <c r="J217" s="33"/>
      <c r="K217" s="33"/>
      <c r="L217" s="33"/>
      <c r="M217" s="33"/>
      <c r="N217" s="33"/>
      <c r="O217" s="33"/>
      <c r="P217" s="33"/>
      <c r="Q217" s="33"/>
      <c r="R217" s="26" t="str">
        <f>IF($T217="","",IF($D217="","Who paid?",IF(SUMPRODUCT((Setup!$B$21:$B$30=$D217)*1)=0,"Payer is not in the member list on Setup",IF($E217="","Amount missing — type the number in column E",IF(NOT(ISNUMBER($E217)),"Amount must be a plain number — no currency symbol, no text",IF(AND($T217="Custom units",$AE217&lt;=0),"Custom units: nobody has units on this row — type a number for at least one person",IF($AE217&lt;=0,"Nobody shares this row — check the person columns H–Q, and the Weight / Nights columns on Setup",IF(AND($T217="Exact amounts",ABS($AE217-$AG217)&gt;0.01),"Exact amounts do not add up to the amount","OK"))))))))</f>
        <v/>
      </c>
      <c r="S217" s="27" t="str">
        <f>IFERROR(IF(OR($T217="",$C$4=""),"—",ROUND($AG217*INDEX($U217:$AD217,1,MATCH($C$4,Setup!$B$21:$B$30,0))/$AF217,2)),"—")</f>
        <v>—</v>
      </c>
      <c r="T217" s="28" t="str">
        <f>IF(AND($C217="",$D217="",NOT(ISNUMBER($E217))),"",IF($G217="",IF(Setup!$C$17="","Equal",Setup!$C$17),$G217))</f>
        <v/>
      </c>
      <c r="U217" s="29">
        <f>IF($T217="",0,IF(OR(Setup!$B$21="",Setup!$C$21="No"),0,IF(ISNUMBER(H217),H217,IF($T217="Weights",IF(ISNUMBER(Setup!$D$21),Setup!$D$21,0),IF($T217="Nights",IF(ISNUMBER(Setup!$E$21),Setup!$E$21,0),IF(OR($T217="Exact amounts",$T217="Custom units"),0,1))))))</f>
        <v>0</v>
      </c>
      <c r="V217" s="29">
        <f>IF($T217="",0,IF(OR(Setup!$B$22="",Setup!$C$22="No"),0,IF(ISNUMBER(I217),I217,IF($T217="Weights",IF(ISNUMBER(Setup!$D$22),Setup!$D$22,0),IF($T217="Nights",IF(ISNUMBER(Setup!$E$22),Setup!$E$22,0),IF(OR($T217="Exact amounts",$T217="Custom units"),0,1))))))</f>
        <v>0</v>
      </c>
      <c r="W217" s="29">
        <f>IF($T217="",0,IF(OR(Setup!$B$23="",Setup!$C$23="No"),0,IF(ISNUMBER(J217),J217,IF($T217="Weights",IF(ISNUMBER(Setup!$D$23),Setup!$D$23,0),IF($T217="Nights",IF(ISNUMBER(Setup!$E$23),Setup!$E$23,0),IF(OR($T217="Exact amounts",$T217="Custom units"),0,1))))))</f>
        <v>0</v>
      </c>
      <c r="X217" s="29">
        <f>IF($T217="",0,IF(OR(Setup!$B$24="",Setup!$C$24="No"),0,IF(ISNUMBER(K217),K217,IF($T217="Weights",IF(ISNUMBER(Setup!$D$24),Setup!$D$24,0),IF($T217="Nights",IF(ISNUMBER(Setup!$E$24),Setup!$E$24,0),IF(OR($T217="Exact amounts",$T217="Custom units"),0,1))))))</f>
        <v>0</v>
      </c>
      <c r="Y217" s="29">
        <f>IF($T217="",0,IF(OR(Setup!$B$25="",Setup!$C$25="No"),0,IF(ISNUMBER(L217),L217,IF($T217="Weights",IF(ISNUMBER(Setup!$D$25),Setup!$D$25,0),IF($T217="Nights",IF(ISNUMBER(Setup!$E$25),Setup!$E$25,0),IF(OR($T217="Exact amounts",$T217="Custom units"),0,1))))))</f>
        <v>0</v>
      </c>
      <c r="Z217" s="29">
        <f>IF($T217="",0,IF(OR(Setup!$B$26="",Setup!$C$26="No"),0,IF(ISNUMBER(M217),M217,IF($T217="Weights",IF(ISNUMBER(Setup!$D$26),Setup!$D$26,0),IF($T217="Nights",IF(ISNUMBER(Setup!$E$26),Setup!$E$26,0),IF(OR($T217="Exact amounts",$T217="Custom units"),0,1))))))</f>
        <v>0</v>
      </c>
      <c r="AA217" s="29">
        <f>IF($T217="",0,IF(OR(Setup!$B$27="",Setup!$C$27="No"),0,IF(ISNUMBER(N217),N217,IF($T217="Weights",IF(ISNUMBER(Setup!$D$27),Setup!$D$27,0),IF($T217="Nights",IF(ISNUMBER(Setup!$E$27),Setup!$E$27,0),IF(OR($T217="Exact amounts",$T217="Custom units"),0,1))))))</f>
        <v>0</v>
      </c>
      <c r="AB217" s="29">
        <f>IF($T217="",0,IF(OR(Setup!$B$28="",Setup!$C$28="No"),0,IF(ISNUMBER(O217),O217,IF($T217="Weights",IF(ISNUMBER(Setup!$D$28),Setup!$D$28,0),IF($T217="Nights",IF(ISNUMBER(Setup!$E$28),Setup!$E$28,0),IF(OR($T217="Exact amounts",$T217="Custom units"),0,1))))))</f>
        <v>0</v>
      </c>
      <c r="AC217" s="29">
        <f>IF($T217="",0,IF(OR(Setup!$B$29="",Setup!$C$29="No"),0,IF(ISNUMBER(P217),P217,IF($T217="Weights",IF(ISNUMBER(Setup!$D$29),Setup!$D$29,0),IF($T217="Nights",IF(ISNUMBER(Setup!$E$29),Setup!$E$29,0),IF(OR($T217="Exact amounts",$T217="Custom units"),0,1))))))</f>
        <v>0</v>
      </c>
      <c r="AD217" s="29">
        <f>IF($T217="",0,IF(OR(Setup!$B$30="",Setup!$C$30="No"),0,IF(ISNUMBER(Q217),Q217,IF($T217="Weights",IF(ISNUMBER(Setup!$D$30),Setup!$D$30,0),IF($T217="Nights",IF(ISNUMBER(Setup!$E$30),Setup!$E$30,0),IF(OR($T217="Exact amounts",$T217="Custom units"),0,1))))))</f>
        <v>0</v>
      </c>
      <c r="AE217" s="29">
        <f t="shared" si="13"/>
        <v>0</v>
      </c>
      <c r="AF217" s="30">
        <f t="shared" si="14"/>
        <v>1</v>
      </c>
      <c r="AG217" s="29">
        <f t="shared" si="15"/>
        <v>0</v>
      </c>
    </row>
    <row r="218" spans="1:33" ht="16" x14ac:dyDescent="0.2">
      <c r="A218" s="22" t="str">
        <f t="shared" si="12"/>
        <v>—</v>
      </c>
      <c r="B218" s="23"/>
      <c r="C218" s="16"/>
      <c r="D218" s="16"/>
      <c r="E218" s="24"/>
      <c r="F218" s="16"/>
      <c r="G218" s="16"/>
      <c r="H218" s="25"/>
      <c r="I218" s="25"/>
      <c r="J218" s="25"/>
      <c r="K218" s="25"/>
      <c r="L218" s="25"/>
      <c r="M218" s="25"/>
      <c r="N218" s="25"/>
      <c r="O218" s="25"/>
      <c r="P218" s="25"/>
      <c r="Q218" s="25"/>
      <c r="R218" s="26" t="str">
        <f>IF($T218="","",IF($D218="","Who paid?",IF(SUMPRODUCT((Setup!$B$21:$B$30=$D218)*1)=0,"Payer is not in the member list on Setup",IF($E218="","Amount missing — type the number in column E",IF(NOT(ISNUMBER($E218)),"Amount must be a plain number — no currency symbol, no text",IF(AND($T218="Custom units",$AE218&lt;=0),"Custom units: nobody has units on this row — type a number for at least one person",IF($AE218&lt;=0,"Nobody shares this row — check the person columns H–Q, and the Weight / Nights columns on Setup",IF(AND($T218="Exact amounts",ABS($AE218-$AG218)&gt;0.01),"Exact amounts do not add up to the amount","OK"))))))))</f>
        <v/>
      </c>
      <c r="S218" s="27" t="str">
        <f>IFERROR(IF(OR($T218="",$C$4=""),"—",ROUND($AG218*INDEX($U218:$AD218,1,MATCH($C$4,Setup!$B$21:$B$30,0))/$AF218,2)),"—")</f>
        <v>—</v>
      </c>
      <c r="T218" s="28" t="str">
        <f>IF(AND($C218="",$D218="",NOT(ISNUMBER($E218))),"",IF($G218="",IF(Setup!$C$17="","Equal",Setup!$C$17),$G218))</f>
        <v/>
      </c>
      <c r="U218" s="29">
        <f>IF($T218="",0,IF(OR(Setup!$B$21="",Setup!$C$21="No"),0,IF(ISNUMBER(H218),H218,IF($T218="Weights",IF(ISNUMBER(Setup!$D$21),Setup!$D$21,0),IF($T218="Nights",IF(ISNUMBER(Setup!$E$21),Setup!$E$21,0),IF(OR($T218="Exact amounts",$T218="Custom units"),0,1))))))</f>
        <v>0</v>
      </c>
      <c r="V218" s="29">
        <f>IF($T218="",0,IF(OR(Setup!$B$22="",Setup!$C$22="No"),0,IF(ISNUMBER(I218),I218,IF($T218="Weights",IF(ISNUMBER(Setup!$D$22),Setup!$D$22,0),IF($T218="Nights",IF(ISNUMBER(Setup!$E$22),Setup!$E$22,0),IF(OR($T218="Exact amounts",$T218="Custom units"),0,1))))))</f>
        <v>0</v>
      </c>
      <c r="W218" s="29">
        <f>IF($T218="",0,IF(OR(Setup!$B$23="",Setup!$C$23="No"),0,IF(ISNUMBER(J218),J218,IF($T218="Weights",IF(ISNUMBER(Setup!$D$23),Setup!$D$23,0),IF($T218="Nights",IF(ISNUMBER(Setup!$E$23),Setup!$E$23,0),IF(OR($T218="Exact amounts",$T218="Custom units"),0,1))))))</f>
        <v>0</v>
      </c>
      <c r="X218" s="29">
        <f>IF($T218="",0,IF(OR(Setup!$B$24="",Setup!$C$24="No"),0,IF(ISNUMBER(K218),K218,IF($T218="Weights",IF(ISNUMBER(Setup!$D$24),Setup!$D$24,0),IF($T218="Nights",IF(ISNUMBER(Setup!$E$24),Setup!$E$24,0),IF(OR($T218="Exact amounts",$T218="Custom units"),0,1))))))</f>
        <v>0</v>
      </c>
      <c r="Y218" s="29">
        <f>IF($T218="",0,IF(OR(Setup!$B$25="",Setup!$C$25="No"),0,IF(ISNUMBER(L218),L218,IF($T218="Weights",IF(ISNUMBER(Setup!$D$25),Setup!$D$25,0),IF($T218="Nights",IF(ISNUMBER(Setup!$E$25),Setup!$E$25,0),IF(OR($T218="Exact amounts",$T218="Custom units"),0,1))))))</f>
        <v>0</v>
      </c>
      <c r="Z218" s="29">
        <f>IF($T218="",0,IF(OR(Setup!$B$26="",Setup!$C$26="No"),0,IF(ISNUMBER(M218),M218,IF($T218="Weights",IF(ISNUMBER(Setup!$D$26),Setup!$D$26,0),IF($T218="Nights",IF(ISNUMBER(Setup!$E$26),Setup!$E$26,0),IF(OR($T218="Exact amounts",$T218="Custom units"),0,1))))))</f>
        <v>0</v>
      </c>
      <c r="AA218" s="29">
        <f>IF($T218="",0,IF(OR(Setup!$B$27="",Setup!$C$27="No"),0,IF(ISNUMBER(N218),N218,IF($T218="Weights",IF(ISNUMBER(Setup!$D$27),Setup!$D$27,0),IF($T218="Nights",IF(ISNUMBER(Setup!$E$27),Setup!$E$27,0),IF(OR($T218="Exact amounts",$T218="Custom units"),0,1))))))</f>
        <v>0</v>
      </c>
      <c r="AB218" s="29">
        <f>IF($T218="",0,IF(OR(Setup!$B$28="",Setup!$C$28="No"),0,IF(ISNUMBER(O218),O218,IF($T218="Weights",IF(ISNUMBER(Setup!$D$28),Setup!$D$28,0),IF($T218="Nights",IF(ISNUMBER(Setup!$E$28),Setup!$E$28,0),IF(OR($T218="Exact amounts",$T218="Custom units"),0,1))))))</f>
        <v>0</v>
      </c>
      <c r="AC218" s="29">
        <f>IF($T218="",0,IF(OR(Setup!$B$29="",Setup!$C$29="No"),0,IF(ISNUMBER(P218),P218,IF($T218="Weights",IF(ISNUMBER(Setup!$D$29),Setup!$D$29,0),IF($T218="Nights",IF(ISNUMBER(Setup!$E$29),Setup!$E$29,0),IF(OR($T218="Exact amounts",$T218="Custom units"),0,1))))))</f>
        <v>0</v>
      </c>
      <c r="AD218" s="29">
        <f>IF($T218="",0,IF(OR(Setup!$B$30="",Setup!$C$30="No"),0,IF(ISNUMBER(Q218),Q218,IF($T218="Weights",IF(ISNUMBER(Setup!$D$30),Setup!$D$30,0),IF($T218="Nights",IF(ISNUMBER(Setup!$E$30),Setup!$E$30,0),IF(OR($T218="Exact amounts",$T218="Custom units"),0,1))))))</f>
        <v>0</v>
      </c>
      <c r="AE218" s="29">
        <f t="shared" si="13"/>
        <v>0</v>
      </c>
      <c r="AF218" s="30">
        <f t="shared" si="14"/>
        <v>1</v>
      </c>
      <c r="AG218" s="29">
        <f t="shared" si="15"/>
        <v>0</v>
      </c>
    </row>
    <row r="219" spans="1:33" ht="16" x14ac:dyDescent="0.2">
      <c r="A219" s="22" t="str">
        <f t="shared" si="12"/>
        <v>—</v>
      </c>
      <c r="B219" s="31"/>
      <c r="C219" s="11"/>
      <c r="D219" s="11"/>
      <c r="E219" s="32"/>
      <c r="F219" s="11"/>
      <c r="G219" s="11"/>
      <c r="H219" s="33"/>
      <c r="I219" s="33"/>
      <c r="J219" s="33"/>
      <c r="K219" s="33"/>
      <c r="L219" s="33"/>
      <c r="M219" s="33"/>
      <c r="N219" s="33"/>
      <c r="O219" s="33"/>
      <c r="P219" s="33"/>
      <c r="Q219" s="33"/>
      <c r="R219" s="26" t="str">
        <f>IF($T219="","",IF($D219="","Who paid?",IF(SUMPRODUCT((Setup!$B$21:$B$30=$D219)*1)=0,"Payer is not in the member list on Setup",IF($E219="","Amount missing — type the number in column E",IF(NOT(ISNUMBER($E219)),"Amount must be a plain number — no currency symbol, no text",IF(AND($T219="Custom units",$AE219&lt;=0),"Custom units: nobody has units on this row — type a number for at least one person",IF($AE219&lt;=0,"Nobody shares this row — check the person columns H–Q, and the Weight / Nights columns on Setup",IF(AND($T219="Exact amounts",ABS($AE219-$AG219)&gt;0.01),"Exact amounts do not add up to the amount","OK"))))))))</f>
        <v/>
      </c>
      <c r="S219" s="27" t="str">
        <f>IFERROR(IF(OR($T219="",$C$4=""),"—",ROUND($AG219*INDEX($U219:$AD219,1,MATCH($C$4,Setup!$B$21:$B$30,0))/$AF219,2)),"—")</f>
        <v>—</v>
      </c>
      <c r="T219" s="28" t="str">
        <f>IF(AND($C219="",$D219="",NOT(ISNUMBER($E219))),"",IF($G219="",IF(Setup!$C$17="","Equal",Setup!$C$17),$G219))</f>
        <v/>
      </c>
      <c r="U219" s="29">
        <f>IF($T219="",0,IF(OR(Setup!$B$21="",Setup!$C$21="No"),0,IF(ISNUMBER(H219),H219,IF($T219="Weights",IF(ISNUMBER(Setup!$D$21),Setup!$D$21,0),IF($T219="Nights",IF(ISNUMBER(Setup!$E$21),Setup!$E$21,0),IF(OR($T219="Exact amounts",$T219="Custom units"),0,1))))))</f>
        <v>0</v>
      </c>
      <c r="V219" s="29">
        <f>IF($T219="",0,IF(OR(Setup!$B$22="",Setup!$C$22="No"),0,IF(ISNUMBER(I219),I219,IF($T219="Weights",IF(ISNUMBER(Setup!$D$22),Setup!$D$22,0),IF($T219="Nights",IF(ISNUMBER(Setup!$E$22),Setup!$E$22,0),IF(OR($T219="Exact amounts",$T219="Custom units"),0,1))))))</f>
        <v>0</v>
      </c>
      <c r="W219" s="29">
        <f>IF($T219="",0,IF(OR(Setup!$B$23="",Setup!$C$23="No"),0,IF(ISNUMBER(J219),J219,IF($T219="Weights",IF(ISNUMBER(Setup!$D$23),Setup!$D$23,0),IF($T219="Nights",IF(ISNUMBER(Setup!$E$23),Setup!$E$23,0),IF(OR($T219="Exact amounts",$T219="Custom units"),0,1))))))</f>
        <v>0</v>
      </c>
      <c r="X219" s="29">
        <f>IF($T219="",0,IF(OR(Setup!$B$24="",Setup!$C$24="No"),0,IF(ISNUMBER(K219),K219,IF($T219="Weights",IF(ISNUMBER(Setup!$D$24),Setup!$D$24,0),IF($T219="Nights",IF(ISNUMBER(Setup!$E$24),Setup!$E$24,0),IF(OR($T219="Exact amounts",$T219="Custom units"),0,1))))))</f>
        <v>0</v>
      </c>
      <c r="Y219" s="29">
        <f>IF($T219="",0,IF(OR(Setup!$B$25="",Setup!$C$25="No"),0,IF(ISNUMBER(L219),L219,IF($T219="Weights",IF(ISNUMBER(Setup!$D$25),Setup!$D$25,0),IF($T219="Nights",IF(ISNUMBER(Setup!$E$25),Setup!$E$25,0),IF(OR($T219="Exact amounts",$T219="Custom units"),0,1))))))</f>
        <v>0</v>
      </c>
      <c r="Z219" s="29">
        <f>IF($T219="",0,IF(OR(Setup!$B$26="",Setup!$C$26="No"),0,IF(ISNUMBER(M219),M219,IF($T219="Weights",IF(ISNUMBER(Setup!$D$26),Setup!$D$26,0),IF($T219="Nights",IF(ISNUMBER(Setup!$E$26),Setup!$E$26,0),IF(OR($T219="Exact amounts",$T219="Custom units"),0,1))))))</f>
        <v>0</v>
      </c>
      <c r="AA219" s="29">
        <f>IF($T219="",0,IF(OR(Setup!$B$27="",Setup!$C$27="No"),0,IF(ISNUMBER(N219),N219,IF($T219="Weights",IF(ISNUMBER(Setup!$D$27),Setup!$D$27,0),IF($T219="Nights",IF(ISNUMBER(Setup!$E$27),Setup!$E$27,0),IF(OR($T219="Exact amounts",$T219="Custom units"),0,1))))))</f>
        <v>0</v>
      </c>
      <c r="AB219" s="29">
        <f>IF($T219="",0,IF(OR(Setup!$B$28="",Setup!$C$28="No"),0,IF(ISNUMBER(O219),O219,IF($T219="Weights",IF(ISNUMBER(Setup!$D$28),Setup!$D$28,0),IF($T219="Nights",IF(ISNUMBER(Setup!$E$28),Setup!$E$28,0),IF(OR($T219="Exact amounts",$T219="Custom units"),0,1))))))</f>
        <v>0</v>
      </c>
      <c r="AC219" s="29">
        <f>IF($T219="",0,IF(OR(Setup!$B$29="",Setup!$C$29="No"),0,IF(ISNUMBER(P219),P219,IF($T219="Weights",IF(ISNUMBER(Setup!$D$29),Setup!$D$29,0),IF($T219="Nights",IF(ISNUMBER(Setup!$E$29),Setup!$E$29,0),IF(OR($T219="Exact amounts",$T219="Custom units"),0,1))))))</f>
        <v>0</v>
      </c>
      <c r="AD219" s="29">
        <f>IF($T219="",0,IF(OR(Setup!$B$30="",Setup!$C$30="No"),0,IF(ISNUMBER(Q219),Q219,IF($T219="Weights",IF(ISNUMBER(Setup!$D$30),Setup!$D$30,0),IF($T219="Nights",IF(ISNUMBER(Setup!$E$30),Setup!$E$30,0),IF(OR($T219="Exact amounts",$T219="Custom units"),0,1))))))</f>
        <v>0</v>
      </c>
      <c r="AE219" s="29">
        <f t="shared" si="13"/>
        <v>0</v>
      </c>
      <c r="AF219" s="30">
        <f t="shared" si="14"/>
        <v>1</v>
      </c>
      <c r="AG219" s="29">
        <f t="shared" si="15"/>
        <v>0</v>
      </c>
    </row>
    <row r="220" spans="1:33" ht="16" x14ac:dyDescent="0.2">
      <c r="A220" s="22" t="str">
        <f t="shared" si="12"/>
        <v>—</v>
      </c>
      <c r="B220" s="23"/>
      <c r="C220" s="16"/>
      <c r="D220" s="16"/>
      <c r="E220" s="24"/>
      <c r="F220" s="16"/>
      <c r="G220" s="16"/>
      <c r="H220" s="25"/>
      <c r="I220" s="25"/>
      <c r="J220" s="25"/>
      <c r="K220" s="25"/>
      <c r="L220" s="25"/>
      <c r="M220" s="25"/>
      <c r="N220" s="25"/>
      <c r="O220" s="25"/>
      <c r="P220" s="25"/>
      <c r="Q220" s="25"/>
      <c r="R220" s="26" t="str">
        <f>IF($T220="","",IF($D220="","Who paid?",IF(SUMPRODUCT((Setup!$B$21:$B$30=$D220)*1)=0,"Payer is not in the member list on Setup",IF($E220="","Amount missing — type the number in column E",IF(NOT(ISNUMBER($E220)),"Amount must be a plain number — no currency symbol, no text",IF(AND($T220="Custom units",$AE220&lt;=0),"Custom units: nobody has units on this row — type a number for at least one person",IF($AE220&lt;=0,"Nobody shares this row — check the person columns H–Q, and the Weight / Nights columns on Setup",IF(AND($T220="Exact amounts",ABS($AE220-$AG220)&gt;0.01),"Exact amounts do not add up to the amount","OK"))))))))</f>
        <v/>
      </c>
      <c r="S220" s="27" t="str">
        <f>IFERROR(IF(OR($T220="",$C$4=""),"—",ROUND($AG220*INDEX($U220:$AD220,1,MATCH($C$4,Setup!$B$21:$B$30,0))/$AF220,2)),"—")</f>
        <v>—</v>
      </c>
      <c r="T220" s="28" t="str">
        <f>IF(AND($C220="",$D220="",NOT(ISNUMBER($E220))),"",IF($G220="",IF(Setup!$C$17="","Equal",Setup!$C$17),$G220))</f>
        <v/>
      </c>
      <c r="U220" s="29">
        <f>IF($T220="",0,IF(OR(Setup!$B$21="",Setup!$C$21="No"),0,IF(ISNUMBER(H220),H220,IF($T220="Weights",IF(ISNUMBER(Setup!$D$21),Setup!$D$21,0),IF($T220="Nights",IF(ISNUMBER(Setup!$E$21),Setup!$E$21,0),IF(OR($T220="Exact amounts",$T220="Custom units"),0,1))))))</f>
        <v>0</v>
      </c>
      <c r="V220" s="29">
        <f>IF($T220="",0,IF(OR(Setup!$B$22="",Setup!$C$22="No"),0,IF(ISNUMBER(I220),I220,IF($T220="Weights",IF(ISNUMBER(Setup!$D$22),Setup!$D$22,0),IF($T220="Nights",IF(ISNUMBER(Setup!$E$22),Setup!$E$22,0),IF(OR($T220="Exact amounts",$T220="Custom units"),0,1))))))</f>
        <v>0</v>
      </c>
      <c r="W220" s="29">
        <f>IF($T220="",0,IF(OR(Setup!$B$23="",Setup!$C$23="No"),0,IF(ISNUMBER(J220),J220,IF($T220="Weights",IF(ISNUMBER(Setup!$D$23),Setup!$D$23,0),IF($T220="Nights",IF(ISNUMBER(Setup!$E$23),Setup!$E$23,0),IF(OR($T220="Exact amounts",$T220="Custom units"),0,1))))))</f>
        <v>0</v>
      </c>
      <c r="X220" s="29">
        <f>IF($T220="",0,IF(OR(Setup!$B$24="",Setup!$C$24="No"),0,IF(ISNUMBER(K220),K220,IF($T220="Weights",IF(ISNUMBER(Setup!$D$24),Setup!$D$24,0),IF($T220="Nights",IF(ISNUMBER(Setup!$E$24),Setup!$E$24,0),IF(OR($T220="Exact amounts",$T220="Custom units"),0,1))))))</f>
        <v>0</v>
      </c>
      <c r="Y220" s="29">
        <f>IF($T220="",0,IF(OR(Setup!$B$25="",Setup!$C$25="No"),0,IF(ISNUMBER(L220),L220,IF($T220="Weights",IF(ISNUMBER(Setup!$D$25),Setup!$D$25,0),IF($T220="Nights",IF(ISNUMBER(Setup!$E$25),Setup!$E$25,0),IF(OR($T220="Exact amounts",$T220="Custom units"),0,1))))))</f>
        <v>0</v>
      </c>
      <c r="Z220" s="29">
        <f>IF($T220="",0,IF(OR(Setup!$B$26="",Setup!$C$26="No"),0,IF(ISNUMBER(M220),M220,IF($T220="Weights",IF(ISNUMBER(Setup!$D$26),Setup!$D$26,0),IF($T220="Nights",IF(ISNUMBER(Setup!$E$26),Setup!$E$26,0),IF(OR($T220="Exact amounts",$T220="Custom units"),0,1))))))</f>
        <v>0</v>
      </c>
      <c r="AA220" s="29">
        <f>IF($T220="",0,IF(OR(Setup!$B$27="",Setup!$C$27="No"),0,IF(ISNUMBER(N220),N220,IF($T220="Weights",IF(ISNUMBER(Setup!$D$27),Setup!$D$27,0),IF($T220="Nights",IF(ISNUMBER(Setup!$E$27),Setup!$E$27,0),IF(OR($T220="Exact amounts",$T220="Custom units"),0,1))))))</f>
        <v>0</v>
      </c>
      <c r="AB220" s="29">
        <f>IF($T220="",0,IF(OR(Setup!$B$28="",Setup!$C$28="No"),0,IF(ISNUMBER(O220),O220,IF($T220="Weights",IF(ISNUMBER(Setup!$D$28),Setup!$D$28,0),IF($T220="Nights",IF(ISNUMBER(Setup!$E$28),Setup!$E$28,0),IF(OR($T220="Exact amounts",$T220="Custom units"),0,1))))))</f>
        <v>0</v>
      </c>
      <c r="AC220" s="29">
        <f>IF($T220="",0,IF(OR(Setup!$B$29="",Setup!$C$29="No"),0,IF(ISNUMBER(P220),P220,IF($T220="Weights",IF(ISNUMBER(Setup!$D$29),Setup!$D$29,0),IF($T220="Nights",IF(ISNUMBER(Setup!$E$29),Setup!$E$29,0),IF(OR($T220="Exact amounts",$T220="Custom units"),0,1))))))</f>
        <v>0</v>
      </c>
      <c r="AD220" s="29">
        <f>IF($T220="",0,IF(OR(Setup!$B$30="",Setup!$C$30="No"),0,IF(ISNUMBER(Q220),Q220,IF($T220="Weights",IF(ISNUMBER(Setup!$D$30),Setup!$D$30,0),IF($T220="Nights",IF(ISNUMBER(Setup!$E$30),Setup!$E$30,0),IF(OR($T220="Exact amounts",$T220="Custom units"),0,1))))))</f>
        <v>0</v>
      </c>
      <c r="AE220" s="29">
        <f t="shared" si="13"/>
        <v>0</v>
      </c>
      <c r="AF220" s="30">
        <f t="shared" si="14"/>
        <v>1</v>
      </c>
      <c r="AG220" s="29">
        <f t="shared" si="15"/>
        <v>0</v>
      </c>
    </row>
    <row r="221" spans="1:33" ht="16" x14ac:dyDescent="0.2">
      <c r="A221" s="22" t="str">
        <f t="shared" si="12"/>
        <v>—</v>
      </c>
      <c r="B221" s="31"/>
      <c r="C221" s="11"/>
      <c r="D221" s="11"/>
      <c r="E221" s="32"/>
      <c r="F221" s="11"/>
      <c r="G221" s="11"/>
      <c r="H221" s="33"/>
      <c r="I221" s="33"/>
      <c r="J221" s="33"/>
      <c r="K221" s="33"/>
      <c r="L221" s="33"/>
      <c r="M221" s="33"/>
      <c r="N221" s="33"/>
      <c r="O221" s="33"/>
      <c r="P221" s="33"/>
      <c r="Q221" s="33"/>
      <c r="R221" s="26" t="str">
        <f>IF($T221="","",IF($D221="","Who paid?",IF(SUMPRODUCT((Setup!$B$21:$B$30=$D221)*1)=0,"Payer is not in the member list on Setup",IF($E221="","Amount missing — type the number in column E",IF(NOT(ISNUMBER($E221)),"Amount must be a plain number — no currency symbol, no text",IF(AND($T221="Custom units",$AE221&lt;=0),"Custom units: nobody has units on this row — type a number for at least one person",IF($AE221&lt;=0,"Nobody shares this row — check the person columns H–Q, and the Weight / Nights columns on Setup",IF(AND($T221="Exact amounts",ABS($AE221-$AG221)&gt;0.01),"Exact amounts do not add up to the amount","OK"))))))))</f>
        <v/>
      </c>
      <c r="S221" s="27" t="str">
        <f>IFERROR(IF(OR($T221="",$C$4=""),"—",ROUND($AG221*INDEX($U221:$AD221,1,MATCH($C$4,Setup!$B$21:$B$30,0))/$AF221,2)),"—")</f>
        <v>—</v>
      </c>
      <c r="T221" s="28" t="str">
        <f>IF(AND($C221="",$D221="",NOT(ISNUMBER($E221))),"",IF($G221="",IF(Setup!$C$17="","Equal",Setup!$C$17),$G221))</f>
        <v/>
      </c>
      <c r="U221" s="29">
        <f>IF($T221="",0,IF(OR(Setup!$B$21="",Setup!$C$21="No"),0,IF(ISNUMBER(H221),H221,IF($T221="Weights",IF(ISNUMBER(Setup!$D$21),Setup!$D$21,0),IF($T221="Nights",IF(ISNUMBER(Setup!$E$21),Setup!$E$21,0),IF(OR($T221="Exact amounts",$T221="Custom units"),0,1))))))</f>
        <v>0</v>
      </c>
      <c r="V221" s="29">
        <f>IF($T221="",0,IF(OR(Setup!$B$22="",Setup!$C$22="No"),0,IF(ISNUMBER(I221),I221,IF($T221="Weights",IF(ISNUMBER(Setup!$D$22),Setup!$D$22,0),IF($T221="Nights",IF(ISNUMBER(Setup!$E$22),Setup!$E$22,0),IF(OR($T221="Exact amounts",$T221="Custom units"),0,1))))))</f>
        <v>0</v>
      </c>
      <c r="W221" s="29">
        <f>IF($T221="",0,IF(OR(Setup!$B$23="",Setup!$C$23="No"),0,IF(ISNUMBER(J221),J221,IF($T221="Weights",IF(ISNUMBER(Setup!$D$23),Setup!$D$23,0),IF($T221="Nights",IF(ISNUMBER(Setup!$E$23),Setup!$E$23,0),IF(OR($T221="Exact amounts",$T221="Custom units"),0,1))))))</f>
        <v>0</v>
      </c>
      <c r="X221" s="29">
        <f>IF($T221="",0,IF(OR(Setup!$B$24="",Setup!$C$24="No"),0,IF(ISNUMBER(K221),K221,IF($T221="Weights",IF(ISNUMBER(Setup!$D$24),Setup!$D$24,0),IF($T221="Nights",IF(ISNUMBER(Setup!$E$24),Setup!$E$24,0),IF(OR($T221="Exact amounts",$T221="Custom units"),0,1))))))</f>
        <v>0</v>
      </c>
      <c r="Y221" s="29">
        <f>IF($T221="",0,IF(OR(Setup!$B$25="",Setup!$C$25="No"),0,IF(ISNUMBER(L221),L221,IF($T221="Weights",IF(ISNUMBER(Setup!$D$25),Setup!$D$25,0),IF($T221="Nights",IF(ISNUMBER(Setup!$E$25),Setup!$E$25,0),IF(OR($T221="Exact amounts",$T221="Custom units"),0,1))))))</f>
        <v>0</v>
      </c>
      <c r="Z221" s="29">
        <f>IF($T221="",0,IF(OR(Setup!$B$26="",Setup!$C$26="No"),0,IF(ISNUMBER(M221),M221,IF($T221="Weights",IF(ISNUMBER(Setup!$D$26),Setup!$D$26,0),IF($T221="Nights",IF(ISNUMBER(Setup!$E$26),Setup!$E$26,0),IF(OR($T221="Exact amounts",$T221="Custom units"),0,1))))))</f>
        <v>0</v>
      </c>
      <c r="AA221" s="29">
        <f>IF($T221="",0,IF(OR(Setup!$B$27="",Setup!$C$27="No"),0,IF(ISNUMBER(N221),N221,IF($T221="Weights",IF(ISNUMBER(Setup!$D$27),Setup!$D$27,0),IF($T221="Nights",IF(ISNUMBER(Setup!$E$27),Setup!$E$27,0),IF(OR($T221="Exact amounts",$T221="Custom units"),0,1))))))</f>
        <v>0</v>
      </c>
      <c r="AB221" s="29">
        <f>IF($T221="",0,IF(OR(Setup!$B$28="",Setup!$C$28="No"),0,IF(ISNUMBER(O221),O221,IF($T221="Weights",IF(ISNUMBER(Setup!$D$28),Setup!$D$28,0),IF($T221="Nights",IF(ISNUMBER(Setup!$E$28),Setup!$E$28,0),IF(OR($T221="Exact amounts",$T221="Custom units"),0,1))))))</f>
        <v>0</v>
      </c>
      <c r="AC221" s="29">
        <f>IF($T221="",0,IF(OR(Setup!$B$29="",Setup!$C$29="No"),0,IF(ISNUMBER(P221),P221,IF($T221="Weights",IF(ISNUMBER(Setup!$D$29),Setup!$D$29,0),IF($T221="Nights",IF(ISNUMBER(Setup!$E$29),Setup!$E$29,0),IF(OR($T221="Exact amounts",$T221="Custom units"),0,1))))))</f>
        <v>0</v>
      </c>
      <c r="AD221" s="29">
        <f>IF($T221="",0,IF(OR(Setup!$B$30="",Setup!$C$30="No"),0,IF(ISNUMBER(Q221),Q221,IF($T221="Weights",IF(ISNUMBER(Setup!$D$30),Setup!$D$30,0),IF($T221="Nights",IF(ISNUMBER(Setup!$E$30),Setup!$E$30,0),IF(OR($T221="Exact amounts",$T221="Custom units"),0,1))))))</f>
        <v>0</v>
      </c>
      <c r="AE221" s="29">
        <f t="shared" si="13"/>
        <v>0</v>
      </c>
      <c r="AF221" s="30">
        <f t="shared" si="14"/>
        <v>1</v>
      </c>
      <c r="AG221" s="29">
        <f t="shared" si="15"/>
        <v>0</v>
      </c>
    </row>
    <row r="222" spans="1:33" ht="16" x14ac:dyDescent="0.2">
      <c r="A222" s="22" t="str">
        <f t="shared" si="12"/>
        <v>—</v>
      </c>
      <c r="B222" s="23"/>
      <c r="C222" s="16"/>
      <c r="D222" s="16"/>
      <c r="E222" s="24"/>
      <c r="F222" s="16"/>
      <c r="G222" s="16"/>
      <c r="H222" s="25"/>
      <c r="I222" s="25"/>
      <c r="J222" s="25"/>
      <c r="K222" s="25"/>
      <c r="L222" s="25"/>
      <c r="M222" s="25"/>
      <c r="N222" s="25"/>
      <c r="O222" s="25"/>
      <c r="P222" s="25"/>
      <c r="Q222" s="25"/>
      <c r="R222" s="26" t="str">
        <f>IF($T222="","",IF($D222="","Who paid?",IF(SUMPRODUCT((Setup!$B$21:$B$30=$D222)*1)=0,"Payer is not in the member list on Setup",IF($E222="","Amount missing — type the number in column E",IF(NOT(ISNUMBER($E222)),"Amount must be a plain number — no currency symbol, no text",IF(AND($T222="Custom units",$AE222&lt;=0),"Custom units: nobody has units on this row — type a number for at least one person",IF($AE222&lt;=0,"Nobody shares this row — check the person columns H–Q, and the Weight / Nights columns on Setup",IF(AND($T222="Exact amounts",ABS($AE222-$AG222)&gt;0.01),"Exact amounts do not add up to the amount","OK"))))))))</f>
        <v/>
      </c>
      <c r="S222" s="27" t="str">
        <f>IFERROR(IF(OR($T222="",$C$4=""),"—",ROUND($AG222*INDEX($U222:$AD222,1,MATCH($C$4,Setup!$B$21:$B$30,0))/$AF222,2)),"—")</f>
        <v>—</v>
      </c>
      <c r="T222" s="28" t="str">
        <f>IF(AND($C222="",$D222="",NOT(ISNUMBER($E222))),"",IF($G222="",IF(Setup!$C$17="","Equal",Setup!$C$17),$G222))</f>
        <v/>
      </c>
      <c r="U222" s="29">
        <f>IF($T222="",0,IF(OR(Setup!$B$21="",Setup!$C$21="No"),0,IF(ISNUMBER(H222),H222,IF($T222="Weights",IF(ISNUMBER(Setup!$D$21),Setup!$D$21,0),IF($T222="Nights",IF(ISNUMBER(Setup!$E$21),Setup!$E$21,0),IF(OR($T222="Exact amounts",$T222="Custom units"),0,1))))))</f>
        <v>0</v>
      </c>
      <c r="V222" s="29">
        <f>IF($T222="",0,IF(OR(Setup!$B$22="",Setup!$C$22="No"),0,IF(ISNUMBER(I222),I222,IF($T222="Weights",IF(ISNUMBER(Setup!$D$22),Setup!$D$22,0),IF($T222="Nights",IF(ISNUMBER(Setup!$E$22),Setup!$E$22,0),IF(OR($T222="Exact amounts",$T222="Custom units"),0,1))))))</f>
        <v>0</v>
      </c>
      <c r="W222" s="29">
        <f>IF($T222="",0,IF(OR(Setup!$B$23="",Setup!$C$23="No"),0,IF(ISNUMBER(J222),J222,IF($T222="Weights",IF(ISNUMBER(Setup!$D$23),Setup!$D$23,0),IF($T222="Nights",IF(ISNUMBER(Setup!$E$23),Setup!$E$23,0),IF(OR($T222="Exact amounts",$T222="Custom units"),0,1))))))</f>
        <v>0</v>
      </c>
      <c r="X222" s="29">
        <f>IF($T222="",0,IF(OR(Setup!$B$24="",Setup!$C$24="No"),0,IF(ISNUMBER(K222),K222,IF($T222="Weights",IF(ISNUMBER(Setup!$D$24),Setup!$D$24,0),IF($T222="Nights",IF(ISNUMBER(Setup!$E$24),Setup!$E$24,0),IF(OR($T222="Exact amounts",$T222="Custom units"),0,1))))))</f>
        <v>0</v>
      </c>
      <c r="Y222" s="29">
        <f>IF($T222="",0,IF(OR(Setup!$B$25="",Setup!$C$25="No"),0,IF(ISNUMBER(L222),L222,IF($T222="Weights",IF(ISNUMBER(Setup!$D$25),Setup!$D$25,0),IF($T222="Nights",IF(ISNUMBER(Setup!$E$25),Setup!$E$25,0),IF(OR($T222="Exact amounts",$T222="Custom units"),0,1))))))</f>
        <v>0</v>
      </c>
      <c r="Z222" s="29">
        <f>IF($T222="",0,IF(OR(Setup!$B$26="",Setup!$C$26="No"),0,IF(ISNUMBER(M222),M222,IF($T222="Weights",IF(ISNUMBER(Setup!$D$26),Setup!$D$26,0),IF($T222="Nights",IF(ISNUMBER(Setup!$E$26),Setup!$E$26,0),IF(OR($T222="Exact amounts",$T222="Custom units"),0,1))))))</f>
        <v>0</v>
      </c>
      <c r="AA222" s="29">
        <f>IF($T222="",0,IF(OR(Setup!$B$27="",Setup!$C$27="No"),0,IF(ISNUMBER(N222),N222,IF($T222="Weights",IF(ISNUMBER(Setup!$D$27),Setup!$D$27,0),IF($T222="Nights",IF(ISNUMBER(Setup!$E$27),Setup!$E$27,0),IF(OR($T222="Exact amounts",$T222="Custom units"),0,1))))))</f>
        <v>0</v>
      </c>
      <c r="AB222" s="29">
        <f>IF($T222="",0,IF(OR(Setup!$B$28="",Setup!$C$28="No"),0,IF(ISNUMBER(O222),O222,IF($T222="Weights",IF(ISNUMBER(Setup!$D$28),Setup!$D$28,0),IF($T222="Nights",IF(ISNUMBER(Setup!$E$28),Setup!$E$28,0),IF(OR($T222="Exact amounts",$T222="Custom units"),0,1))))))</f>
        <v>0</v>
      </c>
      <c r="AC222" s="29">
        <f>IF($T222="",0,IF(OR(Setup!$B$29="",Setup!$C$29="No"),0,IF(ISNUMBER(P222),P222,IF($T222="Weights",IF(ISNUMBER(Setup!$D$29),Setup!$D$29,0),IF($T222="Nights",IF(ISNUMBER(Setup!$E$29),Setup!$E$29,0),IF(OR($T222="Exact amounts",$T222="Custom units"),0,1))))))</f>
        <v>0</v>
      </c>
      <c r="AD222" s="29">
        <f>IF($T222="",0,IF(OR(Setup!$B$30="",Setup!$C$30="No"),0,IF(ISNUMBER(Q222),Q222,IF($T222="Weights",IF(ISNUMBER(Setup!$D$30),Setup!$D$30,0),IF($T222="Nights",IF(ISNUMBER(Setup!$E$30),Setup!$E$30,0),IF(OR($T222="Exact amounts",$T222="Custom units"),0,1))))))</f>
        <v>0</v>
      </c>
      <c r="AE222" s="29">
        <f t="shared" si="13"/>
        <v>0</v>
      </c>
      <c r="AF222" s="30">
        <f t="shared" si="14"/>
        <v>1</v>
      </c>
      <c r="AG222" s="29">
        <f t="shared" si="15"/>
        <v>0</v>
      </c>
    </row>
    <row r="223" spans="1:33" ht="16" x14ac:dyDescent="0.2">
      <c r="A223" s="22" t="str">
        <f t="shared" si="12"/>
        <v>—</v>
      </c>
      <c r="B223" s="31"/>
      <c r="C223" s="11"/>
      <c r="D223" s="11"/>
      <c r="E223" s="32"/>
      <c r="F223" s="11"/>
      <c r="G223" s="11"/>
      <c r="H223" s="33"/>
      <c r="I223" s="33"/>
      <c r="J223" s="33"/>
      <c r="K223" s="33"/>
      <c r="L223" s="33"/>
      <c r="M223" s="33"/>
      <c r="N223" s="33"/>
      <c r="O223" s="33"/>
      <c r="P223" s="33"/>
      <c r="Q223" s="33"/>
      <c r="R223" s="26" t="str">
        <f>IF($T223="","",IF($D223="","Who paid?",IF(SUMPRODUCT((Setup!$B$21:$B$30=$D223)*1)=0,"Payer is not in the member list on Setup",IF($E223="","Amount missing — type the number in column E",IF(NOT(ISNUMBER($E223)),"Amount must be a plain number — no currency symbol, no text",IF(AND($T223="Custom units",$AE223&lt;=0),"Custom units: nobody has units on this row — type a number for at least one person",IF($AE223&lt;=0,"Nobody shares this row — check the person columns H–Q, and the Weight / Nights columns on Setup",IF(AND($T223="Exact amounts",ABS($AE223-$AG223)&gt;0.01),"Exact amounts do not add up to the amount","OK"))))))))</f>
        <v/>
      </c>
      <c r="S223" s="27" t="str">
        <f>IFERROR(IF(OR($T223="",$C$4=""),"—",ROUND($AG223*INDEX($U223:$AD223,1,MATCH($C$4,Setup!$B$21:$B$30,0))/$AF223,2)),"—")</f>
        <v>—</v>
      </c>
      <c r="T223" s="28" t="str">
        <f>IF(AND($C223="",$D223="",NOT(ISNUMBER($E223))),"",IF($G223="",IF(Setup!$C$17="","Equal",Setup!$C$17),$G223))</f>
        <v/>
      </c>
      <c r="U223" s="29">
        <f>IF($T223="",0,IF(OR(Setup!$B$21="",Setup!$C$21="No"),0,IF(ISNUMBER(H223),H223,IF($T223="Weights",IF(ISNUMBER(Setup!$D$21),Setup!$D$21,0),IF($T223="Nights",IF(ISNUMBER(Setup!$E$21),Setup!$E$21,0),IF(OR($T223="Exact amounts",$T223="Custom units"),0,1))))))</f>
        <v>0</v>
      </c>
      <c r="V223" s="29">
        <f>IF($T223="",0,IF(OR(Setup!$B$22="",Setup!$C$22="No"),0,IF(ISNUMBER(I223),I223,IF($T223="Weights",IF(ISNUMBER(Setup!$D$22),Setup!$D$22,0),IF($T223="Nights",IF(ISNUMBER(Setup!$E$22),Setup!$E$22,0),IF(OR($T223="Exact amounts",$T223="Custom units"),0,1))))))</f>
        <v>0</v>
      </c>
      <c r="W223" s="29">
        <f>IF($T223="",0,IF(OR(Setup!$B$23="",Setup!$C$23="No"),0,IF(ISNUMBER(J223),J223,IF($T223="Weights",IF(ISNUMBER(Setup!$D$23),Setup!$D$23,0),IF($T223="Nights",IF(ISNUMBER(Setup!$E$23),Setup!$E$23,0),IF(OR($T223="Exact amounts",$T223="Custom units"),0,1))))))</f>
        <v>0</v>
      </c>
      <c r="X223" s="29">
        <f>IF($T223="",0,IF(OR(Setup!$B$24="",Setup!$C$24="No"),0,IF(ISNUMBER(K223),K223,IF($T223="Weights",IF(ISNUMBER(Setup!$D$24),Setup!$D$24,0),IF($T223="Nights",IF(ISNUMBER(Setup!$E$24),Setup!$E$24,0),IF(OR($T223="Exact amounts",$T223="Custom units"),0,1))))))</f>
        <v>0</v>
      </c>
      <c r="Y223" s="29">
        <f>IF($T223="",0,IF(OR(Setup!$B$25="",Setup!$C$25="No"),0,IF(ISNUMBER(L223),L223,IF($T223="Weights",IF(ISNUMBER(Setup!$D$25),Setup!$D$25,0),IF($T223="Nights",IF(ISNUMBER(Setup!$E$25),Setup!$E$25,0),IF(OR($T223="Exact amounts",$T223="Custom units"),0,1))))))</f>
        <v>0</v>
      </c>
      <c r="Z223" s="29">
        <f>IF($T223="",0,IF(OR(Setup!$B$26="",Setup!$C$26="No"),0,IF(ISNUMBER(M223),M223,IF($T223="Weights",IF(ISNUMBER(Setup!$D$26),Setup!$D$26,0),IF($T223="Nights",IF(ISNUMBER(Setup!$E$26),Setup!$E$26,0),IF(OR($T223="Exact amounts",$T223="Custom units"),0,1))))))</f>
        <v>0</v>
      </c>
      <c r="AA223" s="29">
        <f>IF($T223="",0,IF(OR(Setup!$B$27="",Setup!$C$27="No"),0,IF(ISNUMBER(N223),N223,IF($T223="Weights",IF(ISNUMBER(Setup!$D$27),Setup!$D$27,0),IF($T223="Nights",IF(ISNUMBER(Setup!$E$27),Setup!$E$27,0),IF(OR($T223="Exact amounts",$T223="Custom units"),0,1))))))</f>
        <v>0</v>
      </c>
      <c r="AB223" s="29">
        <f>IF($T223="",0,IF(OR(Setup!$B$28="",Setup!$C$28="No"),0,IF(ISNUMBER(O223),O223,IF($T223="Weights",IF(ISNUMBER(Setup!$D$28),Setup!$D$28,0),IF($T223="Nights",IF(ISNUMBER(Setup!$E$28),Setup!$E$28,0),IF(OR($T223="Exact amounts",$T223="Custom units"),0,1))))))</f>
        <v>0</v>
      </c>
      <c r="AC223" s="29">
        <f>IF($T223="",0,IF(OR(Setup!$B$29="",Setup!$C$29="No"),0,IF(ISNUMBER(P223),P223,IF($T223="Weights",IF(ISNUMBER(Setup!$D$29),Setup!$D$29,0),IF($T223="Nights",IF(ISNUMBER(Setup!$E$29),Setup!$E$29,0),IF(OR($T223="Exact amounts",$T223="Custom units"),0,1))))))</f>
        <v>0</v>
      </c>
      <c r="AD223" s="29">
        <f>IF($T223="",0,IF(OR(Setup!$B$30="",Setup!$C$30="No"),0,IF(ISNUMBER(Q223),Q223,IF($T223="Weights",IF(ISNUMBER(Setup!$D$30),Setup!$D$30,0),IF($T223="Nights",IF(ISNUMBER(Setup!$E$30),Setup!$E$30,0),IF(OR($T223="Exact amounts",$T223="Custom units"),0,1))))))</f>
        <v>0</v>
      </c>
      <c r="AE223" s="29">
        <f t="shared" si="13"/>
        <v>0</v>
      </c>
      <c r="AF223" s="30">
        <f t="shared" si="14"/>
        <v>1</v>
      </c>
      <c r="AG223" s="29">
        <f t="shared" si="15"/>
        <v>0</v>
      </c>
    </row>
    <row r="224" spans="1:33" ht="16" x14ac:dyDescent="0.2">
      <c r="A224" s="22" t="str">
        <f t="shared" si="12"/>
        <v>—</v>
      </c>
      <c r="B224" s="23"/>
      <c r="C224" s="16"/>
      <c r="D224" s="16"/>
      <c r="E224" s="24"/>
      <c r="F224" s="16"/>
      <c r="G224" s="16"/>
      <c r="H224" s="25"/>
      <c r="I224" s="25"/>
      <c r="J224" s="25"/>
      <c r="K224" s="25"/>
      <c r="L224" s="25"/>
      <c r="M224" s="25"/>
      <c r="N224" s="25"/>
      <c r="O224" s="25"/>
      <c r="P224" s="25"/>
      <c r="Q224" s="25"/>
      <c r="R224" s="26" t="str">
        <f>IF($T224="","",IF($D224="","Who paid?",IF(SUMPRODUCT((Setup!$B$21:$B$30=$D224)*1)=0,"Payer is not in the member list on Setup",IF($E224="","Amount missing — type the number in column E",IF(NOT(ISNUMBER($E224)),"Amount must be a plain number — no currency symbol, no text",IF(AND($T224="Custom units",$AE224&lt;=0),"Custom units: nobody has units on this row — type a number for at least one person",IF($AE224&lt;=0,"Nobody shares this row — check the person columns H–Q, and the Weight / Nights columns on Setup",IF(AND($T224="Exact amounts",ABS($AE224-$AG224)&gt;0.01),"Exact amounts do not add up to the amount","OK"))))))))</f>
        <v/>
      </c>
      <c r="S224" s="27" t="str">
        <f>IFERROR(IF(OR($T224="",$C$4=""),"—",ROUND($AG224*INDEX($U224:$AD224,1,MATCH($C$4,Setup!$B$21:$B$30,0))/$AF224,2)),"—")</f>
        <v>—</v>
      </c>
      <c r="T224" s="28" t="str">
        <f>IF(AND($C224="",$D224="",NOT(ISNUMBER($E224))),"",IF($G224="",IF(Setup!$C$17="","Equal",Setup!$C$17),$G224))</f>
        <v/>
      </c>
      <c r="U224" s="29">
        <f>IF($T224="",0,IF(OR(Setup!$B$21="",Setup!$C$21="No"),0,IF(ISNUMBER(H224),H224,IF($T224="Weights",IF(ISNUMBER(Setup!$D$21),Setup!$D$21,0),IF($T224="Nights",IF(ISNUMBER(Setup!$E$21),Setup!$E$21,0),IF(OR($T224="Exact amounts",$T224="Custom units"),0,1))))))</f>
        <v>0</v>
      </c>
      <c r="V224" s="29">
        <f>IF($T224="",0,IF(OR(Setup!$B$22="",Setup!$C$22="No"),0,IF(ISNUMBER(I224),I224,IF($T224="Weights",IF(ISNUMBER(Setup!$D$22),Setup!$D$22,0),IF($T224="Nights",IF(ISNUMBER(Setup!$E$22),Setup!$E$22,0),IF(OR($T224="Exact amounts",$T224="Custom units"),0,1))))))</f>
        <v>0</v>
      </c>
      <c r="W224" s="29">
        <f>IF($T224="",0,IF(OR(Setup!$B$23="",Setup!$C$23="No"),0,IF(ISNUMBER(J224),J224,IF($T224="Weights",IF(ISNUMBER(Setup!$D$23),Setup!$D$23,0),IF($T224="Nights",IF(ISNUMBER(Setup!$E$23),Setup!$E$23,0),IF(OR($T224="Exact amounts",$T224="Custom units"),0,1))))))</f>
        <v>0</v>
      </c>
      <c r="X224" s="29">
        <f>IF($T224="",0,IF(OR(Setup!$B$24="",Setup!$C$24="No"),0,IF(ISNUMBER(K224),K224,IF($T224="Weights",IF(ISNUMBER(Setup!$D$24),Setup!$D$24,0),IF($T224="Nights",IF(ISNUMBER(Setup!$E$24),Setup!$E$24,0),IF(OR($T224="Exact amounts",$T224="Custom units"),0,1))))))</f>
        <v>0</v>
      </c>
      <c r="Y224" s="29">
        <f>IF($T224="",0,IF(OR(Setup!$B$25="",Setup!$C$25="No"),0,IF(ISNUMBER(L224),L224,IF($T224="Weights",IF(ISNUMBER(Setup!$D$25),Setup!$D$25,0),IF($T224="Nights",IF(ISNUMBER(Setup!$E$25),Setup!$E$25,0),IF(OR($T224="Exact amounts",$T224="Custom units"),0,1))))))</f>
        <v>0</v>
      </c>
      <c r="Z224" s="29">
        <f>IF($T224="",0,IF(OR(Setup!$B$26="",Setup!$C$26="No"),0,IF(ISNUMBER(M224),M224,IF($T224="Weights",IF(ISNUMBER(Setup!$D$26),Setup!$D$26,0),IF($T224="Nights",IF(ISNUMBER(Setup!$E$26),Setup!$E$26,0),IF(OR($T224="Exact amounts",$T224="Custom units"),0,1))))))</f>
        <v>0</v>
      </c>
      <c r="AA224" s="29">
        <f>IF($T224="",0,IF(OR(Setup!$B$27="",Setup!$C$27="No"),0,IF(ISNUMBER(N224),N224,IF($T224="Weights",IF(ISNUMBER(Setup!$D$27),Setup!$D$27,0),IF($T224="Nights",IF(ISNUMBER(Setup!$E$27),Setup!$E$27,0),IF(OR($T224="Exact amounts",$T224="Custom units"),0,1))))))</f>
        <v>0</v>
      </c>
      <c r="AB224" s="29">
        <f>IF($T224="",0,IF(OR(Setup!$B$28="",Setup!$C$28="No"),0,IF(ISNUMBER(O224),O224,IF($T224="Weights",IF(ISNUMBER(Setup!$D$28),Setup!$D$28,0),IF($T224="Nights",IF(ISNUMBER(Setup!$E$28),Setup!$E$28,0),IF(OR($T224="Exact amounts",$T224="Custom units"),0,1))))))</f>
        <v>0</v>
      </c>
      <c r="AC224" s="29">
        <f>IF($T224="",0,IF(OR(Setup!$B$29="",Setup!$C$29="No"),0,IF(ISNUMBER(P224),P224,IF($T224="Weights",IF(ISNUMBER(Setup!$D$29),Setup!$D$29,0),IF($T224="Nights",IF(ISNUMBER(Setup!$E$29),Setup!$E$29,0),IF(OR($T224="Exact amounts",$T224="Custom units"),0,1))))))</f>
        <v>0</v>
      </c>
      <c r="AD224" s="29">
        <f>IF($T224="",0,IF(OR(Setup!$B$30="",Setup!$C$30="No"),0,IF(ISNUMBER(Q224),Q224,IF($T224="Weights",IF(ISNUMBER(Setup!$D$30),Setup!$D$30,0),IF($T224="Nights",IF(ISNUMBER(Setup!$E$30),Setup!$E$30,0),IF(OR($T224="Exact amounts",$T224="Custom units"),0,1))))))</f>
        <v>0</v>
      </c>
      <c r="AE224" s="29">
        <f t="shared" si="13"/>
        <v>0</v>
      </c>
      <c r="AF224" s="30">
        <f t="shared" si="14"/>
        <v>1</v>
      </c>
      <c r="AG224" s="29">
        <f t="shared" si="15"/>
        <v>0</v>
      </c>
    </row>
    <row r="225" spans="1:33" ht="16" x14ac:dyDescent="0.2">
      <c r="A225" s="22" t="str">
        <f t="shared" si="12"/>
        <v>—</v>
      </c>
      <c r="B225" s="31"/>
      <c r="C225" s="11"/>
      <c r="D225" s="11"/>
      <c r="E225" s="32"/>
      <c r="F225" s="11"/>
      <c r="G225" s="11"/>
      <c r="H225" s="33"/>
      <c r="I225" s="33"/>
      <c r="J225" s="33"/>
      <c r="K225" s="33"/>
      <c r="L225" s="33"/>
      <c r="M225" s="33"/>
      <c r="N225" s="33"/>
      <c r="O225" s="33"/>
      <c r="P225" s="33"/>
      <c r="Q225" s="33"/>
      <c r="R225" s="26" t="str">
        <f>IF($T225="","",IF($D225="","Who paid?",IF(SUMPRODUCT((Setup!$B$21:$B$30=$D225)*1)=0,"Payer is not in the member list on Setup",IF($E225="","Amount missing — type the number in column E",IF(NOT(ISNUMBER($E225)),"Amount must be a plain number — no currency symbol, no text",IF(AND($T225="Custom units",$AE225&lt;=0),"Custom units: nobody has units on this row — type a number for at least one person",IF($AE225&lt;=0,"Nobody shares this row — check the person columns H–Q, and the Weight / Nights columns on Setup",IF(AND($T225="Exact amounts",ABS($AE225-$AG225)&gt;0.01),"Exact amounts do not add up to the amount","OK"))))))))</f>
        <v/>
      </c>
      <c r="S225" s="27" t="str">
        <f>IFERROR(IF(OR($T225="",$C$4=""),"—",ROUND($AG225*INDEX($U225:$AD225,1,MATCH($C$4,Setup!$B$21:$B$30,0))/$AF225,2)),"—")</f>
        <v>—</v>
      </c>
      <c r="T225" s="28" t="str">
        <f>IF(AND($C225="",$D225="",NOT(ISNUMBER($E225))),"",IF($G225="",IF(Setup!$C$17="","Equal",Setup!$C$17),$G225))</f>
        <v/>
      </c>
      <c r="U225" s="29">
        <f>IF($T225="",0,IF(OR(Setup!$B$21="",Setup!$C$21="No"),0,IF(ISNUMBER(H225),H225,IF($T225="Weights",IF(ISNUMBER(Setup!$D$21),Setup!$D$21,0),IF($T225="Nights",IF(ISNUMBER(Setup!$E$21),Setup!$E$21,0),IF(OR($T225="Exact amounts",$T225="Custom units"),0,1))))))</f>
        <v>0</v>
      </c>
      <c r="V225" s="29">
        <f>IF($T225="",0,IF(OR(Setup!$B$22="",Setup!$C$22="No"),0,IF(ISNUMBER(I225),I225,IF($T225="Weights",IF(ISNUMBER(Setup!$D$22),Setup!$D$22,0),IF($T225="Nights",IF(ISNUMBER(Setup!$E$22),Setup!$E$22,0),IF(OR($T225="Exact amounts",$T225="Custom units"),0,1))))))</f>
        <v>0</v>
      </c>
      <c r="W225" s="29">
        <f>IF($T225="",0,IF(OR(Setup!$B$23="",Setup!$C$23="No"),0,IF(ISNUMBER(J225),J225,IF($T225="Weights",IF(ISNUMBER(Setup!$D$23),Setup!$D$23,0),IF($T225="Nights",IF(ISNUMBER(Setup!$E$23),Setup!$E$23,0),IF(OR($T225="Exact amounts",$T225="Custom units"),0,1))))))</f>
        <v>0</v>
      </c>
      <c r="X225" s="29">
        <f>IF($T225="",0,IF(OR(Setup!$B$24="",Setup!$C$24="No"),0,IF(ISNUMBER(K225),K225,IF($T225="Weights",IF(ISNUMBER(Setup!$D$24),Setup!$D$24,0),IF($T225="Nights",IF(ISNUMBER(Setup!$E$24),Setup!$E$24,0),IF(OR($T225="Exact amounts",$T225="Custom units"),0,1))))))</f>
        <v>0</v>
      </c>
      <c r="Y225" s="29">
        <f>IF($T225="",0,IF(OR(Setup!$B$25="",Setup!$C$25="No"),0,IF(ISNUMBER(L225),L225,IF($T225="Weights",IF(ISNUMBER(Setup!$D$25),Setup!$D$25,0),IF($T225="Nights",IF(ISNUMBER(Setup!$E$25),Setup!$E$25,0),IF(OR($T225="Exact amounts",$T225="Custom units"),0,1))))))</f>
        <v>0</v>
      </c>
      <c r="Z225" s="29">
        <f>IF($T225="",0,IF(OR(Setup!$B$26="",Setup!$C$26="No"),0,IF(ISNUMBER(M225),M225,IF($T225="Weights",IF(ISNUMBER(Setup!$D$26),Setup!$D$26,0),IF($T225="Nights",IF(ISNUMBER(Setup!$E$26),Setup!$E$26,0),IF(OR($T225="Exact amounts",$T225="Custom units"),0,1))))))</f>
        <v>0</v>
      </c>
      <c r="AA225" s="29">
        <f>IF($T225="",0,IF(OR(Setup!$B$27="",Setup!$C$27="No"),0,IF(ISNUMBER(N225),N225,IF($T225="Weights",IF(ISNUMBER(Setup!$D$27),Setup!$D$27,0),IF($T225="Nights",IF(ISNUMBER(Setup!$E$27),Setup!$E$27,0),IF(OR($T225="Exact amounts",$T225="Custom units"),0,1))))))</f>
        <v>0</v>
      </c>
      <c r="AB225" s="29">
        <f>IF($T225="",0,IF(OR(Setup!$B$28="",Setup!$C$28="No"),0,IF(ISNUMBER(O225),O225,IF($T225="Weights",IF(ISNUMBER(Setup!$D$28),Setup!$D$28,0),IF($T225="Nights",IF(ISNUMBER(Setup!$E$28),Setup!$E$28,0),IF(OR($T225="Exact amounts",$T225="Custom units"),0,1))))))</f>
        <v>0</v>
      </c>
      <c r="AC225" s="29">
        <f>IF($T225="",0,IF(OR(Setup!$B$29="",Setup!$C$29="No"),0,IF(ISNUMBER(P225),P225,IF($T225="Weights",IF(ISNUMBER(Setup!$D$29),Setup!$D$29,0),IF($T225="Nights",IF(ISNUMBER(Setup!$E$29),Setup!$E$29,0),IF(OR($T225="Exact amounts",$T225="Custom units"),0,1))))))</f>
        <v>0</v>
      </c>
      <c r="AD225" s="29">
        <f>IF($T225="",0,IF(OR(Setup!$B$30="",Setup!$C$30="No"),0,IF(ISNUMBER(Q225),Q225,IF($T225="Weights",IF(ISNUMBER(Setup!$D$30),Setup!$D$30,0),IF($T225="Nights",IF(ISNUMBER(Setup!$E$30),Setup!$E$30,0),IF(OR($T225="Exact amounts",$T225="Custom units"),0,1))))))</f>
        <v>0</v>
      </c>
      <c r="AE225" s="29">
        <f t="shared" si="13"/>
        <v>0</v>
      </c>
      <c r="AF225" s="30">
        <f t="shared" si="14"/>
        <v>1</v>
      </c>
      <c r="AG225" s="29">
        <f t="shared" si="15"/>
        <v>0</v>
      </c>
    </row>
    <row r="226" spans="1:33" ht="16" x14ac:dyDescent="0.2">
      <c r="A226" s="22" t="str">
        <f t="shared" si="12"/>
        <v>—</v>
      </c>
      <c r="B226" s="23"/>
      <c r="C226" s="16"/>
      <c r="D226" s="16"/>
      <c r="E226" s="24"/>
      <c r="F226" s="16"/>
      <c r="G226" s="16"/>
      <c r="H226" s="25"/>
      <c r="I226" s="25"/>
      <c r="J226" s="25"/>
      <c r="K226" s="25"/>
      <c r="L226" s="25"/>
      <c r="M226" s="25"/>
      <c r="N226" s="25"/>
      <c r="O226" s="25"/>
      <c r="P226" s="25"/>
      <c r="Q226" s="25"/>
      <c r="R226" s="26" t="str">
        <f>IF($T226="","",IF($D226="","Who paid?",IF(SUMPRODUCT((Setup!$B$21:$B$30=$D226)*1)=0,"Payer is not in the member list on Setup",IF($E226="","Amount missing — type the number in column E",IF(NOT(ISNUMBER($E226)),"Amount must be a plain number — no currency symbol, no text",IF(AND($T226="Custom units",$AE226&lt;=0),"Custom units: nobody has units on this row — type a number for at least one person",IF($AE226&lt;=0,"Nobody shares this row — check the person columns H–Q, and the Weight / Nights columns on Setup",IF(AND($T226="Exact amounts",ABS($AE226-$AG226)&gt;0.01),"Exact amounts do not add up to the amount","OK"))))))))</f>
        <v/>
      </c>
      <c r="S226" s="27" t="str">
        <f>IFERROR(IF(OR($T226="",$C$4=""),"—",ROUND($AG226*INDEX($U226:$AD226,1,MATCH($C$4,Setup!$B$21:$B$30,0))/$AF226,2)),"—")</f>
        <v>—</v>
      </c>
      <c r="T226" s="28" t="str">
        <f>IF(AND($C226="",$D226="",NOT(ISNUMBER($E226))),"",IF($G226="",IF(Setup!$C$17="","Equal",Setup!$C$17),$G226))</f>
        <v/>
      </c>
      <c r="U226" s="29">
        <f>IF($T226="",0,IF(OR(Setup!$B$21="",Setup!$C$21="No"),0,IF(ISNUMBER(H226),H226,IF($T226="Weights",IF(ISNUMBER(Setup!$D$21),Setup!$D$21,0),IF($T226="Nights",IF(ISNUMBER(Setup!$E$21),Setup!$E$21,0),IF(OR($T226="Exact amounts",$T226="Custom units"),0,1))))))</f>
        <v>0</v>
      </c>
      <c r="V226" s="29">
        <f>IF($T226="",0,IF(OR(Setup!$B$22="",Setup!$C$22="No"),0,IF(ISNUMBER(I226),I226,IF($T226="Weights",IF(ISNUMBER(Setup!$D$22),Setup!$D$22,0),IF($T226="Nights",IF(ISNUMBER(Setup!$E$22),Setup!$E$22,0),IF(OR($T226="Exact amounts",$T226="Custom units"),0,1))))))</f>
        <v>0</v>
      </c>
      <c r="W226" s="29">
        <f>IF($T226="",0,IF(OR(Setup!$B$23="",Setup!$C$23="No"),0,IF(ISNUMBER(J226),J226,IF($T226="Weights",IF(ISNUMBER(Setup!$D$23),Setup!$D$23,0),IF($T226="Nights",IF(ISNUMBER(Setup!$E$23),Setup!$E$23,0),IF(OR($T226="Exact amounts",$T226="Custom units"),0,1))))))</f>
        <v>0</v>
      </c>
      <c r="X226" s="29">
        <f>IF($T226="",0,IF(OR(Setup!$B$24="",Setup!$C$24="No"),0,IF(ISNUMBER(K226),K226,IF($T226="Weights",IF(ISNUMBER(Setup!$D$24),Setup!$D$24,0),IF($T226="Nights",IF(ISNUMBER(Setup!$E$24),Setup!$E$24,0),IF(OR($T226="Exact amounts",$T226="Custom units"),0,1))))))</f>
        <v>0</v>
      </c>
      <c r="Y226" s="29">
        <f>IF($T226="",0,IF(OR(Setup!$B$25="",Setup!$C$25="No"),0,IF(ISNUMBER(L226),L226,IF($T226="Weights",IF(ISNUMBER(Setup!$D$25),Setup!$D$25,0),IF($T226="Nights",IF(ISNUMBER(Setup!$E$25),Setup!$E$25,0),IF(OR($T226="Exact amounts",$T226="Custom units"),0,1))))))</f>
        <v>0</v>
      </c>
      <c r="Z226" s="29">
        <f>IF($T226="",0,IF(OR(Setup!$B$26="",Setup!$C$26="No"),0,IF(ISNUMBER(M226),M226,IF($T226="Weights",IF(ISNUMBER(Setup!$D$26),Setup!$D$26,0),IF($T226="Nights",IF(ISNUMBER(Setup!$E$26),Setup!$E$26,0),IF(OR($T226="Exact amounts",$T226="Custom units"),0,1))))))</f>
        <v>0</v>
      </c>
      <c r="AA226" s="29">
        <f>IF($T226="",0,IF(OR(Setup!$B$27="",Setup!$C$27="No"),0,IF(ISNUMBER(N226),N226,IF($T226="Weights",IF(ISNUMBER(Setup!$D$27),Setup!$D$27,0),IF($T226="Nights",IF(ISNUMBER(Setup!$E$27),Setup!$E$27,0),IF(OR($T226="Exact amounts",$T226="Custom units"),0,1))))))</f>
        <v>0</v>
      </c>
      <c r="AB226" s="29">
        <f>IF($T226="",0,IF(OR(Setup!$B$28="",Setup!$C$28="No"),0,IF(ISNUMBER(O226),O226,IF($T226="Weights",IF(ISNUMBER(Setup!$D$28),Setup!$D$28,0),IF($T226="Nights",IF(ISNUMBER(Setup!$E$28),Setup!$E$28,0),IF(OR($T226="Exact amounts",$T226="Custom units"),0,1))))))</f>
        <v>0</v>
      </c>
      <c r="AC226" s="29">
        <f>IF($T226="",0,IF(OR(Setup!$B$29="",Setup!$C$29="No"),0,IF(ISNUMBER(P226),P226,IF($T226="Weights",IF(ISNUMBER(Setup!$D$29),Setup!$D$29,0),IF($T226="Nights",IF(ISNUMBER(Setup!$E$29),Setup!$E$29,0),IF(OR($T226="Exact amounts",$T226="Custom units"),0,1))))))</f>
        <v>0</v>
      </c>
      <c r="AD226" s="29">
        <f>IF($T226="",0,IF(OR(Setup!$B$30="",Setup!$C$30="No"),0,IF(ISNUMBER(Q226),Q226,IF($T226="Weights",IF(ISNUMBER(Setup!$D$30),Setup!$D$30,0),IF($T226="Nights",IF(ISNUMBER(Setup!$E$30),Setup!$E$30,0),IF(OR($T226="Exact amounts",$T226="Custom units"),0,1))))))</f>
        <v>0</v>
      </c>
      <c r="AE226" s="29">
        <f t="shared" si="13"/>
        <v>0</v>
      </c>
      <c r="AF226" s="30">
        <f t="shared" si="14"/>
        <v>1</v>
      </c>
      <c r="AG226" s="29">
        <f t="shared" si="15"/>
        <v>0</v>
      </c>
    </row>
    <row r="227" spans="1:33" ht="16" x14ac:dyDescent="0.2">
      <c r="A227" s="22" t="str">
        <f t="shared" si="12"/>
        <v>—</v>
      </c>
      <c r="B227" s="31"/>
      <c r="C227" s="11"/>
      <c r="D227" s="11"/>
      <c r="E227" s="32"/>
      <c r="F227" s="11"/>
      <c r="G227" s="11"/>
      <c r="H227" s="33"/>
      <c r="I227" s="33"/>
      <c r="J227" s="33"/>
      <c r="K227" s="33"/>
      <c r="L227" s="33"/>
      <c r="M227" s="33"/>
      <c r="N227" s="33"/>
      <c r="O227" s="33"/>
      <c r="P227" s="33"/>
      <c r="Q227" s="33"/>
      <c r="R227" s="26" t="str">
        <f>IF($T227="","",IF($D227="","Who paid?",IF(SUMPRODUCT((Setup!$B$21:$B$30=$D227)*1)=0,"Payer is not in the member list on Setup",IF($E227="","Amount missing — type the number in column E",IF(NOT(ISNUMBER($E227)),"Amount must be a plain number — no currency symbol, no text",IF(AND($T227="Custom units",$AE227&lt;=0),"Custom units: nobody has units on this row — type a number for at least one person",IF($AE227&lt;=0,"Nobody shares this row — check the person columns H–Q, and the Weight / Nights columns on Setup",IF(AND($T227="Exact amounts",ABS($AE227-$AG227)&gt;0.01),"Exact amounts do not add up to the amount","OK"))))))))</f>
        <v/>
      </c>
      <c r="S227" s="27" t="str">
        <f>IFERROR(IF(OR($T227="",$C$4=""),"—",ROUND($AG227*INDEX($U227:$AD227,1,MATCH($C$4,Setup!$B$21:$B$30,0))/$AF227,2)),"—")</f>
        <v>—</v>
      </c>
      <c r="T227" s="28" t="str">
        <f>IF(AND($C227="",$D227="",NOT(ISNUMBER($E227))),"",IF($G227="",IF(Setup!$C$17="","Equal",Setup!$C$17),$G227))</f>
        <v/>
      </c>
      <c r="U227" s="29">
        <f>IF($T227="",0,IF(OR(Setup!$B$21="",Setup!$C$21="No"),0,IF(ISNUMBER(H227),H227,IF($T227="Weights",IF(ISNUMBER(Setup!$D$21),Setup!$D$21,0),IF($T227="Nights",IF(ISNUMBER(Setup!$E$21),Setup!$E$21,0),IF(OR($T227="Exact amounts",$T227="Custom units"),0,1))))))</f>
        <v>0</v>
      </c>
      <c r="V227" s="29">
        <f>IF($T227="",0,IF(OR(Setup!$B$22="",Setup!$C$22="No"),0,IF(ISNUMBER(I227),I227,IF($T227="Weights",IF(ISNUMBER(Setup!$D$22),Setup!$D$22,0),IF($T227="Nights",IF(ISNUMBER(Setup!$E$22),Setup!$E$22,0),IF(OR($T227="Exact amounts",$T227="Custom units"),0,1))))))</f>
        <v>0</v>
      </c>
      <c r="W227" s="29">
        <f>IF($T227="",0,IF(OR(Setup!$B$23="",Setup!$C$23="No"),0,IF(ISNUMBER(J227),J227,IF($T227="Weights",IF(ISNUMBER(Setup!$D$23),Setup!$D$23,0),IF($T227="Nights",IF(ISNUMBER(Setup!$E$23),Setup!$E$23,0),IF(OR($T227="Exact amounts",$T227="Custom units"),0,1))))))</f>
        <v>0</v>
      </c>
      <c r="X227" s="29">
        <f>IF($T227="",0,IF(OR(Setup!$B$24="",Setup!$C$24="No"),0,IF(ISNUMBER(K227),K227,IF($T227="Weights",IF(ISNUMBER(Setup!$D$24),Setup!$D$24,0),IF($T227="Nights",IF(ISNUMBER(Setup!$E$24),Setup!$E$24,0),IF(OR($T227="Exact amounts",$T227="Custom units"),0,1))))))</f>
        <v>0</v>
      </c>
      <c r="Y227" s="29">
        <f>IF($T227="",0,IF(OR(Setup!$B$25="",Setup!$C$25="No"),0,IF(ISNUMBER(L227),L227,IF($T227="Weights",IF(ISNUMBER(Setup!$D$25),Setup!$D$25,0),IF($T227="Nights",IF(ISNUMBER(Setup!$E$25),Setup!$E$25,0),IF(OR($T227="Exact amounts",$T227="Custom units"),0,1))))))</f>
        <v>0</v>
      </c>
      <c r="Z227" s="29">
        <f>IF($T227="",0,IF(OR(Setup!$B$26="",Setup!$C$26="No"),0,IF(ISNUMBER(M227),M227,IF($T227="Weights",IF(ISNUMBER(Setup!$D$26),Setup!$D$26,0),IF($T227="Nights",IF(ISNUMBER(Setup!$E$26),Setup!$E$26,0),IF(OR($T227="Exact amounts",$T227="Custom units"),0,1))))))</f>
        <v>0</v>
      </c>
      <c r="AA227" s="29">
        <f>IF($T227="",0,IF(OR(Setup!$B$27="",Setup!$C$27="No"),0,IF(ISNUMBER(N227),N227,IF($T227="Weights",IF(ISNUMBER(Setup!$D$27),Setup!$D$27,0),IF($T227="Nights",IF(ISNUMBER(Setup!$E$27),Setup!$E$27,0),IF(OR($T227="Exact amounts",$T227="Custom units"),0,1))))))</f>
        <v>0</v>
      </c>
      <c r="AB227" s="29">
        <f>IF($T227="",0,IF(OR(Setup!$B$28="",Setup!$C$28="No"),0,IF(ISNUMBER(O227),O227,IF($T227="Weights",IF(ISNUMBER(Setup!$D$28),Setup!$D$28,0),IF($T227="Nights",IF(ISNUMBER(Setup!$E$28),Setup!$E$28,0),IF(OR($T227="Exact amounts",$T227="Custom units"),0,1))))))</f>
        <v>0</v>
      </c>
      <c r="AC227" s="29">
        <f>IF($T227="",0,IF(OR(Setup!$B$29="",Setup!$C$29="No"),0,IF(ISNUMBER(P227),P227,IF($T227="Weights",IF(ISNUMBER(Setup!$D$29),Setup!$D$29,0),IF($T227="Nights",IF(ISNUMBER(Setup!$E$29),Setup!$E$29,0),IF(OR($T227="Exact amounts",$T227="Custom units"),0,1))))))</f>
        <v>0</v>
      </c>
      <c r="AD227" s="29">
        <f>IF($T227="",0,IF(OR(Setup!$B$30="",Setup!$C$30="No"),0,IF(ISNUMBER(Q227),Q227,IF($T227="Weights",IF(ISNUMBER(Setup!$D$30),Setup!$D$30,0),IF($T227="Nights",IF(ISNUMBER(Setup!$E$30),Setup!$E$30,0),IF(OR($T227="Exact amounts",$T227="Custom units"),0,1))))))</f>
        <v>0</v>
      </c>
      <c r="AE227" s="29">
        <f t="shared" si="13"/>
        <v>0</v>
      </c>
      <c r="AF227" s="30">
        <f t="shared" si="14"/>
        <v>1</v>
      </c>
      <c r="AG227" s="29">
        <f t="shared" si="15"/>
        <v>0</v>
      </c>
    </row>
    <row r="228" spans="1:33" ht="16" x14ac:dyDescent="0.2">
      <c r="A228" s="22" t="str">
        <f t="shared" si="12"/>
        <v>—</v>
      </c>
      <c r="B228" s="23"/>
      <c r="C228" s="16"/>
      <c r="D228" s="16"/>
      <c r="E228" s="24"/>
      <c r="F228" s="16"/>
      <c r="G228" s="16"/>
      <c r="H228" s="25"/>
      <c r="I228" s="25"/>
      <c r="J228" s="25"/>
      <c r="K228" s="25"/>
      <c r="L228" s="25"/>
      <c r="M228" s="25"/>
      <c r="N228" s="25"/>
      <c r="O228" s="25"/>
      <c r="P228" s="25"/>
      <c r="Q228" s="25"/>
      <c r="R228" s="26" t="str">
        <f>IF($T228="","",IF($D228="","Who paid?",IF(SUMPRODUCT((Setup!$B$21:$B$30=$D228)*1)=0,"Payer is not in the member list on Setup",IF($E228="","Amount missing — type the number in column E",IF(NOT(ISNUMBER($E228)),"Amount must be a plain number — no currency symbol, no text",IF(AND($T228="Custom units",$AE228&lt;=0),"Custom units: nobody has units on this row — type a number for at least one person",IF($AE228&lt;=0,"Nobody shares this row — check the person columns H–Q, and the Weight / Nights columns on Setup",IF(AND($T228="Exact amounts",ABS($AE228-$AG228)&gt;0.01),"Exact amounts do not add up to the amount","OK"))))))))</f>
        <v/>
      </c>
      <c r="S228" s="27" t="str">
        <f>IFERROR(IF(OR($T228="",$C$4=""),"—",ROUND($AG228*INDEX($U228:$AD228,1,MATCH($C$4,Setup!$B$21:$B$30,0))/$AF228,2)),"—")</f>
        <v>—</v>
      </c>
      <c r="T228" s="28" t="str">
        <f>IF(AND($C228="",$D228="",NOT(ISNUMBER($E228))),"",IF($G228="",IF(Setup!$C$17="","Equal",Setup!$C$17),$G228))</f>
        <v/>
      </c>
      <c r="U228" s="29">
        <f>IF($T228="",0,IF(OR(Setup!$B$21="",Setup!$C$21="No"),0,IF(ISNUMBER(H228),H228,IF($T228="Weights",IF(ISNUMBER(Setup!$D$21),Setup!$D$21,0),IF($T228="Nights",IF(ISNUMBER(Setup!$E$21),Setup!$E$21,0),IF(OR($T228="Exact amounts",$T228="Custom units"),0,1))))))</f>
        <v>0</v>
      </c>
      <c r="V228" s="29">
        <f>IF($T228="",0,IF(OR(Setup!$B$22="",Setup!$C$22="No"),0,IF(ISNUMBER(I228),I228,IF($T228="Weights",IF(ISNUMBER(Setup!$D$22),Setup!$D$22,0),IF($T228="Nights",IF(ISNUMBER(Setup!$E$22),Setup!$E$22,0),IF(OR($T228="Exact amounts",$T228="Custom units"),0,1))))))</f>
        <v>0</v>
      </c>
      <c r="W228" s="29">
        <f>IF($T228="",0,IF(OR(Setup!$B$23="",Setup!$C$23="No"),0,IF(ISNUMBER(J228),J228,IF($T228="Weights",IF(ISNUMBER(Setup!$D$23),Setup!$D$23,0),IF($T228="Nights",IF(ISNUMBER(Setup!$E$23),Setup!$E$23,0),IF(OR($T228="Exact amounts",$T228="Custom units"),0,1))))))</f>
        <v>0</v>
      </c>
      <c r="X228" s="29">
        <f>IF($T228="",0,IF(OR(Setup!$B$24="",Setup!$C$24="No"),0,IF(ISNUMBER(K228),K228,IF($T228="Weights",IF(ISNUMBER(Setup!$D$24),Setup!$D$24,0),IF($T228="Nights",IF(ISNUMBER(Setup!$E$24),Setup!$E$24,0),IF(OR($T228="Exact amounts",$T228="Custom units"),0,1))))))</f>
        <v>0</v>
      </c>
      <c r="Y228" s="29">
        <f>IF($T228="",0,IF(OR(Setup!$B$25="",Setup!$C$25="No"),0,IF(ISNUMBER(L228),L228,IF($T228="Weights",IF(ISNUMBER(Setup!$D$25),Setup!$D$25,0),IF($T228="Nights",IF(ISNUMBER(Setup!$E$25),Setup!$E$25,0),IF(OR($T228="Exact amounts",$T228="Custom units"),0,1))))))</f>
        <v>0</v>
      </c>
      <c r="Z228" s="29">
        <f>IF($T228="",0,IF(OR(Setup!$B$26="",Setup!$C$26="No"),0,IF(ISNUMBER(M228),M228,IF($T228="Weights",IF(ISNUMBER(Setup!$D$26),Setup!$D$26,0),IF($T228="Nights",IF(ISNUMBER(Setup!$E$26),Setup!$E$26,0),IF(OR($T228="Exact amounts",$T228="Custom units"),0,1))))))</f>
        <v>0</v>
      </c>
      <c r="AA228" s="29">
        <f>IF($T228="",0,IF(OR(Setup!$B$27="",Setup!$C$27="No"),0,IF(ISNUMBER(N228),N228,IF($T228="Weights",IF(ISNUMBER(Setup!$D$27),Setup!$D$27,0),IF($T228="Nights",IF(ISNUMBER(Setup!$E$27),Setup!$E$27,0),IF(OR($T228="Exact amounts",$T228="Custom units"),0,1))))))</f>
        <v>0</v>
      </c>
      <c r="AB228" s="29">
        <f>IF($T228="",0,IF(OR(Setup!$B$28="",Setup!$C$28="No"),0,IF(ISNUMBER(O228),O228,IF($T228="Weights",IF(ISNUMBER(Setup!$D$28),Setup!$D$28,0),IF($T228="Nights",IF(ISNUMBER(Setup!$E$28),Setup!$E$28,0),IF(OR($T228="Exact amounts",$T228="Custom units"),0,1))))))</f>
        <v>0</v>
      </c>
      <c r="AC228" s="29">
        <f>IF($T228="",0,IF(OR(Setup!$B$29="",Setup!$C$29="No"),0,IF(ISNUMBER(P228),P228,IF($T228="Weights",IF(ISNUMBER(Setup!$D$29),Setup!$D$29,0),IF($T228="Nights",IF(ISNUMBER(Setup!$E$29),Setup!$E$29,0),IF(OR($T228="Exact amounts",$T228="Custom units"),0,1))))))</f>
        <v>0</v>
      </c>
      <c r="AD228" s="29">
        <f>IF($T228="",0,IF(OR(Setup!$B$30="",Setup!$C$30="No"),0,IF(ISNUMBER(Q228),Q228,IF($T228="Weights",IF(ISNUMBER(Setup!$D$30),Setup!$D$30,0),IF($T228="Nights",IF(ISNUMBER(Setup!$E$30),Setup!$E$30,0),IF(OR($T228="Exact amounts",$T228="Custom units"),0,1))))))</f>
        <v>0</v>
      </c>
      <c r="AE228" s="29">
        <f t="shared" si="13"/>
        <v>0</v>
      </c>
      <c r="AF228" s="30">
        <f t="shared" si="14"/>
        <v>1</v>
      </c>
      <c r="AG228" s="29">
        <f t="shared" si="15"/>
        <v>0</v>
      </c>
    </row>
    <row r="229" spans="1:33" ht="16" x14ac:dyDescent="0.2">
      <c r="A229" s="22" t="str">
        <f t="shared" si="12"/>
        <v>—</v>
      </c>
      <c r="B229" s="31"/>
      <c r="C229" s="11"/>
      <c r="D229" s="11"/>
      <c r="E229" s="32"/>
      <c r="F229" s="11"/>
      <c r="G229" s="11"/>
      <c r="H229" s="33"/>
      <c r="I229" s="33"/>
      <c r="J229" s="33"/>
      <c r="K229" s="33"/>
      <c r="L229" s="33"/>
      <c r="M229" s="33"/>
      <c r="N229" s="33"/>
      <c r="O229" s="33"/>
      <c r="P229" s="33"/>
      <c r="Q229" s="33"/>
      <c r="R229" s="26" t="str">
        <f>IF($T229="","",IF($D229="","Who paid?",IF(SUMPRODUCT((Setup!$B$21:$B$30=$D229)*1)=0,"Payer is not in the member list on Setup",IF($E229="","Amount missing — type the number in column E",IF(NOT(ISNUMBER($E229)),"Amount must be a plain number — no currency symbol, no text",IF(AND($T229="Custom units",$AE229&lt;=0),"Custom units: nobody has units on this row — type a number for at least one person",IF($AE229&lt;=0,"Nobody shares this row — check the person columns H–Q, and the Weight / Nights columns on Setup",IF(AND($T229="Exact amounts",ABS($AE229-$AG229)&gt;0.01),"Exact amounts do not add up to the amount","OK"))))))))</f>
        <v/>
      </c>
      <c r="S229" s="27" t="str">
        <f>IFERROR(IF(OR($T229="",$C$4=""),"—",ROUND($AG229*INDEX($U229:$AD229,1,MATCH($C$4,Setup!$B$21:$B$30,0))/$AF229,2)),"—")</f>
        <v>—</v>
      </c>
      <c r="T229" s="28" t="str">
        <f>IF(AND($C229="",$D229="",NOT(ISNUMBER($E229))),"",IF($G229="",IF(Setup!$C$17="","Equal",Setup!$C$17),$G229))</f>
        <v/>
      </c>
      <c r="U229" s="29">
        <f>IF($T229="",0,IF(OR(Setup!$B$21="",Setup!$C$21="No"),0,IF(ISNUMBER(H229),H229,IF($T229="Weights",IF(ISNUMBER(Setup!$D$21),Setup!$D$21,0),IF($T229="Nights",IF(ISNUMBER(Setup!$E$21),Setup!$E$21,0),IF(OR($T229="Exact amounts",$T229="Custom units"),0,1))))))</f>
        <v>0</v>
      </c>
      <c r="V229" s="29">
        <f>IF($T229="",0,IF(OR(Setup!$B$22="",Setup!$C$22="No"),0,IF(ISNUMBER(I229),I229,IF($T229="Weights",IF(ISNUMBER(Setup!$D$22),Setup!$D$22,0),IF($T229="Nights",IF(ISNUMBER(Setup!$E$22),Setup!$E$22,0),IF(OR($T229="Exact amounts",$T229="Custom units"),0,1))))))</f>
        <v>0</v>
      </c>
      <c r="W229" s="29">
        <f>IF($T229="",0,IF(OR(Setup!$B$23="",Setup!$C$23="No"),0,IF(ISNUMBER(J229),J229,IF($T229="Weights",IF(ISNUMBER(Setup!$D$23),Setup!$D$23,0),IF($T229="Nights",IF(ISNUMBER(Setup!$E$23),Setup!$E$23,0),IF(OR($T229="Exact amounts",$T229="Custom units"),0,1))))))</f>
        <v>0</v>
      </c>
      <c r="X229" s="29">
        <f>IF($T229="",0,IF(OR(Setup!$B$24="",Setup!$C$24="No"),0,IF(ISNUMBER(K229),K229,IF($T229="Weights",IF(ISNUMBER(Setup!$D$24),Setup!$D$24,0),IF($T229="Nights",IF(ISNUMBER(Setup!$E$24),Setup!$E$24,0),IF(OR($T229="Exact amounts",$T229="Custom units"),0,1))))))</f>
        <v>0</v>
      </c>
      <c r="Y229" s="29">
        <f>IF($T229="",0,IF(OR(Setup!$B$25="",Setup!$C$25="No"),0,IF(ISNUMBER(L229),L229,IF($T229="Weights",IF(ISNUMBER(Setup!$D$25),Setup!$D$25,0),IF($T229="Nights",IF(ISNUMBER(Setup!$E$25),Setup!$E$25,0),IF(OR($T229="Exact amounts",$T229="Custom units"),0,1))))))</f>
        <v>0</v>
      </c>
      <c r="Z229" s="29">
        <f>IF($T229="",0,IF(OR(Setup!$B$26="",Setup!$C$26="No"),0,IF(ISNUMBER(M229),M229,IF($T229="Weights",IF(ISNUMBER(Setup!$D$26),Setup!$D$26,0),IF($T229="Nights",IF(ISNUMBER(Setup!$E$26),Setup!$E$26,0),IF(OR($T229="Exact amounts",$T229="Custom units"),0,1))))))</f>
        <v>0</v>
      </c>
      <c r="AA229" s="29">
        <f>IF($T229="",0,IF(OR(Setup!$B$27="",Setup!$C$27="No"),0,IF(ISNUMBER(N229),N229,IF($T229="Weights",IF(ISNUMBER(Setup!$D$27),Setup!$D$27,0),IF($T229="Nights",IF(ISNUMBER(Setup!$E$27),Setup!$E$27,0),IF(OR($T229="Exact amounts",$T229="Custom units"),0,1))))))</f>
        <v>0</v>
      </c>
      <c r="AB229" s="29">
        <f>IF($T229="",0,IF(OR(Setup!$B$28="",Setup!$C$28="No"),0,IF(ISNUMBER(O229),O229,IF($T229="Weights",IF(ISNUMBER(Setup!$D$28),Setup!$D$28,0),IF($T229="Nights",IF(ISNUMBER(Setup!$E$28),Setup!$E$28,0),IF(OR($T229="Exact amounts",$T229="Custom units"),0,1))))))</f>
        <v>0</v>
      </c>
      <c r="AC229" s="29">
        <f>IF($T229="",0,IF(OR(Setup!$B$29="",Setup!$C$29="No"),0,IF(ISNUMBER(P229),P229,IF($T229="Weights",IF(ISNUMBER(Setup!$D$29),Setup!$D$29,0),IF($T229="Nights",IF(ISNUMBER(Setup!$E$29),Setup!$E$29,0),IF(OR($T229="Exact amounts",$T229="Custom units"),0,1))))))</f>
        <v>0</v>
      </c>
      <c r="AD229" s="29">
        <f>IF($T229="",0,IF(OR(Setup!$B$30="",Setup!$C$30="No"),0,IF(ISNUMBER(Q229),Q229,IF($T229="Weights",IF(ISNUMBER(Setup!$D$30),Setup!$D$30,0),IF($T229="Nights",IF(ISNUMBER(Setup!$E$30),Setup!$E$30,0),IF(OR($T229="Exact amounts",$T229="Custom units"),0,1))))))</f>
        <v>0</v>
      </c>
      <c r="AE229" s="29">
        <f t="shared" si="13"/>
        <v>0</v>
      </c>
      <c r="AF229" s="30">
        <f t="shared" si="14"/>
        <v>1</v>
      </c>
      <c r="AG229" s="29">
        <f t="shared" si="15"/>
        <v>0</v>
      </c>
    </row>
    <row r="230" spans="1:33" ht="16" x14ac:dyDescent="0.2">
      <c r="A230" s="22" t="str">
        <f t="shared" si="12"/>
        <v>—</v>
      </c>
      <c r="B230" s="23"/>
      <c r="C230" s="16"/>
      <c r="D230" s="16"/>
      <c r="E230" s="24"/>
      <c r="F230" s="16"/>
      <c r="G230" s="16"/>
      <c r="H230" s="25"/>
      <c r="I230" s="25"/>
      <c r="J230" s="25"/>
      <c r="K230" s="25"/>
      <c r="L230" s="25"/>
      <c r="M230" s="25"/>
      <c r="N230" s="25"/>
      <c r="O230" s="25"/>
      <c r="P230" s="25"/>
      <c r="Q230" s="25"/>
      <c r="R230" s="26" t="str">
        <f>IF($T230="","",IF($D230="","Who paid?",IF(SUMPRODUCT((Setup!$B$21:$B$30=$D230)*1)=0,"Payer is not in the member list on Setup",IF($E230="","Amount missing — type the number in column E",IF(NOT(ISNUMBER($E230)),"Amount must be a plain number — no currency symbol, no text",IF(AND($T230="Custom units",$AE230&lt;=0),"Custom units: nobody has units on this row — type a number for at least one person",IF($AE230&lt;=0,"Nobody shares this row — check the person columns H–Q, and the Weight / Nights columns on Setup",IF(AND($T230="Exact amounts",ABS($AE230-$AG230)&gt;0.01),"Exact amounts do not add up to the amount","OK"))))))))</f>
        <v/>
      </c>
      <c r="S230" s="27" t="str">
        <f>IFERROR(IF(OR($T230="",$C$4=""),"—",ROUND($AG230*INDEX($U230:$AD230,1,MATCH($C$4,Setup!$B$21:$B$30,0))/$AF230,2)),"—")</f>
        <v>—</v>
      </c>
      <c r="T230" s="28" t="str">
        <f>IF(AND($C230="",$D230="",NOT(ISNUMBER($E230))),"",IF($G230="",IF(Setup!$C$17="","Equal",Setup!$C$17),$G230))</f>
        <v/>
      </c>
      <c r="U230" s="29">
        <f>IF($T230="",0,IF(OR(Setup!$B$21="",Setup!$C$21="No"),0,IF(ISNUMBER(H230),H230,IF($T230="Weights",IF(ISNUMBER(Setup!$D$21),Setup!$D$21,0),IF($T230="Nights",IF(ISNUMBER(Setup!$E$21),Setup!$E$21,0),IF(OR($T230="Exact amounts",$T230="Custom units"),0,1))))))</f>
        <v>0</v>
      </c>
      <c r="V230" s="29">
        <f>IF($T230="",0,IF(OR(Setup!$B$22="",Setup!$C$22="No"),0,IF(ISNUMBER(I230),I230,IF($T230="Weights",IF(ISNUMBER(Setup!$D$22),Setup!$D$22,0),IF($T230="Nights",IF(ISNUMBER(Setup!$E$22),Setup!$E$22,0),IF(OR($T230="Exact amounts",$T230="Custom units"),0,1))))))</f>
        <v>0</v>
      </c>
      <c r="W230" s="29">
        <f>IF($T230="",0,IF(OR(Setup!$B$23="",Setup!$C$23="No"),0,IF(ISNUMBER(J230),J230,IF($T230="Weights",IF(ISNUMBER(Setup!$D$23),Setup!$D$23,0),IF($T230="Nights",IF(ISNUMBER(Setup!$E$23),Setup!$E$23,0),IF(OR($T230="Exact amounts",$T230="Custom units"),0,1))))))</f>
        <v>0</v>
      </c>
      <c r="X230" s="29">
        <f>IF($T230="",0,IF(OR(Setup!$B$24="",Setup!$C$24="No"),0,IF(ISNUMBER(K230),K230,IF($T230="Weights",IF(ISNUMBER(Setup!$D$24),Setup!$D$24,0),IF($T230="Nights",IF(ISNUMBER(Setup!$E$24),Setup!$E$24,0),IF(OR($T230="Exact amounts",$T230="Custom units"),0,1))))))</f>
        <v>0</v>
      </c>
      <c r="Y230" s="29">
        <f>IF($T230="",0,IF(OR(Setup!$B$25="",Setup!$C$25="No"),0,IF(ISNUMBER(L230),L230,IF($T230="Weights",IF(ISNUMBER(Setup!$D$25),Setup!$D$25,0),IF($T230="Nights",IF(ISNUMBER(Setup!$E$25),Setup!$E$25,0),IF(OR($T230="Exact amounts",$T230="Custom units"),0,1))))))</f>
        <v>0</v>
      </c>
      <c r="Z230" s="29">
        <f>IF($T230="",0,IF(OR(Setup!$B$26="",Setup!$C$26="No"),0,IF(ISNUMBER(M230),M230,IF($T230="Weights",IF(ISNUMBER(Setup!$D$26),Setup!$D$26,0),IF($T230="Nights",IF(ISNUMBER(Setup!$E$26),Setup!$E$26,0),IF(OR($T230="Exact amounts",$T230="Custom units"),0,1))))))</f>
        <v>0</v>
      </c>
      <c r="AA230" s="29">
        <f>IF($T230="",0,IF(OR(Setup!$B$27="",Setup!$C$27="No"),0,IF(ISNUMBER(N230),N230,IF($T230="Weights",IF(ISNUMBER(Setup!$D$27),Setup!$D$27,0),IF($T230="Nights",IF(ISNUMBER(Setup!$E$27),Setup!$E$27,0),IF(OR($T230="Exact amounts",$T230="Custom units"),0,1))))))</f>
        <v>0</v>
      </c>
      <c r="AB230" s="29">
        <f>IF($T230="",0,IF(OR(Setup!$B$28="",Setup!$C$28="No"),0,IF(ISNUMBER(O230),O230,IF($T230="Weights",IF(ISNUMBER(Setup!$D$28),Setup!$D$28,0),IF($T230="Nights",IF(ISNUMBER(Setup!$E$28),Setup!$E$28,0),IF(OR($T230="Exact amounts",$T230="Custom units"),0,1))))))</f>
        <v>0</v>
      </c>
      <c r="AC230" s="29">
        <f>IF($T230="",0,IF(OR(Setup!$B$29="",Setup!$C$29="No"),0,IF(ISNUMBER(P230),P230,IF($T230="Weights",IF(ISNUMBER(Setup!$D$29),Setup!$D$29,0),IF($T230="Nights",IF(ISNUMBER(Setup!$E$29),Setup!$E$29,0),IF(OR($T230="Exact amounts",$T230="Custom units"),0,1))))))</f>
        <v>0</v>
      </c>
      <c r="AD230" s="29">
        <f>IF($T230="",0,IF(OR(Setup!$B$30="",Setup!$C$30="No"),0,IF(ISNUMBER(Q230),Q230,IF($T230="Weights",IF(ISNUMBER(Setup!$D$30),Setup!$D$30,0),IF($T230="Nights",IF(ISNUMBER(Setup!$E$30),Setup!$E$30,0),IF(OR($T230="Exact amounts",$T230="Custom units"),0,1))))))</f>
        <v>0</v>
      </c>
      <c r="AE230" s="29">
        <f t="shared" si="13"/>
        <v>0</v>
      </c>
      <c r="AF230" s="30">
        <f t="shared" si="14"/>
        <v>1</v>
      </c>
      <c r="AG230" s="29">
        <f t="shared" si="15"/>
        <v>0</v>
      </c>
    </row>
    <row r="231" spans="1:33" ht="16" x14ac:dyDescent="0.2">
      <c r="A231" s="22" t="str">
        <f t="shared" si="12"/>
        <v>—</v>
      </c>
      <c r="B231" s="31"/>
      <c r="C231" s="11"/>
      <c r="D231" s="11"/>
      <c r="E231" s="32"/>
      <c r="F231" s="11"/>
      <c r="G231" s="11"/>
      <c r="H231" s="33"/>
      <c r="I231" s="33"/>
      <c r="J231" s="33"/>
      <c r="K231" s="33"/>
      <c r="L231" s="33"/>
      <c r="M231" s="33"/>
      <c r="N231" s="33"/>
      <c r="O231" s="33"/>
      <c r="P231" s="33"/>
      <c r="Q231" s="33"/>
      <c r="R231" s="26" t="str">
        <f>IF($T231="","",IF($D231="","Who paid?",IF(SUMPRODUCT((Setup!$B$21:$B$30=$D231)*1)=0,"Payer is not in the member list on Setup",IF($E231="","Amount missing — type the number in column E",IF(NOT(ISNUMBER($E231)),"Amount must be a plain number — no currency symbol, no text",IF(AND($T231="Custom units",$AE231&lt;=0),"Custom units: nobody has units on this row — type a number for at least one person",IF($AE231&lt;=0,"Nobody shares this row — check the person columns H–Q, and the Weight / Nights columns on Setup",IF(AND($T231="Exact amounts",ABS($AE231-$AG231)&gt;0.01),"Exact amounts do not add up to the amount","OK"))))))))</f>
        <v/>
      </c>
      <c r="S231" s="27" t="str">
        <f>IFERROR(IF(OR($T231="",$C$4=""),"—",ROUND($AG231*INDEX($U231:$AD231,1,MATCH($C$4,Setup!$B$21:$B$30,0))/$AF231,2)),"—")</f>
        <v>—</v>
      </c>
      <c r="T231" s="28" t="str">
        <f>IF(AND($C231="",$D231="",NOT(ISNUMBER($E231))),"",IF($G231="",IF(Setup!$C$17="","Equal",Setup!$C$17),$G231))</f>
        <v/>
      </c>
      <c r="U231" s="29">
        <f>IF($T231="",0,IF(OR(Setup!$B$21="",Setup!$C$21="No"),0,IF(ISNUMBER(H231),H231,IF($T231="Weights",IF(ISNUMBER(Setup!$D$21),Setup!$D$21,0),IF($T231="Nights",IF(ISNUMBER(Setup!$E$21),Setup!$E$21,0),IF(OR($T231="Exact amounts",$T231="Custom units"),0,1))))))</f>
        <v>0</v>
      </c>
      <c r="V231" s="29">
        <f>IF($T231="",0,IF(OR(Setup!$B$22="",Setup!$C$22="No"),0,IF(ISNUMBER(I231),I231,IF($T231="Weights",IF(ISNUMBER(Setup!$D$22),Setup!$D$22,0),IF($T231="Nights",IF(ISNUMBER(Setup!$E$22),Setup!$E$22,0),IF(OR($T231="Exact amounts",$T231="Custom units"),0,1))))))</f>
        <v>0</v>
      </c>
      <c r="W231" s="29">
        <f>IF($T231="",0,IF(OR(Setup!$B$23="",Setup!$C$23="No"),0,IF(ISNUMBER(J231),J231,IF($T231="Weights",IF(ISNUMBER(Setup!$D$23),Setup!$D$23,0),IF($T231="Nights",IF(ISNUMBER(Setup!$E$23),Setup!$E$23,0),IF(OR($T231="Exact amounts",$T231="Custom units"),0,1))))))</f>
        <v>0</v>
      </c>
      <c r="X231" s="29">
        <f>IF($T231="",0,IF(OR(Setup!$B$24="",Setup!$C$24="No"),0,IF(ISNUMBER(K231),K231,IF($T231="Weights",IF(ISNUMBER(Setup!$D$24),Setup!$D$24,0),IF($T231="Nights",IF(ISNUMBER(Setup!$E$24),Setup!$E$24,0),IF(OR($T231="Exact amounts",$T231="Custom units"),0,1))))))</f>
        <v>0</v>
      </c>
      <c r="Y231" s="29">
        <f>IF($T231="",0,IF(OR(Setup!$B$25="",Setup!$C$25="No"),0,IF(ISNUMBER(L231),L231,IF($T231="Weights",IF(ISNUMBER(Setup!$D$25),Setup!$D$25,0),IF($T231="Nights",IF(ISNUMBER(Setup!$E$25),Setup!$E$25,0),IF(OR($T231="Exact amounts",$T231="Custom units"),0,1))))))</f>
        <v>0</v>
      </c>
      <c r="Z231" s="29">
        <f>IF($T231="",0,IF(OR(Setup!$B$26="",Setup!$C$26="No"),0,IF(ISNUMBER(M231),M231,IF($T231="Weights",IF(ISNUMBER(Setup!$D$26),Setup!$D$26,0),IF($T231="Nights",IF(ISNUMBER(Setup!$E$26),Setup!$E$26,0),IF(OR($T231="Exact amounts",$T231="Custom units"),0,1))))))</f>
        <v>0</v>
      </c>
      <c r="AA231" s="29">
        <f>IF($T231="",0,IF(OR(Setup!$B$27="",Setup!$C$27="No"),0,IF(ISNUMBER(N231),N231,IF($T231="Weights",IF(ISNUMBER(Setup!$D$27),Setup!$D$27,0),IF($T231="Nights",IF(ISNUMBER(Setup!$E$27),Setup!$E$27,0),IF(OR($T231="Exact amounts",$T231="Custom units"),0,1))))))</f>
        <v>0</v>
      </c>
      <c r="AB231" s="29">
        <f>IF($T231="",0,IF(OR(Setup!$B$28="",Setup!$C$28="No"),0,IF(ISNUMBER(O231),O231,IF($T231="Weights",IF(ISNUMBER(Setup!$D$28),Setup!$D$28,0),IF($T231="Nights",IF(ISNUMBER(Setup!$E$28),Setup!$E$28,0),IF(OR($T231="Exact amounts",$T231="Custom units"),0,1))))))</f>
        <v>0</v>
      </c>
      <c r="AC231" s="29">
        <f>IF($T231="",0,IF(OR(Setup!$B$29="",Setup!$C$29="No"),0,IF(ISNUMBER(P231),P231,IF($T231="Weights",IF(ISNUMBER(Setup!$D$29),Setup!$D$29,0),IF($T231="Nights",IF(ISNUMBER(Setup!$E$29),Setup!$E$29,0),IF(OR($T231="Exact amounts",$T231="Custom units"),0,1))))))</f>
        <v>0</v>
      </c>
      <c r="AD231" s="29">
        <f>IF($T231="",0,IF(OR(Setup!$B$30="",Setup!$C$30="No"),0,IF(ISNUMBER(Q231),Q231,IF($T231="Weights",IF(ISNUMBER(Setup!$D$30),Setup!$D$30,0),IF($T231="Nights",IF(ISNUMBER(Setup!$E$30),Setup!$E$30,0),IF(OR($T231="Exact amounts",$T231="Custom units"),0,1))))))</f>
        <v>0</v>
      </c>
      <c r="AE231" s="29">
        <f t="shared" si="13"/>
        <v>0</v>
      </c>
      <c r="AF231" s="30">
        <f t="shared" si="14"/>
        <v>1</v>
      </c>
      <c r="AG231" s="29">
        <f t="shared" si="15"/>
        <v>0</v>
      </c>
    </row>
    <row r="232" spans="1:33" ht="16" x14ac:dyDescent="0.2">
      <c r="A232" s="22" t="str">
        <f t="shared" si="12"/>
        <v>—</v>
      </c>
      <c r="B232" s="23"/>
      <c r="C232" s="16"/>
      <c r="D232" s="16"/>
      <c r="E232" s="24"/>
      <c r="F232" s="16"/>
      <c r="G232" s="16"/>
      <c r="H232" s="25"/>
      <c r="I232" s="25"/>
      <c r="J232" s="25"/>
      <c r="K232" s="25"/>
      <c r="L232" s="25"/>
      <c r="M232" s="25"/>
      <c r="N232" s="25"/>
      <c r="O232" s="25"/>
      <c r="P232" s="25"/>
      <c r="Q232" s="25"/>
      <c r="R232" s="26" t="str">
        <f>IF($T232="","",IF($D232="","Who paid?",IF(SUMPRODUCT((Setup!$B$21:$B$30=$D232)*1)=0,"Payer is not in the member list on Setup",IF($E232="","Amount missing — type the number in column E",IF(NOT(ISNUMBER($E232)),"Amount must be a plain number — no currency symbol, no text",IF(AND($T232="Custom units",$AE232&lt;=0),"Custom units: nobody has units on this row — type a number for at least one person",IF($AE232&lt;=0,"Nobody shares this row — check the person columns H–Q, and the Weight / Nights columns on Setup",IF(AND($T232="Exact amounts",ABS($AE232-$AG232)&gt;0.01),"Exact amounts do not add up to the amount","OK"))))))))</f>
        <v/>
      </c>
      <c r="S232" s="27" t="str">
        <f>IFERROR(IF(OR($T232="",$C$4=""),"—",ROUND($AG232*INDEX($U232:$AD232,1,MATCH($C$4,Setup!$B$21:$B$30,0))/$AF232,2)),"—")</f>
        <v>—</v>
      </c>
      <c r="T232" s="28" t="str">
        <f>IF(AND($C232="",$D232="",NOT(ISNUMBER($E232))),"",IF($G232="",IF(Setup!$C$17="","Equal",Setup!$C$17),$G232))</f>
        <v/>
      </c>
      <c r="U232" s="29">
        <f>IF($T232="",0,IF(OR(Setup!$B$21="",Setup!$C$21="No"),0,IF(ISNUMBER(H232),H232,IF($T232="Weights",IF(ISNUMBER(Setup!$D$21),Setup!$D$21,0),IF($T232="Nights",IF(ISNUMBER(Setup!$E$21),Setup!$E$21,0),IF(OR($T232="Exact amounts",$T232="Custom units"),0,1))))))</f>
        <v>0</v>
      </c>
      <c r="V232" s="29">
        <f>IF($T232="",0,IF(OR(Setup!$B$22="",Setup!$C$22="No"),0,IF(ISNUMBER(I232),I232,IF($T232="Weights",IF(ISNUMBER(Setup!$D$22),Setup!$D$22,0),IF($T232="Nights",IF(ISNUMBER(Setup!$E$22),Setup!$E$22,0),IF(OR($T232="Exact amounts",$T232="Custom units"),0,1))))))</f>
        <v>0</v>
      </c>
      <c r="W232" s="29">
        <f>IF($T232="",0,IF(OR(Setup!$B$23="",Setup!$C$23="No"),0,IF(ISNUMBER(J232),J232,IF($T232="Weights",IF(ISNUMBER(Setup!$D$23),Setup!$D$23,0),IF($T232="Nights",IF(ISNUMBER(Setup!$E$23),Setup!$E$23,0),IF(OR($T232="Exact amounts",$T232="Custom units"),0,1))))))</f>
        <v>0</v>
      </c>
      <c r="X232" s="29">
        <f>IF($T232="",0,IF(OR(Setup!$B$24="",Setup!$C$24="No"),0,IF(ISNUMBER(K232),K232,IF($T232="Weights",IF(ISNUMBER(Setup!$D$24),Setup!$D$24,0),IF($T232="Nights",IF(ISNUMBER(Setup!$E$24),Setup!$E$24,0),IF(OR($T232="Exact amounts",$T232="Custom units"),0,1))))))</f>
        <v>0</v>
      </c>
      <c r="Y232" s="29">
        <f>IF($T232="",0,IF(OR(Setup!$B$25="",Setup!$C$25="No"),0,IF(ISNUMBER(L232),L232,IF($T232="Weights",IF(ISNUMBER(Setup!$D$25),Setup!$D$25,0),IF($T232="Nights",IF(ISNUMBER(Setup!$E$25),Setup!$E$25,0),IF(OR($T232="Exact amounts",$T232="Custom units"),0,1))))))</f>
        <v>0</v>
      </c>
      <c r="Z232" s="29">
        <f>IF($T232="",0,IF(OR(Setup!$B$26="",Setup!$C$26="No"),0,IF(ISNUMBER(M232),M232,IF($T232="Weights",IF(ISNUMBER(Setup!$D$26),Setup!$D$26,0),IF($T232="Nights",IF(ISNUMBER(Setup!$E$26),Setup!$E$26,0),IF(OR($T232="Exact amounts",$T232="Custom units"),0,1))))))</f>
        <v>0</v>
      </c>
      <c r="AA232" s="29">
        <f>IF($T232="",0,IF(OR(Setup!$B$27="",Setup!$C$27="No"),0,IF(ISNUMBER(N232),N232,IF($T232="Weights",IF(ISNUMBER(Setup!$D$27),Setup!$D$27,0),IF($T232="Nights",IF(ISNUMBER(Setup!$E$27),Setup!$E$27,0),IF(OR($T232="Exact amounts",$T232="Custom units"),0,1))))))</f>
        <v>0</v>
      </c>
      <c r="AB232" s="29">
        <f>IF($T232="",0,IF(OR(Setup!$B$28="",Setup!$C$28="No"),0,IF(ISNUMBER(O232),O232,IF($T232="Weights",IF(ISNUMBER(Setup!$D$28),Setup!$D$28,0),IF($T232="Nights",IF(ISNUMBER(Setup!$E$28),Setup!$E$28,0),IF(OR($T232="Exact amounts",$T232="Custom units"),0,1))))))</f>
        <v>0</v>
      </c>
      <c r="AC232" s="29">
        <f>IF($T232="",0,IF(OR(Setup!$B$29="",Setup!$C$29="No"),0,IF(ISNUMBER(P232),P232,IF($T232="Weights",IF(ISNUMBER(Setup!$D$29),Setup!$D$29,0),IF($T232="Nights",IF(ISNUMBER(Setup!$E$29),Setup!$E$29,0),IF(OR($T232="Exact amounts",$T232="Custom units"),0,1))))))</f>
        <v>0</v>
      </c>
      <c r="AD232" s="29">
        <f>IF($T232="",0,IF(OR(Setup!$B$30="",Setup!$C$30="No"),0,IF(ISNUMBER(Q232),Q232,IF($T232="Weights",IF(ISNUMBER(Setup!$D$30),Setup!$D$30,0),IF($T232="Nights",IF(ISNUMBER(Setup!$E$30),Setup!$E$30,0),IF(OR($T232="Exact amounts",$T232="Custom units"),0,1))))))</f>
        <v>0</v>
      </c>
      <c r="AE232" s="29">
        <f t="shared" si="13"/>
        <v>0</v>
      </c>
      <c r="AF232" s="30">
        <f t="shared" si="14"/>
        <v>1</v>
      </c>
      <c r="AG232" s="29">
        <f t="shared" si="15"/>
        <v>0</v>
      </c>
    </row>
    <row r="233" spans="1:33" ht="16" x14ac:dyDescent="0.2">
      <c r="A233" s="22" t="str">
        <f t="shared" si="12"/>
        <v>—</v>
      </c>
      <c r="B233" s="31"/>
      <c r="C233" s="11"/>
      <c r="D233" s="11"/>
      <c r="E233" s="32"/>
      <c r="F233" s="11"/>
      <c r="G233" s="11"/>
      <c r="H233" s="33"/>
      <c r="I233" s="33"/>
      <c r="J233" s="33"/>
      <c r="K233" s="33"/>
      <c r="L233" s="33"/>
      <c r="M233" s="33"/>
      <c r="N233" s="33"/>
      <c r="O233" s="33"/>
      <c r="P233" s="33"/>
      <c r="Q233" s="33"/>
      <c r="R233" s="26" t="str">
        <f>IF($T233="","",IF($D233="","Who paid?",IF(SUMPRODUCT((Setup!$B$21:$B$30=$D233)*1)=0,"Payer is not in the member list on Setup",IF($E233="","Amount missing — type the number in column E",IF(NOT(ISNUMBER($E233)),"Amount must be a plain number — no currency symbol, no text",IF(AND($T233="Custom units",$AE233&lt;=0),"Custom units: nobody has units on this row — type a number for at least one person",IF($AE233&lt;=0,"Nobody shares this row — check the person columns H–Q, and the Weight / Nights columns on Setup",IF(AND($T233="Exact amounts",ABS($AE233-$AG233)&gt;0.01),"Exact amounts do not add up to the amount","OK"))))))))</f>
        <v/>
      </c>
      <c r="S233" s="27" t="str">
        <f>IFERROR(IF(OR($T233="",$C$4=""),"—",ROUND($AG233*INDEX($U233:$AD233,1,MATCH($C$4,Setup!$B$21:$B$30,0))/$AF233,2)),"—")</f>
        <v>—</v>
      </c>
      <c r="T233" s="28" t="str">
        <f>IF(AND($C233="",$D233="",NOT(ISNUMBER($E233))),"",IF($G233="",IF(Setup!$C$17="","Equal",Setup!$C$17),$G233))</f>
        <v/>
      </c>
      <c r="U233" s="29">
        <f>IF($T233="",0,IF(OR(Setup!$B$21="",Setup!$C$21="No"),0,IF(ISNUMBER(H233),H233,IF($T233="Weights",IF(ISNUMBER(Setup!$D$21),Setup!$D$21,0),IF($T233="Nights",IF(ISNUMBER(Setup!$E$21),Setup!$E$21,0),IF(OR($T233="Exact amounts",$T233="Custom units"),0,1))))))</f>
        <v>0</v>
      </c>
      <c r="V233" s="29">
        <f>IF($T233="",0,IF(OR(Setup!$B$22="",Setup!$C$22="No"),0,IF(ISNUMBER(I233),I233,IF($T233="Weights",IF(ISNUMBER(Setup!$D$22),Setup!$D$22,0),IF($T233="Nights",IF(ISNUMBER(Setup!$E$22),Setup!$E$22,0),IF(OR($T233="Exact amounts",$T233="Custom units"),0,1))))))</f>
        <v>0</v>
      </c>
      <c r="W233" s="29">
        <f>IF($T233="",0,IF(OR(Setup!$B$23="",Setup!$C$23="No"),0,IF(ISNUMBER(J233),J233,IF($T233="Weights",IF(ISNUMBER(Setup!$D$23),Setup!$D$23,0),IF($T233="Nights",IF(ISNUMBER(Setup!$E$23),Setup!$E$23,0),IF(OR($T233="Exact amounts",$T233="Custom units"),0,1))))))</f>
        <v>0</v>
      </c>
      <c r="X233" s="29">
        <f>IF($T233="",0,IF(OR(Setup!$B$24="",Setup!$C$24="No"),0,IF(ISNUMBER(K233),K233,IF($T233="Weights",IF(ISNUMBER(Setup!$D$24),Setup!$D$24,0),IF($T233="Nights",IF(ISNUMBER(Setup!$E$24),Setup!$E$24,0),IF(OR($T233="Exact amounts",$T233="Custom units"),0,1))))))</f>
        <v>0</v>
      </c>
      <c r="Y233" s="29">
        <f>IF($T233="",0,IF(OR(Setup!$B$25="",Setup!$C$25="No"),0,IF(ISNUMBER(L233),L233,IF($T233="Weights",IF(ISNUMBER(Setup!$D$25),Setup!$D$25,0),IF($T233="Nights",IF(ISNUMBER(Setup!$E$25),Setup!$E$25,0),IF(OR($T233="Exact amounts",$T233="Custom units"),0,1))))))</f>
        <v>0</v>
      </c>
      <c r="Z233" s="29">
        <f>IF($T233="",0,IF(OR(Setup!$B$26="",Setup!$C$26="No"),0,IF(ISNUMBER(M233),M233,IF($T233="Weights",IF(ISNUMBER(Setup!$D$26),Setup!$D$26,0),IF($T233="Nights",IF(ISNUMBER(Setup!$E$26),Setup!$E$26,0),IF(OR($T233="Exact amounts",$T233="Custom units"),0,1))))))</f>
        <v>0</v>
      </c>
      <c r="AA233" s="29">
        <f>IF($T233="",0,IF(OR(Setup!$B$27="",Setup!$C$27="No"),0,IF(ISNUMBER(N233),N233,IF($T233="Weights",IF(ISNUMBER(Setup!$D$27),Setup!$D$27,0),IF($T233="Nights",IF(ISNUMBER(Setup!$E$27),Setup!$E$27,0),IF(OR($T233="Exact amounts",$T233="Custom units"),0,1))))))</f>
        <v>0</v>
      </c>
      <c r="AB233" s="29">
        <f>IF($T233="",0,IF(OR(Setup!$B$28="",Setup!$C$28="No"),0,IF(ISNUMBER(O233),O233,IF($T233="Weights",IF(ISNUMBER(Setup!$D$28),Setup!$D$28,0),IF($T233="Nights",IF(ISNUMBER(Setup!$E$28),Setup!$E$28,0),IF(OR($T233="Exact amounts",$T233="Custom units"),0,1))))))</f>
        <v>0</v>
      </c>
      <c r="AC233" s="29">
        <f>IF($T233="",0,IF(OR(Setup!$B$29="",Setup!$C$29="No"),0,IF(ISNUMBER(P233),P233,IF($T233="Weights",IF(ISNUMBER(Setup!$D$29),Setup!$D$29,0),IF($T233="Nights",IF(ISNUMBER(Setup!$E$29),Setup!$E$29,0),IF(OR($T233="Exact amounts",$T233="Custom units"),0,1))))))</f>
        <v>0</v>
      </c>
      <c r="AD233" s="29">
        <f>IF($T233="",0,IF(OR(Setup!$B$30="",Setup!$C$30="No"),0,IF(ISNUMBER(Q233),Q233,IF($T233="Weights",IF(ISNUMBER(Setup!$D$30),Setup!$D$30,0),IF($T233="Nights",IF(ISNUMBER(Setup!$E$30),Setup!$E$30,0),IF(OR($T233="Exact amounts",$T233="Custom units"),0,1))))))</f>
        <v>0</v>
      </c>
      <c r="AE233" s="29">
        <f t="shared" si="13"/>
        <v>0</v>
      </c>
      <c r="AF233" s="30">
        <f t="shared" si="14"/>
        <v>1</v>
      </c>
      <c r="AG233" s="29">
        <f t="shared" si="15"/>
        <v>0</v>
      </c>
    </row>
    <row r="234" spans="1:33" ht="16" x14ac:dyDescent="0.2">
      <c r="A234" s="22" t="str">
        <f t="shared" si="12"/>
        <v>—</v>
      </c>
      <c r="B234" s="23"/>
      <c r="C234" s="16"/>
      <c r="D234" s="16"/>
      <c r="E234" s="24"/>
      <c r="F234" s="16"/>
      <c r="G234" s="16"/>
      <c r="H234" s="25"/>
      <c r="I234" s="25"/>
      <c r="J234" s="25"/>
      <c r="K234" s="25"/>
      <c r="L234" s="25"/>
      <c r="M234" s="25"/>
      <c r="N234" s="25"/>
      <c r="O234" s="25"/>
      <c r="P234" s="25"/>
      <c r="Q234" s="25"/>
      <c r="R234" s="26" t="str">
        <f>IF($T234="","",IF($D234="","Who paid?",IF(SUMPRODUCT((Setup!$B$21:$B$30=$D234)*1)=0,"Payer is not in the member list on Setup",IF($E234="","Amount missing — type the number in column E",IF(NOT(ISNUMBER($E234)),"Amount must be a plain number — no currency symbol, no text",IF(AND($T234="Custom units",$AE234&lt;=0),"Custom units: nobody has units on this row — type a number for at least one person",IF($AE234&lt;=0,"Nobody shares this row — check the person columns H–Q, and the Weight / Nights columns on Setup",IF(AND($T234="Exact amounts",ABS($AE234-$AG234)&gt;0.01),"Exact amounts do not add up to the amount","OK"))))))))</f>
        <v/>
      </c>
      <c r="S234" s="27" t="str">
        <f>IFERROR(IF(OR($T234="",$C$4=""),"—",ROUND($AG234*INDEX($U234:$AD234,1,MATCH($C$4,Setup!$B$21:$B$30,0))/$AF234,2)),"—")</f>
        <v>—</v>
      </c>
      <c r="T234" s="28" t="str">
        <f>IF(AND($C234="",$D234="",NOT(ISNUMBER($E234))),"",IF($G234="",IF(Setup!$C$17="","Equal",Setup!$C$17),$G234))</f>
        <v/>
      </c>
      <c r="U234" s="29">
        <f>IF($T234="",0,IF(OR(Setup!$B$21="",Setup!$C$21="No"),0,IF(ISNUMBER(H234),H234,IF($T234="Weights",IF(ISNUMBER(Setup!$D$21),Setup!$D$21,0),IF($T234="Nights",IF(ISNUMBER(Setup!$E$21),Setup!$E$21,0),IF(OR($T234="Exact amounts",$T234="Custom units"),0,1))))))</f>
        <v>0</v>
      </c>
      <c r="V234" s="29">
        <f>IF($T234="",0,IF(OR(Setup!$B$22="",Setup!$C$22="No"),0,IF(ISNUMBER(I234),I234,IF($T234="Weights",IF(ISNUMBER(Setup!$D$22),Setup!$D$22,0),IF($T234="Nights",IF(ISNUMBER(Setup!$E$22),Setup!$E$22,0),IF(OR($T234="Exact amounts",$T234="Custom units"),0,1))))))</f>
        <v>0</v>
      </c>
      <c r="W234" s="29">
        <f>IF($T234="",0,IF(OR(Setup!$B$23="",Setup!$C$23="No"),0,IF(ISNUMBER(J234),J234,IF($T234="Weights",IF(ISNUMBER(Setup!$D$23),Setup!$D$23,0),IF($T234="Nights",IF(ISNUMBER(Setup!$E$23),Setup!$E$23,0),IF(OR($T234="Exact amounts",$T234="Custom units"),0,1))))))</f>
        <v>0</v>
      </c>
      <c r="X234" s="29">
        <f>IF($T234="",0,IF(OR(Setup!$B$24="",Setup!$C$24="No"),0,IF(ISNUMBER(K234),K234,IF($T234="Weights",IF(ISNUMBER(Setup!$D$24),Setup!$D$24,0),IF($T234="Nights",IF(ISNUMBER(Setup!$E$24),Setup!$E$24,0),IF(OR($T234="Exact amounts",$T234="Custom units"),0,1))))))</f>
        <v>0</v>
      </c>
      <c r="Y234" s="29">
        <f>IF($T234="",0,IF(OR(Setup!$B$25="",Setup!$C$25="No"),0,IF(ISNUMBER(L234),L234,IF($T234="Weights",IF(ISNUMBER(Setup!$D$25),Setup!$D$25,0),IF($T234="Nights",IF(ISNUMBER(Setup!$E$25),Setup!$E$25,0),IF(OR($T234="Exact amounts",$T234="Custom units"),0,1))))))</f>
        <v>0</v>
      </c>
      <c r="Z234" s="29">
        <f>IF($T234="",0,IF(OR(Setup!$B$26="",Setup!$C$26="No"),0,IF(ISNUMBER(M234),M234,IF($T234="Weights",IF(ISNUMBER(Setup!$D$26),Setup!$D$26,0),IF($T234="Nights",IF(ISNUMBER(Setup!$E$26),Setup!$E$26,0),IF(OR($T234="Exact amounts",$T234="Custom units"),0,1))))))</f>
        <v>0</v>
      </c>
      <c r="AA234" s="29">
        <f>IF($T234="",0,IF(OR(Setup!$B$27="",Setup!$C$27="No"),0,IF(ISNUMBER(N234),N234,IF($T234="Weights",IF(ISNUMBER(Setup!$D$27),Setup!$D$27,0),IF($T234="Nights",IF(ISNUMBER(Setup!$E$27),Setup!$E$27,0),IF(OR($T234="Exact amounts",$T234="Custom units"),0,1))))))</f>
        <v>0</v>
      </c>
      <c r="AB234" s="29">
        <f>IF($T234="",0,IF(OR(Setup!$B$28="",Setup!$C$28="No"),0,IF(ISNUMBER(O234),O234,IF($T234="Weights",IF(ISNUMBER(Setup!$D$28),Setup!$D$28,0),IF($T234="Nights",IF(ISNUMBER(Setup!$E$28),Setup!$E$28,0),IF(OR($T234="Exact amounts",$T234="Custom units"),0,1))))))</f>
        <v>0</v>
      </c>
      <c r="AC234" s="29">
        <f>IF($T234="",0,IF(OR(Setup!$B$29="",Setup!$C$29="No"),0,IF(ISNUMBER(P234),P234,IF($T234="Weights",IF(ISNUMBER(Setup!$D$29),Setup!$D$29,0),IF($T234="Nights",IF(ISNUMBER(Setup!$E$29),Setup!$E$29,0),IF(OR($T234="Exact amounts",$T234="Custom units"),0,1))))))</f>
        <v>0</v>
      </c>
      <c r="AD234" s="29">
        <f>IF($T234="",0,IF(OR(Setup!$B$30="",Setup!$C$30="No"),0,IF(ISNUMBER(Q234),Q234,IF($T234="Weights",IF(ISNUMBER(Setup!$D$30),Setup!$D$30,0),IF($T234="Nights",IF(ISNUMBER(Setup!$E$30),Setup!$E$30,0),IF(OR($T234="Exact amounts",$T234="Custom units"),0,1))))))</f>
        <v>0</v>
      </c>
      <c r="AE234" s="29">
        <f t="shared" si="13"/>
        <v>0</v>
      </c>
      <c r="AF234" s="30">
        <f t="shared" si="14"/>
        <v>1</v>
      </c>
      <c r="AG234" s="29">
        <f t="shared" si="15"/>
        <v>0</v>
      </c>
    </row>
    <row r="235" spans="1:33" ht="16" x14ac:dyDescent="0.2">
      <c r="A235" s="22" t="str">
        <f t="shared" si="12"/>
        <v>—</v>
      </c>
      <c r="B235" s="31"/>
      <c r="C235" s="11"/>
      <c r="D235" s="11"/>
      <c r="E235" s="32"/>
      <c r="F235" s="11"/>
      <c r="G235" s="11"/>
      <c r="H235" s="33"/>
      <c r="I235" s="33"/>
      <c r="J235" s="33"/>
      <c r="K235" s="33"/>
      <c r="L235" s="33"/>
      <c r="M235" s="33"/>
      <c r="N235" s="33"/>
      <c r="O235" s="33"/>
      <c r="P235" s="33"/>
      <c r="Q235" s="33"/>
      <c r="R235" s="26" t="str">
        <f>IF($T235="","",IF($D235="","Who paid?",IF(SUMPRODUCT((Setup!$B$21:$B$30=$D235)*1)=0,"Payer is not in the member list on Setup",IF($E235="","Amount missing — type the number in column E",IF(NOT(ISNUMBER($E235)),"Amount must be a plain number — no currency symbol, no text",IF(AND($T235="Custom units",$AE235&lt;=0),"Custom units: nobody has units on this row — type a number for at least one person",IF($AE235&lt;=0,"Nobody shares this row — check the person columns H–Q, and the Weight / Nights columns on Setup",IF(AND($T235="Exact amounts",ABS($AE235-$AG235)&gt;0.01),"Exact amounts do not add up to the amount","OK"))))))))</f>
        <v/>
      </c>
      <c r="S235" s="27" t="str">
        <f>IFERROR(IF(OR($T235="",$C$4=""),"—",ROUND($AG235*INDEX($U235:$AD235,1,MATCH($C$4,Setup!$B$21:$B$30,0))/$AF235,2)),"—")</f>
        <v>—</v>
      </c>
      <c r="T235" s="28" t="str">
        <f>IF(AND($C235="",$D235="",NOT(ISNUMBER($E235))),"",IF($G235="",IF(Setup!$C$17="","Equal",Setup!$C$17),$G235))</f>
        <v/>
      </c>
      <c r="U235" s="29">
        <f>IF($T235="",0,IF(OR(Setup!$B$21="",Setup!$C$21="No"),0,IF(ISNUMBER(H235),H235,IF($T235="Weights",IF(ISNUMBER(Setup!$D$21),Setup!$D$21,0),IF($T235="Nights",IF(ISNUMBER(Setup!$E$21),Setup!$E$21,0),IF(OR($T235="Exact amounts",$T235="Custom units"),0,1))))))</f>
        <v>0</v>
      </c>
      <c r="V235" s="29">
        <f>IF($T235="",0,IF(OR(Setup!$B$22="",Setup!$C$22="No"),0,IF(ISNUMBER(I235),I235,IF($T235="Weights",IF(ISNUMBER(Setup!$D$22),Setup!$D$22,0),IF($T235="Nights",IF(ISNUMBER(Setup!$E$22),Setup!$E$22,0),IF(OR($T235="Exact amounts",$T235="Custom units"),0,1))))))</f>
        <v>0</v>
      </c>
      <c r="W235" s="29">
        <f>IF($T235="",0,IF(OR(Setup!$B$23="",Setup!$C$23="No"),0,IF(ISNUMBER(J235),J235,IF($T235="Weights",IF(ISNUMBER(Setup!$D$23),Setup!$D$23,0),IF($T235="Nights",IF(ISNUMBER(Setup!$E$23),Setup!$E$23,0),IF(OR($T235="Exact amounts",$T235="Custom units"),0,1))))))</f>
        <v>0</v>
      </c>
      <c r="X235" s="29">
        <f>IF($T235="",0,IF(OR(Setup!$B$24="",Setup!$C$24="No"),0,IF(ISNUMBER(K235),K235,IF($T235="Weights",IF(ISNUMBER(Setup!$D$24),Setup!$D$24,0),IF($T235="Nights",IF(ISNUMBER(Setup!$E$24),Setup!$E$24,0),IF(OR($T235="Exact amounts",$T235="Custom units"),0,1))))))</f>
        <v>0</v>
      </c>
      <c r="Y235" s="29">
        <f>IF($T235="",0,IF(OR(Setup!$B$25="",Setup!$C$25="No"),0,IF(ISNUMBER(L235),L235,IF($T235="Weights",IF(ISNUMBER(Setup!$D$25),Setup!$D$25,0),IF($T235="Nights",IF(ISNUMBER(Setup!$E$25),Setup!$E$25,0),IF(OR($T235="Exact amounts",$T235="Custom units"),0,1))))))</f>
        <v>0</v>
      </c>
      <c r="Z235" s="29">
        <f>IF($T235="",0,IF(OR(Setup!$B$26="",Setup!$C$26="No"),0,IF(ISNUMBER(M235),M235,IF($T235="Weights",IF(ISNUMBER(Setup!$D$26),Setup!$D$26,0),IF($T235="Nights",IF(ISNUMBER(Setup!$E$26),Setup!$E$26,0),IF(OR($T235="Exact amounts",$T235="Custom units"),0,1))))))</f>
        <v>0</v>
      </c>
      <c r="AA235" s="29">
        <f>IF($T235="",0,IF(OR(Setup!$B$27="",Setup!$C$27="No"),0,IF(ISNUMBER(N235),N235,IF($T235="Weights",IF(ISNUMBER(Setup!$D$27),Setup!$D$27,0),IF($T235="Nights",IF(ISNUMBER(Setup!$E$27),Setup!$E$27,0),IF(OR($T235="Exact amounts",$T235="Custom units"),0,1))))))</f>
        <v>0</v>
      </c>
      <c r="AB235" s="29">
        <f>IF($T235="",0,IF(OR(Setup!$B$28="",Setup!$C$28="No"),0,IF(ISNUMBER(O235),O235,IF($T235="Weights",IF(ISNUMBER(Setup!$D$28),Setup!$D$28,0),IF($T235="Nights",IF(ISNUMBER(Setup!$E$28),Setup!$E$28,0),IF(OR($T235="Exact amounts",$T235="Custom units"),0,1))))))</f>
        <v>0</v>
      </c>
      <c r="AC235" s="29">
        <f>IF($T235="",0,IF(OR(Setup!$B$29="",Setup!$C$29="No"),0,IF(ISNUMBER(P235),P235,IF($T235="Weights",IF(ISNUMBER(Setup!$D$29),Setup!$D$29,0),IF($T235="Nights",IF(ISNUMBER(Setup!$E$29),Setup!$E$29,0),IF(OR($T235="Exact amounts",$T235="Custom units"),0,1))))))</f>
        <v>0</v>
      </c>
      <c r="AD235" s="29">
        <f>IF($T235="",0,IF(OR(Setup!$B$30="",Setup!$C$30="No"),0,IF(ISNUMBER(Q235),Q235,IF($T235="Weights",IF(ISNUMBER(Setup!$D$30),Setup!$D$30,0),IF($T235="Nights",IF(ISNUMBER(Setup!$E$30),Setup!$E$30,0),IF(OR($T235="Exact amounts",$T235="Custom units"),0,1))))))</f>
        <v>0</v>
      </c>
      <c r="AE235" s="29">
        <f t="shared" si="13"/>
        <v>0</v>
      </c>
      <c r="AF235" s="30">
        <f t="shared" si="14"/>
        <v>1</v>
      </c>
      <c r="AG235" s="29">
        <f t="shared" si="15"/>
        <v>0</v>
      </c>
    </row>
    <row r="236" spans="1:33" ht="16" x14ac:dyDescent="0.2">
      <c r="A236" s="22" t="str">
        <f t="shared" si="12"/>
        <v>—</v>
      </c>
      <c r="B236" s="23"/>
      <c r="C236" s="16"/>
      <c r="D236" s="16"/>
      <c r="E236" s="24"/>
      <c r="F236" s="16"/>
      <c r="G236" s="16"/>
      <c r="H236" s="25"/>
      <c r="I236" s="25"/>
      <c r="J236" s="25"/>
      <c r="K236" s="25"/>
      <c r="L236" s="25"/>
      <c r="M236" s="25"/>
      <c r="N236" s="25"/>
      <c r="O236" s="25"/>
      <c r="P236" s="25"/>
      <c r="Q236" s="25"/>
      <c r="R236" s="26" t="str">
        <f>IF($T236="","",IF($D236="","Who paid?",IF(SUMPRODUCT((Setup!$B$21:$B$30=$D236)*1)=0,"Payer is not in the member list on Setup",IF($E236="","Amount missing — type the number in column E",IF(NOT(ISNUMBER($E236)),"Amount must be a plain number — no currency symbol, no text",IF(AND($T236="Custom units",$AE236&lt;=0),"Custom units: nobody has units on this row — type a number for at least one person",IF($AE236&lt;=0,"Nobody shares this row — check the person columns H–Q, and the Weight / Nights columns on Setup",IF(AND($T236="Exact amounts",ABS($AE236-$AG236)&gt;0.01),"Exact amounts do not add up to the amount","OK"))))))))</f>
        <v/>
      </c>
      <c r="S236" s="27" t="str">
        <f>IFERROR(IF(OR($T236="",$C$4=""),"—",ROUND($AG236*INDEX($U236:$AD236,1,MATCH($C$4,Setup!$B$21:$B$30,0))/$AF236,2)),"—")</f>
        <v>—</v>
      </c>
      <c r="T236" s="28" t="str">
        <f>IF(AND($C236="",$D236="",NOT(ISNUMBER($E236))),"",IF($G236="",IF(Setup!$C$17="","Equal",Setup!$C$17),$G236))</f>
        <v/>
      </c>
      <c r="U236" s="29">
        <f>IF($T236="",0,IF(OR(Setup!$B$21="",Setup!$C$21="No"),0,IF(ISNUMBER(H236),H236,IF($T236="Weights",IF(ISNUMBER(Setup!$D$21),Setup!$D$21,0),IF($T236="Nights",IF(ISNUMBER(Setup!$E$21),Setup!$E$21,0),IF(OR($T236="Exact amounts",$T236="Custom units"),0,1))))))</f>
        <v>0</v>
      </c>
      <c r="V236" s="29">
        <f>IF($T236="",0,IF(OR(Setup!$B$22="",Setup!$C$22="No"),0,IF(ISNUMBER(I236),I236,IF($T236="Weights",IF(ISNUMBER(Setup!$D$22),Setup!$D$22,0),IF($T236="Nights",IF(ISNUMBER(Setup!$E$22),Setup!$E$22,0),IF(OR($T236="Exact amounts",$T236="Custom units"),0,1))))))</f>
        <v>0</v>
      </c>
      <c r="W236" s="29">
        <f>IF($T236="",0,IF(OR(Setup!$B$23="",Setup!$C$23="No"),0,IF(ISNUMBER(J236),J236,IF($T236="Weights",IF(ISNUMBER(Setup!$D$23),Setup!$D$23,0),IF($T236="Nights",IF(ISNUMBER(Setup!$E$23),Setup!$E$23,0),IF(OR($T236="Exact amounts",$T236="Custom units"),0,1))))))</f>
        <v>0</v>
      </c>
      <c r="X236" s="29">
        <f>IF($T236="",0,IF(OR(Setup!$B$24="",Setup!$C$24="No"),0,IF(ISNUMBER(K236),K236,IF($T236="Weights",IF(ISNUMBER(Setup!$D$24),Setup!$D$24,0),IF($T236="Nights",IF(ISNUMBER(Setup!$E$24),Setup!$E$24,0),IF(OR($T236="Exact amounts",$T236="Custom units"),0,1))))))</f>
        <v>0</v>
      </c>
      <c r="Y236" s="29">
        <f>IF($T236="",0,IF(OR(Setup!$B$25="",Setup!$C$25="No"),0,IF(ISNUMBER(L236),L236,IF($T236="Weights",IF(ISNUMBER(Setup!$D$25),Setup!$D$25,0),IF($T236="Nights",IF(ISNUMBER(Setup!$E$25),Setup!$E$25,0),IF(OR($T236="Exact amounts",$T236="Custom units"),0,1))))))</f>
        <v>0</v>
      </c>
      <c r="Z236" s="29">
        <f>IF($T236="",0,IF(OR(Setup!$B$26="",Setup!$C$26="No"),0,IF(ISNUMBER(M236),M236,IF($T236="Weights",IF(ISNUMBER(Setup!$D$26),Setup!$D$26,0),IF($T236="Nights",IF(ISNUMBER(Setup!$E$26),Setup!$E$26,0),IF(OR($T236="Exact amounts",$T236="Custom units"),0,1))))))</f>
        <v>0</v>
      </c>
      <c r="AA236" s="29">
        <f>IF($T236="",0,IF(OR(Setup!$B$27="",Setup!$C$27="No"),0,IF(ISNUMBER(N236),N236,IF($T236="Weights",IF(ISNUMBER(Setup!$D$27),Setup!$D$27,0),IF($T236="Nights",IF(ISNUMBER(Setup!$E$27),Setup!$E$27,0),IF(OR($T236="Exact amounts",$T236="Custom units"),0,1))))))</f>
        <v>0</v>
      </c>
      <c r="AB236" s="29">
        <f>IF($T236="",0,IF(OR(Setup!$B$28="",Setup!$C$28="No"),0,IF(ISNUMBER(O236),O236,IF($T236="Weights",IF(ISNUMBER(Setup!$D$28),Setup!$D$28,0),IF($T236="Nights",IF(ISNUMBER(Setup!$E$28),Setup!$E$28,0),IF(OR($T236="Exact amounts",$T236="Custom units"),0,1))))))</f>
        <v>0</v>
      </c>
      <c r="AC236" s="29">
        <f>IF($T236="",0,IF(OR(Setup!$B$29="",Setup!$C$29="No"),0,IF(ISNUMBER(P236),P236,IF($T236="Weights",IF(ISNUMBER(Setup!$D$29),Setup!$D$29,0),IF($T236="Nights",IF(ISNUMBER(Setup!$E$29),Setup!$E$29,0),IF(OR($T236="Exact amounts",$T236="Custom units"),0,1))))))</f>
        <v>0</v>
      </c>
      <c r="AD236" s="29">
        <f>IF($T236="",0,IF(OR(Setup!$B$30="",Setup!$C$30="No"),0,IF(ISNUMBER(Q236),Q236,IF($T236="Weights",IF(ISNUMBER(Setup!$D$30),Setup!$D$30,0),IF($T236="Nights",IF(ISNUMBER(Setup!$E$30),Setup!$E$30,0),IF(OR($T236="Exact amounts",$T236="Custom units"),0,1))))))</f>
        <v>0</v>
      </c>
      <c r="AE236" s="29">
        <f t="shared" si="13"/>
        <v>0</v>
      </c>
      <c r="AF236" s="30">
        <f t="shared" si="14"/>
        <v>1</v>
      </c>
      <c r="AG236" s="29">
        <f t="shared" si="15"/>
        <v>0</v>
      </c>
    </row>
    <row r="237" spans="1:33" ht="16" x14ac:dyDescent="0.2">
      <c r="A237" s="22" t="str">
        <f t="shared" si="12"/>
        <v>—</v>
      </c>
      <c r="B237" s="31"/>
      <c r="C237" s="11"/>
      <c r="D237" s="11"/>
      <c r="E237" s="32"/>
      <c r="F237" s="11"/>
      <c r="G237" s="11"/>
      <c r="H237" s="33"/>
      <c r="I237" s="33"/>
      <c r="J237" s="33"/>
      <c r="K237" s="33"/>
      <c r="L237" s="33"/>
      <c r="M237" s="33"/>
      <c r="N237" s="33"/>
      <c r="O237" s="33"/>
      <c r="P237" s="33"/>
      <c r="Q237" s="33"/>
      <c r="R237" s="26" t="str">
        <f>IF($T237="","",IF($D237="","Who paid?",IF(SUMPRODUCT((Setup!$B$21:$B$30=$D237)*1)=0,"Payer is not in the member list on Setup",IF($E237="","Amount missing — type the number in column E",IF(NOT(ISNUMBER($E237)),"Amount must be a plain number — no currency symbol, no text",IF(AND($T237="Custom units",$AE237&lt;=0),"Custom units: nobody has units on this row — type a number for at least one person",IF($AE237&lt;=0,"Nobody shares this row — check the person columns H–Q, and the Weight / Nights columns on Setup",IF(AND($T237="Exact amounts",ABS($AE237-$AG237)&gt;0.01),"Exact amounts do not add up to the amount","OK"))))))))</f>
        <v/>
      </c>
      <c r="S237" s="27" t="str">
        <f>IFERROR(IF(OR($T237="",$C$4=""),"—",ROUND($AG237*INDEX($U237:$AD237,1,MATCH($C$4,Setup!$B$21:$B$30,0))/$AF237,2)),"—")</f>
        <v>—</v>
      </c>
      <c r="T237" s="28" t="str">
        <f>IF(AND($C237="",$D237="",NOT(ISNUMBER($E237))),"",IF($G237="",IF(Setup!$C$17="","Equal",Setup!$C$17),$G237))</f>
        <v/>
      </c>
      <c r="U237" s="29">
        <f>IF($T237="",0,IF(OR(Setup!$B$21="",Setup!$C$21="No"),0,IF(ISNUMBER(H237),H237,IF($T237="Weights",IF(ISNUMBER(Setup!$D$21),Setup!$D$21,0),IF($T237="Nights",IF(ISNUMBER(Setup!$E$21),Setup!$E$21,0),IF(OR($T237="Exact amounts",$T237="Custom units"),0,1))))))</f>
        <v>0</v>
      </c>
      <c r="V237" s="29">
        <f>IF($T237="",0,IF(OR(Setup!$B$22="",Setup!$C$22="No"),0,IF(ISNUMBER(I237),I237,IF($T237="Weights",IF(ISNUMBER(Setup!$D$22),Setup!$D$22,0),IF($T237="Nights",IF(ISNUMBER(Setup!$E$22),Setup!$E$22,0),IF(OR($T237="Exact amounts",$T237="Custom units"),0,1))))))</f>
        <v>0</v>
      </c>
      <c r="W237" s="29">
        <f>IF($T237="",0,IF(OR(Setup!$B$23="",Setup!$C$23="No"),0,IF(ISNUMBER(J237),J237,IF($T237="Weights",IF(ISNUMBER(Setup!$D$23),Setup!$D$23,0),IF($T237="Nights",IF(ISNUMBER(Setup!$E$23),Setup!$E$23,0),IF(OR($T237="Exact amounts",$T237="Custom units"),0,1))))))</f>
        <v>0</v>
      </c>
      <c r="X237" s="29">
        <f>IF($T237="",0,IF(OR(Setup!$B$24="",Setup!$C$24="No"),0,IF(ISNUMBER(K237),K237,IF($T237="Weights",IF(ISNUMBER(Setup!$D$24),Setup!$D$24,0),IF($T237="Nights",IF(ISNUMBER(Setup!$E$24),Setup!$E$24,0),IF(OR($T237="Exact amounts",$T237="Custom units"),0,1))))))</f>
        <v>0</v>
      </c>
      <c r="Y237" s="29">
        <f>IF($T237="",0,IF(OR(Setup!$B$25="",Setup!$C$25="No"),0,IF(ISNUMBER(L237),L237,IF($T237="Weights",IF(ISNUMBER(Setup!$D$25),Setup!$D$25,0),IF($T237="Nights",IF(ISNUMBER(Setup!$E$25),Setup!$E$25,0),IF(OR($T237="Exact amounts",$T237="Custom units"),0,1))))))</f>
        <v>0</v>
      </c>
      <c r="Z237" s="29">
        <f>IF($T237="",0,IF(OR(Setup!$B$26="",Setup!$C$26="No"),0,IF(ISNUMBER(M237),M237,IF($T237="Weights",IF(ISNUMBER(Setup!$D$26),Setup!$D$26,0),IF($T237="Nights",IF(ISNUMBER(Setup!$E$26),Setup!$E$26,0),IF(OR($T237="Exact amounts",$T237="Custom units"),0,1))))))</f>
        <v>0</v>
      </c>
      <c r="AA237" s="29">
        <f>IF($T237="",0,IF(OR(Setup!$B$27="",Setup!$C$27="No"),0,IF(ISNUMBER(N237),N237,IF($T237="Weights",IF(ISNUMBER(Setup!$D$27),Setup!$D$27,0),IF($T237="Nights",IF(ISNUMBER(Setup!$E$27),Setup!$E$27,0),IF(OR($T237="Exact amounts",$T237="Custom units"),0,1))))))</f>
        <v>0</v>
      </c>
      <c r="AB237" s="29">
        <f>IF($T237="",0,IF(OR(Setup!$B$28="",Setup!$C$28="No"),0,IF(ISNUMBER(O237),O237,IF($T237="Weights",IF(ISNUMBER(Setup!$D$28),Setup!$D$28,0),IF($T237="Nights",IF(ISNUMBER(Setup!$E$28),Setup!$E$28,0),IF(OR($T237="Exact amounts",$T237="Custom units"),0,1))))))</f>
        <v>0</v>
      </c>
      <c r="AC237" s="29">
        <f>IF($T237="",0,IF(OR(Setup!$B$29="",Setup!$C$29="No"),0,IF(ISNUMBER(P237),P237,IF($T237="Weights",IF(ISNUMBER(Setup!$D$29),Setup!$D$29,0),IF($T237="Nights",IF(ISNUMBER(Setup!$E$29),Setup!$E$29,0),IF(OR($T237="Exact amounts",$T237="Custom units"),0,1))))))</f>
        <v>0</v>
      </c>
      <c r="AD237" s="29">
        <f>IF($T237="",0,IF(OR(Setup!$B$30="",Setup!$C$30="No"),0,IF(ISNUMBER(Q237),Q237,IF($T237="Weights",IF(ISNUMBER(Setup!$D$30),Setup!$D$30,0),IF($T237="Nights",IF(ISNUMBER(Setup!$E$30),Setup!$E$30,0),IF(OR($T237="Exact amounts",$T237="Custom units"),0,1))))))</f>
        <v>0</v>
      </c>
      <c r="AE237" s="29">
        <f t="shared" si="13"/>
        <v>0</v>
      </c>
      <c r="AF237" s="30">
        <f t="shared" si="14"/>
        <v>1</v>
      </c>
      <c r="AG237" s="29">
        <f t="shared" si="15"/>
        <v>0</v>
      </c>
    </row>
    <row r="238" spans="1:33" ht="16" x14ac:dyDescent="0.2">
      <c r="A238" s="22" t="str">
        <f t="shared" si="12"/>
        <v>—</v>
      </c>
      <c r="B238" s="23"/>
      <c r="C238" s="16"/>
      <c r="D238" s="16"/>
      <c r="E238" s="24"/>
      <c r="F238" s="16"/>
      <c r="G238" s="16"/>
      <c r="H238" s="25"/>
      <c r="I238" s="25"/>
      <c r="J238" s="25"/>
      <c r="K238" s="25"/>
      <c r="L238" s="25"/>
      <c r="M238" s="25"/>
      <c r="N238" s="25"/>
      <c r="O238" s="25"/>
      <c r="P238" s="25"/>
      <c r="Q238" s="25"/>
      <c r="R238" s="26" t="str">
        <f>IF($T238="","",IF($D238="","Who paid?",IF(SUMPRODUCT((Setup!$B$21:$B$30=$D238)*1)=0,"Payer is not in the member list on Setup",IF($E238="","Amount missing — type the number in column E",IF(NOT(ISNUMBER($E238)),"Amount must be a plain number — no currency symbol, no text",IF(AND($T238="Custom units",$AE238&lt;=0),"Custom units: nobody has units on this row — type a number for at least one person",IF($AE238&lt;=0,"Nobody shares this row — check the person columns H–Q, and the Weight / Nights columns on Setup",IF(AND($T238="Exact amounts",ABS($AE238-$AG238)&gt;0.01),"Exact amounts do not add up to the amount","OK"))))))))</f>
        <v/>
      </c>
      <c r="S238" s="27" t="str">
        <f>IFERROR(IF(OR($T238="",$C$4=""),"—",ROUND($AG238*INDEX($U238:$AD238,1,MATCH($C$4,Setup!$B$21:$B$30,0))/$AF238,2)),"—")</f>
        <v>—</v>
      </c>
      <c r="T238" s="28" t="str">
        <f>IF(AND($C238="",$D238="",NOT(ISNUMBER($E238))),"",IF($G238="",IF(Setup!$C$17="","Equal",Setup!$C$17),$G238))</f>
        <v/>
      </c>
      <c r="U238" s="29">
        <f>IF($T238="",0,IF(OR(Setup!$B$21="",Setup!$C$21="No"),0,IF(ISNUMBER(H238),H238,IF($T238="Weights",IF(ISNUMBER(Setup!$D$21),Setup!$D$21,0),IF($T238="Nights",IF(ISNUMBER(Setup!$E$21),Setup!$E$21,0),IF(OR($T238="Exact amounts",$T238="Custom units"),0,1))))))</f>
        <v>0</v>
      </c>
      <c r="V238" s="29">
        <f>IF($T238="",0,IF(OR(Setup!$B$22="",Setup!$C$22="No"),0,IF(ISNUMBER(I238),I238,IF($T238="Weights",IF(ISNUMBER(Setup!$D$22),Setup!$D$22,0),IF($T238="Nights",IF(ISNUMBER(Setup!$E$22),Setup!$E$22,0),IF(OR($T238="Exact amounts",$T238="Custom units"),0,1))))))</f>
        <v>0</v>
      </c>
      <c r="W238" s="29">
        <f>IF($T238="",0,IF(OR(Setup!$B$23="",Setup!$C$23="No"),0,IF(ISNUMBER(J238),J238,IF($T238="Weights",IF(ISNUMBER(Setup!$D$23),Setup!$D$23,0),IF($T238="Nights",IF(ISNUMBER(Setup!$E$23),Setup!$E$23,0),IF(OR($T238="Exact amounts",$T238="Custom units"),0,1))))))</f>
        <v>0</v>
      </c>
      <c r="X238" s="29">
        <f>IF($T238="",0,IF(OR(Setup!$B$24="",Setup!$C$24="No"),0,IF(ISNUMBER(K238),K238,IF($T238="Weights",IF(ISNUMBER(Setup!$D$24),Setup!$D$24,0),IF($T238="Nights",IF(ISNUMBER(Setup!$E$24),Setup!$E$24,0),IF(OR($T238="Exact amounts",$T238="Custom units"),0,1))))))</f>
        <v>0</v>
      </c>
      <c r="Y238" s="29">
        <f>IF($T238="",0,IF(OR(Setup!$B$25="",Setup!$C$25="No"),0,IF(ISNUMBER(L238),L238,IF($T238="Weights",IF(ISNUMBER(Setup!$D$25),Setup!$D$25,0),IF($T238="Nights",IF(ISNUMBER(Setup!$E$25),Setup!$E$25,0),IF(OR($T238="Exact amounts",$T238="Custom units"),0,1))))))</f>
        <v>0</v>
      </c>
      <c r="Z238" s="29">
        <f>IF($T238="",0,IF(OR(Setup!$B$26="",Setup!$C$26="No"),0,IF(ISNUMBER(M238),M238,IF($T238="Weights",IF(ISNUMBER(Setup!$D$26),Setup!$D$26,0),IF($T238="Nights",IF(ISNUMBER(Setup!$E$26),Setup!$E$26,0),IF(OR($T238="Exact amounts",$T238="Custom units"),0,1))))))</f>
        <v>0</v>
      </c>
      <c r="AA238" s="29">
        <f>IF($T238="",0,IF(OR(Setup!$B$27="",Setup!$C$27="No"),0,IF(ISNUMBER(N238),N238,IF($T238="Weights",IF(ISNUMBER(Setup!$D$27),Setup!$D$27,0),IF($T238="Nights",IF(ISNUMBER(Setup!$E$27),Setup!$E$27,0),IF(OR($T238="Exact amounts",$T238="Custom units"),0,1))))))</f>
        <v>0</v>
      </c>
      <c r="AB238" s="29">
        <f>IF($T238="",0,IF(OR(Setup!$B$28="",Setup!$C$28="No"),0,IF(ISNUMBER(O238),O238,IF($T238="Weights",IF(ISNUMBER(Setup!$D$28),Setup!$D$28,0),IF($T238="Nights",IF(ISNUMBER(Setup!$E$28),Setup!$E$28,0),IF(OR($T238="Exact amounts",$T238="Custom units"),0,1))))))</f>
        <v>0</v>
      </c>
      <c r="AC238" s="29">
        <f>IF($T238="",0,IF(OR(Setup!$B$29="",Setup!$C$29="No"),0,IF(ISNUMBER(P238),P238,IF($T238="Weights",IF(ISNUMBER(Setup!$D$29),Setup!$D$29,0),IF($T238="Nights",IF(ISNUMBER(Setup!$E$29),Setup!$E$29,0),IF(OR($T238="Exact amounts",$T238="Custom units"),0,1))))))</f>
        <v>0</v>
      </c>
      <c r="AD238" s="29">
        <f>IF($T238="",0,IF(OR(Setup!$B$30="",Setup!$C$30="No"),0,IF(ISNUMBER(Q238),Q238,IF($T238="Weights",IF(ISNUMBER(Setup!$D$30),Setup!$D$30,0),IF($T238="Nights",IF(ISNUMBER(Setup!$E$30),Setup!$E$30,0),IF(OR($T238="Exact amounts",$T238="Custom units"),0,1))))))</f>
        <v>0</v>
      </c>
      <c r="AE238" s="29">
        <f t="shared" si="13"/>
        <v>0</v>
      </c>
      <c r="AF238" s="30">
        <f t="shared" si="14"/>
        <v>1</v>
      </c>
      <c r="AG238" s="29">
        <f t="shared" si="15"/>
        <v>0</v>
      </c>
    </row>
    <row r="239" spans="1:33" ht="16" x14ac:dyDescent="0.2">
      <c r="A239" s="22" t="str">
        <f t="shared" si="12"/>
        <v>—</v>
      </c>
      <c r="B239" s="31"/>
      <c r="C239" s="11"/>
      <c r="D239" s="11"/>
      <c r="E239" s="32"/>
      <c r="F239" s="11"/>
      <c r="G239" s="11"/>
      <c r="H239" s="33"/>
      <c r="I239" s="33"/>
      <c r="J239" s="33"/>
      <c r="K239" s="33"/>
      <c r="L239" s="33"/>
      <c r="M239" s="33"/>
      <c r="N239" s="33"/>
      <c r="O239" s="33"/>
      <c r="P239" s="33"/>
      <c r="Q239" s="33"/>
      <c r="R239" s="26" t="str">
        <f>IF($T239="","",IF($D239="","Who paid?",IF(SUMPRODUCT((Setup!$B$21:$B$30=$D239)*1)=0,"Payer is not in the member list on Setup",IF($E239="","Amount missing — type the number in column E",IF(NOT(ISNUMBER($E239)),"Amount must be a plain number — no currency symbol, no text",IF(AND($T239="Custom units",$AE239&lt;=0),"Custom units: nobody has units on this row — type a number for at least one person",IF($AE239&lt;=0,"Nobody shares this row — check the person columns H–Q, and the Weight / Nights columns on Setup",IF(AND($T239="Exact amounts",ABS($AE239-$AG239)&gt;0.01),"Exact amounts do not add up to the amount","OK"))))))))</f>
        <v/>
      </c>
      <c r="S239" s="27" t="str">
        <f>IFERROR(IF(OR($T239="",$C$4=""),"—",ROUND($AG239*INDEX($U239:$AD239,1,MATCH($C$4,Setup!$B$21:$B$30,0))/$AF239,2)),"—")</f>
        <v>—</v>
      </c>
      <c r="T239" s="28" t="str">
        <f>IF(AND($C239="",$D239="",NOT(ISNUMBER($E239))),"",IF($G239="",IF(Setup!$C$17="","Equal",Setup!$C$17),$G239))</f>
        <v/>
      </c>
      <c r="U239" s="29">
        <f>IF($T239="",0,IF(OR(Setup!$B$21="",Setup!$C$21="No"),0,IF(ISNUMBER(H239),H239,IF($T239="Weights",IF(ISNUMBER(Setup!$D$21),Setup!$D$21,0),IF($T239="Nights",IF(ISNUMBER(Setup!$E$21),Setup!$E$21,0),IF(OR($T239="Exact amounts",$T239="Custom units"),0,1))))))</f>
        <v>0</v>
      </c>
      <c r="V239" s="29">
        <f>IF($T239="",0,IF(OR(Setup!$B$22="",Setup!$C$22="No"),0,IF(ISNUMBER(I239),I239,IF($T239="Weights",IF(ISNUMBER(Setup!$D$22),Setup!$D$22,0),IF($T239="Nights",IF(ISNUMBER(Setup!$E$22),Setup!$E$22,0),IF(OR($T239="Exact amounts",$T239="Custom units"),0,1))))))</f>
        <v>0</v>
      </c>
      <c r="W239" s="29">
        <f>IF($T239="",0,IF(OR(Setup!$B$23="",Setup!$C$23="No"),0,IF(ISNUMBER(J239),J239,IF($T239="Weights",IF(ISNUMBER(Setup!$D$23),Setup!$D$23,0),IF($T239="Nights",IF(ISNUMBER(Setup!$E$23),Setup!$E$23,0),IF(OR($T239="Exact amounts",$T239="Custom units"),0,1))))))</f>
        <v>0</v>
      </c>
      <c r="X239" s="29">
        <f>IF($T239="",0,IF(OR(Setup!$B$24="",Setup!$C$24="No"),0,IF(ISNUMBER(K239),K239,IF($T239="Weights",IF(ISNUMBER(Setup!$D$24),Setup!$D$24,0),IF($T239="Nights",IF(ISNUMBER(Setup!$E$24),Setup!$E$24,0),IF(OR($T239="Exact amounts",$T239="Custom units"),0,1))))))</f>
        <v>0</v>
      </c>
      <c r="Y239" s="29">
        <f>IF($T239="",0,IF(OR(Setup!$B$25="",Setup!$C$25="No"),0,IF(ISNUMBER(L239),L239,IF($T239="Weights",IF(ISNUMBER(Setup!$D$25),Setup!$D$25,0),IF($T239="Nights",IF(ISNUMBER(Setup!$E$25),Setup!$E$25,0),IF(OR($T239="Exact amounts",$T239="Custom units"),0,1))))))</f>
        <v>0</v>
      </c>
      <c r="Z239" s="29">
        <f>IF($T239="",0,IF(OR(Setup!$B$26="",Setup!$C$26="No"),0,IF(ISNUMBER(M239),M239,IF($T239="Weights",IF(ISNUMBER(Setup!$D$26),Setup!$D$26,0),IF($T239="Nights",IF(ISNUMBER(Setup!$E$26),Setup!$E$26,0),IF(OR($T239="Exact amounts",$T239="Custom units"),0,1))))))</f>
        <v>0</v>
      </c>
      <c r="AA239" s="29">
        <f>IF($T239="",0,IF(OR(Setup!$B$27="",Setup!$C$27="No"),0,IF(ISNUMBER(N239),N239,IF($T239="Weights",IF(ISNUMBER(Setup!$D$27),Setup!$D$27,0),IF($T239="Nights",IF(ISNUMBER(Setup!$E$27),Setup!$E$27,0),IF(OR($T239="Exact amounts",$T239="Custom units"),0,1))))))</f>
        <v>0</v>
      </c>
      <c r="AB239" s="29">
        <f>IF($T239="",0,IF(OR(Setup!$B$28="",Setup!$C$28="No"),0,IF(ISNUMBER(O239),O239,IF($T239="Weights",IF(ISNUMBER(Setup!$D$28),Setup!$D$28,0),IF($T239="Nights",IF(ISNUMBER(Setup!$E$28),Setup!$E$28,0),IF(OR($T239="Exact amounts",$T239="Custom units"),0,1))))))</f>
        <v>0</v>
      </c>
      <c r="AC239" s="29">
        <f>IF($T239="",0,IF(OR(Setup!$B$29="",Setup!$C$29="No"),0,IF(ISNUMBER(P239),P239,IF($T239="Weights",IF(ISNUMBER(Setup!$D$29),Setup!$D$29,0),IF($T239="Nights",IF(ISNUMBER(Setup!$E$29),Setup!$E$29,0),IF(OR($T239="Exact amounts",$T239="Custom units"),0,1))))))</f>
        <v>0</v>
      </c>
      <c r="AD239" s="29">
        <f>IF($T239="",0,IF(OR(Setup!$B$30="",Setup!$C$30="No"),0,IF(ISNUMBER(Q239),Q239,IF($T239="Weights",IF(ISNUMBER(Setup!$D$30),Setup!$D$30,0),IF($T239="Nights",IF(ISNUMBER(Setup!$E$30),Setup!$E$30,0),IF(OR($T239="Exact amounts",$T239="Custom units"),0,1))))))</f>
        <v>0</v>
      </c>
      <c r="AE239" s="29">
        <f t="shared" si="13"/>
        <v>0</v>
      </c>
      <c r="AF239" s="30">
        <f t="shared" si="14"/>
        <v>1</v>
      </c>
      <c r="AG239" s="29">
        <f t="shared" si="15"/>
        <v>0</v>
      </c>
    </row>
    <row r="240" spans="1:33" ht="16" x14ac:dyDescent="0.2">
      <c r="A240" s="22" t="str">
        <f t="shared" si="12"/>
        <v>—</v>
      </c>
      <c r="B240" s="23"/>
      <c r="C240" s="16"/>
      <c r="D240" s="16"/>
      <c r="E240" s="24"/>
      <c r="F240" s="16"/>
      <c r="G240" s="16"/>
      <c r="H240" s="25"/>
      <c r="I240" s="25"/>
      <c r="J240" s="25"/>
      <c r="K240" s="25"/>
      <c r="L240" s="25"/>
      <c r="M240" s="25"/>
      <c r="N240" s="25"/>
      <c r="O240" s="25"/>
      <c r="P240" s="25"/>
      <c r="Q240" s="25"/>
      <c r="R240" s="26" t="str">
        <f>IF($T240="","",IF($D240="","Who paid?",IF(SUMPRODUCT((Setup!$B$21:$B$30=$D240)*1)=0,"Payer is not in the member list on Setup",IF($E240="","Amount missing — type the number in column E",IF(NOT(ISNUMBER($E240)),"Amount must be a plain number — no currency symbol, no text",IF(AND($T240="Custom units",$AE240&lt;=0),"Custom units: nobody has units on this row — type a number for at least one person",IF($AE240&lt;=0,"Nobody shares this row — check the person columns H–Q, and the Weight / Nights columns on Setup",IF(AND($T240="Exact amounts",ABS($AE240-$AG240)&gt;0.01),"Exact amounts do not add up to the amount","OK"))))))))</f>
        <v/>
      </c>
      <c r="S240" s="27" t="str">
        <f>IFERROR(IF(OR($T240="",$C$4=""),"—",ROUND($AG240*INDEX($U240:$AD240,1,MATCH($C$4,Setup!$B$21:$B$30,0))/$AF240,2)),"—")</f>
        <v>—</v>
      </c>
      <c r="T240" s="28" t="str">
        <f>IF(AND($C240="",$D240="",NOT(ISNUMBER($E240))),"",IF($G240="",IF(Setup!$C$17="","Equal",Setup!$C$17),$G240))</f>
        <v/>
      </c>
      <c r="U240" s="29">
        <f>IF($T240="",0,IF(OR(Setup!$B$21="",Setup!$C$21="No"),0,IF(ISNUMBER(H240),H240,IF($T240="Weights",IF(ISNUMBER(Setup!$D$21),Setup!$D$21,0),IF($T240="Nights",IF(ISNUMBER(Setup!$E$21),Setup!$E$21,0),IF(OR($T240="Exact amounts",$T240="Custom units"),0,1))))))</f>
        <v>0</v>
      </c>
      <c r="V240" s="29">
        <f>IF($T240="",0,IF(OR(Setup!$B$22="",Setup!$C$22="No"),0,IF(ISNUMBER(I240),I240,IF($T240="Weights",IF(ISNUMBER(Setup!$D$22),Setup!$D$22,0),IF($T240="Nights",IF(ISNUMBER(Setup!$E$22),Setup!$E$22,0),IF(OR($T240="Exact amounts",$T240="Custom units"),0,1))))))</f>
        <v>0</v>
      </c>
      <c r="W240" s="29">
        <f>IF($T240="",0,IF(OR(Setup!$B$23="",Setup!$C$23="No"),0,IF(ISNUMBER(J240),J240,IF($T240="Weights",IF(ISNUMBER(Setup!$D$23),Setup!$D$23,0),IF($T240="Nights",IF(ISNUMBER(Setup!$E$23),Setup!$E$23,0),IF(OR($T240="Exact amounts",$T240="Custom units"),0,1))))))</f>
        <v>0</v>
      </c>
      <c r="X240" s="29">
        <f>IF($T240="",0,IF(OR(Setup!$B$24="",Setup!$C$24="No"),0,IF(ISNUMBER(K240),K240,IF($T240="Weights",IF(ISNUMBER(Setup!$D$24),Setup!$D$24,0),IF($T240="Nights",IF(ISNUMBER(Setup!$E$24),Setup!$E$24,0),IF(OR($T240="Exact amounts",$T240="Custom units"),0,1))))))</f>
        <v>0</v>
      </c>
      <c r="Y240" s="29">
        <f>IF($T240="",0,IF(OR(Setup!$B$25="",Setup!$C$25="No"),0,IF(ISNUMBER(L240),L240,IF($T240="Weights",IF(ISNUMBER(Setup!$D$25),Setup!$D$25,0),IF($T240="Nights",IF(ISNUMBER(Setup!$E$25),Setup!$E$25,0),IF(OR($T240="Exact amounts",$T240="Custom units"),0,1))))))</f>
        <v>0</v>
      </c>
      <c r="Z240" s="29">
        <f>IF($T240="",0,IF(OR(Setup!$B$26="",Setup!$C$26="No"),0,IF(ISNUMBER(M240),M240,IF($T240="Weights",IF(ISNUMBER(Setup!$D$26),Setup!$D$26,0),IF($T240="Nights",IF(ISNUMBER(Setup!$E$26),Setup!$E$26,0),IF(OR($T240="Exact amounts",$T240="Custom units"),0,1))))))</f>
        <v>0</v>
      </c>
      <c r="AA240" s="29">
        <f>IF($T240="",0,IF(OR(Setup!$B$27="",Setup!$C$27="No"),0,IF(ISNUMBER(N240),N240,IF($T240="Weights",IF(ISNUMBER(Setup!$D$27),Setup!$D$27,0),IF($T240="Nights",IF(ISNUMBER(Setup!$E$27),Setup!$E$27,0),IF(OR($T240="Exact amounts",$T240="Custom units"),0,1))))))</f>
        <v>0</v>
      </c>
      <c r="AB240" s="29">
        <f>IF($T240="",0,IF(OR(Setup!$B$28="",Setup!$C$28="No"),0,IF(ISNUMBER(O240),O240,IF($T240="Weights",IF(ISNUMBER(Setup!$D$28),Setup!$D$28,0),IF($T240="Nights",IF(ISNUMBER(Setup!$E$28),Setup!$E$28,0),IF(OR($T240="Exact amounts",$T240="Custom units"),0,1))))))</f>
        <v>0</v>
      </c>
      <c r="AC240" s="29">
        <f>IF($T240="",0,IF(OR(Setup!$B$29="",Setup!$C$29="No"),0,IF(ISNUMBER(P240),P240,IF($T240="Weights",IF(ISNUMBER(Setup!$D$29),Setup!$D$29,0),IF($T240="Nights",IF(ISNUMBER(Setup!$E$29),Setup!$E$29,0),IF(OR($T240="Exact amounts",$T240="Custom units"),0,1))))))</f>
        <v>0</v>
      </c>
      <c r="AD240" s="29">
        <f>IF($T240="",0,IF(OR(Setup!$B$30="",Setup!$C$30="No"),0,IF(ISNUMBER(Q240),Q240,IF($T240="Weights",IF(ISNUMBER(Setup!$D$30),Setup!$D$30,0),IF($T240="Nights",IF(ISNUMBER(Setup!$E$30),Setup!$E$30,0),IF(OR($T240="Exact amounts",$T240="Custom units"),0,1))))))</f>
        <v>0</v>
      </c>
      <c r="AE240" s="29">
        <f t="shared" si="13"/>
        <v>0</v>
      </c>
      <c r="AF240" s="30">
        <f t="shared" si="14"/>
        <v>1</v>
      </c>
      <c r="AG240" s="29">
        <f t="shared" si="15"/>
        <v>0</v>
      </c>
    </row>
    <row r="241" spans="1:33" ht="16" x14ac:dyDescent="0.2">
      <c r="A241" s="22" t="str">
        <f t="shared" si="12"/>
        <v>—</v>
      </c>
      <c r="B241" s="31"/>
      <c r="C241" s="11"/>
      <c r="D241" s="11"/>
      <c r="E241" s="32"/>
      <c r="F241" s="11"/>
      <c r="G241" s="11"/>
      <c r="H241" s="33"/>
      <c r="I241" s="33"/>
      <c r="J241" s="33"/>
      <c r="K241" s="33"/>
      <c r="L241" s="33"/>
      <c r="M241" s="33"/>
      <c r="N241" s="33"/>
      <c r="O241" s="33"/>
      <c r="P241" s="33"/>
      <c r="Q241" s="33"/>
      <c r="R241" s="26" t="str">
        <f>IF($T241="","",IF($D241="","Who paid?",IF(SUMPRODUCT((Setup!$B$21:$B$30=$D241)*1)=0,"Payer is not in the member list on Setup",IF($E241="","Amount missing — type the number in column E",IF(NOT(ISNUMBER($E241)),"Amount must be a plain number — no currency symbol, no text",IF(AND($T241="Custom units",$AE241&lt;=0),"Custom units: nobody has units on this row — type a number for at least one person",IF($AE241&lt;=0,"Nobody shares this row — check the person columns H–Q, and the Weight / Nights columns on Setup",IF(AND($T241="Exact amounts",ABS($AE241-$AG241)&gt;0.01),"Exact amounts do not add up to the amount","OK"))))))))</f>
        <v/>
      </c>
      <c r="S241" s="27" t="str">
        <f>IFERROR(IF(OR($T241="",$C$4=""),"—",ROUND($AG241*INDEX($U241:$AD241,1,MATCH($C$4,Setup!$B$21:$B$30,0))/$AF241,2)),"—")</f>
        <v>—</v>
      </c>
      <c r="T241" s="28" t="str">
        <f>IF(AND($C241="",$D241="",NOT(ISNUMBER($E241))),"",IF($G241="",IF(Setup!$C$17="","Equal",Setup!$C$17),$G241))</f>
        <v/>
      </c>
      <c r="U241" s="29">
        <f>IF($T241="",0,IF(OR(Setup!$B$21="",Setup!$C$21="No"),0,IF(ISNUMBER(H241),H241,IF($T241="Weights",IF(ISNUMBER(Setup!$D$21),Setup!$D$21,0),IF($T241="Nights",IF(ISNUMBER(Setup!$E$21),Setup!$E$21,0),IF(OR($T241="Exact amounts",$T241="Custom units"),0,1))))))</f>
        <v>0</v>
      </c>
      <c r="V241" s="29">
        <f>IF($T241="",0,IF(OR(Setup!$B$22="",Setup!$C$22="No"),0,IF(ISNUMBER(I241),I241,IF($T241="Weights",IF(ISNUMBER(Setup!$D$22),Setup!$D$22,0),IF($T241="Nights",IF(ISNUMBER(Setup!$E$22),Setup!$E$22,0),IF(OR($T241="Exact amounts",$T241="Custom units"),0,1))))))</f>
        <v>0</v>
      </c>
      <c r="W241" s="29">
        <f>IF($T241="",0,IF(OR(Setup!$B$23="",Setup!$C$23="No"),0,IF(ISNUMBER(J241),J241,IF($T241="Weights",IF(ISNUMBER(Setup!$D$23),Setup!$D$23,0),IF($T241="Nights",IF(ISNUMBER(Setup!$E$23),Setup!$E$23,0),IF(OR($T241="Exact amounts",$T241="Custom units"),0,1))))))</f>
        <v>0</v>
      </c>
      <c r="X241" s="29">
        <f>IF($T241="",0,IF(OR(Setup!$B$24="",Setup!$C$24="No"),0,IF(ISNUMBER(K241),K241,IF($T241="Weights",IF(ISNUMBER(Setup!$D$24),Setup!$D$24,0),IF($T241="Nights",IF(ISNUMBER(Setup!$E$24),Setup!$E$24,0),IF(OR($T241="Exact amounts",$T241="Custom units"),0,1))))))</f>
        <v>0</v>
      </c>
      <c r="Y241" s="29">
        <f>IF($T241="",0,IF(OR(Setup!$B$25="",Setup!$C$25="No"),0,IF(ISNUMBER(L241),L241,IF($T241="Weights",IF(ISNUMBER(Setup!$D$25),Setup!$D$25,0),IF($T241="Nights",IF(ISNUMBER(Setup!$E$25),Setup!$E$25,0),IF(OR($T241="Exact amounts",$T241="Custom units"),0,1))))))</f>
        <v>0</v>
      </c>
      <c r="Z241" s="29">
        <f>IF($T241="",0,IF(OR(Setup!$B$26="",Setup!$C$26="No"),0,IF(ISNUMBER(M241),M241,IF($T241="Weights",IF(ISNUMBER(Setup!$D$26),Setup!$D$26,0),IF($T241="Nights",IF(ISNUMBER(Setup!$E$26),Setup!$E$26,0),IF(OR($T241="Exact amounts",$T241="Custom units"),0,1))))))</f>
        <v>0</v>
      </c>
      <c r="AA241" s="29">
        <f>IF($T241="",0,IF(OR(Setup!$B$27="",Setup!$C$27="No"),0,IF(ISNUMBER(N241),N241,IF($T241="Weights",IF(ISNUMBER(Setup!$D$27),Setup!$D$27,0),IF($T241="Nights",IF(ISNUMBER(Setup!$E$27),Setup!$E$27,0),IF(OR($T241="Exact amounts",$T241="Custom units"),0,1))))))</f>
        <v>0</v>
      </c>
      <c r="AB241" s="29">
        <f>IF($T241="",0,IF(OR(Setup!$B$28="",Setup!$C$28="No"),0,IF(ISNUMBER(O241),O241,IF($T241="Weights",IF(ISNUMBER(Setup!$D$28),Setup!$D$28,0),IF($T241="Nights",IF(ISNUMBER(Setup!$E$28),Setup!$E$28,0),IF(OR($T241="Exact amounts",$T241="Custom units"),0,1))))))</f>
        <v>0</v>
      </c>
      <c r="AC241" s="29">
        <f>IF($T241="",0,IF(OR(Setup!$B$29="",Setup!$C$29="No"),0,IF(ISNUMBER(P241),P241,IF($T241="Weights",IF(ISNUMBER(Setup!$D$29),Setup!$D$29,0),IF($T241="Nights",IF(ISNUMBER(Setup!$E$29),Setup!$E$29,0),IF(OR($T241="Exact amounts",$T241="Custom units"),0,1))))))</f>
        <v>0</v>
      </c>
      <c r="AD241" s="29">
        <f>IF($T241="",0,IF(OR(Setup!$B$30="",Setup!$C$30="No"),0,IF(ISNUMBER(Q241),Q241,IF($T241="Weights",IF(ISNUMBER(Setup!$D$30),Setup!$D$30,0),IF($T241="Nights",IF(ISNUMBER(Setup!$E$30),Setup!$E$30,0),IF(OR($T241="Exact amounts",$T241="Custom units"),0,1))))))</f>
        <v>0</v>
      </c>
      <c r="AE241" s="29">
        <f t="shared" si="13"/>
        <v>0</v>
      </c>
      <c r="AF241" s="30">
        <f t="shared" si="14"/>
        <v>1</v>
      </c>
      <c r="AG241" s="29">
        <f t="shared" si="15"/>
        <v>0</v>
      </c>
    </row>
    <row r="242" spans="1:33" ht="16" x14ac:dyDescent="0.2">
      <c r="A242" s="22" t="str">
        <f t="shared" si="12"/>
        <v>—</v>
      </c>
      <c r="B242" s="23"/>
      <c r="C242" s="16"/>
      <c r="D242" s="16"/>
      <c r="E242" s="24"/>
      <c r="F242" s="16"/>
      <c r="G242" s="16"/>
      <c r="H242" s="25"/>
      <c r="I242" s="25"/>
      <c r="J242" s="25"/>
      <c r="K242" s="25"/>
      <c r="L242" s="25"/>
      <c r="M242" s="25"/>
      <c r="N242" s="25"/>
      <c r="O242" s="25"/>
      <c r="P242" s="25"/>
      <c r="Q242" s="25"/>
      <c r="R242" s="26" t="str">
        <f>IF($T242="","",IF($D242="","Who paid?",IF(SUMPRODUCT((Setup!$B$21:$B$30=$D242)*1)=0,"Payer is not in the member list on Setup",IF($E242="","Amount missing — type the number in column E",IF(NOT(ISNUMBER($E242)),"Amount must be a plain number — no currency symbol, no text",IF(AND($T242="Custom units",$AE242&lt;=0),"Custom units: nobody has units on this row — type a number for at least one person",IF($AE242&lt;=0,"Nobody shares this row — check the person columns H–Q, and the Weight / Nights columns on Setup",IF(AND($T242="Exact amounts",ABS($AE242-$AG242)&gt;0.01),"Exact amounts do not add up to the amount","OK"))))))))</f>
        <v/>
      </c>
      <c r="S242" s="27" t="str">
        <f>IFERROR(IF(OR($T242="",$C$4=""),"—",ROUND($AG242*INDEX($U242:$AD242,1,MATCH($C$4,Setup!$B$21:$B$30,0))/$AF242,2)),"—")</f>
        <v>—</v>
      </c>
      <c r="T242" s="28" t="str">
        <f>IF(AND($C242="",$D242="",NOT(ISNUMBER($E242))),"",IF($G242="",IF(Setup!$C$17="","Equal",Setup!$C$17),$G242))</f>
        <v/>
      </c>
      <c r="U242" s="29">
        <f>IF($T242="",0,IF(OR(Setup!$B$21="",Setup!$C$21="No"),0,IF(ISNUMBER(H242),H242,IF($T242="Weights",IF(ISNUMBER(Setup!$D$21),Setup!$D$21,0),IF($T242="Nights",IF(ISNUMBER(Setup!$E$21),Setup!$E$21,0),IF(OR($T242="Exact amounts",$T242="Custom units"),0,1))))))</f>
        <v>0</v>
      </c>
      <c r="V242" s="29">
        <f>IF($T242="",0,IF(OR(Setup!$B$22="",Setup!$C$22="No"),0,IF(ISNUMBER(I242),I242,IF($T242="Weights",IF(ISNUMBER(Setup!$D$22),Setup!$D$22,0),IF($T242="Nights",IF(ISNUMBER(Setup!$E$22),Setup!$E$22,0),IF(OR($T242="Exact amounts",$T242="Custom units"),0,1))))))</f>
        <v>0</v>
      </c>
      <c r="W242" s="29">
        <f>IF($T242="",0,IF(OR(Setup!$B$23="",Setup!$C$23="No"),0,IF(ISNUMBER(J242),J242,IF($T242="Weights",IF(ISNUMBER(Setup!$D$23),Setup!$D$23,0),IF($T242="Nights",IF(ISNUMBER(Setup!$E$23),Setup!$E$23,0),IF(OR($T242="Exact amounts",$T242="Custom units"),0,1))))))</f>
        <v>0</v>
      </c>
      <c r="X242" s="29">
        <f>IF($T242="",0,IF(OR(Setup!$B$24="",Setup!$C$24="No"),0,IF(ISNUMBER(K242),K242,IF($T242="Weights",IF(ISNUMBER(Setup!$D$24),Setup!$D$24,0),IF($T242="Nights",IF(ISNUMBER(Setup!$E$24),Setup!$E$24,0),IF(OR($T242="Exact amounts",$T242="Custom units"),0,1))))))</f>
        <v>0</v>
      </c>
      <c r="Y242" s="29">
        <f>IF($T242="",0,IF(OR(Setup!$B$25="",Setup!$C$25="No"),0,IF(ISNUMBER(L242),L242,IF($T242="Weights",IF(ISNUMBER(Setup!$D$25),Setup!$D$25,0),IF($T242="Nights",IF(ISNUMBER(Setup!$E$25),Setup!$E$25,0),IF(OR($T242="Exact amounts",$T242="Custom units"),0,1))))))</f>
        <v>0</v>
      </c>
      <c r="Z242" s="29">
        <f>IF($T242="",0,IF(OR(Setup!$B$26="",Setup!$C$26="No"),0,IF(ISNUMBER(M242),M242,IF($T242="Weights",IF(ISNUMBER(Setup!$D$26),Setup!$D$26,0),IF($T242="Nights",IF(ISNUMBER(Setup!$E$26),Setup!$E$26,0),IF(OR($T242="Exact amounts",$T242="Custom units"),0,1))))))</f>
        <v>0</v>
      </c>
      <c r="AA242" s="29">
        <f>IF($T242="",0,IF(OR(Setup!$B$27="",Setup!$C$27="No"),0,IF(ISNUMBER(N242),N242,IF($T242="Weights",IF(ISNUMBER(Setup!$D$27),Setup!$D$27,0),IF($T242="Nights",IF(ISNUMBER(Setup!$E$27),Setup!$E$27,0),IF(OR($T242="Exact amounts",$T242="Custom units"),0,1))))))</f>
        <v>0</v>
      </c>
      <c r="AB242" s="29">
        <f>IF($T242="",0,IF(OR(Setup!$B$28="",Setup!$C$28="No"),0,IF(ISNUMBER(O242),O242,IF($T242="Weights",IF(ISNUMBER(Setup!$D$28),Setup!$D$28,0),IF($T242="Nights",IF(ISNUMBER(Setup!$E$28),Setup!$E$28,0),IF(OR($T242="Exact amounts",$T242="Custom units"),0,1))))))</f>
        <v>0</v>
      </c>
      <c r="AC242" s="29">
        <f>IF($T242="",0,IF(OR(Setup!$B$29="",Setup!$C$29="No"),0,IF(ISNUMBER(P242),P242,IF($T242="Weights",IF(ISNUMBER(Setup!$D$29),Setup!$D$29,0),IF($T242="Nights",IF(ISNUMBER(Setup!$E$29),Setup!$E$29,0),IF(OR($T242="Exact amounts",$T242="Custom units"),0,1))))))</f>
        <v>0</v>
      </c>
      <c r="AD242" s="29">
        <f>IF($T242="",0,IF(OR(Setup!$B$30="",Setup!$C$30="No"),0,IF(ISNUMBER(Q242),Q242,IF($T242="Weights",IF(ISNUMBER(Setup!$D$30),Setup!$D$30,0),IF($T242="Nights",IF(ISNUMBER(Setup!$E$30),Setup!$E$30,0),IF(OR($T242="Exact amounts",$T242="Custom units"),0,1))))))</f>
        <v>0</v>
      </c>
      <c r="AE242" s="29">
        <f t="shared" si="13"/>
        <v>0</v>
      </c>
      <c r="AF242" s="30">
        <f t="shared" si="14"/>
        <v>1</v>
      </c>
      <c r="AG242" s="29">
        <f t="shared" si="15"/>
        <v>0</v>
      </c>
    </row>
    <row r="243" spans="1:33" ht="16" x14ac:dyDescent="0.2">
      <c r="A243" s="22" t="str">
        <f t="shared" si="12"/>
        <v>—</v>
      </c>
      <c r="B243" s="31"/>
      <c r="C243" s="11"/>
      <c r="D243" s="11"/>
      <c r="E243" s="32"/>
      <c r="F243" s="11"/>
      <c r="G243" s="11"/>
      <c r="H243" s="33"/>
      <c r="I243" s="33"/>
      <c r="J243" s="33"/>
      <c r="K243" s="33"/>
      <c r="L243" s="33"/>
      <c r="M243" s="33"/>
      <c r="N243" s="33"/>
      <c r="O243" s="33"/>
      <c r="P243" s="33"/>
      <c r="Q243" s="33"/>
      <c r="R243" s="26" t="str">
        <f>IF($T243="","",IF($D243="","Who paid?",IF(SUMPRODUCT((Setup!$B$21:$B$30=$D243)*1)=0,"Payer is not in the member list on Setup",IF($E243="","Amount missing — type the number in column E",IF(NOT(ISNUMBER($E243)),"Amount must be a plain number — no currency symbol, no text",IF(AND($T243="Custom units",$AE243&lt;=0),"Custom units: nobody has units on this row — type a number for at least one person",IF($AE243&lt;=0,"Nobody shares this row — check the person columns H–Q, and the Weight / Nights columns on Setup",IF(AND($T243="Exact amounts",ABS($AE243-$AG243)&gt;0.01),"Exact amounts do not add up to the amount","OK"))))))))</f>
        <v/>
      </c>
      <c r="S243" s="27" t="str">
        <f>IFERROR(IF(OR($T243="",$C$4=""),"—",ROUND($AG243*INDEX($U243:$AD243,1,MATCH($C$4,Setup!$B$21:$B$30,0))/$AF243,2)),"—")</f>
        <v>—</v>
      </c>
      <c r="T243" s="28" t="str">
        <f>IF(AND($C243="",$D243="",NOT(ISNUMBER($E243))),"",IF($G243="",IF(Setup!$C$17="","Equal",Setup!$C$17),$G243))</f>
        <v/>
      </c>
      <c r="U243" s="29">
        <f>IF($T243="",0,IF(OR(Setup!$B$21="",Setup!$C$21="No"),0,IF(ISNUMBER(H243),H243,IF($T243="Weights",IF(ISNUMBER(Setup!$D$21),Setup!$D$21,0),IF($T243="Nights",IF(ISNUMBER(Setup!$E$21),Setup!$E$21,0),IF(OR($T243="Exact amounts",$T243="Custom units"),0,1))))))</f>
        <v>0</v>
      </c>
      <c r="V243" s="29">
        <f>IF($T243="",0,IF(OR(Setup!$B$22="",Setup!$C$22="No"),0,IF(ISNUMBER(I243),I243,IF($T243="Weights",IF(ISNUMBER(Setup!$D$22),Setup!$D$22,0),IF($T243="Nights",IF(ISNUMBER(Setup!$E$22),Setup!$E$22,0),IF(OR($T243="Exact amounts",$T243="Custom units"),0,1))))))</f>
        <v>0</v>
      </c>
      <c r="W243" s="29">
        <f>IF($T243="",0,IF(OR(Setup!$B$23="",Setup!$C$23="No"),0,IF(ISNUMBER(J243),J243,IF($T243="Weights",IF(ISNUMBER(Setup!$D$23),Setup!$D$23,0),IF($T243="Nights",IF(ISNUMBER(Setup!$E$23),Setup!$E$23,0),IF(OR($T243="Exact amounts",$T243="Custom units"),0,1))))))</f>
        <v>0</v>
      </c>
      <c r="X243" s="29">
        <f>IF($T243="",0,IF(OR(Setup!$B$24="",Setup!$C$24="No"),0,IF(ISNUMBER(K243),K243,IF($T243="Weights",IF(ISNUMBER(Setup!$D$24),Setup!$D$24,0),IF($T243="Nights",IF(ISNUMBER(Setup!$E$24),Setup!$E$24,0),IF(OR($T243="Exact amounts",$T243="Custom units"),0,1))))))</f>
        <v>0</v>
      </c>
      <c r="Y243" s="29">
        <f>IF($T243="",0,IF(OR(Setup!$B$25="",Setup!$C$25="No"),0,IF(ISNUMBER(L243),L243,IF($T243="Weights",IF(ISNUMBER(Setup!$D$25),Setup!$D$25,0),IF($T243="Nights",IF(ISNUMBER(Setup!$E$25),Setup!$E$25,0),IF(OR($T243="Exact amounts",$T243="Custom units"),0,1))))))</f>
        <v>0</v>
      </c>
      <c r="Z243" s="29">
        <f>IF($T243="",0,IF(OR(Setup!$B$26="",Setup!$C$26="No"),0,IF(ISNUMBER(M243),M243,IF($T243="Weights",IF(ISNUMBER(Setup!$D$26),Setup!$D$26,0),IF($T243="Nights",IF(ISNUMBER(Setup!$E$26),Setup!$E$26,0),IF(OR($T243="Exact amounts",$T243="Custom units"),0,1))))))</f>
        <v>0</v>
      </c>
      <c r="AA243" s="29">
        <f>IF($T243="",0,IF(OR(Setup!$B$27="",Setup!$C$27="No"),0,IF(ISNUMBER(N243),N243,IF($T243="Weights",IF(ISNUMBER(Setup!$D$27),Setup!$D$27,0),IF($T243="Nights",IF(ISNUMBER(Setup!$E$27),Setup!$E$27,0),IF(OR($T243="Exact amounts",$T243="Custom units"),0,1))))))</f>
        <v>0</v>
      </c>
      <c r="AB243" s="29">
        <f>IF($T243="",0,IF(OR(Setup!$B$28="",Setup!$C$28="No"),0,IF(ISNUMBER(O243),O243,IF($T243="Weights",IF(ISNUMBER(Setup!$D$28),Setup!$D$28,0),IF($T243="Nights",IF(ISNUMBER(Setup!$E$28),Setup!$E$28,0),IF(OR($T243="Exact amounts",$T243="Custom units"),0,1))))))</f>
        <v>0</v>
      </c>
      <c r="AC243" s="29">
        <f>IF($T243="",0,IF(OR(Setup!$B$29="",Setup!$C$29="No"),0,IF(ISNUMBER(P243),P243,IF($T243="Weights",IF(ISNUMBER(Setup!$D$29),Setup!$D$29,0),IF($T243="Nights",IF(ISNUMBER(Setup!$E$29),Setup!$E$29,0),IF(OR($T243="Exact amounts",$T243="Custom units"),0,1))))))</f>
        <v>0</v>
      </c>
      <c r="AD243" s="29">
        <f>IF($T243="",0,IF(OR(Setup!$B$30="",Setup!$C$30="No"),0,IF(ISNUMBER(Q243),Q243,IF($T243="Weights",IF(ISNUMBER(Setup!$D$30),Setup!$D$30,0),IF($T243="Nights",IF(ISNUMBER(Setup!$E$30),Setup!$E$30,0),IF(OR($T243="Exact amounts",$T243="Custom units"),0,1))))))</f>
        <v>0</v>
      </c>
      <c r="AE243" s="29">
        <f t="shared" si="13"/>
        <v>0</v>
      </c>
      <c r="AF243" s="30">
        <f t="shared" si="14"/>
        <v>1</v>
      </c>
      <c r="AG243" s="29">
        <f t="shared" si="15"/>
        <v>0</v>
      </c>
    </row>
    <row r="244" spans="1:33" ht="16" x14ac:dyDescent="0.2">
      <c r="A244" s="22" t="str">
        <f t="shared" si="12"/>
        <v>—</v>
      </c>
      <c r="B244" s="23"/>
      <c r="C244" s="16"/>
      <c r="D244" s="16"/>
      <c r="E244" s="24"/>
      <c r="F244" s="16"/>
      <c r="G244" s="16"/>
      <c r="H244" s="25"/>
      <c r="I244" s="25"/>
      <c r="J244" s="25"/>
      <c r="K244" s="25"/>
      <c r="L244" s="25"/>
      <c r="M244" s="25"/>
      <c r="N244" s="25"/>
      <c r="O244" s="25"/>
      <c r="P244" s="25"/>
      <c r="Q244" s="25"/>
      <c r="R244" s="26" t="str">
        <f>IF($T244="","",IF($D244="","Who paid?",IF(SUMPRODUCT((Setup!$B$21:$B$30=$D244)*1)=0,"Payer is not in the member list on Setup",IF($E244="","Amount missing — type the number in column E",IF(NOT(ISNUMBER($E244)),"Amount must be a plain number — no currency symbol, no text",IF(AND($T244="Custom units",$AE244&lt;=0),"Custom units: nobody has units on this row — type a number for at least one person",IF($AE244&lt;=0,"Nobody shares this row — check the person columns H–Q, and the Weight / Nights columns on Setup",IF(AND($T244="Exact amounts",ABS($AE244-$AG244)&gt;0.01),"Exact amounts do not add up to the amount","OK"))))))))</f>
        <v/>
      </c>
      <c r="S244" s="27" t="str">
        <f>IFERROR(IF(OR($T244="",$C$4=""),"—",ROUND($AG244*INDEX($U244:$AD244,1,MATCH($C$4,Setup!$B$21:$B$30,0))/$AF244,2)),"—")</f>
        <v>—</v>
      </c>
      <c r="T244" s="28" t="str">
        <f>IF(AND($C244="",$D244="",NOT(ISNUMBER($E244))),"",IF($G244="",IF(Setup!$C$17="","Equal",Setup!$C$17),$G244))</f>
        <v/>
      </c>
      <c r="U244" s="29">
        <f>IF($T244="",0,IF(OR(Setup!$B$21="",Setup!$C$21="No"),0,IF(ISNUMBER(H244),H244,IF($T244="Weights",IF(ISNUMBER(Setup!$D$21),Setup!$D$21,0),IF($T244="Nights",IF(ISNUMBER(Setup!$E$21),Setup!$E$21,0),IF(OR($T244="Exact amounts",$T244="Custom units"),0,1))))))</f>
        <v>0</v>
      </c>
      <c r="V244" s="29">
        <f>IF($T244="",0,IF(OR(Setup!$B$22="",Setup!$C$22="No"),0,IF(ISNUMBER(I244),I244,IF($T244="Weights",IF(ISNUMBER(Setup!$D$22),Setup!$D$22,0),IF($T244="Nights",IF(ISNUMBER(Setup!$E$22),Setup!$E$22,0),IF(OR($T244="Exact amounts",$T244="Custom units"),0,1))))))</f>
        <v>0</v>
      </c>
      <c r="W244" s="29">
        <f>IF($T244="",0,IF(OR(Setup!$B$23="",Setup!$C$23="No"),0,IF(ISNUMBER(J244),J244,IF($T244="Weights",IF(ISNUMBER(Setup!$D$23),Setup!$D$23,0),IF($T244="Nights",IF(ISNUMBER(Setup!$E$23),Setup!$E$23,0),IF(OR($T244="Exact amounts",$T244="Custom units"),0,1))))))</f>
        <v>0</v>
      </c>
      <c r="X244" s="29">
        <f>IF($T244="",0,IF(OR(Setup!$B$24="",Setup!$C$24="No"),0,IF(ISNUMBER(K244),K244,IF($T244="Weights",IF(ISNUMBER(Setup!$D$24),Setup!$D$24,0),IF($T244="Nights",IF(ISNUMBER(Setup!$E$24),Setup!$E$24,0),IF(OR($T244="Exact amounts",$T244="Custom units"),0,1))))))</f>
        <v>0</v>
      </c>
      <c r="Y244" s="29">
        <f>IF($T244="",0,IF(OR(Setup!$B$25="",Setup!$C$25="No"),0,IF(ISNUMBER(L244),L244,IF($T244="Weights",IF(ISNUMBER(Setup!$D$25),Setup!$D$25,0),IF($T244="Nights",IF(ISNUMBER(Setup!$E$25),Setup!$E$25,0),IF(OR($T244="Exact amounts",$T244="Custom units"),0,1))))))</f>
        <v>0</v>
      </c>
      <c r="Z244" s="29">
        <f>IF($T244="",0,IF(OR(Setup!$B$26="",Setup!$C$26="No"),0,IF(ISNUMBER(M244),M244,IF($T244="Weights",IF(ISNUMBER(Setup!$D$26),Setup!$D$26,0),IF($T244="Nights",IF(ISNUMBER(Setup!$E$26),Setup!$E$26,0),IF(OR($T244="Exact amounts",$T244="Custom units"),0,1))))))</f>
        <v>0</v>
      </c>
      <c r="AA244" s="29">
        <f>IF($T244="",0,IF(OR(Setup!$B$27="",Setup!$C$27="No"),0,IF(ISNUMBER(N244),N244,IF($T244="Weights",IF(ISNUMBER(Setup!$D$27),Setup!$D$27,0),IF($T244="Nights",IF(ISNUMBER(Setup!$E$27),Setup!$E$27,0),IF(OR($T244="Exact amounts",$T244="Custom units"),0,1))))))</f>
        <v>0</v>
      </c>
      <c r="AB244" s="29">
        <f>IF($T244="",0,IF(OR(Setup!$B$28="",Setup!$C$28="No"),0,IF(ISNUMBER(O244),O244,IF($T244="Weights",IF(ISNUMBER(Setup!$D$28),Setup!$D$28,0),IF($T244="Nights",IF(ISNUMBER(Setup!$E$28),Setup!$E$28,0),IF(OR($T244="Exact amounts",$T244="Custom units"),0,1))))))</f>
        <v>0</v>
      </c>
      <c r="AC244" s="29">
        <f>IF($T244="",0,IF(OR(Setup!$B$29="",Setup!$C$29="No"),0,IF(ISNUMBER(P244),P244,IF($T244="Weights",IF(ISNUMBER(Setup!$D$29),Setup!$D$29,0),IF($T244="Nights",IF(ISNUMBER(Setup!$E$29),Setup!$E$29,0),IF(OR($T244="Exact amounts",$T244="Custom units"),0,1))))))</f>
        <v>0</v>
      </c>
      <c r="AD244" s="29">
        <f>IF($T244="",0,IF(OR(Setup!$B$30="",Setup!$C$30="No"),0,IF(ISNUMBER(Q244),Q244,IF($T244="Weights",IF(ISNUMBER(Setup!$D$30),Setup!$D$30,0),IF($T244="Nights",IF(ISNUMBER(Setup!$E$30),Setup!$E$30,0),IF(OR($T244="Exact amounts",$T244="Custom units"),0,1))))))</f>
        <v>0</v>
      </c>
      <c r="AE244" s="29">
        <f t="shared" si="13"/>
        <v>0</v>
      </c>
      <c r="AF244" s="30">
        <f t="shared" si="14"/>
        <v>1</v>
      </c>
      <c r="AG244" s="29">
        <f t="shared" si="15"/>
        <v>0</v>
      </c>
    </row>
    <row r="245" spans="1:33" ht="16" x14ac:dyDescent="0.2">
      <c r="A245" s="22" t="str">
        <f t="shared" si="12"/>
        <v>—</v>
      </c>
      <c r="B245" s="31"/>
      <c r="C245" s="11"/>
      <c r="D245" s="11"/>
      <c r="E245" s="32"/>
      <c r="F245" s="11"/>
      <c r="G245" s="11"/>
      <c r="H245" s="33"/>
      <c r="I245" s="33"/>
      <c r="J245" s="33"/>
      <c r="K245" s="33"/>
      <c r="L245" s="33"/>
      <c r="M245" s="33"/>
      <c r="N245" s="33"/>
      <c r="O245" s="33"/>
      <c r="P245" s="33"/>
      <c r="Q245" s="33"/>
      <c r="R245" s="26" t="str">
        <f>IF($T245="","",IF($D245="","Who paid?",IF(SUMPRODUCT((Setup!$B$21:$B$30=$D245)*1)=0,"Payer is not in the member list on Setup",IF($E245="","Amount missing — type the number in column E",IF(NOT(ISNUMBER($E245)),"Amount must be a plain number — no currency symbol, no text",IF(AND($T245="Custom units",$AE245&lt;=0),"Custom units: nobody has units on this row — type a number for at least one person",IF($AE245&lt;=0,"Nobody shares this row — check the person columns H–Q, and the Weight / Nights columns on Setup",IF(AND($T245="Exact amounts",ABS($AE245-$AG245)&gt;0.01),"Exact amounts do not add up to the amount","OK"))))))))</f>
        <v/>
      </c>
      <c r="S245" s="27" t="str">
        <f>IFERROR(IF(OR($T245="",$C$4=""),"—",ROUND($AG245*INDEX($U245:$AD245,1,MATCH($C$4,Setup!$B$21:$B$30,0))/$AF245,2)),"—")</f>
        <v>—</v>
      </c>
      <c r="T245" s="28" t="str">
        <f>IF(AND($C245="",$D245="",NOT(ISNUMBER($E245))),"",IF($G245="",IF(Setup!$C$17="","Equal",Setup!$C$17),$G245))</f>
        <v/>
      </c>
      <c r="U245" s="29">
        <f>IF($T245="",0,IF(OR(Setup!$B$21="",Setup!$C$21="No"),0,IF(ISNUMBER(H245),H245,IF($T245="Weights",IF(ISNUMBER(Setup!$D$21),Setup!$D$21,0),IF($T245="Nights",IF(ISNUMBER(Setup!$E$21),Setup!$E$21,0),IF(OR($T245="Exact amounts",$T245="Custom units"),0,1))))))</f>
        <v>0</v>
      </c>
      <c r="V245" s="29">
        <f>IF($T245="",0,IF(OR(Setup!$B$22="",Setup!$C$22="No"),0,IF(ISNUMBER(I245),I245,IF($T245="Weights",IF(ISNUMBER(Setup!$D$22),Setup!$D$22,0),IF($T245="Nights",IF(ISNUMBER(Setup!$E$22),Setup!$E$22,0),IF(OR($T245="Exact amounts",$T245="Custom units"),0,1))))))</f>
        <v>0</v>
      </c>
      <c r="W245" s="29">
        <f>IF($T245="",0,IF(OR(Setup!$B$23="",Setup!$C$23="No"),0,IF(ISNUMBER(J245),J245,IF($T245="Weights",IF(ISNUMBER(Setup!$D$23),Setup!$D$23,0),IF($T245="Nights",IF(ISNUMBER(Setup!$E$23),Setup!$E$23,0),IF(OR($T245="Exact amounts",$T245="Custom units"),0,1))))))</f>
        <v>0</v>
      </c>
      <c r="X245" s="29">
        <f>IF($T245="",0,IF(OR(Setup!$B$24="",Setup!$C$24="No"),0,IF(ISNUMBER(K245),K245,IF($T245="Weights",IF(ISNUMBER(Setup!$D$24),Setup!$D$24,0),IF($T245="Nights",IF(ISNUMBER(Setup!$E$24),Setup!$E$24,0),IF(OR($T245="Exact amounts",$T245="Custom units"),0,1))))))</f>
        <v>0</v>
      </c>
      <c r="Y245" s="29">
        <f>IF($T245="",0,IF(OR(Setup!$B$25="",Setup!$C$25="No"),0,IF(ISNUMBER(L245),L245,IF($T245="Weights",IF(ISNUMBER(Setup!$D$25),Setup!$D$25,0),IF($T245="Nights",IF(ISNUMBER(Setup!$E$25),Setup!$E$25,0),IF(OR($T245="Exact amounts",$T245="Custom units"),0,1))))))</f>
        <v>0</v>
      </c>
      <c r="Z245" s="29">
        <f>IF($T245="",0,IF(OR(Setup!$B$26="",Setup!$C$26="No"),0,IF(ISNUMBER(M245),M245,IF($T245="Weights",IF(ISNUMBER(Setup!$D$26),Setup!$D$26,0),IF($T245="Nights",IF(ISNUMBER(Setup!$E$26),Setup!$E$26,0),IF(OR($T245="Exact amounts",$T245="Custom units"),0,1))))))</f>
        <v>0</v>
      </c>
      <c r="AA245" s="29">
        <f>IF($T245="",0,IF(OR(Setup!$B$27="",Setup!$C$27="No"),0,IF(ISNUMBER(N245),N245,IF($T245="Weights",IF(ISNUMBER(Setup!$D$27),Setup!$D$27,0),IF($T245="Nights",IF(ISNUMBER(Setup!$E$27),Setup!$E$27,0),IF(OR($T245="Exact amounts",$T245="Custom units"),0,1))))))</f>
        <v>0</v>
      </c>
      <c r="AB245" s="29">
        <f>IF($T245="",0,IF(OR(Setup!$B$28="",Setup!$C$28="No"),0,IF(ISNUMBER(O245),O245,IF($T245="Weights",IF(ISNUMBER(Setup!$D$28),Setup!$D$28,0),IF($T245="Nights",IF(ISNUMBER(Setup!$E$28),Setup!$E$28,0),IF(OR($T245="Exact amounts",$T245="Custom units"),0,1))))))</f>
        <v>0</v>
      </c>
      <c r="AC245" s="29">
        <f>IF($T245="",0,IF(OR(Setup!$B$29="",Setup!$C$29="No"),0,IF(ISNUMBER(P245),P245,IF($T245="Weights",IF(ISNUMBER(Setup!$D$29),Setup!$D$29,0),IF($T245="Nights",IF(ISNUMBER(Setup!$E$29),Setup!$E$29,0),IF(OR($T245="Exact amounts",$T245="Custom units"),0,1))))))</f>
        <v>0</v>
      </c>
      <c r="AD245" s="29">
        <f>IF($T245="",0,IF(OR(Setup!$B$30="",Setup!$C$30="No"),0,IF(ISNUMBER(Q245),Q245,IF($T245="Weights",IF(ISNUMBER(Setup!$D$30),Setup!$D$30,0),IF($T245="Nights",IF(ISNUMBER(Setup!$E$30),Setup!$E$30,0),IF(OR($T245="Exact amounts",$T245="Custom units"),0,1))))))</f>
        <v>0</v>
      </c>
      <c r="AE245" s="29">
        <f t="shared" si="13"/>
        <v>0</v>
      </c>
      <c r="AF245" s="30">
        <f t="shared" si="14"/>
        <v>1</v>
      </c>
      <c r="AG245" s="29">
        <f t="shared" si="15"/>
        <v>0</v>
      </c>
    </row>
    <row r="246" spans="1:33" ht="16" x14ac:dyDescent="0.2">
      <c r="A246" s="22" t="str">
        <f t="shared" si="12"/>
        <v>—</v>
      </c>
      <c r="B246" s="23"/>
      <c r="C246" s="16"/>
      <c r="D246" s="16"/>
      <c r="E246" s="24"/>
      <c r="F246" s="16"/>
      <c r="G246" s="16"/>
      <c r="H246" s="25"/>
      <c r="I246" s="25"/>
      <c r="J246" s="25"/>
      <c r="K246" s="25"/>
      <c r="L246" s="25"/>
      <c r="M246" s="25"/>
      <c r="N246" s="25"/>
      <c r="O246" s="25"/>
      <c r="P246" s="25"/>
      <c r="Q246" s="25"/>
      <c r="R246" s="26" t="str">
        <f>IF($T246="","",IF($D246="","Who paid?",IF(SUMPRODUCT((Setup!$B$21:$B$30=$D246)*1)=0,"Payer is not in the member list on Setup",IF($E246="","Amount missing — type the number in column E",IF(NOT(ISNUMBER($E246)),"Amount must be a plain number — no currency symbol, no text",IF(AND($T246="Custom units",$AE246&lt;=0),"Custom units: nobody has units on this row — type a number for at least one person",IF($AE246&lt;=0,"Nobody shares this row — check the person columns H–Q, and the Weight / Nights columns on Setup",IF(AND($T246="Exact amounts",ABS($AE246-$AG246)&gt;0.01),"Exact amounts do not add up to the amount","OK"))))))))</f>
        <v/>
      </c>
      <c r="S246" s="27" t="str">
        <f>IFERROR(IF(OR($T246="",$C$4=""),"—",ROUND($AG246*INDEX($U246:$AD246,1,MATCH($C$4,Setup!$B$21:$B$30,0))/$AF246,2)),"—")</f>
        <v>—</v>
      </c>
      <c r="T246" s="28" t="str">
        <f>IF(AND($C246="",$D246="",NOT(ISNUMBER($E246))),"",IF($G246="",IF(Setup!$C$17="","Equal",Setup!$C$17),$G246))</f>
        <v/>
      </c>
      <c r="U246" s="29">
        <f>IF($T246="",0,IF(OR(Setup!$B$21="",Setup!$C$21="No"),0,IF(ISNUMBER(H246),H246,IF($T246="Weights",IF(ISNUMBER(Setup!$D$21),Setup!$D$21,0),IF($T246="Nights",IF(ISNUMBER(Setup!$E$21),Setup!$E$21,0),IF(OR($T246="Exact amounts",$T246="Custom units"),0,1))))))</f>
        <v>0</v>
      </c>
      <c r="V246" s="29">
        <f>IF($T246="",0,IF(OR(Setup!$B$22="",Setup!$C$22="No"),0,IF(ISNUMBER(I246),I246,IF($T246="Weights",IF(ISNUMBER(Setup!$D$22),Setup!$D$22,0),IF($T246="Nights",IF(ISNUMBER(Setup!$E$22),Setup!$E$22,0),IF(OR($T246="Exact amounts",$T246="Custom units"),0,1))))))</f>
        <v>0</v>
      </c>
      <c r="W246" s="29">
        <f>IF($T246="",0,IF(OR(Setup!$B$23="",Setup!$C$23="No"),0,IF(ISNUMBER(J246),J246,IF($T246="Weights",IF(ISNUMBER(Setup!$D$23),Setup!$D$23,0),IF($T246="Nights",IF(ISNUMBER(Setup!$E$23),Setup!$E$23,0),IF(OR($T246="Exact amounts",$T246="Custom units"),0,1))))))</f>
        <v>0</v>
      </c>
      <c r="X246" s="29">
        <f>IF($T246="",0,IF(OR(Setup!$B$24="",Setup!$C$24="No"),0,IF(ISNUMBER(K246),K246,IF($T246="Weights",IF(ISNUMBER(Setup!$D$24),Setup!$D$24,0),IF($T246="Nights",IF(ISNUMBER(Setup!$E$24),Setup!$E$24,0),IF(OR($T246="Exact amounts",$T246="Custom units"),0,1))))))</f>
        <v>0</v>
      </c>
      <c r="Y246" s="29">
        <f>IF($T246="",0,IF(OR(Setup!$B$25="",Setup!$C$25="No"),0,IF(ISNUMBER(L246),L246,IF($T246="Weights",IF(ISNUMBER(Setup!$D$25),Setup!$D$25,0),IF($T246="Nights",IF(ISNUMBER(Setup!$E$25),Setup!$E$25,0),IF(OR($T246="Exact amounts",$T246="Custom units"),0,1))))))</f>
        <v>0</v>
      </c>
      <c r="Z246" s="29">
        <f>IF($T246="",0,IF(OR(Setup!$B$26="",Setup!$C$26="No"),0,IF(ISNUMBER(M246),M246,IF($T246="Weights",IF(ISNUMBER(Setup!$D$26),Setup!$D$26,0),IF($T246="Nights",IF(ISNUMBER(Setup!$E$26),Setup!$E$26,0),IF(OR($T246="Exact amounts",$T246="Custom units"),0,1))))))</f>
        <v>0</v>
      </c>
      <c r="AA246" s="29">
        <f>IF($T246="",0,IF(OR(Setup!$B$27="",Setup!$C$27="No"),0,IF(ISNUMBER(N246),N246,IF($T246="Weights",IF(ISNUMBER(Setup!$D$27),Setup!$D$27,0),IF($T246="Nights",IF(ISNUMBER(Setup!$E$27),Setup!$E$27,0),IF(OR($T246="Exact amounts",$T246="Custom units"),0,1))))))</f>
        <v>0</v>
      </c>
      <c r="AB246" s="29">
        <f>IF($T246="",0,IF(OR(Setup!$B$28="",Setup!$C$28="No"),0,IF(ISNUMBER(O246),O246,IF($T246="Weights",IF(ISNUMBER(Setup!$D$28),Setup!$D$28,0),IF($T246="Nights",IF(ISNUMBER(Setup!$E$28),Setup!$E$28,0),IF(OR($T246="Exact amounts",$T246="Custom units"),0,1))))))</f>
        <v>0</v>
      </c>
      <c r="AC246" s="29">
        <f>IF($T246="",0,IF(OR(Setup!$B$29="",Setup!$C$29="No"),0,IF(ISNUMBER(P246),P246,IF($T246="Weights",IF(ISNUMBER(Setup!$D$29),Setup!$D$29,0),IF($T246="Nights",IF(ISNUMBER(Setup!$E$29),Setup!$E$29,0),IF(OR($T246="Exact amounts",$T246="Custom units"),0,1))))))</f>
        <v>0</v>
      </c>
      <c r="AD246" s="29">
        <f>IF($T246="",0,IF(OR(Setup!$B$30="",Setup!$C$30="No"),0,IF(ISNUMBER(Q246),Q246,IF($T246="Weights",IF(ISNUMBER(Setup!$D$30),Setup!$D$30,0),IF($T246="Nights",IF(ISNUMBER(Setup!$E$30),Setup!$E$30,0),IF(OR($T246="Exact amounts",$T246="Custom units"),0,1))))))</f>
        <v>0</v>
      </c>
      <c r="AE246" s="29">
        <f t="shared" si="13"/>
        <v>0</v>
      </c>
      <c r="AF246" s="30">
        <f t="shared" si="14"/>
        <v>1</v>
      </c>
      <c r="AG246" s="29">
        <f t="shared" si="15"/>
        <v>0</v>
      </c>
    </row>
    <row r="247" spans="1:33" ht="16" x14ac:dyDescent="0.2">
      <c r="A247" s="22" t="str">
        <f t="shared" si="12"/>
        <v>—</v>
      </c>
      <c r="B247" s="31"/>
      <c r="C247" s="11"/>
      <c r="D247" s="11"/>
      <c r="E247" s="32"/>
      <c r="F247" s="11"/>
      <c r="G247" s="11"/>
      <c r="H247" s="33"/>
      <c r="I247" s="33"/>
      <c r="J247" s="33"/>
      <c r="K247" s="33"/>
      <c r="L247" s="33"/>
      <c r="M247" s="33"/>
      <c r="N247" s="33"/>
      <c r="O247" s="33"/>
      <c r="P247" s="33"/>
      <c r="Q247" s="33"/>
      <c r="R247" s="26" t="str">
        <f>IF($T247="","",IF($D247="","Who paid?",IF(SUMPRODUCT((Setup!$B$21:$B$30=$D247)*1)=0,"Payer is not in the member list on Setup",IF($E247="","Amount missing — type the number in column E",IF(NOT(ISNUMBER($E247)),"Amount must be a plain number — no currency symbol, no text",IF(AND($T247="Custom units",$AE247&lt;=0),"Custom units: nobody has units on this row — type a number for at least one person",IF($AE247&lt;=0,"Nobody shares this row — check the person columns H–Q, and the Weight / Nights columns on Setup",IF(AND($T247="Exact amounts",ABS($AE247-$AG247)&gt;0.01),"Exact amounts do not add up to the amount","OK"))))))))</f>
        <v/>
      </c>
      <c r="S247" s="27" t="str">
        <f>IFERROR(IF(OR($T247="",$C$4=""),"—",ROUND($AG247*INDEX($U247:$AD247,1,MATCH($C$4,Setup!$B$21:$B$30,0))/$AF247,2)),"—")</f>
        <v>—</v>
      </c>
      <c r="T247" s="28" t="str">
        <f>IF(AND($C247="",$D247="",NOT(ISNUMBER($E247))),"",IF($G247="",IF(Setup!$C$17="","Equal",Setup!$C$17),$G247))</f>
        <v/>
      </c>
      <c r="U247" s="29">
        <f>IF($T247="",0,IF(OR(Setup!$B$21="",Setup!$C$21="No"),0,IF(ISNUMBER(H247),H247,IF($T247="Weights",IF(ISNUMBER(Setup!$D$21),Setup!$D$21,0),IF($T247="Nights",IF(ISNUMBER(Setup!$E$21),Setup!$E$21,0),IF(OR($T247="Exact amounts",$T247="Custom units"),0,1))))))</f>
        <v>0</v>
      </c>
      <c r="V247" s="29">
        <f>IF($T247="",0,IF(OR(Setup!$B$22="",Setup!$C$22="No"),0,IF(ISNUMBER(I247),I247,IF($T247="Weights",IF(ISNUMBER(Setup!$D$22),Setup!$D$22,0),IF($T247="Nights",IF(ISNUMBER(Setup!$E$22),Setup!$E$22,0),IF(OR($T247="Exact amounts",$T247="Custom units"),0,1))))))</f>
        <v>0</v>
      </c>
      <c r="W247" s="29">
        <f>IF($T247="",0,IF(OR(Setup!$B$23="",Setup!$C$23="No"),0,IF(ISNUMBER(J247),J247,IF($T247="Weights",IF(ISNUMBER(Setup!$D$23),Setup!$D$23,0),IF($T247="Nights",IF(ISNUMBER(Setup!$E$23),Setup!$E$23,0),IF(OR($T247="Exact amounts",$T247="Custom units"),0,1))))))</f>
        <v>0</v>
      </c>
      <c r="X247" s="29">
        <f>IF($T247="",0,IF(OR(Setup!$B$24="",Setup!$C$24="No"),0,IF(ISNUMBER(K247),K247,IF($T247="Weights",IF(ISNUMBER(Setup!$D$24),Setup!$D$24,0),IF($T247="Nights",IF(ISNUMBER(Setup!$E$24),Setup!$E$24,0),IF(OR($T247="Exact amounts",$T247="Custom units"),0,1))))))</f>
        <v>0</v>
      </c>
      <c r="Y247" s="29">
        <f>IF($T247="",0,IF(OR(Setup!$B$25="",Setup!$C$25="No"),0,IF(ISNUMBER(L247),L247,IF($T247="Weights",IF(ISNUMBER(Setup!$D$25),Setup!$D$25,0),IF($T247="Nights",IF(ISNUMBER(Setup!$E$25),Setup!$E$25,0),IF(OR($T247="Exact amounts",$T247="Custom units"),0,1))))))</f>
        <v>0</v>
      </c>
      <c r="Z247" s="29">
        <f>IF($T247="",0,IF(OR(Setup!$B$26="",Setup!$C$26="No"),0,IF(ISNUMBER(M247),M247,IF($T247="Weights",IF(ISNUMBER(Setup!$D$26),Setup!$D$26,0),IF($T247="Nights",IF(ISNUMBER(Setup!$E$26),Setup!$E$26,0),IF(OR($T247="Exact amounts",$T247="Custom units"),0,1))))))</f>
        <v>0</v>
      </c>
      <c r="AA247" s="29">
        <f>IF($T247="",0,IF(OR(Setup!$B$27="",Setup!$C$27="No"),0,IF(ISNUMBER(N247),N247,IF($T247="Weights",IF(ISNUMBER(Setup!$D$27),Setup!$D$27,0),IF($T247="Nights",IF(ISNUMBER(Setup!$E$27),Setup!$E$27,0),IF(OR($T247="Exact amounts",$T247="Custom units"),0,1))))))</f>
        <v>0</v>
      </c>
      <c r="AB247" s="29">
        <f>IF($T247="",0,IF(OR(Setup!$B$28="",Setup!$C$28="No"),0,IF(ISNUMBER(O247),O247,IF($T247="Weights",IF(ISNUMBER(Setup!$D$28),Setup!$D$28,0),IF($T247="Nights",IF(ISNUMBER(Setup!$E$28),Setup!$E$28,0),IF(OR($T247="Exact amounts",$T247="Custom units"),0,1))))))</f>
        <v>0</v>
      </c>
      <c r="AC247" s="29">
        <f>IF($T247="",0,IF(OR(Setup!$B$29="",Setup!$C$29="No"),0,IF(ISNUMBER(P247),P247,IF($T247="Weights",IF(ISNUMBER(Setup!$D$29),Setup!$D$29,0),IF($T247="Nights",IF(ISNUMBER(Setup!$E$29),Setup!$E$29,0),IF(OR($T247="Exact amounts",$T247="Custom units"),0,1))))))</f>
        <v>0</v>
      </c>
      <c r="AD247" s="29">
        <f>IF($T247="",0,IF(OR(Setup!$B$30="",Setup!$C$30="No"),0,IF(ISNUMBER(Q247),Q247,IF($T247="Weights",IF(ISNUMBER(Setup!$D$30),Setup!$D$30,0),IF($T247="Nights",IF(ISNUMBER(Setup!$E$30),Setup!$E$30,0),IF(OR($T247="Exact amounts",$T247="Custom units"),0,1))))))</f>
        <v>0</v>
      </c>
      <c r="AE247" s="29">
        <f t="shared" si="13"/>
        <v>0</v>
      </c>
      <c r="AF247" s="30">
        <f t="shared" si="14"/>
        <v>1</v>
      </c>
      <c r="AG247" s="29">
        <f t="shared" si="15"/>
        <v>0</v>
      </c>
    </row>
    <row r="248" spans="1:33" ht="16" x14ac:dyDescent="0.2">
      <c r="A248" s="22" t="str">
        <f t="shared" si="12"/>
        <v>—</v>
      </c>
      <c r="B248" s="23"/>
      <c r="C248" s="16"/>
      <c r="D248" s="16"/>
      <c r="E248" s="24"/>
      <c r="F248" s="16"/>
      <c r="G248" s="16"/>
      <c r="H248" s="25"/>
      <c r="I248" s="25"/>
      <c r="J248" s="25"/>
      <c r="K248" s="25"/>
      <c r="L248" s="25"/>
      <c r="M248" s="25"/>
      <c r="N248" s="25"/>
      <c r="O248" s="25"/>
      <c r="P248" s="25"/>
      <c r="Q248" s="25"/>
      <c r="R248" s="26" t="str">
        <f>IF($T248="","",IF($D248="","Who paid?",IF(SUMPRODUCT((Setup!$B$21:$B$30=$D248)*1)=0,"Payer is not in the member list on Setup",IF($E248="","Amount missing — type the number in column E",IF(NOT(ISNUMBER($E248)),"Amount must be a plain number — no currency symbol, no text",IF(AND($T248="Custom units",$AE248&lt;=0),"Custom units: nobody has units on this row — type a number for at least one person",IF($AE248&lt;=0,"Nobody shares this row — check the person columns H–Q, and the Weight / Nights columns on Setup",IF(AND($T248="Exact amounts",ABS($AE248-$AG248)&gt;0.01),"Exact amounts do not add up to the amount","OK"))))))))</f>
        <v/>
      </c>
      <c r="S248" s="27" t="str">
        <f>IFERROR(IF(OR($T248="",$C$4=""),"—",ROUND($AG248*INDEX($U248:$AD248,1,MATCH($C$4,Setup!$B$21:$B$30,0))/$AF248,2)),"—")</f>
        <v>—</v>
      </c>
      <c r="T248" s="28" t="str">
        <f>IF(AND($C248="",$D248="",NOT(ISNUMBER($E248))),"",IF($G248="",IF(Setup!$C$17="","Equal",Setup!$C$17),$G248))</f>
        <v/>
      </c>
      <c r="U248" s="29">
        <f>IF($T248="",0,IF(OR(Setup!$B$21="",Setup!$C$21="No"),0,IF(ISNUMBER(H248),H248,IF($T248="Weights",IF(ISNUMBER(Setup!$D$21),Setup!$D$21,0),IF($T248="Nights",IF(ISNUMBER(Setup!$E$21),Setup!$E$21,0),IF(OR($T248="Exact amounts",$T248="Custom units"),0,1))))))</f>
        <v>0</v>
      </c>
      <c r="V248" s="29">
        <f>IF($T248="",0,IF(OR(Setup!$B$22="",Setup!$C$22="No"),0,IF(ISNUMBER(I248),I248,IF($T248="Weights",IF(ISNUMBER(Setup!$D$22),Setup!$D$22,0),IF($T248="Nights",IF(ISNUMBER(Setup!$E$22),Setup!$E$22,0),IF(OR($T248="Exact amounts",$T248="Custom units"),0,1))))))</f>
        <v>0</v>
      </c>
      <c r="W248" s="29">
        <f>IF($T248="",0,IF(OR(Setup!$B$23="",Setup!$C$23="No"),0,IF(ISNUMBER(J248),J248,IF($T248="Weights",IF(ISNUMBER(Setup!$D$23),Setup!$D$23,0),IF($T248="Nights",IF(ISNUMBER(Setup!$E$23),Setup!$E$23,0),IF(OR($T248="Exact amounts",$T248="Custom units"),0,1))))))</f>
        <v>0</v>
      </c>
      <c r="X248" s="29">
        <f>IF($T248="",0,IF(OR(Setup!$B$24="",Setup!$C$24="No"),0,IF(ISNUMBER(K248),K248,IF($T248="Weights",IF(ISNUMBER(Setup!$D$24),Setup!$D$24,0),IF($T248="Nights",IF(ISNUMBER(Setup!$E$24),Setup!$E$24,0),IF(OR($T248="Exact amounts",$T248="Custom units"),0,1))))))</f>
        <v>0</v>
      </c>
      <c r="Y248" s="29">
        <f>IF($T248="",0,IF(OR(Setup!$B$25="",Setup!$C$25="No"),0,IF(ISNUMBER(L248),L248,IF($T248="Weights",IF(ISNUMBER(Setup!$D$25),Setup!$D$25,0),IF($T248="Nights",IF(ISNUMBER(Setup!$E$25),Setup!$E$25,0),IF(OR($T248="Exact amounts",$T248="Custom units"),0,1))))))</f>
        <v>0</v>
      </c>
      <c r="Z248" s="29">
        <f>IF($T248="",0,IF(OR(Setup!$B$26="",Setup!$C$26="No"),0,IF(ISNUMBER(M248),M248,IF($T248="Weights",IF(ISNUMBER(Setup!$D$26),Setup!$D$26,0),IF($T248="Nights",IF(ISNUMBER(Setup!$E$26),Setup!$E$26,0),IF(OR($T248="Exact amounts",$T248="Custom units"),0,1))))))</f>
        <v>0</v>
      </c>
      <c r="AA248" s="29">
        <f>IF($T248="",0,IF(OR(Setup!$B$27="",Setup!$C$27="No"),0,IF(ISNUMBER(N248),N248,IF($T248="Weights",IF(ISNUMBER(Setup!$D$27),Setup!$D$27,0),IF($T248="Nights",IF(ISNUMBER(Setup!$E$27),Setup!$E$27,0),IF(OR($T248="Exact amounts",$T248="Custom units"),0,1))))))</f>
        <v>0</v>
      </c>
      <c r="AB248" s="29">
        <f>IF($T248="",0,IF(OR(Setup!$B$28="",Setup!$C$28="No"),0,IF(ISNUMBER(O248),O248,IF($T248="Weights",IF(ISNUMBER(Setup!$D$28),Setup!$D$28,0),IF($T248="Nights",IF(ISNUMBER(Setup!$E$28),Setup!$E$28,0),IF(OR($T248="Exact amounts",$T248="Custom units"),0,1))))))</f>
        <v>0</v>
      </c>
      <c r="AC248" s="29">
        <f>IF($T248="",0,IF(OR(Setup!$B$29="",Setup!$C$29="No"),0,IF(ISNUMBER(P248),P248,IF($T248="Weights",IF(ISNUMBER(Setup!$D$29),Setup!$D$29,0),IF($T248="Nights",IF(ISNUMBER(Setup!$E$29),Setup!$E$29,0),IF(OR($T248="Exact amounts",$T248="Custom units"),0,1))))))</f>
        <v>0</v>
      </c>
      <c r="AD248" s="29">
        <f>IF($T248="",0,IF(OR(Setup!$B$30="",Setup!$C$30="No"),0,IF(ISNUMBER(Q248),Q248,IF($T248="Weights",IF(ISNUMBER(Setup!$D$30),Setup!$D$30,0),IF($T248="Nights",IF(ISNUMBER(Setup!$E$30),Setup!$E$30,0),IF(OR($T248="Exact amounts",$T248="Custom units"),0,1))))))</f>
        <v>0</v>
      </c>
      <c r="AE248" s="29">
        <f t="shared" si="13"/>
        <v>0</v>
      </c>
      <c r="AF248" s="30">
        <f t="shared" si="14"/>
        <v>1</v>
      </c>
      <c r="AG248" s="29">
        <f t="shared" si="15"/>
        <v>0</v>
      </c>
    </row>
    <row r="249" spans="1:33" ht="16" x14ac:dyDescent="0.2">
      <c r="A249" s="22" t="str">
        <f t="shared" si="12"/>
        <v>—</v>
      </c>
      <c r="B249" s="31"/>
      <c r="C249" s="11"/>
      <c r="D249" s="11"/>
      <c r="E249" s="32"/>
      <c r="F249" s="11"/>
      <c r="G249" s="11"/>
      <c r="H249" s="33"/>
      <c r="I249" s="33"/>
      <c r="J249" s="33"/>
      <c r="K249" s="33"/>
      <c r="L249" s="33"/>
      <c r="M249" s="33"/>
      <c r="N249" s="33"/>
      <c r="O249" s="33"/>
      <c r="P249" s="33"/>
      <c r="Q249" s="33"/>
      <c r="R249" s="26" t="str">
        <f>IF($T249="","",IF($D249="","Who paid?",IF(SUMPRODUCT((Setup!$B$21:$B$30=$D249)*1)=0,"Payer is not in the member list on Setup",IF($E249="","Amount missing — type the number in column E",IF(NOT(ISNUMBER($E249)),"Amount must be a plain number — no currency symbol, no text",IF(AND($T249="Custom units",$AE249&lt;=0),"Custom units: nobody has units on this row — type a number for at least one person",IF($AE249&lt;=0,"Nobody shares this row — check the person columns H–Q, and the Weight / Nights columns on Setup",IF(AND($T249="Exact amounts",ABS($AE249-$AG249)&gt;0.01),"Exact amounts do not add up to the amount","OK"))))))))</f>
        <v/>
      </c>
      <c r="S249" s="27" t="str">
        <f>IFERROR(IF(OR($T249="",$C$4=""),"—",ROUND($AG249*INDEX($U249:$AD249,1,MATCH($C$4,Setup!$B$21:$B$30,0))/$AF249,2)),"—")</f>
        <v>—</v>
      </c>
      <c r="T249" s="28" t="str">
        <f>IF(AND($C249="",$D249="",NOT(ISNUMBER($E249))),"",IF($G249="",IF(Setup!$C$17="","Equal",Setup!$C$17),$G249))</f>
        <v/>
      </c>
      <c r="U249" s="29">
        <f>IF($T249="",0,IF(OR(Setup!$B$21="",Setup!$C$21="No"),0,IF(ISNUMBER(H249),H249,IF($T249="Weights",IF(ISNUMBER(Setup!$D$21),Setup!$D$21,0),IF($T249="Nights",IF(ISNUMBER(Setup!$E$21),Setup!$E$21,0),IF(OR($T249="Exact amounts",$T249="Custom units"),0,1))))))</f>
        <v>0</v>
      </c>
      <c r="V249" s="29">
        <f>IF($T249="",0,IF(OR(Setup!$B$22="",Setup!$C$22="No"),0,IF(ISNUMBER(I249),I249,IF($T249="Weights",IF(ISNUMBER(Setup!$D$22),Setup!$D$22,0),IF($T249="Nights",IF(ISNUMBER(Setup!$E$22),Setup!$E$22,0),IF(OR($T249="Exact amounts",$T249="Custom units"),0,1))))))</f>
        <v>0</v>
      </c>
      <c r="W249" s="29">
        <f>IF($T249="",0,IF(OR(Setup!$B$23="",Setup!$C$23="No"),0,IF(ISNUMBER(J249),J249,IF($T249="Weights",IF(ISNUMBER(Setup!$D$23),Setup!$D$23,0),IF($T249="Nights",IF(ISNUMBER(Setup!$E$23),Setup!$E$23,0),IF(OR($T249="Exact amounts",$T249="Custom units"),0,1))))))</f>
        <v>0</v>
      </c>
      <c r="X249" s="29">
        <f>IF($T249="",0,IF(OR(Setup!$B$24="",Setup!$C$24="No"),0,IF(ISNUMBER(K249),K249,IF($T249="Weights",IF(ISNUMBER(Setup!$D$24),Setup!$D$24,0),IF($T249="Nights",IF(ISNUMBER(Setup!$E$24),Setup!$E$24,0),IF(OR($T249="Exact amounts",$T249="Custom units"),0,1))))))</f>
        <v>0</v>
      </c>
      <c r="Y249" s="29">
        <f>IF($T249="",0,IF(OR(Setup!$B$25="",Setup!$C$25="No"),0,IF(ISNUMBER(L249),L249,IF($T249="Weights",IF(ISNUMBER(Setup!$D$25),Setup!$D$25,0),IF($T249="Nights",IF(ISNUMBER(Setup!$E$25),Setup!$E$25,0),IF(OR($T249="Exact amounts",$T249="Custom units"),0,1))))))</f>
        <v>0</v>
      </c>
      <c r="Z249" s="29">
        <f>IF($T249="",0,IF(OR(Setup!$B$26="",Setup!$C$26="No"),0,IF(ISNUMBER(M249),M249,IF($T249="Weights",IF(ISNUMBER(Setup!$D$26),Setup!$D$26,0),IF($T249="Nights",IF(ISNUMBER(Setup!$E$26),Setup!$E$26,0),IF(OR($T249="Exact amounts",$T249="Custom units"),0,1))))))</f>
        <v>0</v>
      </c>
      <c r="AA249" s="29">
        <f>IF($T249="",0,IF(OR(Setup!$B$27="",Setup!$C$27="No"),0,IF(ISNUMBER(N249),N249,IF($T249="Weights",IF(ISNUMBER(Setup!$D$27),Setup!$D$27,0),IF($T249="Nights",IF(ISNUMBER(Setup!$E$27),Setup!$E$27,0),IF(OR($T249="Exact amounts",$T249="Custom units"),0,1))))))</f>
        <v>0</v>
      </c>
      <c r="AB249" s="29">
        <f>IF($T249="",0,IF(OR(Setup!$B$28="",Setup!$C$28="No"),0,IF(ISNUMBER(O249),O249,IF($T249="Weights",IF(ISNUMBER(Setup!$D$28),Setup!$D$28,0),IF($T249="Nights",IF(ISNUMBER(Setup!$E$28),Setup!$E$28,0),IF(OR($T249="Exact amounts",$T249="Custom units"),0,1))))))</f>
        <v>0</v>
      </c>
      <c r="AC249" s="29">
        <f>IF($T249="",0,IF(OR(Setup!$B$29="",Setup!$C$29="No"),0,IF(ISNUMBER(P249),P249,IF($T249="Weights",IF(ISNUMBER(Setup!$D$29),Setup!$D$29,0),IF($T249="Nights",IF(ISNUMBER(Setup!$E$29),Setup!$E$29,0),IF(OR($T249="Exact amounts",$T249="Custom units"),0,1))))))</f>
        <v>0</v>
      </c>
      <c r="AD249" s="29">
        <f>IF($T249="",0,IF(OR(Setup!$B$30="",Setup!$C$30="No"),0,IF(ISNUMBER(Q249),Q249,IF($T249="Weights",IF(ISNUMBER(Setup!$D$30),Setup!$D$30,0),IF($T249="Nights",IF(ISNUMBER(Setup!$E$30),Setup!$E$30,0),IF(OR($T249="Exact amounts",$T249="Custom units"),0,1))))))</f>
        <v>0</v>
      </c>
      <c r="AE249" s="29">
        <f t="shared" si="13"/>
        <v>0</v>
      </c>
      <c r="AF249" s="30">
        <f t="shared" si="14"/>
        <v>1</v>
      </c>
      <c r="AG249" s="29">
        <f t="shared" si="15"/>
        <v>0</v>
      </c>
    </row>
    <row r="250" spans="1:33" ht="16" x14ac:dyDescent="0.2">
      <c r="A250" s="22" t="str">
        <f t="shared" si="12"/>
        <v>—</v>
      </c>
      <c r="B250" s="23"/>
      <c r="C250" s="16"/>
      <c r="D250" s="16"/>
      <c r="E250" s="24"/>
      <c r="F250" s="16"/>
      <c r="G250" s="16"/>
      <c r="H250" s="25"/>
      <c r="I250" s="25"/>
      <c r="J250" s="25"/>
      <c r="K250" s="25"/>
      <c r="L250" s="25"/>
      <c r="M250" s="25"/>
      <c r="N250" s="25"/>
      <c r="O250" s="25"/>
      <c r="P250" s="25"/>
      <c r="Q250" s="25"/>
      <c r="R250" s="26" t="str">
        <f>IF($T250="","",IF($D250="","Who paid?",IF(SUMPRODUCT((Setup!$B$21:$B$30=$D250)*1)=0,"Payer is not in the member list on Setup",IF($E250="","Amount missing — type the number in column E",IF(NOT(ISNUMBER($E250)),"Amount must be a plain number — no currency symbol, no text",IF(AND($T250="Custom units",$AE250&lt;=0),"Custom units: nobody has units on this row — type a number for at least one person",IF($AE250&lt;=0,"Nobody shares this row — check the person columns H–Q, and the Weight / Nights columns on Setup",IF(AND($T250="Exact amounts",ABS($AE250-$AG250)&gt;0.01),"Exact amounts do not add up to the amount","OK"))))))))</f>
        <v/>
      </c>
      <c r="S250" s="27" t="str">
        <f>IFERROR(IF(OR($T250="",$C$4=""),"—",ROUND($AG250*INDEX($U250:$AD250,1,MATCH($C$4,Setup!$B$21:$B$30,0))/$AF250,2)),"—")</f>
        <v>—</v>
      </c>
      <c r="T250" s="28" t="str">
        <f>IF(AND($C250="",$D250="",NOT(ISNUMBER($E250))),"",IF($G250="",IF(Setup!$C$17="","Equal",Setup!$C$17),$G250))</f>
        <v/>
      </c>
      <c r="U250" s="29">
        <f>IF($T250="",0,IF(OR(Setup!$B$21="",Setup!$C$21="No"),0,IF(ISNUMBER(H250),H250,IF($T250="Weights",IF(ISNUMBER(Setup!$D$21),Setup!$D$21,0),IF($T250="Nights",IF(ISNUMBER(Setup!$E$21),Setup!$E$21,0),IF(OR($T250="Exact amounts",$T250="Custom units"),0,1))))))</f>
        <v>0</v>
      </c>
      <c r="V250" s="29">
        <f>IF($T250="",0,IF(OR(Setup!$B$22="",Setup!$C$22="No"),0,IF(ISNUMBER(I250),I250,IF($T250="Weights",IF(ISNUMBER(Setup!$D$22),Setup!$D$22,0),IF($T250="Nights",IF(ISNUMBER(Setup!$E$22),Setup!$E$22,0),IF(OR($T250="Exact amounts",$T250="Custom units"),0,1))))))</f>
        <v>0</v>
      </c>
      <c r="W250" s="29">
        <f>IF($T250="",0,IF(OR(Setup!$B$23="",Setup!$C$23="No"),0,IF(ISNUMBER(J250),J250,IF($T250="Weights",IF(ISNUMBER(Setup!$D$23),Setup!$D$23,0),IF($T250="Nights",IF(ISNUMBER(Setup!$E$23),Setup!$E$23,0),IF(OR($T250="Exact amounts",$T250="Custom units"),0,1))))))</f>
        <v>0</v>
      </c>
      <c r="X250" s="29">
        <f>IF($T250="",0,IF(OR(Setup!$B$24="",Setup!$C$24="No"),0,IF(ISNUMBER(K250),K250,IF($T250="Weights",IF(ISNUMBER(Setup!$D$24),Setup!$D$24,0),IF($T250="Nights",IF(ISNUMBER(Setup!$E$24),Setup!$E$24,0),IF(OR($T250="Exact amounts",$T250="Custom units"),0,1))))))</f>
        <v>0</v>
      </c>
      <c r="Y250" s="29">
        <f>IF($T250="",0,IF(OR(Setup!$B$25="",Setup!$C$25="No"),0,IF(ISNUMBER(L250),L250,IF($T250="Weights",IF(ISNUMBER(Setup!$D$25),Setup!$D$25,0),IF($T250="Nights",IF(ISNUMBER(Setup!$E$25),Setup!$E$25,0),IF(OR($T250="Exact amounts",$T250="Custom units"),0,1))))))</f>
        <v>0</v>
      </c>
      <c r="Z250" s="29">
        <f>IF($T250="",0,IF(OR(Setup!$B$26="",Setup!$C$26="No"),0,IF(ISNUMBER(M250),M250,IF($T250="Weights",IF(ISNUMBER(Setup!$D$26),Setup!$D$26,0),IF($T250="Nights",IF(ISNUMBER(Setup!$E$26),Setup!$E$26,0),IF(OR($T250="Exact amounts",$T250="Custom units"),0,1))))))</f>
        <v>0</v>
      </c>
      <c r="AA250" s="29">
        <f>IF($T250="",0,IF(OR(Setup!$B$27="",Setup!$C$27="No"),0,IF(ISNUMBER(N250),N250,IF($T250="Weights",IF(ISNUMBER(Setup!$D$27),Setup!$D$27,0),IF($T250="Nights",IF(ISNUMBER(Setup!$E$27),Setup!$E$27,0),IF(OR($T250="Exact amounts",$T250="Custom units"),0,1))))))</f>
        <v>0</v>
      </c>
      <c r="AB250" s="29">
        <f>IF($T250="",0,IF(OR(Setup!$B$28="",Setup!$C$28="No"),0,IF(ISNUMBER(O250),O250,IF($T250="Weights",IF(ISNUMBER(Setup!$D$28),Setup!$D$28,0),IF($T250="Nights",IF(ISNUMBER(Setup!$E$28),Setup!$E$28,0),IF(OR($T250="Exact amounts",$T250="Custom units"),0,1))))))</f>
        <v>0</v>
      </c>
      <c r="AC250" s="29">
        <f>IF($T250="",0,IF(OR(Setup!$B$29="",Setup!$C$29="No"),0,IF(ISNUMBER(P250),P250,IF($T250="Weights",IF(ISNUMBER(Setup!$D$29),Setup!$D$29,0),IF($T250="Nights",IF(ISNUMBER(Setup!$E$29),Setup!$E$29,0),IF(OR($T250="Exact amounts",$T250="Custom units"),0,1))))))</f>
        <v>0</v>
      </c>
      <c r="AD250" s="29">
        <f>IF($T250="",0,IF(OR(Setup!$B$30="",Setup!$C$30="No"),0,IF(ISNUMBER(Q250),Q250,IF($T250="Weights",IF(ISNUMBER(Setup!$D$30),Setup!$D$30,0),IF($T250="Nights",IF(ISNUMBER(Setup!$E$30),Setup!$E$30,0),IF(OR($T250="Exact amounts",$T250="Custom units"),0,1))))))</f>
        <v>0</v>
      </c>
      <c r="AE250" s="29">
        <f t="shared" si="13"/>
        <v>0</v>
      </c>
      <c r="AF250" s="30">
        <f t="shared" si="14"/>
        <v>1</v>
      </c>
      <c r="AG250" s="29">
        <f t="shared" si="15"/>
        <v>0</v>
      </c>
    </row>
    <row r="251" spans="1:33" ht="16" x14ac:dyDescent="0.2">
      <c r="A251" s="22" t="str">
        <f t="shared" si="12"/>
        <v>—</v>
      </c>
      <c r="B251" s="31"/>
      <c r="C251" s="11"/>
      <c r="D251" s="11"/>
      <c r="E251" s="32"/>
      <c r="F251" s="11"/>
      <c r="G251" s="11"/>
      <c r="H251" s="33"/>
      <c r="I251" s="33"/>
      <c r="J251" s="33"/>
      <c r="K251" s="33"/>
      <c r="L251" s="33"/>
      <c r="M251" s="33"/>
      <c r="N251" s="33"/>
      <c r="O251" s="33"/>
      <c r="P251" s="33"/>
      <c r="Q251" s="33"/>
      <c r="R251" s="26" t="str">
        <f>IF($T251="","",IF($D251="","Who paid?",IF(SUMPRODUCT((Setup!$B$21:$B$30=$D251)*1)=0,"Payer is not in the member list on Setup",IF($E251="","Amount missing — type the number in column E",IF(NOT(ISNUMBER($E251)),"Amount must be a plain number — no currency symbol, no text",IF(AND($T251="Custom units",$AE251&lt;=0),"Custom units: nobody has units on this row — type a number for at least one person",IF($AE251&lt;=0,"Nobody shares this row — check the person columns H–Q, and the Weight / Nights columns on Setup",IF(AND($T251="Exact amounts",ABS($AE251-$AG251)&gt;0.01),"Exact amounts do not add up to the amount","OK"))))))))</f>
        <v/>
      </c>
      <c r="S251" s="27" t="str">
        <f>IFERROR(IF(OR($T251="",$C$4=""),"—",ROUND($AG251*INDEX($U251:$AD251,1,MATCH($C$4,Setup!$B$21:$B$30,0))/$AF251,2)),"—")</f>
        <v>—</v>
      </c>
      <c r="T251" s="28" t="str">
        <f>IF(AND($C251="",$D251="",NOT(ISNUMBER($E251))),"",IF($G251="",IF(Setup!$C$17="","Equal",Setup!$C$17),$G251))</f>
        <v/>
      </c>
      <c r="U251" s="29">
        <f>IF($T251="",0,IF(OR(Setup!$B$21="",Setup!$C$21="No"),0,IF(ISNUMBER(H251),H251,IF($T251="Weights",IF(ISNUMBER(Setup!$D$21),Setup!$D$21,0),IF($T251="Nights",IF(ISNUMBER(Setup!$E$21),Setup!$E$21,0),IF(OR($T251="Exact amounts",$T251="Custom units"),0,1))))))</f>
        <v>0</v>
      </c>
      <c r="V251" s="29">
        <f>IF($T251="",0,IF(OR(Setup!$B$22="",Setup!$C$22="No"),0,IF(ISNUMBER(I251),I251,IF($T251="Weights",IF(ISNUMBER(Setup!$D$22),Setup!$D$22,0),IF($T251="Nights",IF(ISNUMBER(Setup!$E$22),Setup!$E$22,0),IF(OR($T251="Exact amounts",$T251="Custom units"),0,1))))))</f>
        <v>0</v>
      </c>
      <c r="W251" s="29">
        <f>IF($T251="",0,IF(OR(Setup!$B$23="",Setup!$C$23="No"),0,IF(ISNUMBER(J251),J251,IF($T251="Weights",IF(ISNUMBER(Setup!$D$23),Setup!$D$23,0),IF($T251="Nights",IF(ISNUMBER(Setup!$E$23),Setup!$E$23,0),IF(OR($T251="Exact amounts",$T251="Custom units"),0,1))))))</f>
        <v>0</v>
      </c>
      <c r="X251" s="29">
        <f>IF($T251="",0,IF(OR(Setup!$B$24="",Setup!$C$24="No"),0,IF(ISNUMBER(K251),K251,IF($T251="Weights",IF(ISNUMBER(Setup!$D$24),Setup!$D$24,0),IF($T251="Nights",IF(ISNUMBER(Setup!$E$24),Setup!$E$24,0),IF(OR($T251="Exact amounts",$T251="Custom units"),0,1))))))</f>
        <v>0</v>
      </c>
      <c r="Y251" s="29">
        <f>IF($T251="",0,IF(OR(Setup!$B$25="",Setup!$C$25="No"),0,IF(ISNUMBER(L251),L251,IF($T251="Weights",IF(ISNUMBER(Setup!$D$25),Setup!$D$25,0),IF($T251="Nights",IF(ISNUMBER(Setup!$E$25),Setup!$E$25,0),IF(OR($T251="Exact amounts",$T251="Custom units"),0,1))))))</f>
        <v>0</v>
      </c>
      <c r="Z251" s="29">
        <f>IF($T251="",0,IF(OR(Setup!$B$26="",Setup!$C$26="No"),0,IF(ISNUMBER(M251),M251,IF($T251="Weights",IF(ISNUMBER(Setup!$D$26),Setup!$D$26,0),IF($T251="Nights",IF(ISNUMBER(Setup!$E$26),Setup!$E$26,0),IF(OR($T251="Exact amounts",$T251="Custom units"),0,1))))))</f>
        <v>0</v>
      </c>
      <c r="AA251" s="29">
        <f>IF($T251="",0,IF(OR(Setup!$B$27="",Setup!$C$27="No"),0,IF(ISNUMBER(N251),N251,IF($T251="Weights",IF(ISNUMBER(Setup!$D$27),Setup!$D$27,0),IF($T251="Nights",IF(ISNUMBER(Setup!$E$27),Setup!$E$27,0),IF(OR($T251="Exact amounts",$T251="Custom units"),0,1))))))</f>
        <v>0</v>
      </c>
      <c r="AB251" s="29">
        <f>IF($T251="",0,IF(OR(Setup!$B$28="",Setup!$C$28="No"),0,IF(ISNUMBER(O251),O251,IF($T251="Weights",IF(ISNUMBER(Setup!$D$28),Setup!$D$28,0),IF($T251="Nights",IF(ISNUMBER(Setup!$E$28),Setup!$E$28,0),IF(OR($T251="Exact amounts",$T251="Custom units"),0,1))))))</f>
        <v>0</v>
      </c>
      <c r="AC251" s="29">
        <f>IF($T251="",0,IF(OR(Setup!$B$29="",Setup!$C$29="No"),0,IF(ISNUMBER(P251),P251,IF($T251="Weights",IF(ISNUMBER(Setup!$D$29),Setup!$D$29,0),IF($T251="Nights",IF(ISNUMBER(Setup!$E$29),Setup!$E$29,0),IF(OR($T251="Exact amounts",$T251="Custom units"),0,1))))))</f>
        <v>0</v>
      </c>
      <c r="AD251" s="29">
        <f>IF($T251="",0,IF(OR(Setup!$B$30="",Setup!$C$30="No"),0,IF(ISNUMBER(Q251),Q251,IF($T251="Weights",IF(ISNUMBER(Setup!$D$30),Setup!$D$30,0),IF($T251="Nights",IF(ISNUMBER(Setup!$E$30),Setup!$E$30,0),IF(OR($T251="Exact amounts",$T251="Custom units"),0,1))))))</f>
        <v>0</v>
      </c>
      <c r="AE251" s="29">
        <f t="shared" si="13"/>
        <v>0</v>
      </c>
      <c r="AF251" s="30">
        <f t="shared" si="14"/>
        <v>1</v>
      </c>
      <c r="AG251" s="29">
        <f t="shared" si="15"/>
        <v>0</v>
      </c>
    </row>
    <row r="252" spans="1:33" ht="16" x14ac:dyDescent="0.2">
      <c r="A252" s="22" t="str">
        <f t="shared" si="12"/>
        <v>—</v>
      </c>
      <c r="B252" s="23"/>
      <c r="C252" s="16"/>
      <c r="D252" s="16"/>
      <c r="E252" s="24"/>
      <c r="F252" s="16"/>
      <c r="G252" s="16"/>
      <c r="H252" s="25"/>
      <c r="I252" s="25"/>
      <c r="J252" s="25"/>
      <c r="K252" s="25"/>
      <c r="L252" s="25"/>
      <c r="M252" s="25"/>
      <c r="N252" s="25"/>
      <c r="O252" s="25"/>
      <c r="P252" s="25"/>
      <c r="Q252" s="25"/>
      <c r="R252" s="26" t="str">
        <f>IF($T252="","",IF($D252="","Who paid?",IF(SUMPRODUCT((Setup!$B$21:$B$30=$D252)*1)=0,"Payer is not in the member list on Setup",IF($E252="","Amount missing — type the number in column E",IF(NOT(ISNUMBER($E252)),"Amount must be a plain number — no currency symbol, no text",IF(AND($T252="Custom units",$AE252&lt;=0),"Custom units: nobody has units on this row — type a number for at least one person",IF($AE252&lt;=0,"Nobody shares this row — check the person columns H–Q, and the Weight / Nights columns on Setup",IF(AND($T252="Exact amounts",ABS($AE252-$AG252)&gt;0.01),"Exact amounts do not add up to the amount","OK"))))))))</f>
        <v/>
      </c>
      <c r="S252" s="27" t="str">
        <f>IFERROR(IF(OR($T252="",$C$4=""),"—",ROUND($AG252*INDEX($U252:$AD252,1,MATCH($C$4,Setup!$B$21:$B$30,0))/$AF252,2)),"—")</f>
        <v>—</v>
      </c>
      <c r="T252" s="28" t="str">
        <f>IF(AND($C252="",$D252="",NOT(ISNUMBER($E252))),"",IF($G252="",IF(Setup!$C$17="","Equal",Setup!$C$17),$G252))</f>
        <v/>
      </c>
      <c r="U252" s="29">
        <f>IF($T252="",0,IF(OR(Setup!$B$21="",Setup!$C$21="No"),0,IF(ISNUMBER(H252),H252,IF($T252="Weights",IF(ISNUMBER(Setup!$D$21),Setup!$D$21,0),IF($T252="Nights",IF(ISNUMBER(Setup!$E$21),Setup!$E$21,0),IF(OR($T252="Exact amounts",$T252="Custom units"),0,1))))))</f>
        <v>0</v>
      </c>
      <c r="V252" s="29">
        <f>IF($T252="",0,IF(OR(Setup!$B$22="",Setup!$C$22="No"),0,IF(ISNUMBER(I252),I252,IF($T252="Weights",IF(ISNUMBER(Setup!$D$22),Setup!$D$22,0),IF($T252="Nights",IF(ISNUMBER(Setup!$E$22),Setup!$E$22,0),IF(OR($T252="Exact amounts",$T252="Custom units"),0,1))))))</f>
        <v>0</v>
      </c>
      <c r="W252" s="29">
        <f>IF($T252="",0,IF(OR(Setup!$B$23="",Setup!$C$23="No"),0,IF(ISNUMBER(J252),J252,IF($T252="Weights",IF(ISNUMBER(Setup!$D$23),Setup!$D$23,0),IF($T252="Nights",IF(ISNUMBER(Setup!$E$23),Setup!$E$23,0),IF(OR($T252="Exact amounts",$T252="Custom units"),0,1))))))</f>
        <v>0</v>
      </c>
      <c r="X252" s="29">
        <f>IF($T252="",0,IF(OR(Setup!$B$24="",Setup!$C$24="No"),0,IF(ISNUMBER(K252),K252,IF($T252="Weights",IF(ISNUMBER(Setup!$D$24),Setup!$D$24,0),IF($T252="Nights",IF(ISNUMBER(Setup!$E$24),Setup!$E$24,0),IF(OR($T252="Exact amounts",$T252="Custom units"),0,1))))))</f>
        <v>0</v>
      </c>
      <c r="Y252" s="29">
        <f>IF($T252="",0,IF(OR(Setup!$B$25="",Setup!$C$25="No"),0,IF(ISNUMBER(L252),L252,IF($T252="Weights",IF(ISNUMBER(Setup!$D$25),Setup!$D$25,0),IF($T252="Nights",IF(ISNUMBER(Setup!$E$25),Setup!$E$25,0),IF(OR($T252="Exact amounts",$T252="Custom units"),0,1))))))</f>
        <v>0</v>
      </c>
      <c r="Z252" s="29">
        <f>IF($T252="",0,IF(OR(Setup!$B$26="",Setup!$C$26="No"),0,IF(ISNUMBER(M252),M252,IF($T252="Weights",IF(ISNUMBER(Setup!$D$26),Setup!$D$26,0),IF($T252="Nights",IF(ISNUMBER(Setup!$E$26),Setup!$E$26,0),IF(OR($T252="Exact amounts",$T252="Custom units"),0,1))))))</f>
        <v>0</v>
      </c>
      <c r="AA252" s="29">
        <f>IF($T252="",0,IF(OR(Setup!$B$27="",Setup!$C$27="No"),0,IF(ISNUMBER(N252),N252,IF($T252="Weights",IF(ISNUMBER(Setup!$D$27),Setup!$D$27,0),IF($T252="Nights",IF(ISNUMBER(Setup!$E$27),Setup!$E$27,0),IF(OR($T252="Exact amounts",$T252="Custom units"),0,1))))))</f>
        <v>0</v>
      </c>
      <c r="AB252" s="29">
        <f>IF($T252="",0,IF(OR(Setup!$B$28="",Setup!$C$28="No"),0,IF(ISNUMBER(O252),O252,IF($T252="Weights",IF(ISNUMBER(Setup!$D$28),Setup!$D$28,0),IF($T252="Nights",IF(ISNUMBER(Setup!$E$28),Setup!$E$28,0),IF(OR($T252="Exact amounts",$T252="Custom units"),0,1))))))</f>
        <v>0</v>
      </c>
      <c r="AC252" s="29">
        <f>IF($T252="",0,IF(OR(Setup!$B$29="",Setup!$C$29="No"),0,IF(ISNUMBER(P252),P252,IF($T252="Weights",IF(ISNUMBER(Setup!$D$29),Setup!$D$29,0),IF($T252="Nights",IF(ISNUMBER(Setup!$E$29),Setup!$E$29,0),IF(OR($T252="Exact amounts",$T252="Custom units"),0,1))))))</f>
        <v>0</v>
      </c>
      <c r="AD252" s="29">
        <f>IF($T252="",0,IF(OR(Setup!$B$30="",Setup!$C$30="No"),0,IF(ISNUMBER(Q252),Q252,IF($T252="Weights",IF(ISNUMBER(Setup!$D$30),Setup!$D$30,0),IF($T252="Nights",IF(ISNUMBER(Setup!$E$30),Setup!$E$30,0),IF(OR($T252="Exact amounts",$T252="Custom units"),0,1))))))</f>
        <v>0</v>
      </c>
      <c r="AE252" s="29">
        <f t="shared" si="13"/>
        <v>0</v>
      </c>
      <c r="AF252" s="30">
        <f t="shared" si="14"/>
        <v>1</v>
      </c>
      <c r="AG252" s="29">
        <f t="shared" si="15"/>
        <v>0</v>
      </c>
    </row>
    <row r="253" spans="1:33" ht="16" x14ac:dyDescent="0.2">
      <c r="A253" s="22" t="str">
        <f t="shared" si="12"/>
        <v>—</v>
      </c>
      <c r="B253" s="31"/>
      <c r="C253" s="11"/>
      <c r="D253" s="11"/>
      <c r="E253" s="32"/>
      <c r="F253" s="11"/>
      <c r="G253" s="11"/>
      <c r="H253" s="33"/>
      <c r="I253" s="33"/>
      <c r="J253" s="33"/>
      <c r="K253" s="33"/>
      <c r="L253" s="33"/>
      <c r="M253" s="33"/>
      <c r="N253" s="33"/>
      <c r="O253" s="33"/>
      <c r="P253" s="33"/>
      <c r="Q253" s="33"/>
      <c r="R253" s="26" t="str">
        <f>IF($T253="","",IF($D253="","Who paid?",IF(SUMPRODUCT((Setup!$B$21:$B$30=$D253)*1)=0,"Payer is not in the member list on Setup",IF($E253="","Amount missing — type the number in column E",IF(NOT(ISNUMBER($E253)),"Amount must be a plain number — no currency symbol, no text",IF(AND($T253="Custom units",$AE253&lt;=0),"Custom units: nobody has units on this row — type a number for at least one person",IF($AE253&lt;=0,"Nobody shares this row — check the person columns H–Q, and the Weight / Nights columns on Setup",IF(AND($T253="Exact amounts",ABS($AE253-$AG253)&gt;0.01),"Exact amounts do not add up to the amount","OK"))))))))</f>
        <v/>
      </c>
      <c r="S253" s="27" t="str">
        <f>IFERROR(IF(OR($T253="",$C$4=""),"—",ROUND($AG253*INDEX($U253:$AD253,1,MATCH($C$4,Setup!$B$21:$B$30,0))/$AF253,2)),"—")</f>
        <v>—</v>
      </c>
      <c r="T253" s="28" t="str">
        <f>IF(AND($C253="",$D253="",NOT(ISNUMBER($E253))),"",IF($G253="",IF(Setup!$C$17="","Equal",Setup!$C$17),$G253))</f>
        <v/>
      </c>
      <c r="U253" s="29">
        <f>IF($T253="",0,IF(OR(Setup!$B$21="",Setup!$C$21="No"),0,IF(ISNUMBER(H253),H253,IF($T253="Weights",IF(ISNUMBER(Setup!$D$21),Setup!$D$21,0),IF($T253="Nights",IF(ISNUMBER(Setup!$E$21),Setup!$E$21,0),IF(OR($T253="Exact amounts",$T253="Custom units"),0,1))))))</f>
        <v>0</v>
      </c>
      <c r="V253" s="29">
        <f>IF($T253="",0,IF(OR(Setup!$B$22="",Setup!$C$22="No"),0,IF(ISNUMBER(I253),I253,IF($T253="Weights",IF(ISNUMBER(Setup!$D$22),Setup!$D$22,0),IF($T253="Nights",IF(ISNUMBER(Setup!$E$22),Setup!$E$22,0),IF(OR($T253="Exact amounts",$T253="Custom units"),0,1))))))</f>
        <v>0</v>
      </c>
      <c r="W253" s="29">
        <f>IF($T253="",0,IF(OR(Setup!$B$23="",Setup!$C$23="No"),0,IF(ISNUMBER(J253),J253,IF($T253="Weights",IF(ISNUMBER(Setup!$D$23),Setup!$D$23,0),IF($T253="Nights",IF(ISNUMBER(Setup!$E$23),Setup!$E$23,0),IF(OR($T253="Exact amounts",$T253="Custom units"),0,1))))))</f>
        <v>0</v>
      </c>
      <c r="X253" s="29">
        <f>IF($T253="",0,IF(OR(Setup!$B$24="",Setup!$C$24="No"),0,IF(ISNUMBER(K253),K253,IF($T253="Weights",IF(ISNUMBER(Setup!$D$24),Setup!$D$24,0),IF($T253="Nights",IF(ISNUMBER(Setup!$E$24),Setup!$E$24,0),IF(OR($T253="Exact amounts",$T253="Custom units"),0,1))))))</f>
        <v>0</v>
      </c>
      <c r="Y253" s="29">
        <f>IF($T253="",0,IF(OR(Setup!$B$25="",Setup!$C$25="No"),0,IF(ISNUMBER(L253),L253,IF($T253="Weights",IF(ISNUMBER(Setup!$D$25),Setup!$D$25,0),IF($T253="Nights",IF(ISNUMBER(Setup!$E$25),Setup!$E$25,0),IF(OR($T253="Exact amounts",$T253="Custom units"),0,1))))))</f>
        <v>0</v>
      </c>
      <c r="Z253" s="29">
        <f>IF($T253="",0,IF(OR(Setup!$B$26="",Setup!$C$26="No"),0,IF(ISNUMBER(M253),M253,IF($T253="Weights",IF(ISNUMBER(Setup!$D$26),Setup!$D$26,0),IF($T253="Nights",IF(ISNUMBER(Setup!$E$26),Setup!$E$26,0),IF(OR($T253="Exact amounts",$T253="Custom units"),0,1))))))</f>
        <v>0</v>
      </c>
      <c r="AA253" s="29">
        <f>IF($T253="",0,IF(OR(Setup!$B$27="",Setup!$C$27="No"),0,IF(ISNUMBER(N253),N253,IF($T253="Weights",IF(ISNUMBER(Setup!$D$27),Setup!$D$27,0),IF($T253="Nights",IF(ISNUMBER(Setup!$E$27),Setup!$E$27,0),IF(OR($T253="Exact amounts",$T253="Custom units"),0,1))))))</f>
        <v>0</v>
      </c>
      <c r="AB253" s="29">
        <f>IF($T253="",0,IF(OR(Setup!$B$28="",Setup!$C$28="No"),0,IF(ISNUMBER(O253),O253,IF($T253="Weights",IF(ISNUMBER(Setup!$D$28),Setup!$D$28,0),IF($T253="Nights",IF(ISNUMBER(Setup!$E$28),Setup!$E$28,0),IF(OR($T253="Exact amounts",$T253="Custom units"),0,1))))))</f>
        <v>0</v>
      </c>
      <c r="AC253" s="29">
        <f>IF($T253="",0,IF(OR(Setup!$B$29="",Setup!$C$29="No"),0,IF(ISNUMBER(P253),P253,IF($T253="Weights",IF(ISNUMBER(Setup!$D$29),Setup!$D$29,0),IF($T253="Nights",IF(ISNUMBER(Setup!$E$29),Setup!$E$29,0),IF(OR($T253="Exact amounts",$T253="Custom units"),0,1))))))</f>
        <v>0</v>
      </c>
      <c r="AD253" s="29">
        <f>IF($T253="",0,IF(OR(Setup!$B$30="",Setup!$C$30="No"),0,IF(ISNUMBER(Q253),Q253,IF($T253="Weights",IF(ISNUMBER(Setup!$D$30),Setup!$D$30,0),IF($T253="Nights",IF(ISNUMBER(Setup!$E$30),Setup!$E$30,0),IF(OR($T253="Exact amounts",$T253="Custom units"),0,1))))))</f>
        <v>0</v>
      </c>
      <c r="AE253" s="29">
        <f t="shared" si="13"/>
        <v>0</v>
      </c>
      <c r="AF253" s="30">
        <f t="shared" si="14"/>
        <v>1</v>
      </c>
      <c r="AG253" s="29">
        <f t="shared" si="15"/>
        <v>0</v>
      </c>
    </row>
    <row r="254" spans="1:33" ht="16" x14ac:dyDescent="0.2">
      <c r="A254" s="22" t="str">
        <f t="shared" si="12"/>
        <v>—</v>
      </c>
      <c r="B254" s="23"/>
      <c r="C254" s="16"/>
      <c r="D254" s="16"/>
      <c r="E254" s="24"/>
      <c r="F254" s="16"/>
      <c r="G254" s="16"/>
      <c r="H254" s="25"/>
      <c r="I254" s="25"/>
      <c r="J254" s="25"/>
      <c r="K254" s="25"/>
      <c r="L254" s="25"/>
      <c r="M254" s="25"/>
      <c r="N254" s="25"/>
      <c r="O254" s="25"/>
      <c r="P254" s="25"/>
      <c r="Q254" s="25"/>
      <c r="R254" s="26" t="str">
        <f>IF($T254="","",IF($D254="","Who paid?",IF(SUMPRODUCT((Setup!$B$21:$B$30=$D254)*1)=0,"Payer is not in the member list on Setup",IF($E254="","Amount missing — type the number in column E",IF(NOT(ISNUMBER($E254)),"Amount must be a plain number — no currency symbol, no text",IF(AND($T254="Custom units",$AE254&lt;=0),"Custom units: nobody has units on this row — type a number for at least one person",IF($AE254&lt;=0,"Nobody shares this row — check the person columns H–Q, and the Weight / Nights columns on Setup",IF(AND($T254="Exact amounts",ABS($AE254-$AG254)&gt;0.01),"Exact amounts do not add up to the amount","OK"))))))))</f>
        <v/>
      </c>
      <c r="S254" s="27" t="str">
        <f>IFERROR(IF(OR($T254="",$C$4=""),"—",ROUND($AG254*INDEX($U254:$AD254,1,MATCH($C$4,Setup!$B$21:$B$30,0))/$AF254,2)),"—")</f>
        <v>—</v>
      </c>
      <c r="T254" s="28" t="str">
        <f>IF(AND($C254="",$D254="",NOT(ISNUMBER($E254))),"",IF($G254="",IF(Setup!$C$17="","Equal",Setup!$C$17),$G254))</f>
        <v/>
      </c>
      <c r="U254" s="29">
        <f>IF($T254="",0,IF(OR(Setup!$B$21="",Setup!$C$21="No"),0,IF(ISNUMBER(H254),H254,IF($T254="Weights",IF(ISNUMBER(Setup!$D$21),Setup!$D$21,0),IF($T254="Nights",IF(ISNUMBER(Setup!$E$21),Setup!$E$21,0),IF(OR($T254="Exact amounts",$T254="Custom units"),0,1))))))</f>
        <v>0</v>
      </c>
      <c r="V254" s="29">
        <f>IF($T254="",0,IF(OR(Setup!$B$22="",Setup!$C$22="No"),0,IF(ISNUMBER(I254),I254,IF($T254="Weights",IF(ISNUMBER(Setup!$D$22),Setup!$D$22,0),IF($T254="Nights",IF(ISNUMBER(Setup!$E$22),Setup!$E$22,0),IF(OR($T254="Exact amounts",$T254="Custom units"),0,1))))))</f>
        <v>0</v>
      </c>
      <c r="W254" s="29">
        <f>IF($T254="",0,IF(OR(Setup!$B$23="",Setup!$C$23="No"),0,IF(ISNUMBER(J254),J254,IF($T254="Weights",IF(ISNUMBER(Setup!$D$23),Setup!$D$23,0),IF($T254="Nights",IF(ISNUMBER(Setup!$E$23),Setup!$E$23,0),IF(OR($T254="Exact amounts",$T254="Custom units"),0,1))))))</f>
        <v>0</v>
      </c>
      <c r="X254" s="29">
        <f>IF($T254="",0,IF(OR(Setup!$B$24="",Setup!$C$24="No"),0,IF(ISNUMBER(K254),K254,IF($T254="Weights",IF(ISNUMBER(Setup!$D$24),Setup!$D$24,0),IF($T254="Nights",IF(ISNUMBER(Setup!$E$24),Setup!$E$24,0),IF(OR($T254="Exact amounts",$T254="Custom units"),0,1))))))</f>
        <v>0</v>
      </c>
      <c r="Y254" s="29">
        <f>IF($T254="",0,IF(OR(Setup!$B$25="",Setup!$C$25="No"),0,IF(ISNUMBER(L254),L254,IF($T254="Weights",IF(ISNUMBER(Setup!$D$25),Setup!$D$25,0),IF($T254="Nights",IF(ISNUMBER(Setup!$E$25),Setup!$E$25,0),IF(OR($T254="Exact amounts",$T254="Custom units"),0,1))))))</f>
        <v>0</v>
      </c>
      <c r="Z254" s="29">
        <f>IF($T254="",0,IF(OR(Setup!$B$26="",Setup!$C$26="No"),0,IF(ISNUMBER(M254),M254,IF($T254="Weights",IF(ISNUMBER(Setup!$D$26),Setup!$D$26,0),IF($T254="Nights",IF(ISNUMBER(Setup!$E$26),Setup!$E$26,0),IF(OR($T254="Exact amounts",$T254="Custom units"),0,1))))))</f>
        <v>0</v>
      </c>
      <c r="AA254" s="29">
        <f>IF($T254="",0,IF(OR(Setup!$B$27="",Setup!$C$27="No"),0,IF(ISNUMBER(N254),N254,IF($T254="Weights",IF(ISNUMBER(Setup!$D$27),Setup!$D$27,0),IF($T254="Nights",IF(ISNUMBER(Setup!$E$27),Setup!$E$27,0),IF(OR($T254="Exact amounts",$T254="Custom units"),0,1))))))</f>
        <v>0</v>
      </c>
      <c r="AB254" s="29">
        <f>IF($T254="",0,IF(OR(Setup!$B$28="",Setup!$C$28="No"),0,IF(ISNUMBER(O254),O254,IF($T254="Weights",IF(ISNUMBER(Setup!$D$28),Setup!$D$28,0),IF($T254="Nights",IF(ISNUMBER(Setup!$E$28),Setup!$E$28,0),IF(OR($T254="Exact amounts",$T254="Custom units"),0,1))))))</f>
        <v>0</v>
      </c>
      <c r="AC254" s="29">
        <f>IF($T254="",0,IF(OR(Setup!$B$29="",Setup!$C$29="No"),0,IF(ISNUMBER(P254),P254,IF($T254="Weights",IF(ISNUMBER(Setup!$D$29),Setup!$D$29,0),IF($T254="Nights",IF(ISNUMBER(Setup!$E$29),Setup!$E$29,0),IF(OR($T254="Exact amounts",$T254="Custom units"),0,1))))))</f>
        <v>0</v>
      </c>
      <c r="AD254" s="29">
        <f>IF($T254="",0,IF(OR(Setup!$B$30="",Setup!$C$30="No"),0,IF(ISNUMBER(Q254),Q254,IF($T254="Weights",IF(ISNUMBER(Setup!$D$30),Setup!$D$30,0),IF($T254="Nights",IF(ISNUMBER(Setup!$E$30),Setup!$E$30,0),IF(OR($T254="Exact amounts",$T254="Custom units"),0,1))))))</f>
        <v>0</v>
      </c>
      <c r="AE254" s="29">
        <f t="shared" si="13"/>
        <v>0</v>
      </c>
      <c r="AF254" s="30">
        <f t="shared" si="14"/>
        <v>1</v>
      </c>
      <c r="AG254" s="29">
        <f t="shared" si="15"/>
        <v>0</v>
      </c>
    </row>
    <row r="255" spans="1:33" ht="16" x14ac:dyDescent="0.2">
      <c r="A255" s="22" t="str">
        <f t="shared" si="12"/>
        <v>—</v>
      </c>
      <c r="B255" s="31"/>
      <c r="C255" s="11"/>
      <c r="D255" s="11"/>
      <c r="E255" s="32"/>
      <c r="F255" s="11"/>
      <c r="G255" s="11"/>
      <c r="H255" s="33"/>
      <c r="I255" s="33"/>
      <c r="J255" s="33"/>
      <c r="K255" s="33"/>
      <c r="L255" s="33"/>
      <c r="M255" s="33"/>
      <c r="N255" s="33"/>
      <c r="O255" s="33"/>
      <c r="P255" s="33"/>
      <c r="Q255" s="33"/>
      <c r="R255" s="26" t="str">
        <f>IF($T255="","",IF($D255="","Who paid?",IF(SUMPRODUCT((Setup!$B$21:$B$30=$D255)*1)=0,"Payer is not in the member list on Setup",IF($E255="","Amount missing — type the number in column E",IF(NOT(ISNUMBER($E255)),"Amount must be a plain number — no currency symbol, no text",IF(AND($T255="Custom units",$AE255&lt;=0),"Custom units: nobody has units on this row — type a number for at least one person",IF($AE255&lt;=0,"Nobody shares this row — check the person columns H–Q, and the Weight / Nights columns on Setup",IF(AND($T255="Exact amounts",ABS($AE255-$AG255)&gt;0.01),"Exact amounts do not add up to the amount","OK"))))))))</f>
        <v/>
      </c>
      <c r="S255" s="27" t="str">
        <f>IFERROR(IF(OR($T255="",$C$4=""),"—",ROUND($AG255*INDEX($U255:$AD255,1,MATCH($C$4,Setup!$B$21:$B$30,0))/$AF255,2)),"—")</f>
        <v>—</v>
      </c>
      <c r="T255" s="28" t="str">
        <f>IF(AND($C255="",$D255="",NOT(ISNUMBER($E255))),"",IF($G255="",IF(Setup!$C$17="","Equal",Setup!$C$17),$G255))</f>
        <v/>
      </c>
      <c r="U255" s="29">
        <f>IF($T255="",0,IF(OR(Setup!$B$21="",Setup!$C$21="No"),0,IF(ISNUMBER(H255),H255,IF($T255="Weights",IF(ISNUMBER(Setup!$D$21),Setup!$D$21,0),IF($T255="Nights",IF(ISNUMBER(Setup!$E$21),Setup!$E$21,0),IF(OR($T255="Exact amounts",$T255="Custom units"),0,1))))))</f>
        <v>0</v>
      </c>
      <c r="V255" s="29">
        <f>IF($T255="",0,IF(OR(Setup!$B$22="",Setup!$C$22="No"),0,IF(ISNUMBER(I255),I255,IF($T255="Weights",IF(ISNUMBER(Setup!$D$22),Setup!$D$22,0),IF($T255="Nights",IF(ISNUMBER(Setup!$E$22),Setup!$E$22,0),IF(OR($T255="Exact amounts",$T255="Custom units"),0,1))))))</f>
        <v>0</v>
      </c>
      <c r="W255" s="29">
        <f>IF($T255="",0,IF(OR(Setup!$B$23="",Setup!$C$23="No"),0,IF(ISNUMBER(J255),J255,IF($T255="Weights",IF(ISNUMBER(Setup!$D$23),Setup!$D$23,0),IF($T255="Nights",IF(ISNUMBER(Setup!$E$23),Setup!$E$23,0),IF(OR($T255="Exact amounts",$T255="Custom units"),0,1))))))</f>
        <v>0</v>
      </c>
      <c r="X255" s="29">
        <f>IF($T255="",0,IF(OR(Setup!$B$24="",Setup!$C$24="No"),0,IF(ISNUMBER(K255),K255,IF($T255="Weights",IF(ISNUMBER(Setup!$D$24),Setup!$D$24,0),IF($T255="Nights",IF(ISNUMBER(Setup!$E$24),Setup!$E$24,0),IF(OR($T255="Exact amounts",$T255="Custom units"),0,1))))))</f>
        <v>0</v>
      </c>
      <c r="Y255" s="29">
        <f>IF($T255="",0,IF(OR(Setup!$B$25="",Setup!$C$25="No"),0,IF(ISNUMBER(L255),L255,IF($T255="Weights",IF(ISNUMBER(Setup!$D$25),Setup!$D$25,0),IF($T255="Nights",IF(ISNUMBER(Setup!$E$25),Setup!$E$25,0),IF(OR($T255="Exact amounts",$T255="Custom units"),0,1))))))</f>
        <v>0</v>
      </c>
      <c r="Z255" s="29">
        <f>IF($T255="",0,IF(OR(Setup!$B$26="",Setup!$C$26="No"),0,IF(ISNUMBER(M255),M255,IF($T255="Weights",IF(ISNUMBER(Setup!$D$26),Setup!$D$26,0),IF($T255="Nights",IF(ISNUMBER(Setup!$E$26),Setup!$E$26,0),IF(OR($T255="Exact amounts",$T255="Custom units"),0,1))))))</f>
        <v>0</v>
      </c>
      <c r="AA255" s="29">
        <f>IF($T255="",0,IF(OR(Setup!$B$27="",Setup!$C$27="No"),0,IF(ISNUMBER(N255),N255,IF($T255="Weights",IF(ISNUMBER(Setup!$D$27),Setup!$D$27,0),IF($T255="Nights",IF(ISNUMBER(Setup!$E$27),Setup!$E$27,0),IF(OR($T255="Exact amounts",$T255="Custom units"),0,1))))))</f>
        <v>0</v>
      </c>
      <c r="AB255" s="29">
        <f>IF($T255="",0,IF(OR(Setup!$B$28="",Setup!$C$28="No"),0,IF(ISNUMBER(O255),O255,IF($T255="Weights",IF(ISNUMBER(Setup!$D$28),Setup!$D$28,0),IF($T255="Nights",IF(ISNUMBER(Setup!$E$28),Setup!$E$28,0),IF(OR($T255="Exact amounts",$T255="Custom units"),0,1))))))</f>
        <v>0</v>
      </c>
      <c r="AC255" s="29">
        <f>IF($T255="",0,IF(OR(Setup!$B$29="",Setup!$C$29="No"),0,IF(ISNUMBER(P255),P255,IF($T255="Weights",IF(ISNUMBER(Setup!$D$29),Setup!$D$29,0),IF($T255="Nights",IF(ISNUMBER(Setup!$E$29),Setup!$E$29,0),IF(OR($T255="Exact amounts",$T255="Custom units"),0,1))))))</f>
        <v>0</v>
      </c>
      <c r="AD255" s="29">
        <f>IF($T255="",0,IF(OR(Setup!$B$30="",Setup!$C$30="No"),0,IF(ISNUMBER(Q255),Q255,IF($T255="Weights",IF(ISNUMBER(Setup!$D$30),Setup!$D$30,0),IF($T255="Nights",IF(ISNUMBER(Setup!$E$30),Setup!$E$30,0),IF(OR($T255="Exact amounts",$T255="Custom units"),0,1))))))</f>
        <v>0</v>
      </c>
      <c r="AE255" s="29">
        <f t="shared" si="13"/>
        <v>0</v>
      </c>
      <c r="AF255" s="30">
        <f t="shared" si="14"/>
        <v>1</v>
      </c>
      <c r="AG255" s="29">
        <f t="shared" si="15"/>
        <v>0</v>
      </c>
    </row>
    <row r="256" spans="1:33" ht="16" x14ac:dyDescent="0.2">
      <c r="A256" s="22" t="str">
        <f t="shared" si="12"/>
        <v>—</v>
      </c>
      <c r="B256" s="23"/>
      <c r="C256" s="16"/>
      <c r="D256" s="16"/>
      <c r="E256" s="24"/>
      <c r="F256" s="16"/>
      <c r="G256" s="16"/>
      <c r="H256" s="25"/>
      <c r="I256" s="25"/>
      <c r="J256" s="25"/>
      <c r="K256" s="25"/>
      <c r="L256" s="25"/>
      <c r="M256" s="25"/>
      <c r="N256" s="25"/>
      <c r="O256" s="25"/>
      <c r="P256" s="25"/>
      <c r="Q256" s="25"/>
      <c r="R256" s="26" t="str">
        <f>IF($T256="","",IF($D256="","Who paid?",IF(SUMPRODUCT((Setup!$B$21:$B$30=$D256)*1)=0,"Payer is not in the member list on Setup",IF($E256="","Amount missing — type the number in column E",IF(NOT(ISNUMBER($E256)),"Amount must be a plain number — no currency symbol, no text",IF(AND($T256="Custom units",$AE256&lt;=0),"Custom units: nobody has units on this row — type a number for at least one person",IF($AE256&lt;=0,"Nobody shares this row — check the person columns H–Q, and the Weight / Nights columns on Setup",IF(AND($T256="Exact amounts",ABS($AE256-$AG256)&gt;0.01),"Exact amounts do not add up to the amount","OK"))))))))</f>
        <v/>
      </c>
      <c r="S256" s="27" t="str">
        <f>IFERROR(IF(OR($T256="",$C$4=""),"—",ROUND($AG256*INDEX($U256:$AD256,1,MATCH($C$4,Setup!$B$21:$B$30,0))/$AF256,2)),"—")</f>
        <v>—</v>
      </c>
      <c r="T256" s="28" t="str">
        <f>IF(AND($C256="",$D256="",NOT(ISNUMBER($E256))),"",IF($G256="",IF(Setup!$C$17="","Equal",Setup!$C$17),$G256))</f>
        <v/>
      </c>
      <c r="U256" s="29">
        <f>IF($T256="",0,IF(OR(Setup!$B$21="",Setup!$C$21="No"),0,IF(ISNUMBER(H256),H256,IF($T256="Weights",IF(ISNUMBER(Setup!$D$21),Setup!$D$21,0),IF($T256="Nights",IF(ISNUMBER(Setup!$E$21),Setup!$E$21,0),IF(OR($T256="Exact amounts",$T256="Custom units"),0,1))))))</f>
        <v>0</v>
      </c>
      <c r="V256" s="29">
        <f>IF($T256="",0,IF(OR(Setup!$B$22="",Setup!$C$22="No"),0,IF(ISNUMBER(I256),I256,IF($T256="Weights",IF(ISNUMBER(Setup!$D$22),Setup!$D$22,0),IF($T256="Nights",IF(ISNUMBER(Setup!$E$22),Setup!$E$22,0),IF(OR($T256="Exact amounts",$T256="Custom units"),0,1))))))</f>
        <v>0</v>
      </c>
      <c r="W256" s="29">
        <f>IF($T256="",0,IF(OR(Setup!$B$23="",Setup!$C$23="No"),0,IF(ISNUMBER(J256),J256,IF($T256="Weights",IF(ISNUMBER(Setup!$D$23),Setup!$D$23,0),IF($T256="Nights",IF(ISNUMBER(Setup!$E$23),Setup!$E$23,0),IF(OR($T256="Exact amounts",$T256="Custom units"),0,1))))))</f>
        <v>0</v>
      </c>
      <c r="X256" s="29">
        <f>IF($T256="",0,IF(OR(Setup!$B$24="",Setup!$C$24="No"),0,IF(ISNUMBER(K256),K256,IF($T256="Weights",IF(ISNUMBER(Setup!$D$24),Setup!$D$24,0),IF($T256="Nights",IF(ISNUMBER(Setup!$E$24),Setup!$E$24,0),IF(OR($T256="Exact amounts",$T256="Custom units"),0,1))))))</f>
        <v>0</v>
      </c>
      <c r="Y256" s="29">
        <f>IF($T256="",0,IF(OR(Setup!$B$25="",Setup!$C$25="No"),0,IF(ISNUMBER(L256),L256,IF($T256="Weights",IF(ISNUMBER(Setup!$D$25),Setup!$D$25,0),IF($T256="Nights",IF(ISNUMBER(Setup!$E$25),Setup!$E$25,0),IF(OR($T256="Exact amounts",$T256="Custom units"),0,1))))))</f>
        <v>0</v>
      </c>
      <c r="Z256" s="29">
        <f>IF($T256="",0,IF(OR(Setup!$B$26="",Setup!$C$26="No"),0,IF(ISNUMBER(M256),M256,IF($T256="Weights",IF(ISNUMBER(Setup!$D$26),Setup!$D$26,0),IF($T256="Nights",IF(ISNUMBER(Setup!$E$26),Setup!$E$26,0),IF(OR($T256="Exact amounts",$T256="Custom units"),0,1))))))</f>
        <v>0</v>
      </c>
      <c r="AA256" s="29">
        <f>IF($T256="",0,IF(OR(Setup!$B$27="",Setup!$C$27="No"),0,IF(ISNUMBER(N256),N256,IF($T256="Weights",IF(ISNUMBER(Setup!$D$27),Setup!$D$27,0),IF($T256="Nights",IF(ISNUMBER(Setup!$E$27),Setup!$E$27,0),IF(OR($T256="Exact amounts",$T256="Custom units"),0,1))))))</f>
        <v>0</v>
      </c>
      <c r="AB256" s="29">
        <f>IF($T256="",0,IF(OR(Setup!$B$28="",Setup!$C$28="No"),0,IF(ISNUMBER(O256),O256,IF($T256="Weights",IF(ISNUMBER(Setup!$D$28),Setup!$D$28,0),IF($T256="Nights",IF(ISNUMBER(Setup!$E$28),Setup!$E$28,0),IF(OR($T256="Exact amounts",$T256="Custom units"),0,1))))))</f>
        <v>0</v>
      </c>
      <c r="AC256" s="29">
        <f>IF($T256="",0,IF(OR(Setup!$B$29="",Setup!$C$29="No"),0,IF(ISNUMBER(P256),P256,IF($T256="Weights",IF(ISNUMBER(Setup!$D$29),Setup!$D$29,0),IF($T256="Nights",IF(ISNUMBER(Setup!$E$29),Setup!$E$29,0),IF(OR($T256="Exact amounts",$T256="Custom units"),0,1))))))</f>
        <v>0</v>
      </c>
      <c r="AD256" s="29">
        <f>IF($T256="",0,IF(OR(Setup!$B$30="",Setup!$C$30="No"),0,IF(ISNUMBER(Q256),Q256,IF($T256="Weights",IF(ISNUMBER(Setup!$D$30),Setup!$D$30,0),IF($T256="Nights",IF(ISNUMBER(Setup!$E$30),Setup!$E$30,0),IF(OR($T256="Exact amounts",$T256="Custom units"),0,1))))))</f>
        <v>0</v>
      </c>
      <c r="AE256" s="29">
        <f t="shared" si="13"/>
        <v>0</v>
      </c>
      <c r="AF256" s="30">
        <f t="shared" si="14"/>
        <v>1</v>
      </c>
      <c r="AG256" s="29">
        <f t="shared" si="15"/>
        <v>0</v>
      </c>
    </row>
    <row r="257" spans="1:33" ht="16" x14ac:dyDescent="0.2">
      <c r="A257" s="22" t="str">
        <f t="shared" si="12"/>
        <v>—</v>
      </c>
      <c r="B257" s="31"/>
      <c r="C257" s="11"/>
      <c r="D257" s="11"/>
      <c r="E257" s="32"/>
      <c r="F257" s="11"/>
      <c r="G257" s="11"/>
      <c r="H257" s="33"/>
      <c r="I257" s="33"/>
      <c r="J257" s="33"/>
      <c r="K257" s="33"/>
      <c r="L257" s="33"/>
      <c r="M257" s="33"/>
      <c r="N257" s="33"/>
      <c r="O257" s="33"/>
      <c r="P257" s="33"/>
      <c r="Q257" s="33"/>
      <c r="R257" s="26" t="str">
        <f>IF($T257="","",IF($D257="","Who paid?",IF(SUMPRODUCT((Setup!$B$21:$B$30=$D257)*1)=0,"Payer is not in the member list on Setup",IF($E257="","Amount missing — type the number in column E",IF(NOT(ISNUMBER($E257)),"Amount must be a plain number — no currency symbol, no text",IF(AND($T257="Custom units",$AE257&lt;=0),"Custom units: nobody has units on this row — type a number for at least one person",IF($AE257&lt;=0,"Nobody shares this row — check the person columns H–Q, and the Weight / Nights columns on Setup",IF(AND($T257="Exact amounts",ABS($AE257-$AG257)&gt;0.01),"Exact amounts do not add up to the amount","OK"))))))))</f>
        <v/>
      </c>
      <c r="S257" s="27" t="str">
        <f>IFERROR(IF(OR($T257="",$C$4=""),"—",ROUND($AG257*INDEX($U257:$AD257,1,MATCH($C$4,Setup!$B$21:$B$30,0))/$AF257,2)),"—")</f>
        <v>—</v>
      </c>
      <c r="T257" s="28" t="str">
        <f>IF(AND($C257="",$D257="",NOT(ISNUMBER($E257))),"",IF($G257="",IF(Setup!$C$17="","Equal",Setup!$C$17),$G257))</f>
        <v/>
      </c>
      <c r="U257" s="29">
        <f>IF($T257="",0,IF(OR(Setup!$B$21="",Setup!$C$21="No"),0,IF(ISNUMBER(H257),H257,IF($T257="Weights",IF(ISNUMBER(Setup!$D$21),Setup!$D$21,0),IF($T257="Nights",IF(ISNUMBER(Setup!$E$21),Setup!$E$21,0),IF(OR($T257="Exact amounts",$T257="Custom units"),0,1))))))</f>
        <v>0</v>
      </c>
      <c r="V257" s="29">
        <f>IF($T257="",0,IF(OR(Setup!$B$22="",Setup!$C$22="No"),0,IF(ISNUMBER(I257),I257,IF($T257="Weights",IF(ISNUMBER(Setup!$D$22),Setup!$D$22,0),IF($T257="Nights",IF(ISNUMBER(Setup!$E$22),Setup!$E$22,0),IF(OR($T257="Exact amounts",$T257="Custom units"),0,1))))))</f>
        <v>0</v>
      </c>
      <c r="W257" s="29">
        <f>IF($T257="",0,IF(OR(Setup!$B$23="",Setup!$C$23="No"),0,IF(ISNUMBER(J257),J257,IF($T257="Weights",IF(ISNUMBER(Setup!$D$23),Setup!$D$23,0),IF($T257="Nights",IF(ISNUMBER(Setup!$E$23),Setup!$E$23,0),IF(OR($T257="Exact amounts",$T257="Custom units"),0,1))))))</f>
        <v>0</v>
      </c>
      <c r="X257" s="29">
        <f>IF($T257="",0,IF(OR(Setup!$B$24="",Setup!$C$24="No"),0,IF(ISNUMBER(K257),K257,IF($T257="Weights",IF(ISNUMBER(Setup!$D$24),Setup!$D$24,0),IF($T257="Nights",IF(ISNUMBER(Setup!$E$24),Setup!$E$24,0),IF(OR($T257="Exact amounts",$T257="Custom units"),0,1))))))</f>
        <v>0</v>
      </c>
      <c r="Y257" s="29">
        <f>IF($T257="",0,IF(OR(Setup!$B$25="",Setup!$C$25="No"),0,IF(ISNUMBER(L257),L257,IF($T257="Weights",IF(ISNUMBER(Setup!$D$25),Setup!$D$25,0),IF($T257="Nights",IF(ISNUMBER(Setup!$E$25),Setup!$E$25,0),IF(OR($T257="Exact amounts",$T257="Custom units"),0,1))))))</f>
        <v>0</v>
      </c>
      <c r="Z257" s="29">
        <f>IF($T257="",0,IF(OR(Setup!$B$26="",Setup!$C$26="No"),0,IF(ISNUMBER(M257),M257,IF($T257="Weights",IF(ISNUMBER(Setup!$D$26),Setup!$D$26,0),IF($T257="Nights",IF(ISNUMBER(Setup!$E$26),Setup!$E$26,0),IF(OR($T257="Exact amounts",$T257="Custom units"),0,1))))))</f>
        <v>0</v>
      </c>
      <c r="AA257" s="29">
        <f>IF($T257="",0,IF(OR(Setup!$B$27="",Setup!$C$27="No"),0,IF(ISNUMBER(N257),N257,IF($T257="Weights",IF(ISNUMBER(Setup!$D$27),Setup!$D$27,0),IF($T257="Nights",IF(ISNUMBER(Setup!$E$27),Setup!$E$27,0),IF(OR($T257="Exact amounts",$T257="Custom units"),0,1))))))</f>
        <v>0</v>
      </c>
      <c r="AB257" s="29">
        <f>IF($T257="",0,IF(OR(Setup!$B$28="",Setup!$C$28="No"),0,IF(ISNUMBER(O257),O257,IF($T257="Weights",IF(ISNUMBER(Setup!$D$28),Setup!$D$28,0),IF($T257="Nights",IF(ISNUMBER(Setup!$E$28),Setup!$E$28,0),IF(OR($T257="Exact amounts",$T257="Custom units"),0,1))))))</f>
        <v>0</v>
      </c>
      <c r="AC257" s="29">
        <f>IF($T257="",0,IF(OR(Setup!$B$29="",Setup!$C$29="No"),0,IF(ISNUMBER(P257),P257,IF($T257="Weights",IF(ISNUMBER(Setup!$D$29),Setup!$D$29,0),IF($T257="Nights",IF(ISNUMBER(Setup!$E$29),Setup!$E$29,0),IF(OR($T257="Exact amounts",$T257="Custom units"),0,1))))))</f>
        <v>0</v>
      </c>
      <c r="AD257" s="29">
        <f>IF($T257="",0,IF(OR(Setup!$B$30="",Setup!$C$30="No"),0,IF(ISNUMBER(Q257),Q257,IF($T257="Weights",IF(ISNUMBER(Setup!$D$30),Setup!$D$30,0),IF($T257="Nights",IF(ISNUMBER(Setup!$E$30),Setup!$E$30,0),IF(OR($T257="Exact amounts",$T257="Custom units"),0,1))))))</f>
        <v>0</v>
      </c>
      <c r="AE257" s="29">
        <f t="shared" si="13"/>
        <v>0</v>
      </c>
      <c r="AF257" s="30">
        <f t="shared" si="14"/>
        <v>1</v>
      </c>
      <c r="AG257" s="29">
        <f t="shared" si="15"/>
        <v>0</v>
      </c>
    </row>
    <row r="258" spans="1:33" ht="16" x14ac:dyDescent="0.2">
      <c r="A258" s="22" t="str">
        <f t="shared" si="12"/>
        <v>—</v>
      </c>
      <c r="B258" s="23"/>
      <c r="C258" s="16"/>
      <c r="D258" s="16"/>
      <c r="E258" s="24"/>
      <c r="F258" s="16"/>
      <c r="G258" s="16"/>
      <c r="H258" s="25"/>
      <c r="I258" s="25"/>
      <c r="J258" s="25"/>
      <c r="K258" s="25"/>
      <c r="L258" s="25"/>
      <c r="M258" s="25"/>
      <c r="N258" s="25"/>
      <c r="O258" s="25"/>
      <c r="P258" s="25"/>
      <c r="Q258" s="25"/>
      <c r="R258" s="26" t="str">
        <f>IF($T258="","",IF($D258="","Who paid?",IF(SUMPRODUCT((Setup!$B$21:$B$30=$D258)*1)=0,"Payer is not in the member list on Setup",IF($E258="","Amount missing — type the number in column E",IF(NOT(ISNUMBER($E258)),"Amount must be a plain number — no currency symbol, no text",IF(AND($T258="Custom units",$AE258&lt;=0),"Custom units: nobody has units on this row — type a number for at least one person",IF($AE258&lt;=0,"Nobody shares this row — check the person columns H–Q, and the Weight / Nights columns on Setup",IF(AND($T258="Exact amounts",ABS($AE258-$AG258)&gt;0.01),"Exact amounts do not add up to the amount","OK"))))))))</f>
        <v/>
      </c>
      <c r="S258" s="27" t="str">
        <f>IFERROR(IF(OR($T258="",$C$4=""),"—",ROUND($AG258*INDEX($U258:$AD258,1,MATCH($C$4,Setup!$B$21:$B$30,0))/$AF258,2)),"—")</f>
        <v>—</v>
      </c>
      <c r="T258" s="28" t="str">
        <f>IF(AND($C258="",$D258="",NOT(ISNUMBER($E258))),"",IF($G258="",IF(Setup!$C$17="","Equal",Setup!$C$17),$G258))</f>
        <v/>
      </c>
      <c r="U258" s="29">
        <f>IF($T258="",0,IF(OR(Setup!$B$21="",Setup!$C$21="No"),0,IF(ISNUMBER(H258),H258,IF($T258="Weights",IF(ISNUMBER(Setup!$D$21),Setup!$D$21,0),IF($T258="Nights",IF(ISNUMBER(Setup!$E$21),Setup!$E$21,0),IF(OR($T258="Exact amounts",$T258="Custom units"),0,1))))))</f>
        <v>0</v>
      </c>
      <c r="V258" s="29">
        <f>IF($T258="",0,IF(OR(Setup!$B$22="",Setup!$C$22="No"),0,IF(ISNUMBER(I258),I258,IF($T258="Weights",IF(ISNUMBER(Setup!$D$22),Setup!$D$22,0),IF($T258="Nights",IF(ISNUMBER(Setup!$E$22),Setup!$E$22,0),IF(OR($T258="Exact amounts",$T258="Custom units"),0,1))))))</f>
        <v>0</v>
      </c>
      <c r="W258" s="29">
        <f>IF($T258="",0,IF(OR(Setup!$B$23="",Setup!$C$23="No"),0,IF(ISNUMBER(J258),J258,IF($T258="Weights",IF(ISNUMBER(Setup!$D$23),Setup!$D$23,0),IF($T258="Nights",IF(ISNUMBER(Setup!$E$23),Setup!$E$23,0),IF(OR($T258="Exact amounts",$T258="Custom units"),0,1))))))</f>
        <v>0</v>
      </c>
      <c r="X258" s="29">
        <f>IF($T258="",0,IF(OR(Setup!$B$24="",Setup!$C$24="No"),0,IF(ISNUMBER(K258),K258,IF($T258="Weights",IF(ISNUMBER(Setup!$D$24),Setup!$D$24,0),IF($T258="Nights",IF(ISNUMBER(Setup!$E$24),Setup!$E$24,0),IF(OR($T258="Exact amounts",$T258="Custom units"),0,1))))))</f>
        <v>0</v>
      </c>
      <c r="Y258" s="29">
        <f>IF($T258="",0,IF(OR(Setup!$B$25="",Setup!$C$25="No"),0,IF(ISNUMBER(L258),L258,IF($T258="Weights",IF(ISNUMBER(Setup!$D$25),Setup!$D$25,0),IF($T258="Nights",IF(ISNUMBER(Setup!$E$25),Setup!$E$25,0),IF(OR($T258="Exact amounts",$T258="Custom units"),0,1))))))</f>
        <v>0</v>
      </c>
      <c r="Z258" s="29">
        <f>IF($T258="",0,IF(OR(Setup!$B$26="",Setup!$C$26="No"),0,IF(ISNUMBER(M258),M258,IF($T258="Weights",IF(ISNUMBER(Setup!$D$26),Setup!$D$26,0),IF($T258="Nights",IF(ISNUMBER(Setup!$E$26),Setup!$E$26,0),IF(OR($T258="Exact amounts",$T258="Custom units"),0,1))))))</f>
        <v>0</v>
      </c>
      <c r="AA258" s="29">
        <f>IF($T258="",0,IF(OR(Setup!$B$27="",Setup!$C$27="No"),0,IF(ISNUMBER(N258),N258,IF($T258="Weights",IF(ISNUMBER(Setup!$D$27),Setup!$D$27,0),IF($T258="Nights",IF(ISNUMBER(Setup!$E$27),Setup!$E$27,0),IF(OR($T258="Exact amounts",$T258="Custom units"),0,1))))))</f>
        <v>0</v>
      </c>
      <c r="AB258" s="29">
        <f>IF($T258="",0,IF(OR(Setup!$B$28="",Setup!$C$28="No"),0,IF(ISNUMBER(O258),O258,IF($T258="Weights",IF(ISNUMBER(Setup!$D$28),Setup!$D$28,0),IF($T258="Nights",IF(ISNUMBER(Setup!$E$28),Setup!$E$28,0),IF(OR($T258="Exact amounts",$T258="Custom units"),0,1))))))</f>
        <v>0</v>
      </c>
      <c r="AC258" s="29">
        <f>IF($T258="",0,IF(OR(Setup!$B$29="",Setup!$C$29="No"),0,IF(ISNUMBER(P258),P258,IF($T258="Weights",IF(ISNUMBER(Setup!$D$29),Setup!$D$29,0),IF($T258="Nights",IF(ISNUMBER(Setup!$E$29),Setup!$E$29,0),IF(OR($T258="Exact amounts",$T258="Custom units"),0,1))))))</f>
        <v>0</v>
      </c>
      <c r="AD258" s="29">
        <f>IF($T258="",0,IF(OR(Setup!$B$30="",Setup!$C$30="No"),0,IF(ISNUMBER(Q258),Q258,IF($T258="Weights",IF(ISNUMBER(Setup!$D$30),Setup!$D$30,0),IF($T258="Nights",IF(ISNUMBER(Setup!$E$30),Setup!$E$30,0),IF(OR($T258="Exact amounts",$T258="Custom units"),0,1))))))</f>
        <v>0</v>
      </c>
      <c r="AE258" s="29">
        <f t="shared" si="13"/>
        <v>0</v>
      </c>
      <c r="AF258" s="30">
        <f t="shared" si="14"/>
        <v>1</v>
      </c>
      <c r="AG258" s="29">
        <f t="shared" si="15"/>
        <v>0</v>
      </c>
    </row>
    <row r="259" spans="1:33" ht="16" x14ac:dyDescent="0.2">
      <c r="A259" s="22" t="str">
        <f t="shared" si="12"/>
        <v>—</v>
      </c>
      <c r="B259" s="31"/>
      <c r="C259" s="11"/>
      <c r="D259" s="11"/>
      <c r="E259" s="32"/>
      <c r="F259" s="11"/>
      <c r="G259" s="11"/>
      <c r="H259" s="33"/>
      <c r="I259" s="33"/>
      <c r="J259" s="33"/>
      <c r="K259" s="33"/>
      <c r="L259" s="33"/>
      <c r="M259" s="33"/>
      <c r="N259" s="33"/>
      <c r="O259" s="33"/>
      <c r="P259" s="33"/>
      <c r="Q259" s="33"/>
      <c r="R259" s="26" t="str">
        <f>IF($T259="","",IF($D259="","Who paid?",IF(SUMPRODUCT((Setup!$B$21:$B$30=$D259)*1)=0,"Payer is not in the member list on Setup",IF($E259="","Amount missing — type the number in column E",IF(NOT(ISNUMBER($E259)),"Amount must be a plain number — no currency symbol, no text",IF(AND($T259="Custom units",$AE259&lt;=0),"Custom units: nobody has units on this row — type a number for at least one person",IF($AE259&lt;=0,"Nobody shares this row — check the person columns H–Q, and the Weight / Nights columns on Setup",IF(AND($T259="Exact amounts",ABS($AE259-$AG259)&gt;0.01),"Exact amounts do not add up to the amount","OK"))))))))</f>
        <v/>
      </c>
      <c r="S259" s="27" t="str">
        <f>IFERROR(IF(OR($T259="",$C$4=""),"—",ROUND($AG259*INDEX($U259:$AD259,1,MATCH($C$4,Setup!$B$21:$B$30,0))/$AF259,2)),"—")</f>
        <v>—</v>
      </c>
      <c r="T259" s="28" t="str">
        <f>IF(AND($C259="",$D259="",NOT(ISNUMBER($E259))),"",IF($G259="",IF(Setup!$C$17="","Equal",Setup!$C$17),$G259))</f>
        <v/>
      </c>
      <c r="U259" s="29">
        <f>IF($T259="",0,IF(OR(Setup!$B$21="",Setup!$C$21="No"),0,IF(ISNUMBER(H259),H259,IF($T259="Weights",IF(ISNUMBER(Setup!$D$21),Setup!$D$21,0),IF($T259="Nights",IF(ISNUMBER(Setup!$E$21),Setup!$E$21,0),IF(OR($T259="Exact amounts",$T259="Custom units"),0,1))))))</f>
        <v>0</v>
      </c>
      <c r="V259" s="29">
        <f>IF($T259="",0,IF(OR(Setup!$B$22="",Setup!$C$22="No"),0,IF(ISNUMBER(I259),I259,IF($T259="Weights",IF(ISNUMBER(Setup!$D$22),Setup!$D$22,0),IF($T259="Nights",IF(ISNUMBER(Setup!$E$22),Setup!$E$22,0),IF(OR($T259="Exact amounts",$T259="Custom units"),0,1))))))</f>
        <v>0</v>
      </c>
      <c r="W259" s="29">
        <f>IF($T259="",0,IF(OR(Setup!$B$23="",Setup!$C$23="No"),0,IF(ISNUMBER(J259),J259,IF($T259="Weights",IF(ISNUMBER(Setup!$D$23),Setup!$D$23,0),IF($T259="Nights",IF(ISNUMBER(Setup!$E$23),Setup!$E$23,0),IF(OR($T259="Exact amounts",$T259="Custom units"),0,1))))))</f>
        <v>0</v>
      </c>
      <c r="X259" s="29">
        <f>IF($T259="",0,IF(OR(Setup!$B$24="",Setup!$C$24="No"),0,IF(ISNUMBER(K259),K259,IF($T259="Weights",IF(ISNUMBER(Setup!$D$24),Setup!$D$24,0),IF($T259="Nights",IF(ISNUMBER(Setup!$E$24),Setup!$E$24,0),IF(OR($T259="Exact amounts",$T259="Custom units"),0,1))))))</f>
        <v>0</v>
      </c>
      <c r="Y259" s="29">
        <f>IF($T259="",0,IF(OR(Setup!$B$25="",Setup!$C$25="No"),0,IF(ISNUMBER(L259),L259,IF($T259="Weights",IF(ISNUMBER(Setup!$D$25),Setup!$D$25,0),IF($T259="Nights",IF(ISNUMBER(Setup!$E$25),Setup!$E$25,0),IF(OR($T259="Exact amounts",$T259="Custom units"),0,1))))))</f>
        <v>0</v>
      </c>
      <c r="Z259" s="29">
        <f>IF($T259="",0,IF(OR(Setup!$B$26="",Setup!$C$26="No"),0,IF(ISNUMBER(M259),M259,IF($T259="Weights",IF(ISNUMBER(Setup!$D$26),Setup!$D$26,0),IF($T259="Nights",IF(ISNUMBER(Setup!$E$26),Setup!$E$26,0),IF(OR($T259="Exact amounts",$T259="Custom units"),0,1))))))</f>
        <v>0</v>
      </c>
      <c r="AA259" s="29">
        <f>IF($T259="",0,IF(OR(Setup!$B$27="",Setup!$C$27="No"),0,IF(ISNUMBER(N259),N259,IF($T259="Weights",IF(ISNUMBER(Setup!$D$27),Setup!$D$27,0),IF($T259="Nights",IF(ISNUMBER(Setup!$E$27),Setup!$E$27,0),IF(OR($T259="Exact amounts",$T259="Custom units"),0,1))))))</f>
        <v>0</v>
      </c>
      <c r="AB259" s="29">
        <f>IF($T259="",0,IF(OR(Setup!$B$28="",Setup!$C$28="No"),0,IF(ISNUMBER(O259),O259,IF($T259="Weights",IF(ISNUMBER(Setup!$D$28),Setup!$D$28,0),IF($T259="Nights",IF(ISNUMBER(Setup!$E$28),Setup!$E$28,0),IF(OR($T259="Exact amounts",$T259="Custom units"),0,1))))))</f>
        <v>0</v>
      </c>
      <c r="AC259" s="29">
        <f>IF($T259="",0,IF(OR(Setup!$B$29="",Setup!$C$29="No"),0,IF(ISNUMBER(P259),P259,IF($T259="Weights",IF(ISNUMBER(Setup!$D$29),Setup!$D$29,0),IF($T259="Nights",IF(ISNUMBER(Setup!$E$29),Setup!$E$29,0),IF(OR($T259="Exact amounts",$T259="Custom units"),0,1))))))</f>
        <v>0</v>
      </c>
      <c r="AD259" s="29">
        <f>IF($T259="",0,IF(OR(Setup!$B$30="",Setup!$C$30="No"),0,IF(ISNUMBER(Q259),Q259,IF($T259="Weights",IF(ISNUMBER(Setup!$D$30),Setup!$D$30,0),IF($T259="Nights",IF(ISNUMBER(Setup!$E$30),Setup!$E$30,0),IF(OR($T259="Exact amounts",$T259="Custom units"),0,1))))))</f>
        <v>0</v>
      </c>
      <c r="AE259" s="29">
        <f t="shared" si="13"/>
        <v>0</v>
      </c>
      <c r="AF259" s="30">
        <f t="shared" si="14"/>
        <v>1</v>
      </c>
      <c r="AG259" s="29">
        <f t="shared" si="15"/>
        <v>0</v>
      </c>
    </row>
    <row r="260" spans="1:33" ht="16" x14ac:dyDescent="0.2">
      <c r="A260" s="22" t="str">
        <f t="shared" si="12"/>
        <v>—</v>
      </c>
      <c r="B260" s="23"/>
      <c r="C260" s="16"/>
      <c r="D260" s="16"/>
      <c r="E260" s="24"/>
      <c r="F260" s="16"/>
      <c r="G260" s="16"/>
      <c r="H260" s="25"/>
      <c r="I260" s="25"/>
      <c r="J260" s="25"/>
      <c r="K260" s="25"/>
      <c r="L260" s="25"/>
      <c r="M260" s="25"/>
      <c r="N260" s="25"/>
      <c r="O260" s="25"/>
      <c r="P260" s="25"/>
      <c r="Q260" s="25"/>
      <c r="R260" s="26" t="str">
        <f>IF($T260="","",IF($D260="","Who paid?",IF(SUMPRODUCT((Setup!$B$21:$B$30=$D260)*1)=0,"Payer is not in the member list on Setup",IF($E260="","Amount missing — type the number in column E",IF(NOT(ISNUMBER($E260)),"Amount must be a plain number — no currency symbol, no text",IF(AND($T260="Custom units",$AE260&lt;=0),"Custom units: nobody has units on this row — type a number for at least one person",IF($AE260&lt;=0,"Nobody shares this row — check the person columns H–Q, and the Weight / Nights columns on Setup",IF(AND($T260="Exact amounts",ABS($AE260-$AG260)&gt;0.01),"Exact amounts do not add up to the amount","OK"))))))))</f>
        <v/>
      </c>
      <c r="S260" s="27" t="str">
        <f>IFERROR(IF(OR($T260="",$C$4=""),"—",ROUND($AG260*INDEX($U260:$AD260,1,MATCH($C$4,Setup!$B$21:$B$30,0))/$AF260,2)),"—")</f>
        <v>—</v>
      </c>
      <c r="T260" s="28" t="str">
        <f>IF(AND($C260="",$D260="",NOT(ISNUMBER($E260))),"",IF($G260="",IF(Setup!$C$17="","Equal",Setup!$C$17),$G260))</f>
        <v/>
      </c>
      <c r="U260" s="29">
        <f>IF($T260="",0,IF(OR(Setup!$B$21="",Setup!$C$21="No"),0,IF(ISNUMBER(H260),H260,IF($T260="Weights",IF(ISNUMBER(Setup!$D$21),Setup!$D$21,0),IF($T260="Nights",IF(ISNUMBER(Setup!$E$21),Setup!$E$21,0),IF(OR($T260="Exact amounts",$T260="Custom units"),0,1))))))</f>
        <v>0</v>
      </c>
      <c r="V260" s="29">
        <f>IF($T260="",0,IF(OR(Setup!$B$22="",Setup!$C$22="No"),0,IF(ISNUMBER(I260),I260,IF($T260="Weights",IF(ISNUMBER(Setup!$D$22),Setup!$D$22,0),IF($T260="Nights",IF(ISNUMBER(Setup!$E$22),Setup!$E$22,0),IF(OR($T260="Exact amounts",$T260="Custom units"),0,1))))))</f>
        <v>0</v>
      </c>
      <c r="W260" s="29">
        <f>IF($T260="",0,IF(OR(Setup!$B$23="",Setup!$C$23="No"),0,IF(ISNUMBER(J260),J260,IF($T260="Weights",IF(ISNUMBER(Setup!$D$23),Setup!$D$23,0),IF($T260="Nights",IF(ISNUMBER(Setup!$E$23),Setup!$E$23,0),IF(OR($T260="Exact amounts",$T260="Custom units"),0,1))))))</f>
        <v>0</v>
      </c>
      <c r="X260" s="29">
        <f>IF($T260="",0,IF(OR(Setup!$B$24="",Setup!$C$24="No"),0,IF(ISNUMBER(K260),K260,IF($T260="Weights",IF(ISNUMBER(Setup!$D$24),Setup!$D$24,0),IF($T260="Nights",IF(ISNUMBER(Setup!$E$24),Setup!$E$24,0),IF(OR($T260="Exact amounts",$T260="Custom units"),0,1))))))</f>
        <v>0</v>
      </c>
      <c r="Y260" s="29">
        <f>IF($T260="",0,IF(OR(Setup!$B$25="",Setup!$C$25="No"),0,IF(ISNUMBER(L260),L260,IF($T260="Weights",IF(ISNUMBER(Setup!$D$25),Setup!$D$25,0),IF($T260="Nights",IF(ISNUMBER(Setup!$E$25),Setup!$E$25,0),IF(OR($T260="Exact amounts",$T260="Custom units"),0,1))))))</f>
        <v>0</v>
      </c>
      <c r="Z260" s="29">
        <f>IF($T260="",0,IF(OR(Setup!$B$26="",Setup!$C$26="No"),0,IF(ISNUMBER(M260),M260,IF($T260="Weights",IF(ISNUMBER(Setup!$D$26),Setup!$D$26,0),IF($T260="Nights",IF(ISNUMBER(Setup!$E$26),Setup!$E$26,0),IF(OR($T260="Exact amounts",$T260="Custom units"),0,1))))))</f>
        <v>0</v>
      </c>
      <c r="AA260" s="29">
        <f>IF($T260="",0,IF(OR(Setup!$B$27="",Setup!$C$27="No"),0,IF(ISNUMBER(N260),N260,IF($T260="Weights",IF(ISNUMBER(Setup!$D$27),Setup!$D$27,0),IF($T260="Nights",IF(ISNUMBER(Setup!$E$27),Setup!$E$27,0),IF(OR($T260="Exact amounts",$T260="Custom units"),0,1))))))</f>
        <v>0</v>
      </c>
      <c r="AB260" s="29">
        <f>IF($T260="",0,IF(OR(Setup!$B$28="",Setup!$C$28="No"),0,IF(ISNUMBER(O260),O260,IF($T260="Weights",IF(ISNUMBER(Setup!$D$28),Setup!$D$28,0),IF($T260="Nights",IF(ISNUMBER(Setup!$E$28),Setup!$E$28,0),IF(OR($T260="Exact amounts",$T260="Custom units"),0,1))))))</f>
        <v>0</v>
      </c>
      <c r="AC260" s="29">
        <f>IF($T260="",0,IF(OR(Setup!$B$29="",Setup!$C$29="No"),0,IF(ISNUMBER(P260),P260,IF($T260="Weights",IF(ISNUMBER(Setup!$D$29),Setup!$D$29,0),IF($T260="Nights",IF(ISNUMBER(Setup!$E$29),Setup!$E$29,0),IF(OR($T260="Exact amounts",$T260="Custom units"),0,1))))))</f>
        <v>0</v>
      </c>
      <c r="AD260" s="29">
        <f>IF($T260="",0,IF(OR(Setup!$B$30="",Setup!$C$30="No"),0,IF(ISNUMBER(Q260),Q260,IF($T260="Weights",IF(ISNUMBER(Setup!$D$30),Setup!$D$30,0),IF($T260="Nights",IF(ISNUMBER(Setup!$E$30),Setup!$E$30,0),IF(OR($T260="Exact amounts",$T260="Custom units"),0,1))))))</f>
        <v>0</v>
      </c>
      <c r="AE260" s="29">
        <f t="shared" si="13"/>
        <v>0</v>
      </c>
      <c r="AF260" s="30">
        <f t="shared" si="14"/>
        <v>1</v>
      </c>
      <c r="AG260" s="29">
        <f t="shared" si="15"/>
        <v>0</v>
      </c>
    </row>
    <row r="261" spans="1:33" ht="16" x14ac:dyDescent="0.2">
      <c r="A261" s="22" t="str">
        <f t="shared" si="12"/>
        <v>—</v>
      </c>
      <c r="B261" s="31"/>
      <c r="C261" s="11"/>
      <c r="D261" s="11"/>
      <c r="E261" s="32"/>
      <c r="F261" s="11"/>
      <c r="G261" s="11"/>
      <c r="H261" s="33"/>
      <c r="I261" s="33"/>
      <c r="J261" s="33"/>
      <c r="K261" s="33"/>
      <c r="L261" s="33"/>
      <c r="M261" s="33"/>
      <c r="N261" s="33"/>
      <c r="O261" s="33"/>
      <c r="P261" s="33"/>
      <c r="Q261" s="33"/>
      <c r="R261" s="26" t="str">
        <f>IF($T261="","",IF($D261="","Who paid?",IF(SUMPRODUCT((Setup!$B$21:$B$30=$D261)*1)=0,"Payer is not in the member list on Setup",IF($E261="","Amount missing — type the number in column E",IF(NOT(ISNUMBER($E261)),"Amount must be a plain number — no currency symbol, no text",IF(AND($T261="Custom units",$AE261&lt;=0),"Custom units: nobody has units on this row — type a number for at least one person",IF($AE261&lt;=0,"Nobody shares this row — check the person columns H–Q, and the Weight / Nights columns on Setup",IF(AND($T261="Exact amounts",ABS($AE261-$AG261)&gt;0.01),"Exact amounts do not add up to the amount","OK"))))))))</f>
        <v/>
      </c>
      <c r="S261" s="27" t="str">
        <f>IFERROR(IF(OR($T261="",$C$4=""),"—",ROUND($AG261*INDEX($U261:$AD261,1,MATCH($C$4,Setup!$B$21:$B$30,0))/$AF261,2)),"—")</f>
        <v>—</v>
      </c>
      <c r="T261" s="28" t="str">
        <f>IF(AND($C261="",$D261="",NOT(ISNUMBER($E261))),"",IF($G261="",IF(Setup!$C$17="","Equal",Setup!$C$17),$G261))</f>
        <v/>
      </c>
      <c r="U261" s="29">
        <f>IF($T261="",0,IF(OR(Setup!$B$21="",Setup!$C$21="No"),0,IF(ISNUMBER(H261),H261,IF($T261="Weights",IF(ISNUMBER(Setup!$D$21),Setup!$D$21,0),IF($T261="Nights",IF(ISNUMBER(Setup!$E$21),Setup!$E$21,0),IF(OR($T261="Exact amounts",$T261="Custom units"),0,1))))))</f>
        <v>0</v>
      </c>
      <c r="V261" s="29">
        <f>IF($T261="",0,IF(OR(Setup!$B$22="",Setup!$C$22="No"),0,IF(ISNUMBER(I261),I261,IF($T261="Weights",IF(ISNUMBER(Setup!$D$22),Setup!$D$22,0),IF($T261="Nights",IF(ISNUMBER(Setup!$E$22),Setup!$E$22,0),IF(OR($T261="Exact amounts",$T261="Custom units"),0,1))))))</f>
        <v>0</v>
      </c>
      <c r="W261" s="29">
        <f>IF($T261="",0,IF(OR(Setup!$B$23="",Setup!$C$23="No"),0,IF(ISNUMBER(J261),J261,IF($T261="Weights",IF(ISNUMBER(Setup!$D$23),Setup!$D$23,0),IF($T261="Nights",IF(ISNUMBER(Setup!$E$23),Setup!$E$23,0),IF(OR($T261="Exact amounts",$T261="Custom units"),0,1))))))</f>
        <v>0</v>
      </c>
      <c r="X261" s="29">
        <f>IF($T261="",0,IF(OR(Setup!$B$24="",Setup!$C$24="No"),0,IF(ISNUMBER(K261),K261,IF($T261="Weights",IF(ISNUMBER(Setup!$D$24),Setup!$D$24,0),IF($T261="Nights",IF(ISNUMBER(Setup!$E$24),Setup!$E$24,0),IF(OR($T261="Exact amounts",$T261="Custom units"),0,1))))))</f>
        <v>0</v>
      </c>
      <c r="Y261" s="29">
        <f>IF($T261="",0,IF(OR(Setup!$B$25="",Setup!$C$25="No"),0,IF(ISNUMBER(L261),L261,IF($T261="Weights",IF(ISNUMBER(Setup!$D$25),Setup!$D$25,0),IF($T261="Nights",IF(ISNUMBER(Setup!$E$25),Setup!$E$25,0),IF(OR($T261="Exact amounts",$T261="Custom units"),0,1))))))</f>
        <v>0</v>
      </c>
      <c r="Z261" s="29">
        <f>IF($T261="",0,IF(OR(Setup!$B$26="",Setup!$C$26="No"),0,IF(ISNUMBER(M261),M261,IF($T261="Weights",IF(ISNUMBER(Setup!$D$26),Setup!$D$26,0),IF($T261="Nights",IF(ISNUMBER(Setup!$E$26),Setup!$E$26,0),IF(OR($T261="Exact amounts",$T261="Custom units"),0,1))))))</f>
        <v>0</v>
      </c>
      <c r="AA261" s="29">
        <f>IF($T261="",0,IF(OR(Setup!$B$27="",Setup!$C$27="No"),0,IF(ISNUMBER(N261),N261,IF($T261="Weights",IF(ISNUMBER(Setup!$D$27),Setup!$D$27,0),IF($T261="Nights",IF(ISNUMBER(Setup!$E$27),Setup!$E$27,0),IF(OR($T261="Exact amounts",$T261="Custom units"),0,1))))))</f>
        <v>0</v>
      </c>
      <c r="AB261" s="29">
        <f>IF($T261="",0,IF(OR(Setup!$B$28="",Setup!$C$28="No"),0,IF(ISNUMBER(O261),O261,IF($T261="Weights",IF(ISNUMBER(Setup!$D$28),Setup!$D$28,0),IF($T261="Nights",IF(ISNUMBER(Setup!$E$28),Setup!$E$28,0),IF(OR($T261="Exact amounts",$T261="Custom units"),0,1))))))</f>
        <v>0</v>
      </c>
      <c r="AC261" s="29">
        <f>IF($T261="",0,IF(OR(Setup!$B$29="",Setup!$C$29="No"),0,IF(ISNUMBER(P261),P261,IF($T261="Weights",IF(ISNUMBER(Setup!$D$29),Setup!$D$29,0),IF($T261="Nights",IF(ISNUMBER(Setup!$E$29),Setup!$E$29,0),IF(OR($T261="Exact amounts",$T261="Custom units"),0,1))))))</f>
        <v>0</v>
      </c>
      <c r="AD261" s="29">
        <f>IF($T261="",0,IF(OR(Setup!$B$30="",Setup!$C$30="No"),0,IF(ISNUMBER(Q261),Q261,IF($T261="Weights",IF(ISNUMBER(Setup!$D$30),Setup!$D$30,0),IF($T261="Nights",IF(ISNUMBER(Setup!$E$30),Setup!$E$30,0),IF(OR($T261="Exact amounts",$T261="Custom units"),0,1))))))</f>
        <v>0</v>
      </c>
      <c r="AE261" s="29">
        <f t="shared" si="13"/>
        <v>0</v>
      </c>
      <c r="AF261" s="30">
        <f t="shared" si="14"/>
        <v>1</v>
      </c>
      <c r="AG261" s="29">
        <f t="shared" si="15"/>
        <v>0</v>
      </c>
    </row>
    <row r="262" spans="1:33" ht="16" x14ac:dyDescent="0.2">
      <c r="A262" s="22" t="str">
        <f t="shared" si="12"/>
        <v>—</v>
      </c>
      <c r="B262" s="23"/>
      <c r="C262" s="16"/>
      <c r="D262" s="16"/>
      <c r="E262" s="24"/>
      <c r="F262" s="16"/>
      <c r="G262" s="16"/>
      <c r="H262" s="25"/>
      <c r="I262" s="25"/>
      <c r="J262" s="25"/>
      <c r="K262" s="25"/>
      <c r="L262" s="25"/>
      <c r="M262" s="25"/>
      <c r="N262" s="25"/>
      <c r="O262" s="25"/>
      <c r="P262" s="25"/>
      <c r="Q262" s="25"/>
      <c r="R262" s="26" t="str">
        <f>IF($T262="","",IF($D262="","Who paid?",IF(SUMPRODUCT((Setup!$B$21:$B$30=$D262)*1)=0,"Payer is not in the member list on Setup",IF($E262="","Amount missing — type the number in column E",IF(NOT(ISNUMBER($E262)),"Amount must be a plain number — no currency symbol, no text",IF(AND($T262="Custom units",$AE262&lt;=0),"Custom units: nobody has units on this row — type a number for at least one person",IF($AE262&lt;=0,"Nobody shares this row — check the person columns H–Q, and the Weight / Nights columns on Setup",IF(AND($T262="Exact amounts",ABS($AE262-$AG262)&gt;0.01),"Exact amounts do not add up to the amount","OK"))))))))</f>
        <v/>
      </c>
      <c r="S262" s="27" t="str">
        <f>IFERROR(IF(OR($T262="",$C$4=""),"—",ROUND($AG262*INDEX($U262:$AD262,1,MATCH($C$4,Setup!$B$21:$B$30,0))/$AF262,2)),"—")</f>
        <v>—</v>
      </c>
      <c r="T262" s="28" t="str">
        <f>IF(AND($C262="",$D262="",NOT(ISNUMBER($E262))),"",IF($G262="",IF(Setup!$C$17="","Equal",Setup!$C$17),$G262))</f>
        <v/>
      </c>
      <c r="U262" s="29">
        <f>IF($T262="",0,IF(OR(Setup!$B$21="",Setup!$C$21="No"),0,IF(ISNUMBER(H262),H262,IF($T262="Weights",IF(ISNUMBER(Setup!$D$21),Setup!$D$21,0),IF($T262="Nights",IF(ISNUMBER(Setup!$E$21),Setup!$E$21,0),IF(OR($T262="Exact amounts",$T262="Custom units"),0,1))))))</f>
        <v>0</v>
      </c>
      <c r="V262" s="29">
        <f>IF($T262="",0,IF(OR(Setup!$B$22="",Setup!$C$22="No"),0,IF(ISNUMBER(I262),I262,IF($T262="Weights",IF(ISNUMBER(Setup!$D$22),Setup!$D$22,0),IF($T262="Nights",IF(ISNUMBER(Setup!$E$22),Setup!$E$22,0),IF(OR($T262="Exact amounts",$T262="Custom units"),0,1))))))</f>
        <v>0</v>
      </c>
      <c r="W262" s="29">
        <f>IF($T262="",0,IF(OR(Setup!$B$23="",Setup!$C$23="No"),0,IF(ISNUMBER(J262),J262,IF($T262="Weights",IF(ISNUMBER(Setup!$D$23),Setup!$D$23,0),IF($T262="Nights",IF(ISNUMBER(Setup!$E$23),Setup!$E$23,0),IF(OR($T262="Exact amounts",$T262="Custom units"),0,1))))))</f>
        <v>0</v>
      </c>
      <c r="X262" s="29">
        <f>IF($T262="",0,IF(OR(Setup!$B$24="",Setup!$C$24="No"),0,IF(ISNUMBER(K262),K262,IF($T262="Weights",IF(ISNUMBER(Setup!$D$24),Setup!$D$24,0),IF($T262="Nights",IF(ISNUMBER(Setup!$E$24),Setup!$E$24,0),IF(OR($T262="Exact amounts",$T262="Custom units"),0,1))))))</f>
        <v>0</v>
      </c>
      <c r="Y262" s="29">
        <f>IF($T262="",0,IF(OR(Setup!$B$25="",Setup!$C$25="No"),0,IF(ISNUMBER(L262),L262,IF($T262="Weights",IF(ISNUMBER(Setup!$D$25),Setup!$D$25,0),IF($T262="Nights",IF(ISNUMBER(Setup!$E$25),Setup!$E$25,0),IF(OR($T262="Exact amounts",$T262="Custom units"),0,1))))))</f>
        <v>0</v>
      </c>
      <c r="Z262" s="29">
        <f>IF($T262="",0,IF(OR(Setup!$B$26="",Setup!$C$26="No"),0,IF(ISNUMBER(M262),M262,IF($T262="Weights",IF(ISNUMBER(Setup!$D$26),Setup!$D$26,0),IF($T262="Nights",IF(ISNUMBER(Setup!$E$26),Setup!$E$26,0),IF(OR($T262="Exact amounts",$T262="Custom units"),0,1))))))</f>
        <v>0</v>
      </c>
      <c r="AA262" s="29">
        <f>IF($T262="",0,IF(OR(Setup!$B$27="",Setup!$C$27="No"),0,IF(ISNUMBER(N262),N262,IF($T262="Weights",IF(ISNUMBER(Setup!$D$27),Setup!$D$27,0),IF($T262="Nights",IF(ISNUMBER(Setup!$E$27),Setup!$E$27,0),IF(OR($T262="Exact amounts",$T262="Custom units"),0,1))))))</f>
        <v>0</v>
      </c>
      <c r="AB262" s="29">
        <f>IF($T262="",0,IF(OR(Setup!$B$28="",Setup!$C$28="No"),0,IF(ISNUMBER(O262),O262,IF($T262="Weights",IF(ISNUMBER(Setup!$D$28),Setup!$D$28,0),IF($T262="Nights",IF(ISNUMBER(Setup!$E$28),Setup!$E$28,0),IF(OR($T262="Exact amounts",$T262="Custom units"),0,1))))))</f>
        <v>0</v>
      </c>
      <c r="AC262" s="29">
        <f>IF($T262="",0,IF(OR(Setup!$B$29="",Setup!$C$29="No"),0,IF(ISNUMBER(P262),P262,IF($T262="Weights",IF(ISNUMBER(Setup!$D$29),Setup!$D$29,0),IF($T262="Nights",IF(ISNUMBER(Setup!$E$29),Setup!$E$29,0),IF(OR($T262="Exact amounts",$T262="Custom units"),0,1))))))</f>
        <v>0</v>
      </c>
      <c r="AD262" s="29">
        <f>IF($T262="",0,IF(OR(Setup!$B$30="",Setup!$C$30="No"),0,IF(ISNUMBER(Q262),Q262,IF($T262="Weights",IF(ISNUMBER(Setup!$D$30),Setup!$D$30,0),IF($T262="Nights",IF(ISNUMBER(Setup!$E$30),Setup!$E$30,0),IF(OR($T262="Exact amounts",$T262="Custom units"),0,1))))))</f>
        <v>0</v>
      </c>
      <c r="AE262" s="29">
        <f t="shared" si="13"/>
        <v>0</v>
      </c>
      <c r="AF262" s="30">
        <f t="shared" si="14"/>
        <v>1</v>
      </c>
      <c r="AG262" s="29">
        <f t="shared" si="15"/>
        <v>0</v>
      </c>
    </row>
    <row r="263" spans="1:33" ht="16" x14ac:dyDescent="0.2">
      <c r="A263" s="22" t="str">
        <f t="shared" si="12"/>
        <v>—</v>
      </c>
      <c r="B263" s="31"/>
      <c r="C263" s="11"/>
      <c r="D263" s="11"/>
      <c r="E263" s="32"/>
      <c r="F263" s="11"/>
      <c r="G263" s="11"/>
      <c r="H263" s="33"/>
      <c r="I263" s="33"/>
      <c r="J263" s="33"/>
      <c r="K263" s="33"/>
      <c r="L263" s="33"/>
      <c r="M263" s="33"/>
      <c r="N263" s="33"/>
      <c r="O263" s="33"/>
      <c r="P263" s="33"/>
      <c r="Q263" s="33"/>
      <c r="R263" s="26" t="str">
        <f>IF($T263="","",IF($D263="","Who paid?",IF(SUMPRODUCT((Setup!$B$21:$B$30=$D263)*1)=0,"Payer is not in the member list on Setup",IF($E263="","Amount missing — type the number in column E",IF(NOT(ISNUMBER($E263)),"Amount must be a plain number — no currency symbol, no text",IF(AND($T263="Custom units",$AE263&lt;=0),"Custom units: nobody has units on this row — type a number for at least one person",IF($AE263&lt;=0,"Nobody shares this row — check the person columns H–Q, and the Weight / Nights columns on Setup",IF(AND($T263="Exact amounts",ABS($AE263-$AG263)&gt;0.01),"Exact amounts do not add up to the amount","OK"))))))))</f>
        <v/>
      </c>
      <c r="S263" s="27" t="str">
        <f>IFERROR(IF(OR($T263="",$C$4=""),"—",ROUND($AG263*INDEX($U263:$AD263,1,MATCH($C$4,Setup!$B$21:$B$30,0))/$AF263,2)),"—")</f>
        <v>—</v>
      </c>
      <c r="T263" s="28" t="str">
        <f>IF(AND($C263="",$D263="",NOT(ISNUMBER($E263))),"",IF($G263="",IF(Setup!$C$17="","Equal",Setup!$C$17),$G263))</f>
        <v/>
      </c>
      <c r="U263" s="29">
        <f>IF($T263="",0,IF(OR(Setup!$B$21="",Setup!$C$21="No"),0,IF(ISNUMBER(H263),H263,IF($T263="Weights",IF(ISNUMBER(Setup!$D$21),Setup!$D$21,0),IF($T263="Nights",IF(ISNUMBER(Setup!$E$21),Setup!$E$21,0),IF(OR($T263="Exact amounts",$T263="Custom units"),0,1))))))</f>
        <v>0</v>
      </c>
      <c r="V263" s="29">
        <f>IF($T263="",0,IF(OR(Setup!$B$22="",Setup!$C$22="No"),0,IF(ISNUMBER(I263),I263,IF($T263="Weights",IF(ISNUMBER(Setup!$D$22),Setup!$D$22,0),IF($T263="Nights",IF(ISNUMBER(Setup!$E$22),Setup!$E$22,0),IF(OR($T263="Exact amounts",$T263="Custom units"),0,1))))))</f>
        <v>0</v>
      </c>
      <c r="W263" s="29">
        <f>IF($T263="",0,IF(OR(Setup!$B$23="",Setup!$C$23="No"),0,IF(ISNUMBER(J263),J263,IF($T263="Weights",IF(ISNUMBER(Setup!$D$23),Setup!$D$23,0),IF($T263="Nights",IF(ISNUMBER(Setup!$E$23),Setup!$E$23,0),IF(OR($T263="Exact amounts",$T263="Custom units"),0,1))))))</f>
        <v>0</v>
      </c>
      <c r="X263" s="29">
        <f>IF($T263="",0,IF(OR(Setup!$B$24="",Setup!$C$24="No"),0,IF(ISNUMBER(K263),K263,IF($T263="Weights",IF(ISNUMBER(Setup!$D$24),Setup!$D$24,0),IF($T263="Nights",IF(ISNUMBER(Setup!$E$24),Setup!$E$24,0),IF(OR($T263="Exact amounts",$T263="Custom units"),0,1))))))</f>
        <v>0</v>
      </c>
      <c r="Y263" s="29">
        <f>IF($T263="",0,IF(OR(Setup!$B$25="",Setup!$C$25="No"),0,IF(ISNUMBER(L263),L263,IF($T263="Weights",IF(ISNUMBER(Setup!$D$25),Setup!$D$25,0),IF($T263="Nights",IF(ISNUMBER(Setup!$E$25),Setup!$E$25,0),IF(OR($T263="Exact amounts",$T263="Custom units"),0,1))))))</f>
        <v>0</v>
      </c>
      <c r="Z263" s="29">
        <f>IF($T263="",0,IF(OR(Setup!$B$26="",Setup!$C$26="No"),0,IF(ISNUMBER(M263),M263,IF($T263="Weights",IF(ISNUMBER(Setup!$D$26),Setup!$D$26,0),IF($T263="Nights",IF(ISNUMBER(Setup!$E$26),Setup!$E$26,0),IF(OR($T263="Exact amounts",$T263="Custom units"),0,1))))))</f>
        <v>0</v>
      </c>
      <c r="AA263" s="29">
        <f>IF($T263="",0,IF(OR(Setup!$B$27="",Setup!$C$27="No"),0,IF(ISNUMBER(N263),N263,IF($T263="Weights",IF(ISNUMBER(Setup!$D$27),Setup!$D$27,0),IF($T263="Nights",IF(ISNUMBER(Setup!$E$27),Setup!$E$27,0),IF(OR($T263="Exact amounts",$T263="Custom units"),0,1))))))</f>
        <v>0</v>
      </c>
      <c r="AB263" s="29">
        <f>IF($T263="",0,IF(OR(Setup!$B$28="",Setup!$C$28="No"),0,IF(ISNUMBER(O263),O263,IF($T263="Weights",IF(ISNUMBER(Setup!$D$28),Setup!$D$28,0),IF($T263="Nights",IF(ISNUMBER(Setup!$E$28),Setup!$E$28,0),IF(OR($T263="Exact amounts",$T263="Custom units"),0,1))))))</f>
        <v>0</v>
      </c>
      <c r="AC263" s="29">
        <f>IF($T263="",0,IF(OR(Setup!$B$29="",Setup!$C$29="No"),0,IF(ISNUMBER(P263),P263,IF($T263="Weights",IF(ISNUMBER(Setup!$D$29),Setup!$D$29,0),IF($T263="Nights",IF(ISNUMBER(Setup!$E$29),Setup!$E$29,0),IF(OR($T263="Exact amounts",$T263="Custom units"),0,1))))))</f>
        <v>0</v>
      </c>
      <c r="AD263" s="29">
        <f>IF($T263="",0,IF(OR(Setup!$B$30="",Setup!$C$30="No"),0,IF(ISNUMBER(Q263),Q263,IF($T263="Weights",IF(ISNUMBER(Setup!$D$30),Setup!$D$30,0),IF($T263="Nights",IF(ISNUMBER(Setup!$E$30),Setup!$E$30,0),IF(OR($T263="Exact amounts",$T263="Custom units"),0,1))))))</f>
        <v>0</v>
      </c>
      <c r="AE263" s="29">
        <f t="shared" si="13"/>
        <v>0</v>
      </c>
      <c r="AF263" s="30">
        <f t="shared" si="14"/>
        <v>1</v>
      </c>
      <c r="AG263" s="29">
        <f t="shared" si="15"/>
        <v>0</v>
      </c>
    </row>
    <row r="264" spans="1:33" ht="16" x14ac:dyDescent="0.2">
      <c r="A264" s="22" t="str">
        <f t="shared" ref="A264:A307" si="16">IF($T264="","—",ROW()-7)</f>
        <v>—</v>
      </c>
      <c r="B264" s="23"/>
      <c r="C264" s="16"/>
      <c r="D264" s="16"/>
      <c r="E264" s="24"/>
      <c r="F264" s="16"/>
      <c r="G264" s="16"/>
      <c r="H264" s="25"/>
      <c r="I264" s="25"/>
      <c r="J264" s="25"/>
      <c r="K264" s="25"/>
      <c r="L264" s="25"/>
      <c r="M264" s="25"/>
      <c r="N264" s="25"/>
      <c r="O264" s="25"/>
      <c r="P264" s="25"/>
      <c r="Q264" s="25"/>
      <c r="R264" s="26" t="str">
        <f>IF($T264="","",IF($D264="","Who paid?",IF(SUMPRODUCT((Setup!$B$21:$B$30=$D264)*1)=0,"Payer is not in the member list on Setup",IF($E264="","Amount missing — type the number in column E",IF(NOT(ISNUMBER($E264)),"Amount must be a plain number — no currency symbol, no text",IF(AND($T264="Custom units",$AE264&lt;=0),"Custom units: nobody has units on this row — type a number for at least one person",IF($AE264&lt;=0,"Nobody shares this row — check the person columns H–Q, and the Weight / Nights columns on Setup",IF(AND($T264="Exact amounts",ABS($AE264-$AG264)&gt;0.01),"Exact amounts do not add up to the amount","OK"))))))))</f>
        <v/>
      </c>
      <c r="S264" s="27" t="str">
        <f>IFERROR(IF(OR($T264="",$C$4=""),"—",ROUND($AG264*INDEX($U264:$AD264,1,MATCH($C$4,Setup!$B$21:$B$30,0))/$AF264,2)),"—")</f>
        <v>—</v>
      </c>
      <c r="T264" s="28" t="str">
        <f>IF(AND($C264="",$D264="",NOT(ISNUMBER($E264))),"",IF($G264="",IF(Setup!$C$17="","Equal",Setup!$C$17),$G264))</f>
        <v/>
      </c>
      <c r="U264" s="29">
        <f>IF($T264="",0,IF(OR(Setup!$B$21="",Setup!$C$21="No"),0,IF(ISNUMBER(H264),H264,IF($T264="Weights",IF(ISNUMBER(Setup!$D$21),Setup!$D$21,0),IF($T264="Nights",IF(ISNUMBER(Setup!$E$21),Setup!$E$21,0),IF(OR($T264="Exact amounts",$T264="Custom units"),0,1))))))</f>
        <v>0</v>
      </c>
      <c r="V264" s="29">
        <f>IF($T264="",0,IF(OR(Setup!$B$22="",Setup!$C$22="No"),0,IF(ISNUMBER(I264),I264,IF($T264="Weights",IF(ISNUMBER(Setup!$D$22),Setup!$D$22,0),IF($T264="Nights",IF(ISNUMBER(Setup!$E$22),Setup!$E$22,0),IF(OR($T264="Exact amounts",$T264="Custom units"),0,1))))))</f>
        <v>0</v>
      </c>
      <c r="W264" s="29">
        <f>IF($T264="",0,IF(OR(Setup!$B$23="",Setup!$C$23="No"),0,IF(ISNUMBER(J264),J264,IF($T264="Weights",IF(ISNUMBER(Setup!$D$23),Setup!$D$23,0),IF($T264="Nights",IF(ISNUMBER(Setup!$E$23),Setup!$E$23,0),IF(OR($T264="Exact amounts",$T264="Custom units"),0,1))))))</f>
        <v>0</v>
      </c>
      <c r="X264" s="29">
        <f>IF($T264="",0,IF(OR(Setup!$B$24="",Setup!$C$24="No"),0,IF(ISNUMBER(K264),K264,IF($T264="Weights",IF(ISNUMBER(Setup!$D$24),Setup!$D$24,0),IF($T264="Nights",IF(ISNUMBER(Setup!$E$24),Setup!$E$24,0),IF(OR($T264="Exact amounts",$T264="Custom units"),0,1))))))</f>
        <v>0</v>
      </c>
      <c r="Y264" s="29">
        <f>IF($T264="",0,IF(OR(Setup!$B$25="",Setup!$C$25="No"),0,IF(ISNUMBER(L264),L264,IF($T264="Weights",IF(ISNUMBER(Setup!$D$25),Setup!$D$25,0),IF($T264="Nights",IF(ISNUMBER(Setup!$E$25),Setup!$E$25,0),IF(OR($T264="Exact amounts",$T264="Custom units"),0,1))))))</f>
        <v>0</v>
      </c>
      <c r="Z264" s="29">
        <f>IF($T264="",0,IF(OR(Setup!$B$26="",Setup!$C$26="No"),0,IF(ISNUMBER(M264),M264,IF($T264="Weights",IF(ISNUMBER(Setup!$D$26),Setup!$D$26,0),IF($T264="Nights",IF(ISNUMBER(Setup!$E$26),Setup!$E$26,0),IF(OR($T264="Exact amounts",$T264="Custom units"),0,1))))))</f>
        <v>0</v>
      </c>
      <c r="AA264" s="29">
        <f>IF($T264="",0,IF(OR(Setup!$B$27="",Setup!$C$27="No"),0,IF(ISNUMBER(N264),N264,IF($T264="Weights",IF(ISNUMBER(Setup!$D$27),Setup!$D$27,0),IF($T264="Nights",IF(ISNUMBER(Setup!$E$27),Setup!$E$27,0),IF(OR($T264="Exact amounts",$T264="Custom units"),0,1))))))</f>
        <v>0</v>
      </c>
      <c r="AB264" s="29">
        <f>IF($T264="",0,IF(OR(Setup!$B$28="",Setup!$C$28="No"),0,IF(ISNUMBER(O264),O264,IF($T264="Weights",IF(ISNUMBER(Setup!$D$28),Setup!$D$28,0),IF($T264="Nights",IF(ISNUMBER(Setup!$E$28),Setup!$E$28,0),IF(OR($T264="Exact amounts",$T264="Custom units"),0,1))))))</f>
        <v>0</v>
      </c>
      <c r="AC264" s="29">
        <f>IF($T264="",0,IF(OR(Setup!$B$29="",Setup!$C$29="No"),0,IF(ISNUMBER(P264),P264,IF($T264="Weights",IF(ISNUMBER(Setup!$D$29),Setup!$D$29,0),IF($T264="Nights",IF(ISNUMBER(Setup!$E$29),Setup!$E$29,0),IF(OR($T264="Exact amounts",$T264="Custom units"),0,1))))))</f>
        <v>0</v>
      </c>
      <c r="AD264" s="29">
        <f>IF($T264="",0,IF(OR(Setup!$B$30="",Setup!$C$30="No"),0,IF(ISNUMBER(Q264),Q264,IF($T264="Weights",IF(ISNUMBER(Setup!$D$30),Setup!$D$30,0),IF($T264="Nights",IF(ISNUMBER(Setup!$E$30),Setup!$E$30,0),IF(OR($T264="Exact amounts",$T264="Custom units"),0,1))))))</f>
        <v>0</v>
      </c>
      <c r="AE264" s="29">
        <f t="shared" ref="AE264:AE307" si="17">IF($T264="",0,SUM($U264:$AD264))</f>
        <v>0</v>
      </c>
      <c r="AF264" s="30">
        <f t="shared" ref="AF264:AF307" si="18">IF($AE264&lt;=0,1,$AE264)</f>
        <v>1</v>
      </c>
      <c r="AG264" s="29">
        <f t="shared" ref="AG264:AG307" si="19">IF(ISNUMBER($E264),$E264,0)</f>
        <v>0</v>
      </c>
    </row>
    <row r="265" spans="1:33" ht="16" x14ac:dyDescent="0.2">
      <c r="A265" s="22" t="str">
        <f t="shared" si="16"/>
        <v>—</v>
      </c>
      <c r="B265" s="31"/>
      <c r="C265" s="11"/>
      <c r="D265" s="11"/>
      <c r="E265" s="32"/>
      <c r="F265" s="11"/>
      <c r="G265" s="11"/>
      <c r="H265" s="33"/>
      <c r="I265" s="33"/>
      <c r="J265" s="33"/>
      <c r="K265" s="33"/>
      <c r="L265" s="33"/>
      <c r="M265" s="33"/>
      <c r="N265" s="33"/>
      <c r="O265" s="33"/>
      <c r="P265" s="33"/>
      <c r="Q265" s="33"/>
      <c r="R265" s="26" t="str">
        <f>IF($T265="","",IF($D265="","Who paid?",IF(SUMPRODUCT((Setup!$B$21:$B$30=$D265)*1)=0,"Payer is not in the member list on Setup",IF($E265="","Amount missing — type the number in column E",IF(NOT(ISNUMBER($E265)),"Amount must be a plain number — no currency symbol, no text",IF(AND($T265="Custom units",$AE265&lt;=0),"Custom units: nobody has units on this row — type a number for at least one person",IF($AE265&lt;=0,"Nobody shares this row — check the person columns H–Q, and the Weight / Nights columns on Setup",IF(AND($T265="Exact amounts",ABS($AE265-$AG265)&gt;0.01),"Exact amounts do not add up to the amount","OK"))))))))</f>
        <v/>
      </c>
      <c r="S265" s="27" t="str">
        <f>IFERROR(IF(OR($T265="",$C$4=""),"—",ROUND($AG265*INDEX($U265:$AD265,1,MATCH($C$4,Setup!$B$21:$B$30,0))/$AF265,2)),"—")</f>
        <v>—</v>
      </c>
      <c r="T265" s="28" t="str">
        <f>IF(AND($C265="",$D265="",NOT(ISNUMBER($E265))),"",IF($G265="",IF(Setup!$C$17="","Equal",Setup!$C$17),$G265))</f>
        <v/>
      </c>
      <c r="U265" s="29">
        <f>IF($T265="",0,IF(OR(Setup!$B$21="",Setup!$C$21="No"),0,IF(ISNUMBER(H265),H265,IF($T265="Weights",IF(ISNUMBER(Setup!$D$21),Setup!$D$21,0),IF($T265="Nights",IF(ISNUMBER(Setup!$E$21),Setup!$E$21,0),IF(OR($T265="Exact amounts",$T265="Custom units"),0,1))))))</f>
        <v>0</v>
      </c>
      <c r="V265" s="29">
        <f>IF($T265="",0,IF(OR(Setup!$B$22="",Setup!$C$22="No"),0,IF(ISNUMBER(I265),I265,IF($T265="Weights",IF(ISNUMBER(Setup!$D$22),Setup!$D$22,0),IF($T265="Nights",IF(ISNUMBER(Setup!$E$22),Setup!$E$22,0),IF(OR($T265="Exact amounts",$T265="Custom units"),0,1))))))</f>
        <v>0</v>
      </c>
      <c r="W265" s="29">
        <f>IF($T265="",0,IF(OR(Setup!$B$23="",Setup!$C$23="No"),0,IF(ISNUMBER(J265),J265,IF($T265="Weights",IF(ISNUMBER(Setup!$D$23),Setup!$D$23,0),IF($T265="Nights",IF(ISNUMBER(Setup!$E$23),Setup!$E$23,0),IF(OR($T265="Exact amounts",$T265="Custom units"),0,1))))))</f>
        <v>0</v>
      </c>
      <c r="X265" s="29">
        <f>IF($T265="",0,IF(OR(Setup!$B$24="",Setup!$C$24="No"),0,IF(ISNUMBER(K265),K265,IF($T265="Weights",IF(ISNUMBER(Setup!$D$24),Setup!$D$24,0),IF($T265="Nights",IF(ISNUMBER(Setup!$E$24),Setup!$E$24,0),IF(OR($T265="Exact amounts",$T265="Custom units"),0,1))))))</f>
        <v>0</v>
      </c>
      <c r="Y265" s="29">
        <f>IF($T265="",0,IF(OR(Setup!$B$25="",Setup!$C$25="No"),0,IF(ISNUMBER(L265),L265,IF($T265="Weights",IF(ISNUMBER(Setup!$D$25),Setup!$D$25,0),IF($T265="Nights",IF(ISNUMBER(Setup!$E$25),Setup!$E$25,0),IF(OR($T265="Exact amounts",$T265="Custom units"),0,1))))))</f>
        <v>0</v>
      </c>
      <c r="Z265" s="29">
        <f>IF($T265="",0,IF(OR(Setup!$B$26="",Setup!$C$26="No"),0,IF(ISNUMBER(M265),M265,IF($T265="Weights",IF(ISNUMBER(Setup!$D$26),Setup!$D$26,0),IF($T265="Nights",IF(ISNUMBER(Setup!$E$26),Setup!$E$26,0),IF(OR($T265="Exact amounts",$T265="Custom units"),0,1))))))</f>
        <v>0</v>
      </c>
      <c r="AA265" s="29">
        <f>IF($T265="",0,IF(OR(Setup!$B$27="",Setup!$C$27="No"),0,IF(ISNUMBER(N265),N265,IF($T265="Weights",IF(ISNUMBER(Setup!$D$27),Setup!$D$27,0),IF($T265="Nights",IF(ISNUMBER(Setup!$E$27),Setup!$E$27,0),IF(OR($T265="Exact amounts",$T265="Custom units"),0,1))))))</f>
        <v>0</v>
      </c>
      <c r="AB265" s="29">
        <f>IF($T265="",0,IF(OR(Setup!$B$28="",Setup!$C$28="No"),0,IF(ISNUMBER(O265),O265,IF($T265="Weights",IF(ISNUMBER(Setup!$D$28),Setup!$D$28,0),IF($T265="Nights",IF(ISNUMBER(Setup!$E$28),Setup!$E$28,0),IF(OR($T265="Exact amounts",$T265="Custom units"),0,1))))))</f>
        <v>0</v>
      </c>
      <c r="AC265" s="29">
        <f>IF($T265="",0,IF(OR(Setup!$B$29="",Setup!$C$29="No"),0,IF(ISNUMBER(P265),P265,IF($T265="Weights",IF(ISNUMBER(Setup!$D$29),Setup!$D$29,0),IF($T265="Nights",IF(ISNUMBER(Setup!$E$29),Setup!$E$29,0),IF(OR($T265="Exact amounts",$T265="Custom units"),0,1))))))</f>
        <v>0</v>
      </c>
      <c r="AD265" s="29">
        <f>IF($T265="",0,IF(OR(Setup!$B$30="",Setup!$C$30="No"),0,IF(ISNUMBER(Q265),Q265,IF($T265="Weights",IF(ISNUMBER(Setup!$D$30),Setup!$D$30,0),IF($T265="Nights",IF(ISNUMBER(Setup!$E$30),Setup!$E$30,0),IF(OR($T265="Exact amounts",$T265="Custom units"),0,1))))))</f>
        <v>0</v>
      </c>
      <c r="AE265" s="29">
        <f t="shared" si="17"/>
        <v>0</v>
      </c>
      <c r="AF265" s="30">
        <f t="shared" si="18"/>
        <v>1</v>
      </c>
      <c r="AG265" s="29">
        <f t="shared" si="19"/>
        <v>0</v>
      </c>
    </row>
    <row r="266" spans="1:33" ht="16" x14ac:dyDescent="0.2">
      <c r="A266" s="22" t="str">
        <f t="shared" si="16"/>
        <v>—</v>
      </c>
      <c r="B266" s="23"/>
      <c r="C266" s="16"/>
      <c r="D266" s="16"/>
      <c r="E266" s="24"/>
      <c r="F266" s="16"/>
      <c r="G266" s="16"/>
      <c r="H266" s="25"/>
      <c r="I266" s="25"/>
      <c r="J266" s="25"/>
      <c r="K266" s="25"/>
      <c r="L266" s="25"/>
      <c r="M266" s="25"/>
      <c r="N266" s="25"/>
      <c r="O266" s="25"/>
      <c r="P266" s="25"/>
      <c r="Q266" s="25"/>
      <c r="R266" s="26" t="str">
        <f>IF($T266="","",IF($D266="","Who paid?",IF(SUMPRODUCT((Setup!$B$21:$B$30=$D266)*1)=0,"Payer is not in the member list on Setup",IF($E266="","Amount missing — type the number in column E",IF(NOT(ISNUMBER($E266)),"Amount must be a plain number — no currency symbol, no text",IF(AND($T266="Custom units",$AE266&lt;=0),"Custom units: nobody has units on this row — type a number for at least one person",IF($AE266&lt;=0,"Nobody shares this row — check the person columns H–Q, and the Weight / Nights columns on Setup",IF(AND($T266="Exact amounts",ABS($AE266-$AG266)&gt;0.01),"Exact amounts do not add up to the amount","OK"))))))))</f>
        <v/>
      </c>
      <c r="S266" s="27" t="str">
        <f>IFERROR(IF(OR($T266="",$C$4=""),"—",ROUND($AG266*INDEX($U266:$AD266,1,MATCH($C$4,Setup!$B$21:$B$30,0))/$AF266,2)),"—")</f>
        <v>—</v>
      </c>
      <c r="T266" s="28" t="str">
        <f>IF(AND($C266="",$D266="",NOT(ISNUMBER($E266))),"",IF($G266="",IF(Setup!$C$17="","Equal",Setup!$C$17),$G266))</f>
        <v/>
      </c>
      <c r="U266" s="29">
        <f>IF($T266="",0,IF(OR(Setup!$B$21="",Setup!$C$21="No"),0,IF(ISNUMBER(H266),H266,IF($T266="Weights",IF(ISNUMBER(Setup!$D$21),Setup!$D$21,0),IF($T266="Nights",IF(ISNUMBER(Setup!$E$21),Setup!$E$21,0),IF(OR($T266="Exact amounts",$T266="Custom units"),0,1))))))</f>
        <v>0</v>
      </c>
      <c r="V266" s="29">
        <f>IF($T266="",0,IF(OR(Setup!$B$22="",Setup!$C$22="No"),0,IF(ISNUMBER(I266),I266,IF($T266="Weights",IF(ISNUMBER(Setup!$D$22),Setup!$D$22,0),IF($T266="Nights",IF(ISNUMBER(Setup!$E$22),Setup!$E$22,0),IF(OR($T266="Exact amounts",$T266="Custom units"),0,1))))))</f>
        <v>0</v>
      </c>
      <c r="W266" s="29">
        <f>IF($T266="",0,IF(OR(Setup!$B$23="",Setup!$C$23="No"),0,IF(ISNUMBER(J266),J266,IF($T266="Weights",IF(ISNUMBER(Setup!$D$23),Setup!$D$23,0),IF($T266="Nights",IF(ISNUMBER(Setup!$E$23),Setup!$E$23,0),IF(OR($T266="Exact amounts",$T266="Custom units"),0,1))))))</f>
        <v>0</v>
      </c>
      <c r="X266" s="29">
        <f>IF($T266="",0,IF(OR(Setup!$B$24="",Setup!$C$24="No"),0,IF(ISNUMBER(K266),K266,IF($T266="Weights",IF(ISNUMBER(Setup!$D$24),Setup!$D$24,0),IF($T266="Nights",IF(ISNUMBER(Setup!$E$24),Setup!$E$24,0),IF(OR($T266="Exact amounts",$T266="Custom units"),0,1))))))</f>
        <v>0</v>
      </c>
      <c r="Y266" s="29">
        <f>IF($T266="",0,IF(OR(Setup!$B$25="",Setup!$C$25="No"),0,IF(ISNUMBER(L266),L266,IF($T266="Weights",IF(ISNUMBER(Setup!$D$25),Setup!$D$25,0),IF($T266="Nights",IF(ISNUMBER(Setup!$E$25),Setup!$E$25,0),IF(OR($T266="Exact amounts",$T266="Custom units"),0,1))))))</f>
        <v>0</v>
      </c>
      <c r="Z266" s="29">
        <f>IF($T266="",0,IF(OR(Setup!$B$26="",Setup!$C$26="No"),0,IF(ISNUMBER(M266),M266,IF($T266="Weights",IF(ISNUMBER(Setup!$D$26),Setup!$D$26,0),IF($T266="Nights",IF(ISNUMBER(Setup!$E$26),Setup!$E$26,0),IF(OR($T266="Exact amounts",$T266="Custom units"),0,1))))))</f>
        <v>0</v>
      </c>
      <c r="AA266" s="29">
        <f>IF($T266="",0,IF(OR(Setup!$B$27="",Setup!$C$27="No"),0,IF(ISNUMBER(N266),N266,IF($T266="Weights",IF(ISNUMBER(Setup!$D$27),Setup!$D$27,0),IF($T266="Nights",IF(ISNUMBER(Setup!$E$27),Setup!$E$27,0),IF(OR($T266="Exact amounts",$T266="Custom units"),0,1))))))</f>
        <v>0</v>
      </c>
      <c r="AB266" s="29">
        <f>IF($T266="",0,IF(OR(Setup!$B$28="",Setup!$C$28="No"),0,IF(ISNUMBER(O266),O266,IF($T266="Weights",IF(ISNUMBER(Setup!$D$28),Setup!$D$28,0),IF($T266="Nights",IF(ISNUMBER(Setup!$E$28),Setup!$E$28,0),IF(OR($T266="Exact amounts",$T266="Custom units"),0,1))))))</f>
        <v>0</v>
      </c>
      <c r="AC266" s="29">
        <f>IF($T266="",0,IF(OR(Setup!$B$29="",Setup!$C$29="No"),0,IF(ISNUMBER(P266),P266,IF($T266="Weights",IF(ISNUMBER(Setup!$D$29),Setup!$D$29,0),IF($T266="Nights",IF(ISNUMBER(Setup!$E$29),Setup!$E$29,0),IF(OR($T266="Exact amounts",$T266="Custom units"),0,1))))))</f>
        <v>0</v>
      </c>
      <c r="AD266" s="29">
        <f>IF($T266="",0,IF(OR(Setup!$B$30="",Setup!$C$30="No"),0,IF(ISNUMBER(Q266),Q266,IF($T266="Weights",IF(ISNUMBER(Setup!$D$30),Setup!$D$30,0),IF($T266="Nights",IF(ISNUMBER(Setup!$E$30),Setup!$E$30,0),IF(OR($T266="Exact amounts",$T266="Custom units"),0,1))))))</f>
        <v>0</v>
      </c>
      <c r="AE266" s="29">
        <f t="shared" si="17"/>
        <v>0</v>
      </c>
      <c r="AF266" s="30">
        <f t="shared" si="18"/>
        <v>1</v>
      </c>
      <c r="AG266" s="29">
        <f t="shared" si="19"/>
        <v>0</v>
      </c>
    </row>
    <row r="267" spans="1:33" ht="16" x14ac:dyDescent="0.2">
      <c r="A267" s="22" t="str">
        <f t="shared" si="16"/>
        <v>—</v>
      </c>
      <c r="B267" s="31"/>
      <c r="C267" s="11"/>
      <c r="D267" s="11"/>
      <c r="E267" s="32"/>
      <c r="F267" s="11"/>
      <c r="G267" s="11"/>
      <c r="H267" s="33"/>
      <c r="I267" s="33"/>
      <c r="J267" s="33"/>
      <c r="K267" s="33"/>
      <c r="L267" s="33"/>
      <c r="M267" s="33"/>
      <c r="N267" s="33"/>
      <c r="O267" s="33"/>
      <c r="P267" s="33"/>
      <c r="Q267" s="33"/>
      <c r="R267" s="26" t="str">
        <f>IF($T267="","",IF($D267="","Who paid?",IF(SUMPRODUCT((Setup!$B$21:$B$30=$D267)*1)=0,"Payer is not in the member list on Setup",IF($E267="","Amount missing — type the number in column E",IF(NOT(ISNUMBER($E267)),"Amount must be a plain number — no currency symbol, no text",IF(AND($T267="Custom units",$AE267&lt;=0),"Custom units: nobody has units on this row — type a number for at least one person",IF($AE267&lt;=0,"Nobody shares this row — check the person columns H–Q, and the Weight / Nights columns on Setup",IF(AND($T267="Exact amounts",ABS($AE267-$AG267)&gt;0.01),"Exact amounts do not add up to the amount","OK"))))))))</f>
        <v/>
      </c>
      <c r="S267" s="27" t="str">
        <f>IFERROR(IF(OR($T267="",$C$4=""),"—",ROUND($AG267*INDEX($U267:$AD267,1,MATCH($C$4,Setup!$B$21:$B$30,0))/$AF267,2)),"—")</f>
        <v>—</v>
      </c>
      <c r="T267" s="28" t="str">
        <f>IF(AND($C267="",$D267="",NOT(ISNUMBER($E267))),"",IF($G267="",IF(Setup!$C$17="","Equal",Setup!$C$17),$G267))</f>
        <v/>
      </c>
      <c r="U267" s="29">
        <f>IF($T267="",0,IF(OR(Setup!$B$21="",Setup!$C$21="No"),0,IF(ISNUMBER(H267),H267,IF($T267="Weights",IF(ISNUMBER(Setup!$D$21),Setup!$D$21,0),IF($T267="Nights",IF(ISNUMBER(Setup!$E$21),Setup!$E$21,0),IF(OR($T267="Exact amounts",$T267="Custom units"),0,1))))))</f>
        <v>0</v>
      </c>
      <c r="V267" s="29">
        <f>IF($T267="",0,IF(OR(Setup!$B$22="",Setup!$C$22="No"),0,IF(ISNUMBER(I267),I267,IF($T267="Weights",IF(ISNUMBER(Setup!$D$22),Setup!$D$22,0),IF($T267="Nights",IF(ISNUMBER(Setup!$E$22),Setup!$E$22,0),IF(OR($T267="Exact amounts",$T267="Custom units"),0,1))))))</f>
        <v>0</v>
      </c>
      <c r="W267" s="29">
        <f>IF($T267="",0,IF(OR(Setup!$B$23="",Setup!$C$23="No"),0,IF(ISNUMBER(J267),J267,IF($T267="Weights",IF(ISNUMBER(Setup!$D$23),Setup!$D$23,0),IF($T267="Nights",IF(ISNUMBER(Setup!$E$23),Setup!$E$23,0),IF(OR($T267="Exact amounts",$T267="Custom units"),0,1))))))</f>
        <v>0</v>
      </c>
      <c r="X267" s="29">
        <f>IF($T267="",0,IF(OR(Setup!$B$24="",Setup!$C$24="No"),0,IF(ISNUMBER(K267),K267,IF($T267="Weights",IF(ISNUMBER(Setup!$D$24),Setup!$D$24,0),IF($T267="Nights",IF(ISNUMBER(Setup!$E$24),Setup!$E$24,0),IF(OR($T267="Exact amounts",$T267="Custom units"),0,1))))))</f>
        <v>0</v>
      </c>
      <c r="Y267" s="29">
        <f>IF($T267="",0,IF(OR(Setup!$B$25="",Setup!$C$25="No"),0,IF(ISNUMBER(L267),L267,IF($T267="Weights",IF(ISNUMBER(Setup!$D$25),Setup!$D$25,0),IF($T267="Nights",IF(ISNUMBER(Setup!$E$25),Setup!$E$25,0),IF(OR($T267="Exact amounts",$T267="Custom units"),0,1))))))</f>
        <v>0</v>
      </c>
      <c r="Z267" s="29">
        <f>IF($T267="",0,IF(OR(Setup!$B$26="",Setup!$C$26="No"),0,IF(ISNUMBER(M267),M267,IF($T267="Weights",IF(ISNUMBER(Setup!$D$26),Setup!$D$26,0),IF($T267="Nights",IF(ISNUMBER(Setup!$E$26),Setup!$E$26,0),IF(OR($T267="Exact amounts",$T267="Custom units"),0,1))))))</f>
        <v>0</v>
      </c>
      <c r="AA267" s="29">
        <f>IF($T267="",0,IF(OR(Setup!$B$27="",Setup!$C$27="No"),0,IF(ISNUMBER(N267),N267,IF($T267="Weights",IF(ISNUMBER(Setup!$D$27),Setup!$D$27,0),IF($T267="Nights",IF(ISNUMBER(Setup!$E$27),Setup!$E$27,0),IF(OR($T267="Exact amounts",$T267="Custom units"),0,1))))))</f>
        <v>0</v>
      </c>
      <c r="AB267" s="29">
        <f>IF($T267="",0,IF(OR(Setup!$B$28="",Setup!$C$28="No"),0,IF(ISNUMBER(O267),O267,IF($T267="Weights",IF(ISNUMBER(Setup!$D$28),Setup!$D$28,0),IF($T267="Nights",IF(ISNUMBER(Setup!$E$28),Setup!$E$28,0),IF(OR($T267="Exact amounts",$T267="Custom units"),0,1))))))</f>
        <v>0</v>
      </c>
      <c r="AC267" s="29">
        <f>IF($T267="",0,IF(OR(Setup!$B$29="",Setup!$C$29="No"),0,IF(ISNUMBER(P267),P267,IF($T267="Weights",IF(ISNUMBER(Setup!$D$29),Setup!$D$29,0),IF($T267="Nights",IF(ISNUMBER(Setup!$E$29),Setup!$E$29,0),IF(OR($T267="Exact amounts",$T267="Custom units"),0,1))))))</f>
        <v>0</v>
      </c>
      <c r="AD267" s="29">
        <f>IF($T267="",0,IF(OR(Setup!$B$30="",Setup!$C$30="No"),0,IF(ISNUMBER(Q267),Q267,IF($T267="Weights",IF(ISNUMBER(Setup!$D$30),Setup!$D$30,0),IF($T267="Nights",IF(ISNUMBER(Setup!$E$30),Setup!$E$30,0),IF(OR($T267="Exact amounts",$T267="Custom units"),0,1))))))</f>
        <v>0</v>
      </c>
      <c r="AE267" s="29">
        <f t="shared" si="17"/>
        <v>0</v>
      </c>
      <c r="AF267" s="30">
        <f t="shared" si="18"/>
        <v>1</v>
      </c>
      <c r="AG267" s="29">
        <f t="shared" si="19"/>
        <v>0</v>
      </c>
    </row>
    <row r="268" spans="1:33" ht="16" x14ac:dyDescent="0.2">
      <c r="A268" s="22" t="str">
        <f t="shared" si="16"/>
        <v>—</v>
      </c>
      <c r="B268" s="23"/>
      <c r="C268" s="16"/>
      <c r="D268" s="16"/>
      <c r="E268" s="24"/>
      <c r="F268" s="16"/>
      <c r="G268" s="16"/>
      <c r="H268" s="25"/>
      <c r="I268" s="25"/>
      <c r="J268" s="25"/>
      <c r="K268" s="25"/>
      <c r="L268" s="25"/>
      <c r="M268" s="25"/>
      <c r="N268" s="25"/>
      <c r="O268" s="25"/>
      <c r="P268" s="25"/>
      <c r="Q268" s="25"/>
      <c r="R268" s="26" t="str">
        <f>IF($T268="","",IF($D268="","Who paid?",IF(SUMPRODUCT((Setup!$B$21:$B$30=$D268)*1)=0,"Payer is not in the member list on Setup",IF($E268="","Amount missing — type the number in column E",IF(NOT(ISNUMBER($E268)),"Amount must be a plain number — no currency symbol, no text",IF(AND($T268="Custom units",$AE268&lt;=0),"Custom units: nobody has units on this row — type a number for at least one person",IF($AE268&lt;=0,"Nobody shares this row — check the person columns H–Q, and the Weight / Nights columns on Setup",IF(AND($T268="Exact amounts",ABS($AE268-$AG268)&gt;0.01),"Exact amounts do not add up to the amount","OK"))))))))</f>
        <v/>
      </c>
      <c r="S268" s="27" t="str">
        <f>IFERROR(IF(OR($T268="",$C$4=""),"—",ROUND($AG268*INDEX($U268:$AD268,1,MATCH($C$4,Setup!$B$21:$B$30,0))/$AF268,2)),"—")</f>
        <v>—</v>
      </c>
      <c r="T268" s="28" t="str">
        <f>IF(AND($C268="",$D268="",NOT(ISNUMBER($E268))),"",IF($G268="",IF(Setup!$C$17="","Equal",Setup!$C$17),$G268))</f>
        <v/>
      </c>
      <c r="U268" s="29">
        <f>IF($T268="",0,IF(OR(Setup!$B$21="",Setup!$C$21="No"),0,IF(ISNUMBER(H268),H268,IF($T268="Weights",IF(ISNUMBER(Setup!$D$21),Setup!$D$21,0),IF($T268="Nights",IF(ISNUMBER(Setup!$E$21),Setup!$E$21,0),IF(OR($T268="Exact amounts",$T268="Custom units"),0,1))))))</f>
        <v>0</v>
      </c>
      <c r="V268" s="29">
        <f>IF($T268="",0,IF(OR(Setup!$B$22="",Setup!$C$22="No"),0,IF(ISNUMBER(I268),I268,IF($T268="Weights",IF(ISNUMBER(Setup!$D$22),Setup!$D$22,0),IF($T268="Nights",IF(ISNUMBER(Setup!$E$22),Setup!$E$22,0),IF(OR($T268="Exact amounts",$T268="Custom units"),0,1))))))</f>
        <v>0</v>
      </c>
      <c r="W268" s="29">
        <f>IF($T268="",0,IF(OR(Setup!$B$23="",Setup!$C$23="No"),0,IF(ISNUMBER(J268),J268,IF($T268="Weights",IF(ISNUMBER(Setup!$D$23),Setup!$D$23,0),IF($T268="Nights",IF(ISNUMBER(Setup!$E$23),Setup!$E$23,0),IF(OR($T268="Exact amounts",$T268="Custom units"),0,1))))))</f>
        <v>0</v>
      </c>
      <c r="X268" s="29">
        <f>IF($T268="",0,IF(OR(Setup!$B$24="",Setup!$C$24="No"),0,IF(ISNUMBER(K268),K268,IF($T268="Weights",IF(ISNUMBER(Setup!$D$24),Setup!$D$24,0),IF($T268="Nights",IF(ISNUMBER(Setup!$E$24),Setup!$E$24,0),IF(OR($T268="Exact amounts",$T268="Custom units"),0,1))))))</f>
        <v>0</v>
      </c>
      <c r="Y268" s="29">
        <f>IF($T268="",0,IF(OR(Setup!$B$25="",Setup!$C$25="No"),0,IF(ISNUMBER(L268),L268,IF($T268="Weights",IF(ISNUMBER(Setup!$D$25),Setup!$D$25,0),IF($T268="Nights",IF(ISNUMBER(Setup!$E$25),Setup!$E$25,0),IF(OR($T268="Exact amounts",$T268="Custom units"),0,1))))))</f>
        <v>0</v>
      </c>
      <c r="Z268" s="29">
        <f>IF($T268="",0,IF(OR(Setup!$B$26="",Setup!$C$26="No"),0,IF(ISNUMBER(M268),M268,IF($T268="Weights",IF(ISNUMBER(Setup!$D$26),Setup!$D$26,0),IF($T268="Nights",IF(ISNUMBER(Setup!$E$26),Setup!$E$26,0),IF(OR($T268="Exact amounts",$T268="Custom units"),0,1))))))</f>
        <v>0</v>
      </c>
      <c r="AA268" s="29">
        <f>IF($T268="",0,IF(OR(Setup!$B$27="",Setup!$C$27="No"),0,IF(ISNUMBER(N268),N268,IF($T268="Weights",IF(ISNUMBER(Setup!$D$27),Setup!$D$27,0),IF($T268="Nights",IF(ISNUMBER(Setup!$E$27),Setup!$E$27,0),IF(OR($T268="Exact amounts",$T268="Custom units"),0,1))))))</f>
        <v>0</v>
      </c>
      <c r="AB268" s="29">
        <f>IF($T268="",0,IF(OR(Setup!$B$28="",Setup!$C$28="No"),0,IF(ISNUMBER(O268),O268,IF($T268="Weights",IF(ISNUMBER(Setup!$D$28),Setup!$D$28,0),IF($T268="Nights",IF(ISNUMBER(Setup!$E$28),Setup!$E$28,0),IF(OR($T268="Exact amounts",$T268="Custom units"),0,1))))))</f>
        <v>0</v>
      </c>
      <c r="AC268" s="29">
        <f>IF($T268="",0,IF(OR(Setup!$B$29="",Setup!$C$29="No"),0,IF(ISNUMBER(P268),P268,IF($T268="Weights",IF(ISNUMBER(Setup!$D$29),Setup!$D$29,0),IF($T268="Nights",IF(ISNUMBER(Setup!$E$29),Setup!$E$29,0),IF(OR($T268="Exact amounts",$T268="Custom units"),0,1))))))</f>
        <v>0</v>
      </c>
      <c r="AD268" s="29">
        <f>IF($T268="",0,IF(OR(Setup!$B$30="",Setup!$C$30="No"),0,IF(ISNUMBER(Q268),Q268,IF($T268="Weights",IF(ISNUMBER(Setup!$D$30),Setup!$D$30,0),IF($T268="Nights",IF(ISNUMBER(Setup!$E$30),Setup!$E$30,0),IF(OR($T268="Exact amounts",$T268="Custom units"),0,1))))))</f>
        <v>0</v>
      </c>
      <c r="AE268" s="29">
        <f t="shared" si="17"/>
        <v>0</v>
      </c>
      <c r="AF268" s="30">
        <f t="shared" si="18"/>
        <v>1</v>
      </c>
      <c r="AG268" s="29">
        <f t="shared" si="19"/>
        <v>0</v>
      </c>
    </row>
    <row r="269" spans="1:33" ht="16" x14ac:dyDescent="0.2">
      <c r="A269" s="22" t="str">
        <f t="shared" si="16"/>
        <v>—</v>
      </c>
      <c r="B269" s="31"/>
      <c r="C269" s="11"/>
      <c r="D269" s="11"/>
      <c r="E269" s="32"/>
      <c r="F269" s="11"/>
      <c r="G269" s="11"/>
      <c r="H269" s="33"/>
      <c r="I269" s="33"/>
      <c r="J269" s="33"/>
      <c r="K269" s="33"/>
      <c r="L269" s="33"/>
      <c r="M269" s="33"/>
      <c r="N269" s="33"/>
      <c r="O269" s="33"/>
      <c r="P269" s="33"/>
      <c r="Q269" s="33"/>
      <c r="R269" s="26" t="str">
        <f>IF($T269="","",IF($D269="","Who paid?",IF(SUMPRODUCT((Setup!$B$21:$B$30=$D269)*1)=0,"Payer is not in the member list on Setup",IF($E269="","Amount missing — type the number in column E",IF(NOT(ISNUMBER($E269)),"Amount must be a plain number — no currency symbol, no text",IF(AND($T269="Custom units",$AE269&lt;=0),"Custom units: nobody has units on this row — type a number for at least one person",IF($AE269&lt;=0,"Nobody shares this row — check the person columns H–Q, and the Weight / Nights columns on Setup",IF(AND($T269="Exact amounts",ABS($AE269-$AG269)&gt;0.01),"Exact amounts do not add up to the amount","OK"))))))))</f>
        <v/>
      </c>
      <c r="S269" s="27" t="str">
        <f>IFERROR(IF(OR($T269="",$C$4=""),"—",ROUND($AG269*INDEX($U269:$AD269,1,MATCH($C$4,Setup!$B$21:$B$30,0))/$AF269,2)),"—")</f>
        <v>—</v>
      </c>
      <c r="T269" s="28" t="str">
        <f>IF(AND($C269="",$D269="",NOT(ISNUMBER($E269))),"",IF($G269="",IF(Setup!$C$17="","Equal",Setup!$C$17),$G269))</f>
        <v/>
      </c>
      <c r="U269" s="29">
        <f>IF($T269="",0,IF(OR(Setup!$B$21="",Setup!$C$21="No"),0,IF(ISNUMBER(H269),H269,IF($T269="Weights",IF(ISNUMBER(Setup!$D$21),Setup!$D$21,0),IF($T269="Nights",IF(ISNUMBER(Setup!$E$21),Setup!$E$21,0),IF(OR($T269="Exact amounts",$T269="Custom units"),0,1))))))</f>
        <v>0</v>
      </c>
      <c r="V269" s="29">
        <f>IF($T269="",0,IF(OR(Setup!$B$22="",Setup!$C$22="No"),0,IF(ISNUMBER(I269),I269,IF($T269="Weights",IF(ISNUMBER(Setup!$D$22),Setup!$D$22,0),IF($T269="Nights",IF(ISNUMBER(Setup!$E$22),Setup!$E$22,0),IF(OR($T269="Exact amounts",$T269="Custom units"),0,1))))))</f>
        <v>0</v>
      </c>
      <c r="W269" s="29">
        <f>IF($T269="",0,IF(OR(Setup!$B$23="",Setup!$C$23="No"),0,IF(ISNUMBER(J269),J269,IF($T269="Weights",IF(ISNUMBER(Setup!$D$23),Setup!$D$23,0),IF($T269="Nights",IF(ISNUMBER(Setup!$E$23),Setup!$E$23,0),IF(OR($T269="Exact amounts",$T269="Custom units"),0,1))))))</f>
        <v>0</v>
      </c>
      <c r="X269" s="29">
        <f>IF($T269="",0,IF(OR(Setup!$B$24="",Setup!$C$24="No"),0,IF(ISNUMBER(K269),K269,IF($T269="Weights",IF(ISNUMBER(Setup!$D$24),Setup!$D$24,0),IF($T269="Nights",IF(ISNUMBER(Setup!$E$24),Setup!$E$24,0),IF(OR($T269="Exact amounts",$T269="Custom units"),0,1))))))</f>
        <v>0</v>
      </c>
      <c r="Y269" s="29">
        <f>IF($T269="",0,IF(OR(Setup!$B$25="",Setup!$C$25="No"),0,IF(ISNUMBER(L269),L269,IF($T269="Weights",IF(ISNUMBER(Setup!$D$25),Setup!$D$25,0),IF($T269="Nights",IF(ISNUMBER(Setup!$E$25),Setup!$E$25,0),IF(OR($T269="Exact amounts",$T269="Custom units"),0,1))))))</f>
        <v>0</v>
      </c>
      <c r="Z269" s="29">
        <f>IF($T269="",0,IF(OR(Setup!$B$26="",Setup!$C$26="No"),0,IF(ISNUMBER(M269),M269,IF($T269="Weights",IF(ISNUMBER(Setup!$D$26),Setup!$D$26,0),IF($T269="Nights",IF(ISNUMBER(Setup!$E$26),Setup!$E$26,0),IF(OR($T269="Exact amounts",$T269="Custom units"),0,1))))))</f>
        <v>0</v>
      </c>
      <c r="AA269" s="29">
        <f>IF($T269="",0,IF(OR(Setup!$B$27="",Setup!$C$27="No"),0,IF(ISNUMBER(N269),N269,IF($T269="Weights",IF(ISNUMBER(Setup!$D$27),Setup!$D$27,0),IF($T269="Nights",IF(ISNUMBER(Setup!$E$27),Setup!$E$27,0),IF(OR($T269="Exact amounts",$T269="Custom units"),0,1))))))</f>
        <v>0</v>
      </c>
      <c r="AB269" s="29">
        <f>IF($T269="",0,IF(OR(Setup!$B$28="",Setup!$C$28="No"),0,IF(ISNUMBER(O269),O269,IF($T269="Weights",IF(ISNUMBER(Setup!$D$28),Setup!$D$28,0),IF($T269="Nights",IF(ISNUMBER(Setup!$E$28),Setup!$E$28,0),IF(OR($T269="Exact amounts",$T269="Custom units"),0,1))))))</f>
        <v>0</v>
      </c>
      <c r="AC269" s="29">
        <f>IF($T269="",0,IF(OR(Setup!$B$29="",Setup!$C$29="No"),0,IF(ISNUMBER(P269),P269,IF($T269="Weights",IF(ISNUMBER(Setup!$D$29),Setup!$D$29,0),IF($T269="Nights",IF(ISNUMBER(Setup!$E$29),Setup!$E$29,0),IF(OR($T269="Exact amounts",$T269="Custom units"),0,1))))))</f>
        <v>0</v>
      </c>
      <c r="AD269" s="29">
        <f>IF($T269="",0,IF(OR(Setup!$B$30="",Setup!$C$30="No"),0,IF(ISNUMBER(Q269),Q269,IF($T269="Weights",IF(ISNUMBER(Setup!$D$30),Setup!$D$30,0),IF($T269="Nights",IF(ISNUMBER(Setup!$E$30),Setup!$E$30,0),IF(OR($T269="Exact amounts",$T269="Custom units"),0,1))))))</f>
        <v>0</v>
      </c>
      <c r="AE269" s="29">
        <f t="shared" si="17"/>
        <v>0</v>
      </c>
      <c r="AF269" s="30">
        <f t="shared" si="18"/>
        <v>1</v>
      </c>
      <c r="AG269" s="29">
        <f t="shared" si="19"/>
        <v>0</v>
      </c>
    </row>
    <row r="270" spans="1:33" ht="16" x14ac:dyDescent="0.2">
      <c r="A270" s="22" t="str">
        <f t="shared" si="16"/>
        <v>—</v>
      </c>
      <c r="B270" s="23"/>
      <c r="C270" s="16"/>
      <c r="D270" s="16"/>
      <c r="E270" s="24"/>
      <c r="F270" s="16"/>
      <c r="G270" s="16"/>
      <c r="H270" s="25"/>
      <c r="I270" s="25"/>
      <c r="J270" s="25"/>
      <c r="K270" s="25"/>
      <c r="L270" s="25"/>
      <c r="M270" s="25"/>
      <c r="N270" s="25"/>
      <c r="O270" s="25"/>
      <c r="P270" s="25"/>
      <c r="Q270" s="25"/>
      <c r="R270" s="26" t="str">
        <f>IF($T270="","",IF($D270="","Who paid?",IF(SUMPRODUCT((Setup!$B$21:$B$30=$D270)*1)=0,"Payer is not in the member list on Setup",IF($E270="","Amount missing — type the number in column E",IF(NOT(ISNUMBER($E270)),"Amount must be a plain number — no currency symbol, no text",IF(AND($T270="Custom units",$AE270&lt;=0),"Custom units: nobody has units on this row — type a number for at least one person",IF($AE270&lt;=0,"Nobody shares this row — check the person columns H–Q, and the Weight / Nights columns on Setup",IF(AND($T270="Exact amounts",ABS($AE270-$AG270)&gt;0.01),"Exact amounts do not add up to the amount","OK"))))))))</f>
        <v/>
      </c>
      <c r="S270" s="27" t="str">
        <f>IFERROR(IF(OR($T270="",$C$4=""),"—",ROUND($AG270*INDEX($U270:$AD270,1,MATCH($C$4,Setup!$B$21:$B$30,0))/$AF270,2)),"—")</f>
        <v>—</v>
      </c>
      <c r="T270" s="28" t="str">
        <f>IF(AND($C270="",$D270="",NOT(ISNUMBER($E270))),"",IF($G270="",IF(Setup!$C$17="","Equal",Setup!$C$17),$G270))</f>
        <v/>
      </c>
      <c r="U270" s="29">
        <f>IF($T270="",0,IF(OR(Setup!$B$21="",Setup!$C$21="No"),0,IF(ISNUMBER(H270),H270,IF($T270="Weights",IF(ISNUMBER(Setup!$D$21),Setup!$D$21,0),IF($T270="Nights",IF(ISNUMBER(Setup!$E$21),Setup!$E$21,0),IF(OR($T270="Exact amounts",$T270="Custom units"),0,1))))))</f>
        <v>0</v>
      </c>
      <c r="V270" s="29">
        <f>IF($T270="",0,IF(OR(Setup!$B$22="",Setup!$C$22="No"),0,IF(ISNUMBER(I270),I270,IF($T270="Weights",IF(ISNUMBER(Setup!$D$22),Setup!$D$22,0),IF($T270="Nights",IF(ISNUMBER(Setup!$E$22),Setup!$E$22,0),IF(OR($T270="Exact amounts",$T270="Custom units"),0,1))))))</f>
        <v>0</v>
      </c>
      <c r="W270" s="29">
        <f>IF($T270="",0,IF(OR(Setup!$B$23="",Setup!$C$23="No"),0,IF(ISNUMBER(J270),J270,IF($T270="Weights",IF(ISNUMBER(Setup!$D$23),Setup!$D$23,0),IF($T270="Nights",IF(ISNUMBER(Setup!$E$23),Setup!$E$23,0),IF(OR($T270="Exact amounts",$T270="Custom units"),0,1))))))</f>
        <v>0</v>
      </c>
      <c r="X270" s="29">
        <f>IF($T270="",0,IF(OR(Setup!$B$24="",Setup!$C$24="No"),0,IF(ISNUMBER(K270),K270,IF($T270="Weights",IF(ISNUMBER(Setup!$D$24),Setup!$D$24,0),IF($T270="Nights",IF(ISNUMBER(Setup!$E$24),Setup!$E$24,0),IF(OR($T270="Exact amounts",$T270="Custom units"),0,1))))))</f>
        <v>0</v>
      </c>
      <c r="Y270" s="29">
        <f>IF($T270="",0,IF(OR(Setup!$B$25="",Setup!$C$25="No"),0,IF(ISNUMBER(L270),L270,IF($T270="Weights",IF(ISNUMBER(Setup!$D$25),Setup!$D$25,0),IF($T270="Nights",IF(ISNUMBER(Setup!$E$25),Setup!$E$25,0),IF(OR($T270="Exact amounts",$T270="Custom units"),0,1))))))</f>
        <v>0</v>
      </c>
      <c r="Z270" s="29">
        <f>IF($T270="",0,IF(OR(Setup!$B$26="",Setup!$C$26="No"),0,IF(ISNUMBER(M270),M270,IF($T270="Weights",IF(ISNUMBER(Setup!$D$26),Setup!$D$26,0),IF($T270="Nights",IF(ISNUMBER(Setup!$E$26),Setup!$E$26,0),IF(OR($T270="Exact amounts",$T270="Custom units"),0,1))))))</f>
        <v>0</v>
      </c>
      <c r="AA270" s="29">
        <f>IF($T270="",0,IF(OR(Setup!$B$27="",Setup!$C$27="No"),0,IF(ISNUMBER(N270),N270,IF($T270="Weights",IF(ISNUMBER(Setup!$D$27),Setup!$D$27,0),IF($T270="Nights",IF(ISNUMBER(Setup!$E$27),Setup!$E$27,0),IF(OR($T270="Exact amounts",$T270="Custom units"),0,1))))))</f>
        <v>0</v>
      </c>
      <c r="AB270" s="29">
        <f>IF($T270="",0,IF(OR(Setup!$B$28="",Setup!$C$28="No"),0,IF(ISNUMBER(O270),O270,IF($T270="Weights",IF(ISNUMBER(Setup!$D$28),Setup!$D$28,0),IF($T270="Nights",IF(ISNUMBER(Setup!$E$28),Setup!$E$28,0),IF(OR($T270="Exact amounts",$T270="Custom units"),0,1))))))</f>
        <v>0</v>
      </c>
      <c r="AC270" s="29">
        <f>IF($T270="",0,IF(OR(Setup!$B$29="",Setup!$C$29="No"),0,IF(ISNUMBER(P270),P270,IF($T270="Weights",IF(ISNUMBER(Setup!$D$29),Setup!$D$29,0),IF($T270="Nights",IF(ISNUMBER(Setup!$E$29),Setup!$E$29,0),IF(OR($T270="Exact amounts",$T270="Custom units"),0,1))))))</f>
        <v>0</v>
      </c>
      <c r="AD270" s="29">
        <f>IF($T270="",0,IF(OR(Setup!$B$30="",Setup!$C$30="No"),0,IF(ISNUMBER(Q270),Q270,IF($T270="Weights",IF(ISNUMBER(Setup!$D$30),Setup!$D$30,0),IF($T270="Nights",IF(ISNUMBER(Setup!$E$30),Setup!$E$30,0),IF(OR($T270="Exact amounts",$T270="Custom units"),0,1))))))</f>
        <v>0</v>
      </c>
      <c r="AE270" s="29">
        <f t="shared" si="17"/>
        <v>0</v>
      </c>
      <c r="AF270" s="30">
        <f t="shared" si="18"/>
        <v>1</v>
      </c>
      <c r="AG270" s="29">
        <f t="shared" si="19"/>
        <v>0</v>
      </c>
    </row>
    <row r="271" spans="1:33" ht="16" x14ac:dyDescent="0.2">
      <c r="A271" s="22" t="str">
        <f t="shared" si="16"/>
        <v>—</v>
      </c>
      <c r="B271" s="31"/>
      <c r="C271" s="11"/>
      <c r="D271" s="11"/>
      <c r="E271" s="32"/>
      <c r="F271" s="11"/>
      <c r="G271" s="11"/>
      <c r="H271" s="33"/>
      <c r="I271" s="33"/>
      <c r="J271" s="33"/>
      <c r="K271" s="33"/>
      <c r="L271" s="33"/>
      <c r="M271" s="33"/>
      <c r="N271" s="33"/>
      <c r="O271" s="33"/>
      <c r="P271" s="33"/>
      <c r="Q271" s="33"/>
      <c r="R271" s="26" t="str">
        <f>IF($T271="","",IF($D271="","Who paid?",IF(SUMPRODUCT((Setup!$B$21:$B$30=$D271)*1)=0,"Payer is not in the member list on Setup",IF($E271="","Amount missing — type the number in column E",IF(NOT(ISNUMBER($E271)),"Amount must be a plain number — no currency symbol, no text",IF(AND($T271="Custom units",$AE271&lt;=0),"Custom units: nobody has units on this row — type a number for at least one person",IF($AE271&lt;=0,"Nobody shares this row — check the person columns H–Q, and the Weight / Nights columns on Setup",IF(AND($T271="Exact amounts",ABS($AE271-$AG271)&gt;0.01),"Exact amounts do not add up to the amount","OK"))))))))</f>
        <v/>
      </c>
      <c r="S271" s="27" t="str">
        <f>IFERROR(IF(OR($T271="",$C$4=""),"—",ROUND($AG271*INDEX($U271:$AD271,1,MATCH($C$4,Setup!$B$21:$B$30,0))/$AF271,2)),"—")</f>
        <v>—</v>
      </c>
      <c r="T271" s="28" t="str">
        <f>IF(AND($C271="",$D271="",NOT(ISNUMBER($E271))),"",IF($G271="",IF(Setup!$C$17="","Equal",Setup!$C$17),$G271))</f>
        <v/>
      </c>
      <c r="U271" s="29">
        <f>IF($T271="",0,IF(OR(Setup!$B$21="",Setup!$C$21="No"),0,IF(ISNUMBER(H271),H271,IF($T271="Weights",IF(ISNUMBER(Setup!$D$21),Setup!$D$21,0),IF($T271="Nights",IF(ISNUMBER(Setup!$E$21),Setup!$E$21,0),IF(OR($T271="Exact amounts",$T271="Custom units"),0,1))))))</f>
        <v>0</v>
      </c>
      <c r="V271" s="29">
        <f>IF($T271="",0,IF(OR(Setup!$B$22="",Setup!$C$22="No"),0,IF(ISNUMBER(I271),I271,IF($T271="Weights",IF(ISNUMBER(Setup!$D$22),Setup!$D$22,0),IF($T271="Nights",IF(ISNUMBER(Setup!$E$22),Setup!$E$22,0),IF(OR($T271="Exact amounts",$T271="Custom units"),0,1))))))</f>
        <v>0</v>
      </c>
      <c r="W271" s="29">
        <f>IF($T271="",0,IF(OR(Setup!$B$23="",Setup!$C$23="No"),0,IF(ISNUMBER(J271),J271,IF($T271="Weights",IF(ISNUMBER(Setup!$D$23),Setup!$D$23,0),IF($T271="Nights",IF(ISNUMBER(Setup!$E$23),Setup!$E$23,0),IF(OR($T271="Exact amounts",$T271="Custom units"),0,1))))))</f>
        <v>0</v>
      </c>
      <c r="X271" s="29">
        <f>IF($T271="",0,IF(OR(Setup!$B$24="",Setup!$C$24="No"),0,IF(ISNUMBER(K271),K271,IF($T271="Weights",IF(ISNUMBER(Setup!$D$24),Setup!$D$24,0),IF($T271="Nights",IF(ISNUMBER(Setup!$E$24),Setup!$E$24,0),IF(OR($T271="Exact amounts",$T271="Custom units"),0,1))))))</f>
        <v>0</v>
      </c>
      <c r="Y271" s="29">
        <f>IF($T271="",0,IF(OR(Setup!$B$25="",Setup!$C$25="No"),0,IF(ISNUMBER(L271),L271,IF($T271="Weights",IF(ISNUMBER(Setup!$D$25),Setup!$D$25,0),IF($T271="Nights",IF(ISNUMBER(Setup!$E$25),Setup!$E$25,0),IF(OR($T271="Exact amounts",$T271="Custom units"),0,1))))))</f>
        <v>0</v>
      </c>
      <c r="Z271" s="29">
        <f>IF($T271="",0,IF(OR(Setup!$B$26="",Setup!$C$26="No"),0,IF(ISNUMBER(M271),M271,IF($T271="Weights",IF(ISNUMBER(Setup!$D$26),Setup!$D$26,0),IF($T271="Nights",IF(ISNUMBER(Setup!$E$26),Setup!$E$26,0),IF(OR($T271="Exact amounts",$T271="Custom units"),0,1))))))</f>
        <v>0</v>
      </c>
      <c r="AA271" s="29">
        <f>IF($T271="",0,IF(OR(Setup!$B$27="",Setup!$C$27="No"),0,IF(ISNUMBER(N271),N271,IF($T271="Weights",IF(ISNUMBER(Setup!$D$27),Setup!$D$27,0),IF($T271="Nights",IF(ISNUMBER(Setup!$E$27),Setup!$E$27,0),IF(OR($T271="Exact amounts",$T271="Custom units"),0,1))))))</f>
        <v>0</v>
      </c>
      <c r="AB271" s="29">
        <f>IF($T271="",0,IF(OR(Setup!$B$28="",Setup!$C$28="No"),0,IF(ISNUMBER(O271),O271,IF($T271="Weights",IF(ISNUMBER(Setup!$D$28),Setup!$D$28,0),IF($T271="Nights",IF(ISNUMBER(Setup!$E$28),Setup!$E$28,0),IF(OR($T271="Exact amounts",$T271="Custom units"),0,1))))))</f>
        <v>0</v>
      </c>
      <c r="AC271" s="29">
        <f>IF($T271="",0,IF(OR(Setup!$B$29="",Setup!$C$29="No"),0,IF(ISNUMBER(P271),P271,IF($T271="Weights",IF(ISNUMBER(Setup!$D$29),Setup!$D$29,0),IF($T271="Nights",IF(ISNUMBER(Setup!$E$29),Setup!$E$29,0),IF(OR($T271="Exact amounts",$T271="Custom units"),0,1))))))</f>
        <v>0</v>
      </c>
      <c r="AD271" s="29">
        <f>IF($T271="",0,IF(OR(Setup!$B$30="",Setup!$C$30="No"),0,IF(ISNUMBER(Q271),Q271,IF($T271="Weights",IF(ISNUMBER(Setup!$D$30),Setup!$D$30,0),IF($T271="Nights",IF(ISNUMBER(Setup!$E$30),Setup!$E$30,0),IF(OR($T271="Exact amounts",$T271="Custom units"),0,1))))))</f>
        <v>0</v>
      </c>
      <c r="AE271" s="29">
        <f t="shared" si="17"/>
        <v>0</v>
      </c>
      <c r="AF271" s="30">
        <f t="shared" si="18"/>
        <v>1</v>
      </c>
      <c r="AG271" s="29">
        <f t="shared" si="19"/>
        <v>0</v>
      </c>
    </row>
    <row r="272" spans="1:33" ht="16" x14ac:dyDescent="0.2">
      <c r="A272" s="22" t="str">
        <f t="shared" si="16"/>
        <v>—</v>
      </c>
      <c r="B272" s="23"/>
      <c r="C272" s="16"/>
      <c r="D272" s="16"/>
      <c r="E272" s="24"/>
      <c r="F272" s="16"/>
      <c r="G272" s="16"/>
      <c r="H272" s="25"/>
      <c r="I272" s="25"/>
      <c r="J272" s="25"/>
      <c r="K272" s="25"/>
      <c r="L272" s="25"/>
      <c r="M272" s="25"/>
      <c r="N272" s="25"/>
      <c r="O272" s="25"/>
      <c r="P272" s="25"/>
      <c r="Q272" s="25"/>
      <c r="R272" s="26" t="str">
        <f>IF($T272="","",IF($D272="","Who paid?",IF(SUMPRODUCT((Setup!$B$21:$B$30=$D272)*1)=0,"Payer is not in the member list on Setup",IF($E272="","Amount missing — type the number in column E",IF(NOT(ISNUMBER($E272)),"Amount must be a plain number — no currency symbol, no text",IF(AND($T272="Custom units",$AE272&lt;=0),"Custom units: nobody has units on this row — type a number for at least one person",IF($AE272&lt;=0,"Nobody shares this row — check the person columns H–Q, and the Weight / Nights columns on Setup",IF(AND($T272="Exact amounts",ABS($AE272-$AG272)&gt;0.01),"Exact amounts do not add up to the amount","OK"))))))))</f>
        <v/>
      </c>
      <c r="S272" s="27" t="str">
        <f>IFERROR(IF(OR($T272="",$C$4=""),"—",ROUND($AG272*INDEX($U272:$AD272,1,MATCH($C$4,Setup!$B$21:$B$30,0))/$AF272,2)),"—")</f>
        <v>—</v>
      </c>
      <c r="T272" s="28" t="str">
        <f>IF(AND($C272="",$D272="",NOT(ISNUMBER($E272))),"",IF($G272="",IF(Setup!$C$17="","Equal",Setup!$C$17),$G272))</f>
        <v/>
      </c>
      <c r="U272" s="29">
        <f>IF($T272="",0,IF(OR(Setup!$B$21="",Setup!$C$21="No"),0,IF(ISNUMBER(H272),H272,IF($T272="Weights",IF(ISNUMBER(Setup!$D$21),Setup!$D$21,0),IF($T272="Nights",IF(ISNUMBER(Setup!$E$21),Setup!$E$21,0),IF(OR($T272="Exact amounts",$T272="Custom units"),0,1))))))</f>
        <v>0</v>
      </c>
      <c r="V272" s="29">
        <f>IF($T272="",0,IF(OR(Setup!$B$22="",Setup!$C$22="No"),0,IF(ISNUMBER(I272),I272,IF($T272="Weights",IF(ISNUMBER(Setup!$D$22),Setup!$D$22,0),IF($T272="Nights",IF(ISNUMBER(Setup!$E$22),Setup!$E$22,0),IF(OR($T272="Exact amounts",$T272="Custom units"),0,1))))))</f>
        <v>0</v>
      </c>
      <c r="W272" s="29">
        <f>IF($T272="",0,IF(OR(Setup!$B$23="",Setup!$C$23="No"),0,IF(ISNUMBER(J272),J272,IF($T272="Weights",IF(ISNUMBER(Setup!$D$23),Setup!$D$23,0),IF($T272="Nights",IF(ISNUMBER(Setup!$E$23),Setup!$E$23,0),IF(OR($T272="Exact amounts",$T272="Custom units"),0,1))))))</f>
        <v>0</v>
      </c>
      <c r="X272" s="29">
        <f>IF($T272="",0,IF(OR(Setup!$B$24="",Setup!$C$24="No"),0,IF(ISNUMBER(K272),K272,IF($T272="Weights",IF(ISNUMBER(Setup!$D$24),Setup!$D$24,0),IF($T272="Nights",IF(ISNUMBER(Setup!$E$24),Setup!$E$24,0),IF(OR($T272="Exact amounts",$T272="Custom units"),0,1))))))</f>
        <v>0</v>
      </c>
      <c r="Y272" s="29">
        <f>IF($T272="",0,IF(OR(Setup!$B$25="",Setup!$C$25="No"),0,IF(ISNUMBER(L272),L272,IF($T272="Weights",IF(ISNUMBER(Setup!$D$25),Setup!$D$25,0),IF($T272="Nights",IF(ISNUMBER(Setup!$E$25),Setup!$E$25,0),IF(OR($T272="Exact amounts",$T272="Custom units"),0,1))))))</f>
        <v>0</v>
      </c>
      <c r="Z272" s="29">
        <f>IF($T272="",0,IF(OR(Setup!$B$26="",Setup!$C$26="No"),0,IF(ISNUMBER(M272),M272,IF($T272="Weights",IF(ISNUMBER(Setup!$D$26),Setup!$D$26,0),IF($T272="Nights",IF(ISNUMBER(Setup!$E$26),Setup!$E$26,0),IF(OR($T272="Exact amounts",$T272="Custom units"),0,1))))))</f>
        <v>0</v>
      </c>
      <c r="AA272" s="29">
        <f>IF($T272="",0,IF(OR(Setup!$B$27="",Setup!$C$27="No"),0,IF(ISNUMBER(N272),N272,IF($T272="Weights",IF(ISNUMBER(Setup!$D$27),Setup!$D$27,0),IF($T272="Nights",IF(ISNUMBER(Setup!$E$27),Setup!$E$27,0),IF(OR($T272="Exact amounts",$T272="Custom units"),0,1))))))</f>
        <v>0</v>
      </c>
      <c r="AB272" s="29">
        <f>IF($T272="",0,IF(OR(Setup!$B$28="",Setup!$C$28="No"),0,IF(ISNUMBER(O272),O272,IF($T272="Weights",IF(ISNUMBER(Setup!$D$28),Setup!$D$28,0),IF($T272="Nights",IF(ISNUMBER(Setup!$E$28),Setup!$E$28,0),IF(OR($T272="Exact amounts",$T272="Custom units"),0,1))))))</f>
        <v>0</v>
      </c>
      <c r="AC272" s="29">
        <f>IF($T272="",0,IF(OR(Setup!$B$29="",Setup!$C$29="No"),0,IF(ISNUMBER(P272),P272,IF($T272="Weights",IF(ISNUMBER(Setup!$D$29),Setup!$D$29,0),IF($T272="Nights",IF(ISNUMBER(Setup!$E$29),Setup!$E$29,0),IF(OR($T272="Exact amounts",$T272="Custom units"),0,1))))))</f>
        <v>0</v>
      </c>
      <c r="AD272" s="29">
        <f>IF($T272="",0,IF(OR(Setup!$B$30="",Setup!$C$30="No"),0,IF(ISNUMBER(Q272),Q272,IF($T272="Weights",IF(ISNUMBER(Setup!$D$30),Setup!$D$30,0),IF($T272="Nights",IF(ISNUMBER(Setup!$E$30),Setup!$E$30,0),IF(OR($T272="Exact amounts",$T272="Custom units"),0,1))))))</f>
        <v>0</v>
      </c>
      <c r="AE272" s="29">
        <f t="shared" si="17"/>
        <v>0</v>
      </c>
      <c r="AF272" s="30">
        <f t="shared" si="18"/>
        <v>1</v>
      </c>
      <c r="AG272" s="29">
        <f t="shared" si="19"/>
        <v>0</v>
      </c>
    </row>
    <row r="273" spans="1:33" ht="16" x14ac:dyDescent="0.2">
      <c r="A273" s="22" t="str">
        <f t="shared" si="16"/>
        <v>—</v>
      </c>
      <c r="B273" s="31"/>
      <c r="C273" s="11"/>
      <c r="D273" s="11"/>
      <c r="E273" s="32"/>
      <c r="F273" s="11"/>
      <c r="G273" s="11"/>
      <c r="H273" s="33"/>
      <c r="I273" s="33"/>
      <c r="J273" s="33"/>
      <c r="K273" s="33"/>
      <c r="L273" s="33"/>
      <c r="M273" s="33"/>
      <c r="N273" s="33"/>
      <c r="O273" s="33"/>
      <c r="P273" s="33"/>
      <c r="Q273" s="33"/>
      <c r="R273" s="26" t="str">
        <f>IF($T273="","",IF($D273="","Who paid?",IF(SUMPRODUCT((Setup!$B$21:$B$30=$D273)*1)=0,"Payer is not in the member list on Setup",IF($E273="","Amount missing — type the number in column E",IF(NOT(ISNUMBER($E273)),"Amount must be a plain number — no currency symbol, no text",IF(AND($T273="Custom units",$AE273&lt;=0),"Custom units: nobody has units on this row — type a number for at least one person",IF($AE273&lt;=0,"Nobody shares this row — check the person columns H–Q, and the Weight / Nights columns on Setup",IF(AND($T273="Exact amounts",ABS($AE273-$AG273)&gt;0.01),"Exact amounts do not add up to the amount","OK"))))))))</f>
        <v/>
      </c>
      <c r="S273" s="27" t="str">
        <f>IFERROR(IF(OR($T273="",$C$4=""),"—",ROUND($AG273*INDEX($U273:$AD273,1,MATCH($C$4,Setup!$B$21:$B$30,0))/$AF273,2)),"—")</f>
        <v>—</v>
      </c>
      <c r="T273" s="28" t="str">
        <f>IF(AND($C273="",$D273="",NOT(ISNUMBER($E273))),"",IF($G273="",IF(Setup!$C$17="","Equal",Setup!$C$17),$G273))</f>
        <v/>
      </c>
      <c r="U273" s="29">
        <f>IF($T273="",0,IF(OR(Setup!$B$21="",Setup!$C$21="No"),0,IF(ISNUMBER(H273),H273,IF($T273="Weights",IF(ISNUMBER(Setup!$D$21),Setup!$D$21,0),IF($T273="Nights",IF(ISNUMBER(Setup!$E$21),Setup!$E$21,0),IF(OR($T273="Exact amounts",$T273="Custom units"),0,1))))))</f>
        <v>0</v>
      </c>
      <c r="V273" s="29">
        <f>IF($T273="",0,IF(OR(Setup!$B$22="",Setup!$C$22="No"),0,IF(ISNUMBER(I273),I273,IF($T273="Weights",IF(ISNUMBER(Setup!$D$22),Setup!$D$22,0),IF($T273="Nights",IF(ISNUMBER(Setup!$E$22),Setup!$E$22,0),IF(OR($T273="Exact amounts",$T273="Custom units"),0,1))))))</f>
        <v>0</v>
      </c>
      <c r="W273" s="29">
        <f>IF($T273="",0,IF(OR(Setup!$B$23="",Setup!$C$23="No"),0,IF(ISNUMBER(J273),J273,IF($T273="Weights",IF(ISNUMBER(Setup!$D$23),Setup!$D$23,0),IF($T273="Nights",IF(ISNUMBER(Setup!$E$23),Setup!$E$23,0),IF(OR($T273="Exact amounts",$T273="Custom units"),0,1))))))</f>
        <v>0</v>
      </c>
      <c r="X273" s="29">
        <f>IF($T273="",0,IF(OR(Setup!$B$24="",Setup!$C$24="No"),0,IF(ISNUMBER(K273),K273,IF($T273="Weights",IF(ISNUMBER(Setup!$D$24),Setup!$D$24,0),IF($T273="Nights",IF(ISNUMBER(Setup!$E$24),Setup!$E$24,0),IF(OR($T273="Exact amounts",$T273="Custom units"),0,1))))))</f>
        <v>0</v>
      </c>
      <c r="Y273" s="29">
        <f>IF($T273="",0,IF(OR(Setup!$B$25="",Setup!$C$25="No"),0,IF(ISNUMBER(L273),L273,IF($T273="Weights",IF(ISNUMBER(Setup!$D$25),Setup!$D$25,0),IF($T273="Nights",IF(ISNUMBER(Setup!$E$25),Setup!$E$25,0),IF(OR($T273="Exact amounts",$T273="Custom units"),0,1))))))</f>
        <v>0</v>
      </c>
      <c r="Z273" s="29">
        <f>IF($T273="",0,IF(OR(Setup!$B$26="",Setup!$C$26="No"),0,IF(ISNUMBER(M273),M273,IF($T273="Weights",IF(ISNUMBER(Setup!$D$26),Setup!$D$26,0),IF($T273="Nights",IF(ISNUMBER(Setup!$E$26),Setup!$E$26,0),IF(OR($T273="Exact amounts",$T273="Custom units"),0,1))))))</f>
        <v>0</v>
      </c>
      <c r="AA273" s="29">
        <f>IF($T273="",0,IF(OR(Setup!$B$27="",Setup!$C$27="No"),0,IF(ISNUMBER(N273),N273,IF($T273="Weights",IF(ISNUMBER(Setup!$D$27),Setup!$D$27,0),IF($T273="Nights",IF(ISNUMBER(Setup!$E$27),Setup!$E$27,0),IF(OR($T273="Exact amounts",$T273="Custom units"),0,1))))))</f>
        <v>0</v>
      </c>
      <c r="AB273" s="29">
        <f>IF($T273="",0,IF(OR(Setup!$B$28="",Setup!$C$28="No"),0,IF(ISNUMBER(O273),O273,IF($T273="Weights",IF(ISNUMBER(Setup!$D$28),Setup!$D$28,0),IF($T273="Nights",IF(ISNUMBER(Setup!$E$28),Setup!$E$28,0),IF(OR($T273="Exact amounts",$T273="Custom units"),0,1))))))</f>
        <v>0</v>
      </c>
      <c r="AC273" s="29">
        <f>IF($T273="",0,IF(OR(Setup!$B$29="",Setup!$C$29="No"),0,IF(ISNUMBER(P273),P273,IF($T273="Weights",IF(ISNUMBER(Setup!$D$29),Setup!$D$29,0),IF($T273="Nights",IF(ISNUMBER(Setup!$E$29),Setup!$E$29,0),IF(OR($T273="Exact amounts",$T273="Custom units"),0,1))))))</f>
        <v>0</v>
      </c>
      <c r="AD273" s="29">
        <f>IF($T273="",0,IF(OR(Setup!$B$30="",Setup!$C$30="No"),0,IF(ISNUMBER(Q273),Q273,IF($T273="Weights",IF(ISNUMBER(Setup!$D$30),Setup!$D$30,0),IF($T273="Nights",IF(ISNUMBER(Setup!$E$30),Setup!$E$30,0),IF(OR($T273="Exact amounts",$T273="Custom units"),0,1))))))</f>
        <v>0</v>
      </c>
      <c r="AE273" s="29">
        <f t="shared" si="17"/>
        <v>0</v>
      </c>
      <c r="AF273" s="30">
        <f t="shared" si="18"/>
        <v>1</v>
      </c>
      <c r="AG273" s="29">
        <f t="shared" si="19"/>
        <v>0</v>
      </c>
    </row>
    <row r="274" spans="1:33" ht="16" x14ac:dyDescent="0.2">
      <c r="A274" s="22" t="str">
        <f t="shared" si="16"/>
        <v>—</v>
      </c>
      <c r="B274" s="23"/>
      <c r="C274" s="16"/>
      <c r="D274" s="16"/>
      <c r="E274" s="24"/>
      <c r="F274" s="16"/>
      <c r="G274" s="16"/>
      <c r="H274" s="25"/>
      <c r="I274" s="25"/>
      <c r="J274" s="25"/>
      <c r="K274" s="25"/>
      <c r="L274" s="25"/>
      <c r="M274" s="25"/>
      <c r="N274" s="25"/>
      <c r="O274" s="25"/>
      <c r="P274" s="25"/>
      <c r="Q274" s="25"/>
      <c r="R274" s="26" t="str">
        <f>IF($T274="","",IF($D274="","Who paid?",IF(SUMPRODUCT((Setup!$B$21:$B$30=$D274)*1)=0,"Payer is not in the member list on Setup",IF($E274="","Amount missing — type the number in column E",IF(NOT(ISNUMBER($E274)),"Amount must be a plain number — no currency symbol, no text",IF(AND($T274="Custom units",$AE274&lt;=0),"Custom units: nobody has units on this row — type a number for at least one person",IF($AE274&lt;=0,"Nobody shares this row — check the person columns H–Q, and the Weight / Nights columns on Setup",IF(AND($T274="Exact amounts",ABS($AE274-$AG274)&gt;0.01),"Exact amounts do not add up to the amount","OK"))))))))</f>
        <v/>
      </c>
      <c r="S274" s="27" t="str">
        <f>IFERROR(IF(OR($T274="",$C$4=""),"—",ROUND($AG274*INDEX($U274:$AD274,1,MATCH($C$4,Setup!$B$21:$B$30,0))/$AF274,2)),"—")</f>
        <v>—</v>
      </c>
      <c r="T274" s="28" t="str">
        <f>IF(AND($C274="",$D274="",NOT(ISNUMBER($E274))),"",IF($G274="",IF(Setup!$C$17="","Equal",Setup!$C$17),$G274))</f>
        <v/>
      </c>
      <c r="U274" s="29">
        <f>IF($T274="",0,IF(OR(Setup!$B$21="",Setup!$C$21="No"),0,IF(ISNUMBER(H274),H274,IF($T274="Weights",IF(ISNUMBER(Setup!$D$21),Setup!$D$21,0),IF($T274="Nights",IF(ISNUMBER(Setup!$E$21),Setup!$E$21,0),IF(OR($T274="Exact amounts",$T274="Custom units"),0,1))))))</f>
        <v>0</v>
      </c>
      <c r="V274" s="29">
        <f>IF($T274="",0,IF(OR(Setup!$B$22="",Setup!$C$22="No"),0,IF(ISNUMBER(I274),I274,IF($T274="Weights",IF(ISNUMBER(Setup!$D$22),Setup!$D$22,0),IF($T274="Nights",IF(ISNUMBER(Setup!$E$22),Setup!$E$22,0),IF(OR($T274="Exact amounts",$T274="Custom units"),0,1))))))</f>
        <v>0</v>
      </c>
      <c r="W274" s="29">
        <f>IF($T274="",0,IF(OR(Setup!$B$23="",Setup!$C$23="No"),0,IF(ISNUMBER(J274),J274,IF($T274="Weights",IF(ISNUMBER(Setup!$D$23),Setup!$D$23,0),IF($T274="Nights",IF(ISNUMBER(Setup!$E$23),Setup!$E$23,0),IF(OR($T274="Exact amounts",$T274="Custom units"),0,1))))))</f>
        <v>0</v>
      </c>
      <c r="X274" s="29">
        <f>IF($T274="",0,IF(OR(Setup!$B$24="",Setup!$C$24="No"),0,IF(ISNUMBER(K274),K274,IF($T274="Weights",IF(ISNUMBER(Setup!$D$24),Setup!$D$24,0),IF($T274="Nights",IF(ISNUMBER(Setup!$E$24),Setup!$E$24,0),IF(OR($T274="Exact amounts",$T274="Custom units"),0,1))))))</f>
        <v>0</v>
      </c>
      <c r="Y274" s="29">
        <f>IF($T274="",0,IF(OR(Setup!$B$25="",Setup!$C$25="No"),0,IF(ISNUMBER(L274),L274,IF($T274="Weights",IF(ISNUMBER(Setup!$D$25),Setup!$D$25,0),IF($T274="Nights",IF(ISNUMBER(Setup!$E$25),Setup!$E$25,0),IF(OR($T274="Exact amounts",$T274="Custom units"),0,1))))))</f>
        <v>0</v>
      </c>
      <c r="Z274" s="29">
        <f>IF($T274="",0,IF(OR(Setup!$B$26="",Setup!$C$26="No"),0,IF(ISNUMBER(M274),M274,IF($T274="Weights",IF(ISNUMBER(Setup!$D$26),Setup!$D$26,0),IF($T274="Nights",IF(ISNUMBER(Setup!$E$26),Setup!$E$26,0),IF(OR($T274="Exact amounts",$T274="Custom units"),0,1))))))</f>
        <v>0</v>
      </c>
      <c r="AA274" s="29">
        <f>IF($T274="",0,IF(OR(Setup!$B$27="",Setup!$C$27="No"),0,IF(ISNUMBER(N274),N274,IF($T274="Weights",IF(ISNUMBER(Setup!$D$27),Setup!$D$27,0),IF($T274="Nights",IF(ISNUMBER(Setup!$E$27),Setup!$E$27,0),IF(OR($T274="Exact amounts",$T274="Custom units"),0,1))))))</f>
        <v>0</v>
      </c>
      <c r="AB274" s="29">
        <f>IF($T274="",0,IF(OR(Setup!$B$28="",Setup!$C$28="No"),0,IF(ISNUMBER(O274),O274,IF($T274="Weights",IF(ISNUMBER(Setup!$D$28),Setup!$D$28,0),IF($T274="Nights",IF(ISNUMBER(Setup!$E$28),Setup!$E$28,0),IF(OR($T274="Exact amounts",$T274="Custom units"),0,1))))))</f>
        <v>0</v>
      </c>
      <c r="AC274" s="29">
        <f>IF($T274="",0,IF(OR(Setup!$B$29="",Setup!$C$29="No"),0,IF(ISNUMBER(P274),P274,IF($T274="Weights",IF(ISNUMBER(Setup!$D$29),Setup!$D$29,0),IF($T274="Nights",IF(ISNUMBER(Setup!$E$29),Setup!$E$29,0),IF(OR($T274="Exact amounts",$T274="Custom units"),0,1))))))</f>
        <v>0</v>
      </c>
      <c r="AD274" s="29">
        <f>IF($T274="",0,IF(OR(Setup!$B$30="",Setup!$C$30="No"),0,IF(ISNUMBER(Q274),Q274,IF($T274="Weights",IF(ISNUMBER(Setup!$D$30),Setup!$D$30,0),IF($T274="Nights",IF(ISNUMBER(Setup!$E$30),Setup!$E$30,0),IF(OR($T274="Exact amounts",$T274="Custom units"),0,1))))))</f>
        <v>0</v>
      </c>
      <c r="AE274" s="29">
        <f t="shared" si="17"/>
        <v>0</v>
      </c>
      <c r="AF274" s="30">
        <f t="shared" si="18"/>
        <v>1</v>
      </c>
      <c r="AG274" s="29">
        <f t="shared" si="19"/>
        <v>0</v>
      </c>
    </row>
    <row r="275" spans="1:33" ht="16" x14ac:dyDescent="0.2">
      <c r="A275" s="22" t="str">
        <f t="shared" si="16"/>
        <v>—</v>
      </c>
      <c r="B275" s="31"/>
      <c r="C275" s="11"/>
      <c r="D275" s="11"/>
      <c r="E275" s="32"/>
      <c r="F275" s="11"/>
      <c r="G275" s="11"/>
      <c r="H275" s="33"/>
      <c r="I275" s="33"/>
      <c r="J275" s="33"/>
      <c r="K275" s="33"/>
      <c r="L275" s="33"/>
      <c r="M275" s="33"/>
      <c r="N275" s="33"/>
      <c r="O275" s="33"/>
      <c r="P275" s="33"/>
      <c r="Q275" s="33"/>
      <c r="R275" s="26" t="str">
        <f>IF($T275="","",IF($D275="","Who paid?",IF(SUMPRODUCT((Setup!$B$21:$B$30=$D275)*1)=0,"Payer is not in the member list on Setup",IF($E275="","Amount missing — type the number in column E",IF(NOT(ISNUMBER($E275)),"Amount must be a plain number — no currency symbol, no text",IF(AND($T275="Custom units",$AE275&lt;=0),"Custom units: nobody has units on this row — type a number for at least one person",IF($AE275&lt;=0,"Nobody shares this row — check the person columns H–Q, and the Weight / Nights columns on Setup",IF(AND($T275="Exact amounts",ABS($AE275-$AG275)&gt;0.01),"Exact amounts do not add up to the amount","OK"))))))))</f>
        <v/>
      </c>
      <c r="S275" s="27" t="str">
        <f>IFERROR(IF(OR($T275="",$C$4=""),"—",ROUND($AG275*INDEX($U275:$AD275,1,MATCH($C$4,Setup!$B$21:$B$30,0))/$AF275,2)),"—")</f>
        <v>—</v>
      </c>
      <c r="T275" s="28" t="str">
        <f>IF(AND($C275="",$D275="",NOT(ISNUMBER($E275))),"",IF($G275="",IF(Setup!$C$17="","Equal",Setup!$C$17),$G275))</f>
        <v/>
      </c>
      <c r="U275" s="29">
        <f>IF($T275="",0,IF(OR(Setup!$B$21="",Setup!$C$21="No"),0,IF(ISNUMBER(H275),H275,IF($T275="Weights",IF(ISNUMBER(Setup!$D$21),Setup!$D$21,0),IF($T275="Nights",IF(ISNUMBER(Setup!$E$21),Setup!$E$21,0),IF(OR($T275="Exact amounts",$T275="Custom units"),0,1))))))</f>
        <v>0</v>
      </c>
      <c r="V275" s="29">
        <f>IF($T275="",0,IF(OR(Setup!$B$22="",Setup!$C$22="No"),0,IF(ISNUMBER(I275),I275,IF($T275="Weights",IF(ISNUMBER(Setup!$D$22),Setup!$D$22,0),IF($T275="Nights",IF(ISNUMBER(Setup!$E$22),Setup!$E$22,0),IF(OR($T275="Exact amounts",$T275="Custom units"),0,1))))))</f>
        <v>0</v>
      </c>
      <c r="W275" s="29">
        <f>IF($T275="",0,IF(OR(Setup!$B$23="",Setup!$C$23="No"),0,IF(ISNUMBER(J275),J275,IF($T275="Weights",IF(ISNUMBER(Setup!$D$23),Setup!$D$23,0),IF($T275="Nights",IF(ISNUMBER(Setup!$E$23),Setup!$E$23,0),IF(OR($T275="Exact amounts",$T275="Custom units"),0,1))))))</f>
        <v>0</v>
      </c>
      <c r="X275" s="29">
        <f>IF($T275="",0,IF(OR(Setup!$B$24="",Setup!$C$24="No"),0,IF(ISNUMBER(K275),K275,IF($T275="Weights",IF(ISNUMBER(Setup!$D$24),Setup!$D$24,0),IF($T275="Nights",IF(ISNUMBER(Setup!$E$24),Setup!$E$24,0),IF(OR($T275="Exact amounts",$T275="Custom units"),0,1))))))</f>
        <v>0</v>
      </c>
      <c r="Y275" s="29">
        <f>IF($T275="",0,IF(OR(Setup!$B$25="",Setup!$C$25="No"),0,IF(ISNUMBER(L275),L275,IF($T275="Weights",IF(ISNUMBER(Setup!$D$25),Setup!$D$25,0),IF($T275="Nights",IF(ISNUMBER(Setup!$E$25),Setup!$E$25,0),IF(OR($T275="Exact amounts",$T275="Custom units"),0,1))))))</f>
        <v>0</v>
      </c>
      <c r="Z275" s="29">
        <f>IF($T275="",0,IF(OR(Setup!$B$26="",Setup!$C$26="No"),0,IF(ISNUMBER(M275),M275,IF($T275="Weights",IF(ISNUMBER(Setup!$D$26),Setup!$D$26,0),IF($T275="Nights",IF(ISNUMBER(Setup!$E$26),Setup!$E$26,0),IF(OR($T275="Exact amounts",$T275="Custom units"),0,1))))))</f>
        <v>0</v>
      </c>
      <c r="AA275" s="29">
        <f>IF($T275="",0,IF(OR(Setup!$B$27="",Setup!$C$27="No"),0,IF(ISNUMBER(N275),N275,IF($T275="Weights",IF(ISNUMBER(Setup!$D$27),Setup!$D$27,0),IF($T275="Nights",IF(ISNUMBER(Setup!$E$27),Setup!$E$27,0),IF(OR($T275="Exact amounts",$T275="Custom units"),0,1))))))</f>
        <v>0</v>
      </c>
      <c r="AB275" s="29">
        <f>IF($T275="",0,IF(OR(Setup!$B$28="",Setup!$C$28="No"),0,IF(ISNUMBER(O275),O275,IF($T275="Weights",IF(ISNUMBER(Setup!$D$28),Setup!$D$28,0),IF($T275="Nights",IF(ISNUMBER(Setup!$E$28),Setup!$E$28,0),IF(OR($T275="Exact amounts",$T275="Custom units"),0,1))))))</f>
        <v>0</v>
      </c>
      <c r="AC275" s="29">
        <f>IF($T275="",0,IF(OR(Setup!$B$29="",Setup!$C$29="No"),0,IF(ISNUMBER(P275),P275,IF($T275="Weights",IF(ISNUMBER(Setup!$D$29),Setup!$D$29,0),IF($T275="Nights",IF(ISNUMBER(Setup!$E$29),Setup!$E$29,0),IF(OR($T275="Exact amounts",$T275="Custom units"),0,1))))))</f>
        <v>0</v>
      </c>
      <c r="AD275" s="29">
        <f>IF($T275="",0,IF(OR(Setup!$B$30="",Setup!$C$30="No"),0,IF(ISNUMBER(Q275),Q275,IF($T275="Weights",IF(ISNUMBER(Setup!$D$30),Setup!$D$30,0),IF($T275="Nights",IF(ISNUMBER(Setup!$E$30),Setup!$E$30,0),IF(OR($T275="Exact amounts",$T275="Custom units"),0,1))))))</f>
        <v>0</v>
      </c>
      <c r="AE275" s="29">
        <f t="shared" si="17"/>
        <v>0</v>
      </c>
      <c r="AF275" s="30">
        <f t="shared" si="18"/>
        <v>1</v>
      </c>
      <c r="AG275" s="29">
        <f t="shared" si="19"/>
        <v>0</v>
      </c>
    </row>
    <row r="276" spans="1:33" ht="16" x14ac:dyDescent="0.2">
      <c r="A276" s="22" t="str">
        <f t="shared" si="16"/>
        <v>—</v>
      </c>
      <c r="B276" s="23"/>
      <c r="C276" s="16"/>
      <c r="D276" s="16"/>
      <c r="E276" s="24"/>
      <c r="F276" s="16"/>
      <c r="G276" s="16"/>
      <c r="H276" s="25"/>
      <c r="I276" s="25"/>
      <c r="J276" s="25"/>
      <c r="K276" s="25"/>
      <c r="L276" s="25"/>
      <c r="M276" s="25"/>
      <c r="N276" s="25"/>
      <c r="O276" s="25"/>
      <c r="P276" s="25"/>
      <c r="Q276" s="25"/>
      <c r="R276" s="26" t="str">
        <f>IF($T276="","",IF($D276="","Who paid?",IF(SUMPRODUCT((Setup!$B$21:$B$30=$D276)*1)=0,"Payer is not in the member list on Setup",IF($E276="","Amount missing — type the number in column E",IF(NOT(ISNUMBER($E276)),"Amount must be a plain number — no currency symbol, no text",IF(AND($T276="Custom units",$AE276&lt;=0),"Custom units: nobody has units on this row — type a number for at least one person",IF($AE276&lt;=0,"Nobody shares this row — check the person columns H–Q, and the Weight / Nights columns on Setup",IF(AND($T276="Exact amounts",ABS($AE276-$AG276)&gt;0.01),"Exact amounts do not add up to the amount","OK"))))))))</f>
        <v/>
      </c>
      <c r="S276" s="27" t="str">
        <f>IFERROR(IF(OR($T276="",$C$4=""),"—",ROUND($AG276*INDEX($U276:$AD276,1,MATCH($C$4,Setup!$B$21:$B$30,0))/$AF276,2)),"—")</f>
        <v>—</v>
      </c>
      <c r="T276" s="28" t="str">
        <f>IF(AND($C276="",$D276="",NOT(ISNUMBER($E276))),"",IF($G276="",IF(Setup!$C$17="","Equal",Setup!$C$17),$G276))</f>
        <v/>
      </c>
      <c r="U276" s="29">
        <f>IF($T276="",0,IF(OR(Setup!$B$21="",Setup!$C$21="No"),0,IF(ISNUMBER(H276),H276,IF($T276="Weights",IF(ISNUMBER(Setup!$D$21),Setup!$D$21,0),IF($T276="Nights",IF(ISNUMBER(Setup!$E$21),Setup!$E$21,0),IF(OR($T276="Exact amounts",$T276="Custom units"),0,1))))))</f>
        <v>0</v>
      </c>
      <c r="V276" s="29">
        <f>IF($T276="",0,IF(OR(Setup!$B$22="",Setup!$C$22="No"),0,IF(ISNUMBER(I276),I276,IF($T276="Weights",IF(ISNUMBER(Setup!$D$22),Setup!$D$22,0),IF($T276="Nights",IF(ISNUMBER(Setup!$E$22),Setup!$E$22,0),IF(OR($T276="Exact amounts",$T276="Custom units"),0,1))))))</f>
        <v>0</v>
      </c>
      <c r="W276" s="29">
        <f>IF($T276="",0,IF(OR(Setup!$B$23="",Setup!$C$23="No"),0,IF(ISNUMBER(J276),J276,IF($T276="Weights",IF(ISNUMBER(Setup!$D$23),Setup!$D$23,0),IF($T276="Nights",IF(ISNUMBER(Setup!$E$23),Setup!$E$23,0),IF(OR($T276="Exact amounts",$T276="Custom units"),0,1))))))</f>
        <v>0</v>
      </c>
      <c r="X276" s="29">
        <f>IF($T276="",0,IF(OR(Setup!$B$24="",Setup!$C$24="No"),0,IF(ISNUMBER(K276),K276,IF($T276="Weights",IF(ISNUMBER(Setup!$D$24),Setup!$D$24,0),IF($T276="Nights",IF(ISNUMBER(Setup!$E$24),Setup!$E$24,0),IF(OR($T276="Exact amounts",$T276="Custom units"),0,1))))))</f>
        <v>0</v>
      </c>
      <c r="Y276" s="29">
        <f>IF($T276="",0,IF(OR(Setup!$B$25="",Setup!$C$25="No"),0,IF(ISNUMBER(L276),L276,IF($T276="Weights",IF(ISNUMBER(Setup!$D$25),Setup!$D$25,0),IF($T276="Nights",IF(ISNUMBER(Setup!$E$25),Setup!$E$25,0),IF(OR($T276="Exact amounts",$T276="Custom units"),0,1))))))</f>
        <v>0</v>
      </c>
      <c r="Z276" s="29">
        <f>IF($T276="",0,IF(OR(Setup!$B$26="",Setup!$C$26="No"),0,IF(ISNUMBER(M276),M276,IF($T276="Weights",IF(ISNUMBER(Setup!$D$26),Setup!$D$26,0),IF($T276="Nights",IF(ISNUMBER(Setup!$E$26),Setup!$E$26,0),IF(OR($T276="Exact amounts",$T276="Custom units"),0,1))))))</f>
        <v>0</v>
      </c>
      <c r="AA276" s="29">
        <f>IF($T276="",0,IF(OR(Setup!$B$27="",Setup!$C$27="No"),0,IF(ISNUMBER(N276),N276,IF($T276="Weights",IF(ISNUMBER(Setup!$D$27),Setup!$D$27,0),IF($T276="Nights",IF(ISNUMBER(Setup!$E$27),Setup!$E$27,0),IF(OR($T276="Exact amounts",$T276="Custom units"),0,1))))))</f>
        <v>0</v>
      </c>
      <c r="AB276" s="29">
        <f>IF($T276="",0,IF(OR(Setup!$B$28="",Setup!$C$28="No"),0,IF(ISNUMBER(O276),O276,IF($T276="Weights",IF(ISNUMBER(Setup!$D$28),Setup!$D$28,0),IF($T276="Nights",IF(ISNUMBER(Setup!$E$28),Setup!$E$28,0),IF(OR($T276="Exact amounts",$T276="Custom units"),0,1))))))</f>
        <v>0</v>
      </c>
      <c r="AC276" s="29">
        <f>IF($T276="",0,IF(OR(Setup!$B$29="",Setup!$C$29="No"),0,IF(ISNUMBER(P276),P276,IF($T276="Weights",IF(ISNUMBER(Setup!$D$29),Setup!$D$29,0),IF($T276="Nights",IF(ISNUMBER(Setup!$E$29),Setup!$E$29,0),IF(OR($T276="Exact amounts",$T276="Custom units"),0,1))))))</f>
        <v>0</v>
      </c>
      <c r="AD276" s="29">
        <f>IF($T276="",0,IF(OR(Setup!$B$30="",Setup!$C$30="No"),0,IF(ISNUMBER(Q276),Q276,IF($T276="Weights",IF(ISNUMBER(Setup!$D$30),Setup!$D$30,0),IF($T276="Nights",IF(ISNUMBER(Setup!$E$30),Setup!$E$30,0),IF(OR($T276="Exact amounts",$T276="Custom units"),0,1))))))</f>
        <v>0</v>
      </c>
      <c r="AE276" s="29">
        <f t="shared" si="17"/>
        <v>0</v>
      </c>
      <c r="AF276" s="30">
        <f t="shared" si="18"/>
        <v>1</v>
      </c>
      <c r="AG276" s="29">
        <f t="shared" si="19"/>
        <v>0</v>
      </c>
    </row>
    <row r="277" spans="1:33" ht="16" x14ac:dyDescent="0.2">
      <c r="A277" s="22" t="str">
        <f t="shared" si="16"/>
        <v>—</v>
      </c>
      <c r="B277" s="31"/>
      <c r="C277" s="11"/>
      <c r="D277" s="11"/>
      <c r="E277" s="32"/>
      <c r="F277" s="11"/>
      <c r="G277" s="11"/>
      <c r="H277" s="33"/>
      <c r="I277" s="33"/>
      <c r="J277" s="33"/>
      <c r="K277" s="33"/>
      <c r="L277" s="33"/>
      <c r="M277" s="33"/>
      <c r="N277" s="33"/>
      <c r="O277" s="33"/>
      <c r="P277" s="33"/>
      <c r="Q277" s="33"/>
      <c r="R277" s="26" t="str">
        <f>IF($T277="","",IF($D277="","Who paid?",IF(SUMPRODUCT((Setup!$B$21:$B$30=$D277)*1)=0,"Payer is not in the member list on Setup",IF($E277="","Amount missing — type the number in column E",IF(NOT(ISNUMBER($E277)),"Amount must be a plain number — no currency symbol, no text",IF(AND($T277="Custom units",$AE277&lt;=0),"Custom units: nobody has units on this row — type a number for at least one person",IF($AE277&lt;=0,"Nobody shares this row — check the person columns H–Q, and the Weight / Nights columns on Setup",IF(AND($T277="Exact amounts",ABS($AE277-$AG277)&gt;0.01),"Exact amounts do not add up to the amount","OK"))))))))</f>
        <v/>
      </c>
      <c r="S277" s="27" t="str">
        <f>IFERROR(IF(OR($T277="",$C$4=""),"—",ROUND($AG277*INDEX($U277:$AD277,1,MATCH($C$4,Setup!$B$21:$B$30,0))/$AF277,2)),"—")</f>
        <v>—</v>
      </c>
      <c r="T277" s="28" t="str">
        <f>IF(AND($C277="",$D277="",NOT(ISNUMBER($E277))),"",IF($G277="",IF(Setup!$C$17="","Equal",Setup!$C$17),$G277))</f>
        <v/>
      </c>
      <c r="U277" s="29">
        <f>IF($T277="",0,IF(OR(Setup!$B$21="",Setup!$C$21="No"),0,IF(ISNUMBER(H277),H277,IF($T277="Weights",IF(ISNUMBER(Setup!$D$21),Setup!$D$21,0),IF($T277="Nights",IF(ISNUMBER(Setup!$E$21),Setup!$E$21,0),IF(OR($T277="Exact amounts",$T277="Custom units"),0,1))))))</f>
        <v>0</v>
      </c>
      <c r="V277" s="29">
        <f>IF($T277="",0,IF(OR(Setup!$B$22="",Setup!$C$22="No"),0,IF(ISNUMBER(I277),I277,IF($T277="Weights",IF(ISNUMBER(Setup!$D$22),Setup!$D$22,0),IF($T277="Nights",IF(ISNUMBER(Setup!$E$22),Setup!$E$22,0),IF(OR($T277="Exact amounts",$T277="Custom units"),0,1))))))</f>
        <v>0</v>
      </c>
      <c r="W277" s="29">
        <f>IF($T277="",0,IF(OR(Setup!$B$23="",Setup!$C$23="No"),0,IF(ISNUMBER(J277),J277,IF($T277="Weights",IF(ISNUMBER(Setup!$D$23),Setup!$D$23,0),IF($T277="Nights",IF(ISNUMBER(Setup!$E$23),Setup!$E$23,0),IF(OR($T277="Exact amounts",$T277="Custom units"),0,1))))))</f>
        <v>0</v>
      </c>
      <c r="X277" s="29">
        <f>IF($T277="",0,IF(OR(Setup!$B$24="",Setup!$C$24="No"),0,IF(ISNUMBER(K277),K277,IF($T277="Weights",IF(ISNUMBER(Setup!$D$24),Setup!$D$24,0),IF($T277="Nights",IF(ISNUMBER(Setup!$E$24),Setup!$E$24,0),IF(OR($T277="Exact amounts",$T277="Custom units"),0,1))))))</f>
        <v>0</v>
      </c>
      <c r="Y277" s="29">
        <f>IF($T277="",0,IF(OR(Setup!$B$25="",Setup!$C$25="No"),0,IF(ISNUMBER(L277),L277,IF($T277="Weights",IF(ISNUMBER(Setup!$D$25),Setup!$D$25,0),IF($T277="Nights",IF(ISNUMBER(Setup!$E$25),Setup!$E$25,0),IF(OR($T277="Exact amounts",$T277="Custom units"),0,1))))))</f>
        <v>0</v>
      </c>
      <c r="Z277" s="29">
        <f>IF($T277="",0,IF(OR(Setup!$B$26="",Setup!$C$26="No"),0,IF(ISNUMBER(M277),M277,IF($T277="Weights",IF(ISNUMBER(Setup!$D$26),Setup!$D$26,0),IF($T277="Nights",IF(ISNUMBER(Setup!$E$26),Setup!$E$26,0),IF(OR($T277="Exact amounts",$T277="Custom units"),0,1))))))</f>
        <v>0</v>
      </c>
      <c r="AA277" s="29">
        <f>IF($T277="",0,IF(OR(Setup!$B$27="",Setup!$C$27="No"),0,IF(ISNUMBER(N277),N277,IF($T277="Weights",IF(ISNUMBER(Setup!$D$27),Setup!$D$27,0),IF($T277="Nights",IF(ISNUMBER(Setup!$E$27),Setup!$E$27,0),IF(OR($T277="Exact amounts",$T277="Custom units"),0,1))))))</f>
        <v>0</v>
      </c>
      <c r="AB277" s="29">
        <f>IF($T277="",0,IF(OR(Setup!$B$28="",Setup!$C$28="No"),0,IF(ISNUMBER(O277),O277,IF($T277="Weights",IF(ISNUMBER(Setup!$D$28),Setup!$D$28,0),IF($T277="Nights",IF(ISNUMBER(Setup!$E$28),Setup!$E$28,0),IF(OR($T277="Exact amounts",$T277="Custom units"),0,1))))))</f>
        <v>0</v>
      </c>
      <c r="AC277" s="29">
        <f>IF($T277="",0,IF(OR(Setup!$B$29="",Setup!$C$29="No"),0,IF(ISNUMBER(P277),P277,IF($T277="Weights",IF(ISNUMBER(Setup!$D$29),Setup!$D$29,0),IF($T277="Nights",IF(ISNUMBER(Setup!$E$29),Setup!$E$29,0),IF(OR($T277="Exact amounts",$T277="Custom units"),0,1))))))</f>
        <v>0</v>
      </c>
      <c r="AD277" s="29">
        <f>IF($T277="",0,IF(OR(Setup!$B$30="",Setup!$C$30="No"),0,IF(ISNUMBER(Q277),Q277,IF($T277="Weights",IF(ISNUMBER(Setup!$D$30),Setup!$D$30,0),IF($T277="Nights",IF(ISNUMBER(Setup!$E$30),Setup!$E$30,0),IF(OR($T277="Exact amounts",$T277="Custom units"),0,1))))))</f>
        <v>0</v>
      </c>
      <c r="AE277" s="29">
        <f t="shared" si="17"/>
        <v>0</v>
      </c>
      <c r="AF277" s="30">
        <f t="shared" si="18"/>
        <v>1</v>
      </c>
      <c r="AG277" s="29">
        <f t="shared" si="19"/>
        <v>0</v>
      </c>
    </row>
    <row r="278" spans="1:33" ht="16" x14ac:dyDescent="0.2">
      <c r="A278" s="22" t="str">
        <f t="shared" si="16"/>
        <v>—</v>
      </c>
      <c r="B278" s="23"/>
      <c r="C278" s="16"/>
      <c r="D278" s="16"/>
      <c r="E278" s="24"/>
      <c r="F278" s="16"/>
      <c r="G278" s="16"/>
      <c r="H278" s="25"/>
      <c r="I278" s="25"/>
      <c r="J278" s="25"/>
      <c r="K278" s="25"/>
      <c r="L278" s="25"/>
      <c r="M278" s="25"/>
      <c r="N278" s="25"/>
      <c r="O278" s="25"/>
      <c r="P278" s="25"/>
      <c r="Q278" s="25"/>
      <c r="R278" s="26" t="str">
        <f>IF($T278="","",IF($D278="","Who paid?",IF(SUMPRODUCT((Setup!$B$21:$B$30=$D278)*1)=0,"Payer is not in the member list on Setup",IF($E278="","Amount missing — type the number in column E",IF(NOT(ISNUMBER($E278)),"Amount must be a plain number — no currency symbol, no text",IF(AND($T278="Custom units",$AE278&lt;=0),"Custom units: nobody has units on this row — type a number for at least one person",IF($AE278&lt;=0,"Nobody shares this row — check the person columns H–Q, and the Weight / Nights columns on Setup",IF(AND($T278="Exact amounts",ABS($AE278-$AG278)&gt;0.01),"Exact amounts do not add up to the amount","OK"))))))))</f>
        <v/>
      </c>
      <c r="S278" s="27" t="str">
        <f>IFERROR(IF(OR($T278="",$C$4=""),"—",ROUND($AG278*INDEX($U278:$AD278,1,MATCH($C$4,Setup!$B$21:$B$30,0))/$AF278,2)),"—")</f>
        <v>—</v>
      </c>
      <c r="T278" s="28" t="str">
        <f>IF(AND($C278="",$D278="",NOT(ISNUMBER($E278))),"",IF($G278="",IF(Setup!$C$17="","Equal",Setup!$C$17),$G278))</f>
        <v/>
      </c>
      <c r="U278" s="29">
        <f>IF($T278="",0,IF(OR(Setup!$B$21="",Setup!$C$21="No"),0,IF(ISNUMBER(H278),H278,IF($T278="Weights",IF(ISNUMBER(Setup!$D$21),Setup!$D$21,0),IF($T278="Nights",IF(ISNUMBER(Setup!$E$21),Setup!$E$21,0),IF(OR($T278="Exact amounts",$T278="Custom units"),0,1))))))</f>
        <v>0</v>
      </c>
      <c r="V278" s="29">
        <f>IF($T278="",0,IF(OR(Setup!$B$22="",Setup!$C$22="No"),0,IF(ISNUMBER(I278),I278,IF($T278="Weights",IF(ISNUMBER(Setup!$D$22),Setup!$D$22,0),IF($T278="Nights",IF(ISNUMBER(Setup!$E$22),Setup!$E$22,0),IF(OR($T278="Exact amounts",$T278="Custom units"),0,1))))))</f>
        <v>0</v>
      </c>
      <c r="W278" s="29">
        <f>IF($T278="",0,IF(OR(Setup!$B$23="",Setup!$C$23="No"),0,IF(ISNUMBER(J278),J278,IF($T278="Weights",IF(ISNUMBER(Setup!$D$23),Setup!$D$23,0),IF($T278="Nights",IF(ISNUMBER(Setup!$E$23),Setup!$E$23,0),IF(OR($T278="Exact amounts",$T278="Custom units"),0,1))))))</f>
        <v>0</v>
      </c>
      <c r="X278" s="29">
        <f>IF($T278="",0,IF(OR(Setup!$B$24="",Setup!$C$24="No"),0,IF(ISNUMBER(K278),K278,IF($T278="Weights",IF(ISNUMBER(Setup!$D$24),Setup!$D$24,0),IF($T278="Nights",IF(ISNUMBER(Setup!$E$24),Setup!$E$24,0),IF(OR($T278="Exact amounts",$T278="Custom units"),0,1))))))</f>
        <v>0</v>
      </c>
      <c r="Y278" s="29">
        <f>IF($T278="",0,IF(OR(Setup!$B$25="",Setup!$C$25="No"),0,IF(ISNUMBER(L278),L278,IF($T278="Weights",IF(ISNUMBER(Setup!$D$25),Setup!$D$25,0),IF($T278="Nights",IF(ISNUMBER(Setup!$E$25),Setup!$E$25,0),IF(OR($T278="Exact amounts",$T278="Custom units"),0,1))))))</f>
        <v>0</v>
      </c>
      <c r="Z278" s="29">
        <f>IF($T278="",0,IF(OR(Setup!$B$26="",Setup!$C$26="No"),0,IF(ISNUMBER(M278),M278,IF($T278="Weights",IF(ISNUMBER(Setup!$D$26),Setup!$D$26,0),IF($T278="Nights",IF(ISNUMBER(Setup!$E$26),Setup!$E$26,0),IF(OR($T278="Exact amounts",$T278="Custom units"),0,1))))))</f>
        <v>0</v>
      </c>
      <c r="AA278" s="29">
        <f>IF($T278="",0,IF(OR(Setup!$B$27="",Setup!$C$27="No"),0,IF(ISNUMBER(N278),N278,IF($T278="Weights",IF(ISNUMBER(Setup!$D$27),Setup!$D$27,0),IF($T278="Nights",IF(ISNUMBER(Setup!$E$27),Setup!$E$27,0),IF(OR($T278="Exact amounts",$T278="Custom units"),0,1))))))</f>
        <v>0</v>
      </c>
      <c r="AB278" s="29">
        <f>IF($T278="",0,IF(OR(Setup!$B$28="",Setup!$C$28="No"),0,IF(ISNUMBER(O278),O278,IF($T278="Weights",IF(ISNUMBER(Setup!$D$28),Setup!$D$28,0),IF($T278="Nights",IF(ISNUMBER(Setup!$E$28),Setup!$E$28,0),IF(OR($T278="Exact amounts",$T278="Custom units"),0,1))))))</f>
        <v>0</v>
      </c>
      <c r="AC278" s="29">
        <f>IF($T278="",0,IF(OR(Setup!$B$29="",Setup!$C$29="No"),0,IF(ISNUMBER(P278),P278,IF($T278="Weights",IF(ISNUMBER(Setup!$D$29),Setup!$D$29,0),IF($T278="Nights",IF(ISNUMBER(Setup!$E$29),Setup!$E$29,0),IF(OR($T278="Exact amounts",$T278="Custom units"),0,1))))))</f>
        <v>0</v>
      </c>
      <c r="AD278" s="29">
        <f>IF($T278="",0,IF(OR(Setup!$B$30="",Setup!$C$30="No"),0,IF(ISNUMBER(Q278),Q278,IF($T278="Weights",IF(ISNUMBER(Setup!$D$30),Setup!$D$30,0),IF($T278="Nights",IF(ISNUMBER(Setup!$E$30),Setup!$E$30,0),IF(OR($T278="Exact amounts",$T278="Custom units"),0,1))))))</f>
        <v>0</v>
      </c>
      <c r="AE278" s="29">
        <f t="shared" si="17"/>
        <v>0</v>
      </c>
      <c r="AF278" s="30">
        <f t="shared" si="18"/>
        <v>1</v>
      </c>
      <c r="AG278" s="29">
        <f t="shared" si="19"/>
        <v>0</v>
      </c>
    </row>
    <row r="279" spans="1:33" ht="16" x14ac:dyDescent="0.2">
      <c r="A279" s="22" t="str">
        <f t="shared" si="16"/>
        <v>—</v>
      </c>
      <c r="B279" s="31"/>
      <c r="C279" s="11"/>
      <c r="D279" s="11"/>
      <c r="E279" s="32"/>
      <c r="F279" s="11"/>
      <c r="G279" s="11"/>
      <c r="H279" s="33"/>
      <c r="I279" s="33"/>
      <c r="J279" s="33"/>
      <c r="K279" s="33"/>
      <c r="L279" s="33"/>
      <c r="M279" s="33"/>
      <c r="N279" s="33"/>
      <c r="O279" s="33"/>
      <c r="P279" s="33"/>
      <c r="Q279" s="33"/>
      <c r="R279" s="26" t="str">
        <f>IF($T279="","",IF($D279="","Who paid?",IF(SUMPRODUCT((Setup!$B$21:$B$30=$D279)*1)=0,"Payer is not in the member list on Setup",IF($E279="","Amount missing — type the number in column E",IF(NOT(ISNUMBER($E279)),"Amount must be a plain number — no currency symbol, no text",IF(AND($T279="Custom units",$AE279&lt;=0),"Custom units: nobody has units on this row — type a number for at least one person",IF($AE279&lt;=0,"Nobody shares this row — check the person columns H–Q, and the Weight / Nights columns on Setup",IF(AND($T279="Exact amounts",ABS($AE279-$AG279)&gt;0.01),"Exact amounts do not add up to the amount","OK"))))))))</f>
        <v/>
      </c>
      <c r="S279" s="27" t="str">
        <f>IFERROR(IF(OR($T279="",$C$4=""),"—",ROUND($AG279*INDEX($U279:$AD279,1,MATCH($C$4,Setup!$B$21:$B$30,0))/$AF279,2)),"—")</f>
        <v>—</v>
      </c>
      <c r="T279" s="28" t="str">
        <f>IF(AND($C279="",$D279="",NOT(ISNUMBER($E279))),"",IF($G279="",IF(Setup!$C$17="","Equal",Setup!$C$17),$G279))</f>
        <v/>
      </c>
      <c r="U279" s="29">
        <f>IF($T279="",0,IF(OR(Setup!$B$21="",Setup!$C$21="No"),0,IF(ISNUMBER(H279),H279,IF($T279="Weights",IF(ISNUMBER(Setup!$D$21),Setup!$D$21,0),IF($T279="Nights",IF(ISNUMBER(Setup!$E$21),Setup!$E$21,0),IF(OR($T279="Exact amounts",$T279="Custom units"),0,1))))))</f>
        <v>0</v>
      </c>
      <c r="V279" s="29">
        <f>IF($T279="",0,IF(OR(Setup!$B$22="",Setup!$C$22="No"),0,IF(ISNUMBER(I279),I279,IF($T279="Weights",IF(ISNUMBER(Setup!$D$22),Setup!$D$22,0),IF($T279="Nights",IF(ISNUMBER(Setup!$E$22),Setup!$E$22,0),IF(OR($T279="Exact amounts",$T279="Custom units"),0,1))))))</f>
        <v>0</v>
      </c>
      <c r="W279" s="29">
        <f>IF($T279="",0,IF(OR(Setup!$B$23="",Setup!$C$23="No"),0,IF(ISNUMBER(J279),J279,IF($T279="Weights",IF(ISNUMBER(Setup!$D$23),Setup!$D$23,0),IF($T279="Nights",IF(ISNUMBER(Setup!$E$23),Setup!$E$23,0),IF(OR($T279="Exact amounts",$T279="Custom units"),0,1))))))</f>
        <v>0</v>
      </c>
      <c r="X279" s="29">
        <f>IF($T279="",0,IF(OR(Setup!$B$24="",Setup!$C$24="No"),0,IF(ISNUMBER(K279),K279,IF($T279="Weights",IF(ISNUMBER(Setup!$D$24),Setup!$D$24,0),IF($T279="Nights",IF(ISNUMBER(Setup!$E$24),Setup!$E$24,0),IF(OR($T279="Exact amounts",$T279="Custom units"),0,1))))))</f>
        <v>0</v>
      </c>
      <c r="Y279" s="29">
        <f>IF($T279="",0,IF(OR(Setup!$B$25="",Setup!$C$25="No"),0,IF(ISNUMBER(L279),L279,IF($T279="Weights",IF(ISNUMBER(Setup!$D$25),Setup!$D$25,0),IF($T279="Nights",IF(ISNUMBER(Setup!$E$25),Setup!$E$25,0),IF(OR($T279="Exact amounts",$T279="Custom units"),0,1))))))</f>
        <v>0</v>
      </c>
      <c r="Z279" s="29">
        <f>IF($T279="",0,IF(OR(Setup!$B$26="",Setup!$C$26="No"),0,IF(ISNUMBER(M279),M279,IF($T279="Weights",IF(ISNUMBER(Setup!$D$26),Setup!$D$26,0),IF($T279="Nights",IF(ISNUMBER(Setup!$E$26),Setup!$E$26,0),IF(OR($T279="Exact amounts",$T279="Custom units"),0,1))))))</f>
        <v>0</v>
      </c>
      <c r="AA279" s="29">
        <f>IF($T279="",0,IF(OR(Setup!$B$27="",Setup!$C$27="No"),0,IF(ISNUMBER(N279),N279,IF($T279="Weights",IF(ISNUMBER(Setup!$D$27),Setup!$D$27,0),IF($T279="Nights",IF(ISNUMBER(Setup!$E$27),Setup!$E$27,0),IF(OR($T279="Exact amounts",$T279="Custom units"),0,1))))))</f>
        <v>0</v>
      </c>
      <c r="AB279" s="29">
        <f>IF($T279="",0,IF(OR(Setup!$B$28="",Setup!$C$28="No"),0,IF(ISNUMBER(O279),O279,IF($T279="Weights",IF(ISNUMBER(Setup!$D$28),Setup!$D$28,0),IF($T279="Nights",IF(ISNUMBER(Setup!$E$28),Setup!$E$28,0),IF(OR($T279="Exact amounts",$T279="Custom units"),0,1))))))</f>
        <v>0</v>
      </c>
      <c r="AC279" s="29">
        <f>IF($T279="",0,IF(OR(Setup!$B$29="",Setup!$C$29="No"),0,IF(ISNUMBER(P279),P279,IF($T279="Weights",IF(ISNUMBER(Setup!$D$29),Setup!$D$29,0),IF($T279="Nights",IF(ISNUMBER(Setup!$E$29),Setup!$E$29,0),IF(OR($T279="Exact amounts",$T279="Custom units"),0,1))))))</f>
        <v>0</v>
      </c>
      <c r="AD279" s="29">
        <f>IF($T279="",0,IF(OR(Setup!$B$30="",Setup!$C$30="No"),0,IF(ISNUMBER(Q279),Q279,IF($T279="Weights",IF(ISNUMBER(Setup!$D$30),Setup!$D$30,0),IF($T279="Nights",IF(ISNUMBER(Setup!$E$30),Setup!$E$30,0),IF(OR($T279="Exact amounts",$T279="Custom units"),0,1))))))</f>
        <v>0</v>
      </c>
      <c r="AE279" s="29">
        <f t="shared" si="17"/>
        <v>0</v>
      </c>
      <c r="AF279" s="30">
        <f t="shared" si="18"/>
        <v>1</v>
      </c>
      <c r="AG279" s="29">
        <f t="shared" si="19"/>
        <v>0</v>
      </c>
    </row>
    <row r="280" spans="1:33" ht="16" x14ac:dyDescent="0.2">
      <c r="A280" s="22" t="str">
        <f t="shared" si="16"/>
        <v>—</v>
      </c>
      <c r="B280" s="23"/>
      <c r="C280" s="16"/>
      <c r="D280" s="16"/>
      <c r="E280" s="24"/>
      <c r="F280" s="16"/>
      <c r="G280" s="16"/>
      <c r="H280" s="25"/>
      <c r="I280" s="25"/>
      <c r="J280" s="25"/>
      <c r="K280" s="25"/>
      <c r="L280" s="25"/>
      <c r="M280" s="25"/>
      <c r="N280" s="25"/>
      <c r="O280" s="25"/>
      <c r="P280" s="25"/>
      <c r="Q280" s="25"/>
      <c r="R280" s="26" t="str">
        <f>IF($T280="","",IF($D280="","Who paid?",IF(SUMPRODUCT((Setup!$B$21:$B$30=$D280)*1)=0,"Payer is not in the member list on Setup",IF($E280="","Amount missing — type the number in column E",IF(NOT(ISNUMBER($E280)),"Amount must be a plain number — no currency symbol, no text",IF(AND($T280="Custom units",$AE280&lt;=0),"Custom units: nobody has units on this row — type a number for at least one person",IF($AE280&lt;=0,"Nobody shares this row — check the person columns H–Q, and the Weight / Nights columns on Setup",IF(AND($T280="Exact amounts",ABS($AE280-$AG280)&gt;0.01),"Exact amounts do not add up to the amount","OK"))))))))</f>
        <v/>
      </c>
      <c r="S280" s="27" t="str">
        <f>IFERROR(IF(OR($T280="",$C$4=""),"—",ROUND($AG280*INDEX($U280:$AD280,1,MATCH($C$4,Setup!$B$21:$B$30,0))/$AF280,2)),"—")</f>
        <v>—</v>
      </c>
      <c r="T280" s="28" t="str">
        <f>IF(AND($C280="",$D280="",NOT(ISNUMBER($E280))),"",IF($G280="",IF(Setup!$C$17="","Equal",Setup!$C$17),$G280))</f>
        <v/>
      </c>
      <c r="U280" s="29">
        <f>IF($T280="",0,IF(OR(Setup!$B$21="",Setup!$C$21="No"),0,IF(ISNUMBER(H280),H280,IF($T280="Weights",IF(ISNUMBER(Setup!$D$21),Setup!$D$21,0),IF($T280="Nights",IF(ISNUMBER(Setup!$E$21),Setup!$E$21,0),IF(OR($T280="Exact amounts",$T280="Custom units"),0,1))))))</f>
        <v>0</v>
      </c>
      <c r="V280" s="29">
        <f>IF($T280="",0,IF(OR(Setup!$B$22="",Setup!$C$22="No"),0,IF(ISNUMBER(I280),I280,IF($T280="Weights",IF(ISNUMBER(Setup!$D$22),Setup!$D$22,0),IF($T280="Nights",IF(ISNUMBER(Setup!$E$22),Setup!$E$22,0),IF(OR($T280="Exact amounts",$T280="Custom units"),0,1))))))</f>
        <v>0</v>
      </c>
      <c r="W280" s="29">
        <f>IF($T280="",0,IF(OR(Setup!$B$23="",Setup!$C$23="No"),0,IF(ISNUMBER(J280),J280,IF($T280="Weights",IF(ISNUMBER(Setup!$D$23),Setup!$D$23,0),IF($T280="Nights",IF(ISNUMBER(Setup!$E$23),Setup!$E$23,0),IF(OR($T280="Exact amounts",$T280="Custom units"),0,1))))))</f>
        <v>0</v>
      </c>
      <c r="X280" s="29">
        <f>IF($T280="",0,IF(OR(Setup!$B$24="",Setup!$C$24="No"),0,IF(ISNUMBER(K280),K280,IF($T280="Weights",IF(ISNUMBER(Setup!$D$24),Setup!$D$24,0),IF($T280="Nights",IF(ISNUMBER(Setup!$E$24),Setup!$E$24,0),IF(OR($T280="Exact amounts",$T280="Custom units"),0,1))))))</f>
        <v>0</v>
      </c>
      <c r="Y280" s="29">
        <f>IF($T280="",0,IF(OR(Setup!$B$25="",Setup!$C$25="No"),0,IF(ISNUMBER(L280),L280,IF($T280="Weights",IF(ISNUMBER(Setup!$D$25),Setup!$D$25,0),IF($T280="Nights",IF(ISNUMBER(Setup!$E$25),Setup!$E$25,0),IF(OR($T280="Exact amounts",$T280="Custom units"),0,1))))))</f>
        <v>0</v>
      </c>
      <c r="Z280" s="29">
        <f>IF($T280="",0,IF(OR(Setup!$B$26="",Setup!$C$26="No"),0,IF(ISNUMBER(M280),M280,IF($T280="Weights",IF(ISNUMBER(Setup!$D$26),Setup!$D$26,0),IF($T280="Nights",IF(ISNUMBER(Setup!$E$26),Setup!$E$26,0),IF(OR($T280="Exact amounts",$T280="Custom units"),0,1))))))</f>
        <v>0</v>
      </c>
      <c r="AA280" s="29">
        <f>IF($T280="",0,IF(OR(Setup!$B$27="",Setup!$C$27="No"),0,IF(ISNUMBER(N280),N280,IF($T280="Weights",IF(ISNUMBER(Setup!$D$27),Setup!$D$27,0),IF($T280="Nights",IF(ISNUMBER(Setup!$E$27),Setup!$E$27,0),IF(OR($T280="Exact amounts",$T280="Custom units"),0,1))))))</f>
        <v>0</v>
      </c>
      <c r="AB280" s="29">
        <f>IF($T280="",0,IF(OR(Setup!$B$28="",Setup!$C$28="No"),0,IF(ISNUMBER(O280),O280,IF($T280="Weights",IF(ISNUMBER(Setup!$D$28),Setup!$D$28,0),IF($T280="Nights",IF(ISNUMBER(Setup!$E$28),Setup!$E$28,0),IF(OR($T280="Exact amounts",$T280="Custom units"),0,1))))))</f>
        <v>0</v>
      </c>
      <c r="AC280" s="29">
        <f>IF($T280="",0,IF(OR(Setup!$B$29="",Setup!$C$29="No"),0,IF(ISNUMBER(P280),P280,IF($T280="Weights",IF(ISNUMBER(Setup!$D$29),Setup!$D$29,0),IF($T280="Nights",IF(ISNUMBER(Setup!$E$29),Setup!$E$29,0),IF(OR($T280="Exact amounts",$T280="Custom units"),0,1))))))</f>
        <v>0</v>
      </c>
      <c r="AD280" s="29">
        <f>IF($T280="",0,IF(OR(Setup!$B$30="",Setup!$C$30="No"),0,IF(ISNUMBER(Q280),Q280,IF($T280="Weights",IF(ISNUMBER(Setup!$D$30),Setup!$D$30,0),IF($T280="Nights",IF(ISNUMBER(Setup!$E$30),Setup!$E$30,0),IF(OR($T280="Exact amounts",$T280="Custom units"),0,1))))))</f>
        <v>0</v>
      </c>
      <c r="AE280" s="29">
        <f t="shared" si="17"/>
        <v>0</v>
      </c>
      <c r="AF280" s="30">
        <f t="shared" si="18"/>
        <v>1</v>
      </c>
      <c r="AG280" s="29">
        <f t="shared" si="19"/>
        <v>0</v>
      </c>
    </row>
    <row r="281" spans="1:33" ht="16" x14ac:dyDescent="0.2">
      <c r="A281" s="22" t="str">
        <f t="shared" si="16"/>
        <v>—</v>
      </c>
      <c r="B281" s="31"/>
      <c r="C281" s="11"/>
      <c r="D281" s="11"/>
      <c r="E281" s="32"/>
      <c r="F281" s="11"/>
      <c r="G281" s="11"/>
      <c r="H281" s="33"/>
      <c r="I281" s="33"/>
      <c r="J281" s="33"/>
      <c r="K281" s="33"/>
      <c r="L281" s="33"/>
      <c r="M281" s="33"/>
      <c r="N281" s="33"/>
      <c r="O281" s="33"/>
      <c r="P281" s="33"/>
      <c r="Q281" s="33"/>
      <c r="R281" s="26" t="str">
        <f>IF($T281="","",IF($D281="","Who paid?",IF(SUMPRODUCT((Setup!$B$21:$B$30=$D281)*1)=0,"Payer is not in the member list on Setup",IF($E281="","Amount missing — type the number in column E",IF(NOT(ISNUMBER($E281)),"Amount must be a plain number — no currency symbol, no text",IF(AND($T281="Custom units",$AE281&lt;=0),"Custom units: nobody has units on this row — type a number for at least one person",IF($AE281&lt;=0,"Nobody shares this row — check the person columns H–Q, and the Weight / Nights columns on Setup",IF(AND($T281="Exact amounts",ABS($AE281-$AG281)&gt;0.01),"Exact amounts do not add up to the amount","OK"))))))))</f>
        <v/>
      </c>
      <c r="S281" s="27" t="str">
        <f>IFERROR(IF(OR($T281="",$C$4=""),"—",ROUND($AG281*INDEX($U281:$AD281,1,MATCH($C$4,Setup!$B$21:$B$30,0))/$AF281,2)),"—")</f>
        <v>—</v>
      </c>
      <c r="T281" s="28" t="str">
        <f>IF(AND($C281="",$D281="",NOT(ISNUMBER($E281))),"",IF($G281="",IF(Setup!$C$17="","Equal",Setup!$C$17),$G281))</f>
        <v/>
      </c>
      <c r="U281" s="29">
        <f>IF($T281="",0,IF(OR(Setup!$B$21="",Setup!$C$21="No"),0,IF(ISNUMBER(H281),H281,IF($T281="Weights",IF(ISNUMBER(Setup!$D$21),Setup!$D$21,0),IF($T281="Nights",IF(ISNUMBER(Setup!$E$21),Setup!$E$21,0),IF(OR($T281="Exact amounts",$T281="Custom units"),0,1))))))</f>
        <v>0</v>
      </c>
      <c r="V281" s="29">
        <f>IF($T281="",0,IF(OR(Setup!$B$22="",Setup!$C$22="No"),0,IF(ISNUMBER(I281),I281,IF($T281="Weights",IF(ISNUMBER(Setup!$D$22),Setup!$D$22,0),IF($T281="Nights",IF(ISNUMBER(Setup!$E$22),Setup!$E$22,0),IF(OR($T281="Exact amounts",$T281="Custom units"),0,1))))))</f>
        <v>0</v>
      </c>
      <c r="W281" s="29">
        <f>IF($T281="",0,IF(OR(Setup!$B$23="",Setup!$C$23="No"),0,IF(ISNUMBER(J281),J281,IF($T281="Weights",IF(ISNUMBER(Setup!$D$23),Setup!$D$23,0),IF($T281="Nights",IF(ISNUMBER(Setup!$E$23),Setup!$E$23,0),IF(OR($T281="Exact amounts",$T281="Custom units"),0,1))))))</f>
        <v>0</v>
      </c>
      <c r="X281" s="29">
        <f>IF($T281="",0,IF(OR(Setup!$B$24="",Setup!$C$24="No"),0,IF(ISNUMBER(K281),K281,IF($T281="Weights",IF(ISNUMBER(Setup!$D$24),Setup!$D$24,0),IF($T281="Nights",IF(ISNUMBER(Setup!$E$24),Setup!$E$24,0),IF(OR($T281="Exact amounts",$T281="Custom units"),0,1))))))</f>
        <v>0</v>
      </c>
      <c r="Y281" s="29">
        <f>IF($T281="",0,IF(OR(Setup!$B$25="",Setup!$C$25="No"),0,IF(ISNUMBER(L281),L281,IF($T281="Weights",IF(ISNUMBER(Setup!$D$25),Setup!$D$25,0),IF($T281="Nights",IF(ISNUMBER(Setup!$E$25),Setup!$E$25,0),IF(OR($T281="Exact amounts",$T281="Custom units"),0,1))))))</f>
        <v>0</v>
      </c>
      <c r="Z281" s="29">
        <f>IF($T281="",0,IF(OR(Setup!$B$26="",Setup!$C$26="No"),0,IF(ISNUMBER(M281),M281,IF($T281="Weights",IF(ISNUMBER(Setup!$D$26),Setup!$D$26,0),IF($T281="Nights",IF(ISNUMBER(Setup!$E$26),Setup!$E$26,0),IF(OR($T281="Exact amounts",$T281="Custom units"),0,1))))))</f>
        <v>0</v>
      </c>
      <c r="AA281" s="29">
        <f>IF($T281="",0,IF(OR(Setup!$B$27="",Setup!$C$27="No"),0,IF(ISNUMBER(N281),N281,IF($T281="Weights",IF(ISNUMBER(Setup!$D$27),Setup!$D$27,0),IF($T281="Nights",IF(ISNUMBER(Setup!$E$27),Setup!$E$27,0),IF(OR($T281="Exact amounts",$T281="Custom units"),0,1))))))</f>
        <v>0</v>
      </c>
      <c r="AB281" s="29">
        <f>IF($T281="",0,IF(OR(Setup!$B$28="",Setup!$C$28="No"),0,IF(ISNUMBER(O281),O281,IF($T281="Weights",IF(ISNUMBER(Setup!$D$28),Setup!$D$28,0),IF($T281="Nights",IF(ISNUMBER(Setup!$E$28),Setup!$E$28,0),IF(OR($T281="Exact amounts",$T281="Custom units"),0,1))))))</f>
        <v>0</v>
      </c>
      <c r="AC281" s="29">
        <f>IF($T281="",0,IF(OR(Setup!$B$29="",Setup!$C$29="No"),0,IF(ISNUMBER(P281),P281,IF($T281="Weights",IF(ISNUMBER(Setup!$D$29),Setup!$D$29,0),IF($T281="Nights",IF(ISNUMBER(Setup!$E$29),Setup!$E$29,0),IF(OR($T281="Exact amounts",$T281="Custom units"),0,1))))))</f>
        <v>0</v>
      </c>
      <c r="AD281" s="29">
        <f>IF($T281="",0,IF(OR(Setup!$B$30="",Setup!$C$30="No"),0,IF(ISNUMBER(Q281),Q281,IF($T281="Weights",IF(ISNUMBER(Setup!$D$30),Setup!$D$30,0),IF($T281="Nights",IF(ISNUMBER(Setup!$E$30),Setup!$E$30,0),IF(OR($T281="Exact amounts",$T281="Custom units"),0,1))))))</f>
        <v>0</v>
      </c>
      <c r="AE281" s="29">
        <f t="shared" si="17"/>
        <v>0</v>
      </c>
      <c r="AF281" s="30">
        <f t="shared" si="18"/>
        <v>1</v>
      </c>
      <c r="AG281" s="29">
        <f t="shared" si="19"/>
        <v>0</v>
      </c>
    </row>
    <row r="282" spans="1:33" ht="16" x14ac:dyDescent="0.2">
      <c r="A282" s="22" t="str">
        <f t="shared" si="16"/>
        <v>—</v>
      </c>
      <c r="B282" s="23"/>
      <c r="C282" s="16"/>
      <c r="D282" s="16"/>
      <c r="E282" s="24"/>
      <c r="F282" s="16"/>
      <c r="G282" s="16"/>
      <c r="H282" s="25"/>
      <c r="I282" s="25"/>
      <c r="J282" s="25"/>
      <c r="K282" s="25"/>
      <c r="L282" s="25"/>
      <c r="M282" s="25"/>
      <c r="N282" s="25"/>
      <c r="O282" s="25"/>
      <c r="P282" s="25"/>
      <c r="Q282" s="25"/>
      <c r="R282" s="26" t="str">
        <f>IF($T282="","",IF($D282="","Who paid?",IF(SUMPRODUCT((Setup!$B$21:$B$30=$D282)*1)=0,"Payer is not in the member list on Setup",IF($E282="","Amount missing — type the number in column E",IF(NOT(ISNUMBER($E282)),"Amount must be a plain number — no currency symbol, no text",IF(AND($T282="Custom units",$AE282&lt;=0),"Custom units: nobody has units on this row — type a number for at least one person",IF($AE282&lt;=0,"Nobody shares this row — check the person columns H–Q, and the Weight / Nights columns on Setup",IF(AND($T282="Exact amounts",ABS($AE282-$AG282)&gt;0.01),"Exact amounts do not add up to the amount","OK"))))))))</f>
        <v/>
      </c>
      <c r="S282" s="27" t="str">
        <f>IFERROR(IF(OR($T282="",$C$4=""),"—",ROUND($AG282*INDEX($U282:$AD282,1,MATCH($C$4,Setup!$B$21:$B$30,0))/$AF282,2)),"—")</f>
        <v>—</v>
      </c>
      <c r="T282" s="28" t="str">
        <f>IF(AND($C282="",$D282="",NOT(ISNUMBER($E282))),"",IF($G282="",IF(Setup!$C$17="","Equal",Setup!$C$17),$G282))</f>
        <v/>
      </c>
      <c r="U282" s="29">
        <f>IF($T282="",0,IF(OR(Setup!$B$21="",Setup!$C$21="No"),0,IF(ISNUMBER(H282),H282,IF($T282="Weights",IF(ISNUMBER(Setup!$D$21),Setup!$D$21,0),IF($T282="Nights",IF(ISNUMBER(Setup!$E$21),Setup!$E$21,0),IF(OR($T282="Exact amounts",$T282="Custom units"),0,1))))))</f>
        <v>0</v>
      </c>
      <c r="V282" s="29">
        <f>IF($T282="",0,IF(OR(Setup!$B$22="",Setup!$C$22="No"),0,IF(ISNUMBER(I282),I282,IF($T282="Weights",IF(ISNUMBER(Setup!$D$22),Setup!$D$22,0),IF($T282="Nights",IF(ISNUMBER(Setup!$E$22),Setup!$E$22,0),IF(OR($T282="Exact amounts",$T282="Custom units"),0,1))))))</f>
        <v>0</v>
      </c>
      <c r="W282" s="29">
        <f>IF($T282="",0,IF(OR(Setup!$B$23="",Setup!$C$23="No"),0,IF(ISNUMBER(J282),J282,IF($T282="Weights",IF(ISNUMBER(Setup!$D$23),Setup!$D$23,0),IF($T282="Nights",IF(ISNUMBER(Setup!$E$23),Setup!$E$23,0),IF(OR($T282="Exact amounts",$T282="Custom units"),0,1))))))</f>
        <v>0</v>
      </c>
      <c r="X282" s="29">
        <f>IF($T282="",0,IF(OR(Setup!$B$24="",Setup!$C$24="No"),0,IF(ISNUMBER(K282),K282,IF($T282="Weights",IF(ISNUMBER(Setup!$D$24),Setup!$D$24,0),IF($T282="Nights",IF(ISNUMBER(Setup!$E$24),Setup!$E$24,0),IF(OR($T282="Exact amounts",$T282="Custom units"),0,1))))))</f>
        <v>0</v>
      </c>
      <c r="Y282" s="29">
        <f>IF($T282="",0,IF(OR(Setup!$B$25="",Setup!$C$25="No"),0,IF(ISNUMBER(L282),L282,IF($T282="Weights",IF(ISNUMBER(Setup!$D$25),Setup!$D$25,0),IF($T282="Nights",IF(ISNUMBER(Setup!$E$25),Setup!$E$25,0),IF(OR($T282="Exact amounts",$T282="Custom units"),0,1))))))</f>
        <v>0</v>
      </c>
      <c r="Z282" s="29">
        <f>IF($T282="",0,IF(OR(Setup!$B$26="",Setup!$C$26="No"),0,IF(ISNUMBER(M282),M282,IF($T282="Weights",IF(ISNUMBER(Setup!$D$26),Setup!$D$26,0),IF($T282="Nights",IF(ISNUMBER(Setup!$E$26),Setup!$E$26,0),IF(OR($T282="Exact amounts",$T282="Custom units"),0,1))))))</f>
        <v>0</v>
      </c>
      <c r="AA282" s="29">
        <f>IF($T282="",0,IF(OR(Setup!$B$27="",Setup!$C$27="No"),0,IF(ISNUMBER(N282),N282,IF($T282="Weights",IF(ISNUMBER(Setup!$D$27),Setup!$D$27,0),IF($T282="Nights",IF(ISNUMBER(Setup!$E$27),Setup!$E$27,0),IF(OR($T282="Exact amounts",$T282="Custom units"),0,1))))))</f>
        <v>0</v>
      </c>
      <c r="AB282" s="29">
        <f>IF($T282="",0,IF(OR(Setup!$B$28="",Setup!$C$28="No"),0,IF(ISNUMBER(O282),O282,IF($T282="Weights",IF(ISNUMBER(Setup!$D$28),Setup!$D$28,0),IF($T282="Nights",IF(ISNUMBER(Setup!$E$28),Setup!$E$28,0),IF(OR($T282="Exact amounts",$T282="Custom units"),0,1))))))</f>
        <v>0</v>
      </c>
      <c r="AC282" s="29">
        <f>IF($T282="",0,IF(OR(Setup!$B$29="",Setup!$C$29="No"),0,IF(ISNUMBER(P282),P282,IF($T282="Weights",IF(ISNUMBER(Setup!$D$29),Setup!$D$29,0),IF($T282="Nights",IF(ISNUMBER(Setup!$E$29),Setup!$E$29,0),IF(OR($T282="Exact amounts",$T282="Custom units"),0,1))))))</f>
        <v>0</v>
      </c>
      <c r="AD282" s="29">
        <f>IF($T282="",0,IF(OR(Setup!$B$30="",Setup!$C$30="No"),0,IF(ISNUMBER(Q282),Q282,IF($T282="Weights",IF(ISNUMBER(Setup!$D$30),Setup!$D$30,0),IF($T282="Nights",IF(ISNUMBER(Setup!$E$30),Setup!$E$30,0),IF(OR($T282="Exact amounts",$T282="Custom units"),0,1))))))</f>
        <v>0</v>
      </c>
      <c r="AE282" s="29">
        <f t="shared" si="17"/>
        <v>0</v>
      </c>
      <c r="AF282" s="30">
        <f t="shared" si="18"/>
        <v>1</v>
      </c>
      <c r="AG282" s="29">
        <f t="shared" si="19"/>
        <v>0</v>
      </c>
    </row>
    <row r="283" spans="1:33" ht="16" x14ac:dyDescent="0.2">
      <c r="A283" s="22" t="str">
        <f t="shared" si="16"/>
        <v>—</v>
      </c>
      <c r="B283" s="31"/>
      <c r="C283" s="11"/>
      <c r="D283" s="11"/>
      <c r="E283" s="32"/>
      <c r="F283" s="11"/>
      <c r="G283" s="11"/>
      <c r="H283" s="33"/>
      <c r="I283" s="33"/>
      <c r="J283" s="33"/>
      <c r="K283" s="33"/>
      <c r="L283" s="33"/>
      <c r="M283" s="33"/>
      <c r="N283" s="33"/>
      <c r="O283" s="33"/>
      <c r="P283" s="33"/>
      <c r="Q283" s="33"/>
      <c r="R283" s="26" t="str">
        <f>IF($T283="","",IF($D283="","Who paid?",IF(SUMPRODUCT((Setup!$B$21:$B$30=$D283)*1)=0,"Payer is not in the member list on Setup",IF($E283="","Amount missing — type the number in column E",IF(NOT(ISNUMBER($E283)),"Amount must be a plain number — no currency symbol, no text",IF(AND($T283="Custom units",$AE283&lt;=0),"Custom units: nobody has units on this row — type a number for at least one person",IF($AE283&lt;=0,"Nobody shares this row — check the person columns H–Q, and the Weight / Nights columns on Setup",IF(AND($T283="Exact amounts",ABS($AE283-$AG283)&gt;0.01),"Exact amounts do not add up to the amount","OK"))))))))</f>
        <v/>
      </c>
      <c r="S283" s="27" t="str">
        <f>IFERROR(IF(OR($T283="",$C$4=""),"—",ROUND($AG283*INDEX($U283:$AD283,1,MATCH($C$4,Setup!$B$21:$B$30,0))/$AF283,2)),"—")</f>
        <v>—</v>
      </c>
      <c r="T283" s="28" t="str">
        <f>IF(AND($C283="",$D283="",NOT(ISNUMBER($E283))),"",IF($G283="",IF(Setup!$C$17="","Equal",Setup!$C$17),$G283))</f>
        <v/>
      </c>
      <c r="U283" s="29">
        <f>IF($T283="",0,IF(OR(Setup!$B$21="",Setup!$C$21="No"),0,IF(ISNUMBER(H283),H283,IF($T283="Weights",IF(ISNUMBER(Setup!$D$21),Setup!$D$21,0),IF($T283="Nights",IF(ISNUMBER(Setup!$E$21),Setup!$E$21,0),IF(OR($T283="Exact amounts",$T283="Custom units"),0,1))))))</f>
        <v>0</v>
      </c>
      <c r="V283" s="29">
        <f>IF($T283="",0,IF(OR(Setup!$B$22="",Setup!$C$22="No"),0,IF(ISNUMBER(I283),I283,IF($T283="Weights",IF(ISNUMBER(Setup!$D$22),Setup!$D$22,0),IF($T283="Nights",IF(ISNUMBER(Setup!$E$22),Setup!$E$22,0),IF(OR($T283="Exact amounts",$T283="Custom units"),0,1))))))</f>
        <v>0</v>
      </c>
      <c r="W283" s="29">
        <f>IF($T283="",0,IF(OR(Setup!$B$23="",Setup!$C$23="No"),0,IF(ISNUMBER(J283),J283,IF($T283="Weights",IF(ISNUMBER(Setup!$D$23),Setup!$D$23,0),IF($T283="Nights",IF(ISNUMBER(Setup!$E$23),Setup!$E$23,0),IF(OR($T283="Exact amounts",$T283="Custom units"),0,1))))))</f>
        <v>0</v>
      </c>
      <c r="X283" s="29">
        <f>IF($T283="",0,IF(OR(Setup!$B$24="",Setup!$C$24="No"),0,IF(ISNUMBER(K283),K283,IF($T283="Weights",IF(ISNUMBER(Setup!$D$24),Setup!$D$24,0),IF($T283="Nights",IF(ISNUMBER(Setup!$E$24),Setup!$E$24,0),IF(OR($T283="Exact amounts",$T283="Custom units"),0,1))))))</f>
        <v>0</v>
      </c>
      <c r="Y283" s="29">
        <f>IF($T283="",0,IF(OR(Setup!$B$25="",Setup!$C$25="No"),0,IF(ISNUMBER(L283),L283,IF($T283="Weights",IF(ISNUMBER(Setup!$D$25),Setup!$D$25,0),IF($T283="Nights",IF(ISNUMBER(Setup!$E$25),Setup!$E$25,0),IF(OR($T283="Exact amounts",$T283="Custom units"),0,1))))))</f>
        <v>0</v>
      </c>
      <c r="Z283" s="29">
        <f>IF($T283="",0,IF(OR(Setup!$B$26="",Setup!$C$26="No"),0,IF(ISNUMBER(M283),M283,IF($T283="Weights",IF(ISNUMBER(Setup!$D$26),Setup!$D$26,0),IF($T283="Nights",IF(ISNUMBER(Setup!$E$26),Setup!$E$26,0),IF(OR($T283="Exact amounts",$T283="Custom units"),0,1))))))</f>
        <v>0</v>
      </c>
      <c r="AA283" s="29">
        <f>IF($T283="",0,IF(OR(Setup!$B$27="",Setup!$C$27="No"),0,IF(ISNUMBER(N283),N283,IF($T283="Weights",IF(ISNUMBER(Setup!$D$27),Setup!$D$27,0),IF($T283="Nights",IF(ISNUMBER(Setup!$E$27),Setup!$E$27,0),IF(OR($T283="Exact amounts",$T283="Custom units"),0,1))))))</f>
        <v>0</v>
      </c>
      <c r="AB283" s="29">
        <f>IF($T283="",0,IF(OR(Setup!$B$28="",Setup!$C$28="No"),0,IF(ISNUMBER(O283),O283,IF($T283="Weights",IF(ISNUMBER(Setup!$D$28),Setup!$D$28,0),IF($T283="Nights",IF(ISNUMBER(Setup!$E$28),Setup!$E$28,0),IF(OR($T283="Exact amounts",$T283="Custom units"),0,1))))))</f>
        <v>0</v>
      </c>
      <c r="AC283" s="29">
        <f>IF($T283="",0,IF(OR(Setup!$B$29="",Setup!$C$29="No"),0,IF(ISNUMBER(P283),P283,IF($T283="Weights",IF(ISNUMBER(Setup!$D$29),Setup!$D$29,0),IF($T283="Nights",IF(ISNUMBER(Setup!$E$29),Setup!$E$29,0),IF(OR($T283="Exact amounts",$T283="Custom units"),0,1))))))</f>
        <v>0</v>
      </c>
      <c r="AD283" s="29">
        <f>IF($T283="",0,IF(OR(Setup!$B$30="",Setup!$C$30="No"),0,IF(ISNUMBER(Q283),Q283,IF($T283="Weights",IF(ISNUMBER(Setup!$D$30),Setup!$D$30,0),IF($T283="Nights",IF(ISNUMBER(Setup!$E$30),Setup!$E$30,0),IF(OR($T283="Exact amounts",$T283="Custom units"),0,1))))))</f>
        <v>0</v>
      </c>
      <c r="AE283" s="29">
        <f t="shared" si="17"/>
        <v>0</v>
      </c>
      <c r="AF283" s="30">
        <f t="shared" si="18"/>
        <v>1</v>
      </c>
      <c r="AG283" s="29">
        <f t="shared" si="19"/>
        <v>0</v>
      </c>
    </row>
    <row r="284" spans="1:33" ht="16" x14ac:dyDescent="0.2">
      <c r="A284" s="22" t="str">
        <f t="shared" si="16"/>
        <v>—</v>
      </c>
      <c r="B284" s="23"/>
      <c r="C284" s="16"/>
      <c r="D284" s="16"/>
      <c r="E284" s="24"/>
      <c r="F284" s="16"/>
      <c r="G284" s="16"/>
      <c r="H284" s="25"/>
      <c r="I284" s="25"/>
      <c r="J284" s="25"/>
      <c r="K284" s="25"/>
      <c r="L284" s="25"/>
      <c r="M284" s="25"/>
      <c r="N284" s="25"/>
      <c r="O284" s="25"/>
      <c r="P284" s="25"/>
      <c r="Q284" s="25"/>
      <c r="R284" s="26" t="str">
        <f>IF($T284="","",IF($D284="","Who paid?",IF(SUMPRODUCT((Setup!$B$21:$B$30=$D284)*1)=0,"Payer is not in the member list on Setup",IF($E284="","Amount missing — type the number in column E",IF(NOT(ISNUMBER($E284)),"Amount must be a plain number — no currency symbol, no text",IF(AND($T284="Custom units",$AE284&lt;=0),"Custom units: nobody has units on this row — type a number for at least one person",IF($AE284&lt;=0,"Nobody shares this row — check the person columns H–Q, and the Weight / Nights columns on Setup",IF(AND($T284="Exact amounts",ABS($AE284-$AG284)&gt;0.01),"Exact amounts do not add up to the amount","OK"))))))))</f>
        <v/>
      </c>
      <c r="S284" s="27" t="str">
        <f>IFERROR(IF(OR($T284="",$C$4=""),"—",ROUND($AG284*INDEX($U284:$AD284,1,MATCH($C$4,Setup!$B$21:$B$30,0))/$AF284,2)),"—")</f>
        <v>—</v>
      </c>
      <c r="T284" s="28" t="str">
        <f>IF(AND($C284="",$D284="",NOT(ISNUMBER($E284))),"",IF($G284="",IF(Setup!$C$17="","Equal",Setup!$C$17),$G284))</f>
        <v/>
      </c>
      <c r="U284" s="29">
        <f>IF($T284="",0,IF(OR(Setup!$B$21="",Setup!$C$21="No"),0,IF(ISNUMBER(H284),H284,IF($T284="Weights",IF(ISNUMBER(Setup!$D$21),Setup!$D$21,0),IF($T284="Nights",IF(ISNUMBER(Setup!$E$21),Setup!$E$21,0),IF(OR($T284="Exact amounts",$T284="Custom units"),0,1))))))</f>
        <v>0</v>
      </c>
      <c r="V284" s="29">
        <f>IF($T284="",0,IF(OR(Setup!$B$22="",Setup!$C$22="No"),0,IF(ISNUMBER(I284),I284,IF($T284="Weights",IF(ISNUMBER(Setup!$D$22),Setup!$D$22,0),IF($T284="Nights",IF(ISNUMBER(Setup!$E$22),Setup!$E$22,0),IF(OR($T284="Exact amounts",$T284="Custom units"),0,1))))))</f>
        <v>0</v>
      </c>
      <c r="W284" s="29">
        <f>IF($T284="",0,IF(OR(Setup!$B$23="",Setup!$C$23="No"),0,IF(ISNUMBER(J284),J284,IF($T284="Weights",IF(ISNUMBER(Setup!$D$23),Setup!$D$23,0),IF($T284="Nights",IF(ISNUMBER(Setup!$E$23),Setup!$E$23,0),IF(OR($T284="Exact amounts",$T284="Custom units"),0,1))))))</f>
        <v>0</v>
      </c>
      <c r="X284" s="29">
        <f>IF($T284="",0,IF(OR(Setup!$B$24="",Setup!$C$24="No"),0,IF(ISNUMBER(K284),K284,IF($T284="Weights",IF(ISNUMBER(Setup!$D$24),Setup!$D$24,0),IF($T284="Nights",IF(ISNUMBER(Setup!$E$24),Setup!$E$24,0),IF(OR($T284="Exact amounts",$T284="Custom units"),0,1))))))</f>
        <v>0</v>
      </c>
      <c r="Y284" s="29">
        <f>IF($T284="",0,IF(OR(Setup!$B$25="",Setup!$C$25="No"),0,IF(ISNUMBER(L284),L284,IF($T284="Weights",IF(ISNUMBER(Setup!$D$25),Setup!$D$25,0),IF($T284="Nights",IF(ISNUMBER(Setup!$E$25),Setup!$E$25,0),IF(OR($T284="Exact amounts",$T284="Custom units"),0,1))))))</f>
        <v>0</v>
      </c>
      <c r="Z284" s="29">
        <f>IF($T284="",0,IF(OR(Setup!$B$26="",Setup!$C$26="No"),0,IF(ISNUMBER(M284),M284,IF($T284="Weights",IF(ISNUMBER(Setup!$D$26),Setup!$D$26,0),IF($T284="Nights",IF(ISNUMBER(Setup!$E$26),Setup!$E$26,0),IF(OR($T284="Exact amounts",$T284="Custom units"),0,1))))))</f>
        <v>0</v>
      </c>
      <c r="AA284" s="29">
        <f>IF($T284="",0,IF(OR(Setup!$B$27="",Setup!$C$27="No"),0,IF(ISNUMBER(N284),N284,IF($T284="Weights",IF(ISNUMBER(Setup!$D$27),Setup!$D$27,0),IF($T284="Nights",IF(ISNUMBER(Setup!$E$27),Setup!$E$27,0),IF(OR($T284="Exact amounts",$T284="Custom units"),0,1))))))</f>
        <v>0</v>
      </c>
      <c r="AB284" s="29">
        <f>IF($T284="",0,IF(OR(Setup!$B$28="",Setup!$C$28="No"),0,IF(ISNUMBER(O284),O284,IF($T284="Weights",IF(ISNUMBER(Setup!$D$28),Setup!$D$28,0),IF($T284="Nights",IF(ISNUMBER(Setup!$E$28),Setup!$E$28,0),IF(OR($T284="Exact amounts",$T284="Custom units"),0,1))))))</f>
        <v>0</v>
      </c>
      <c r="AC284" s="29">
        <f>IF($T284="",0,IF(OR(Setup!$B$29="",Setup!$C$29="No"),0,IF(ISNUMBER(P284),P284,IF($T284="Weights",IF(ISNUMBER(Setup!$D$29),Setup!$D$29,0),IF($T284="Nights",IF(ISNUMBER(Setup!$E$29),Setup!$E$29,0),IF(OR($T284="Exact amounts",$T284="Custom units"),0,1))))))</f>
        <v>0</v>
      </c>
      <c r="AD284" s="29">
        <f>IF($T284="",0,IF(OR(Setup!$B$30="",Setup!$C$30="No"),0,IF(ISNUMBER(Q284),Q284,IF($T284="Weights",IF(ISNUMBER(Setup!$D$30),Setup!$D$30,0),IF($T284="Nights",IF(ISNUMBER(Setup!$E$30),Setup!$E$30,0),IF(OR($T284="Exact amounts",$T284="Custom units"),0,1))))))</f>
        <v>0</v>
      </c>
      <c r="AE284" s="29">
        <f t="shared" si="17"/>
        <v>0</v>
      </c>
      <c r="AF284" s="30">
        <f t="shared" si="18"/>
        <v>1</v>
      </c>
      <c r="AG284" s="29">
        <f t="shared" si="19"/>
        <v>0</v>
      </c>
    </row>
    <row r="285" spans="1:33" ht="16" x14ac:dyDescent="0.2">
      <c r="A285" s="22" t="str">
        <f t="shared" si="16"/>
        <v>—</v>
      </c>
      <c r="B285" s="31"/>
      <c r="C285" s="11"/>
      <c r="D285" s="11"/>
      <c r="E285" s="32"/>
      <c r="F285" s="11"/>
      <c r="G285" s="11"/>
      <c r="H285" s="33"/>
      <c r="I285" s="33"/>
      <c r="J285" s="33"/>
      <c r="K285" s="33"/>
      <c r="L285" s="33"/>
      <c r="M285" s="33"/>
      <c r="N285" s="33"/>
      <c r="O285" s="33"/>
      <c r="P285" s="33"/>
      <c r="Q285" s="33"/>
      <c r="R285" s="26" t="str">
        <f>IF($T285="","",IF($D285="","Who paid?",IF(SUMPRODUCT((Setup!$B$21:$B$30=$D285)*1)=0,"Payer is not in the member list on Setup",IF($E285="","Amount missing — type the number in column E",IF(NOT(ISNUMBER($E285)),"Amount must be a plain number — no currency symbol, no text",IF(AND($T285="Custom units",$AE285&lt;=0),"Custom units: nobody has units on this row — type a number for at least one person",IF($AE285&lt;=0,"Nobody shares this row — check the person columns H–Q, and the Weight / Nights columns on Setup",IF(AND($T285="Exact amounts",ABS($AE285-$AG285)&gt;0.01),"Exact amounts do not add up to the amount","OK"))))))))</f>
        <v/>
      </c>
      <c r="S285" s="27" t="str">
        <f>IFERROR(IF(OR($T285="",$C$4=""),"—",ROUND($AG285*INDEX($U285:$AD285,1,MATCH($C$4,Setup!$B$21:$B$30,0))/$AF285,2)),"—")</f>
        <v>—</v>
      </c>
      <c r="T285" s="28" t="str">
        <f>IF(AND($C285="",$D285="",NOT(ISNUMBER($E285))),"",IF($G285="",IF(Setup!$C$17="","Equal",Setup!$C$17),$G285))</f>
        <v/>
      </c>
      <c r="U285" s="29">
        <f>IF($T285="",0,IF(OR(Setup!$B$21="",Setup!$C$21="No"),0,IF(ISNUMBER(H285),H285,IF($T285="Weights",IF(ISNUMBER(Setup!$D$21),Setup!$D$21,0),IF($T285="Nights",IF(ISNUMBER(Setup!$E$21),Setup!$E$21,0),IF(OR($T285="Exact amounts",$T285="Custom units"),0,1))))))</f>
        <v>0</v>
      </c>
      <c r="V285" s="29">
        <f>IF($T285="",0,IF(OR(Setup!$B$22="",Setup!$C$22="No"),0,IF(ISNUMBER(I285),I285,IF($T285="Weights",IF(ISNUMBER(Setup!$D$22),Setup!$D$22,0),IF($T285="Nights",IF(ISNUMBER(Setup!$E$22),Setup!$E$22,0),IF(OR($T285="Exact amounts",$T285="Custom units"),0,1))))))</f>
        <v>0</v>
      </c>
      <c r="W285" s="29">
        <f>IF($T285="",0,IF(OR(Setup!$B$23="",Setup!$C$23="No"),0,IF(ISNUMBER(J285),J285,IF($T285="Weights",IF(ISNUMBER(Setup!$D$23),Setup!$D$23,0),IF($T285="Nights",IF(ISNUMBER(Setup!$E$23),Setup!$E$23,0),IF(OR($T285="Exact amounts",$T285="Custom units"),0,1))))))</f>
        <v>0</v>
      </c>
      <c r="X285" s="29">
        <f>IF($T285="",0,IF(OR(Setup!$B$24="",Setup!$C$24="No"),0,IF(ISNUMBER(K285),K285,IF($T285="Weights",IF(ISNUMBER(Setup!$D$24),Setup!$D$24,0),IF($T285="Nights",IF(ISNUMBER(Setup!$E$24),Setup!$E$24,0),IF(OR($T285="Exact amounts",$T285="Custom units"),0,1))))))</f>
        <v>0</v>
      </c>
      <c r="Y285" s="29">
        <f>IF($T285="",0,IF(OR(Setup!$B$25="",Setup!$C$25="No"),0,IF(ISNUMBER(L285),L285,IF($T285="Weights",IF(ISNUMBER(Setup!$D$25),Setup!$D$25,0),IF($T285="Nights",IF(ISNUMBER(Setup!$E$25),Setup!$E$25,0),IF(OR($T285="Exact amounts",$T285="Custom units"),0,1))))))</f>
        <v>0</v>
      </c>
      <c r="Z285" s="29">
        <f>IF($T285="",0,IF(OR(Setup!$B$26="",Setup!$C$26="No"),0,IF(ISNUMBER(M285),M285,IF($T285="Weights",IF(ISNUMBER(Setup!$D$26),Setup!$D$26,0),IF($T285="Nights",IF(ISNUMBER(Setup!$E$26),Setup!$E$26,0),IF(OR($T285="Exact amounts",$T285="Custom units"),0,1))))))</f>
        <v>0</v>
      </c>
      <c r="AA285" s="29">
        <f>IF($T285="",0,IF(OR(Setup!$B$27="",Setup!$C$27="No"),0,IF(ISNUMBER(N285),N285,IF($T285="Weights",IF(ISNUMBER(Setup!$D$27),Setup!$D$27,0),IF($T285="Nights",IF(ISNUMBER(Setup!$E$27),Setup!$E$27,0),IF(OR($T285="Exact amounts",$T285="Custom units"),0,1))))))</f>
        <v>0</v>
      </c>
      <c r="AB285" s="29">
        <f>IF($T285="",0,IF(OR(Setup!$B$28="",Setup!$C$28="No"),0,IF(ISNUMBER(O285),O285,IF($T285="Weights",IF(ISNUMBER(Setup!$D$28),Setup!$D$28,0),IF($T285="Nights",IF(ISNUMBER(Setup!$E$28),Setup!$E$28,0),IF(OR($T285="Exact amounts",$T285="Custom units"),0,1))))))</f>
        <v>0</v>
      </c>
      <c r="AC285" s="29">
        <f>IF($T285="",0,IF(OR(Setup!$B$29="",Setup!$C$29="No"),0,IF(ISNUMBER(P285),P285,IF($T285="Weights",IF(ISNUMBER(Setup!$D$29),Setup!$D$29,0),IF($T285="Nights",IF(ISNUMBER(Setup!$E$29),Setup!$E$29,0),IF(OR($T285="Exact amounts",$T285="Custom units"),0,1))))))</f>
        <v>0</v>
      </c>
      <c r="AD285" s="29">
        <f>IF($T285="",0,IF(OR(Setup!$B$30="",Setup!$C$30="No"),0,IF(ISNUMBER(Q285),Q285,IF($T285="Weights",IF(ISNUMBER(Setup!$D$30),Setup!$D$30,0),IF($T285="Nights",IF(ISNUMBER(Setup!$E$30),Setup!$E$30,0),IF(OR($T285="Exact amounts",$T285="Custom units"),0,1))))))</f>
        <v>0</v>
      </c>
      <c r="AE285" s="29">
        <f t="shared" si="17"/>
        <v>0</v>
      </c>
      <c r="AF285" s="30">
        <f t="shared" si="18"/>
        <v>1</v>
      </c>
      <c r="AG285" s="29">
        <f t="shared" si="19"/>
        <v>0</v>
      </c>
    </row>
    <row r="286" spans="1:33" ht="16" x14ac:dyDescent="0.2">
      <c r="A286" s="22" t="str">
        <f t="shared" si="16"/>
        <v>—</v>
      </c>
      <c r="B286" s="23"/>
      <c r="C286" s="16"/>
      <c r="D286" s="16"/>
      <c r="E286" s="24"/>
      <c r="F286" s="16"/>
      <c r="G286" s="16"/>
      <c r="H286" s="25"/>
      <c r="I286" s="25"/>
      <c r="J286" s="25"/>
      <c r="K286" s="25"/>
      <c r="L286" s="25"/>
      <c r="M286" s="25"/>
      <c r="N286" s="25"/>
      <c r="O286" s="25"/>
      <c r="P286" s="25"/>
      <c r="Q286" s="25"/>
      <c r="R286" s="26" t="str">
        <f>IF($T286="","",IF($D286="","Who paid?",IF(SUMPRODUCT((Setup!$B$21:$B$30=$D286)*1)=0,"Payer is not in the member list on Setup",IF($E286="","Amount missing — type the number in column E",IF(NOT(ISNUMBER($E286)),"Amount must be a plain number — no currency symbol, no text",IF(AND($T286="Custom units",$AE286&lt;=0),"Custom units: nobody has units on this row — type a number for at least one person",IF($AE286&lt;=0,"Nobody shares this row — check the person columns H–Q, and the Weight / Nights columns on Setup",IF(AND($T286="Exact amounts",ABS($AE286-$AG286)&gt;0.01),"Exact amounts do not add up to the amount","OK"))))))))</f>
        <v/>
      </c>
      <c r="S286" s="27" t="str">
        <f>IFERROR(IF(OR($T286="",$C$4=""),"—",ROUND($AG286*INDEX($U286:$AD286,1,MATCH($C$4,Setup!$B$21:$B$30,0))/$AF286,2)),"—")</f>
        <v>—</v>
      </c>
      <c r="T286" s="28" t="str">
        <f>IF(AND($C286="",$D286="",NOT(ISNUMBER($E286))),"",IF($G286="",IF(Setup!$C$17="","Equal",Setup!$C$17),$G286))</f>
        <v/>
      </c>
      <c r="U286" s="29">
        <f>IF($T286="",0,IF(OR(Setup!$B$21="",Setup!$C$21="No"),0,IF(ISNUMBER(H286),H286,IF($T286="Weights",IF(ISNUMBER(Setup!$D$21),Setup!$D$21,0),IF($T286="Nights",IF(ISNUMBER(Setup!$E$21),Setup!$E$21,0),IF(OR($T286="Exact amounts",$T286="Custom units"),0,1))))))</f>
        <v>0</v>
      </c>
      <c r="V286" s="29">
        <f>IF($T286="",0,IF(OR(Setup!$B$22="",Setup!$C$22="No"),0,IF(ISNUMBER(I286),I286,IF($T286="Weights",IF(ISNUMBER(Setup!$D$22),Setup!$D$22,0),IF($T286="Nights",IF(ISNUMBER(Setup!$E$22),Setup!$E$22,0),IF(OR($T286="Exact amounts",$T286="Custom units"),0,1))))))</f>
        <v>0</v>
      </c>
      <c r="W286" s="29">
        <f>IF($T286="",0,IF(OR(Setup!$B$23="",Setup!$C$23="No"),0,IF(ISNUMBER(J286),J286,IF($T286="Weights",IF(ISNUMBER(Setup!$D$23),Setup!$D$23,0),IF($T286="Nights",IF(ISNUMBER(Setup!$E$23),Setup!$E$23,0),IF(OR($T286="Exact amounts",$T286="Custom units"),0,1))))))</f>
        <v>0</v>
      </c>
      <c r="X286" s="29">
        <f>IF($T286="",0,IF(OR(Setup!$B$24="",Setup!$C$24="No"),0,IF(ISNUMBER(K286),K286,IF($T286="Weights",IF(ISNUMBER(Setup!$D$24),Setup!$D$24,0),IF($T286="Nights",IF(ISNUMBER(Setup!$E$24),Setup!$E$24,0),IF(OR($T286="Exact amounts",$T286="Custom units"),0,1))))))</f>
        <v>0</v>
      </c>
      <c r="Y286" s="29">
        <f>IF($T286="",0,IF(OR(Setup!$B$25="",Setup!$C$25="No"),0,IF(ISNUMBER(L286),L286,IF($T286="Weights",IF(ISNUMBER(Setup!$D$25),Setup!$D$25,0),IF($T286="Nights",IF(ISNUMBER(Setup!$E$25),Setup!$E$25,0),IF(OR($T286="Exact amounts",$T286="Custom units"),0,1))))))</f>
        <v>0</v>
      </c>
      <c r="Z286" s="29">
        <f>IF($T286="",0,IF(OR(Setup!$B$26="",Setup!$C$26="No"),0,IF(ISNUMBER(M286),M286,IF($T286="Weights",IF(ISNUMBER(Setup!$D$26),Setup!$D$26,0),IF($T286="Nights",IF(ISNUMBER(Setup!$E$26),Setup!$E$26,0),IF(OR($T286="Exact amounts",$T286="Custom units"),0,1))))))</f>
        <v>0</v>
      </c>
      <c r="AA286" s="29">
        <f>IF($T286="",0,IF(OR(Setup!$B$27="",Setup!$C$27="No"),0,IF(ISNUMBER(N286),N286,IF($T286="Weights",IF(ISNUMBER(Setup!$D$27),Setup!$D$27,0),IF($T286="Nights",IF(ISNUMBER(Setup!$E$27),Setup!$E$27,0),IF(OR($T286="Exact amounts",$T286="Custom units"),0,1))))))</f>
        <v>0</v>
      </c>
      <c r="AB286" s="29">
        <f>IF($T286="",0,IF(OR(Setup!$B$28="",Setup!$C$28="No"),0,IF(ISNUMBER(O286),O286,IF($T286="Weights",IF(ISNUMBER(Setup!$D$28),Setup!$D$28,0),IF($T286="Nights",IF(ISNUMBER(Setup!$E$28),Setup!$E$28,0),IF(OR($T286="Exact amounts",$T286="Custom units"),0,1))))))</f>
        <v>0</v>
      </c>
      <c r="AC286" s="29">
        <f>IF($T286="",0,IF(OR(Setup!$B$29="",Setup!$C$29="No"),0,IF(ISNUMBER(P286),P286,IF($T286="Weights",IF(ISNUMBER(Setup!$D$29),Setup!$D$29,0),IF($T286="Nights",IF(ISNUMBER(Setup!$E$29),Setup!$E$29,0),IF(OR($T286="Exact amounts",$T286="Custom units"),0,1))))))</f>
        <v>0</v>
      </c>
      <c r="AD286" s="29">
        <f>IF($T286="",0,IF(OR(Setup!$B$30="",Setup!$C$30="No"),0,IF(ISNUMBER(Q286),Q286,IF($T286="Weights",IF(ISNUMBER(Setup!$D$30),Setup!$D$30,0),IF($T286="Nights",IF(ISNUMBER(Setup!$E$30),Setup!$E$30,0),IF(OR($T286="Exact amounts",$T286="Custom units"),0,1))))))</f>
        <v>0</v>
      </c>
      <c r="AE286" s="29">
        <f t="shared" si="17"/>
        <v>0</v>
      </c>
      <c r="AF286" s="30">
        <f t="shared" si="18"/>
        <v>1</v>
      </c>
      <c r="AG286" s="29">
        <f t="shared" si="19"/>
        <v>0</v>
      </c>
    </row>
    <row r="287" spans="1:33" ht="16" x14ac:dyDescent="0.2">
      <c r="A287" s="22" t="str">
        <f t="shared" si="16"/>
        <v>—</v>
      </c>
      <c r="B287" s="31"/>
      <c r="C287" s="11"/>
      <c r="D287" s="11"/>
      <c r="E287" s="32"/>
      <c r="F287" s="11"/>
      <c r="G287" s="11"/>
      <c r="H287" s="33"/>
      <c r="I287" s="33"/>
      <c r="J287" s="33"/>
      <c r="K287" s="33"/>
      <c r="L287" s="33"/>
      <c r="M287" s="33"/>
      <c r="N287" s="33"/>
      <c r="O287" s="33"/>
      <c r="P287" s="33"/>
      <c r="Q287" s="33"/>
      <c r="R287" s="26" t="str">
        <f>IF($T287="","",IF($D287="","Who paid?",IF(SUMPRODUCT((Setup!$B$21:$B$30=$D287)*1)=0,"Payer is not in the member list on Setup",IF($E287="","Amount missing — type the number in column E",IF(NOT(ISNUMBER($E287)),"Amount must be a plain number — no currency symbol, no text",IF(AND($T287="Custom units",$AE287&lt;=0),"Custom units: nobody has units on this row — type a number for at least one person",IF($AE287&lt;=0,"Nobody shares this row — check the person columns H–Q, and the Weight / Nights columns on Setup",IF(AND($T287="Exact amounts",ABS($AE287-$AG287)&gt;0.01),"Exact amounts do not add up to the amount","OK"))))))))</f>
        <v/>
      </c>
      <c r="S287" s="27" t="str">
        <f>IFERROR(IF(OR($T287="",$C$4=""),"—",ROUND($AG287*INDEX($U287:$AD287,1,MATCH($C$4,Setup!$B$21:$B$30,0))/$AF287,2)),"—")</f>
        <v>—</v>
      </c>
      <c r="T287" s="28" t="str">
        <f>IF(AND($C287="",$D287="",NOT(ISNUMBER($E287))),"",IF($G287="",IF(Setup!$C$17="","Equal",Setup!$C$17),$G287))</f>
        <v/>
      </c>
      <c r="U287" s="29">
        <f>IF($T287="",0,IF(OR(Setup!$B$21="",Setup!$C$21="No"),0,IF(ISNUMBER(H287),H287,IF($T287="Weights",IF(ISNUMBER(Setup!$D$21),Setup!$D$21,0),IF($T287="Nights",IF(ISNUMBER(Setup!$E$21),Setup!$E$21,0),IF(OR($T287="Exact amounts",$T287="Custom units"),0,1))))))</f>
        <v>0</v>
      </c>
      <c r="V287" s="29">
        <f>IF($T287="",0,IF(OR(Setup!$B$22="",Setup!$C$22="No"),0,IF(ISNUMBER(I287),I287,IF($T287="Weights",IF(ISNUMBER(Setup!$D$22),Setup!$D$22,0),IF($T287="Nights",IF(ISNUMBER(Setup!$E$22),Setup!$E$22,0),IF(OR($T287="Exact amounts",$T287="Custom units"),0,1))))))</f>
        <v>0</v>
      </c>
      <c r="W287" s="29">
        <f>IF($T287="",0,IF(OR(Setup!$B$23="",Setup!$C$23="No"),0,IF(ISNUMBER(J287),J287,IF($T287="Weights",IF(ISNUMBER(Setup!$D$23),Setup!$D$23,0),IF($T287="Nights",IF(ISNUMBER(Setup!$E$23),Setup!$E$23,0),IF(OR($T287="Exact amounts",$T287="Custom units"),0,1))))))</f>
        <v>0</v>
      </c>
      <c r="X287" s="29">
        <f>IF($T287="",0,IF(OR(Setup!$B$24="",Setup!$C$24="No"),0,IF(ISNUMBER(K287),K287,IF($T287="Weights",IF(ISNUMBER(Setup!$D$24),Setup!$D$24,0),IF($T287="Nights",IF(ISNUMBER(Setup!$E$24),Setup!$E$24,0),IF(OR($T287="Exact amounts",$T287="Custom units"),0,1))))))</f>
        <v>0</v>
      </c>
      <c r="Y287" s="29">
        <f>IF($T287="",0,IF(OR(Setup!$B$25="",Setup!$C$25="No"),0,IF(ISNUMBER(L287),L287,IF($T287="Weights",IF(ISNUMBER(Setup!$D$25),Setup!$D$25,0),IF($T287="Nights",IF(ISNUMBER(Setup!$E$25),Setup!$E$25,0),IF(OR($T287="Exact amounts",$T287="Custom units"),0,1))))))</f>
        <v>0</v>
      </c>
      <c r="Z287" s="29">
        <f>IF($T287="",0,IF(OR(Setup!$B$26="",Setup!$C$26="No"),0,IF(ISNUMBER(M287),M287,IF($T287="Weights",IF(ISNUMBER(Setup!$D$26),Setup!$D$26,0),IF($T287="Nights",IF(ISNUMBER(Setup!$E$26),Setup!$E$26,0),IF(OR($T287="Exact amounts",$T287="Custom units"),0,1))))))</f>
        <v>0</v>
      </c>
      <c r="AA287" s="29">
        <f>IF($T287="",0,IF(OR(Setup!$B$27="",Setup!$C$27="No"),0,IF(ISNUMBER(N287),N287,IF($T287="Weights",IF(ISNUMBER(Setup!$D$27),Setup!$D$27,0),IF($T287="Nights",IF(ISNUMBER(Setup!$E$27),Setup!$E$27,0),IF(OR($T287="Exact amounts",$T287="Custom units"),0,1))))))</f>
        <v>0</v>
      </c>
      <c r="AB287" s="29">
        <f>IF($T287="",0,IF(OR(Setup!$B$28="",Setup!$C$28="No"),0,IF(ISNUMBER(O287),O287,IF($T287="Weights",IF(ISNUMBER(Setup!$D$28),Setup!$D$28,0),IF($T287="Nights",IF(ISNUMBER(Setup!$E$28),Setup!$E$28,0),IF(OR($T287="Exact amounts",$T287="Custom units"),0,1))))))</f>
        <v>0</v>
      </c>
      <c r="AC287" s="29">
        <f>IF($T287="",0,IF(OR(Setup!$B$29="",Setup!$C$29="No"),0,IF(ISNUMBER(P287),P287,IF($T287="Weights",IF(ISNUMBER(Setup!$D$29),Setup!$D$29,0),IF($T287="Nights",IF(ISNUMBER(Setup!$E$29),Setup!$E$29,0),IF(OR($T287="Exact amounts",$T287="Custom units"),0,1))))))</f>
        <v>0</v>
      </c>
      <c r="AD287" s="29">
        <f>IF($T287="",0,IF(OR(Setup!$B$30="",Setup!$C$30="No"),0,IF(ISNUMBER(Q287),Q287,IF($T287="Weights",IF(ISNUMBER(Setup!$D$30),Setup!$D$30,0),IF($T287="Nights",IF(ISNUMBER(Setup!$E$30),Setup!$E$30,0),IF(OR($T287="Exact amounts",$T287="Custom units"),0,1))))))</f>
        <v>0</v>
      </c>
      <c r="AE287" s="29">
        <f t="shared" si="17"/>
        <v>0</v>
      </c>
      <c r="AF287" s="30">
        <f t="shared" si="18"/>
        <v>1</v>
      </c>
      <c r="AG287" s="29">
        <f t="shared" si="19"/>
        <v>0</v>
      </c>
    </row>
    <row r="288" spans="1:33" ht="16" x14ac:dyDescent="0.2">
      <c r="A288" s="22" t="str">
        <f t="shared" si="16"/>
        <v>—</v>
      </c>
      <c r="B288" s="23"/>
      <c r="C288" s="16"/>
      <c r="D288" s="16"/>
      <c r="E288" s="24"/>
      <c r="F288" s="16"/>
      <c r="G288" s="16"/>
      <c r="H288" s="25"/>
      <c r="I288" s="25"/>
      <c r="J288" s="25"/>
      <c r="K288" s="25"/>
      <c r="L288" s="25"/>
      <c r="M288" s="25"/>
      <c r="N288" s="25"/>
      <c r="O288" s="25"/>
      <c r="P288" s="25"/>
      <c r="Q288" s="25"/>
      <c r="R288" s="26" t="str">
        <f>IF($T288="","",IF($D288="","Who paid?",IF(SUMPRODUCT((Setup!$B$21:$B$30=$D288)*1)=0,"Payer is not in the member list on Setup",IF($E288="","Amount missing — type the number in column E",IF(NOT(ISNUMBER($E288)),"Amount must be a plain number — no currency symbol, no text",IF(AND($T288="Custom units",$AE288&lt;=0),"Custom units: nobody has units on this row — type a number for at least one person",IF($AE288&lt;=0,"Nobody shares this row — check the person columns H–Q, and the Weight / Nights columns on Setup",IF(AND($T288="Exact amounts",ABS($AE288-$AG288)&gt;0.01),"Exact amounts do not add up to the amount","OK"))))))))</f>
        <v/>
      </c>
      <c r="S288" s="27" t="str">
        <f>IFERROR(IF(OR($T288="",$C$4=""),"—",ROUND($AG288*INDEX($U288:$AD288,1,MATCH($C$4,Setup!$B$21:$B$30,0))/$AF288,2)),"—")</f>
        <v>—</v>
      </c>
      <c r="T288" s="28" t="str">
        <f>IF(AND($C288="",$D288="",NOT(ISNUMBER($E288))),"",IF($G288="",IF(Setup!$C$17="","Equal",Setup!$C$17),$G288))</f>
        <v/>
      </c>
      <c r="U288" s="29">
        <f>IF($T288="",0,IF(OR(Setup!$B$21="",Setup!$C$21="No"),0,IF(ISNUMBER(H288),H288,IF($T288="Weights",IF(ISNUMBER(Setup!$D$21),Setup!$D$21,0),IF($T288="Nights",IF(ISNUMBER(Setup!$E$21),Setup!$E$21,0),IF(OR($T288="Exact amounts",$T288="Custom units"),0,1))))))</f>
        <v>0</v>
      </c>
      <c r="V288" s="29">
        <f>IF($T288="",0,IF(OR(Setup!$B$22="",Setup!$C$22="No"),0,IF(ISNUMBER(I288),I288,IF($T288="Weights",IF(ISNUMBER(Setup!$D$22),Setup!$D$22,0),IF($T288="Nights",IF(ISNUMBER(Setup!$E$22),Setup!$E$22,0),IF(OR($T288="Exact amounts",$T288="Custom units"),0,1))))))</f>
        <v>0</v>
      </c>
      <c r="W288" s="29">
        <f>IF($T288="",0,IF(OR(Setup!$B$23="",Setup!$C$23="No"),0,IF(ISNUMBER(J288),J288,IF($T288="Weights",IF(ISNUMBER(Setup!$D$23),Setup!$D$23,0),IF($T288="Nights",IF(ISNUMBER(Setup!$E$23),Setup!$E$23,0),IF(OR($T288="Exact amounts",$T288="Custom units"),0,1))))))</f>
        <v>0</v>
      </c>
      <c r="X288" s="29">
        <f>IF($T288="",0,IF(OR(Setup!$B$24="",Setup!$C$24="No"),0,IF(ISNUMBER(K288),K288,IF($T288="Weights",IF(ISNUMBER(Setup!$D$24),Setup!$D$24,0),IF($T288="Nights",IF(ISNUMBER(Setup!$E$24),Setup!$E$24,0),IF(OR($T288="Exact amounts",$T288="Custom units"),0,1))))))</f>
        <v>0</v>
      </c>
      <c r="Y288" s="29">
        <f>IF($T288="",0,IF(OR(Setup!$B$25="",Setup!$C$25="No"),0,IF(ISNUMBER(L288),L288,IF($T288="Weights",IF(ISNUMBER(Setup!$D$25),Setup!$D$25,0),IF($T288="Nights",IF(ISNUMBER(Setup!$E$25),Setup!$E$25,0),IF(OR($T288="Exact amounts",$T288="Custom units"),0,1))))))</f>
        <v>0</v>
      </c>
      <c r="Z288" s="29">
        <f>IF($T288="",0,IF(OR(Setup!$B$26="",Setup!$C$26="No"),0,IF(ISNUMBER(M288),M288,IF($T288="Weights",IF(ISNUMBER(Setup!$D$26),Setup!$D$26,0),IF($T288="Nights",IF(ISNUMBER(Setup!$E$26),Setup!$E$26,0),IF(OR($T288="Exact amounts",$T288="Custom units"),0,1))))))</f>
        <v>0</v>
      </c>
      <c r="AA288" s="29">
        <f>IF($T288="",0,IF(OR(Setup!$B$27="",Setup!$C$27="No"),0,IF(ISNUMBER(N288),N288,IF($T288="Weights",IF(ISNUMBER(Setup!$D$27),Setup!$D$27,0),IF($T288="Nights",IF(ISNUMBER(Setup!$E$27),Setup!$E$27,0),IF(OR($T288="Exact amounts",$T288="Custom units"),0,1))))))</f>
        <v>0</v>
      </c>
      <c r="AB288" s="29">
        <f>IF($T288="",0,IF(OR(Setup!$B$28="",Setup!$C$28="No"),0,IF(ISNUMBER(O288),O288,IF($T288="Weights",IF(ISNUMBER(Setup!$D$28),Setup!$D$28,0),IF($T288="Nights",IF(ISNUMBER(Setup!$E$28),Setup!$E$28,0),IF(OR($T288="Exact amounts",$T288="Custom units"),0,1))))))</f>
        <v>0</v>
      </c>
      <c r="AC288" s="29">
        <f>IF($T288="",0,IF(OR(Setup!$B$29="",Setup!$C$29="No"),0,IF(ISNUMBER(P288),P288,IF($T288="Weights",IF(ISNUMBER(Setup!$D$29),Setup!$D$29,0),IF($T288="Nights",IF(ISNUMBER(Setup!$E$29),Setup!$E$29,0),IF(OR($T288="Exact amounts",$T288="Custom units"),0,1))))))</f>
        <v>0</v>
      </c>
      <c r="AD288" s="29">
        <f>IF($T288="",0,IF(OR(Setup!$B$30="",Setup!$C$30="No"),0,IF(ISNUMBER(Q288),Q288,IF($T288="Weights",IF(ISNUMBER(Setup!$D$30),Setup!$D$30,0),IF($T288="Nights",IF(ISNUMBER(Setup!$E$30),Setup!$E$30,0),IF(OR($T288="Exact amounts",$T288="Custom units"),0,1))))))</f>
        <v>0</v>
      </c>
      <c r="AE288" s="29">
        <f t="shared" si="17"/>
        <v>0</v>
      </c>
      <c r="AF288" s="30">
        <f t="shared" si="18"/>
        <v>1</v>
      </c>
      <c r="AG288" s="29">
        <f t="shared" si="19"/>
        <v>0</v>
      </c>
    </row>
    <row r="289" spans="1:33" ht="16" x14ac:dyDescent="0.2">
      <c r="A289" s="22" t="str">
        <f t="shared" si="16"/>
        <v>—</v>
      </c>
      <c r="B289" s="31"/>
      <c r="C289" s="11"/>
      <c r="D289" s="11"/>
      <c r="E289" s="32"/>
      <c r="F289" s="11"/>
      <c r="G289" s="11"/>
      <c r="H289" s="33"/>
      <c r="I289" s="33"/>
      <c r="J289" s="33"/>
      <c r="K289" s="33"/>
      <c r="L289" s="33"/>
      <c r="M289" s="33"/>
      <c r="N289" s="33"/>
      <c r="O289" s="33"/>
      <c r="P289" s="33"/>
      <c r="Q289" s="33"/>
      <c r="R289" s="26" t="str">
        <f>IF($T289="","",IF($D289="","Who paid?",IF(SUMPRODUCT((Setup!$B$21:$B$30=$D289)*1)=0,"Payer is not in the member list on Setup",IF($E289="","Amount missing — type the number in column E",IF(NOT(ISNUMBER($E289)),"Amount must be a plain number — no currency symbol, no text",IF(AND($T289="Custom units",$AE289&lt;=0),"Custom units: nobody has units on this row — type a number for at least one person",IF($AE289&lt;=0,"Nobody shares this row — check the person columns H–Q, and the Weight / Nights columns on Setup",IF(AND($T289="Exact amounts",ABS($AE289-$AG289)&gt;0.01),"Exact amounts do not add up to the amount","OK"))))))))</f>
        <v/>
      </c>
      <c r="S289" s="27" t="str">
        <f>IFERROR(IF(OR($T289="",$C$4=""),"—",ROUND($AG289*INDEX($U289:$AD289,1,MATCH($C$4,Setup!$B$21:$B$30,0))/$AF289,2)),"—")</f>
        <v>—</v>
      </c>
      <c r="T289" s="28" t="str">
        <f>IF(AND($C289="",$D289="",NOT(ISNUMBER($E289))),"",IF($G289="",IF(Setup!$C$17="","Equal",Setup!$C$17),$G289))</f>
        <v/>
      </c>
      <c r="U289" s="29">
        <f>IF($T289="",0,IF(OR(Setup!$B$21="",Setup!$C$21="No"),0,IF(ISNUMBER(H289),H289,IF($T289="Weights",IF(ISNUMBER(Setup!$D$21),Setup!$D$21,0),IF($T289="Nights",IF(ISNUMBER(Setup!$E$21),Setup!$E$21,0),IF(OR($T289="Exact amounts",$T289="Custom units"),0,1))))))</f>
        <v>0</v>
      </c>
      <c r="V289" s="29">
        <f>IF($T289="",0,IF(OR(Setup!$B$22="",Setup!$C$22="No"),0,IF(ISNUMBER(I289),I289,IF($T289="Weights",IF(ISNUMBER(Setup!$D$22),Setup!$D$22,0),IF($T289="Nights",IF(ISNUMBER(Setup!$E$22),Setup!$E$22,0),IF(OR($T289="Exact amounts",$T289="Custom units"),0,1))))))</f>
        <v>0</v>
      </c>
      <c r="W289" s="29">
        <f>IF($T289="",0,IF(OR(Setup!$B$23="",Setup!$C$23="No"),0,IF(ISNUMBER(J289),J289,IF($T289="Weights",IF(ISNUMBER(Setup!$D$23),Setup!$D$23,0),IF($T289="Nights",IF(ISNUMBER(Setup!$E$23),Setup!$E$23,0),IF(OR($T289="Exact amounts",$T289="Custom units"),0,1))))))</f>
        <v>0</v>
      </c>
      <c r="X289" s="29">
        <f>IF($T289="",0,IF(OR(Setup!$B$24="",Setup!$C$24="No"),0,IF(ISNUMBER(K289),K289,IF($T289="Weights",IF(ISNUMBER(Setup!$D$24),Setup!$D$24,0),IF($T289="Nights",IF(ISNUMBER(Setup!$E$24),Setup!$E$24,0),IF(OR($T289="Exact amounts",$T289="Custom units"),0,1))))))</f>
        <v>0</v>
      </c>
      <c r="Y289" s="29">
        <f>IF($T289="",0,IF(OR(Setup!$B$25="",Setup!$C$25="No"),0,IF(ISNUMBER(L289),L289,IF($T289="Weights",IF(ISNUMBER(Setup!$D$25),Setup!$D$25,0),IF($T289="Nights",IF(ISNUMBER(Setup!$E$25),Setup!$E$25,0),IF(OR($T289="Exact amounts",$T289="Custom units"),0,1))))))</f>
        <v>0</v>
      </c>
      <c r="Z289" s="29">
        <f>IF($T289="",0,IF(OR(Setup!$B$26="",Setup!$C$26="No"),0,IF(ISNUMBER(M289),M289,IF($T289="Weights",IF(ISNUMBER(Setup!$D$26),Setup!$D$26,0),IF($T289="Nights",IF(ISNUMBER(Setup!$E$26),Setup!$E$26,0),IF(OR($T289="Exact amounts",$T289="Custom units"),0,1))))))</f>
        <v>0</v>
      </c>
      <c r="AA289" s="29">
        <f>IF($T289="",0,IF(OR(Setup!$B$27="",Setup!$C$27="No"),0,IF(ISNUMBER(N289),N289,IF($T289="Weights",IF(ISNUMBER(Setup!$D$27),Setup!$D$27,0),IF($T289="Nights",IF(ISNUMBER(Setup!$E$27),Setup!$E$27,0),IF(OR($T289="Exact amounts",$T289="Custom units"),0,1))))))</f>
        <v>0</v>
      </c>
      <c r="AB289" s="29">
        <f>IF($T289="",0,IF(OR(Setup!$B$28="",Setup!$C$28="No"),0,IF(ISNUMBER(O289),O289,IF($T289="Weights",IF(ISNUMBER(Setup!$D$28),Setup!$D$28,0),IF($T289="Nights",IF(ISNUMBER(Setup!$E$28),Setup!$E$28,0),IF(OR($T289="Exact amounts",$T289="Custom units"),0,1))))))</f>
        <v>0</v>
      </c>
      <c r="AC289" s="29">
        <f>IF($T289="",0,IF(OR(Setup!$B$29="",Setup!$C$29="No"),0,IF(ISNUMBER(P289),P289,IF($T289="Weights",IF(ISNUMBER(Setup!$D$29),Setup!$D$29,0),IF($T289="Nights",IF(ISNUMBER(Setup!$E$29),Setup!$E$29,0),IF(OR($T289="Exact amounts",$T289="Custom units"),0,1))))))</f>
        <v>0</v>
      </c>
      <c r="AD289" s="29">
        <f>IF($T289="",0,IF(OR(Setup!$B$30="",Setup!$C$30="No"),0,IF(ISNUMBER(Q289),Q289,IF($T289="Weights",IF(ISNUMBER(Setup!$D$30),Setup!$D$30,0),IF($T289="Nights",IF(ISNUMBER(Setup!$E$30),Setup!$E$30,0),IF(OR($T289="Exact amounts",$T289="Custom units"),0,1))))))</f>
        <v>0</v>
      </c>
      <c r="AE289" s="29">
        <f t="shared" si="17"/>
        <v>0</v>
      </c>
      <c r="AF289" s="30">
        <f t="shared" si="18"/>
        <v>1</v>
      </c>
      <c r="AG289" s="29">
        <f t="shared" si="19"/>
        <v>0</v>
      </c>
    </row>
    <row r="290" spans="1:33" ht="16" x14ac:dyDescent="0.2">
      <c r="A290" s="22" t="str">
        <f t="shared" si="16"/>
        <v>—</v>
      </c>
      <c r="B290" s="23"/>
      <c r="C290" s="16"/>
      <c r="D290" s="16"/>
      <c r="E290" s="24"/>
      <c r="F290" s="16"/>
      <c r="G290" s="16"/>
      <c r="H290" s="25"/>
      <c r="I290" s="25"/>
      <c r="J290" s="25"/>
      <c r="K290" s="25"/>
      <c r="L290" s="25"/>
      <c r="M290" s="25"/>
      <c r="N290" s="25"/>
      <c r="O290" s="25"/>
      <c r="P290" s="25"/>
      <c r="Q290" s="25"/>
      <c r="R290" s="26" t="str">
        <f>IF($T290="","",IF($D290="","Who paid?",IF(SUMPRODUCT((Setup!$B$21:$B$30=$D290)*1)=0,"Payer is not in the member list on Setup",IF($E290="","Amount missing — type the number in column E",IF(NOT(ISNUMBER($E290)),"Amount must be a plain number — no currency symbol, no text",IF(AND($T290="Custom units",$AE290&lt;=0),"Custom units: nobody has units on this row — type a number for at least one person",IF($AE290&lt;=0,"Nobody shares this row — check the person columns H–Q, and the Weight / Nights columns on Setup",IF(AND($T290="Exact amounts",ABS($AE290-$AG290)&gt;0.01),"Exact amounts do not add up to the amount","OK"))))))))</f>
        <v/>
      </c>
      <c r="S290" s="27" t="str">
        <f>IFERROR(IF(OR($T290="",$C$4=""),"—",ROUND($AG290*INDEX($U290:$AD290,1,MATCH($C$4,Setup!$B$21:$B$30,0))/$AF290,2)),"—")</f>
        <v>—</v>
      </c>
      <c r="T290" s="28" t="str">
        <f>IF(AND($C290="",$D290="",NOT(ISNUMBER($E290))),"",IF($G290="",IF(Setup!$C$17="","Equal",Setup!$C$17),$G290))</f>
        <v/>
      </c>
      <c r="U290" s="29">
        <f>IF($T290="",0,IF(OR(Setup!$B$21="",Setup!$C$21="No"),0,IF(ISNUMBER(H290),H290,IF($T290="Weights",IF(ISNUMBER(Setup!$D$21),Setup!$D$21,0),IF($T290="Nights",IF(ISNUMBER(Setup!$E$21),Setup!$E$21,0),IF(OR($T290="Exact amounts",$T290="Custom units"),0,1))))))</f>
        <v>0</v>
      </c>
      <c r="V290" s="29">
        <f>IF($T290="",0,IF(OR(Setup!$B$22="",Setup!$C$22="No"),0,IF(ISNUMBER(I290),I290,IF($T290="Weights",IF(ISNUMBER(Setup!$D$22),Setup!$D$22,0),IF($T290="Nights",IF(ISNUMBER(Setup!$E$22),Setup!$E$22,0),IF(OR($T290="Exact amounts",$T290="Custom units"),0,1))))))</f>
        <v>0</v>
      </c>
      <c r="W290" s="29">
        <f>IF($T290="",0,IF(OR(Setup!$B$23="",Setup!$C$23="No"),0,IF(ISNUMBER(J290),J290,IF($T290="Weights",IF(ISNUMBER(Setup!$D$23),Setup!$D$23,0),IF($T290="Nights",IF(ISNUMBER(Setup!$E$23),Setup!$E$23,0),IF(OR($T290="Exact amounts",$T290="Custom units"),0,1))))))</f>
        <v>0</v>
      </c>
      <c r="X290" s="29">
        <f>IF($T290="",0,IF(OR(Setup!$B$24="",Setup!$C$24="No"),0,IF(ISNUMBER(K290),K290,IF($T290="Weights",IF(ISNUMBER(Setup!$D$24),Setup!$D$24,0),IF($T290="Nights",IF(ISNUMBER(Setup!$E$24),Setup!$E$24,0),IF(OR($T290="Exact amounts",$T290="Custom units"),0,1))))))</f>
        <v>0</v>
      </c>
      <c r="Y290" s="29">
        <f>IF($T290="",0,IF(OR(Setup!$B$25="",Setup!$C$25="No"),0,IF(ISNUMBER(L290),L290,IF($T290="Weights",IF(ISNUMBER(Setup!$D$25),Setup!$D$25,0),IF($T290="Nights",IF(ISNUMBER(Setup!$E$25),Setup!$E$25,0),IF(OR($T290="Exact amounts",$T290="Custom units"),0,1))))))</f>
        <v>0</v>
      </c>
      <c r="Z290" s="29">
        <f>IF($T290="",0,IF(OR(Setup!$B$26="",Setup!$C$26="No"),0,IF(ISNUMBER(M290),M290,IF($T290="Weights",IF(ISNUMBER(Setup!$D$26),Setup!$D$26,0),IF($T290="Nights",IF(ISNUMBER(Setup!$E$26),Setup!$E$26,0),IF(OR($T290="Exact amounts",$T290="Custom units"),0,1))))))</f>
        <v>0</v>
      </c>
      <c r="AA290" s="29">
        <f>IF($T290="",0,IF(OR(Setup!$B$27="",Setup!$C$27="No"),0,IF(ISNUMBER(N290),N290,IF($T290="Weights",IF(ISNUMBER(Setup!$D$27),Setup!$D$27,0),IF($T290="Nights",IF(ISNUMBER(Setup!$E$27),Setup!$E$27,0),IF(OR($T290="Exact amounts",$T290="Custom units"),0,1))))))</f>
        <v>0</v>
      </c>
      <c r="AB290" s="29">
        <f>IF($T290="",0,IF(OR(Setup!$B$28="",Setup!$C$28="No"),0,IF(ISNUMBER(O290),O290,IF($T290="Weights",IF(ISNUMBER(Setup!$D$28),Setup!$D$28,0),IF($T290="Nights",IF(ISNUMBER(Setup!$E$28),Setup!$E$28,0),IF(OR($T290="Exact amounts",$T290="Custom units"),0,1))))))</f>
        <v>0</v>
      </c>
      <c r="AC290" s="29">
        <f>IF($T290="",0,IF(OR(Setup!$B$29="",Setup!$C$29="No"),0,IF(ISNUMBER(P290),P290,IF($T290="Weights",IF(ISNUMBER(Setup!$D$29),Setup!$D$29,0),IF($T290="Nights",IF(ISNUMBER(Setup!$E$29),Setup!$E$29,0),IF(OR($T290="Exact amounts",$T290="Custom units"),0,1))))))</f>
        <v>0</v>
      </c>
      <c r="AD290" s="29">
        <f>IF($T290="",0,IF(OR(Setup!$B$30="",Setup!$C$30="No"),0,IF(ISNUMBER(Q290),Q290,IF($T290="Weights",IF(ISNUMBER(Setup!$D$30),Setup!$D$30,0),IF($T290="Nights",IF(ISNUMBER(Setup!$E$30),Setup!$E$30,0),IF(OR($T290="Exact amounts",$T290="Custom units"),0,1))))))</f>
        <v>0</v>
      </c>
      <c r="AE290" s="29">
        <f t="shared" si="17"/>
        <v>0</v>
      </c>
      <c r="AF290" s="30">
        <f t="shared" si="18"/>
        <v>1</v>
      </c>
      <c r="AG290" s="29">
        <f t="shared" si="19"/>
        <v>0</v>
      </c>
    </row>
    <row r="291" spans="1:33" ht="16" x14ac:dyDescent="0.2">
      <c r="A291" s="22" t="str">
        <f t="shared" si="16"/>
        <v>—</v>
      </c>
      <c r="B291" s="31"/>
      <c r="C291" s="11"/>
      <c r="D291" s="11"/>
      <c r="E291" s="32"/>
      <c r="F291" s="11"/>
      <c r="G291" s="11"/>
      <c r="H291" s="33"/>
      <c r="I291" s="33"/>
      <c r="J291" s="33"/>
      <c r="K291" s="33"/>
      <c r="L291" s="33"/>
      <c r="M291" s="33"/>
      <c r="N291" s="33"/>
      <c r="O291" s="33"/>
      <c r="P291" s="33"/>
      <c r="Q291" s="33"/>
      <c r="R291" s="26" t="str">
        <f>IF($T291="","",IF($D291="","Who paid?",IF(SUMPRODUCT((Setup!$B$21:$B$30=$D291)*1)=0,"Payer is not in the member list on Setup",IF($E291="","Amount missing — type the number in column E",IF(NOT(ISNUMBER($E291)),"Amount must be a plain number — no currency symbol, no text",IF(AND($T291="Custom units",$AE291&lt;=0),"Custom units: nobody has units on this row — type a number for at least one person",IF($AE291&lt;=0,"Nobody shares this row — check the person columns H–Q, and the Weight / Nights columns on Setup",IF(AND($T291="Exact amounts",ABS($AE291-$AG291)&gt;0.01),"Exact amounts do not add up to the amount","OK"))))))))</f>
        <v/>
      </c>
      <c r="S291" s="27" t="str">
        <f>IFERROR(IF(OR($T291="",$C$4=""),"—",ROUND($AG291*INDEX($U291:$AD291,1,MATCH($C$4,Setup!$B$21:$B$30,0))/$AF291,2)),"—")</f>
        <v>—</v>
      </c>
      <c r="T291" s="28" t="str">
        <f>IF(AND($C291="",$D291="",NOT(ISNUMBER($E291))),"",IF($G291="",IF(Setup!$C$17="","Equal",Setup!$C$17),$G291))</f>
        <v/>
      </c>
      <c r="U291" s="29">
        <f>IF($T291="",0,IF(OR(Setup!$B$21="",Setup!$C$21="No"),0,IF(ISNUMBER(H291),H291,IF($T291="Weights",IF(ISNUMBER(Setup!$D$21),Setup!$D$21,0),IF($T291="Nights",IF(ISNUMBER(Setup!$E$21),Setup!$E$21,0),IF(OR($T291="Exact amounts",$T291="Custom units"),0,1))))))</f>
        <v>0</v>
      </c>
      <c r="V291" s="29">
        <f>IF($T291="",0,IF(OR(Setup!$B$22="",Setup!$C$22="No"),0,IF(ISNUMBER(I291),I291,IF($T291="Weights",IF(ISNUMBER(Setup!$D$22),Setup!$D$22,0),IF($T291="Nights",IF(ISNUMBER(Setup!$E$22),Setup!$E$22,0),IF(OR($T291="Exact amounts",$T291="Custom units"),0,1))))))</f>
        <v>0</v>
      </c>
      <c r="W291" s="29">
        <f>IF($T291="",0,IF(OR(Setup!$B$23="",Setup!$C$23="No"),0,IF(ISNUMBER(J291),J291,IF($T291="Weights",IF(ISNUMBER(Setup!$D$23),Setup!$D$23,0),IF($T291="Nights",IF(ISNUMBER(Setup!$E$23),Setup!$E$23,0),IF(OR($T291="Exact amounts",$T291="Custom units"),0,1))))))</f>
        <v>0</v>
      </c>
      <c r="X291" s="29">
        <f>IF($T291="",0,IF(OR(Setup!$B$24="",Setup!$C$24="No"),0,IF(ISNUMBER(K291),K291,IF($T291="Weights",IF(ISNUMBER(Setup!$D$24),Setup!$D$24,0),IF($T291="Nights",IF(ISNUMBER(Setup!$E$24),Setup!$E$24,0),IF(OR($T291="Exact amounts",$T291="Custom units"),0,1))))))</f>
        <v>0</v>
      </c>
      <c r="Y291" s="29">
        <f>IF($T291="",0,IF(OR(Setup!$B$25="",Setup!$C$25="No"),0,IF(ISNUMBER(L291),L291,IF($T291="Weights",IF(ISNUMBER(Setup!$D$25),Setup!$D$25,0),IF($T291="Nights",IF(ISNUMBER(Setup!$E$25),Setup!$E$25,0),IF(OR($T291="Exact amounts",$T291="Custom units"),0,1))))))</f>
        <v>0</v>
      </c>
      <c r="Z291" s="29">
        <f>IF($T291="",0,IF(OR(Setup!$B$26="",Setup!$C$26="No"),0,IF(ISNUMBER(M291),M291,IF($T291="Weights",IF(ISNUMBER(Setup!$D$26),Setup!$D$26,0),IF($T291="Nights",IF(ISNUMBER(Setup!$E$26),Setup!$E$26,0),IF(OR($T291="Exact amounts",$T291="Custom units"),0,1))))))</f>
        <v>0</v>
      </c>
      <c r="AA291" s="29">
        <f>IF($T291="",0,IF(OR(Setup!$B$27="",Setup!$C$27="No"),0,IF(ISNUMBER(N291),N291,IF($T291="Weights",IF(ISNUMBER(Setup!$D$27),Setup!$D$27,0),IF($T291="Nights",IF(ISNUMBER(Setup!$E$27),Setup!$E$27,0),IF(OR($T291="Exact amounts",$T291="Custom units"),0,1))))))</f>
        <v>0</v>
      </c>
      <c r="AB291" s="29">
        <f>IF($T291="",0,IF(OR(Setup!$B$28="",Setup!$C$28="No"),0,IF(ISNUMBER(O291),O291,IF($T291="Weights",IF(ISNUMBER(Setup!$D$28),Setup!$D$28,0),IF($T291="Nights",IF(ISNUMBER(Setup!$E$28),Setup!$E$28,0),IF(OR($T291="Exact amounts",$T291="Custom units"),0,1))))))</f>
        <v>0</v>
      </c>
      <c r="AC291" s="29">
        <f>IF($T291="",0,IF(OR(Setup!$B$29="",Setup!$C$29="No"),0,IF(ISNUMBER(P291),P291,IF($T291="Weights",IF(ISNUMBER(Setup!$D$29),Setup!$D$29,0),IF($T291="Nights",IF(ISNUMBER(Setup!$E$29),Setup!$E$29,0),IF(OR($T291="Exact amounts",$T291="Custom units"),0,1))))))</f>
        <v>0</v>
      </c>
      <c r="AD291" s="29">
        <f>IF($T291="",0,IF(OR(Setup!$B$30="",Setup!$C$30="No"),0,IF(ISNUMBER(Q291),Q291,IF($T291="Weights",IF(ISNUMBER(Setup!$D$30),Setup!$D$30,0),IF($T291="Nights",IF(ISNUMBER(Setup!$E$30),Setup!$E$30,0),IF(OR($T291="Exact amounts",$T291="Custom units"),0,1))))))</f>
        <v>0</v>
      </c>
      <c r="AE291" s="29">
        <f t="shared" si="17"/>
        <v>0</v>
      </c>
      <c r="AF291" s="30">
        <f t="shared" si="18"/>
        <v>1</v>
      </c>
      <c r="AG291" s="29">
        <f t="shared" si="19"/>
        <v>0</v>
      </c>
    </row>
    <row r="292" spans="1:33" ht="16" x14ac:dyDescent="0.2">
      <c r="A292" s="22" t="str">
        <f t="shared" si="16"/>
        <v>—</v>
      </c>
      <c r="B292" s="23"/>
      <c r="C292" s="16"/>
      <c r="D292" s="16"/>
      <c r="E292" s="24"/>
      <c r="F292" s="16"/>
      <c r="G292" s="16"/>
      <c r="H292" s="25"/>
      <c r="I292" s="25"/>
      <c r="J292" s="25"/>
      <c r="K292" s="25"/>
      <c r="L292" s="25"/>
      <c r="M292" s="25"/>
      <c r="N292" s="25"/>
      <c r="O292" s="25"/>
      <c r="P292" s="25"/>
      <c r="Q292" s="25"/>
      <c r="R292" s="26" t="str">
        <f>IF($T292="","",IF($D292="","Who paid?",IF(SUMPRODUCT((Setup!$B$21:$B$30=$D292)*1)=0,"Payer is not in the member list on Setup",IF($E292="","Amount missing — type the number in column E",IF(NOT(ISNUMBER($E292)),"Amount must be a plain number — no currency symbol, no text",IF(AND($T292="Custom units",$AE292&lt;=0),"Custom units: nobody has units on this row — type a number for at least one person",IF($AE292&lt;=0,"Nobody shares this row — check the person columns H–Q, and the Weight / Nights columns on Setup",IF(AND($T292="Exact amounts",ABS($AE292-$AG292)&gt;0.01),"Exact amounts do not add up to the amount","OK"))))))))</f>
        <v/>
      </c>
      <c r="S292" s="27" t="str">
        <f>IFERROR(IF(OR($T292="",$C$4=""),"—",ROUND($AG292*INDEX($U292:$AD292,1,MATCH($C$4,Setup!$B$21:$B$30,0))/$AF292,2)),"—")</f>
        <v>—</v>
      </c>
      <c r="T292" s="28" t="str">
        <f>IF(AND($C292="",$D292="",NOT(ISNUMBER($E292))),"",IF($G292="",IF(Setup!$C$17="","Equal",Setup!$C$17),$G292))</f>
        <v/>
      </c>
      <c r="U292" s="29">
        <f>IF($T292="",0,IF(OR(Setup!$B$21="",Setup!$C$21="No"),0,IF(ISNUMBER(H292),H292,IF($T292="Weights",IF(ISNUMBER(Setup!$D$21),Setup!$D$21,0),IF($T292="Nights",IF(ISNUMBER(Setup!$E$21),Setup!$E$21,0),IF(OR($T292="Exact amounts",$T292="Custom units"),0,1))))))</f>
        <v>0</v>
      </c>
      <c r="V292" s="29">
        <f>IF($T292="",0,IF(OR(Setup!$B$22="",Setup!$C$22="No"),0,IF(ISNUMBER(I292),I292,IF($T292="Weights",IF(ISNUMBER(Setup!$D$22),Setup!$D$22,0),IF($T292="Nights",IF(ISNUMBER(Setup!$E$22),Setup!$E$22,0),IF(OR($T292="Exact amounts",$T292="Custom units"),0,1))))))</f>
        <v>0</v>
      </c>
      <c r="W292" s="29">
        <f>IF($T292="",0,IF(OR(Setup!$B$23="",Setup!$C$23="No"),0,IF(ISNUMBER(J292),J292,IF($T292="Weights",IF(ISNUMBER(Setup!$D$23),Setup!$D$23,0),IF($T292="Nights",IF(ISNUMBER(Setup!$E$23),Setup!$E$23,0),IF(OR($T292="Exact amounts",$T292="Custom units"),0,1))))))</f>
        <v>0</v>
      </c>
      <c r="X292" s="29">
        <f>IF($T292="",0,IF(OR(Setup!$B$24="",Setup!$C$24="No"),0,IF(ISNUMBER(K292),K292,IF($T292="Weights",IF(ISNUMBER(Setup!$D$24),Setup!$D$24,0),IF($T292="Nights",IF(ISNUMBER(Setup!$E$24),Setup!$E$24,0),IF(OR($T292="Exact amounts",$T292="Custom units"),0,1))))))</f>
        <v>0</v>
      </c>
      <c r="Y292" s="29">
        <f>IF($T292="",0,IF(OR(Setup!$B$25="",Setup!$C$25="No"),0,IF(ISNUMBER(L292),L292,IF($T292="Weights",IF(ISNUMBER(Setup!$D$25),Setup!$D$25,0),IF($T292="Nights",IF(ISNUMBER(Setup!$E$25),Setup!$E$25,0),IF(OR($T292="Exact amounts",$T292="Custom units"),0,1))))))</f>
        <v>0</v>
      </c>
      <c r="Z292" s="29">
        <f>IF($T292="",0,IF(OR(Setup!$B$26="",Setup!$C$26="No"),0,IF(ISNUMBER(M292),M292,IF($T292="Weights",IF(ISNUMBER(Setup!$D$26),Setup!$D$26,0),IF($T292="Nights",IF(ISNUMBER(Setup!$E$26),Setup!$E$26,0),IF(OR($T292="Exact amounts",$T292="Custom units"),0,1))))))</f>
        <v>0</v>
      </c>
      <c r="AA292" s="29">
        <f>IF($T292="",0,IF(OR(Setup!$B$27="",Setup!$C$27="No"),0,IF(ISNUMBER(N292),N292,IF($T292="Weights",IF(ISNUMBER(Setup!$D$27),Setup!$D$27,0),IF($T292="Nights",IF(ISNUMBER(Setup!$E$27),Setup!$E$27,0),IF(OR($T292="Exact amounts",$T292="Custom units"),0,1))))))</f>
        <v>0</v>
      </c>
      <c r="AB292" s="29">
        <f>IF($T292="",0,IF(OR(Setup!$B$28="",Setup!$C$28="No"),0,IF(ISNUMBER(O292),O292,IF($T292="Weights",IF(ISNUMBER(Setup!$D$28),Setup!$D$28,0),IF($T292="Nights",IF(ISNUMBER(Setup!$E$28),Setup!$E$28,0),IF(OR($T292="Exact amounts",$T292="Custom units"),0,1))))))</f>
        <v>0</v>
      </c>
      <c r="AC292" s="29">
        <f>IF($T292="",0,IF(OR(Setup!$B$29="",Setup!$C$29="No"),0,IF(ISNUMBER(P292),P292,IF($T292="Weights",IF(ISNUMBER(Setup!$D$29),Setup!$D$29,0),IF($T292="Nights",IF(ISNUMBER(Setup!$E$29),Setup!$E$29,0),IF(OR($T292="Exact amounts",$T292="Custom units"),0,1))))))</f>
        <v>0</v>
      </c>
      <c r="AD292" s="29">
        <f>IF($T292="",0,IF(OR(Setup!$B$30="",Setup!$C$30="No"),0,IF(ISNUMBER(Q292),Q292,IF($T292="Weights",IF(ISNUMBER(Setup!$D$30),Setup!$D$30,0),IF($T292="Nights",IF(ISNUMBER(Setup!$E$30),Setup!$E$30,0),IF(OR($T292="Exact amounts",$T292="Custom units"),0,1))))))</f>
        <v>0</v>
      </c>
      <c r="AE292" s="29">
        <f t="shared" si="17"/>
        <v>0</v>
      </c>
      <c r="AF292" s="30">
        <f t="shared" si="18"/>
        <v>1</v>
      </c>
      <c r="AG292" s="29">
        <f t="shared" si="19"/>
        <v>0</v>
      </c>
    </row>
    <row r="293" spans="1:33" ht="16" x14ac:dyDescent="0.2">
      <c r="A293" s="22" t="str">
        <f t="shared" si="16"/>
        <v>—</v>
      </c>
      <c r="B293" s="31"/>
      <c r="C293" s="11"/>
      <c r="D293" s="11"/>
      <c r="E293" s="32"/>
      <c r="F293" s="11"/>
      <c r="G293" s="11"/>
      <c r="H293" s="33"/>
      <c r="I293" s="33"/>
      <c r="J293" s="33"/>
      <c r="K293" s="33"/>
      <c r="L293" s="33"/>
      <c r="M293" s="33"/>
      <c r="N293" s="33"/>
      <c r="O293" s="33"/>
      <c r="P293" s="33"/>
      <c r="Q293" s="33"/>
      <c r="R293" s="26" t="str">
        <f>IF($T293="","",IF($D293="","Who paid?",IF(SUMPRODUCT((Setup!$B$21:$B$30=$D293)*1)=0,"Payer is not in the member list on Setup",IF($E293="","Amount missing — type the number in column E",IF(NOT(ISNUMBER($E293)),"Amount must be a plain number — no currency symbol, no text",IF(AND($T293="Custom units",$AE293&lt;=0),"Custom units: nobody has units on this row — type a number for at least one person",IF($AE293&lt;=0,"Nobody shares this row — check the person columns H–Q, and the Weight / Nights columns on Setup",IF(AND($T293="Exact amounts",ABS($AE293-$AG293)&gt;0.01),"Exact amounts do not add up to the amount","OK"))))))))</f>
        <v/>
      </c>
      <c r="S293" s="27" t="str">
        <f>IFERROR(IF(OR($T293="",$C$4=""),"—",ROUND($AG293*INDEX($U293:$AD293,1,MATCH($C$4,Setup!$B$21:$B$30,0))/$AF293,2)),"—")</f>
        <v>—</v>
      </c>
      <c r="T293" s="28" t="str">
        <f>IF(AND($C293="",$D293="",NOT(ISNUMBER($E293))),"",IF($G293="",IF(Setup!$C$17="","Equal",Setup!$C$17),$G293))</f>
        <v/>
      </c>
      <c r="U293" s="29">
        <f>IF($T293="",0,IF(OR(Setup!$B$21="",Setup!$C$21="No"),0,IF(ISNUMBER(H293),H293,IF($T293="Weights",IF(ISNUMBER(Setup!$D$21),Setup!$D$21,0),IF($T293="Nights",IF(ISNUMBER(Setup!$E$21),Setup!$E$21,0),IF(OR($T293="Exact amounts",$T293="Custom units"),0,1))))))</f>
        <v>0</v>
      </c>
      <c r="V293" s="29">
        <f>IF($T293="",0,IF(OR(Setup!$B$22="",Setup!$C$22="No"),0,IF(ISNUMBER(I293),I293,IF($T293="Weights",IF(ISNUMBER(Setup!$D$22),Setup!$D$22,0),IF($T293="Nights",IF(ISNUMBER(Setup!$E$22),Setup!$E$22,0),IF(OR($T293="Exact amounts",$T293="Custom units"),0,1))))))</f>
        <v>0</v>
      </c>
      <c r="W293" s="29">
        <f>IF($T293="",0,IF(OR(Setup!$B$23="",Setup!$C$23="No"),0,IF(ISNUMBER(J293),J293,IF($T293="Weights",IF(ISNUMBER(Setup!$D$23),Setup!$D$23,0),IF($T293="Nights",IF(ISNUMBER(Setup!$E$23),Setup!$E$23,0),IF(OR($T293="Exact amounts",$T293="Custom units"),0,1))))))</f>
        <v>0</v>
      </c>
      <c r="X293" s="29">
        <f>IF($T293="",0,IF(OR(Setup!$B$24="",Setup!$C$24="No"),0,IF(ISNUMBER(K293),K293,IF($T293="Weights",IF(ISNUMBER(Setup!$D$24),Setup!$D$24,0),IF($T293="Nights",IF(ISNUMBER(Setup!$E$24),Setup!$E$24,0),IF(OR($T293="Exact amounts",$T293="Custom units"),0,1))))))</f>
        <v>0</v>
      </c>
      <c r="Y293" s="29">
        <f>IF($T293="",0,IF(OR(Setup!$B$25="",Setup!$C$25="No"),0,IF(ISNUMBER(L293),L293,IF($T293="Weights",IF(ISNUMBER(Setup!$D$25),Setup!$D$25,0),IF($T293="Nights",IF(ISNUMBER(Setup!$E$25),Setup!$E$25,0),IF(OR($T293="Exact amounts",$T293="Custom units"),0,1))))))</f>
        <v>0</v>
      </c>
      <c r="Z293" s="29">
        <f>IF($T293="",0,IF(OR(Setup!$B$26="",Setup!$C$26="No"),0,IF(ISNUMBER(M293),M293,IF($T293="Weights",IF(ISNUMBER(Setup!$D$26),Setup!$D$26,0),IF($T293="Nights",IF(ISNUMBER(Setup!$E$26),Setup!$E$26,0),IF(OR($T293="Exact amounts",$T293="Custom units"),0,1))))))</f>
        <v>0</v>
      </c>
      <c r="AA293" s="29">
        <f>IF($T293="",0,IF(OR(Setup!$B$27="",Setup!$C$27="No"),0,IF(ISNUMBER(N293),N293,IF($T293="Weights",IF(ISNUMBER(Setup!$D$27),Setup!$D$27,0),IF($T293="Nights",IF(ISNUMBER(Setup!$E$27),Setup!$E$27,0),IF(OR($T293="Exact amounts",$T293="Custom units"),0,1))))))</f>
        <v>0</v>
      </c>
      <c r="AB293" s="29">
        <f>IF($T293="",0,IF(OR(Setup!$B$28="",Setup!$C$28="No"),0,IF(ISNUMBER(O293),O293,IF($T293="Weights",IF(ISNUMBER(Setup!$D$28),Setup!$D$28,0),IF($T293="Nights",IF(ISNUMBER(Setup!$E$28),Setup!$E$28,0),IF(OR($T293="Exact amounts",$T293="Custom units"),0,1))))))</f>
        <v>0</v>
      </c>
      <c r="AC293" s="29">
        <f>IF($T293="",0,IF(OR(Setup!$B$29="",Setup!$C$29="No"),0,IF(ISNUMBER(P293),P293,IF($T293="Weights",IF(ISNUMBER(Setup!$D$29),Setup!$D$29,0),IF($T293="Nights",IF(ISNUMBER(Setup!$E$29),Setup!$E$29,0),IF(OR($T293="Exact amounts",$T293="Custom units"),0,1))))))</f>
        <v>0</v>
      </c>
      <c r="AD293" s="29">
        <f>IF($T293="",0,IF(OR(Setup!$B$30="",Setup!$C$30="No"),0,IF(ISNUMBER(Q293),Q293,IF($T293="Weights",IF(ISNUMBER(Setup!$D$30),Setup!$D$30,0),IF($T293="Nights",IF(ISNUMBER(Setup!$E$30),Setup!$E$30,0),IF(OR($T293="Exact amounts",$T293="Custom units"),0,1))))))</f>
        <v>0</v>
      </c>
      <c r="AE293" s="29">
        <f t="shared" si="17"/>
        <v>0</v>
      </c>
      <c r="AF293" s="30">
        <f t="shared" si="18"/>
        <v>1</v>
      </c>
      <c r="AG293" s="29">
        <f t="shared" si="19"/>
        <v>0</v>
      </c>
    </row>
    <row r="294" spans="1:33" ht="16" x14ac:dyDescent="0.2">
      <c r="A294" s="22" t="str">
        <f t="shared" si="16"/>
        <v>—</v>
      </c>
      <c r="B294" s="23"/>
      <c r="C294" s="16"/>
      <c r="D294" s="16"/>
      <c r="E294" s="24"/>
      <c r="F294" s="16"/>
      <c r="G294" s="16"/>
      <c r="H294" s="25"/>
      <c r="I294" s="25"/>
      <c r="J294" s="25"/>
      <c r="K294" s="25"/>
      <c r="L294" s="25"/>
      <c r="M294" s="25"/>
      <c r="N294" s="25"/>
      <c r="O294" s="25"/>
      <c r="P294" s="25"/>
      <c r="Q294" s="25"/>
      <c r="R294" s="26" t="str">
        <f>IF($T294="","",IF($D294="","Who paid?",IF(SUMPRODUCT((Setup!$B$21:$B$30=$D294)*1)=0,"Payer is not in the member list on Setup",IF($E294="","Amount missing — type the number in column E",IF(NOT(ISNUMBER($E294)),"Amount must be a plain number — no currency symbol, no text",IF(AND($T294="Custom units",$AE294&lt;=0),"Custom units: nobody has units on this row — type a number for at least one person",IF($AE294&lt;=0,"Nobody shares this row — check the person columns H–Q, and the Weight / Nights columns on Setup",IF(AND($T294="Exact amounts",ABS($AE294-$AG294)&gt;0.01),"Exact amounts do not add up to the amount","OK"))))))))</f>
        <v/>
      </c>
      <c r="S294" s="27" t="str">
        <f>IFERROR(IF(OR($T294="",$C$4=""),"—",ROUND($AG294*INDEX($U294:$AD294,1,MATCH($C$4,Setup!$B$21:$B$30,0))/$AF294,2)),"—")</f>
        <v>—</v>
      </c>
      <c r="T294" s="28" t="str">
        <f>IF(AND($C294="",$D294="",NOT(ISNUMBER($E294))),"",IF($G294="",IF(Setup!$C$17="","Equal",Setup!$C$17),$G294))</f>
        <v/>
      </c>
      <c r="U294" s="29">
        <f>IF($T294="",0,IF(OR(Setup!$B$21="",Setup!$C$21="No"),0,IF(ISNUMBER(H294),H294,IF($T294="Weights",IF(ISNUMBER(Setup!$D$21),Setup!$D$21,0),IF($T294="Nights",IF(ISNUMBER(Setup!$E$21),Setup!$E$21,0),IF(OR($T294="Exact amounts",$T294="Custom units"),0,1))))))</f>
        <v>0</v>
      </c>
      <c r="V294" s="29">
        <f>IF($T294="",0,IF(OR(Setup!$B$22="",Setup!$C$22="No"),0,IF(ISNUMBER(I294),I294,IF($T294="Weights",IF(ISNUMBER(Setup!$D$22),Setup!$D$22,0),IF($T294="Nights",IF(ISNUMBER(Setup!$E$22),Setup!$E$22,0),IF(OR($T294="Exact amounts",$T294="Custom units"),0,1))))))</f>
        <v>0</v>
      </c>
      <c r="W294" s="29">
        <f>IF($T294="",0,IF(OR(Setup!$B$23="",Setup!$C$23="No"),0,IF(ISNUMBER(J294),J294,IF($T294="Weights",IF(ISNUMBER(Setup!$D$23),Setup!$D$23,0),IF($T294="Nights",IF(ISNUMBER(Setup!$E$23),Setup!$E$23,0),IF(OR($T294="Exact amounts",$T294="Custom units"),0,1))))))</f>
        <v>0</v>
      </c>
      <c r="X294" s="29">
        <f>IF($T294="",0,IF(OR(Setup!$B$24="",Setup!$C$24="No"),0,IF(ISNUMBER(K294),K294,IF($T294="Weights",IF(ISNUMBER(Setup!$D$24),Setup!$D$24,0),IF($T294="Nights",IF(ISNUMBER(Setup!$E$24),Setup!$E$24,0),IF(OR($T294="Exact amounts",$T294="Custom units"),0,1))))))</f>
        <v>0</v>
      </c>
      <c r="Y294" s="29">
        <f>IF($T294="",0,IF(OR(Setup!$B$25="",Setup!$C$25="No"),0,IF(ISNUMBER(L294),L294,IF($T294="Weights",IF(ISNUMBER(Setup!$D$25),Setup!$D$25,0),IF($T294="Nights",IF(ISNUMBER(Setup!$E$25),Setup!$E$25,0),IF(OR($T294="Exact amounts",$T294="Custom units"),0,1))))))</f>
        <v>0</v>
      </c>
      <c r="Z294" s="29">
        <f>IF($T294="",0,IF(OR(Setup!$B$26="",Setup!$C$26="No"),0,IF(ISNUMBER(M294),M294,IF($T294="Weights",IF(ISNUMBER(Setup!$D$26),Setup!$D$26,0),IF($T294="Nights",IF(ISNUMBER(Setup!$E$26),Setup!$E$26,0),IF(OR($T294="Exact amounts",$T294="Custom units"),0,1))))))</f>
        <v>0</v>
      </c>
      <c r="AA294" s="29">
        <f>IF($T294="",0,IF(OR(Setup!$B$27="",Setup!$C$27="No"),0,IF(ISNUMBER(N294),N294,IF($T294="Weights",IF(ISNUMBER(Setup!$D$27),Setup!$D$27,0),IF($T294="Nights",IF(ISNUMBER(Setup!$E$27),Setup!$E$27,0),IF(OR($T294="Exact amounts",$T294="Custom units"),0,1))))))</f>
        <v>0</v>
      </c>
      <c r="AB294" s="29">
        <f>IF($T294="",0,IF(OR(Setup!$B$28="",Setup!$C$28="No"),0,IF(ISNUMBER(O294),O294,IF($T294="Weights",IF(ISNUMBER(Setup!$D$28),Setup!$D$28,0),IF($T294="Nights",IF(ISNUMBER(Setup!$E$28),Setup!$E$28,0),IF(OR($T294="Exact amounts",$T294="Custom units"),0,1))))))</f>
        <v>0</v>
      </c>
      <c r="AC294" s="29">
        <f>IF($T294="",0,IF(OR(Setup!$B$29="",Setup!$C$29="No"),0,IF(ISNUMBER(P294),P294,IF($T294="Weights",IF(ISNUMBER(Setup!$D$29),Setup!$D$29,0),IF($T294="Nights",IF(ISNUMBER(Setup!$E$29),Setup!$E$29,0),IF(OR($T294="Exact amounts",$T294="Custom units"),0,1))))))</f>
        <v>0</v>
      </c>
      <c r="AD294" s="29">
        <f>IF($T294="",0,IF(OR(Setup!$B$30="",Setup!$C$30="No"),0,IF(ISNUMBER(Q294),Q294,IF($T294="Weights",IF(ISNUMBER(Setup!$D$30),Setup!$D$30,0),IF($T294="Nights",IF(ISNUMBER(Setup!$E$30),Setup!$E$30,0),IF(OR($T294="Exact amounts",$T294="Custom units"),0,1))))))</f>
        <v>0</v>
      </c>
      <c r="AE294" s="29">
        <f t="shared" si="17"/>
        <v>0</v>
      </c>
      <c r="AF294" s="30">
        <f t="shared" si="18"/>
        <v>1</v>
      </c>
      <c r="AG294" s="29">
        <f t="shared" si="19"/>
        <v>0</v>
      </c>
    </row>
    <row r="295" spans="1:33" ht="16" x14ac:dyDescent="0.2">
      <c r="A295" s="22" t="str">
        <f t="shared" si="16"/>
        <v>—</v>
      </c>
      <c r="B295" s="31"/>
      <c r="C295" s="11"/>
      <c r="D295" s="11"/>
      <c r="E295" s="32"/>
      <c r="F295" s="11"/>
      <c r="G295" s="11"/>
      <c r="H295" s="33"/>
      <c r="I295" s="33"/>
      <c r="J295" s="33"/>
      <c r="K295" s="33"/>
      <c r="L295" s="33"/>
      <c r="M295" s="33"/>
      <c r="N295" s="33"/>
      <c r="O295" s="33"/>
      <c r="P295" s="33"/>
      <c r="Q295" s="33"/>
      <c r="R295" s="26" t="str">
        <f>IF($T295="","",IF($D295="","Who paid?",IF(SUMPRODUCT((Setup!$B$21:$B$30=$D295)*1)=0,"Payer is not in the member list on Setup",IF($E295="","Amount missing — type the number in column E",IF(NOT(ISNUMBER($E295)),"Amount must be a plain number — no currency symbol, no text",IF(AND($T295="Custom units",$AE295&lt;=0),"Custom units: nobody has units on this row — type a number for at least one person",IF($AE295&lt;=0,"Nobody shares this row — check the person columns H–Q, and the Weight / Nights columns on Setup",IF(AND($T295="Exact amounts",ABS($AE295-$AG295)&gt;0.01),"Exact amounts do not add up to the amount","OK"))))))))</f>
        <v/>
      </c>
      <c r="S295" s="27" t="str">
        <f>IFERROR(IF(OR($T295="",$C$4=""),"—",ROUND($AG295*INDEX($U295:$AD295,1,MATCH($C$4,Setup!$B$21:$B$30,0))/$AF295,2)),"—")</f>
        <v>—</v>
      </c>
      <c r="T295" s="28" t="str">
        <f>IF(AND($C295="",$D295="",NOT(ISNUMBER($E295))),"",IF($G295="",IF(Setup!$C$17="","Equal",Setup!$C$17),$G295))</f>
        <v/>
      </c>
      <c r="U295" s="29">
        <f>IF($T295="",0,IF(OR(Setup!$B$21="",Setup!$C$21="No"),0,IF(ISNUMBER(H295),H295,IF($T295="Weights",IF(ISNUMBER(Setup!$D$21),Setup!$D$21,0),IF($T295="Nights",IF(ISNUMBER(Setup!$E$21),Setup!$E$21,0),IF(OR($T295="Exact amounts",$T295="Custom units"),0,1))))))</f>
        <v>0</v>
      </c>
      <c r="V295" s="29">
        <f>IF($T295="",0,IF(OR(Setup!$B$22="",Setup!$C$22="No"),0,IF(ISNUMBER(I295),I295,IF($T295="Weights",IF(ISNUMBER(Setup!$D$22),Setup!$D$22,0),IF($T295="Nights",IF(ISNUMBER(Setup!$E$22),Setup!$E$22,0),IF(OR($T295="Exact amounts",$T295="Custom units"),0,1))))))</f>
        <v>0</v>
      </c>
      <c r="W295" s="29">
        <f>IF($T295="",0,IF(OR(Setup!$B$23="",Setup!$C$23="No"),0,IF(ISNUMBER(J295),J295,IF($T295="Weights",IF(ISNUMBER(Setup!$D$23),Setup!$D$23,0),IF($T295="Nights",IF(ISNUMBER(Setup!$E$23),Setup!$E$23,0),IF(OR($T295="Exact amounts",$T295="Custom units"),0,1))))))</f>
        <v>0</v>
      </c>
      <c r="X295" s="29">
        <f>IF($T295="",0,IF(OR(Setup!$B$24="",Setup!$C$24="No"),0,IF(ISNUMBER(K295),K295,IF($T295="Weights",IF(ISNUMBER(Setup!$D$24),Setup!$D$24,0),IF($T295="Nights",IF(ISNUMBER(Setup!$E$24),Setup!$E$24,0),IF(OR($T295="Exact amounts",$T295="Custom units"),0,1))))))</f>
        <v>0</v>
      </c>
      <c r="Y295" s="29">
        <f>IF($T295="",0,IF(OR(Setup!$B$25="",Setup!$C$25="No"),0,IF(ISNUMBER(L295),L295,IF($T295="Weights",IF(ISNUMBER(Setup!$D$25),Setup!$D$25,0),IF($T295="Nights",IF(ISNUMBER(Setup!$E$25),Setup!$E$25,0),IF(OR($T295="Exact amounts",$T295="Custom units"),0,1))))))</f>
        <v>0</v>
      </c>
      <c r="Z295" s="29">
        <f>IF($T295="",0,IF(OR(Setup!$B$26="",Setup!$C$26="No"),0,IF(ISNUMBER(M295),M295,IF($T295="Weights",IF(ISNUMBER(Setup!$D$26),Setup!$D$26,0),IF($T295="Nights",IF(ISNUMBER(Setup!$E$26),Setup!$E$26,0),IF(OR($T295="Exact amounts",$T295="Custom units"),0,1))))))</f>
        <v>0</v>
      </c>
      <c r="AA295" s="29">
        <f>IF($T295="",0,IF(OR(Setup!$B$27="",Setup!$C$27="No"),0,IF(ISNUMBER(N295),N295,IF($T295="Weights",IF(ISNUMBER(Setup!$D$27),Setup!$D$27,0),IF($T295="Nights",IF(ISNUMBER(Setup!$E$27),Setup!$E$27,0),IF(OR($T295="Exact amounts",$T295="Custom units"),0,1))))))</f>
        <v>0</v>
      </c>
      <c r="AB295" s="29">
        <f>IF($T295="",0,IF(OR(Setup!$B$28="",Setup!$C$28="No"),0,IF(ISNUMBER(O295),O295,IF($T295="Weights",IF(ISNUMBER(Setup!$D$28),Setup!$D$28,0),IF($T295="Nights",IF(ISNUMBER(Setup!$E$28),Setup!$E$28,0),IF(OR($T295="Exact amounts",$T295="Custom units"),0,1))))))</f>
        <v>0</v>
      </c>
      <c r="AC295" s="29">
        <f>IF($T295="",0,IF(OR(Setup!$B$29="",Setup!$C$29="No"),0,IF(ISNUMBER(P295),P295,IF($T295="Weights",IF(ISNUMBER(Setup!$D$29),Setup!$D$29,0),IF($T295="Nights",IF(ISNUMBER(Setup!$E$29),Setup!$E$29,0),IF(OR($T295="Exact amounts",$T295="Custom units"),0,1))))))</f>
        <v>0</v>
      </c>
      <c r="AD295" s="29">
        <f>IF($T295="",0,IF(OR(Setup!$B$30="",Setup!$C$30="No"),0,IF(ISNUMBER(Q295),Q295,IF($T295="Weights",IF(ISNUMBER(Setup!$D$30),Setup!$D$30,0),IF($T295="Nights",IF(ISNUMBER(Setup!$E$30),Setup!$E$30,0),IF(OR($T295="Exact amounts",$T295="Custom units"),0,1))))))</f>
        <v>0</v>
      </c>
      <c r="AE295" s="29">
        <f t="shared" si="17"/>
        <v>0</v>
      </c>
      <c r="AF295" s="30">
        <f t="shared" si="18"/>
        <v>1</v>
      </c>
      <c r="AG295" s="29">
        <f t="shared" si="19"/>
        <v>0</v>
      </c>
    </row>
    <row r="296" spans="1:33" ht="16" x14ac:dyDescent="0.2">
      <c r="A296" s="22" t="str">
        <f t="shared" si="16"/>
        <v>—</v>
      </c>
      <c r="B296" s="23"/>
      <c r="C296" s="16"/>
      <c r="D296" s="16"/>
      <c r="E296" s="24"/>
      <c r="F296" s="16"/>
      <c r="G296" s="16"/>
      <c r="H296" s="25"/>
      <c r="I296" s="25"/>
      <c r="J296" s="25"/>
      <c r="K296" s="25"/>
      <c r="L296" s="25"/>
      <c r="M296" s="25"/>
      <c r="N296" s="25"/>
      <c r="O296" s="25"/>
      <c r="P296" s="25"/>
      <c r="Q296" s="25"/>
      <c r="R296" s="26" t="str">
        <f>IF($T296="","",IF($D296="","Who paid?",IF(SUMPRODUCT((Setup!$B$21:$B$30=$D296)*1)=0,"Payer is not in the member list on Setup",IF($E296="","Amount missing — type the number in column E",IF(NOT(ISNUMBER($E296)),"Amount must be a plain number — no currency symbol, no text",IF(AND($T296="Custom units",$AE296&lt;=0),"Custom units: nobody has units on this row — type a number for at least one person",IF($AE296&lt;=0,"Nobody shares this row — check the person columns H–Q, and the Weight / Nights columns on Setup",IF(AND($T296="Exact amounts",ABS($AE296-$AG296)&gt;0.01),"Exact amounts do not add up to the amount","OK"))))))))</f>
        <v/>
      </c>
      <c r="S296" s="27" t="str">
        <f>IFERROR(IF(OR($T296="",$C$4=""),"—",ROUND($AG296*INDEX($U296:$AD296,1,MATCH($C$4,Setup!$B$21:$B$30,0))/$AF296,2)),"—")</f>
        <v>—</v>
      </c>
      <c r="T296" s="28" t="str">
        <f>IF(AND($C296="",$D296="",NOT(ISNUMBER($E296))),"",IF($G296="",IF(Setup!$C$17="","Equal",Setup!$C$17),$G296))</f>
        <v/>
      </c>
      <c r="U296" s="29">
        <f>IF($T296="",0,IF(OR(Setup!$B$21="",Setup!$C$21="No"),0,IF(ISNUMBER(H296),H296,IF($T296="Weights",IF(ISNUMBER(Setup!$D$21),Setup!$D$21,0),IF($T296="Nights",IF(ISNUMBER(Setup!$E$21),Setup!$E$21,0),IF(OR($T296="Exact amounts",$T296="Custom units"),0,1))))))</f>
        <v>0</v>
      </c>
      <c r="V296" s="29">
        <f>IF($T296="",0,IF(OR(Setup!$B$22="",Setup!$C$22="No"),0,IF(ISNUMBER(I296),I296,IF($T296="Weights",IF(ISNUMBER(Setup!$D$22),Setup!$D$22,0),IF($T296="Nights",IF(ISNUMBER(Setup!$E$22),Setup!$E$22,0),IF(OR($T296="Exact amounts",$T296="Custom units"),0,1))))))</f>
        <v>0</v>
      </c>
      <c r="W296" s="29">
        <f>IF($T296="",0,IF(OR(Setup!$B$23="",Setup!$C$23="No"),0,IF(ISNUMBER(J296),J296,IF($T296="Weights",IF(ISNUMBER(Setup!$D$23),Setup!$D$23,0),IF($T296="Nights",IF(ISNUMBER(Setup!$E$23),Setup!$E$23,0),IF(OR($T296="Exact amounts",$T296="Custom units"),0,1))))))</f>
        <v>0</v>
      </c>
      <c r="X296" s="29">
        <f>IF($T296="",0,IF(OR(Setup!$B$24="",Setup!$C$24="No"),0,IF(ISNUMBER(K296),K296,IF($T296="Weights",IF(ISNUMBER(Setup!$D$24),Setup!$D$24,0),IF($T296="Nights",IF(ISNUMBER(Setup!$E$24),Setup!$E$24,0),IF(OR($T296="Exact amounts",$T296="Custom units"),0,1))))))</f>
        <v>0</v>
      </c>
      <c r="Y296" s="29">
        <f>IF($T296="",0,IF(OR(Setup!$B$25="",Setup!$C$25="No"),0,IF(ISNUMBER(L296),L296,IF($T296="Weights",IF(ISNUMBER(Setup!$D$25),Setup!$D$25,0),IF($T296="Nights",IF(ISNUMBER(Setup!$E$25),Setup!$E$25,0),IF(OR($T296="Exact amounts",$T296="Custom units"),0,1))))))</f>
        <v>0</v>
      </c>
      <c r="Z296" s="29">
        <f>IF($T296="",0,IF(OR(Setup!$B$26="",Setup!$C$26="No"),0,IF(ISNUMBER(M296),M296,IF($T296="Weights",IF(ISNUMBER(Setup!$D$26),Setup!$D$26,0),IF($T296="Nights",IF(ISNUMBER(Setup!$E$26),Setup!$E$26,0),IF(OR($T296="Exact amounts",$T296="Custom units"),0,1))))))</f>
        <v>0</v>
      </c>
      <c r="AA296" s="29">
        <f>IF($T296="",0,IF(OR(Setup!$B$27="",Setup!$C$27="No"),0,IF(ISNUMBER(N296),N296,IF($T296="Weights",IF(ISNUMBER(Setup!$D$27),Setup!$D$27,0),IF($T296="Nights",IF(ISNUMBER(Setup!$E$27),Setup!$E$27,0),IF(OR($T296="Exact amounts",$T296="Custom units"),0,1))))))</f>
        <v>0</v>
      </c>
      <c r="AB296" s="29">
        <f>IF($T296="",0,IF(OR(Setup!$B$28="",Setup!$C$28="No"),0,IF(ISNUMBER(O296),O296,IF($T296="Weights",IF(ISNUMBER(Setup!$D$28),Setup!$D$28,0),IF($T296="Nights",IF(ISNUMBER(Setup!$E$28),Setup!$E$28,0),IF(OR($T296="Exact amounts",$T296="Custom units"),0,1))))))</f>
        <v>0</v>
      </c>
      <c r="AC296" s="29">
        <f>IF($T296="",0,IF(OR(Setup!$B$29="",Setup!$C$29="No"),0,IF(ISNUMBER(P296),P296,IF($T296="Weights",IF(ISNUMBER(Setup!$D$29),Setup!$D$29,0),IF($T296="Nights",IF(ISNUMBER(Setup!$E$29),Setup!$E$29,0),IF(OR($T296="Exact amounts",$T296="Custom units"),0,1))))))</f>
        <v>0</v>
      </c>
      <c r="AD296" s="29">
        <f>IF($T296="",0,IF(OR(Setup!$B$30="",Setup!$C$30="No"),0,IF(ISNUMBER(Q296),Q296,IF($T296="Weights",IF(ISNUMBER(Setup!$D$30),Setup!$D$30,0),IF($T296="Nights",IF(ISNUMBER(Setup!$E$30),Setup!$E$30,0),IF(OR($T296="Exact amounts",$T296="Custom units"),0,1))))))</f>
        <v>0</v>
      </c>
      <c r="AE296" s="29">
        <f t="shared" si="17"/>
        <v>0</v>
      </c>
      <c r="AF296" s="30">
        <f t="shared" si="18"/>
        <v>1</v>
      </c>
      <c r="AG296" s="29">
        <f t="shared" si="19"/>
        <v>0</v>
      </c>
    </row>
    <row r="297" spans="1:33" ht="16" x14ac:dyDescent="0.2">
      <c r="A297" s="22" t="str">
        <f t="shared" si="16"/>
        <v>—</v>
      </c>
      <c r="B297" s="31"/>
      <c r="C297" s="11"/>
      <c r="D297" s="11"/>
      <c r="E297" s="32"/>
      <c r="F297" s="11"/>
      <c r="G297" s="11"/>
      <c r="H297" s="33"/>
      <c r="I297" s="33"/>
      <c r="J297" s="33"/>
      <c r="K297" s="33"/>
      <c r="L297" s="33"/>
      <c r="M297" s="33"/>
      <c r="N297" s="33"/>
      <c r="O297" s="33"/>
      <c r="P297" s="33"/>
      <c r="Q297" s="33"/>
      <c r="R297" s="26" t="str">
        <f>IF($T297="","",IF($D297="","Who paid?",IF(SUMPRODUCT((Setup!$B$21:$B$30=$D297)*1)=0,"Payer is not in the member list on Setup",IF($E297="","Amount missing — type the number in column E",IF(NOT(ISNUMBER($E297)),"Amount must be a plain number — no currency symbol, no text",IF(AND($T297="Custom units",$AE297&lt;=0),"Custom units: nobody has units on this row — type a number for at least one person",IF($AE297&lt;=0,"Nobody shares this row — check the person columns H–Q, and the Weight / Nights columns on Setup",IF(AND($T297="Exact amounts",ABS($AE297-$AG297)&gt;0.01),"Exact amounts do not add up to the amount","OK"))))))))</f>
        <v/>
      </c>
      <c r="S297" s="27" t="str">
        <f>IFERROR(IF(OR($T297="",$C$4=""),"—",ROUND($AG297*INDEX($U297:$AD297,1,MATCH($C$4,Setup!$B$21:$B$30,0))/$AF297,2)),"—")</f>
        <v>—</v>
      </c>
      <c r="T297" s="28" t="str">
        <f>IF(AND($C297="",$D297="",NOT(ISNUMBER($E297))),"",IF($G297="",IF(Setup!$C$17="","Equal",Setup!$C$17),$G297))</f>
        <v/>
      </c>
      <c r="U297" s="29">
        <f>IF($T297="",0,IF(OR(Setup!$B$21="",Setup!$C$21="No"),0,IF(ISNUMBER(H297),H297,IF($T297="Weights",IF(ISNUMBER(Setup!$D$21),Setup!$D$21,0),IF($T297="Nights",IF(ISNUMBER(Setup!$E$21),Setup!$E$21,0),IF(OR($T297="Exact amounts",$T297="Custom units"),0,1))))))</f>
        <v>0</v>
      </c>
      <c r="V297" s="29">
        <f>IF($T297="",0,IF(OR(Setup!$B$22="",Setup!$C$22="No"),0,IF(ISNUMBER(I297),I297,IF($T297="Weights",IF(ISNUMBER(Setup!$D$22),Setup!$D$22,0),IF($T297="Nights",IF(ISNUMBER(Setup!$E$22),Setup!$E$22,0),IF(OR($T297="Exact amounts",$T297="Custom units"),0,1))))))</f>
        <v>0</v>
      </c>
      <c r="W297" s="29">
        <f>IF($T297="",0,IF(OR(Setup!$B$23="",Setup!$C$23="No"),0,IF(ISNUMBER(J297),J297,IF($T297="Weights",IF(ISNUMBER(Setup!$D$23),Setup!$D$23,0),IF($T297="Nights",IF(ISNUMBER(Setup!$E$23),Setup!$E$23,0),IF(OR($T297="Exact amounts",$T297="Custom units"),0,1))))))</f>
        <v>0</v>
      </c>
      <c r="X297" s="29">
        <f>IF($T297="",0,IF(OR(Setup!$B$24="",Setup!$C$24="No"),0,IF(ISNUMBER(K297),K297,IF($T297="Weights",IF(ISNUMBER(Setup!$D$24),Setup!$D$24,0),IF($T297="Nights",IF(ISNUMBER(Setup!$E$24),Setup!$E$24,0),IF(OR($T297="Exact amounts",$T297="Custom units"),0,1))))))</f>
        <v>0</v>
      </c>
      <c r="Y297" s="29">
        <f>IF($T297="",0,IF(OR(Setup!$B$25="",Setup!$C$25="No"),0,IF(ISNUMBER(L297),L297,IF($T297="Weights",IF(ISNUMBER(Setup!$D$25),Setup!$D$25,0),IF($T297="Nights",IF(ISNUMBER(Setup!$E$25),Setup!$E$25,0),IF(OR($T297="Exact amounts",$T297="Custom units"),0,1))))))</f>
        <v>0</v>
      </c>
      <c r="Z297" s="29">
        <f>IF($T297="",0,IF(OR(Setup!$B$26="",Setup!$C$26="No"),0,IF(ISNUMBER(M297),M297,IF($T297="Weights",IF(ISNUMBER(Setup!$D$26),Setup!$D$26,0),IF($T297="Nights",IF(ISNUMBER(Setup!$E$26),Setup!$E$26,0),IF(OR($T297="Exact amounts",$T297="Custom units"),0,1))))))</f>
        <v>0</v>
      </c>
      <c r="AA297" s="29">
        <f>IF($T297="",0,IF(OR(Setup!$B$27="",Setup!$C$27="No"),0,IF(ISNUMBER(N297),N297,IF($T297="Weights",IF(ISNUMBER(Setup!$D$27),Setup!$D$27,0),IF($T297="Nights",IF(ISNUMBER(Setup!$E$27),Setup!$E$27,0),IF(OR($T297="Exact amounts",$T297="Custom units"),0,1))))))</f>
        <v>0</v>
      </c>
      <c r="AB297" s="29">
        <f>IF($T297="",0,IF(OR(Setup!$B$28="",Setup!$C$28="No"),0,IF(ISNUMBER(O297),O297,IF($T297="Weights",IF(ISNUMBER(Setup!$D$28),Setup!$D$28,0),IF($T297="Nights",IF(ISNUMBER(Setup!$E$28),Setup!$E$28,0),IF(OR($T297="Exact amounts",$T297="Custom units"),0,1))))))</f>
        <v>0</v>
      </c>
      <c r="AC297" s="29">
        <f>IF($T297="",0,IF(OR(Setup!$B$29="",Setup!$C$29="No"),0,IF(ISNUMBER(P297),P297,IF($T297="Weights",IF(ISNUMBER(Setup!$D$29),Setup!$D$29,0),IF($T297="Nights",IF(ISNUMBER(Setup!$E$29),Setup!$E$29,0),IF(OR($T297="Exact amounts",$T297="Custom units"),0,1))))))</f>
        <v>0</v>
      </c>
      <c r="AD297" s="29">
        <f>IF($T297="",0,IF(OR(Setup!$B$30="",Setup!$C$30="No"),0,IF(ISNUMBER(Q297),Q297,IF($T297="Weights",IF(ISNUMBER(Setup!$D$30),Setup!$D$30,0),IF($T297="Nights",IF(ISNUMBER(Setup!$E$30),Setup!$E$30,0),IF(OR($T297="Exact amounts",$T297="Custom units"),0,1))))))</f>
        <v>0</v>
      </c>
      <c r="AE297" s="29">
        <f t="shared" si="17"/>
        <v>0</v>
      </c>
      <c r="AF297" s="30">
        <f t="shared" si="18"/>
        <v>1</v>
      </c>
      <c r="AG297" s="29">
        <f t="shared" si="19"/>
        <v>0</v>
      </c>
    </row>
    <row r="298" spans="1:33" ht="16" x14ac:dyDescent="0.2">
      <c r="A298" s="22" t="str">
        <f t="shared" si="16"/>
        <v>—</v>
      </c>
      <c r="B298" s="23"/>
      <c r="C298" s="16"/>
      <c r="D298" s="16"/>
      <c r="E298" s="24"/>
      <c r="F298" s="16"/>
      <c r="G298" s="16"/>
      <c r="H298" s="25"/>
      <c r="I298" s="25"/>
      <c r="J298" s="25"/>
      <c r="K298" s="25"/>
      <c r="L298" s="25"/>
      <c r="M298" s="25"/>
      <c r="N298" s="25"/>
      <c r="O298" s="25"/>
      <c r="P298" s="25"/>
      <c r="Q298" s="25"/>
      <c r="R298" s="26" t="str">
        <f>IF($T298="","",IF($D298="","Who paid?",IF(SUMPRODUCT((Setup!$B$21:$B$30=$D298)*1)=0,"Payer is not in the member list on Setup",IF($E298="","Amount missing — type the number in column E",IF(NOT(ISNUMBER($E298)),"Amount must be a plain number — no currency symbol, no text",IF(AND($T298="Custom units",$AE298&lt;=0),"Custom units: nobody has units on this row — type a number for at least one person",IF($AE298&lt;=0,"Nobody shares this row — check the person columns H–Q, and the Weight / Nights columns on Setup",IF(AND($T298="Exact amounts",ABS($AE298-$AG298)&gt;0.01),"Exact amounts do not add up to the amount","OK"))))))))</f>
        <v/>
      </c>
      <c r="S298" s="27" t="str">
        <f>IFERROR(IF(OR($T298="",$C$4=""),"—",ROUND($AG298*INDEX($U298:$AD298,1,MATCH($C$4,Setup!$B$21:$B$30,0))/$AF298,2)),"—")</f>
        <v>—</v>
      </c>
      <c r="T298" s="28" t="str">
        <f>IF(AND($C298="",$D298="",NOT(ISNUMBER($E298))),"",IF($G298="",IF(Setup!$C$17="","Equal",Setup!$C$17),$G298))</f>
        <v/>
      </c>
      <c r="U298" s="29">
        <f>IF($T298="",0,IF(OR(Setup!$B$21="",Setup!$C$21="No"),0,IF(ISNUMBER(H298),H298,IF($T298="Weights",IF(ISNUMBER(Setup!$D$21),Setup!$D$21,0),IF($T298="Nights",IF(ISNUMBER(Setup!$E$21),Setup!$E$21,0),IF(OR($T298="Exact amounts",$T298="Custom units"),0,1))))))</f>
        <v>0</v>
      </c>
      <c r="V298" s="29">
        <f>IF($T298="",0,IF(OR(Setup!$B$22="",Setup!$C$22="No"),0,IF(ISNUMBER(I298),I298,IF($T298="Weights",IF(ISNUMBER(Setup!$D$22),Setup!$D$22,0),IF($T298="Nights",IF(ISNUMBER(Setup!$E$22),Setup!$E$22,0),IF(OR($T298="Exact amounts",$T298="Custom units"),0,1))))))</f>
        <v>0</v>
      </c>
      <c r="W298" s="29">
        <f>IF($T298="",0,IF(OR(Setup!$B$23="",Setup!$C$23="No"),0,IF(ISNUMBER(J298),J298,IF($T298="Weights",IF(ISNUMBER(Setup!$D$23),Setup!$D$23,0),IF($T298="Nights",IF(ISNUMBER(Setup!$E$23),Setup!$E$23,0),IF(OR($T298="Exact amounts",$T298="Custom units"),0,1))))))</f>
        <v>0</v>
      </c>
      <c r="X298" s="29">
        <f>IF($T298="",0,IF(OR(Setup!$B$24="",Setup!$C$24="No"),0,IF(ISNUMBER(K298),K298,IF($T298="Weights",IF(ISNUMBER(Setup!$D$24),Setup!$D$24,0),IF($T298="Nights",IF(ISNUMBER(Setup!$E$24),Setup!$E$24,0),IF(OR($T298="Exact amounts",$T298="Custom units"),0,1))))))</f>
        <v>0</v>
      </c>
      <c r="Y298" s="29">
        <f>IF($T298="",0,IF(OR(Setup!$B$25="",Setup!$C$25="No"),0,IF(ISNUMBER(L298),L298,IF($T298="Weights",IF(ISNUMBER(Setup!$D$25),Setup!$D$25,0),IF($T298="Nights",IF(ISNUMBER(Setup!$E$25),Setup!$E$25,0),IF(OR($T298="Exact amounts",$T298="Custom units"),0,1))))))</f>
        <v>0</v>
      </c>
      <c r="Z298" s="29">
        <f>IF($T298="",0,IF(OR(Setup!$B$26="",Setup!$C$26="No"),0,IF(ISNUMBER(M298),M298,IF($T298="Weights",IF(ISNUMBER(Setup!$D$26),Setup!$D$26,0),IF($T298="Nights",IF(ISNUMBER(Setup!$E$26),Setup!$E$26,0),IF(OR($T298="Exact amounts",$T298="Custom units"),0,1))))))</f>
        <v>0</v>
      </c>
      <c r="AA298" s="29">
        <f>IF($T298="",0,IF(OR(Setup!$B$27="",Setup!$C$27="No"),0,IF(ISNUMBER(N298),N298,IF($T298="Weights",IF(ISNUMBER(Setup!$D$27),Setup!$D$27,0),IF($T298="Nights",IF(ISNUMBER(Setup!$E$27),Setup!$E$27,0),IF(OR($T298="Exact amounts",$T298="Custom units"),0,1))))))</f>
        <v>0</v>
      </c>
      <c r="AB298" s="29">
        <f>IF($T298="",0,IF(OR(Setup!$B$28="",Setup!$C$28="No"),0,IF(ISNUMBER(O298),O298,IF($T298="Weights",IF(ISNUMBER(Setup!$D$28),Setup!$D$28,0),IF($T298="Nights",IF(ISNUMBER(Setup!$E$28),Setup!$E$28,0),IF(OR($T298="Exact amounts",$T298="Custom units"),0,1))))))</f>
        <v>0</v>
      </c>
      <c r="AC298" s="29">
        <f>IF($T298="",0,IF(OR(Setup!$B$29="",Setup!$C$29="No"),0,IF(ISNUMBER(P298),P298,IF($T298="Weights",IF(ISNUMBER(Setup!$D$29),Setup!$D$29,0),IF($T298="Nights",IF(ISNUMBER(Setup!$E$29),Setup!$E$29,0),IF(OR($T298="Exact amounts",$T298="Custom units"),0,1))))))</f>
        <v>0</v>
      </c>
      <c r="AD298" s="29">
        <f>IF($T298="",0,IF(OR(Setup!$B$30="",Setup!$C$30="No"),0,IF(ISNUMBER(Q298),Q298,IF($T298="Weights",IF(ISNUMBER(Setup!$D$30),Setup!$D$30,0),IF($T298="Nights",IF(ISNUMBER(Setup!$E$30),Setup!$E$30,0),IF(OR($T298="Exact amounts",$T298="Custom units"),0,1))))))</f>
        <v>0</v>
      </c>
      <c r="AE298" s="29">
        <f t="shared" si="17"/>
        <v>0</v>
      </c>
      <c r="AF298" s="30">
        <f t="shared" si="18"/>
        <v>1</v>
      </c>
      <c r="AG298" s="29">
        <f t="shared" si="19"/>
        <v>0</v>
      </c>
    </row>
    <row r="299" spans="1:33" ht="16" x14ac:dyDescent="0.2">
      <c r="A299" s="22" t="str">
        <f t="shared" si="16"/>
        <v>—</v>
      </c>
      <c r="B299" s="31"/>
      <c r="C299" s="11"/>
      <c r="D299" s="11"/>
      <c r="E299" s="32"/>
      <c r="F299" s="11"/>
      <c r="G299" s="11"/>
      <c r="H299" s="33"/>
      <c r="I299" s="33"/>
      <c r="J299" s="33"/>
      <c r="K299" s="33"/>
      <c r="L299" s="33"/>
      <c r="M299" s="33"/>
      <c r="N299" s="33"/>
      <c r="O299" s="33"/>
      <c r="P299" s="33"/>
      <c r="Q299" s="33"/>
      <c r="R299" s="26" t="str">
        <f>IF($T299="","",IF($D299="","Who paid?",IF(SUMPRODUCT((Setup!$B$21:$B$30=$D299)*1)=0,"Payer is not in the member list on Setup",IF($E299="","Amount missing — type the number in column E",IF(NOT(ISNUMBER($E299)),"Amount must be a plain number — no currency symbol, no text",IF(AND($T299="Custom units",$AE299&lt;=0),"Custom units: nobody has units on this row — type a number for at least one person",IF($AE299&lt;=0,"Nobody shares this row — check the person columns H–Q, and the Weight / Nights columns on Setup",IF(AND($T299="Exact amounts",ABS($AE299-$AG299)&gt;0.01),"Exact amounts do not add up to the amount","OK"))))))))</f>
        <v/>
      </c>
      <c r="S299" s="27" t="str">
        <f>IFERROR(IF(OR($T299="",$C$4=""),"—",ROUND($AG299*INDEX($U299:$AD299,1,MATCH($C$4,Setup!$B$21:$B$30,0))/$AF299,2)),"—")</f>
        <v>—</v>
      </c>
      <c r="T299" s="28" t="str">
        <f>IF(AND($C299="",$D299="",NOT(ISNUMBER($E299))),"",IF($G299="",IF(Setup!$C$17="","Equal",Setup!$C$17),$G299))</f>
        <v/>
      </c>
      <c r="U299" s="29">
        <f>IF($T299="",0,IF(OR(Setup!$B$21="",Setup!$C$21="No"),0,IF(ISNUMBER(H299),H299,IF($T299="Weights",IF(ISNUMBER(Setup!$D$21),Setup!$D$21,0),IF($T299="Nights",IF(ISNUMBER(Setup!$E$21),Setup!$E$21,0),IF(OR($T299="Exact amounts",$T299="Custom units"),0,1))))))</f>
        <v>0</v>
      </c>
      <c r="V299" s="29">
        <f>IF($T299="",0,IF(OR(Setup!$B$22="",Setup!$C$22="No"),0,IF(ISNUMBER(I299),I299,IF($T299="Weights",IF(ISNUMBER(Setup!$D$22),Setup!$D$22,0),IF($T299="Nights",IF(ISNUMBER(Setup!$E$22),Setup!$E$22,0),IF(OR($T299="Exact amounts",$T299="Custom units"),0,1))))))</f>
        <v>0</v>
      </c>
      <c r="W299" s="29">
        <f>IF($T299="",0,IF(OR(Setup!$B$23="",Setup!$C$23="No"),0,IF(ISNUMBER(J299),J299,IF($T299="Weights",IF(ISNUMBER(Setup!$D$23),Setup!$D$23,0),IF($T299="Nights",IF(ISNUMBER(Setup!$E$23),Setup!$E$23,0),IF(OR($T299="Exact amounts",$T299="Custom units"),0,1))))))</f>
        <v>0</v>
      </c>
      <c r="X299" s="29">
        <f>IF($T299="",0,IF(OR(Setup!$B$24="",Setup!$C$24="No"),0,IF(ISNUMBER(K299),K299,IF($T299="Weights",IF(ISNUMBER(Setup!$D$24),Setup!$D$24,0),IF($T299="Nights",IF(ISNUMBER(Setup!$E$24),Setup!$E$24,0),IF(OR($T299="Exact amounts",$T299="Custom units"),0,1))))))</f>
        <v>0</v>
      </c>
      <c r="Y299" s="29">
        <f>IF($T299="",0,IF(OR(Setup!$B$25="",Setup!$C$25="No"),0,IF(ISNUMBER(L299),L299,IF($T299="Weights",IF(ISNUMBER(Setup!$D$25),Setup!$D$25,0),IF($T299="Nights",IF(ISNUMBER(Setup!$E$25),Setup!$E$25,0),IF(OR($T299="Exact amounts",$T299="Custom units"),0,1))))))</f>
        <v>0</v>
      </c>
      <c r="Z299" s="29">
        <f>IF($T299="",0,IF(OR(Setup!$B$26="",Setup!$C$26="No"),0,IF(ISNUMBER(M299),M299,IF($T299="Weights",IF(ISNUMBER(Setup!$D$26),Setup!$D$26,0),IF($T299="Nights",IF(ISNUMBER(Setup!$E$26),Setup!$E$26,0),IF(OR($T299="Exact amounts",$T299="Custom units"),0,1))))))</f>
        <v>0</v>
      </c>
      <c r="AA299" s="29">
        <f>IF($T299="",0,IF(OR(Setup!$B$27="",Setup!$C$27="No"),0,IF(ISNUMBER(N299),N299,IF($T299="Weights",IF(ISNUMBER(Setup!$D$27),Setup!$D$27,0),IF($T299="Nights",IF(ISNUMBER(Setup!$E$27),Setup!$E$27,0),IF(OR($T299="Exact amounts",$T299="Custom units"),0,1))))))</f>
        <v>0</v>
      </c>
      <c r="AB299" s="29">
        <f>IF($T299="",0,IF(OR(Setup!$B$28="",Setup!$C$28="No"),0,IF(ISNUMBER(O299),O299,IF($T299="Weights",IF(ISNUMBER(Setup!$D$28),Setup!$D$28,0),IF($T299="Nights",IF(ISNUMBER(Setup!$E$28),Setup!$E$28,0),IF(OR($T299="Exact amounts",$T299="Custom units"),0,1))))))</f>
        <v>0</v>
      </c>
      <c r="AC299" s="29">
        <f>IF($T299="",0,IF(OR(Setup!$B$29="",Setup!$C$29="No"),0,IF(ISNUMBER(P299),P299,IF($T299="Weights",IF(ISNUMBER(Setup!$D$29),Setup!$D$29,0),IF($T299="Nights",IF(ISNUMBER(Setup!$E$29),Setup!$E$29,0),IF(OR($T299="Exact amounts",$T299="Custom units"),0,1))))))</f>
        <v>0</v>
      </c>
      <c r="AD299" s="29">
        <f>IF($T299="",0,IF(OR(Setup!$B$30="",Setup!$C$30="No"),0,IF(ISNUMBER(Q299),Q299,IF($T299="Weights",IF(ISNUMBER(Setup!$D$30),Setup!$D$30,0),IF($T299="Nights",IF(ISNUMBER(Setup!$E$30),Setup!$E$30,0),IF(OR($T299="Exact amounts",$T299="Custom units"),0,1))))))</f>
        <v>0</v>
      </c>
      <c r="AE299" s="29">
        <f t="shared" si="17"/>
        <v>0</v>
      </c>
      <c r="AF299" s="30">
        <f t="shared" si="18"/>
        <v>1</v>
      </c>
      <c r="AG299" s="29">
        <f t="shared" si="19"/>
        <v>0</v>
      </c>
    </row>
    <row r="300" spans="1:33" ht="16" x14ac:dyDescent="0.2">
      <c r="A300" s="22" t="str">
        <f t="shared" si="16"/>
        <v>—</v>
      </c>
      <c r="B300" s="23"/>
      <c r="C300" s="16"/>
      <c r="D300" s="16"/>
      <c r="E300" s="24"/>
      <c r="F300" s="16"/>
      <c r="G300" s="16"/>
      <c r="H300" s="25"/>
      <c r="I300" s="25"/>
      <c r="J300" s="25"/>
      <c r="K300" s="25"/>
      <c r="L300" s="25"/>
      <c r="M300" s="25"/>
      <c r="N300" s="25"/>
      <c r="O300" s="25"/>
      <c r="P300" s="25"/>
      <c r="Q300" s="25"/>
      <c r="R300" s="26" t="str">
        <f>IF($T300="","",IF($D300="","Who paid?",IF(SUMPRODUCT((Setup!$B$21:$B$30=$D300)*1)=0,"Payer is not in the member list on Setup",IF($E300="","Amount missing — type the number in column E",IF(NOT(ISNUMBER($E300)),"Amount must be a plain number — no currency symbol, no text",IF(AND($T300="Custom units",$AE300&lt;=0),"Custom units: nobody has units on this row — type a number for at least one person",IF($AE300&lt;=0,"Nobody shares this row — check the person columns H–Q, and the Weight / Nights columns on Setup",IF(AND($T300="Exact amounts",ABS($AE300-$AG300)&gt;0.01),"Exact amounts do not add up to the amount","OK"))))))))</f>
        <v/>
      </c>
      <c r="S300" s="27" t="str">
        <f>IFERROR(IF(OR($T300="",$C$4=""),"—",ROUND($AG300*INDEX($U300:$AD300,1,MATCH($C$4,Setup!$B$21:$B$30,0))/$AF300,2)),"—")</f>
        <v>—</v>
      </c>
      <c r="T300" s="28" t="str">
        <f>IF(AND($C300="",$D300="",NOT(ISNUMBER($E300))),"",IF($G300="",IF(Setup!$C$17="","Equal",Setup!$C$17),$G300))</f>
        <v/>
      </c>
      <c r="U300" s="29">
        <f>IF($T300="",0,IF(OR(Setup!$B$21="",Setup!$C$21="No"),0,IF(ISNUMBER(H300),H300,IF($T300="Weights",IF(ISNUMBER(Setup!$D$21),Setup!$D$21,0),IF($T300="Nights",IF(ISNUMBER(Setup!$E$21),Setup!$E$21,0),IF(OR($T300="Exact amounts",$T300="Custom units"),0,1))))))</f>
        <v>0</v>
      </c>
      <c r="V300" s="29">
        <f>IF($T300="",0,IF(OR(Setup!$B$22="",Setup!$C$22="No"),0,IF(ISNUMBER(I300),I300,IF($T300="Weights",IF(ISNUMBER(Setup!$D$22),Setup!$D$22,0),IF($T300="Nights",IF(ISNUMBER(Setup!$E$22),Setup!$E$22,0),IF(OR($T300="Exact amounts",$T300="Custom units"),0,1))))))</f>
        <v>0</v>
      </c>
      <c r="W300" s="29">
        <f>IF($T300="",0,IF(OR(Setup!$B$23="",Setup!$C$23="No"),0,IF(ISNUMBER(J300),J300,IF($T300="Weights",IF(ISNUMBER(Setup!$D$23),Setup!$D$23,0),IF($T300="Nights",IF(ISNUMBER(Setup!$E$23),Setup!$E$23,0),IF(OR($T300="Exact amounts",$T300="Custom units"),0,1))))))</f>
        <v>0</v>
      </c>
      <c r="X300" s="29">
        <f>IF($T300="",0,IF(OR(Setup!$B$24="",Setup!$C$24="No"),0,IF(ISNUMBER(K300),K300,IF($T300="Weights",IF(ISNUMBER(Setup!$D$24),Setup!$D$24,0),IF($T300="Nights",IF(ISNUMBER(Setup!$E$24),Setup!$E$24,0),IF(OR($T300="Exact amounts",$T300="Custom units"),0,1))))))</f>
        <v>0</v>
      </c>
      <c r="Y300" s="29">
        <f>IF($T300="",0,IF(OR(Setup!$B$25="",Setup!$C$25="No"),0,IF(ISNUMBER(L300),L300,IF($T300="Weights",IF(ISNUMBER(Setup!$D$25),Setup!$D$25,0),IF($T300="Nights",IF(ISNUMBER(Setup!$E$25),Setup!$E$25,0),IF(OR($T300="Exact amounts",$T300="Custom units"),0,1))))))</f>
        <v>0</v>
      </c>
      <c r="Z300" s="29">
        <f>IF($T300="",0,IF(OR(Setup!$B$26="",Setup!$C$26="No"),0,IF(ISNUMBER(M300),M300,IF($T300="Weights",IF(ISNUMBER(Setup!$D$26),Setup!$D$26,0),IF($T300="Nights",IF(ISNUMBER(Setup!$E$26),Setup!$E$26,0),IF(OR($T300="Exact amounts",$T300="Custom units"),0,1))))))</f>
        <v>0</v>
      </c>
      <c r="AA300" s="29">
        <f>IF($T300="",0,IF(OR(Setup!$B$27="",Setup!$C$27="No"),0,IF(ISNUMBER(N300),N300,IF($T300="Weights",IF(ISNUMBER(Setup!$D$27),Setup!$D$27,0),IF($T300="Nights",IF(ISNUMBER(Setup!$E$27),Setup!$E$27,0),IF(OR($T300="Exact amounts",$T300="Custom units"),0,1))))))</f>
        <v>0</v>
      </c>
      <c r="AB300" s="29">
        <f>IF($T300="",0,IF(OR(Setup!$B$28="",Setup!$C$28="No"),0,IF(ISNUMBER(O300),O300,IF($T300="Weights",IF(ISNUMBER(Setup!$D$28),Setup!$D$28,0),IF($T300="Nights",IF(ISNUMBER(Setup!$E$28),Setup!$E$28,0),IF(OR($T300="Exact amounts",$T300="Custom units"),0,1))))))</f>
        <v>0</v>
      </c>
      <c r="AC300" s="29">
        <f>IF($T300="",0,IF(OR(Setup!$B$29="",Setup!$C$29="No"),0,IF(ISNUMBER(P300),P300,IF($T300="Weights",IF(ISNUMBER(Setup!$D$29),Setup!$D$29,0),IF($T300="Nights",IF(ISNUMBER(Setup!$E$29),Setup!$E$29,0),IF(OR($T300="Exact amounts",$T300="Custom units"),0,1))))))</f>
        <v>0</v>
      </c>
      <c r="AD300" s="29">
        <f>IF($T300="",0,IF(OR(Setup!$B$30="",Setup!$C$30="No"),0,IF(ISNUMBER(Q300),Q300,IF($T300="Weights",IF(ISNUMBER(Setup!$D$30),Setup!$D$30,0),IF($T300="Nights",IF(ISNUMBER(Setup!$E$30),Setup!$E$30,0),IF(OR($T300="Exact amounts",$T300="Custom units"),0,1))))))</f>
        <v>0</v>
      </c>
      <c r="AE300" s="29">
        <f t="shared" si="17"/>
        <v>0</v>
      </c>
      <c r="AF300" s="30">
        <f t="shared" si="18"/>
        <v>1</v>
      </c>
      <c r="AG300" s="29">
        <f t="shared" si="19"/>
        <v>0</v>
      </c>
    </row>
    <row r="301" spans="1:33" ht="16" x14ac:dyDescent="0.2">
      <c r="A301" s="22" t="str">
        <f t="shared" si="16"/>
        <v>—</v>
      </c>
      <c r="B301" s="31"/>
      <c r="C301" s="11"/>
      <c r="D301" s="11"/>
      <c r="E301" s="32"/>
      <c r="F301" s="11"/>
      <c r="G301" s="11"/>
      <c r="H301" s="33"/>
      <c r="I301" s="33"/>
      <c r="J301" s="33"/>
      <c r="K301" s="33"/>
      <c r="L301" s="33"/>
      <c r="M301" s="33"/>
      <c r="N301" s="33"/>
      <c r="O301" s="33"/>
      <c r="P301" s="33"/>
      <c r="Q301" s="33"/>
      <c r="R301" s="26" t="str">
        <f>IF($T301="","",IF($D301="","Who paid?",IF(SUMPRODUCT((Setup!$B$21:$B$30=$D301)*1)=0,"Payer is not in the member list on Setup",IF($E301="","Amount missing — type the number in column E",IF(NOT(ISNUMBER($E301)),"Amount must be a plain number — no currency symbol, no text",IF(AND($T301="Custom units",$AE301&lt;=0),"Custom units: nobody has units on this row — type a number for at least one person",IF($AE301&lt;=0,"Nobody shares this row — check the person columns H–Q, and the Weight / Nights columns on Setup",IF(AND($T301="Exact amounts",ABS($AE301-$AG301)&gt;0.01),"Exact amounts do not add up to the amount","OK"))))))))</f>
        <v/>
      </c>
      <c r="S301" s="27" t="str">
        <f>IFERROR(IF(OR($T301="",$C$4=""),"—",ROUND($AG301*INDEX($U301:$AD301,1,MATCH($C$4,Setup!$B$21:$B$30,0))/$AF301,2)),"—")</f>
        <v>—</v>
      </c>
      <c r="T301" s="28" t="str">
        <f>IF(AND($C301="",$D301="",NOT(ISNUMBER($E301))),"",IF($G301="",IF(Setup!$C$17="","Equal",Setup!$C$17),$G301))</f>
        <v/>
      </c>
      <c r="U301" s="29">
        <f>IF($T301="",0,IF(OR(Setup!$B$21="",Setup!$C$21="No"),0,IF(ISNUMBER(H301),H301,IF($T301="Weights",IF(ISNUMBER(Setup!$D$21),Setup!$D$21,0),IF($T301="Nights",IF(ISNUMBER(Setup!$E$21),Setup!$E$21,0),IF(OR($T301="Exact amounts",$T301="Custom units"),0,1))))))</f>
        <v>0</v>
      </c>
      <c r="V301" s="29">
        <f>IF($T301="",0,IF(OR(Setup!$B$22="",Setup!$C$22="No"),0,IF(ISNUMBER(I301),I301,IF($T301="Weights",IF(ISNUMBER(Setup!$D$22),Setup!$D$22,0),IF($T301="Nights",IF(ISNUMBER(Setup!$E$22),Setup!$E$22,0),IF(OR($T301="Exact amounts",$T301="Custom units"),0,1))))))</f>
        <v>0</v>
      </c>
      <c r="W301" s="29">
        <f>IF($T301="",0,IF(OR(Setup!$B$23="",Setup!$C$23="No"),0,IF(ISNUMBER(J301),J301,IF($T301="Weights",IF(ISNUMBER(Setup!$D$23),Setup!$D$23,0),IF($T301="Nights",IF(ISNUMBER(Setup!$E$23),Setup!$E$23,0),IF(OR($T301="Exact amounts",$T301="Custom units"),0,1))))))</f>
        <v>0</v>
      </c>
      <c r="X301" s="29">
        <f>IF($T301="",0,IF(OR(Setup!$B$24="",Setup!$C$24="No"),0,IF(ISNUMBER(K301),K301,IF($T301="Weights",IF(ISNUMBER(Setup!$D$24),Setup!$D$24,0),IF($T301="Nights",IF(ISNUMBER(Setup!$E$24),Setup!$E$24,0),IF(OR($T301="Exact amounts",$T301="Custom units"),0,1))))))</f>
        <v>0</v>
      </c>
      <c r="Y301" s="29">
        <f>IF($T301="",0,IF(OR(Setup!$B$25="",Setup!$C$25="No"),0,IF(ISNUMBER(L301),L301,IF($T301="Weights",IF(ISNUMBER(Setup!$D$25),Setup!$D$25,0),IF($T301="Nights",IF(ISNUMBER(Setup!$E$25),Setup!$E$25,0),IF(OR($T301="Exact amounts",$T301="Custom units"),0,1))))))</f>
        <v>0</v>
      </c>
      <c r="Z301" s="29">
        <f>IF($T301="",0,IF(OR(Setup!$B$26="",Setup!$C$26="No"),0,IF(ISNUMBER(M301),M301,IF($T301="Weights",IF(ISNUMBER(Setup!$D$26),Setup!$D$26,0),IF($T301="Nights",IF(ISNUMBER(Setup!$E$26),Setup!$E$26,0),IF(OR($T301="Exact amounts",$T301="Custom units"),0,1))))))</f>
        <v>0</v>
      </c>
      <c r="AA301" s="29">
        <f>IF($T301="",0,IF(OR(Setup!$B$27="",Setup!$C$27="No"),0,IF(ISNUMBER(N301),N301,IF($T301="Weights",IF(ISNUMBER(Setup!$D$27),Setup!$D$27,0),IF($T301="Nights",IF(ISNUMBER(Setup!$E$27),Setup!$E$27,0),IF(OR($T301="Exact amounts",$T301="Custom units"),0,1))))))</f>
        <v>0</v>
      </c>
      <c r="AB301" s="29">
        <f>IF($T301="",0,IF(OR(Setup!$B$28="",Setup!$C$28="No"),0,IF(ISNUMBER(O301),O301,IF($T301="Weights",IF(ISNUMBER(Setup!$D$28),Setup!$D$28,0),IF($T301="Nights",IF(ISNUMBER(Setup!$E$28),Setup!$E$28,0),IF(OR($T301="Exact amounts",$T301="Custom units"),0,1))))))</f>
        <v>0</v>
      </c>
      <c r="AC301" s="29">
        <f>IF($T301="",0,IF(OR(Setup!$B$29="",Setup!$C$29="No"),0,IF(ISNUMBER(P301),P301,IF($T301="Weights",IF(ISNUMBER(Setup!$D$29),Setup!$D$29,0),IF($T301="Nights",IF(ISNUMBER(Setup!$E$29),Setup!$E$29,0),IF(OR($T301="Exact amounts",$T301="Custom units"),0,1))))))</f>
        <v>0</v>
      </c>
      <c r="AD301" s="29">
        <f>IF($T301="",0,IF(OR(Setup!$B$30="",Setup!$C$30="No"),0,IF(ISNUMBER(Q301),Q301,IF($T301="Weights",IF(ISNUMBER(Setup!$D$30),Setup!$D$30,0),IF($T301="Nights",IF(ISNUMBER(Setup!$E$30),Setup!$E$30,0),IF(OR($T301="Exact amounts",$T301="Custom units"),0,1))))))</f>
        <v>0</v>
      </c>
      <c r="AE301" s="29">
        <f t="shared" si="17"/>
        <v>0</v>
      </c>
      <c r="AF301" s="30">
        <f t="shared" si="18"/>
        <v>1</v>
      </c>
      <c r="AG301" s="29">
        <f t="shared" si="19"/>
        <v>0</v>
      </c>
    </row>
    <row r="302" spans="1:33" ht="16" x14ac:dyDescent="0.2">
      <c r="A302" s="22" t="str">
        <f t="shared" si="16"/>
        <v>—</v>
      </c>
      <c r="B302" s="23"/>
      <c r="C302" s="16"/>
      <c r="D302" s="16"/>
      <c r="E302" s="24"/>
      <c r="F302" s="16"/>
      <c r="G302" s="16"/>
      <c r="H302" s="25"/>
      <c r="I302" s="25"/>
      <c r="J302" s="25"/>
      <c r="K302" s="25"/>
      <c r="L302" s="25"/>
      <c r="M302" s="25"/>
      <c r="N302" s="25"/>
      <c r="O302" s="25"/>
      <c r="P302" s="25"/>
      <c r="Q302" s="25"/>
      <c r="R302" s="26" t="str">
        <f>IF($T302="","",IF($D302="","Who paid?",IF(SUMPRODUCT((Setup!$B$21:$B$30=$D302)*1)=0,"Payer is not in the member list on Setup",IF($E302="","Amount missing — type the number in column E",IF(NOT(ISNUMBER($E302)),"Amount must be a plain number — no currency symbol, no text",IF(AND($T302="Custom units",$AE302&lt;=0),"Custom units: nobody has units on this row — type a number for at least one person",IF($AE302&lt;=0,"Nobody shares this row — check the person columns H–Q, and the Weight / Nights columns on Setup",IF(AND($T302="Exact amounts",ABS($AE302-$AG302)&gt;0.01),"Exact amounts do not add up to the amount","OK"))))))))</f>
        <v/>
      </c>
      <c r="S302" s="27" t="str">
        <f>IFERROR(IF(OR($T302="",$C$4=""),"—",ROUND($AG302*INDEX($U302:$AD302,1,MATCH($C$4,Setup!$B$21:$B$30,0))/$AF302,2)),"—")</f>
        <v>—</v>
      </c>
      <c r="T302" s="28" t="str">
        <f>IF(AND($C302="",$D302="",NOT(ISNUMBER($E302))),"",IF($G302="",IF(Setup!$C$17="","Equal",Setup!$C$17),$G302))</f>
        <v/>
      </c>
      <c r="U302" s="29">
        <f>IF($T302="",0,IF(OR(Setup!$B$21="",Setup!$C$21="No"),0,IF(ISNUMBER(H302),H302,IF($T302="Weights",IF(ISNUMBER(Setup!$D$21),Setup!$D$21,0),IF($T302="Nights",IF(ISNUMBER(Setup!$E$21),Setup!$E$21,0),IF(OR($T302="Exact amounts",$T302="Custom units"),0,1))))))</f>
        <v>0</v>
      </c>
      <c r="V302" s="29">
        <f>IF($T302="",0,IF(OR(Setup!$B$22="",Setup!$C$22="No"),0,IF(ISNUMBER(I302),I302,IF($T302="Weights",IF(ISNUMBER(Setup!$D$22),Setup!$D$22,0),IF($T302="Nights",IF(ISNUMBER(Setup!$E$22),Setup!$E$22,0),IF(OR($T302="Exact amounts",$T302="Custom units"),0,1))))))</f>
        <v>0</v>
      </c>
      <c r="W302" s="29">
        <f>IF($T302="",0,IF(OR(Setup!$B$23="",Setup!$C$23="No"),0,IF(ISNUMBER(J302),J302,IF($T302="Weights",IF(ISNUMBER(Setup!$D$23),Setup!$D$23,0),IF($T302="Nights",IF(ISNUMBER(Setup!$E$23),Setup!$E$23,0),IF(OR($T302="Exact amounts",$T302="Custom units"),0,1))))))</f>
        <v>0</v>
      </c>
      <c r="X302" s="29">
        <f>IF($T302="",0,IF(OR(Setup!$B$24="",Setup!$C$24="No"),0,IF(ISNUMBER(K302),K302,IF($T302="Weights",IF(ISNUMBER(Setup!$D$24),Setup!$D$24,0),IF($T302="Nights",IF(ISNUMBER(Setup!$E$24),Setup!$E$24,0),IF(OR($T302="Exact amounts",$T302="Custom units"),0,1))))))</f>
        <v>0</v>
      </c>
      <c r="Y302" s="29">
        <f>IF($T302="",0,IF(OR(Setup!$B$25="",Setup!$C$25="No"),0,IF(ISNUMBER(L302),L302,IF($T302="Weights",IF(ISNUMBER(Setup!$D$25),Setup!$D$25,0),IF($T302="Nights",IF(ISNUMBER(Setup!$E$25),Setup!$E$25,0),IF(OR($T302="Exact amounts",$T302="Custom units"),0,1))))))</f>
        <v>0</v>
      </c>
      <c r="Z302" s="29">
        <f>IF($T302="",0,IF(OR(Setup!$B$26="",Setup!$C$26="No"),0,IF(ISNUMBER(M302),M302,IF($T302="Weights",IF(ISNUMBER(Setup!$D$26),Setup!$D$26,0),IF($T302="Nights",IF(ISNUMBER(Setup!$E$26),Setup!$E$26,0),IF(OR($T302="Exact amounts",$T302="Custom units"),0,1))))))</f>
        <v>0</v>
      </c>
      <c r="AA302" s="29">
        <f>IF($T302="",0,IF(OR(Setup!$B$27="",Setup!$C$27="No"),0,IF(ISNUMBER(N302),N302,IF($T302="Weights",IF(ISNUMBER(Setup!$D$27),Setup!$D$27,0),IF($T302="Nights",IF(ISNUMBER(Setup!$E$27),Setup!$E$27,0),IF(OR($T302="Exact amounts",$T302="Custom units"),0,1))))))</f>
        <v>0</v>
      </c>
      <c r="AB302" s="29">
        <f>IF($T302="",0,IF(OR(Setup!$B$28="",Setup!$C$28="No"),0,IF(ISNUMBER(O302),O302,IF($T302="Weights",IF(ISNUMBER(Setup!$D$28),Setup!$D$28,0),IF($T302="Nights",IF(ISNUMBER(Setup!$E$28),Setup!$E$28,0),IF(OR($T302="Exact amounts",$T302="Custom units"),0,1))))))</f>
        <v>0</v>
      </c>
      <c r="AC302" s="29">
        <f>IF($T302="",0,IF(OR(Setup!$B$29="",Setup!$C$29="No"),0,IF(ISNUMBER(P302),P302,IF($T302="Weights",IF(ISNUMBER(Setup!$D$29),Setup!$D$29,0),IF($T302="Nights",IF(ISNUMBER(Setup!$E$29),Setup!$E$29,0),IF(OR($T302="Exact amounts",$T302="Custom units"),0,1))))))</f>
        <v>0</v>
      </c>
      <c r="AD302" s="29">
        <f>IF($T302="",0,IF(OR(Setup!$B$30="",Setup!$C$30="No"),0,IF(ISNUMBER(Q302),Q302,IF($T302="Weights",IF(ISNUMBER(Setup!$D$30),Setup!$D$30,0),IF($T302="Nights",IF(ISNUMBER(Setup!$E$30),Setup!$E$30,0),IF(OR($T302="Exact amounts",$T302="Custom units"),0,1))))))</f>
        <v>0</v>
      </c>
      <c r="AE302" s="29">
        <f t="shared" si="17"/>
        <v>0</v>
      </c>
      <c r="AF302" s="30">
        <f t="shared" si="18"/>
        <v>1</v>
      </c>
      <c r="AG302" s="29">
        <f t="shared" si="19"/>
        <v>0</v>
      </c>
    </row>
    <row r="303" spans="1:33" ht="16" x14ac:dyDescent="0.2">
      <c r="A303" s="22" t="str">
        <f t="shared" si="16"/>
        <v>—</v>
      </c>
      <c r="B303" s="31"/>
      <c r="C303" s="11"/>
      <c r="D303" s="11"/>
      <c r="E303" s="32"/>
      <c r="F303" s="11"/>
      <c r="G303" s="11"/>
      <c r="H303" s="33"/>
      <c r="I303" s="33"/>
      <c r="J303" s="33"/>
      <c r="K303" s="33"/>
      <c r="L303" s="33"/>
      <c r="M303" s="33"/>
      <c r="N303" s="33"/>
      <c r="O303" s="33"/>
      <c r="P303" s="33"/>
      <c r="Q303" s="33"/>
      <c r="R303" s="26" t="str">
        <f>IF($T303="","",IF($D303="","Who paid?",IF(SUMPRODUCT((Setup!$B$21:$B$30=$D303)*1)=0,"Payer is not in the member list on Setup",IF($E303="","Amount missing — type the number in column E",IF(NOT(ISNUMBER($E303)),"Amount must be a plain number — no currency symbol, no text",IF(AND($T303="Custom units",$AE303&lt;=0),"Custom units: nobody has units on this row — type a number for at least one person",IF($AE303&lt;=0,"Nobody shares this row — check the person columns H–Q, and the Weight / Nights columns on Setup",IF(AND($T303="Exact amounts",ABS($AE303-$AG303)&gt;0.01),"Exact amounts do not add up to the amount","OK"))))))))</f>
        <v/>
      </c>
      <c r="S303" s="27" t="str">
        <f>IFERROR(IF(OR($T303="",$C$4=""),"—",ROUND($AG303*INDEX($U303:$AD303,1,MATCH($C$4,Setup!$B$21:$B$30,0))/$AF303,2)),"—")</f>
        <v>—</v>
      </c>
      <c r="T303" s="28" t="str">
        <f>IF(AND($C303="",$D303="",NOT(ISNUMBER($E303))),"",IF($G303="",IF(Setup!$C$17="","Equal",Setup!$C$17),$G303))</f>
        <v/>
      </c>
      <c r="U303" s="29">
        <f>IF($T303="",0,IF(OR(Setup!$B$21="",Setup!$C$21="No"),0,IF(ISNUMBER(H303),H303,IF($T303="Weights",IF(ISNUMBER(Setup!$D$21),Setup!$D$21,0),IF($T303="Nights",IF(ISNUMBER(Setup!$E$21),Setup!$E$21,0),IF(OR($T303="Exact amounts",$T303="Custom units"),0,1))))))</f>
        <v>0</v>
      </c>
      <c r="V303" s="29">
        <f>IF($T303="",0,IF(OR(Setup!$B$22="",Setup!$C$22="No"),0,IF(ISNUMBER(I303),I303,IF($T303="Weights",IF(ISNUMBER(Setup!$D$22),Setup!$D$22,0),IF($T303="Nights",IF(ISNUMBER(Setup!$E$22),Setup!$E$22,0),IF(OR($T303="Exact amounts",$T303="Custom units"),0,1))))))</f>
        <v>0</v>
      </c>
      <c r="W303" s="29">
        <f>IF($T303="",0,IF(OR(Setup!$B$23="",Setup!$C$23="No"),0,IF(ISNUMBER(J303),J303,IF($T303="Weights",IF(ISNUMBER(Setup!$D$23),Setup!$D$23,0),IF($T303="Nights",IF(ISNUMBER(Setup!$E$23),Setup!$E$23,0),IF(OR($T303="Exact amounts",$T303="Custom units"),0,1))))))</f>
        <v>0</v>
      </c>
      <c r="X303" s="29">
        <f>IF($T303="",0,IF(OR(Setup!$B$24="",Setup!$C$24="No"),0,IF(ISNUMBER(K303),K303,IF($T303="Weights",IF(ISNUMBER(Setup!$D$24),Setup!$D$24,0),IF($T303="Nights",IF(ISNUMBER(Setup!$E$24),Setup!$E$24,0),IF(OR($T303="Exact amounts",$T303="Custom units"),0,1))))))</f>
        <v>0</v>
      </c>
      <c r="Y303" s="29">
        <f>IF($T303="",0,IF(OR(Setup!$B$25="",Setup!$C$25="No"),0,IF(ISNUMBER(L303),L303,IF($T303="Weights",IF(ISNUMBER(Setup!$D$25),Setup!$D$25,0),IF($T303="Nights",IF(ISNUMBER(Setup!$E$25),Setup!$E$25,0),IF(OR($T303="Exact amounts",$T303="Custom units"),0,1))))))</f>
        <v>0</v>
      </c>
      <c r="Z303" s="29">
        <f>IF($T303="",0,IF(OR(Setup!$B$26="",Setup!$C$26="No"),0,IF(ISNUMBER(M303),M303,IF($T303="Weights",IF(ISNUMBER(Setup!$D$26),Setup!$D$26,0),IF($T303="Nights",IF(ISNUMBER(Setup!$E$26),Setup!$E$26,0),IF(OR($T303="Exact amounts",$T303="Custom units"),0,1))))))</f>
        <v>0</v>
      </c>
      <c r="AA303" s="29">
        <f>IF($T303="",0,IF(OR(Setup!$B$27="",Setup!$C$27="No"),0,IF(ISNUMBER(N303),N303,IF($T303="Weights",IF(ISNUMBER(Setup!$D$27),Setup!$D$27,0),IF($T303="Nights",IF(ISNUMBER(Setup!$E$27),Setup!$E$27,0),IF(OR($T303="Exact amounts",$T303="Custom units"),0,1))))))</f>
        <v>0</v>
      </c>
      <c r="AB303" s="29">
        <f>IF($T303="",0,IF(OR(Setup!$B$28="",Setup!$C$28="No"),0,IF(ISNUMBER(O303),O303,IF($T303="Weights",IF(ISNUMBER(Setup!$D$28),Setup!$D$28,0),IF($T303="Nights",IF(ISNUMBER(Setup!$E$28),Setup!$E$28,0),IF(OR($T303="Exact amounts",$T303="Custom units"),0,1))))))</f>
        <v>0</v>
      </c>
      <c r="AC303" s="29">
        <f>IF($T303="",0,IF(OR(Setup!$B$29="",Setup!$C$29="No"),0,IF(ISNUMBER(P303),P303,IF($T303="Weights",IF(ISNUMBER(Setup!$D$29),Setup!$D$29,0),IF($T303="Nights",IF(ISNUMBER(Setup!$E$29),Setup!$E$29,0),IF(OR($T303="Exact amounts",$T303="Custom units"),0,1))))))</f>
        <v>0</v>
      </c>
      <c r="AD303" s="29">
        <f>IF($T303="",0,IF(OR(Setup!$B$30="",Setup!$C$30="No"),0,IF(ISNUMBER(Q303),Q303,IF($T303="Weights",IF(ISNUMBER(Setup!$D$30),Setup!$D$30,0),IF($T303="Nights",IF(ISNUMBER(Setup!$E$30),Setup!$E$30,0),IF(OR($T303="Exact amounts",$T303="Custom units"),0,1))))))</f>
        <v>0</v>
      </c>
      <c r="AE303" s="29">
        <f t="shared" si="17"/>
        <v>0</v>
      </c>
      <c r="AF303" s="30">
        <f t="shared" si="18"/>
        <v>1</v>
      </c>
      <c r="AG303" s="29">
        <f t="shared" si="19"/>
        <v>0</v>
      </c>
    </row>
    <row r="304" spans="1:33" ht="16" x14ac:dyDescent="0.2">
      <c r="A304" s="22" t="str">
        <f t="shared" si="16"/>
        <v>—</v>
      </c>
      <c r="B304" s="23"/>
      <c r="C304" s="16"/>
      <c r="D304" s="16"/>
      <c r="E304" s="24"/>
      <c r="F304" s="16"/>
      <c r="G304" s="16"/>
      <c r="H304" s="25"/>
      <c r="I304" s="25"/>
      <c r="J304" s="25"/>
      <c r="K304" s="25"/>
      <c r="L304" s="25"/>
      <c r="M304" s="25"/>
      <c r="N304" s="25"/>
      <c r="O304" s="25"/>
      <c r="P304" s="25"/>
      <c r="Q304" s="25"/>
      <c r="R304" s="26" t="str">
        <f>IF($T304="","",IF($D304="","Who paid?",IF(SUMPRODUCT((Setup!$B$21:$B$30=$D304)*1)=0,"Payer is not in the member list on Setup",IF($E304="","Amount missing — type the number in column E",IF(NOT(ISNUMBER($E304)),"Amount must be a plain number — no currency symbol, no text",IF(AND($T304="Custom units",$AE304&lt;=0),"Custom units: nobody has units on this row — type a number for at least one person",IF($AE304&lt;=0,"Nobody shares this row — check the person columns H–Q, and the Weight / Nights columns on Setup",IF(AND($T304="Exact amounts",ABS($AE304-$AG304)&gt;0.01),"Exact amounts do not add up to the amount","OK"))))))))</f>
        <v/>
      </c>
      <c r="S304" s="27" t="str">
        <f>IFERROR(IF(OR($T304="",$C$4=""),"—",ROUND($AG304*INDEX($U304:$AD304,1,MATCH($C$4,Setup!$B$21:$B$30,0))/$AF304,2)),"—")</f>
        <v>—</v>
      </c>
      <c r="T304" s="28" t="str">
        <f>IF(AND($C304="",$D304="",NOT(ISNUMBER($E304))),"",IF($G304="",IF(Setup!$C$17="","Equal",Setup!$C$17),$G304))</f>
        <v/>
      </c>
      <c r="U304" s="29">
        <f>IF($T304="",0,IF(OR(Setup!$B$21="",Setup!$C$21="No"),0,IF(ISNUMBER(H304),H304,IF($T304="Weights",IF(ISNUMBER(Setup!$D$21),Setup!$D$21,0),IF($T304="Nights",IF(ISNUMBER(Setup!$E$21),Setup!$E$21,0),IF(OR($T304="Exact amounts",$T304="Custom units"),0,1))))))</f>
        <v>0</v>
      </c>
      <c r="V304" s="29">
        <f>IF($T304="",0,IF(OR(Setup!$B$22="",Setup!$C$22="No"),0,IF(ISNUMBER(I304),I304,IF($T304="Weights",IF(ISNUMBER(Setup!$D$22),Setup!$D$22,0),IF($T304="Nights",IF(ISNUMBER(Setup!$E$22),Setup!$E$22,0),IF(OR($T304="Exact amounts",$T304="Custom units"),0,1))))))</f>
        <v>0</v>
      </c>
      <c r="W304" s="29">
        <f>IF($T304="",0,IF(OR(Setup!$B$23="",Setup!$C$23="No"),0,IF(ISNUMBER(J304),J304,IF($T304="Weights",IF(ISNUMBER(Setup!$D$23),Setup!$D$23,0),IF($T304="Nights",IF(ISNUMBER(Setup!$E$23),Setup!$E$23,0),IF(OR($T304="Exact amounts",$T304="Custom units"),0,1))))))</f>
        <v>0</v>
      </c>
      <c r="X304" s="29">
        <f>IF($T304="",0,IF(OR(Setup!$B$24="",Setup!$C$24="No"),0,IF(ISNUMBER(K304),K304,IF($T304="Weights",IF(ISNUMBER(Setup!$D$24),Setup!$D$24,0),IF($T304="Nights",IF(ISNUMBER(Setup!$E$24),Setup!$E$24,0),IF(OR($T304="Exact amounts",$T304="Custom units"),0,1))))))</f>
        <v>0</v>
      </c>
      <c r="Y304" s="29">
        <f>IF($T304="",0,IF(OR(Setup!$B$25="",Setup!$C$25="No"),0,IF(ISNUMBER(L304),L304,IF($T304="Weights",IF(ISNUMBER(Setup!$D$25),Setup!$D$25,0),IF($T304="Nights",IF(ISNUMBER(Setup!$E$25),Setup!$E$25,0),IF(OR($T304="Exact amounts",$T304="Custom units"),0,1))))))</f>
        <v>0</v>
      </c>
      <c r="Z304" s="29">
        <f>IF($T304="",0,IF(OR(Setup!$B$26="",Setup!$C$26="No"),0,IF(ISNUMBER(M304),M304,IF($T304="Weights",IF(ISNUMBER(Setup!$D$26),Setup!$D$26,0),IF($T304="Nights",IF(ISNUMBER(Setup!$E$26),Setup!$E$26,0),IF(OR($T304="Exact amounts",$T304="Custom units"),0,1))))))</f>
        <v>0</v>
      </c>
      <c r="AA304" s="29">
        <f>IF($T304="",0,IF(OR(Setup!$B$27="",Setup!$C$27="No"),0,IF(ISNUMBER(N304),N304,IF($T304="Weights",IF(ISNUMBER(Setup!$D$27),Setup!$D$27,0),IF($T304="Nights",IF(ISNUMBER(Setup!$E$27),Setup!$E$27,0),IF(OR($T304="Exact amounts",$T304="Custom units"),0,1))))))</f>
        <v>0</v>
      </c>
      <c r="AB304" s="29">
        <f>IF($T304="",0,IF(OR(Setup!$B$28="",Setup!$C$28="No"),0,IF(ISNUMBER(O304),O304,IF($T304="Weights",IF(ISNUMBER(Setup!$D$28),Setup!$D$28,0),IF($T304="Nights",IF(ISNUMBER(Setup!$E$28),Setup!$E$28,0),IF(OR($T304="Exact amounts",$T304="Custom units"),0,1))))))</f>
        <v>0</v>
      </c>
      <c r="AC304" s="29">
        <f>IF($T304="",0,IF(OR(Setup!$B$29="",Setup!$C$29="No"),0,IF(ISNUMBER(P304),P304,IF($T304="Weights",IF(ISNUMBER(Setup!$D$29),Setup!$D$29,0),IF($T304="Nights",IF(ISNUMBER(Setup!$E$29),Setup!$E$29,0),IF(OR($T304="Exact amounts",$T304="Custom units"),0,1))))))</f>
        <v>0</v>
      </c>
      <c r="AD304" s="29">
        <f>IF($T304="",0,IF(OR(Setup!$B$30="",Setup!$C$30="No"),0,IF(ISNUMBER(Q304),Q304,IF($T304="Weights",IF(ISNUMBER(Setup!$D$30),Setup!$D$30,0),IF($T304="Nights",IF(ISNUMBER(Setup!$E$30),Setup!$E$30,0),IF(OR($T304="Exact amounts",$T304="Custom units"),0,1))))))</f>
        <v>0</v>
      </c>
      <c r="AE304" s="29">
        <f t="shared" si="17"/>
        <v>0</v>
      </c>
      <c r="AF304" s="30">
        <f t="shared" si="18"/>
        <v>1</v>
      </c>
      <c r="AG304" s="29">
        <f t="shared" si="19"/>
        <v>0</v>
      </c>
    </row>
    <row r="305" spans="1:33" ht="16" x14ac:dyDescent="0.2">
      <c r="A305" s="22" t="str">
        <f t="shared" si="16"/>
        <v>—</v>
      </c>
      <c r="B305" s="31"/>
      <c r="C305" s="11"/>
      <c r="D305" s="11"/>
      <c r="E305" s="32"/>
      <c r="F305" s="11"/>
      <c r="G305" s="11"/>
      <c r="H305" s="33"/>
      <c r="I305" s="33"/>
      <c r="J305" s="33"/>
      <c r="K305" s="33"/>
      <c r="L305" s="33"/>
      <c r="M305" s="33"/>
      <c r="N305" s="33"/>
      <c r="O305" s="33"/>
      <c r="P305" s="33"/>
      <c r="Q305" s="33"/>
      <c r="R305" s="26" t="str">
        <f>IF($T305="","",IF($D305="","Who paid?",IF(SUMPRODUCT((Setup!$B$21:$B$30=$D305)*1)=0,"Payer is not in the member list on Setup",IF($E305="","Amount missing — type the number in column E",IF(NOT(ISNUMBER($E305)),"Amount must be a plain number — no currency symbol, no text",IF(AND($T305="Custom units",$AE305&lt;=0),"Custom units: nobody has units on this row — type a number for at least one person",IF($AE305&lt;=0,"Nobody shares this row — check the person columns H–Q, and the Weight / Nights columns on Setup",IF(AND($T305="Exact amounts",ABS($AE305-$AG305)&gt;0.01),"Exact amounts do not add up to the amount","OK"))))))))</f>
        <v/>
      </c>
      <c r="S305" s="27" t="str">
        <f>IFERROR(IF(OR($T305="",$C$4=""),"—",ROUND($AG305*INDEX($U305:$AD305,1,MATCH($C$4,Setup!$B$21:$B$30,0))/$AF305,2)),"—")</f>
        <v>—</v>
      </c>
      <c r="T305" s="28" t="str">
        <f>IF(AND($C305="",$D305="",NOT(ISNUMBER($E305))),"",IF($G305="",IF(Setup!$C$17="","Equal",Setup!$C$17),$G305))</f>
        <v/>
      </c>
      <c r="U305" s="29">
        <f>IF($T305="",0,IF(OR(Setup!$B$21="",Setup!$C$21="No"),0,IF(ISNUMBER(H305),H305,IF($T305="Weights",IF(ISNUMBER(Setup!$D$21),Setup!$D$21,0),IF($T305="Nights",IF(ISNUMBER(Setup!$E$21),Setup!$E$21,0),IF(OR($T305="Exact amounts",$T305="Custom units"),0,1))))))</f>
        <v>0</v>
      </c>
      <c r="V305" s="29">
        <f>IF($T305="",0,IF(OR(Setup!$B$22="",Setup!$C$22="No"),0,IF(ISNUMBER(I305),I305,IF($T305="Weights",IF(ISNUMBER(Setup!$D$22),Setup!$D$22,0),IF($T305="Nights",IF(ISNUMBER(Setup!$E$22),Setup!$E$22,0),IF(OR($T305="Exact amounts",$T305="Custom units"),0,1))))))</f>
        <v>0</v>
      </c>
      <c r="W305" s="29">
        <f>IF($T305="",0,IF(OR(Setup!$B$23="",Setup!$C$23="No"),0,IF(ISNUMBER(J305),J305,IF($T305="Weights",IF(ISNUMBER(Setup!$D$23),Setup!$D$23,0),IF($T305="Nights",IF(ISNUMBER(Setup!$E$23),Setup!$E$23,0),IF(OR($T305="Exact amounts",$T305="Custom units"),0,1))))))</f>
        <v>0</v>
      </c>
      <c r="X305" s="29">
        <f>IF($T305="",0,IF(OR(Setup!$B$24="",Setup!$C$24="No"),0,IF(ISNUMBER(K305),K305,IF($T305="Weights",IF(ISNUMBER(Setup!$D$24),Setup!$D$24,0),IF($T305="Nights",IF(ISNUMBER(Setup!$E$24),Setup!$E$24,0),IF(OR($T305="Exact amounts",$T305="Custom units"),0,1))))))</f>
        <v>0</v>
      </c>
      <c r="Y305" s="29">
        <f>IF($T305="",0,IF(OR(Setup!$B$25="",Setup!$C$25="No"),0,IF(ISNUMBER(L305),L305,IF($T305="Weights",IF(ISNUMBER(Setup!$D$25),Setup!$D$25,0),IF($T305="Nights",IF(ISNUMBER(Setup!$E$25),Setup!$E$25,0),IF(OR($T305="Exact amounts",$T305="Custom units"),0,1))))))</f>
        <v>0</v>
      </c>
      <c r="Z305" s="29">
        <f>IF($T305="",0,IF(OR(Setup!$B$26="",Setup!$C$26="No"),0,IF(ISNUMBER(M305),M305,IF($T305="Weights",IF(ISNUMBER(Setup!$D$26),Setup!$D$26,0),IF($T305="Nights",IF(ISNUMBER(Setup!$E$26),Setup!$E$26,0),IF(OR($T305="Exact amounts",$T305="Custom units"),0,1))))))</f>
        <v>0</v>
      </c>
      <c r="AA305" s="29">
        <f>IF($T305="",0,IF(OR(Setup!$B$27="",Setup!$C$27="No"),0,IF(ISNUMBER(N305),N305,IF($T305="Weights",IF(ISNUMBER(Setup!$D$27),Setup!$D$27,0),IF($T305="Nights",IF(ISNUMBER(Setup!$E$27),Setup!$E$27,0),IF(OR($T305="Exact amounts",$T305="Custom units"),0,1))))))</f>
        <v>0</v>
      </c>
      <c r="AB305" s="29">
        <f>IF($T305="",0,IF(OR(Setup!$B$28="",Setup!$C$28="No"),0,IF(ISNUMBER(O305),O305,IF($T305="Weights",IF(ISNUMBER(Setup!$D$28),Setup!$D$28,0),IF($T305="Nights",IF(ISNUMBER(Setup!$E$28),Setup!$E$28,0),IF(OR($T305="Exact amounts",$T305="Custom units"),0,1))))))</f>
        <v>0</v>
      </c>
      <c r="AC305" s="29">
        <f>IF($T305="",0,IF(OR(Setup!$B$29="",Setup!$C$29="No"),0,IF(ISNUMBER(P305),P305,IF($T305="Weights",IF(ISNUMBER(Setup!$D$29),Setup!$D$29,0),IF($T305="Nights",IF(ISNUMBER(Setup!$E$29),Setup!$E$29,0),IF(OR($T305="Exact amounts",$T305="Custom units"),0,1))))))</f>
        <v>0</v>
      </c>
      <c r="AD305" s="29">
        <f>IF($T305="",0,IF(OR(Setup!$B$30="",Setup!$C$30="No"),0,IF(ISNUMBER(Q305),Q305,IF($T305="Weights",IF(ISNUMBER(Setup!$D$30),Setup!$D$30,0),IF($T305="Nights",IF(ISNUMBER(Setup!$E$30),Setup!$E$30,0),IF(OR($T305="Exact amounts",$T305="Custom units"),0,1))))))</f>
        <v>0</v>
      </c>
      <c r="AE305" s="29">
        <f t="shared" si="17"/>
        <v>0</v>
      </c>
      <c r="AF305" s="30">
        <f t="shared" si="18"/>
        <v>1</v>
      </c>
      <c r="AG305" s="29">
        <f t="shared" si="19"/>
        <v>0</v>
      </c>
    </row>
    <row r="306" spans="1:33" ht="16" x14ac:dyDescent="0.2">
      <c r="A306" s="22" t="str">
        <f t="shared" si="16"/>
        <v>—</v>
      </c>
      <c r="B306" s="23"/>
      <c r="C306" s="16"/>
      <c r="D306" s="16"/>
      <c r="E306" s="24"/>
      <c r="F306" s="16"/>
      <c r="G306" s="16"/>
      <c r="H306" s="25"/>
      <c r="I306" s="25"/>
      <c r="J306" s="25"/>
      <c r="K306" s="25"/>
      <c r="L306" s="25"/>
      <c r="M306" s="25"/>
      <c r="N306" s="25"/>
      <c r="O306" s="25"/>
      <c r="P306" s="25"/>
      <c r="Q306" s="25"/>
      <c r="R306" s="26" t="str">
        <f>IF($T306="","",IF($D306="","Who paid?",IF(SUMPRODUCT((Setup!$B$21:$B$30=$D306)*1)=0,"Payer is not in the member list on Setup",IF($E306="","Amount missing — type the number in column E",IF(NOT(ISNUMBER($E306)),"Amount must be a plain number — no currency symbol, no text",IF(AND($T306="Custom units",$AE306&lt;=0),"Custom units: nobody has units on this row — type a number for at least one person",IF($AE306&lt;=0,"Nobody shares this row — check the person columns H–Q, and the Weight / Nights columns on Setup",IF(AND($T306="Exact amounts",ABS($AE306-$AG306)&gt;0.01),"Exact amounts do not add up to the amount","OK"))))))))</f>
        <v/>
      </c>
      <c r="S306" s="27" t="str">
        <f>IFERROR(IF(OR($T306="",$C$4=""),"—",ROUND($AG306*INDEX($U306:$AD306,1,MATCH($C$4,Setup!$B$21:$B$30,0))/$AF306,2)),"—")</f>
        <v>—</v>
      </c>
      <c r="T306" s="28" t="str">
        <f>IF(AND($C306="",$D306="",NOT(ISNUMBER($E306))),"",IF($G306="",IF(Setup!$C$17="","Equal",Setup!$C$17),$G306))</f>
        <v/>
      </c>
      <c r="U306" s="29">
        <f>IF($T306="",0,IF(OR(Setup!$B$21="",Setup!$C$21="No"),0,IF(ISNUMBER(H306),H306,IF($T306="Weights",IF(ISNUMBER(Setup!$D$21),Setup!$D$21,0),IF($T306="Nights",IF(ISNUMBER(Setup!$E$21),Setup!$E$21,0),IF(OR($T306="Exact amounts",$T306="Custom units"),0,1))))))</f>
        <v>0</v>
      </c>
      <c r="V306" s="29">
        <f>IF($T306="",0,IF(OR(Setup!$B$22="",Setup!$C$22="No"),0,IF(ISNUMBER(I306),I306,IF($T306="Weights",IF(ISNUMBER(Setup!$D$22),Setup!$D$22,0),IF($T306="Nights",IF(ISNUMBER(Setup!$E$22),Setup!$E$22,0),IF(OR($T306="Exact amounts",$T306="Custom units"),0,1))))))</f>
        <v>0</v>
      </c>
      <c r="W306" s="29">
        <f>IF($T306="",0,IF(OR(Setup!$B$23="",Setup!$C$23="No"),0,IF(ISNUMBER(J306),J306,IF($T306="Weights",IF(ISNUMBER(Setup!$D$23),Setup!$D$23,0),IF($T306="Nights",IF(ISNUMBER(Setup!$E$23),Setup!$E$23,0),IF(OR($T306="Exact amounts",$T306="Custom units"),0,1))))))</f>
        <v>0</v>
      </c>
      <c r="X306" s="29">
        <f>IF($T306="",0,IF(OR(Setup!$B$24="",Setup!$C$24="No"),0,IF(ISNUMBER(K306),K306,IF($T306="Weights",IF(ISNUMBER(Setup!$D$24),Setup!$D$24,0),IF($T306="Nights",IF(ISNUMBER(Setup!$E$24),Setup!$E$24,0),IF(OR($T306="Exact amounts",$T306="Custom units"),0,1))))))</f>
        <v>0</v>
      </c>
      <c r="Y306" s="29">
        <f>IF($T306="",0,IF(OR(Setup!$B$25="",Setup!$C$25="No"),0,IF(ISNUMBER(L306),L306,IF($T306="Weights",IF(ISNUMBER(Setup!$D$25),Setup!$D$25,0),IF($T306="Nights",IF(ISNUMBER(Setup!$E$25),Setup!$E$25,0),IF(OR($T306="Exact amounts",$T306="Custom units"),0,1))))))</f>
        <v>0</v>
      </c>
      <c r="Z306" s="29">
        <f>IF($T306="",0,IF(OR(Setup!$B$26="",Setup!$C$26="No"),0,IF(ISNUMBER(M306),M306,IF($T306="Weights",IF(ISNUMBER(Setup!$D$26),Setup!$D$26,0),IF($T306="Nights",IF(ISNUMBER(Setup!$E$26),Setup!$E$26,0),IF(OR($T306="Exact amounts",$T306="Custom units"),0,1))))))</f>
        <v>0</v>
      </c>
      <c r="AA306" s="29">
        <f>IF($T306="",0,IF(OR(Setup!$B$27="",Setup!$C$27="No"),0,IF(ISNUMBER(N306),N306,IF($T306="Weights",IF(ISNUMBER(Setup!$D$27),Setup!$D$27,0),IF($T306="Nights",IF(ISNUMBER(Setup!$E$27),Setup!$E$27,0),IF(OR($T306="Exact amounts",$T306="Custom units"),0,1))))))</f>
        <v>0</v>
      </c>
      <c r="AB306" s="29">
        <f>IF($T306="",0,IF(OR(Setup!$B$28="",Setup!$C$28="No"),0,IF(ISNUMBER(O306),O306,IF($T306="Weights",IF(ISNUMBER(Setup!$D$28),Setup!$D$28,0),IF($T306="Nights",IF(ISNUMBER(Setup!$E$28),Setup!$E$28,0),IF(OR($T306="Exact amounts",$T306="Custom units"),0,1))))))</f>
        <v>0</v>
      </c>
      <c r="AC306" s="29">
        <f>IF($T306="",0,IF(OR(Setup!$B$29="",Setup!$C$29="No"),0,IF(ISNUMBER(P306),P306,IF($T306="Weights",IF(ISNUMBER(Setup!$D$29),Setup!$D$29,0),IF($T306="Nights",IF(ISNUMBER(Setup!$E$29),Setup!$E$29,0),IF(OR($T306="Exact amounts",$T306="Custom units"),0,1))))))</f>
        <v>0</v>
      </c>
      <c r="AD306" s="29">
        <f>IF($T306="",0,IF(OR(Setup!$B$30="",Setup!$C$30="No"),0,IF(ISNUMBER(Q306),Q306,IF($T306="Weights",IF(ISNUMBER(Setup!$D$30),Setup!$D$30,0),IF($T306="Nights",IF(ISNUMBER(Setup!$E$30),Setup!$E$30,0),IF(OR($T306="Exact amounts",$T306="Custom units"),0,1))))))</f>
        <v>0</v>
      </c>
      <c r="AE306" s="29">
        <f t="shared" si="17"/>
        <v>0</v>
      </c>
      <c r="AF306" s="30">
        <f t="shared" si="18"/>
        <v>1</v>
      </c>
      <c r="AG306" s="29">
        <f t="shared" si="19"/>
        <v>0</v>
      </c>
    </row>
    <row r="307" spans="1:33" ht="16" x14ac:dyDescent="0.2">
      <c r="A307" s="22" t="str">
        <f t="shared" si="16"/>
        <v>—</v>
      </c>
      <c r="B307" s="31"/>
      <c r="C307" s="11"/>
      <c r="D307" s="11"/>
      <c r="E307" s="32"/>
      <c r="F307" s="11"/>
      <c r="G307" s="11"/>
      <c r="H307" s="33"/>
      <c r="I307" s="33"/>
      <c r="J307" s="33"/>
      <c r="K307" s="33"/>
      <c r="L307" s="33"/>
      <c r="M307" s="33"/>
      <c r="N307" s="33"/>
      <c r="O307" s="33"/>
      <c r="P307" s="33"/>
      <c r="Q307" s="33"/>
      <c r="R307" s="26" t="str">
        <f>IF($T307="","",IF($D307="","Who paid?",IF(SUMPRODUCT((Setup!$B$21:$B$30=$D307)*1)=0,"Payer is not in the member list on Setup",IF($E307="","Amount missing — type the number in column E",IF(NOT(ISNUMBER($E307)),"Amount must be a plain number — no currency symbol, no text",IF(AND($T307="Custom units",$AE307&lt;=0),"Custom units: nobody has units on this row — type a number for at least one person",IF($AE307&lt;=0,"Nobody shares this row — check the person columns H–Q, and the Weight / Nights columns on Setup",IF(AND($T307="Exact amounts",ABS($AE307-$AG307)&gt;0.01),"Exact amounts do not add up to the amount","OK"))))))))</f>
        <v/>
      </c>
      <c r="S307" s="27" t="str">
        <f>IFERROR(IF(OR($T307="",$C$4=""),"—",ROUND($AG307*INDEX($U307:$AD307,1,MATCH($C$4,Setup!$B$21:$B$30,0))/$AF307,2)),"—")</f>
        <v>—</v>
      </c>
      <c r="T307" s="28" t="str">
        <f>IF(AND($C307="",$D307="",NOT(ISNUMBER($E307))),"",IF($G307="",IF(Setup!$C$17="","Equal",Setup!$C$17),$G307))</f>
        <v/>
      </c>
      <c r="U307" s="29">
        <f>IF($T307="",0,IF(OR(Setup!$B$21="",Setup!$C$21="No"),0,IF(ISNUMBER(H307),H307,IF($T307="Weights",IF(ISNUMBER(Setup!$D$21),Setup!$D$21,0),IF($T307="Nights",IF(ISNUMBER(Setup!$E$21),Setup!$E$21,0),IF(OR($T307="Exact amounts",$T307="Custom units"),0,1))))))</f>
        <v>0</v>
      </c>
      <c r="V307" s="29">
        <f>IF($T307="",0,IF(OR(Setup!$B$22="",Setup!$C$22="No"),0,IF(ISNUMBER(I307),I307,IF($T307="Weights",IF(ISNUMBER(Setup!$D$22),Setup!$D$22,0),IF($T307="Nights",IF(ISNUMBER(Setup!$E$22),Setup!$E$22,0),IF(OR($T307="Exact amounts",$T307="Custom units"),0,1))))))</f>
        <v>0</v>
      </c>
      <c r="W307" s="29">
        <f>IF($T307="",0,IF(OR(Setup!$B$23="",Setup!$C$23="No"),0,IF(ISNUMBER(J307),J307,IF($T307="Weights",IF(ISNUMBER(Setup!$D$23),Setup!$D$23,0),IF($T307="Nights",IF(ISNUMBER(Setup!$E$23),Setup!$E$23,0),IF(OR($T307="Exact amounts",$T307="Custom units"),0,1))))))</f>
        <v>0</v>
      </c>
      <c r="X307" s="29">
        <f>IF($T307="",0,IF(OR(Setup!$B$24="",Setup!$C$24="No"),0,IF(ISNUMBER(K307),K307,IF($T307="Weights",IF(ISNUMBER(Setup!$D$24),Setup!$D$24,0),IF($T307="Nights",IF(ISNUMBER(Setup!$E$24),Setup!$E$24,0),IF(OR($T307="Exact amounts",$T307="Custom units"),0,1))))))</f>
        <v>0</v>
      </c>
      <c r="Y307" s="29">
        <f>IF($T307="",0,IF(OR(Setup!$B$25="",Setup!$C$25="No"),0,IF(ISNUMBER(L307),L307,IF($T307="Weights",IF(ISNUMBER(Setup!$D$25),Setup!$D$25,0),IF($T307="Nights",IF(ISNUMBER(Setup!$E$25),Setup!$E$25,0),IF(OR($T307="Exact amounts",$T307="Custom units"),0,1))))))</f>
        <v>0</v>
      </c>
      <c r="Z307" s="29">
        <f>IF($T307="",0,IF(OR(Setup!$B$26="",Setup!$C$26="No"),0,IF(ISNUMBER(M307),M307,IF($T307="Weights",IF(ISNUMBER(Setup!$D$26),Setup!$D$26,0),IF($T307="Nights",IF(ISNUMBER(Setup!$E$26),Setup!$E$26,0),IF(OR($T307="Exact amounts",$T307="Custom units"),0,1))))))</f>
        <v>0</v>
      </c>
      <c r="AA307" s="29">
        <f>IF($T307="",0,IF(OR(Setup!$B$27="",Setup!$C$27="No"),0,IF(ISNUMBER(N307),N307,IF($T307="Weights",IF(ISNUMBER(Setup!$D$27),Setup!$D$27,0),IF($T307="Nights",IF(ISNUMBER(Setup!$E$27),Setup!$E$27,0),IF(OR($T307="Exact amounts",$T307="Custom units"),0,1))))))</f>
        <v>0</v>
      </c>
      <c r="AB307" s="29">
        <f>IF($T307="",0,IF(OR(Setup!$B$28="",Setup!$C$28="No"),0,IF(ISNUMBER(O307),O307,IF($T307="Weights",IF(ISNUMBER(Setup!$D$28),Setup!$D$28,0),IF($T307="Nights",IF(ISNUMBER(Setup!$E$28),Setup!$E$28,0),IF(OR($T307="Exact amounts",$T307="Custom units"),0,1))))))</f>
        <v>0</v>
      </c>
      <c r="AC307" s="29">
        <f>IF($T307="",0,IF(OR(Setup!$B$29="",Setup!$C$29="No"),0,IF(ISNUMBER(P307),P307,IF($T307="Weights",IF(ISNUMBER(Setup!$D$29),Setup!$D$29,0),IF($T307="Nights",IF(ISNUMBER(Setup!$E$29),Setup!$E$29,0),IF(OR($T307="Exact amounts",$T307="Custom units"),0,1))))))</f>
        <v>0</v>
      </c>
      <c r="AD307" s="29">
        <f>IF($T307="",0,IF(OR(Setup!$B$30="",Setup!$C$30="No"),0,IF(ISNUMBER(Q307),Q307,IF($T307="Weights",IF(ISNUMBER(Setup!$D$30),Setup!$D$30,0),IF($T307="Nights",IF(ISNUMBER(Setup!$E$30),Setup!$E$30,0),IF(OR($T307="Exact amounts",$T307="Custom units"),0,1))))))</f>
        <v>0</v>
      </c>
      <c r="AE307" s="29">
        <f t="shared" si="17"/>
        <v>0</v>
      </c>
      <c r="AF307" s="30">
        <f t="shared" si="18"/>
        <v>1</v>
      </c>
      <c r="AG307" s="29">
        <f t="shared" si="19"/>
        <v>0</v>
      </c>
    </row>
    <row r="308" spans="1:33" ht="22" customHeight="1" x14ac:dyDescent="0.2">
      <c r="A308" s="54" t="s">
        <v>108</v>
      </c>
      <c r="B308" s="52"/>
      <c r="C308" s="52"/>
      <c r="D308" s="52"/>
      <c r="E308" s="52"/>
      <c r="F308" s="52"/>
      <c r="G308" s="52"/>
      <c r="H308" s="52"/>
      <c r="I308" s="52"/>
      <c r="J308" s="52"/>
      <c r="K308" s="52"/>
      <c r="L308" s="52"/>
      <c r="M308" s="52"/>
      <c r="N308" s="52"/>
      <c r="O308" s="52"/>
      <c r="P308" s="52"/>
      <c r="Q308" s="52"/>
      <c r="R308" s="52"/>
      <c r="S308" s="52"/>
    </row>
  </sheetData>
  <mergeCells count="5">
    <mergeCell ref="A308:S308"/>
    <mergeCell ref="R6:S6"/>
    <mergeCell ref="A1:S1"/>
    <mergeCell ref="T6:AG6"/>
    <mergeCell ref="A2:S2"/>
  </mergeCells>
  <conditionalFormatting sqref="R8:R307">
    <cfRule type="expression" dxfId="18" priority="1">
      <formula>AND($R8&lt;&gt;"",$R8&lt;&gt;"OK")</formula>
    </cfRule>
    <cfRule type="expression" dxfId="17" priority="2">
      <formula>$R8="OK"</formula>
    </cfRule>
  </conditionalFormatting>
  <dataValidations count="2">
    <dataValidation type="decimal" operator="greaterThanOrEqual" allowBlank="1" showInputMessage="1" showErrorMessage="1" errorTitle="Amount" error="Numbers only — no currency symbol, no text." promptTitle="Amount" prompt="Numbers only, 0 or more — no currency symbol, no text. Got money back? Lower that expense's amount. Cash between two people goes in as its own 'Exact amounts' row." sqref="E8:E307" xr:uid="{00000000-0002-0000-0100-000004000000}">
      <formula1>0</formula1>
    </dataValidation>
    <dataValidation type="decimal" operator="greaterThanOrEqual" allowBlank="1" showInputMessage="1" showErrorMessage="1" errorTitle="Person column" error="Numbers only — no currency symbol, no text." promptTitle="Person column" prompt="Leave blank = normal share. 0 = not part of this expense. A number = custom units (or the exact amount in Exact-amounts mode). In 'Custom units' and 'Exact amounts' rows a blank cell counts as 0 — only the numbers you type share the row." sqref="H8:Q307" xr:uid="{00000000-0002-0000-0100-000005000000}">
      <formula1>0</formula1>
    </dataValidation>
  </dataValidations>
  <pageMargins left="0.75" right="0.75" top="1" bottom="1" header="0.5" footer="0.5"/>
  <pageSetup fitToHeight="0" orientation="landscape"/>
  <headerFooter>
    <oddFooter>&amp;L&amp;F&amp;RPage &amp;P of &amp;N</oddFooter>
  </headerFooter>
  <extLst>
    <ext xmlns:x14="http://schemas.microsoft.com/office/spreadsheetml/2009/9/main" uri="{CCE6A557-97BC-4b89-ADB6-D9C93CAAB3DF}">
      <x14:dataValidations xmlns:xm="http://schemas.microsoft.com/office/excel/2006/main" count="3">
        <x14:dataValidation type="list" allowBlank="1" showErrorMessage="1" errorTitle="Pick from the list" error="Pick one of the entries on the Setup sheet — or clear the cell." xr:uid="{00000000-0002-0000-0100-000000000000}">
          <x14:formula1>
            <xm:f>Setup!$B$21:$B$30</xm:f>
          </x14:formula1>
          <xm:sqref>D8:D307 C4</xm:sqref>
        </x14:dataValidation>
        <x14:dataValidation type="list" allowBlank="1" xr:uid="{00000000-0002-0000-0100-000001000000}">
          <x14:formula1>
            <xm:f>Setup!$H$21:$H$32</xm:f>
          </x14:formula1>
          <xm:sqref>F8:F307</xm:sqref>
        </x14:dataValidation>
        <x14:dataValidation type="list" allowBlank="1" showErrorMessage="1" errorTitle="Pick from the list" error="Pick one of the entries on the Setup sheet — or clear the cell." xr:uid="{00000000-0002-0000-0100-000002000000}">
          <x14:formula1>
            <xm:f>Setup!$J$21:$J$25</xm:f>
          </x14:formula1>
          <xm:sqref>G8:G307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F7A6D"/>
    <pageSetUpPr fitToPage="1"/>
  </sheetPr>
  <dimension ref="A1:J23"/>
  <sheetViews>
    <sheetView showGridLines="0" workbookViewId="0">
      <pane ySplit="9" topLeftCell="A10" activePane="bottomLeft" state="frozen"/>
      <selection pane="bottomLeft"/>
    </sheetView>
  </sheetViews>
  <sheetFormatPr baseColWidth="10" defaultColWidth="8.83203125" defaultRowHeight="15" x14ac:dyDescent="0.2"/>
  <cols>
    <col min="1" max="1" width="5" customWidth="1"/>
    <col min="2" max="2" width="22" customWidth="1"/>
    <col min="3" max="3" width="11" customWidth="1"/>
    <col min="4" max="5" width="16" customWidth="1"/>
    <col min="6" max="6" width="26" customWidth="1"/>
    <col min="7" max="7" width="14" customWidth="1"/>
    <col min="8" max="8" width="15" customWidth="1"/>
    <col min="9" max="9" width="3" customWidth="1"/>
    <col min="10" max="10" width="11" customWidth="1"/>
  </cols>
  <sheetData>
    <row r="1" spans="1:10" ht="26" customHeight="1" x14ac:dyDescent="0.25">
      <c r="A1" s="53" t="s">
        <v>109</v>
      </c>
      <c r="B1" s="52"/>
      <c r="C1" s="52"/>
      <c r="D1" s="52"/>
      <c r="E1" s="52"/>
      <c r="F1" s="52"/>
      <c r="G1" s="52"/>
      <c r="H1" s="52"/>
      <c r="J1" s="34">
        <f>IFERROR(SUMPRODUCT((Expenses!$T$8:$T$307&lt;&gt;"")*1),0)</f>
        <v>24</v>
      </c>
    </row>
    <row r="2" spans="1:10" x14ac:dyDescent="0.2">
      <c r="A2" s="57" t="s">
        <v>110</v>
      </c>
      <c r="B2" s="52"/>
      <c r="C2" s="52"/>
      <c r="D2" s="52"/>
      <c r="E2" s="52"/>
      <c r="F2" s="52"/>
      <c r="G2" s="52"/>
      <c r="H2" s="52"/>
    </row>
    <row r="4" spans="1:10" ht="30" x14ac:dyDescent="0.2">
      <c r="B4" s="35" t="str">
        <f>IF(Setup!$C$16="","Total group spend","Total group spend ("&amp;Setup!$C$16&amp;")")</f>
        <v>Total group spend (€)</v>
      </c>
      <c r="C4" s="35" t="s">
        <v>111</v>
      </c>
      <c r="D4" s="35" t="s">
        <v>112</v>
      </c>
      <c r="E4" s="35" t="str">
        <f>IF(Setup!$C$16="","Still to settle","Still to settle ("&amp;Setup!$C$16&amp;")")</f>
        <v>Still to settle (€)</v>
      </c>
      <c r="F4" s="35" t="s">
        <v>113</v>
      </c>
      <c r="G4" s="35" t="s">
        <v>114</v>
      </c>
    </row>
    <row r="5" spans="1:10" ht="30" customHeight="1" x14ac:dyDescent="0.2">
      <c r="B5" s="36">
        <f>IF($J$1=0,"—",IFERROR(ROUND(SUM(Expenses!$AG$8:$AG$307),2),0))</f>
        <v>5001.8500000000004</v>
      </c>
      <c r="C5" s="37">
        <f>IF($J$1=0,"—",$J$1)</f>
        <v>24</v>
      </c>
      <c r="D5" s="36">
        <f>IF(OR($J$1=0,SUMPRODUCT((Setup!$B$21:$B$30&lt;&gt;"")*(Setup!$C$21:$C$30&lt;&gt;"No"))=0),"—",IFERROR(ROUND(SUM(Expenses!$AG$8:$AG$307)/SUMPRODUCT((Setup!$B$21:$B$30&lt;&gt;"")*(Setup!$C$21:$C$30&lt;&gt;"No")),2),"—"))</f>
        <v>1000.37</v>
      </c>
      <c r="E5" s="36">
        <f>IF($J$1=0,"—",IFERROR(ROUND(SUMIF($F$10:$F$19,"&gt;"&amp;0.009),2),0))</f>
        <v>1659.04</v>
      </c>
      <c r="F5" s="37">
        <f>IF($J$1=0,"—",IFERROR(COUNTIF('Settle Up'!$V$10:$V$18,"&gt;="&amp;0.01),0))</f>
        <v>4</v>
      </c>
      <c r="G5" s="37" t="str">
        <f>IF($J$1=0,"—",IF(SUMPRODUCT((Setup!$G$21:$G$30&lt;&gt;"")*1)&gt;0,"Duplicate member name on Setup — give every member a unique name",IF(COUNTIF(Expenses!$R$8:$R$307,"OK")=$J$1,"All good","Fix "&amp;($J$1-COUNTIF(Expenses!$R$8:$R$307,"OK"))&amp;" row(s) — see Check column")))</f>
        <v>All good</v>
      </c>
    </row>
    <row r="6" spans="1:10" ht="26" customHeight="1" x14ac:dyDescent="0.2">
      <c r="B6" s="38" t="str">
        <f ca="1">IF(OR($J$1=0,COUNT(Expenses!$B$8:$B$307)=0),"add your first expense on the Expenses sheet","period "&amp;TEXT(MIN(Expenses!$B$8:$B$307),"yyyy-mm-dd")&amp;" → "&amp;TEXT(MAX(Expenses!$B$8:$B$307),"yyyy-mm-dd"))</f>
        <v>period yyyy-00-dd → yyyy-00-dd</v>
      </c>
      <c r="C6" s="38" t="str">
        <f>IF($J$1=0,"start on the Expenses sheet","of 300 rows used")</f>
        <v>of 300 rows used</v>
      </c>
      <c r="D6" s="38" t="str">
        <f>IF(SUMPRODUCT((Setup!$B$21:$B$30&lt;&gt;"")*(Setup!$C$21:$C$30&lt;&gt;"No"))=0,"give people a name on Setup","average across "&amp;SUMPRODUCT((Setup!$B$21:$B$30&lt;&gt;"")*(Setup!$C$21:$C$30&lt;&gt;"No"))&amp;" people")</f>
        <v>average across 5 people</v>
      </c>
      <c r="E6" s="38" t="s">
        <v>115</v>
      </c>
      <c r="F6" s="38" t="s">
        <v>116</v>
      </c>
      <c r="G6" s="38" t="s">
        <v>117</v>
      </c>
    </row>
    <row r="8" spans="1:10" ht="22" customHeight="1" x14ac:dyDescent="0.2">
      <c r="B8" s="58" t="str">
        <f>IF($J$1=0,"—",IFERROR(IF(MAX($F$10:$F$19)&lt;0.01,"All settled — nothing to transfer.",INDEX($B$10:$B$19,MATCH(MAX($F$10:$F$19),$F$10:$F$19,0))&amp;" is owed the most ("&amp;TEXT(MAX($F$10:$F$19),"0.00")&amp;") · "&amp;INDEX($B$10:$B$19,MATCH(MIN($F$10:$F$19),$F$10:$F$19,0))&amp;" owes the most ("&amp;TEXT(-MIN($F$10:$F$19),"0.00")&amp;")"),"—"))</f>
        <v>Anna is owed the most (1.269) · Dana owes the most (682)</v>
      </c>
      <c r="C8" s="52"/>
      <c r="D8" s="52"/>
      <c r="E8" s="52"/>
      <c r="F8" s="52"/>
      <c r="G8" s="52"/>
      <c r="H8" s="52"/>
    </row>
    <row r="9" spans="1:10" ht="30" customHeight="1" x14ac:dyDescent="0.2">
      <c r="A9" s="8" t="s">
        <v>20</v>
      </c>
      <c r="B9" s="8" t="s">
        <v>21</v>
      </c>
      <c r="C9" s="8" t="s">
        <v>22</v>
      </c>
      <c r="D9" s="8" t="str">
        <f>IF(Setup!$C$16="","Paid","Paid ("&amp;Setup!$C$16&amp;")")</f>
        <v>Paid (€)</v>
      </c>
      <c r="E9" s="8" t="str">
        <f>IF(Setup!$C$16="","Fair share","Fair share ("&amp;Setup!$C$16&amp;")")</f>
        <v>Fair share (€)</v>
      </c>
      <c r="F9" s="8" t="str">
        <f>IF(Setup!$C$16="","Balance (+ gets back / − owes)","Balance in "&amp;Setup!$C$16&amp;" (+ gets back / − owes)")</f>
        <v>Balance in € (+ gets back / − owes)</v>
      </c>
      <c r="G9" s="8" t="s">
        <v>118</v>
      </c>
      <c r="H9" s="8" t="s">
        <v>119</v>
      </c>
    </row>
    <row r="10" spans="1:10" ht="16" x14ac:dyDescent="0.2">
      <c r="A10" s="15">
        <v>1</v>
      </c>
      <c r="B10" s="22" t="str">
        <f>IF(Setup!$B$21="","—",Setup!$B$21)</f>
        <v>Anna</v>
      </c>
      <c r="C10" s="22" t="str">
        <f>IF($B10="—","—",IF(Setup!$C$21="No","No","Yes"))</f>
        <v>Yes</v>
      </c>
      <c r="D10" s="27">
        <f>IF(OR($B10="—",$J$1=0),"—",IFERROR(SUMPRODUCT((Expenses!$D$8:$D$307=$B10)*Expenses!$AG$8:$AG$307),0))</f>
        <v>2587.1</v>
      </c>
      <c r="E10" s="27">
        <f>IF(OR($B10="—",$J$1=0),"—",IFERROR(SUMPRODUCT(Expenses!$AG$8:$AG$307*Expenses!$U$8:$U$307/Expenses!$AF$8:$AF$307),0))</f>
        <v>1318.0975000000003</v>
      </c>
      <c r="F10" s="27">
        <f t="shared" ref="F10:F19" si="0">IF(OR($B10="—",$J$1=0),"—",IFERROR(ROUND($D10-$E10,2),0))</f>
        <v>1269</v>
      </c>
      <c r="G10" s="22" t="str">
        <f t="shared" ref="G10:G19" si="1">IF(OR($B10="—",$J$1=0),"—",IF($F10&gt;0.009,"gets back",IF($F10&lt;-0.009,"owes","settled")))</f>
        <v>gets back</v>
      </c>
      <c r="H10" s="39">
        <f t="shared" ref="H10:H19" si="2">IF(OR($B10="—",$J$1=0),"—",IFERROR(IF(SUM($E$10:$E$19)=0,"—",$E10/SUM($E$10:$E$19)),"—"))</f>
        <v>0.2635219968611614</v>
      </c>
    </row>
    <row r="11" spans="1:10" ht="16" x14ac:dyDescent="0.2">
      <c r="A11" s="10">
        <v>2</v>
      </c>
      <c r="B11" s="22" t="str">
        <f>IF(Setup!$B$22="","—",Setup!$B$22)</f>
        <v>Ben</v>
      </c>
      <c r="C11" s="22" t="str">
        <f>IF($B11="—","—",IF(Setup!$C$22="No","No","Yes"))</f>
        <v>Yes</v>
      </c>
      <c r="D11" s="27">
        <f>IF(OR($B11="—",$J$1=0),"—",IFERROR(SUMPRODUCT((Expenses!$D$8:$D$307=$B11)*Expenses!$AG$8:$AG$307),0))</f>
        <v>1519.2</v>
      </c>
      <c r="E11" s="27">
        <f>IF(OR($B11="—",$J$1=0),"—",IFERROR(SUMPRODUCT(Expenses!$AG$8:$AG$307*Expenses!$V$8:$V$307/Expenses!$AF$8:$AF$307),0))</f>
        <v>1129.1641666666669</v>
      </c>
      <c r="F11" s="27">
        <f t="shared" si="0"/>
        <v>390.04</v>
      </c>
      <c r="G11" s="22" t="str">
        <f t="shared" si="1"/>
        <v>gets back</v>
      </c>
      <c r="H11" s="39">
        <f t="shared" si="2"/>
        <v>0.22574930609008004</v>
      </c>
    </row>
    <row r="12" spans="1:10" ht="16" x14ac:dyDescent="0.2">
      <c r="A12" s="15">
        <v>3</v>
      </c>
      <c r="B12" s="22" t="str">
        <f>IF(Setup!$B$23="","—",Setup!$B$23)</f>
        <v>Chris</v>
      </c>
      <c r="C12" s="22" t="str">
        <f>IF($B12="—","—",IF(Setup!$C$23="No","No","Yes"))</f>
        <v>Yes</v>
      </c>
      <c r="D12" s="27">
        <f>IF(OR($B12="—",$J$1=0),"—",IFERROR(SUMPRODUCT((Expenses!$D$8:$D$307=$B12)*Expenses!$AG$8:$AG$307),0))</f>
        <v>353.6</v>
      </c>
      <c r="E12" s="27">
        <f>IF(OR($B12="—",$J$1=0),"—",IFERROR(SUMPRODUCT(Expenses!$AG$8:$AG$307*Expenses!$W$8:$W$307/Expenses!$AF$8:$AF$307),0))</f>
        <v>1012.5308333333335</v>
      </c>
      <c r="F12" s="27">
        <f t="shared" si="0"/>
        <v>-658.93</v>
      </c>
      <c r="G12" s="22" t="str">
        <f t="shared" si="1"/>
        <v>owes</v>
      </c>
      <c r="H12" s="39">
        <f t="shared" si="2"/>
        <v>0.20243126709784048</v>
      </c>
    </row>
    <row r="13" spans="1:10" ht="16" x14ac:dyDescent="0.2">
      <c r="A13" s="10">
        <v>4</v>
      </c>
      <c r="B13" s="22" t="str">
        <f>IF(Setup!$B$24="","—",Setup!$B$24)</f>
        <v>Dana</v>
      </c>
      <c r="C13" s="22" t="str">
        <f>IF($B13="—","—",IF(Setup!$C$24="No","No","Yes"))</f>
        <v>Yes</v>
      </c>
      <c r="D13" s="27">
        <f>IF(OR($B13="—",$J$1=0),"—",IFERROR(SUMPRODUCT((Expenses!$D$8:$D$307=$B13)*Expenses!$AG$8:$AG$307),0))</f>
        <v>279.14999999999998</v>
      </c>
      <c r="E13" s="27">
        <f>IF(OR($B13="—",$J$1=0),"—",IFERROR(SUMPRODUCT(Expenses!$AG$8:$AG$307*Expenses!$X$8:$X$307/Expenses!$AF$8:$AF$307),0))</f>
        <v>960.69750000000022</v>
      </c>
      <c r="F13" s="27">
        <f t="shared" si="0"/>
        <v>-681.55</v>
      </c>
      <c r="G13" s="22" t="str">
        <f t="shared" si="1"/>
        <v>owes</v>
      </c>
      <c r="H13" s="39">
        <f t="shared" si="2"/>
        <v>0.19206843467916873</v>
      </c>
    </row>
    <row r="14" spans="1:10" ht="16" x14ac:dyDescent="0.2">
      <c r="A14" s="15">
        <v>5</v>
      </c>
      <c r="B14" s="22" t="str">
        <f>IF(Setup!$B$25="","—",Setup!$B$25)</f>
        <v>Eli</v>
      </c>
      <c r="C14" s="22" t="str">
        <f>IF($B14="—","—",IF(Setup!$C$25="No","No","Yes"))</f>
        <v>Yes</v>
      </c>
      <c r="D14" s="27">
        <f>IF(OR($B14="—",$J$1=0),"—",IFERROR(SUMPRODUCT((Expenses!$D$8:$D$307=$B14)*Expenses!$AG$8:$AG$307),0))</f>
        <v>262.8</v>
      </c>
      <c r="E14" s="27">
        <f>IF(OR($B14="—",$J$1=0),"—",IFERROR(SUMPRODUCT(Expenses!$AG$8:$AG$307*Expenses!$Y$8:$Y$307/Expenses!$AF$8:$AF$307),0))</f>
        <v>581.36000000000013</v>
      </c>
      <c r="F14" s="27">
        <f t="shared" si="0"/>
        <v>-318.56</v>
      </c>
      <c r="G14" s="22" t="str">
        <f t="shared" si="1"/>
        <v>owes</v>
      </c>
      <c r="H14" s="39">
        <f t="shared" si="2"/>
        <v>0.11622899527174947</v>
      </c>
    </row>
    <row r="15" spans="1:10" ht="16" x14ac:dyDescent="0.2">
      <c r="A15" s="10">
        <v>6</v>
      </c>
      <c r="B15" s="22" t="str">
        <f>IF(Setup!$B$26="","—",Setup!$B$26)</f>
        <v>—</v>
      </c>
      <c r="C15" s="22" t="str">
        <f>IF($B15="—","—",IF(Setup!$C$26="No","No","Yes"))</f>
        <v>—</v>
      </c>
      <c r="D15" s="27" t="str">
        <f>IF(OR($B15="—",$J$1=0),"—",IFERROR(SUMPRODUCT((Expenses!$D$8:$D$307=$B15)*Expenses!$AG$8:$AG$307),0))</f>
        <v>—</v>
      </c>
      <c r="E15" s="27" t="str">
        <f>IF(OR($B15="—",$J$1=0),"—",IFERROR(SUMPRODUCT(Expenses!$AG$8:$AG$307*Expenses!$Z$8:$Z$307/Expenses!$AF$8:$AF$307),0))</f>
        <v>—</v>
      </c>
      <c r="F15" s="27" t="str">
        <f t="shared" si="0"/>
        <v>—</v>
      </c>
      <c r="G15" s="22" t="str">
        <f t="shared" si="1"/>
        <v>—</v>
      </c>
      <c r="H15" s="39" t="str">
        <f t="shared" si="2"/>
        <v>—</v>
      </c>
    </row>
    <row r="16" spans="1:10" ht="16" x14ac:dyDescent="0.2">
      <c r="A16" s="15">
        <v>7</v>
      </c>
      <c r="B16" s="22" t="str">
        <f>IF(Setup!$B$27="","—",Setup!$B$27)</f>
        <v>—</v>
      </c>
      <c r="C16" s="22" t="str">
        <f>IF($B16="—","—",IF(Setup!$C$27="No","No","Yes"))</f>
        <v>—</v>
      </c>
      <c r="D16" s="27" t="str">
        <f>IF(OR($B16="—",$J$1=0),"—",IFERROR(SUMPRODUCT((Expenses!$D$8:$D$307=$B16)*Expenses!$AG$8:$AG$307),0))</f>
        <v>—</v>
      </c>
      <c r="E16" s="27" t="str">
        <f>IF(OR($B16="—",$J$1=0),"—",IFERROR(SUMPRODUCT(Expenses!$AG$8:$AG$307*Expenses!$AA$8:$AA$307/Expenses!$AF$8:$AF$307),0))</f>
        <v>—</v>
      </c>
      <c r="F16" s="27" t="str">
        <f t="shared" si="0"/>
        <v>—</v>
      </c>
      <c r="G16" s="22" t="str">
        <f t="shared" si="1"/>
        <v>—</v>
      </c>
      <c r="H16" s="39" t="str">
        <f t="shared" si="2"/>
        <v>—</v>
      </c>
    </row>
    <row r="17" spans="1:8" ht="16" x14ac:dyDescent="0.2">
      <c r="A17" s="10">
        <v>8</v>
      </c>
      <c r="B17" s="22" t="str">
        <f>IF(Setup!$B$28="","—",Setup!$B$28)</f>
        <v>—</v>
      </c>
      <c r="C17" s="22" t="str">
        <f>IF($B17="—","—",IF(Setup!$C$28="No","No","Yes"))</f>
        <v>—</v>
      </c>
      <c r="D17" s="27" t="str">
        <f>IF(OR($B17="—",$J$1=0),"—",IFERROR(SUMPRODUCT((Expenses!$D$8:$D$307=$B17)*Expenses!$AG$8:$AG$307),0))</f>
        <v>—</v>
      </c>
      <c r="E17" s="27" t="str">
        <f>IF(OR($B17="—",$J$1=0),"—",IFERROR(SUMPRODUCT(Expenses!$AG$8:$AG$307*Expenses!$AB$8:$AB$307/Expenses!$AF$8:$AF$307),0))</f>
        <v>—</v>
      </c>
      <c r="F17" s="27" t="str">
        <f t="shared" si="0"/>
        <v>—</v>
      </c>
      <c r="G17" s="22" t="str">
        <f t="shared" si="1"/>
        <v>—</v>
      </c>
      <c r="H17" s="39" t="str">
        <f t="shared" si="2"/>
        <v>—</v>
      </c>
    </row>
    <row r="18" spans="1:8" ht="16" x14ac:dyDescent="0.2">
      <c r="A18" s="15">
        <v>9</v>
      </c>
      <c r="B18" s="22" t="str">
        <f>IF(Setup!$B$29="","—",Setup!$B$29)</f>
        <v>—</v>
      </c>
      <c r="C18" s="22" t="str">
        <f>IF($B18="—","—",IF(Setup!$C$29="No","No","Yes"))</f>
        <v>—</v>
      </c>
      <c r="D18" s="27" t="str">
        <f>IF(OR($B18="—",$J$1=0),"—",IFERROR(SUMPRODUCT((Expenses!$D$8:$D$307=$B18)*Expenses!$AG$8:$AG$307),0))</f>
        <v>—</v>
      </c>
      <c r="E18" s="27" t="str">
        <f>IF(OR($B18="—",$J$1=0),"—",IFERROR(SUMPRODUCT(Expenses!$AG$8:$AG$307*Expenses!$AC$8:$AC$307/Expenses!$AF$8:$AF$307),0))</f>
        <v>—</v>
      </c>
      <c r="F18" s="27" t="str">
        <f t="shared" si="0"/>
        <v>—</v>
      </c>
      <c r="G18" s="22" t="str">
        <f t="shared" si="1"/>
        <v>—</v>
      </c>
      <c r="H18" s="39" t="str">
        <f t="shared" si="2"/>
        <v>—</v>
      </c>
    </row>
    <row r="19" spans="1:8" ht="16" x14ac:dyDescent="0.2">
      <c r="A19" s="10">
        <v>10</v>
      </c>
      <c r="B19" s="22" t="str">
        <f>IF(Setup!$B$30="","—",Setup!$B$30)</f>
        <v>—</v>
      </c>
      <c r="C19" s="22" t="str">
        <f>IF($B19="—","—",IF(Setup!$C$30="No","No","Yes"))</f>
        <v>—</v>
      </c>
      <c r="D19" s="27" t="str">
        <f>IF(OR($B19="—",$J$1=0),"—",IFERROR(SUMPRODUCT((Expenses!$D$8:$D$307=$B19)*Expenses!$AG$8:$AG$307),0))</f>
        <v>—</v>
      </c>
      <c r="E19" s="27" t="str">
        <f>IF(OR($B19="—",$J$1=0),"—",IFERROR(SUMPRODUCT(Expenses!$AG$8:$AG$307*Expenses!$AD$8:$AD$307/Expenses!$AF$8:$AF$307),0))</f>
        <v>—</v>
      </c>
      <c r="F19" s="27" t="str">
        <f t="shared" si="0"/>
        <v>—</v>
      </c>
      <c r="G19" s="22" t="str">
        <f t="shared" si="1"/>
        <v>—</v>
      </c>
      <c r="H19" s="39" t="str">
        <f t="shared" si="2"/>
        <v>—</v>
      </c>
    </row>
    <row r="20" spans="1:8" ht="16" x14ac:dyDescent="0.2">
      <c r="A20" s="16"/>
      <c r="B20" s="40" t="s">
        <v>120</v>
      </c>
      <c r="C20" s="22"/>
      <c r="D20" s="41">
        <f>IF($J$1=0,"—",IFERROR(SUM(D$10:D$19),0))</f>
        <v>5001.8500000000004</v>
      </c>
      <c r="E20" s="41">
        <f>IF($J$1=0,"—",IFERROR(SUM(E$10:E$19),0))</f>
        <v>5001.8500000000004</v>
      </c>
      <c r="F20" s="41">
        <f>IF($J$1=0,"—",IFERROR(ROUND(SUM($D$10:$D$19)-SUM($E$10:$E$19),2),0))</f>
        <v>0</v>
      </c>
      <c r="G20" s="42" t="str">
        <f>IF($J$1=0,"—",IF(ABS(ROUND(SUM($D$10:$D$19)-SUM($E$10:$E$19),2))&lt;0.005,"Every cent accounted for","Some rows are not shared by anyone — see the Check column"))</f>
        <v>Every cent accounted for</v>
      </c>
      <c r="H20" s="22"/>
    </row>
    <row r="22" spans="1:8" x14ac:dyDescent="0.2">
      <c r="B22" s="18" t="s">
        <v>121</v>
      </c>
      <c r="C22" s="43">
        <f>IF($J$1=0,"—",IFERROR(MAX(Expenses!$AG$8:$AG$307),0))</f>
        <v>1450</v>
      </c>
    </row>
    <row r="23" spans="1:8" x14ac:dyDescent="0.2">
      <c r="B23" s="18" t="s">
        <v>122</v>
      </c>
      <c r="C23" s="43">
        <f>IF(OR($J$1=0,COUNT(Expenses!$AG$8:$AG$307)=0),"—",IFERROR(ROUND(SUM(Expenses!$AG$8:$AG$307)/$J$1,2),0))</f>
        <v>208.41</v>
      </c>
    </row>
  </sheetData>
  <mergeCells count="3">
    <mergeCell ref="B8:H8"/>
    <mergeCell ref="A2:H2"/>
    <mergeCell ref="A1:H1"/>
  </mergeCells>
  <conditionalFormatting sqref="C5">
    <cfRule type="expression" dxfId="16" priority="1">
      <formula>$C$5="—"</formula>
    </cfRule>
    <cfRule type="expression" dxfId="15" priority="2">
      <formula>AND(ISNUMBER($C$5),$C$5&gt;=280)</formula>
    </cfRule>
  </conditionalFormatting>
  <conditionalFormatting sqref="E5">
    <cfRule type="expression" dxfId="14" priority="3">
      <formula>AND(ISNUMBER($E$5),$E$5&lt;0.01)</formula>
    </cfRule>
    <cfRule type="expression" dxfId="13" priority="4">
      <formula>AND(ISNUMBER($E$5),$E$5&gt;=0.01)</formula>
    </cfRule>
  </conditionalFormatting>
  <conditionalFormatting sqref="F5">
    <cfRule type="expression" dxfId="12" priority="5">
      <formula>AND(ISNUMBER($F$5),$F$5=0)</formula>
    </cfRule>
    <cfRule type="expression" dxfId="11" priority="6">
      <formula>AND(ISNUMBER($F$5),$F$5&gt;=1)</formula>
    </cfRule>
  </conditionalFormatting>
  <conditionalFormatting sqref="F10:F19">
    <cfRule type="expression" dxfId="10" priority="11">
      <formula>AND(ISNUMBER($F10),$F10&lt;-0.009)</formula>
    </cfRule>
    <cfRule type="expression" dxfId="9" priority="12">
      <formula>AND(ISNUMBER($F10),$F10&gt;0.009)</formula>
    </cfRule>
  </conditionalFormatting>
  <conditionalFormatting sqref="F20">
    <cfRule type="expression" dxfId="8" priority="13">
      <formula>AND(ISNUMBER($F$20),ABS($F$20)&lt;0.01)</formula>
    </cfRule>
    <cfRule type="expression" dxfId="7" priority="14">
      <formula>AND(ISNUMBER($F$20),ABS($F$20)&gt;=0.01)</formula>
    </cfRule>
  </conditionalFormatting>
  <conditionalFormatting sqref="G5">
    <cfRule type="cellIs" dxfId="6" priority="7" operator="equal">
      <formula>"All good"</formula>
    </cfRule>
    <cfRule type="expression" dxfId="5" priority="8">
      <formula>AND($G$5&lt;&gt;"—",$G$5&lt;&gt;"All good")</formula>
    </cfRule>
  </conditionalFormatting>
  <conditionalFormatting sqref="G10:G19">
    <cfRule type="expression" dxfId="4" priority="9">
      <formula>$G10="owes"</formula>
    </cfRule>
    <cfRule type="expression" dxfId="3" priority="10">
      <formula>$G10="gets back"</formula>
    </cfRule>
  </conditionalFormatting>
  <pageMargins left="0.75" right="0.75" top="1" bottom="1" header="0.5" footer="0.5"/>
  <pageSetup fitToHeight="0" orientation="portrait"/>
  <headerFooter>
    <oddFooter>&amp;L&amp;F&amp;RPage &amp;P of &amp;N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B4540A"/>
    <pageSetUpPr fitToPage="1"/>
  </sheetPr>
  <dimension ref="A1:V24"/>
  <sheetViews>
    <sheetView showGridLines="0" workbookViewId="0">
      <pane ySplit="9" topLeftCell="A10" activePane="bottomLeft" state="frozen"/>
      <selection pane="bottomLeft"/>
    </sheetView>
  </sheetViews>
  <sheetFormatPr baseColWidth="10" defaultColWidth="8.83203125" defaultRowHeight="15" outlineLevelCol="1" x14ac:dyDescent="0.2"/>
  <cols>
    <col min="1" max="1" width="5" customWidth="1"/>
    <col min="2" max="2" width="20" customWidth="1"/>
    <col min="3" max="3" width="5" customWidth="1"/>
    <col min="4" max="4" width="20" customWidth="1"/>
    <col min="5" max="5" width="16" customWidth="1"/>
    <col min="6" max="6" width="10" customWidth="1"/>
    <col min="7" max="7" width="34" customWidth="1"/>
    <col min="8" max="9" width="3" customWidth="1"/>
    <col min="10" max="22" width="10" hidden="1" customWidth="1" outlineLevel="1"/>
  </cols>
  <sheetData>
    <row r="1" spans="1:22" ht="26" customHeight="1" x14ac:dyDescent="0.25">
      <c r="A1" s="53" t="s">
        <v>123</v>
      </c>
      <c r="B1" s="52"/>
      <c r="C1" s="52"/>
      <c r="D1" s="52"/>
      <c r="E1" s="52"/>
      <c r="F1" s="52"/>
      <c r="G1" s="52"/>
    </row>
    <row r="2" spans="1:22" ht="42" customHeight="1" x14ac:dyDescent="0.2">
      <c r="A2" s="51" t="s">
        <v>124</v>
      </c>
      <c r="B2" s="52"/>
      <c r="C2" s="52"/>
      <c r="D2" s="52"/>
      <c r="E2" s="52"/>
      <c r="F2" s="52"/>
      <c r="G2" s="52"/>
    </row>
    <row r="4" spans="1:22" ht="22" customHeight="1" x14ac:dyDescent="0.2">
      <c r="B4" s="59" t="str">
        <f>IF('Who Owes What'!$J$1=0,"Nothing logged yet — start on the Expenses sheet.",IF(AND(ISNUMBER('Who Owes What'!$F$20),ABS('Who Owes What'!$F$20)&gt;0.01),"⚠ Fix the flagged rows on the Expenses sheet first — the balances do not add up to 0.",IF(COUNTIF($V$10:$V$18,"&gt;="&amp;0.01)=0,"Nothing to settle — everyone is square.",COUNTIF($V$10:$V$18,"&gt;="&amp;0.01)&amp;" transfer(s) clear all balances. Tick them off in 'Done?'.")))</f>
        <v>4 transfer(s) clear all balances. Tick them off in 'Done?'.</v>
      </c>
      <c r="C4" s="52"/>
      <c r="D4" s="52"/>
      <c r="E4" s="52"/>
      <c r="F4" s="52"/>
      <c r="G4" s="52"/>
    </row>
    <row r="7" spans="1:22" ht="28" customHeight="1" x14ac:dyDescent="0.2">
      <c r="J7" s="44" t="s">
        <v>125</v>
      </c>
      <c r="K7" s="44" t="s">
        <v>126</v>
      </c>
      <c r="L7" s="44" t="s">
        <v>127</v>
      </c>
      <c r="M7" s="44" t="s">
        <v>128</v>
      </c>
      <c r="N7" s="44" t="s">
        <v>129</v>
      </c>
      <c r="O7" s="44" t="s">
        <v>130</v>
      </c>
      <c r="P7" s="44" t="s">
        <v>131</v>
      </c>
      <c r="Q7" s="44" t="s">
        <v>132</v>
      </c>
      <c r="R7" s="44" t="s">
        <v>133</v>
      </c>
      <c r="S7" s="44" t="s">
        <v>134</v>
      </c>
      <c r="T7" s="44" t="s">
        <v>135</v>
      </c>
      <c r="U7" s="44" t="s">
        <v>136</v>
      </c>
      <c r="V7" s="44" t="s">
        <v>137</v>
      </c>
    </row>
    <row r="8" spans="1:22" x14ac:dyDescent="0.2">
      <c r="J8" s="45">
        <f>IF('Who Owes What'!$J$1=0,0,IFERROR(IF(ISNUMBER('Who Owes What'!$F$10),ROUND('Who Owes What'!$F$10,2),0),0))</f>
        <v>1269</v>
      </c>
      <c r="K8" s="45">
        <f>IF('Who Owes What'!$J$1=0,0,IFERROR(IF(ISNUMBER('Who Owes What'!$F$11),ROUND('Who Owes What'!$F$11,2),0),0))</f>
        <v>390.04</v>
      </c>
      <c r="L8" s="45">
        <f>IF('Who Owes What'!$J$1=0,0,IFERROR(IF(ISNUMBER('Who Owes What'!$F$12),ROUND('Who Owes What'!$F$12,2),0),0))</f>
        <v>-658.93</v>
      </c>
      <c r="M8" s="45">
        <f>IF('Who Owes What'!$J$1=0,0,IFERROR(IF(ISNUMBER('Who Owes What'!$F$13),ROUND('Who Owes What'!$F$13,2),0),0))</f>
        <v>-681.55</v>
      </c>
      <c r="N8" s="45">
        <f>IF('Who Owes What'!$J$1=0,0,IFERROR(IF(ISNUMBER('Who Owes What'!$F$14),ROUND('Who Owes What'!$F$14,2),0),0))</f>
        <v>-318.56</v>
      </c>
      <c r="O8" s="45">
        <f>IF('Who Owes What'!$J$1=0,0,IFERROR(IF(ISNUMBER('Who Owes What'!$F$15),ROUND('Who Owes What'!$F$15,2),0),0))</f>
        <v>0</v>
      </c>
      <c r="P8" s="45">
        <f>IF('Who Owes What'!$J$1=0,0,IFERROR(IF(ISNUMBER('Who Owes What'!$F$16),ROUND('Who Owes What'!$F$16,2),0),0))</f>
        <v>0</v>
      </c>
      <c r="Q8" s="45">
        <f>IF('Who Owes What'!$J$1=0,0,IFERROR(IF(ISNUMBER('Who Owes What'!$F$17),ROUND('Who Owes What'!$F$17,2),0),0))</f>
        <v>0</v>
      </c>
      <c r="R8" s="45">
        <f>IF('Who Owes What'!$J$1=0,0,IFERROR(IF(ISNUMBER('Who Owes What'!$F$18),ROUND('Who Owes What'!$F$18,2),0),0))</f>
        <v>0</v>
      </c>
      <c r="S8" s="45">
        <f>IF('Who Owes What'!$J$1=0,0,IFERROR(IF(ISNUMBER('Who Owes What'!$F$19),ROUND('Who Owes What'!$F$19,2),0),0))</f>
        <v>0</v>
      </c>
      <c r="T8" s="34">
        <f>IFERROR(MATCH(MAX($J$8:$S$8),$J$8:$S$8,0),1)</f>
        <v>1</v>
      </c>
      <c r="U8" s="34">
        <f>IFERROR(IF(ABS(ROUND(SUM($J$8:$S$8),2))&gt;0.09,0,-ROUND(SUM($J$8:$S$8),2)),0)</f>
        <v>0</v>
      </c>
    </row>
    <row r="9" spans="1:22" ht="30" customHeight="1" x14ac:dyDescent="0.2">
      <c r="A9" s="8" t="s">
        <v>20</v>
      </c>
      <c r="B9" s="8" t="s">
        <v>138</v>
      </c>
      <c r="C9" s="8" t="s">
        <v>139</v>
      </c>
      <c r="D9" s="8" t="s">
        <v>140</v>
      </c>
      <c r="E9" s="8" t="str">
        <f>IF(Setup!$C$16="","Amount","Amount ("&amp;Setup!$C$16&amp;")")</f>
        <v>Amount (€)</v>
      </c>
      <c r="F9" s="8" t="s">
        <v>141</v>
      </c>
      <c r="G9" s="8" t="s">
        <v>142</v>
      </c>
    </row>
    <row r="10" spans="1:22" ht="16" x14ac:dyDescent="0.2">
      <c r="A10" s="22">
        <f t="shared" ref="A10:A18" si="0">IF($V10&lt;=0.005,"—",ROW()-9)</f>
        <v>1</v>
      </c>
      <c r="B10" s="22" t="str">
        <f>IFERROR(IF($V10&lt;=0.005,"—",INDEX('Who Owes What'!$B$10:$B$19,$U10)),"—")</f>
        <v>Dana</v>
      </c>
      <c r="C10" s="46" t="str">
        <f t="shared" ref="C10:C18" si="1">IF($V10&lt;=0.005,"","→")</f>
        <v>→</v>
      </c>
      <c r="D10" s="22" t="str">
        <f>IFERROR(IF($V10&lt;=0.005,"—",INDEX('Who Owes What'!$B$10:$B$19,$T10)),"—")</f>
        <v>Anna</v>
      </c>
      <c r="E10" s="27">
        <f t="shared" ref="E10:E18" si="2">IF($V10&lt;=0.005,"—",$V10)</f>
        <v>681.55</v>
      </c>
      <c r="F10" s="47"/>
      <c r="G10" s="47"/>
      <c r="J10" s="45">
        <f>IFERROR(ROUND($J$8,2)+IF($T$8=1,$U$8,0),0)</f>
        <v>1269</v>
      </c>
      <c r="K10" s="45">
        <f>IFERROR(ROUND($K$8,2)+IF($T$8=2,$U$8,0),0)</f>
        <v>390.04</v>
      </c>
      <c r="L10" s="45">
        <f>IFERROR(ROUND($L$8,2)+IF($T$8=3,$U$8,0),0)</f>
        <v>-658.93</v>
      </c>
      <c r="M10" s="45">
        <f>IFERROR(ROUND($M$8,2)+IF($T$8=4,$U$8,0),0)</f>
        <v>-681.55</v>
      </c>
      <c r="N10" s="45">
        <f>IFERROR(ROUND($N$8,2)+IF($T$8=5,$U$8,0),0)</f>
        <v>-318.56</v>
      </c>
      <c r="O10" s="45">
        <f>IFERROR(ROUND($O$8,2)+IF($T$8=6,$U$8,0),0)</f>
        <v>0</v>
      </c>
      <c r="P10" s="45">
        <f>IFERROR(ROUND($P$8,2)+IF($T$8=7,$U$8,0),0)</f>
        <v>0</v>
      </c>
      <c r="Q10" s="45">
        <f>IFERROR(ROUND($Q$8,2)+IF($T$8=8,$U$8,0),0)</f>
        <v>0</v>
      </c>
      <c r="R10" s="45">
        <f>IFERROR(ROUND($R$8,2)+IF($T$8=9,$U$8,0),0)</f>
        <v>0</v>
      </c>
      <c r="S10" s="45">
        <f>IFERROR(ROUND($S$8,2)+IF($T$8=10,$U$8,0),0)</f>
        <v>0</v>
      </c>
      <c r="T10" s="34">
        <f t="shared" ref="T10:T19" si="3">IFERROR(MATCH(MAX($J10:$S10),$J10:$S10,0),0)</f>
        <v>1</v>
      </c>
      <c r="U10" s="34">
        <f t="shared" ref="U10:U19" si="4">IFERROR(MATCH(MIN($J10:$S10),$J10:$S10,0),0)</f>
        <v>4</v>
      </c>
      <c r="V10" s="45">
        <f t="shared" ref="V10:V19" si="5">IFERROR(ROUND(MIN(MAX($J10:$S10),-MIN($J10:$S10)),2),0)</f>
        <v>681.55</v>
      </c>
    </row>
    <row r="11" spans="1:22" ht="16" x14ac:dyDescent="0.2">
      <c r="A11" s="22">
        <f t="shared" si="0"/>
        <v>2</v>
      </c>
      <c r="B11" s="22" t="str">
        <f>IFERROR(IF($V11&lt;=0.005,"—",INDEX('Who Owes What'!$B$10:$B$19,$U11)),"—")</f>
        <v>Chris</v>
      </c>
      <c r="C11" s="46" t="str">
        <f t="shared" si="1"/>
        <v>→</v>
      </c>
      <c r="D11" s="22" t="str">
        <f>IFERROR(IF($V11&lt;=0.005,"—",INDEX('Who Owes What'!$B$10:$B$19,$T11)),"—")</f>
        <v>Anna</v>
      </c>
      <c r="E11" s="27">
        <f t="shared" si="2"/>
        <v>587.45000000000005</v>
      </c>
      <c r="F11" s="47"/>
      <c r="G11" s="47"/>
      <c r="J11" s="45">
        <f t="shared" ref="J11:J19" si="6">IFERROR(ROUND(J10+IF($U10=1,$V10,0)-IF($T10=1,$V10,0),2),0)</f>
        <v>587.45000000000005</v>
      </c>
      <c r="K11" s="45">
        <f t="shared" ref="K11:K19" si="7">IFERROR(ROUND(K10+IF($U10=2,$V10,0)-IF($T10=2,$V10,0),2),0)</f>
        <v>390.04</v>
      </c>
      <c r="L11" s="45">
        <f t="shared" ref="L11:L19" si="8">IFERROR(ROUND(L10+IF($U10=3,$V10,0)-IF($T10=3,$V10,0),2),0)</f>
        <v>-658.93</v>
      </c>
      <c r="M11" s="45">
        <f t="shared" ref="M11:M19" si="9">IFERROR(ROUND(M10+IF($U10=4,$V10,0)-IF($T10=4,$V10,0),2),0)</f>
        <v>0</v>
      </c>
      <c r="N11" s="45">
        <f t="shared" ref="N11:N19" si="10">IFERROR(ROUND(N10+IF($U10=5,$V10,0)-IF($T10=5,$V10,0),2),0)</f>
        <v>-318.56</v>
      </c>
      <c r="O11" s="45">
        <f t="shared" ref="O11:O19" si="11">IFERROR(ROUND(O10+IF($U10=6,$V10,0)-IF($T10=6,$V10,0),2),0)</f>
        <v>0</v>
      </c>
      <c r="P11" s="45">
        <f t="shared" ref="P11:P19" si="12">IFERROR(ROUND(P10+IF($U10=7,$V10,0)-IF($T10=7,$V10,0),2),0)</f>
        <v>0</v>
      </c>
      <c r="Q11" s="45">
        <f t="shared" ref="Q11:Q19" si="13">IFERROR(ROUND(Q10+IF($U10=8,$V10,0)-IF($T10=8,$V10,0),2),0)</f>
        <v>0</v>
      </c>
      <c r="R11" s="45">
        <f t="shared" ref="R11:R19" si="14">IFERROR(ROUND(R10+IF($U10=9,$V10,0)-IF($T10=9,$V10,0),2),0)</f>
        <v>0</v>
      </c>
      <c r="S11" s="45">
        <f t="shared" ref="S11:S19" si="15">IFERROR(ROUND(S10+IF($U10=10,$V10,0)-IF($T10=10,$V10,0),2),0)</f>
        <v>0</v>
      </c>
      <c r="T11" s="34">
        <f t="shared" si="3"/>
        <v>1</v>
      </c>
      <c r="U11" s="34">
        <f t="shared" si="4"/>
        <v>3</v>
      </c>
      <c r="V11" s="45">
        <f t="shared" si="5"/>
        <v>587.45000000000005</v>
      </c>
    </row>
    <row r="12" spans="1:22" ht="16" x14ac:dyDescent="0.2">
      <c r="A12" s="22">
        <f t="shared" si="0"/>
        <v>3</v>
      </c>
      <c r="B12" s="22" t="str">
        <f>IFERROR(IF($V12&lt;=0.005,"—",INDEX('Who Owes What'!$B$10:$B$19,$U12)),"—")</f>
        <v>Eli</v>
      </c>
      <c r="C12" s="46" t="str">
        <f t="shared" si="1"/>
        <v>→</v>
      </c>
      <c r="D12" s="22" t="str">
        <f>IFERROR(IF($V12&lt;=0.005,"—",INDEX('Who Owes What'!$B$10:$B$19,$T12)),"—")</f>
        <v>Ben</v>
      </c>
      <c r="E12" s="27">
        <f t="shared" si="2"/>
        <v>318.56</v>
      </c>
      <c r="F12" s="47"/>
      <c r="G12" s="47"/>
      <c r="J12" s="45">
        <f t="shared" si="6"/>
        <v>0</v>
      </c>
      <c r="K12" s="45">
        <f t="shared" si="7"/>
        <v>390.04</v>
      </c>
      <c r="L12" s="45">
        <f t="shared" si="8"/>
        <v>-71.48</v>
      </c>
      <c r="M12" s="45">
        <f t="shared" si="9"/>
        <v>0</v>
      </c>
      <c r="N12" s="45">
        <f t="shared" si="10"/>
        <v>-318.56</v>
      </c>
      <c r="O12" s="45">
        <f t="shared" si="11"/>
        <v>0</v>
      </c>
      <c r="P12" s="45">
        <f t="shared" si="12"/>
        <v>0</v>
      </c>
      <c r="Q12" s="45">
        <f t="shared" si="13"/>
        <v>0</v>
      </c>
      <c r="R12" s="45">
        <f t="shared" si="14"/>
        <v>0</v>
      </c>
      <c r="S12" s="45">
        <f t="shared" si="15"/>
        <v>0</v>
      </c>
      <c r="T12" s="34">
        <f t="shared" si="3"/>
        <v>2</v>
      </c>
      <c r="U12" s="34">
        <f t="shared" si="4"/>
        <v>5</v>
      </c>
      <c r="V12" s="45">
        <f t="shared" si="5"/>
        <v>318.56</v>
      </c>
    </row>
    <row r="13" spans="1:22" ht="16" x14ac:dyDescent="0.2">
      <c r="A13" s="22">
        <f t="shared" si="0"/>
        <v>4</v>
      </c>
      <c r="B13" s="22" t="str">
        <f>IFERROR(IF($V13&lt;=0.005,"—",INDEX('Who Owes What'!$B$10:$B$19,$U13)),"—")</f>
        <v>Chris</v>
      </c>
      <c r="C13" s="46" t="str">
        <f t="shared" si="1"/>
        <v>→</v>
      </c>
      <c r="D13" s="22" t="str">
        <f>IFERROR(IF($V13&lt;=0.005,"—",INDEX('Who Owes What'!$B$10:$B$19,$T13)),"—")</f>
        <v>Ben</v>
      </c>
      <c r="E13" s="27">
        <f t="shared" si="2"/>
        <v>71.48</v>
      </c>
      <c r="F13" s="47"/>
      <c r="G13" s="47"/>
      <c r="J13" s="45">
        <f t="shared" si="6"/>
        <v>0</v>
      </c>
      <c r="K13" s="45">
        <f t="shared" si="7"/>
        <v>71.48</v>
      </c>
      <c r="L13" s="45">
        <f t="shared" si="8"/>
        <v>-71.48</v>
      </c>
      <c r="M13" s="45">
        <f t="shared" si="9"/>
        <v>0</v>
      </c>
      <c r="N13" s="45">
        <f t="shared" si="10"/>
        <v>0</v>
      </c>
      <c r="O13" s="45">
        <f t="shared" si="11"/>
        <v>0</v>
      </c>
      <c r="P13" s="45">
        <f t="shared" si="12"/>
        <v>0</v>
      </c>
      <c r="Q13" s="45">
        <f t="shared" si="13"/>
        <v>0</v>
      </c>
      <c r="R13" s="45">
        <f t="shared" si="14"/>
        <v>0</v>
      </c>
      <c r="S13" s="45">
        <f t="shared" si="15"/>
        <v>0</v>
      </c>
      <c r="T13" s="34">
        <f t="shared" si="3"/>
        <v>2</v>
      </c>
      <c r="U13" s="34">
        <f t="shared" si="4"/>
        <v>3</v>
      </c>
      <c r="V13" s="45">
        <f t="shared" si="5"/>
        <v>71.48</v>
      </c>
    </row>
    <row r="14" spans="1:22" ht="16" x14ac:dyDescent="0.2">
      <c r="A14" s="22" t="str">
        <f t="shared" si="0"/>
        <v>—</v>
      </c>
      <c r="B14" s="22" t="str">
        <f>IFERROR(IF($V14&lt;=0.005,"—",INDEX('Who Owes What'!$B$10:$B$19,$U14)),"—")</f>
        <v>—</v>
      </c>
      <c r="C14" s="46" t="str">
        <f t="shared" si="1"/>
        <v/>
      </c>
      <c r="D14" s="22" t="str">
        <f>IFERROR(IF($V14&lt;=0.005,"—",INDEX('Who Owes What'!$B$10:$B$19,$T14)),"—")</f>
        <v>—</v>
      </c>
      <c r="E14" s="27" t="str">
        <f t="shared" si="2"/>
        <v>—</v>
      </c>
      <c r="F14" s="47"/>
      <c r="G14" s="47"/>
      <c r="J14" s="45">
        <f t="shared" si="6"/>
        <v>0</v>
      </c>
      <c r="K14" s="45">
        <f t="shared" si="7"/>
        <v>0</v>
      </c>
      <c r="L14" s="45">
        <f t="shared" si="8"/>
        <v>0</v>
      </c>
      <c r="M14" s="45">
        <f t="shared" si="9"/>
        <v>0</v>
      </c>
      <c r="N14" s="45">
        <f t="shared" si="10"/>
        <v>0</v>
      </c>
      <c r="O14" s="45">
        <f t="shared" si="11"/>
        <v>0</v>
      </c>
      <c r="P14" s="45">
        <f t="shared" si="12"/>
        <v>0</v>
      </c>
      <c r="Q14" s="45">
        <f t="shared" si="13"/>
        <v>0</v>
      </c>
      <c r="R14" s="45">
        <f t="shared" si="14"/>
        <v>0</v>
      </c>
      <c r="S14" s="45">
        <f t="shared" si="15"/>
        <v>0</v>
      </c>
      <c r="T14" s="34">
        <f t="shared" si="3"/>
        <v>1</v>
      </c>
      <c r="U14" s="34">
        <f t="shared" si="4"/>
        <v>1</v>
      </c>
      <c r="V14" s="45">
        <f t="shared" si="5"/>
        <v>0</v>
      </c>
    </row>
    <row r="15" spans="1:22" ht="16" x14ac:dyDescent="0.2">
      <c r="A15" s="22" t="str">
        <f t="shared" si="0"/>
        <v>—</v>
      </c>
      <c r="B15" s="22" t="str">
        <f>IFERROR(IF($V15&lt;=0.005,"—",INDEX('Who Owes What'!$B$10:$B$19,$U15)),"—")</f>
        <v>—</v>
      </c>
      <c r="C15" s="46" t="str">
        <f t="shared" si="1"/>
        <v/>
      </c>
      <c r="D15" s="22" t="str">
        <f>IFERROR(IF($V15&lt;=0.005,"—",INDEX('Who Owes What'!$B$10:$B$19,$T15)),"—")</f>
        <v>—</v>
      </c>
      <c r="E15" s="27" t="str">
        <f t="shared" si="2"/>
        <v>—</v>
      </c>
      <c r="F15" s="47"/>
      <c r="G15" s="47"/>
      <c r="J15" s="45">
        <f t="shared" si="6"/>
        <v>0</v>
      </c>
      <c r="K15" s="45">
        <f t="shared" si="7"/>
        <v>0</v>
      </c>
      <c r="L15" s="45">
        <f t="shared" si="8"/>
        <v>0</v>
      </c>
      <c r="M15" s="45">
        <f t="shared" si="9"/>
        <v>0</v>
      </c>
      <c r="N15" s="45">
        <f t="shared" si="10"/>
        <v>0</v>
      </c>
      <c r="O15" s="45">
        <f t="shared" si="11"/>
        <v>0</v>
      </c>
      <c r="P15" s="45">
        <f t="shared" si="12"/>
        <v>0</v>
      </c>
      <c r="Q15" s="45">
        <f t="shared" si="13"/>
        <v>0</v>
      </c>
      <c r="R15" s="45">
        <f t="shared" si="14"/>
        <v>0</v>
      </c>
      <c r="S15" s="45">
        <f t="shared" si="15"/>
        <v>0</v>
      </c>
      <c r="T15" s="34">
        <f t="shared" si="3"/>
        <v>1</v>
      </c>
      <c r="U15" s="34">
        <f t="shared" si="4"/>
        <v>1</v>
      </c>
      <c r="V15" s="45">
        <f t="shared" si="5"/>
        <v>0</v>
      </c>
    </row>
    <row r="16" spans="1:22" ht="16" x14ac:dyDescent="0.2">
      <c r="A16" s="22" t="str">
        <f t="shared" si="0"/>
        <v>—</v>
      </c>
      <c r="B16" s="22" t="str">
        <f>IFERROR(IF($V16&lt;=0.005,"—",INDEX('Who Owes What'!$B$10:$B$19,$U16)),"—")</f>
        <v>—</v>
      </c>
      <c r="C16" s="46" t="str">
        <f t="shared" si="1"/>
        <v/>
      </c>
      <c r="D16" s="22" t="str">
        <f>IFERROR(IF($V16&lt;=0.005,"—",INDEX('Who Owes What'!$B$10:$B$19,$T16)),"—")</f>
        <v>—</v>
      </c>
      <c r="E16" s="27" t="str">
        <f t="shared" si="2"/>
        <v>—</v>
      </c>
      <c r="F16" s="47"/>
      <c r="G16" s="47"/>
      <c r="J16" s="45">
        <f t="shared" si="6"/>
        <v>0</v>
      </c>
      <c r="K16" s="45">
        <f t="shared" si="7"/>
        <v>0</v>
      </c>
      <c r="L16" s="45">
        <f t="shared" si="8"/>
        <v>0</v>
      </c>
      <c r="M16" s="45">
        <f t="shared" si="9"/>
        <v>0</v>
      </c>
      <c r="N16" s="45">
        <f t="shared" si="10"/>
        <v>0</v>
      </c>
      <c r="O16" s="45">
        <f t="shared" si="11"/>
        <v>0</v>
      </c>
      <c r="P16" s="45">
        <f t="shared" si="12"/>
        <v>0</v>
      </c>
      <c r="Q16" s="45">
        <f t="shared" si="13"/>
        <v>0</v>
      </c>
      <c r="R16" s="45">
        <f t="shared" si="14"/>
        <v>0</v>
      </c>
      <c r="S16" s="45">
        <f t="shared" si="15"/>
        <v>0</v>
      </c>
      <c r="T16" s="34">
        <f t="shared" si="3"/>
        <v>1</v>
      </c>
      <c r="U16" s="34">
        <f t="shared" si="4"/>
        <v>1</v>
      </c>
      <c r="V16" s="45">
        <f t="shared" si="5"/>
        <v>0</v>
      </c>
    </row>
    <row r="17" spans="1:22" ht="16" x14ac:dyDescent="0.2">
      <c r="A17" s="22" t="str">
        <f t="shared" si="0"/>
        <v>—</v>
      </c>
      <c r="B17" s="22" t="str">
        <f>IFERROR(IF($V17&lt;=0.005,"—",INDEX('Who Owes What'!$B$10:$B$19,$U17)),"—")</f>
        <v>—</v>
      </c>
      <c r="C17" s="46" t="str">
        <f t="shared" si="1"/>
        <v/>
      </c>
      <c r="D17" s="22" t="str">
        <f>IFERROR(IF($V17&lt;=0.005,"—",INDEX('Who Owes What'!$B$10:$B$19,$T17)),"—")</f>
        <v>—</v>
      </c>
      <c r="E17" s="27" t="str">
        <f t="shared" si="2"/>
        <v>—</v>
      </c>
      <c r="F17" s="47"/>
      <c r="G17" s="47"/>
      <c r="J17" s="45">
        <f t="shared" si="6"/>
        <v>0</v>
      </c>
      <c r="K17" s="45">
        <f t="shared" si="7"/>
        <v>0</v>
      </c>
      <c r="L17" s="45">
        <f t="shared" si="8"/>
        <v>0</v>
      </c>
      <c r="M17" s="45">
        <f t="shared" si="9"/>
        <v>0</v>
      </c>
      <c r="N17" s="45">
        <f t="shared" si="10"/>
        <v>0</v>
      </c>
      <c r="O17" s="45">
        <f t="shared" si="11"/>
        <v>0</v>
      </c>
      <c r="P17" s="45">
        <f t="shared" si="12"/>
        <v>0</v>
      </c>
      <c r="Q17" s="45">
        <f t="shared" si="13"/>
        <v>0</v>
      </c>
      <c r="R17" s="45">
        <f t="shared" si="14"/>
        <v>0</v>
      </c>
      <c r="S17" s="45">
        <f t="shared" si="15"/>
        <v>0</v>
      </c>
      <c r="T17" s="34">
        <f t="shared" si="3"/>
        <v>1</v>
      </c>
      <c r="U17" s="34">
        <f t="shared" si="4"/>
        <v>1</v>
      </c>
      <c r="V17" s="45">
        <f t="shared" si="5"/>
        <v>0</v>
      </c>
    </row>
    <row r="18" spans="1:22" ht="16" x14ac:dyDescent="0.2">
      <c r="A18" s="22" t="str">
        <f t="shared" si="0"/>
        <v>—</v>
      </c>
      <c r="B18" s="22" t="str">
        <f>IFERROR(IF($V18&lt;=0.005,"—",INDEX('Who Owes What'!$B$10:$B$19,$U18)),"—")</f>
        <v>—</v>
      </c>
      <c r="C18" s="46" t="str">
        <f t="shared" si="1"/>
        <v/>
      </c>
      <c r="D18" s="22" t="str">
        <f>IFERROR(IF($V18&lt;=0.005,"—",INDEX('Who Owes What'!$B$10:$B$19,$T18)),"—")</f>
        <v>—</v>
      </c>
      <c r="E18" s="27" t="str">
        <f t="shared" si="2"/>
        <v>—</v>
      </c>
      <c r="F18" s="47"/>
      <c r="G18" s="47"/>
      <c r="J18" s="45">
        <f t="shared" si="6"/>
        <v>0</v>
      </c>
      <c r="K18" s="45">
        <f t="shared" si="7"/>
        <v>0</v>
      </c>
      <c r="L18" s="45">
        <f t="shared" si="8"/>
        <v>0</v>
      </c>
      <c r="M18" s="45">
        <f t="shared" si="9"/>
        <v>0</v>
      </c>
      <c r="N18" s="45">
        <f t="shared" si="10"/>
        <v>0</v>
      </c>
      <c r="O18" s="45">
        <f t="shared" si="11"/>
        <v>0</v>
      </c>
      <c r="P18" s="45">
        <f t="shared" si="12"/>
        <v>0</v>
      </c>
      <c r="Q18" s="45">
        <f t="shared" si="13"/>
        <v>0</v>
      </c>
      <c r="R18" s="45">
        <f t="shared" si="14"/>
        <v>0</v>
      </c>
      <c r="S18" s="45">
        <f t="shared" si="15"/>
        <v>0</v>
      </c>
      <c r="T18" s="34">
        <f t="shared" si="3"/>
        <v>1</v>
      </c>
      <c r="U18" s="34">
        <f t="shared" si="4"/>
        <v>1</v>
      </c>
      <c r="V18" s="45">
        <f t="shared" si="5"/>
        <v>0</v>
      </c>
    </row>
    <row r="19" spans="1:22" x14ac:dyDescent="0.2">
      <c r="J19" s="45">
        <f t="shared" si="6"/>
        <v>0</v>
      </c>
      <c r="K19" s="45">
        <f t="shared" si="7"/>
        <v>0</v>
      </c>
      <c r="L19" s="45">
        <f t="shared" si="8"/>
        <v>0</v>
      </c>
      <c r="M19" s="45">
        <f t="shared" si="9"/>
        <v>0</v>
      </c>
      <c r="N19" s="45">
        <f t="shared" si="10"/>
        <v>0</v>
      </c>
      <c r="O19" s="45">
        <f t="shared" si="11"/>
        <v>0</v>
      </c>
      <c r="P19" s="45">
        <f t="shared" si="12"/>
        <v>0</v>
      </c>
      <c r="Q19" s="45">
        <f t="shared" si="13"/>
        <v>0</v>
      </c>
      <c r="R19" s="45">
        <f t="shared" si="14"/>
        <v>0</v>
      </c>
      <c r="S19" s="45">
        <f t="shared" si="15"/>
        <v>0</v>
      </c>
      <c r="T19" s="34">
        <f t="shared" si="3"/>
        <v>1</v>
      </c>
      <c r="U19" s="34">
        <f t="shared" si="4"/>
        <v>1</v>
      </c>
      <c r="V19" s="45">
        <f t="shared" si="5"/>
        <v>0</v>
      </c>
    </row>
    <row r="20" spans="1:22" x14ac:dyDescent="0.2">
      <c r="D20" s="48" t="s">
        <v>143</v>
      </c>
      <c r="E20" s="49">
        <f>IF('Who Owes What'!$J$1=0,"—",IFERROR(ROUND(MAX(SUMIF($J$19:$S$19,"&gt;"&amp;0.009),-SUMIF($J$19:$S$19,"&lt;-0.009")),2),0))</f>
        <v>0</v>
      </c>
    </row>
    <row r="21" spans="1:22" x14ac:dyDescent="0.2">
      <c r="D21" s="48" t="s">
        <v>144</v>
      </c>
      <c r="E21" s="49">
        <f>IF('Who Owes What'!$J$1=0,"—",IFERROR(SUMIF($V$10:$V$18,"&gt;="&amp;0.01),0))</f>
        <v>1659.04</v>
      </c>
    </row>
    <row r="22" spans="1:22" x14ac:dyDescent="0.2">
      <c r="D22" s="48" t="s">
        <v>145</v>
      </c>
      <c r="E22" s="50" t="str">
        <f>IF(COUNTIF($V$10:$V$18,"&gt;="&amp;0.01)=0,"—",COUNTIF($F$10:$F$18,"Yes")&amp;" of "&amp;COUNTIF($V$10:$V$18,"&gt;="&amp;0.01)&amp;" done")</f>
        <v>0 of 4 done</v>
      </c>
    </row>
    <row r="24" spans="1:22" x14ac:dyDescent="0.2">
      <c r="B24" s="4" t="s">
        <v>146</v>
      </c>
    </row>
  </sheetData>
  <mergeCells count="3">
    <mergeCell ref="B4:G4"/>
    <mergeCell ref="A2:G2"/>
    <mergeCell ref="A1:G1"/>
  </mergeCells>
  <conditionalFormatting sqref="E20">
    <cfRule type="expression" dxfId="2" priority="2">
      <formula>AND(ISNUMBER($E$20),ABS($E$20)&lt;0.01)</formula>
    </cfRule>
    <cfRule type="expression" dxfId="1" priority="3">
      <formula>AND(ISNUMBER($E$20),ABS($E$20)&gt;=0.01)</formula>
    </cfRule>
  </conditionalFormatting>
  <conditionalFormatting sqref="F10:F18">
    <cfRule type="expression" dxfId="0" priority="1">
      <formula>$F10="Yes"</formula>
    </cfRule>
  </conditionalFormatting>
  <pageMargins left="0.75" right="0.75" top="1" bottom="1" header="0.5" footer="0.5"/>
  <pageSetup fitToHeight="0" orientation="portrait"/>
  <headerFooter>
    <oddFooter>&amp;L&amp;F&amp;RPage &amp;P of &amp;N</oddFooter>
  </headerFooter>
  <extLst>
    <ext xmlns:x14="http://schemas.microsoft.com/office/spreadsheetml/2009/9/main" uri="{CCE6A557-97BC-4b89-ADB6-D9C93CAAB3DF}">
      <x14:dataValidations xmlns:xm="http://schemas.microsoft.com/office/excel/2006/main" count="1">
        <x14:dataValidation type="list" allowBlank="1" showErrorMessage="1" errorTitle="Pick from the list" error="Pick one of the entries on the Setup sheet — or clear the cell." xr:uid="{00000000-0002-0000-0300-000000000000}">
          <x14:formula1>
            <xm:f>Setup!$L$21:$L$22</xm:f>
          </x14:formula1>
          <xm:sqref>F10:F18</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Arbeitsblätter</vt:lpstr>
      </vt:variant>
      <vt:variant>
        <vt:i4>4</vt:i4>
      </vt:variant>
      <vt:variant>
        <vt:lpstr>Benannte Bereiche</vt:lpstr>
      </vt:variant>
      <vt:variant>
        <vt:i4>5</vt:i4>
      </vt:variant>
    </vt:vector>
  </HeadingPairs>
  <TitlesOfParts>
    <vt:vector size="9" baseType="lpstr">
      <vt:lpstr>Setup</vt:lpstr>
      <vt:lpstr>Expenses</vt:lpstr>
      <vt:lpstr>Who Owes What</vt:lpstr>
      <vt:lpstr>Settle Up</vt:lpstr>
      <vt:lpstr>Expenses!Druckbereich</vt:lpstr>
      <vt:lpstr>'Settle Up'!Druckbereich</vt:lpstr>
      <vt:lpstr>Setup!Druckbereich</vt:lpstr>
      <vt:lpstr>'Who Owes What'!Druckbereich</vt:lpstr>
      <vt:lpstr>Expenses!Drucktitel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Fabian Hönes</cp:lastModifiedBy>
  <dcterms:created xsi:type="dcterms:W3CDTF">2026-07-29T11:54:32Z</dcterms:created>
  <dcterms:modified xsi:type="dcterms:W3CDTF">2026-07-29T11:55:08Z</dcterms:modified>
</cp:coreProperties>
</file>