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fabianhones/Desktop/Geld_verdienen/experiment/products/invoice-tracker/"/>
    </mc:Choice>
  </mc:AlternateContent>
  <xr:revisionPtr revIDLastSave="0" documentId="13_ncr:1_{44E92DF1-D19C-2545-8D0C-08A7E94378D9}" xr6:coauthVersionLast="47" xr6:coauthVersionMax="47" xr10:uidLastSave="{00000000-0000-0000-0000-000000000000}"/>
  <bookViews>
    <workbookView xWindow="0" yWindow="660" windowWidth="34560" windowHeight="20100" xr2:uid="{00000000-000D-0000-FFFF-FFFF00000000}"/>
  </bookViews>
  <sheets>
    <sheet name="Start Here" sheetId="1" r:id="rId1"/>
    <sheet name="Dashboard" sheetId="2" r:id="rId2"/>
    <sheet name="Invoices" sheetId="3" r:id="rId3"/>
    <sheet name="Line Items" sheetId="4" r:id="rId4"/>
    <sheet name="Invoice (print)" sheetId="5" r:id="rId5"/>
    <sheet name="Lists" sheetId="6" r:id="rId6"/>
  </sheets>
  <definedNames>
    <definedName name="_xlnm._FilterDatabase" localSheetId="2" hidden="1">Invoices!$A$7:$V$257</definedName>
    <definedName name="_xlnm._FilterDatabase" localSheetId="3" hidden="1">'Line Items'!$A$7:$J$507</definedName>
    <definedName name="_xlnm.Print_Area" localSheetId="4">'Invoice (print)'!$A$2:$G$45</definedName>
  </definedNames>
  <calcPr calcId="18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44" i="5" l="1"/>
  <c r="A43" i="5"/>
  <c r="A42" i="5"/>
  <c r="F39" i="5"/>
  <c r="F35" i="5"/>
  <c r="A33" i="5"/>
  <c r="A13" i="5"/>
  <c r="A12" i="5"/>
  <c r="A11" i="5"/>
  <c r="A10" i="5"/>
  <c r="A9" i="5"/>
  <c r="A8" i="5"/>
  <c r="A7" i="5"/>
  <c r="A6" i="5"/>
  <c r="J1" i="5"/>
  <c r="J507" i="4"/>
  <c r="I507" i="4"/>
  <c r="H507" i="4"/>
  <c r="J506" i="4"/>
  <c r="I506" i="4"/>
  <c r="H506" i="4"/>
  <c r="J505" i="4"/>
  <c r="I505" i="4"/>
  <c r="H505" i="4"/>
  <c r="J504" i="4"/>
  <c r="I504" i="4"/>
  <c r="H504" i="4"/>
  <c r="J503" i="4"/>
  <c r="I503" i="4"/>
  <c r="H503" i="4"/>
  <c r="J502" i="4"/>
  <c r="I502" i="4"/>
  <c r="H502" i="4"/>
  <c r="J501" i="4"/>
  <c r="I501" i="4"/>
  <c r="H501" i="4"/>
  <c r="J500" i="4"/>
  <c r="I500" i="4"/>
  <c r="H500" i="4"/>
  <c r="J499" i="4"/>
  <c r="I499" i="4"/>
  <c r="H499" i="4"/>
  <c r="J498" i="4"/>
  <c r="I498" i="4"/>
  <c r="H498" i="4"/>
  <c r="J497" i="4"/>
  <c r="I497" i="4"/>
  <c r="H497" i="4"/>
  <c r="J496" i="4"/>
  <c r="I496" i="4"/>
  <c r="H496" i="4"/>
  <c r="J495" i="4"/>
  <c r="I495" i="4"/>
  <c r="H495" i="4"/>
  <c r="J494" i="4"/>
  <c r="I494" i="4"/>
  <c r="H494" i="4"/>
  <c r="J493" i="4"/>
  <c r="I493" i="4"/>
  <c r="H493" i="4"/>
  <c r="J492" i="4"/>
  <c r="I492" i="4"/>
  <c r="H492" i="4"/>
  <c r="J491" i="4"/>
  <c r="I491" i="4"/>
  <c r="H491" i="4"/>
  <c r="J490" i="4"/>
  <c r="I490" i="4"/>
  <c r="H490" i="4"/>
  <c r="J489" i="4"/>
  <c r="I489" i="4"/>
  <c r="H489" i="4"/>
  <c r="J488" i="4"/>
  <c r="I488" i="4"/>
  <c r="H488" i="4"/>
  <c r="J487" i="4"/>
  <c r="I487" i="4"/>
  <c r="H487" i="4"/>
  <c r="J486" i="4"/>
  <c r="I486" i="4"/>
  <c r="H486" i="4"/>
  <c r="J485" i="4"/>
  <c r="I485" i="4"/>
  <c r="H485" i="4"/>
  <c r="J484" i="4"/>
  <c r="I484" i="4"/>
  <c r="H484" i="4"/>
  <c r="J483" i="4"/>
  <c r="I483" i="4"/>
  <c r="H483" i="4"/>
  <c r="J482" i="4"/>
  <c r="I482" i="4"/>
  <c r="H482" i="4"/>
  <c r="J481" i="4"/>
  <c r="I481" i="4"/>
  <c r="H481" i="4"/>
  <c r="J480" i="4"/>
  <c r="I480" i="4"/>
  <c r="H480" i="4"/>
  <c r="J479" i="4"/>
  <c r="I479" i="4"/>
  <c r="H479" i="4"/>
  <c r="J478" i="4"/>
  <c r="I478" i="4"/>
  <c r="H478" i="4"/>
  <c r="J477" i="4"/>
  <c r="I477" i="4"/>
  <c r="H477" i="4"/>
  <c r="J476" i="4"/>
  <c r="I476" i="4"/>
  <c r="H476" i="4"/>
  <c r="J475" i="4"/>
  <c r="I475" i="4"/>
  <c r="H475" i="4"/>
  <c r="J474" i="4"/>
  <c r="I474" i="4"/>
  <c r="H474" i="4"/>
  <c r="J473" i="4"/>
  <c r="I473" i="4"/>
  <c r="H473" i="4"/>
  <c r="J472" i="4"/>
  <c r="I472" i="4"/>
  <c r="H472" i="4"/>
  <c r="J471" i="4"/>
  <c r="I471" i="4"/>
  <c r="H471" i="4"/>
  <c r="J470" i="4"/>
  <c r="I470" i="4"/>
  <c r="H470" i="4"/>
  <c r="J469" i="4"/>
  <c r="I469" i="4"/>
  <c r="H469" i="4"/>
  <c r="J468" i="4"/>
  <c r="I468" i="4"/>
  <c r="H468" i="4"/>
  <c r="J467" i="4"/>
  <c r="I467" i="4"/>
  <c r="H467" i="4"/>
  <c r="J466" i="4"/>
  <c r="I466" i="4"/>
  <c r="H466" i="4"/>
  <c r="J465" i="4"/>
  <c r="I465" i="4"/>
  <c r="H465" i="4"/>
  <c r="J464" i="4"/>
  <c r="I464" i="4"/>
  <c r="H464" i="4"/>
  <c r="J463" i="4"/>
  <c r="I463" i="4"/>
  <c r="H463" i="4"/>
  <c r="J462" i="4"/>
  <c r="I462" i="4"/>
  <c r="H462" i="4"/>
  <c r="J461" i="4"/>
  <c r="I461" i="4"/>
  <c r="H461" i="4"/>
  <c r="J460" i="4"/>
  <c r="I460" i="4"/>
  <c r="H460" i="4"/>
  <c r="J459" i="4"/>
  <c r="I459" i="4"/>
  <c r="H459" i="4"/>
  <c r="J458" i="4"/>
  <c r="I458" i="4"/>
  <c r="H458" i="4"/>
  <c r="J457" i="4"/>
  <c r="I457" i="4"/>
  <c r="H457" i="4"/>
  <c r="J456" i="4"/>
  <c r="I456" i="4"/>
  <c r="H456" i="4"/>
  <c r="J455" i="4"/>
  <c r="I455" i="4"/>
  <c r="H455" i="4"/>
  <c r="J454" i="4"/>
  <c r="I454" i="4"/>
  <c r="H454" i="4"/>
  <c r="J453" i="4"/>
  <c r="I453" i="4"/>
  <c r="H453" i="4"/>
  <c r="J452" i="4"/>
  <c r="I452" i="4"/>
  <c r="H452" i="4"/>
  <c r="J451" i="4"/>
  <c r="I451" i="4"/>
  <c r="H451" i="4"/>
  <c r="J450" i="4"/>
  <c r="I450" i="4"/>
  <c r="H450" i="4"/>
  <c r="J449" i="4"/>
  <c r="I449" i="4"/>
  <c r="H449" i="4"/>
  <c r="J448" i="4"/>
  <c r="I448" i="4"/>
  <c r="H448" i="4"/>
  <c r="J447" i="4"/>
  <c r="I447" i="4"/>
  <c r="H447" i="4"/>
  <c r="J446" i="4"/>
  <c r="I446" i="4"/>
  <c r="H446" i="4"/>
  <c r="J445" i="4"/>
  <c r="I445" i="4"/>
  <c r="H445" i="4"/>
  <c r="J444" i="4"/>
  <c r="I444" i="4"/>
  <c r="H444" i="4"/>
  <c r="J443" i="4"/>
  <c r="I443" i="4"/>
  <c r="H443" i="4"/>
  <c r="J442" i="4"/>
  <c r="I442" i="4"/>
  <c r="H442" i="4"/>
  <c r="J441" i="4"/>
  <c r="I441" i="4"/>
  <c r="H441" i="4"/>
  <c r="J440" i="4"/>
  <c r="I440" i="4"/>
  <c r="H440" i="4"/>
  <c r="J439" i="4"/>
  <c r="I439" i="4"/>
  <c r="H439" i="4"/>
  <c r="J438" i="4"/>
  <c r="I438" i="4"/>
  <c r="H438" i="4"/>
  <c r="J437" i="4"/>
  <c r="I437" i="4"/>
  <c r="H437" i="4"/>
  <c r="J436" i="4"/>
  <c r="I436" i="4"/>
  <c r="H436" i="4"/>
  <c r="J435" i="4"/>
  <c r="I435" i="4"/>
  <c r="H435" i="4"/>
  <c r="J434" i="4"/>
  <c r="I434" i="4"/>
  <c r="H434" i="4"/>
  <c r="J433" i="4"/>
  <c r="I433" i="4"/>
  <c r="H433" i="4"/>
  <c r="J432" i="4"/>
  <c r="I432" i="4"/>
  <c r="H432" i="4"/>
  <c r="J431" i="4"/>
  <c r="I431" i="4"/>
  <c r="H431" i="4"/>
  <c r="J430" i="4"/>
  <c r="I430" i="4"/>
  <c r="H430" i="4"/>
  <c r="J429" i="4"/>
  <c r="I429" i="4"/>
  <c r="H429" i="4"/>
  <c r="J428" i="4"/>
  <c r="I428" i="4"/>
  <c r="H428" i="4"/>
  <c r="J427" i="4"/>
  <c r="I427" i="4"/>
  <c r="H427" i="4"/>
  <c r="J426" i="4"/>
  <c r="I426" i="4"/>
  <c r="H426" i="4"/>
  <c r="J425" i="4"/>
  <c r="I425" i="4"/>
  <c r="H425" i="4"/>
  <c r="J424" i="4"/>
  <c r="I424" i="4"/>
  <c r="H424" i="4"/>
  <c r="J423" i="4"/>
  <c r="I423" i="4"/>
  <c r="H423" i="4"/>
  <c r="J422" i="4"/>
  <c r="I422" i="4"/>
  <c r="H422" i="4"/>
  <c r="J421" i="4"/>
  <c r="I421" i="4"/>
  <c r="H421" i="4"/>
  <c r="J420" i="4"/>
  <c r="I420" i="4"/>
  <c r="H420" i="4"/>
  <c r="J419" i="4"/>
  <c r="I419" i="4"/>
  <c r="H419" i="4"/>
  <c r="J418" i="4"/>
  <c r="I418" i="4"/>
  <c r="H418" i="4"/>
  <c r="J417" i="4"/>
  <c r="I417" i="4"/>
  <c r="H417" i="4"/>
  <c r="J416" i="4"/>
  <c r="I416" i="4"/>
  <c r="H416" i="4"/>
  <c r="J415" i="4"/>
  <c r="I415" i="4"/>
  <c r="H415" i="4"/>
  <c r="J414" i="4"/>
  <c r="I414" i="4"/>
  <c r="H414" i="4"/>
  <c r="J413" i="4"/>
  <c r="I413" i="4"/>
  <c r="H413" i="4"/>
  <c r="J412" i="4"/>
  <c r="I412" i="4"/>
  <c r="H412" i="4"/>
  <c r="J411" i="4"/>
  <c r="I411" i="4"/>
  <c r="H411" i="4"/>
  <c r="J410" i="4"/>
  <c r="I410" i="4"/>
  <c r="H410" i="4"/>
  <c r="J409" i="4"/>
  <c r="I409" i="4"/>
  <c r="H409" i="4"/>
  <c r="J408" i="4"/>
  <c r="I408" i="4"/>
  <c r="H408" i="4"/>
  <c r="J407" i="4"/>
  <c r="I407" i="4"/>
  <c r="H407" i="4"/>
  <c r="J406" i="4"/>
  <c r="I406" i="4"/>
  <c r="H406" i="4"/>
  <c r="J405" i="4"/>
  <c r="I405" i="4"/>
  <c r="H405" i="4"/>
  <c r="J404" i="4"/>
  <c r="I404" i="4"/>
  <c r="H404" i="4"/>
  <c r="J403" i="4"/>
  <c r="I403" i="4"/>
  <c r="H403" i="4"/>
  <c r="J402" i="4"/>
  <c r="I402" i="4"/>
  <c r="H402" i="4"/>
  <c r="J401" i="4"/>
  <c r="I401" i="4"/>
  <c r="H401" i="4"/>
  <c r="J400" i="4"/>
  <c r="I400" i="4"/>
  <c r="H400" i="4"/>
  <c r="J399" i="4"/>
  <c r="I399" i="4"/>
  <c r="H399" i="4"/>
  <c r="J398" i="4"/>
  <c r="I398" i="4"/>
  <c r="H398" i="4"/>
  <c r="J397" i="4"/>
  <c r="I397" i="4"/>
  <c r="H397" i="4"/>
  <c r="J396" i="4"/>
  <c r="I396" i="4"/>
  <c r="H396" i="4"/>
  <c r="J395" i="4"/>
  <c r="I395" i="4"/>
  <c r="H395" i="4"/>
  <c r="J394" i="4"/>
  <c r="I394" i="4"/>
  <c r="H394" i="4"/>
  <c r="J393" i="4"/>
  <c r="I393" i="4"/>
  <c r="H393" i="4"/>
  <c r="J392" i="4"/>
  <c r="I392" i="4"/>
  <c r="H392" i="4"/>
  <c r="J391" i="4"/>
  <c r="I391" i="4"/>
  <c r="H391" i="4"/>
  <c r="J390" i="4"/>
  <c r="I390" i="4"/>
  <c r="H390" i="4"/>
  <c r="J389" i="4"/>
  <c r="I389" i="4"/>
  <c r="H389" i="4"/>
  <c r="J388" i="4"/>
  <c r="I388" i="4"/>
  <c r="H388" i="4"/>
  <c r="J387" i="4"/>
  <c r="I387" i="4"/>
  <c r="H387" i="4"/>
  <c r="J386" i="4"/>
  <c r="I386" i="4"/>
  <c r="H386" i="4"/>
  <c r="J385" i="4"/>
  <c r="I385" i="4"/>
  <c r="H385" i="4"/>
  <c r="J384" i="4"/>
  <c r="I384" i="4"/>
  <c r="H384" i="4"/>
  <c r="J383" i="4"/>
  <c r="I383" i="4"/>
  <c r="H383" i="4"/>
  <c r="J382" i="4"/>
  <c r="I382" i="4"/>
  <c r="H382" i="4"/>
  <c r="J381" i="4"/>
  <c r="I381" i="4"/>
  <c r="H381" i="4"/>
  <c r="J380" i="4"/>
  <c r="I380" i="4"/>
  <c r="H380" i="4"/>
  <c r="J379" i="4"/>
  <c r="I379" i="4"/>
  <c r="H379" i="4"/>
  <c r="J378" i="4"/>
  <c r="I378" i="4"/>
  <c r="H378" i="4"/>
  <c r="J377" i="4"/>
  <c r="I377" i="4"/>
  <c r="H377" i="4"/>
  <c r="J376" i="4"/>
  <c r="I376" i="4"/>
  <c r="H376" i="4"/>
  <c r="J375" i="4"/>
  <c r="I375" i="4"/>
  <c r="H375" i="4"/>
  <c r="J374" i="4"/>
  <c r="I374" i="4"/>
  <c r="H374" i="4"/>
  <c r="J373" i="4"/>
  <c r="I373" i="4"/>
  <c r="H373" i="4"/>
  <c r="J372" i="4"/>
  <c r="I372" i="4"/>
  <c r="H372" i="4"/>
  <c r="J371" i="4"/>
  <c r="I371" i="4"/>
  <c r="H371" i="4"/>
  <c r="J370" i="4"/>
  <c r="I370" i="4"/>
  <c r="H370" i="4"/>
  <c r="J369" i="4"/>
  <c r="I369" i="4"/>
  <c r="H369" i="4"/>
  <c r="J368" i="4"/>
  <c r="I368" i="4"/>
  <c r="H368" i="4"/>
  <c r="J367" i="4"/>
  <c r="I367" i="4"/>
  <c r="H367" i="4"/>
  <c r="J366" i="4"/>
  <c r="I366" i="4"/>
  <c r="H366" i="4"/>
  <c r="J365" i="4"/>
  <c r="I365" i="4"/>
  <c r="H365" i="4"/>
  <c r="J364" i="4"/>
  <c r="I364" i="4"/>
  <c r="H364" i="4"/>
  <c r="J363" i="4"/>
  <c r="I363" i="4"/>
  <c r="H363" i="4"/>
  <c r="J362" i="4"/>
  <c r="I362" i="4"/>
  <c r="H362" i="4"/>
  <c r="J361" i="4"/>
  <c r="I361" i="4"/>
  <c r="H361" i="4"/>
  <c r="J360" i="4"/>
  <c r="I360" i="4"/>
  <c r="H360" i="4"/>
  <c r="J359" i="4"/>
  <c r="I359" i="4"/>
  <c r="H359" i="4"/>
  <c r="J358" i="4"/>
  <c r="I358" i="4"/>
  <c r="H358" i="4"/>
  <c r="J357" i="4"/>
  <c r="I357" i="4"/>
  <c r="H357" i="4"/>
  <c r="J356" i="4"/>
  <c r="I356" i="4"/>
  <c r="H356" i="4"/>
  <c r="J355" i="4"/>
  <c r="I355" i="4"/>
  <c r="H355" i="4"/>
  <c r="J354" i="4"/>
  <c r="I354" i="4"/>
  <c r="H354" i="4"/>
  <c r="J353" i="4"/>
  <c r="I353" i="4"/>
  <c r="H353" i="4"/>
  <c r="J352" i="4"/>
  <c r="I352" i="4"/>
  <c r="H352" i="4"/>
  <c r="J351" i="4"/>
  <c r="I351" i="4"/>
  <c r="H351" i="4"/>
  <c r="J350" i="4"/>
  <c r="I350" i="4"/>
  <c r="H350" i="4"/>
  <c r="J349" i="4"/>
  <c r="I349" i="4"/>
  <c r="H349" i="4"/>
  <c r="J348" i="4"/>
  <c r="I348" i="4"/>
  <c r="H348" i="4"/>
  <c r="J347" i="4"/>
  <c r="I347" i="4"/>
  <c r="H347" i="4"/>
  <c r="J346" i="4"/>
  <c r="I346" i="4"/>
  <c r="H346" i="4"/>
  <c r="J345" i="4"/>
  <c r="I345" i="4"/>
  <c r="H345" i="4"/>
  <c r="J344" i="4"/>
  <c r="I344" i="4"/>
  <c r="H344" i="4"/>
  <c r="J343" i="4"/>
  <c r="I343" i="4"/>
  <c r="H343" i="4"/>
  <c r="J342" i="4"/>
  <c r="I342" i="4"/>
  <c r="H342" i="4"/>
  <c r="J341" i="4"/>
  <c r="I341" i="4"/>
  <c r="H341" i="4"/>
  <c r="J340" i="4"/>
  <c r="I340" i="4"/>
  <c r="H340" i="4"/>
  <c r="J339" i="4"/>
  <c r="I339" i="4"/>
  <c r="H339" i="4"/>
  <c r="J338" i="4"/>
  <c r="I338" i="4"/>
  <c r="H338" i="4"/>
  <c r="J337" i="4"/>
  <c r="I337" i="4"/>
  <c r="H337" i="4"/>
  <c r="J336" i="4"/>
  <c r="I336" i="4"/>
  <c r="H336" i="4"/>
  <c r="J335" i="4"/>
  <c r="I335" i="4"/>
  <c r="H335" i="4"/>
  <c r="J334" i="4"/>
  <c r="I334" i="4"/>
  <c r="H334" i="4"/>
  <c r="J333" i="4"/>
  <c r="I333" i="4"/>
  <c r="H333" i="4"/>
  <c r="J332" i="4"/>
  <c r="I332" i="4"/>
  <c r="H332" i="4"/>
  <c r="J331" i="4"/>
  <c r="I331" i="4"/>
  <c r="H331" i="4"/>
  <c r="J330" i="4"/>
  <c r="I330" i="4"/>
  <c r="H330" i="4"/>
  <c r="J329" i="4"/>
  <c r="I329" i="4"/>
  <c r="H329" i="4"/>
  <c r="J328" i="4"/>
  <c r="I328" i="4"/>
  <c r="H328" i="4"/>
  <c r="J327" i="4"/>
  <c r="I327" i="4"/>
  <c r="H327" i="4"/>
  <c r="J326" i="4"/>
  <c r="I326" i="4"/>
  <c r="H326" i="4"/>
  <c r="J325" i="4"/>
  <c r="I325" i="4"/>
  <c r="H325" i="4"/>
  <c r="J324" i="4"/>
  <c r="I324" i="4"/>
  <c r="H324" i="4"/>
  <c r="J323" i="4"/>
  <c r="I323" i="4"/>
  <c r="H323" i="4"/>
  <c r="J322" i="4"/>
  <c r="I322" i="4"/>
  <c r="H322" i="4"/>
  <c r="J321" i="4"/>
  <c r="I321" i="4"/>
  <c r="H321" i="4"/>
  <c r="J320" i="4"/>
  <c r="I320" i="4"/>
  <c r="H320" i="4"/>
  <c r="J319" i="4"/>
  <c r="I319" i="4"/>
  <c r="H319" i="4"/>
  <c r="J318" i="4"/>
  <c r="I318" i="4"/>
  <c r="H318" i="4"/>
  <c r="J317" i="4"/>
  <c r="I317" i="4"/>
  <c r="H317" i="4"/>
  <c r="J316" i="4"/>
  <c r="I316" i="4"/>
  <c r="H316" i="4"/>
  <c r="J315" i="4"/>
  <c r="I315" i="4"/>
  <c r="H315" i="4"/>
  <c r="J314" i="4"/>
  <c r="I314" i="4"/>
  <c r="H314" i="4"/>
  <c r="J313" i="4"/>
  <c r="I313" i="4"/>
  <c r="H313" i="4"/>
  <c r="J312" i="4"/>
  <c r="I312" i="4"/>
  <c r="H312" i="4"/>
  <c r="J311" i="4"/>
  <c r="I311" i="4"/>
  <c r="H311" i="4"/>
  <c r="J310" i="4"/>
  <c r="I310" i="4"/>
  <c r="H310" i="4"/>
  <c r="J309" i="4"/>
  <c r="I309" i="4"/>
  <c r="H309" i="4"/>
  <c r="J308" i="4"/>
  <c r="I308" i="4"/>
  <c r="H308" i="4"/>
  <c r="J307" i="4"/>
  <c r="I307" i="4"/>
  <c r="H307" i="4"/>
  <c r="J306" i="4"/>
  <c r="I306" i="4"/>
  <c r="H306" i="4"/>
  <c r="J305" i="4"/>
  <c r="I305" i="4"/>
  <c r="H305" i="4"/>
  <c r="J304" i="4"/>
  <c r="I304" i="4"/>
  <c r="H304" i="4"/>
  <c r="J303" i="4"/>
  <c r="I303" i="4"/>
  <c r="H303" i="4"/>
  <c r="J302" i="4"/>
  <c r="I302" i="4"/>
  <c r="H302" i="4"/>
  <c r="J301" i="4"/>
  <c r="I301" i="4"/>
  <c r="H301" i="4"/>
  <c r="J300" i="4"/>
  <c r="I300" i="4"/>
  <c r="H300" i="4"/>
  <c r="J299" i="4"/>
  <c r="I299" i="4"/>
  <c r="H299" i="4"/>
  <c r="J298" i="4"/>
  <c r="I298" i="4"/>
  <c r="H298" i="4"/>
  <c r="J297" i="4"/>
  <c r="I297" i="4"/>
  <c r="H297" i="4"/>
  <c r="J296" i="4"/>
  <c r="I296" i="4"/>
  <c r="H296" i="4"/>
  <c r="J295" i="4"/>
  <c r="I295" i="4"/>
  <c r="H295" i="4"/>
  <c r="J294" i="4"/>
  <c r="I294" i="4"/>
  <c r="H294" i="4"/>
  <c r="J293" i="4"/>
  <c r="I293" i="4"/>
  <c r="H293" i="4"/>
  <c r="J292" i="4"/>
  <c r="I292" i="4"/>
  <c r="H292" i="4"/>
  <c r="J291" i="4"/>
  <c r="I291" i="4"/>
  <c r="H291" i="4"/>
  <c r="J290" i="4"/>
  <c r="I290" i="4"/>
  <c r="H290" i="4"/>
  <c r="J289" i="4"/>
  <c r="I289" i="4"/>
  <c r="H289" i="4"/>
  <c r="J288" i="4"/>
  <c r="I288" i="4"/>
  <c r="H288" i="4"/>
  <c r="J287" i="4"/>
  <c r="I287" i="4"/>
  <c r="H287" i="4"/>
  <c r="J286" i="4"/>
  <c r="I286" i="4"/>
  <c r="H286" i="4"/>
  <c r="J285" i="4"/>
  <c r="I285" i="4"/>
  <c r="H285" i="4"/>
  <c r="J284" i="4"/>
  <c r="I284" i="4"/>
  <c r="H284" i="4"/>
  <c r="J283" i="4"/>
  <c r="I283" i="4"/>
  <c r="H283" i="4"/>
  <c r="J282" i="4"/>
  <c r="I282" i="4"/>
  <c r="H282" i="4"/>
  <c r="J281" i="4"/>
  <c r="I281" i="4"/>
  <c r="H281" i="4"/>
  <c r="J280" i="4"/>
  <c r="I280" i="4"/>
  <c r="H280" i="4"/>
  <c r="J279" i="4"/>
  <c r="I279" i="4"/>
  <c r="H279" i="4"/>
  <c r="J278" i="4"/>
  <c r="I278" i="4"/>
  <c r="H278" i="4"/>
  <c r="J277" i="4"/>
  <c r="I277" i="4"/>
  <c r="H277" i="4"/>
  <c r="J276" i="4"/>
  <c r="I276" i="4"/>
  <c r="H276" i="4"/>
  <c r="J275" i="4"/>
  <c r="I275" i="4"/>
  <c r="H275" i="4"/>
  <c r="J274" i="4"/>
  <c r="I274" i="4"/>
  <c r="H274" i="4"/>
  <c r="J273" i="4"/>
  <c r="I273" i="4"/>
  <c r="H273" i="4"/>
  <c r="J272" i="4"/>
  <c r="I272" i="4"/>
  <c r="H272" i="4"/>
  <c r="J271" i="4"/>
  <c r="I271" i="4"/>
  <c r="H271" i="4"/>
  <c r="J270" i="4"/>
  <c r="I270" i="4"/>
  <c r="H270" i="4"/>
  <c r="J269" i="4"/>
  <c r="I269" i="4"/>
  <c r="H269" i="4"/>
  <c r="J268" i="4"/>
  <c r="I268" i="4"/>
  <c r="H268" i="4"/>
  <c r="J267" i="4"/>
  <c r="I267" i="4"/>
  <c r="H267" i="4"/>
  <c r="J266" i="4"/>
  <c r="I266" i="4"/>
  <c r="H266" i="4"/>
  <c r="J265" i="4"/>
  <c r="I265" i="4"/>
  <c r="H265" i="4"/>
  <c r="J264" i="4"/>
  <c r="I264" i="4"/>
  <c r="H264" i="4"/>
  <c r="J263" i="4"/>
  <c r="I263" i="4"/>
  <c r="H263" i="4"/>
  <c r="J262" i="4"/>
  <c r="I262" i="4"/>
  <c r="H262" i="4"/>
  <c r="J261" i="4"/>
  <c r="I261" i="4"/>
  <c r="H261" i="4"/>
  <c r="J260" i="4"/>
  <c r="I260" i="4"/>
  <c r="H260" i="4"/>
  <c r="J259" i="4"/>
  <c r="I259" i="4"/>
  <c r="H259" i="4"/>
  <c r="J258" i="4"/>
  <c r="I258" i="4"/>
  <c r="H258" i="4"/>
  <c r="J257" i="4"/>
  <c r="I257" i="4"/>
  <c r="H257" i="4"/>
  <c r="J256" i="4"/>
  <c r="I256" i="4"/>
  <c r="H256" i="4"/>
  <c r="J255" i="4"/>
  <c r="I255" i="4"/>
  <c r="H255" i="4"/>
  <c r="J254" i="4"/>
  <c r="I254" i="4"/>
  <c r="H254" i="4"/>
  <c r="J253" i="4"/>
  <c r="I253" i="4"/>
  <c r="H253" i="4"/>
  <c r="J252" i="4"/>
  <c r="I252" i="4"/>
  <c r="H252" i="4"/>
  <c r="J251" i="4"/>
  <c r="I251" i="4"/>
  <c r="H251" i="4"/>
  <c r="J250" i="4"/>
  <c r="I250" i="4"/>
  <c r="H250" i="4"/>
  <c r="J249" i="4"/>
  <c r="I249" i="4"/>
  <c r="H249" i="4"/>
  <c r="J248" i="4"/>
  <c r="I248" i="4"/>
  <c r="H248" i="4"/>
  <c r="J247" i="4"/>
  <c r="I247" i="4"/>
  <c r="H247" i="4"/>
  <c r="J246" i="4"/>
  <c r="I246" i="4"/>
  <c r="H246" i="4"/>
  <c r="J245" i="4"/>
  <c r="I245" i="4"/>
  <c r="H245" i="4"/>
  <c r="J244" i="4"/>
  <c r="I244" i="4"/>
  <c r="H244" i="4"/>
  <c r="J243" i="4"/>
  <c r="I243" i="4"/>
  <c r="H243" i="4"/>
  <c r="J242" i="4"/>
  <c r="I242" i="4"/>
  <c r="H242" i="4"/>
  <c r="J241" i="4"/>
  <c r="I241" i="4"/>
  <c r="H241" i="4"/>
  <c r="J240" i="4"/>
  <c r="I240" i="4"/>
  <c r="H240" i="4"/>
  <c r="J239" i="4"/>
  <c r="I239" i="4"/>
  <c r="H239" i="4"/>
  <c r="J238" i="4"/>
  <c r="I238" i="4"/>
  <c r="H238" i="4"/>
  <c r="J237" i="4"/>
  <c r="I237" i="4"/>
  <c r="H237" i="4"/>
  <c r="J236" i="4"/>
  <c r="I236" i="4"/>
  <c r="H236" i="4"/>
  <c r="J235" i="4"/>
  <c r="I235" i="4"/>
  <c r="H235" i="4"/>
  <c r="J234" i="4"/>
  <c r="I234" i="4"/>
  <c r="H234" i="4"/>
  <c r="J233" i="4"/>
  <c r="I233" i="4"/>
  <c r="H233" i="4"/>
  <c r="J232" i="4"/>
  <c r="I232" i="4"/>
  <c r="H232" i="4"/>
  <c r="J231" i="4"/>
  <c r="I231" i="4"/>
  <c r="H231" i="4"/>
  <c r="J230" i="4"/>
  <c r="I230" i="4"/>
  <c r="H230" i="4"/>
  <c r="J229" i="4"/>
  <c r="I229" i="4"/>
  <c r="H229" i="4"/>
  <c r="J228" i="4"/>
  <c r="I228" i="4"/>
  <c r="H228" i="4"/>
  <c r="J227" i="4"/>
  <c r="I227" i="4"/>
  <c r="H227" i="4"/>
  <c r="J226" i="4"/>
  <c r="I226" i="4"/>
  <c r="H226" i="4"/>
  <c r="J225" i="4"/>
  <c r="I225" i="4"/>
  <c r="H225" i="4"/>
  <c r="J224" i="4"/>
  <c r="I224" i="4"/>
  <c r="H224" i="4"/>
  <c r="J223" i="4"/>
  <c r="I223" i="4"/>
  <c r="H223" i="4"/>
  <c r="J222" i="4"/>
  <c r="I222" i="4"/>
  <c r="H222" i="4"/>
  <c r="J221" i="4"/>
  <c r="I221" i="4"/>
  <c r="H221" i="4"/>
  <c r="J220" i="4"/>
  <c r="I220" i="4"/>
  <c r="H220" i="4"/>
  <c r="J219" i="4"/>
  <c r="I219" i="4"/>
  <c r="H219" i="4"/>
  <c r="J218" i="4"/>
  <c r="I218" i="4"/>
  <c r="H218" i="4"/>
  <c r="J217" i="4"/>
  <c r="I217" i="4"/>
  <c r="H217" i="4"/>
  <c r="J216" i="4"/>
  <c r="I216" i="4"/>
  <c r="H216" i="4"/>
  <c r="J215" i="4"/>
  <c r="I215" i="4"/>
  <c r="H215" i="4"/>
  <c r="J214" i="4"/>
  <c r="I214" i="4"/>
  <c r="H214" i="4"/>
  <c r="J213" i="4"/>
  <c r="I213" i="4"/>
  <c r="H213" i="4"/>
  <c r="J212" i="4"/>
  <c r="I212" i="4"/>
  <c r="H212" i="4"/>
  <c r="J211" i="4"/>
  <c r="I211" i="4"/>
  <c r="H211" i="4"/>
  <c r="J210" i="4"/>
  <c r="I210" i="4"/>
  <c r="H210" i="4"/>
  <c r="J209" i="4"/>
  <c r="I209" i="4"/>
  <c r="H209" i="4"/>
  <c r="J208" i="4"/>
  <c r="I208" i="4"/>
  <c r="H208" i="4"/>
  <c r="J207" i="4"/>
  <c r="I207" i="4"/>
  <c r="H207" i="4"/>
  <c r="J206" i="4"/>
  <c r="I206" i="4"/>
  <c r="H206" i="4"/>
  <c r="J205" i="4"/>
  <c r="I205" i="4"/>
  <c r="H205" i="4"/>
  <c r="J204" i="4"/>
  <c r="I204" i="4"/>
  <c r="H204" i="4"/>
  <c r="J203" i="4"/>
  <c r="I203" i="4"/>
  <c r="H203" i="4"/>
  <c r="J202" i="4"/>
  <c r="I202" i="4"/>
  <c r="H202" i="4"/>
  <c r="J201" i="4"/>
  <c r="I201" i="4"/>
  <c r="H201" i="4"/>
  <c r="J200" i="4"/>
  <c r="I200" i="4"/>
  <c r="H200" i="4"/>
  <c r="J199" i="4"/>
  <c r="I199" i="4"/>
  <c r="H199" i="4"/>
  <c r="J198" i="4"/>
  <c r="I198" i="4"/>
  <c r="H198" i="4"/>
  <c r="J197" i="4"/>
  <c r="I197" i="4"/>
  <c r="H197" i="4"/>
  <c r="J196" i="4"/>
  <c r="I196" i="4"/>
  <c r="H196" i="4"/>
  <c r="J195" i="4"/>
  <c r="I195" i="4"/>
  <c r="H195" i="4"/>
  <c r="J194" i="4"/>
  <c r="I194" i="4"/>
  <c r="H194" i="4"/>
  <c r="J193" i="4"/>
  <c r="I193" i="4"/>
  <c r="H193" i="4"/>
  <c r="J192" i="4"/>
  <c r="I192" i="4"/>
  <c r="H192" i="4"/>
  <c r="J191" i="4"/>
  <c r="I191" i="4"/>
  <c r="H191" i="4"/>
  <c r="J190" i="4"/>
  <c r="I190" i="4"/>
  <c r="H190" i="4"/>
  <c r="J189" i="4"/>
  <c r="I189" i="4"/>
  <c r="H189" i="4"/>
  <c r="J188" i="4"/>
  <c r="I188" i="4"/>
  <c r="H188" i="4"/>
  <c r="J187" i="4"/>
  <c r="I187" i="4"/>
  <c r="H187" i="4"/>
  <c r="J186" i="4"/>
  <c r="I186" i="4"/>
  <c r="H186" i="4"/>
  <c r="J185" i="4"/>
  <c r="I185" i="4"/>
  <c r="H185" i="4"/>
  <c r="J184" i="4"/>
  <c r="I184" i="4"/>
  <c r="H184" i="4"/>
  <c r="J183" i="4"/>
  <c r="I183" i="4"/>
  <c r="H183" i="4"/>
  <c r="J182" i="4"/>
  <c r="I182" i="4"/>
  <c r="H182" i="4"/>
  <c r="J181" i="4"/>
  <c r="I181" i="4"/>
  <c r="H181" i="4"/>
  <c r="J180" i="4"/>
  <c r="I180" i="4"/>
  <c r="H180" i="4"/>
  <c r="J179" i="4"/>
  <c r="I179" i="4"/>
  <c r="H179" i="4"/>
  <c r="J178" i="4"/>
  <c r="I178" i="4"/>
  <c r="H178" i="4"/>
  <c r="J177" i="4"/>
  <c r="I177" i="4"/>
  <c r="H177" i="4"/>
  <c r="J176" i="4"/>
  <c r="I176" i="4"/>
  <c r="H176" i="4"/>
  <c r="J175" i="4"/>
  <c r="I175" i="4"/>
  <c r="H175" i="4"/>
  <c r="J174" i="4"/>
  <c r="I174" i="4"/>
  <c r="H174" i="4"/>
  <c r="J173" i="4"/>
  <c r="I173" i="4"/>
  <c r="H173" i="4"/>
  <c r="J172" i="4"/>
  <c r="I172" i="4"/>
  <c r="H172" i="4"/>
  <c r="J171" i="4"/>
  <c r="I171" i="4"/>
  <c r="H171" i="4"/>
  <c r="J170" i="4"/>
  <c r="I170" i="4"/>
  <c r="H170" i="4"/>
  <c r="J169" i="4"/>
  <c r="I169" i="4"/>
  <c r="H169" i="4"/>
  <c r="J168" i="4"/>
  <c r="I168" i="4"/>
  <c r="H168" i="4"/>
  <c r="J167" i="4"/>
  <c r="I167" i="4"/>
  <c r="H167" i="4"/>
  <c r="J166" i="4"/>
  <c r="I166" i="4"/>
  <c r="H166" i="4"/>
  <c r="J165" i="4"/>
  <c r="I165" i="4"/>
  <c r="H165" i="4"/>
  <c r="J164" i="4"/>
  <c r="I164" i="4"/>
  <c r="H164" i="4"/>
  <c r="J163" i="4"/>
  <c r="I163" i="4"/>
  <c r="H163" i="4"/>
  <c r="J162" i="4"/>
  <c r="I162" i="4"/>
  <c r="H162" i="4"/>
  <c r="J161" i="4"/>
  <c r="I161" i="4"/>
  <c r="H161" i="4"/>
  <c r="J160" i="4"/>
  <c r="I160" i="4"/>
  <c r="H160" i="4"/>
  <c r="J159" i="4"/>
  <c r="I159" i="4"/>
  <c r="H159" i="4"/>
  <c r="J158" i="4"/>
  <c r="I158" i="4"/>
  <c r="H158" i="4"/>
  <c r="J157" i="4"/>
  <c r="I157" i="4"/>
  <c r="H157" i="4"/>
  <c r="J156" i="4"/>
  <c r="I156" i="4"/>
  <c r="H156" i="4"/>
  <c r="J155" i="4"/>
  <c r="I155" i="4"/>
  <c r="H155" i="4"/>
  <c r="J154" i="4"/>
  <c r="I154" i="4"/>
  <c r="H154" i="4"/>
  <c r="J153" i="4"/>
  <c r="I153" i="4"/>
  <c r="H153" i="4"/>
  <c r="J152" i="4"/>
  <c r="I152" i="4"/>
  <c r="H152" i="4"/>
  <c r="J151" i="4"/>
  <c r="I151" i="4"/>
  <c r="H151" i="4"/>
  <c r="J150" i="4"/>
  <c r="I150" i="4"/>
  <c r="H150" i="4"/>
  <c r="J149" i="4"/>
  <c r="I149" i="4"/>
  <c r="H149" i="4"/>
  <c r="J148" i="4"/>
  <c r="I148" i="4"/>
  <c r="H148" i="4"/>
  <c r="J147" i="4"/>
  <c r="I147" i="4"/>
  <c r="H147" i="4"/>
  <c r="J146" i="4"/>
  <c r="I146" i="4"/>
  <c r="H146" i="4"/>
  <c r="J145" i="4"/>
  <c r="I145" i="4"/>
  <c r="H145" i="4"/>
  <c r="J144" i="4"/>
  <c r="I144" i="4"/>
  <c r="H144" i="4"/>
  <c r="J143" i="4"/>
  <c r="I143" i="4"/>
  <c r="H143" i="4"/>
  <c r="J142" i="4"/>
  <c r="I142" i="4"/>
  <c r="H142" i="4"/>
  <c r="J141" i="4"/>
  <c r="I141" i="4"/>
  <c r="H141" i="4"/>
  <c r="J140" i="4"/>
  <c r="I140" i="4"/>
  <c r="H140" i="4"/>
  <c r="J139" i="4"/>
  <c r="I139" i="4"/>
  <c r="H139" i="4"/>
  <c r="J138" i="4"/>
  <c r="I138" i="4"/>
  <c r="H138" i="4"/>
  <c r="J137" i="4"/>
  <c r="I137" i="4"/>
  <c r="H137" i="4"/>
  <c r="J136" i="4"/>
  <c r="I136" i="4"/>
  <c r="H136" i="4"/>
  <c r="J135" i="4"/>
  <c r="I135" i="4"/>
  <c r="H135" i="4"/>
  <c r="J134" i="4"/>
  <c r="I134" i="4"/>
  <c r="H134" i="4"/>
  <c r="J133" i="4"/>
  <c r="I133" i="4"/>
  <c r="H133" i="4"/>
  <c r="J132" i="4"/>
  <c r="I132" i="4"/>
  <c r="H132" i="4"/>
  <c r="J131" i="4"/>
  <c r="I131" i="4"/>
  <c r="H131" i="4"/>
  <c r="J130" i="4"/>
  <c r="I130" i="4"/>
  <c r="H130" i="4"/>
  <c r="J129" i="4"/>
  <c r="I129" i="4"/>
  <c r="H129" i="4"/>
  <c r="J128" i="4"/>
  <c r="I128" i="4"/>
  <c r="H128" i="4"/>
  <c r="J127" i="4"/>
  <c r="I127" i="4"/>
  <c r="H127" i="4"/>
  <c r="J126" i="4"/>
  <c r="I126" i="4"/>
  <c r="H126" i="4"/>
  <c r="J125" i="4"/>
  <c r="I125" i="4"/>
  <c r="H125" i="4"/>
  <c r="J124" i="4"/>
  <c r="I124" i="4"/>
  <c r="H124" i="4"/>
  <c r="J123" i="4"/>
  <c r="I123" i="4"/>
  <c r="H123" i="4"/>
  <c r="J122" i="4"/>
  <c r="I122" i="4"/>
  <c r="H122" i="4"/>
  <c r="J121" i="4"/>
  <c r="I121" i="4"/>
  <c r="H121" i="4"/>
  <c r="J120" i="4"/>
  <c r="I120" i="4"/>
  <c r="H120" i="4"/>
  <c r="J119" i="4"/>
  <c r="I119" i="4"/>
  <c r="H119" i="4"/>
  <c r="J118" i="4"/>
  <c r="I118" i="4"/>
  <c r="H118" i="4"/>
  <c r="J117" i="4"/>
  <c r="I117" i="4"/>
  <c r="H117" i="4"/>
  <c r="J116" i="4"/>
  <c r="I116" i="4"/>
  <c r="H116" i="4"/>
  <c r="J115" i="4"/>
  <c r="I115" i="4"/>
  <c r="H115" i="4"/>
  <c r="J114" i="4"/>
  <c r="I114" i="4"/>
  <c r="H114" i="4"/>
  <c r="J113" i="4"/>
  <c r="I113" i="4"/>
  <c r="H113" i="4"/>
  <c r="J112" i="4"/>
  <c r="I112" i="4"/>
  <c r="H112" i="4"/>
  <c r="J111" i="4"/>
  <c r="I111" i="4"/>
  <c r="H111" i="4"/>
  <c r="J110" i="4"/>
  <c r="I110" i="4"/>
  <c r="H110" i="4"/>
  <c r="J109" i="4"/>
  <c r="I109" i="4"/>
  <c r="H109" i="4"/>
  <c r="J108" i="4"/>
  <c r="I108" i="4"/>
  <c r="H108" i="4"/>
  <c r="J107" i="4"/>
  <c r="I107" i="4"/>
  <c r="H107" i="4"/>
  <c r="J106" i="4"/>
  <c r="I106" i="4"/>
  <c r="H106" i="4"/>
  <c r="J105" i="4"/>
  <c r="I105" i="4"/>
  <c r="H105" i="4"/>
  <c r="J104" i="4"/>
  <c r="I104" i="4"/>
  <c r="H104" i="4"/>
  <c r="J103" i="4"/>
  <c r="I103" i="4"/>
  <c r="H103" i="4"/>
  <c r="J102" i="4"/>
  <c r="I102" i="4"/>
  <c r="H102" i="4"/>
  <c r="J101" i="4"/>
  <c r="I101" i="4"/>
  <c r="H101" i="4"/>
  <c r="J100" i="4"/>
  <c r="I100" i="4"/>
  <c r="H100" i="4"/>
  <c r="J99" i="4"/>
  <c r="I99" i="4"/>
  <c r="H99" i="4"/>
  <c r="J98" i="4"/>
  <c r="I98" i="4"/>
  <c r="H98" i="4"/>
  <c r="J97" i="4"/>
  <c r="I97" i="4"/>
  <c r="H97" i="4"/>
  <c r="J96" i="4"/>
  <c r="I96" i="4"/>
  <c r="H96" i="4"/>
  <c r="J95" i="4"/>
  <c r="I95" i="4"/>
  <c r="H95" i="4"/>
  <c r="J94" i="4"/>
  <c r="I94" i="4"/>
  <c r="H94" i="4"/>
  <c r="J93" i="4"/>
  <c r="I93" i="4"/>
  <c r="H93" i="4"/>
  <c r="J92" i="4"/>
  <c r="I92" i="4"/>
  <c r="H92" i="4"/>
  <c r="J91" i="4"/>
  <c r="I91" i="4"/>
  <c r="H91" i="4"/>
  <c r="J90" i="4"/>
  <c r="I90" i="4"/>
  <c r="H90" i="4"/>
  <c r="J89" i="4"/>
  <c r="I89" i="4"/>
  <c r="H89" i="4"/>
  <c r="J88" i="4"/>
  <c r="I88" i="4"/>
  <c r="H88" i="4"/>
  <c r="J87" i="4"/>
  <c r="I87" i="4"/>
  <c r="H87" i="4"/>
  <c r="J86" i="4"/>
  <c r="I86" i="4"/>
  <c r="H86" i="4"/>
  <c r="J85" i="4"/>
  <c r="I85" i="4"/>
  <c r="H85" i="4"/>
  <c r="J84" i="4"/>
  <c r="I84" i="4"/>
  <c r="H84" i="4"/>
  <c r="J83" i="4"/>
  <c r="I83" i="4"/>
  <c r="H83" i="4"/>
  <c r="J82" i="4"/>
  <c r="I82" i="4"/>
  <c r="H82" i="4"/>
  <c r="J81" i="4"/>
  <c r="I81" i="4"/>
  <c r="H81" i="4"/>
  <c r="J80" i="4"/>
  <c r="I80" i="4"/>
  <c r="H80" i="4"/>
  <c r="J79" i="4"/>
  <c r="I79" i="4"/>
  <c r="H79" i="4"/>
  <c r="J78" i="4"/>
  <c r="I78" i="4"/>
  <c r="H78" i="4"/>
  <c r="J77" i="4"/>
  <c r="I77" i="4"/>
  <c r="H77" i="4"/>
  <c r="J76" i="4"/>
  <c r="I76" i="4"/>
  <c r="H76" i="4"/>
  <c r="J75" i="4"/>
  <c r="I75" i="4"/>
  <c r="H75" i="4"/>
  <c r="J74" i="4"/>
  <c r="I74" i="4"/>
  <c r="H74" i="4"/>
  <c r="J73" i="4"/>
  <c r="I73" i="4"/>
  <c r="H73" i="4"/>
  <c r="J72" i="4"/>
  <c r="I72" i="4"/>
  <c r="H72" i="4"/>
  <c r="J71" i="4"/>
  <c r="I71" i="4"/>
  <c r="H71" i="4"/>
  <c r="J70" i="4"/>
  <c r="I70" i="4"/>
  <c r="H70" i="4"/>
  <c r="J69" i="4"/>
  <c r="I69" i="4"/>
  <c r="H69" i="4"/>
  <c r="J68" i="4"/>
  <c r="I68" i="4"/>
  <c r="H68" i="4"/>
  <c r="J67" i="4"/>
  <c r="I67" i="4"/>
  <c r="H67" i="4"/>
  <c r="J66" i="4"/>
  <c r="I66" i="4"/>
  <c r="H66" i="4"/>
  <c r="J65" i="4"/>
  <c r="I65" i="4"/>
  <c r="H65" i="4"/>
  <c r="J64" i="4"/>
  <c r="I64" i="4"/>
  <c r="H64" i="4"/>
  <c r="J63" i="4"/>
  <c r="I63" i="4"/>
  <c r="H63" i="4"/>
  <c r="J62" i="4"/>
  <c r="I62" i="4"/>
  <c r="H62" i="4"/>
  <c r="J61" i="4"/>
  <c r="I61" i="4"/>
  <c r="H61" i="4"/>
  <c r="J60" i="4"/>
  <c r="I60" i="4"/>
  <c r="H60" i="4"/>
  <c r="J59" i="4"/>
  <c r="I59" i="4"/>
  <c r="H59" i="4"/>
  <c r="J58" i="4"/>
  <c r="I58" i="4"/>
  <c r="H58" i="4"/>
  <c r="J57" i="4"/>
  <c r="I57" i="4"/>
  <c r="H57" i="4"/>
  <c r="J56" i="4"/>
  <c r="I56" i="4"/>
  <c r="H56" i="4"/>
  <c r="J55" i="4"/>
  <c r="I55" i="4"/>
  <c r="H55" i="4"/>
  <c r="J54" i="4"/>
  <c r="I54" i="4"/>
  <c r="H54" i="4"/>
  <c r="J53" i="4"/>
  <c r="I53" i="4"/>
  <c r="H53" i="4"/>
  <c r="J52" i="4"/>
  <c r="I52" i="4"/>
  <c r="H52" i="4"/>
  <c r="J51" i="4"/>
  <c r="I51" i="4"/>
  <c r="H51" i="4"/>
  <c r="J50" i="4"/>
  <c r="I50" i="4"/>
  <c r="H50" i="4"/>
  <c r="J49" i="4"/>
  <c r="I49" i="4"/>
  <c r="H49" i="4"/>
  <c r="J48" i="4"/>
  <c r="I48" i="4"/>
  <c r="H48" i="4"/>
  <c r="J47" i="4"/>
  <c r="I47" i="4"/>
  <c r="H47" i="4"/>
  <c r="J46" i="4"/>
  <c r="I46" i="4"/>
  <c r="H46" i="4"/>
  <c r="J45" i="4"/>
  <c r="I45" i="4"/>
  <c r="H45" i="4"/>
  <c r="J44" i="4"/>
  <c r="I44" i="4"/>
  <c r="H44" i="4"/>
  <c r="J43" i="4"/>
  <c r="I43" i="4"/>
  <c r="H43" i="4"/>
  <c r="J42" i="4"/>
  <c r="I42" i="4"/>
  <c r="H42" i="4"/>
  <c r="J41" i="4"/>
  <c r="I41" i="4"/>
  <c r="H41" i="4"/>
  <c r="J40" i="4"/>
  <c r="I40" i="4"/>
  <c r="H40" i="4"/>
  <c r="J39" i="4"/>
  <c r="I39" i="4"/>
  <c r="H39" i="4"/>
  <c r="J38" i="4"/>
  <c r="I38" i="4"/>
  <c r="H38" i="4"/>
  <c r="J37" i="4"/>
  <c r="I37" i="4"/>
  <c r="H37" i="4"/>
  <c r="J36" i="4"/>
  <c r="I36" i="4"/>
  <c r="H36" i="4"/>
  <c r="J35" i="4"/>
  <c r="I35" i="4"/>
  <c r="H35" i="4"/>
  <c r="J34" i="4"/>
  <c r="I34" i="4"/>
  <c r="H34" i="4"/>
  <c r="J33" i="4"/>
  <c r="I33" i="4"/>
  <c r="H33" i="4"/>
  <c r="J32" i="4"/>
  <c r="I32" i="4"/>
  <c r="H32" i="4"/>
  <c r="J31" i="4"/>
  <c r="I31" i="4"/>
  <c r="H31" i="4"/>
  <c r="J30" i="4"/>
  <c r="I30" i="4"/>
  <c r="H30" i="4"/>
  <c r="J29" i="4"/>
  <c r="I29" i="4"/>
  <c r="H29" i="4"/>
  <c r="J28" i="4"/>
  <c r="I28" i="4"/>
  <c r="H28" i="4"/>
  <c r="J27" i="4"/>
  <c r="I27" i="4"/>
  <c r="H27" i="4"/>
  <c r="B27" i="4"/>
  <c r="J26" i="4"/>
  <c r="I26" i="4"/>
  <c r="H26" i="4"/>
  <c r="B26" i="4"/>
  <c r="J25" i="4"/>
  <c r="I25" i="4"/>
  <c r="H25" i="4"/>
  <c r="B25" i="4"/>
  <c r="J24" i="4"/>
  <c r="I24" i="4"/>
  <c r="H24" i="4"/>
  <c r="B24" i="4"/>
  <c r="J23" i="4"/>
  <c r="I23" i="4"/>
  <c r="H23" i="4"/>
  <c r="B23" i="4"/>
  <c r="J22" i="4"/>
  <c r="I22" i="4"/>
  <c r="H22" i="4"/>
  <c r="B22" i="4"/>
  <c r="J21" i="4"/>
  <c r="I21" i="4"/>
  <c r="H21" i="4"/>
  <c r="B21" i="4"/>
  <c r="J20" i="4"/>
  <c r="I20" i="4"/>
  <c r="H20" i="4"/>
  <c r="B20" i="4"/>
  <c r="J19" i="4"/>
  <c r="I19" i="4"/>
  <c r="H19" i="4"/>
  <c r="B19" i="4"/>
  <c r="J18" i="4"/>
  <c r="I18" i="4"/>
  <c r="H18" i="4"/>
  <c r="B18" i="4"/>
  <c r="J17" i="4"/>
  <c r="I17" i="4"/>
  <c r="H17" i="4"/>
  <c r="B17" i="4"/>
  <c r="J16" i="4"/>
  <c r="I16" i="4"/>
  <c r="H16" i="4"/>
  <c r="B16" i="4"/>
  <c r="J15" i="4"/>
  <c r="I15" i="4"/>
  <c r="H15" i="4"/>
  <c r="B15" i="4"/>
  <c r="J14" i="4"/>
  <c r="I14" i="4"/>
  <c r="H14" i="4"/>
  <c r="B14" i="4"/>
  <c r="J13" i="4"/>
  <c r="I13" i="4"/>
  <c r="H13" i="4"/>
  <c r="B13" i="4"/>
  <c r="J12" i="4"/>
  <c r="I12" i="4"/>
  <c r="H12" i="4"/>
  <c r="B12" i="4"/>
  <c r="J11" i="4"/>
  <c r="I11" i="4"/>
  <c r="H11" i="4"/>
  <c r="B11" i="4"/>
  <c r="J10" i="4"/>
  <c r="I10" i="4"/>
  <c r="H10" i="4"/>
  <c r="B10" i="4"/>
  <c r="J9" i="4"/>
  <c r="I9" i="4"/>
  <c r="H9" i="4"/>
  <c r="B9" i="4"/>
  <c r="J8" i="4"/>
  <c r="I8" i="4"/>
  <c r="C30" i="5" s="1"/>
  <c r="H8" i="4"/>
  <c r="B8" i="4"/>
  <c r="H7" i="4"/>
  <c r="F7" i="4"/>
  <c r="AB257" i="3"/>
  <c r="AA257" i="3"/>
  <c r="Z257" i="3"/>
  <c r="Y257" i="3"/>
  <c r="X257" i="3"/>
  <c r="V257" i="3"/>
  <c r="S257" i="3"/>
  <c r="R257" i="3"/>
  <c r="Q257" i="3"/>
  <c r="O257" i="3"/>
  <c r="L257" i="3"/>
  <c r="K257" i="3"/>
  <c r="I257" i="3"/>
  <c r="D257" i="3"/>
  <c r="AB256" i="3"/>
  <c r="AA256" i="3"/>
  <c r="Z256" i="3"/>
  <c r="Y256" i="3"/>
  <c r="X256" i="3"/>
  <c r="V256" i="3"/>
  <c r="S256" i="3"/>
  <c r="R256" i="3"/>
  <c r="Q256" i="3"/>
  <c r="O256" i="3"/>
  <c r="L256" i="3"/>
  <c r="K256" i="3"/>
  <c r="I256" i="3"/>
  <c r="D256" i="3"/>
  <c r="AB255" i="3"/>
  <c r="AA255" i="3"/>
  <c r="Z255" i="3"/>
  <c r="Y255" i="3"/>
  <c r="X255" i="3"/>
  <c r="V255" i="3"/>
  <c r="S255" i="3"/>
  <c r="R255" i="3"/>
  <c r="Q255" i="3"/>
  <c r="O255" i="3"/>
  <c r="L255" i="3"/>
  <c r="K255" i="3"/>
  <c r="I255" i="3"/>
  <c r="D255" i="3"/>
  <c r="AB254" i="3"/>
  <c r="AA254" i="3"/>
  <c r="Z254" i="3"/>
  <c r="Y254" i="3"/>
  <c r="X254" i="3"/>
  <c r="V254" i="3"/>
  <c r="S254" i="3"/>
  <c r="R254" i="3"/>
  <c r="Q254" i="3"/>
  <c r="O254" i="3"/>
  <c r="L254" i="3"/>
  <c r="K254" i="3"/>
  <c r="I254" i="3"/>
  <c r="D254" i="3"/>
  <c r="AB253" i="3"/>
  <c r="AA253" i="3"/>
  <c r="Z253" i="3"/>
  <c r="Y253" i="3"/>
  <c r="X253" i="3"/>
  <c r="V253" i="3"/>
  <c r="S253" i="3"/>
  <c r="R253" i="3"/>
  <c r="Q253" i="3"/>
  <c r="O253" i="3"/>
  <c r="L253" i="3"/>
  <c r="K253" i="3"/>
  <c r="I253" i="3"/>
  <c r="D253" i="3"/>
  <c r="AB252" i="3"/>
  <c r="AA252" i="3"/>
  <c r="Z252" i="3"/>
  <c r="Y252" i="3"/>
  <c r="X252" i="3"/>
  <c r="V252" i="3"/>
  <c r="S252" i="3"/>
  <c r="R252" i="3"/>
  <c r="Q252" i="3"/>
  <c r="O252" i="3"/>
  <c r="L252" i="3"/>
  <c r="K252" i="3"/>
  <c r="I252" i="3"/>
  <c r="D252" i="3"/>
  <c r="AB251" i="3"/>
  <c r="AA251" i="3"/>
  <c r="Z251" i="3"/>
  <c r="Y251" i="3"/>
  <c r="X251" i="3"/>
  <c r="V251" i="3"/>
  <c r="S251" i="3"/>
  <c r="R251" i="3"/>
  <c r="Q251" i="3"/>
  <c r="O251" i="3"/>
  <c r="L251" i="3"/>
  <c r="K251" i="3"/>
  <c r="I251" i="3"/>
  <c r="D251" i="3"/>
  <c r="AB250" i="3"/>
  <c r="AA250" i="3"/>
  <c r="Z250" i="3"/>
  <c r="Y250" i="3"/>
  <c r="X250" i="3"/>
  <c r="V250" i="3"/>
  <c r="S250" i="3"/>
  <c r="R250" i="3"/>
  <c r="Q250" i="3"/>
  <c r="O250" i="3"/>
  <c r="L250" i="3"/>
  <c r="K250" i="3"/>
  <c r="I250" i="3"/>
  <c r="D250" i="3"/>
  <c r="AB249" i="3"/>
  <c r="AA249" i="3"/>
  <c r="Z249" i="3"/>
  <c r="Y249" i="3"/>
  <c r="X249" i="3"/>
  <c r="V249" i="3"/>
  <c r="S249" i="3"/>
  <c r="R249" i="3"/>
  <c r="Q249" i="3"/>
  <c r="O249" i="3"/>
  <c r="L249" i="3"/>
  <c r="K249" i="3"/>
  <c r="I249" i="3"/>
  <c r="D249" i="3"/>
  <c r="AB248" i="3"/>
  <c r="AA248" i="3"/>
  <c r="Z248" i="3"/>
  <c r="Y248" i="3"/>
  <c r="X248" i="3"/>
  <c r="V248" i="3"/>
  <c r="S248" i="3"/>
  <c r="R248" i="3"/>
  <c r="Q248" i="3"/>
  <c r="O248" i="3"/>
  <c r="L248" i="3"/>
  <c r="K248" i="3"/>
  <c r="I248" i="3"/>
  <c r="D248" i="3"/>
  <c r="AB247" i="3"/>
  <c r="AA247" i="3"/>
  <c r="Z247" i="3"/>
  <c r="Y247" i="3"/>
  <c r="X247" i="3"/>
  <c r="V247" i="3"/>
  <c r="S247" i="3"/>
  <c r="R247" i="3"/>
  <c r="Q247" i="3"/>
  <c r="O247" i="3"/>
  <c r="L247" i="3"/>
  <c r="K247" i="3"/>
  <c r="I247" i="3"/>
  <c r="D247" i="3"/>
  <c r="AB246" i="3"/>
  <c r="AA246" i="3"/>
  <c r="Z246" i="3"/>
  <c r="Y246" i="3"/>
  <c r="X246" i="3"/>
  <c r="V246" i="3"/>
  <c r="S246" i="3"/>
  <c r="R246" i="3"/>
  <c r="Q246" i="3"/>
  <c r="O246" i="3"/>
  <c r="L246" i="3"/>
  <c r="K246" i="3"/>
  <c r="I246" i="3"/>
  <c r="D246" i="3"/>
  <c r="AB245" i="3"/>
  <c r="AA245" i="3"/>
  <c r="Z245" i="3"/>
  <c r="Y245" i="3"/>
  <c r="X245" i="3"/>
  <c r="V245" i="3"/>
  <c r="S245" i="3"/>
  <c r="R245" i="3"/>
  <c r="Q245" i="3"/>
  <c r="O245" i="3"/>
  <c r="L245" i="3"/>
  <c r="K245" i="3"/>
  <c r="I245" i="3"/>
  <c r="D245" i="3"/>
  <c r="AB244" i="3"/>
  <c r="AA244" i="3"/>
  <c r="Z244" i="3"/>
  <c r="Y244" i="3"/>
  <c r="X244" i="3"/>
  <c r="V244" i="3"/>
  <c r="S244" i="3"/>
  <c r="R244" i="3"/>
  <c r="Q244" i="3"/>
  <c r="O244" i="3"/>
  <c r="L244" i="3"/>
  <c r="K244" i="3"/>
  <c r="I244" i="3"/>
  <c r="D244" i="3"/>
  <c r="AB243" i="3"/>
  <c r="AA243" i="3"/>
  <c r="Z243" i="3"/>
  <c r="Y243" i="3"/>
  <c r="X243" i="3"/>
  <c r="V243" i="3"/>
  <c r="S243" i="3"/>
  <c r="R243" i="3"/>
  <c r="Q243" i="3"/>
  <c r="O243" i="3"/>
  <c r="L243" i="3"/>
  <c r="K243" i="3"/>
  <c r="I243" i="3"/>
  <c r="D243" i="3"/>
  <c r="AB242" i="3"/>
  <c r="AA242" i="3"/>
  <c r="Z242" i="3"/>
  <c r="Y242" i="3"/>
  <c r="X242" i="3"/>
  <c r="V242" i="3"/>
  <c r="S242" i="3"/>
  <c r="R242" i="3"/>
  <c r="Q242" i="3"/>
  <c r="O242" i="3"/>
  <c r="L242" i="3"/>
  <c r="K242" i="3"/>
  <c r="I242" i="3"/>
  <c r="D242" i="3"/>
  <c r="AB241" i="3"/>
  <c r="AA241" i="3"/>
  <c r="Z241" i="3"/>
  <c r="Y241" i="3"/>
  <c r="X241" i="3"/>
  <c r="V241" i="3"/>
  <c r="S241" i="3"/>
  <c r="R241" i="3"/>
  <c r="Q241" i="3"/>
  <c r="O241" i="3"/>
  <c r="L241" i="3"/>
  <c r="K241" i="3"/>
  <c r="I241" i="3"/>
  <c r="D241" i="3"/>
  <c r="AB240" i="3"/>
  <c r="AA240" i="3"/>
  <c r="Z240" i="3"/>
  <c r="Y240" i="3"/>
  <c r="X240" i="3"/>
  <c r="V240" i="3"/>
  <c r="S240" i="3"/>
  <c r="R240" i="3"/>
  <c r="Q240" i="3"/>
  <c r="O240" i="3"/>
  <c r="L240" i="3"/>
  <c r="K240" i="3"/>
  <c r="I240" i="3"/>
  <c r="D240" i="3"/>
  <c r="AB239" i="3"/>
  <c r="AA239" i="3"/>
  <c r="Z239" i="3"/>
  <c r="Y239" i="3"/>
  <c r="X239" i="3"/>
  <c r="V239" i="3"/>
  <c r="S239" i="3"/>
  <c r="R239" i="3"/>
  <c r="Q239" i="3"/>
  <c r="O239" i="3"/>
  <c r="L239" i="3"/>
  <c r="K239" i="3"/>
  <c r="I239" i="3"/>
  <c r="D239" i="3"/>
  <c r="AB238" i="3"/>
  <c r="AA238" i="3"/>
  <c r="Z238" i="3"/>
  <c r="Y238" i="3"/>
  <c r="X238" i="3"/>
  <c r="V238" i="3"/>
  <c r="S238" i="3"/>
  <c r="R238" i="3"/>
  <c r="Q238" i="3"/>
  <c r="O238" i="3"/>
  <c r="L238" i="3"/>
  <c r="K238" i="3"/>
  <c r="I238" i="3"/>
  <c r="D238" i="3"/>
  <c r="AB237" i="3"/>
  <c r="AA237" i="3"/>
  <c r="Z237" i="3"/>
  <c r="Y237" i="3"/>
  <c r="X237" i="3"/>
  <c r="V237" i="3"/>
  <c r="S237" i="3"/>
  <c r="R237" i="3"/>
  <c r="Q237" i="3"/>
  <c r="O237" i="3"/>
  <c r="L237" i="3"/>
  <c r="K237" i="3"/>
  <c r="I237" i="3"/>
  <c r="D237" i="3"/>
  <c r="AB236" i="3"/>
  <c r="AA236" i="3"/>
  <c r="Z236" i="3"/>
  <c r="Y236" i="3"/>
  <c r="X236" i="3"/>
  <c r="V236" i="3"/>
  <c r="S236" i="3"/>
  <c r="R236" i="3"/>
  <c r="Q236" i="3"/>
  <c r="O236" i="3"/>
  <c r="L236" i="3"/>
  <c r="K236" i="3"/>
  <c r="I236" i="3"/>
  <c r="D236" i="3"/>
  <c r="AB235" i="3"/>
  <c r="AA235" i="3"/>
  <c r="Z235" i="3"/>
  <c r="Y235" i="3"/>
  <c r="X235" i="3"/>
  <c r="V235" i="3"/>
  <c r="S235" i="3"/>
  <c r="R235" i="3"/>
  <c r="Q235" i="3"/>
  <c r="O235" i="3"/>
  <c r="L235" i="3"/>
  <c r="K235" i="3"/>
  <c r="I235" i="3"/>
  <c r="D235" i="3"/>
  <c r="AB234" i="3"/>
  <c r="AA234" i="3"/>
  <c r="Z234" i="3"/>
  <c r="Y234" i="3"/>
  <c r="X234" i="3"/>
  <c r="V234" i="3"/>
  <c r="S234" i="3"/>
  <c r="R234" i="3"/>
  <c r="Q234" i="3"/>
  <c r="O234" i="3"/>
  <c r="L234" i="3"/>
  <c r="K234" i="3"/>
  <c r="I234" i="3"/>
  <c r="D234" i="3"/>
  <c r="AB233" i="3"/>
  <c r="AA233" i="3"/>
  <c r="Z233" i="3"/>
  <c r="Y233" i="3"/>
  <c r="X233" i="3"/>
  <c r="V233" i="3"/>
  <c r="S233" i="3"/>
  <c r="R233" i="3"/>
  <c r="Q233" i="3"/>
  <c r="O233" i="3"/>
  <c r="L233" i="3"/>
  <c r="K233" i="3"/>
  <c r="I233" i="3"/>
  <c r="D233" i="3"/>
  <c r="AB232" i="3"/>
  <c r="AA232" i="3"/>
  <c r="Z232" i="3"/>
  <c r="Y232" i="3"/>
  <c r="X232" i="3"/>
  <c r="V232" i="3"/>
  <c r="S232" i="3"/>
  <c r="R232" i="3"/>
  <c r="Q232" i="3"/>
  <c r="O232" i="3"/>
  <c r="L232" i="3"/>
  <c r="K232" i="3"/>
  <c r="I232" i="3"/>
  <c r="D232" i="3"/>
  <c r="AB231" i="3"/>
  <c r="AA231" i="3"/>
  <c r="Z231" i="3"/>
  <c r="Y231" i="3"/>
  <c r="X231" i="3"/>
  <c r="V231" i="3"/>
  <c r="S231" i="3"/>
  <c r="R231" i="3"/>
  <c r="Q231" i="3"/>
  <c r="O231" i="3"/>
  <c r="L231" i="3"/>
  <c r="K231" i="3"/>
  <c r="I231" i="3"/>
  <c r="D231" i="3"/>
  <c r="AB230" i="3"/>
  <c r="AA230" i="3"/>
  <c r="Z230" i="3"/>
  <c r="Y230" i="3"/>
  <c r="X230" i="3"/>
  <c r="V230" i="3"/>
  <c r="S230" i="3"/>
  <c r="R230" i="3"/>
  <c r="Q230" i="3"/>
  <c r="O230" i="3"/>
  <c r="L230" i="3"/>
  <c r="K230" i="3"/>
  <c r="I230" i="3"/>
  <c r="D230" i="3"/>
  <c r="AB229" i="3"/>
  <c r="AA229" i="3"/>
  <c r="Z229" i="3"/>
  <c r="Y229" i="3"/>
  <c r="X229" i="3"/>
  <c r="V229" i="3"/>
  <c r="S229" i="3"/>
  <c r="R229" i="3"/>
  <c r="Q229" i="3"/>
  <c r="O229" i="3"/>
  <c r="L229" i="3"/>
  <c r="K229" i="3"/>
  <c r="I229" i="3"/>
  <c r="D229" i="3"/>
  <c r="AB228" i="3"/>
  <c r="AA228" i="3"/>
  <c r="Z228" i="3"/>
  <c r="Y228" i="3"/>
  <c r="X228" i="3"/>
  <c r="V228" i="3"/>
  <c r="S228" i="3"/>
  <c r="R228" i="3"/>
  <c r="Q228" i="3"/>
  <c r="O228" i="3"/>
  <c r="L228" i="3"/>
  <c r="K228" i="3"/>
  <c r="I228" i="3"/>
  <c r="D228" i="3"/>
  <c r="AB227" i="3"/>
  <c r="AA227" i="3"/>
  <c r="Z227" i="3"/>
  <c r="Y227" i="3"/>
  <c r="X227" i="3"/>
  <c r="V227" i="3"/>
  <c r="S227" i="3"/>
  <c r="R227" i="3"/>
  <c r="Q227" i="3"/>
  <c r="O227" i="3"/>
  <c r="L227" i="3"/>
  <c r="K227" i="3"/>
  <c r="I227" i="3"/>
  <c r="D227" i="3"/>
  <c r="AB226" i="3"/>
  <c r="AA226" i="3"/>
  <c r="Z226" i="3"/>
  <c r="Y226" i="3"/>
  <c r="X226" i="3"/>
  <c r="V226" i="3"/>
  <c r="S226" i="3"/>
  <c r="R226" i="3"/>
  <c r="Q226" i="3"/>
  <c r="O226" i="3"/>
  <c r="L226" i="3"/>
  <c r="K226" i="3"/>
  <c r="I226" i="3"/>
  <c r="D226" i="3"/>
  <c r="AB225" i="3"/>
  <c r="AA225" i="3"/>
  <c r="Z225" i="3"/>
  <c r="Y225" i="3"/>
  <c r="X225" i="3"/>
  <c r="V225" i="3"/>
  <c r="S225" i="3"/>
  <c r="R225" i="3"/>
  <c r="Q225" i="3"/>
  <c r="O225" i="3"/>
  <c r="L225" i="3"/>
  <c r="K225" i="3"/>
  <c r="I225" i="3"/>
  <c r="D225" i="3"/>
  <c r="AB224" i="3"/>
  <c r="AA224" i="3"/>
  <c r="Z224" i="3"/>
  <c r="Y224" i="3"/>
  <c r="X224" i="3"/>
  <c r="V224" i="3"/>
  <c r="S224" i="3"/>
  <c r="R224" i="3"/>
  <c r="Q224" i="3"/>
  <c r="O224" i="3"/>
  <c r="L224" i="3"/>
  <c r="K224" i="3"/>
  <c r="I224" i="3"/>
  <c r="D224" i="3"/>
  <c r="AB223" i="3"/>
  <c r="AA223" i="3"/>
  <c r="Z223" i="3"/>
  <c r="Y223" i="3"/>
  <c r="X223" i="3"/>
  <c r="V223" i="3"/>
  <c r="S223" i="3"/>
  <c r="R223" i="3"/>
  <c r="Q223" i="3"/>
  <c r="O223" i="3"/>
  <c r="L223" i="3"/>
  <c r="K223" i="3"/>
  <c r="I223" i="3"/>
  <c r="D223" i="3"/>
  <c r="AB222" i="3"/>
  <c r="AA222" i="3"/>
  <c r="Z222" i="3"/>
  <c r="Y222" i="3"/>
  <c r="X222" i="3"/>
  <c r="V222" i="3"/>
  <c r="S222" i="3"/>
  <c r="R222" i="3"/>
  <c r="Q222" i="3"/>
  <c r="O222" i="3"/>
  <c r="L222" i="3"/>
  <c r="K222" i="3"/>
  <c r="I222" i="3"/>
  <c r="D222" i="3"/>
  <c r="AB221" i="3"/>
  <c r="AA221" i="3"/>
  <c r="Z221" i="3"/>
  <c r="Y221" i="3"/>
  <c r="X221" i="3"/>
  <c r="V221" i="3"/>
  <c r="S221" i="3"/>
  <c r="R221" i="3"/>
  <c r="Q221" i="3"/>
  <c r="O221" i="3"/>
  <c r="L221" i="3"/>
  <c r="K221" i="3"/>
  <c r="I221" i="3"/>
  <c r="D221" i="3"/>
  <c r="AB220" i="3"/>
  <c r="AA220" i="3"/>
  <c r="Z220" i="3"/>
  <c r="Y220" i="3"/>
  <c r="X220" i="3"/>
  <c r="V220" i="3"/>
  <c r="S220" i="3"/>
  <c r="R220" i="3"/>
  <c r="Q220" i="3"/>
  <c r="O220" i="3"/>
  <c r="L220" i="3"/>
  <c r="K220" i="3"/>
  <c r="I220" i="3"/>
  <c r="D220" i="3"/>
  <c r="AB219" i="3"/>
  <c r="AA219" i="3"/>
  <c r="Z219" i="3"/>
  <c r="Y219" i="3"/>
  <c r="X219" i="3"/>
  <c r="V219" i="3"/>
  <c r="S219" i="3"/>
  <c r="R219" i="3"/>
  <c r="Q219" i="3"/>
  <c r="O219" i="3"/>
  <c r="L219" i="3"/>
  <c r="K219" i="3"/>
  <c r="I219" i="3"/>
  <c r="D219" i="3"/>
  <c r="AB218" i="3"/>
  <c r="AA218" i="3"/>
  <c r="Z218" i="3"/>
  <c r="Y218" i="3"/>
  <c r="X218" i="3"/>
  <c r="V218" i="3"/>
  <c r="S218" i="3"/>
  <c r="R218" i="3"/>
  <c r="Q218" i="3"/>
  <c r="O218" i="3"/>
  <c r="L218" i="3"/>
  <c r="K218" i="3"/>
  <c r="I218" i="3"/>
  <c r="D218" i="3"/>
  <c r="AB217" i="3"/>
  <c r="AA217" i="3"/>
  <c r="Z217" i="3"/>
  <c r="Y217" i="3"/>
  <c r="X217" i="3"/>
  <c r="V217" i="3"/>
  <c r="S217" i="3"/>
  <c r="R217" i="3"/>
  <c r="Q217" i="3"/>
  <c r="O217" i="3"/>
  <c r="L217" i="3"/>
  <c r="K217" i="3"/>
  <c r="I217" i="3"/>
  <c r="D217" i="3"/>
  <c r="AB216" i="3"/>
  <c r="AA216" i="3"/>
  <c r="Z216" i="3"/>
  <c r="Y216" i="3"/>
  <c r="X216" i="3"/>
  <c r="V216" i="3"/>
  <c r="S216" i="3"/>
  <c r="R216" i="3"/>
  <c r="Q216" i="3"/>
  <c r="O216" i="3"/>
  <c r="L216" i="3"/>
  <c r="K216" i="3"/>
  <c r="I216" i="3"/>
  <c r="D216" i="3"/>
  <c r="AB215" i="3"/>
  <c r="AA215" i="3"/>
  <c r="Z215" i="3"/>
  <c r="Y215" i="3"/>
  <c r="X215" i="3"/>
  <c r="V215" i="3"/>
  <c r="S215" i="3"/>
  <c r="R215" i="3"/>
  <c r="Q215" i="3"/>
  <c r="O215" i="3"/>
  <c r="L215" i="3"/>
  <c r="K215" i="3"/>
  <c r="I215" i="3"/>
  <c r="D215" i="3"/>
  <c r="AB214" i="3"/>
  <c r="AA214" i="3"/>
  <c r="Z214" i="3"/>
  <c r="Y214" i="3"/>
  <c r="X214" i="3"/>
  <c r="V214" i="3"/>
  <c r="S214" i="3"/>
  <c r="R214" i="3"/>
  <c r="Q214" i="3"/>
  <c r="O214" i="3"/>
  <c r="L214" i="3"/>
  <c r="K214" i="3"/>
  <c r="I214" i="3"/>
  <c r="D214" i="3"/>
  <c r="AB213" i="3"/>
  <c r="AA213" i="3"/>
  <c r="Z213" i="3"/>
  <c r="Y213" i="3"/>
  <c r="X213" i="3"/>
  <c r="V213" i="3"/>
  <c r="S213" i="3"/>
  <c r="R213" i="3"/>
  <c r="Q213" i="3"/>
  <c r="O213" i="3"/>
  <c r="L213" i="3"/>
  <c r="K213" i="3"/>
  <c r="I213" i="3"/>
  <c r="D213" i="3"/>
  <c r="AB212" i="3"/>
  <c r="AA212" i="3"/>
  <c r="Z212" i="3"/>
  <c r="Y212" i="3"/>
  <c r="X212" i="3"/>
  <c r="V212" i="3"/>
  <c r="S212" i="3"/>
  <c r="R212" i="3"/>
  <c r="Q212" i="3"/>
  <c r="O212" i="3"/>
  <c r="L212" i="3"/>
  <c r="K212" i="3"/>
  <c r="I212" i="3"/>
  <c r="D212" i="3"/>
  <c r="AB211" i="3"/>
  <c r="AA211" i="3"/>
  <c r="Z211" i="3"/>
  <c r="Y211" i="3"/>
  <c r="X211" i="3"/>
  <c r="V211" i="3"/>
  <c r="S211" i="3"/>
  <c r="R211" i="3"/>
  <c r="Q211" i="3"/>
  <c r="O211" i="3"/>
  <c r="L211" i="3"/>
  <c r="K211" i="3"/>
  <c r="I211" i="3"/>
  <c r="D211" i="3"/>
  <c r="AB210" i="3"/>
  <c r="AA210" i="3"/>
  <c r="Z210" i="3"/>
  <c r="Y210" i="3"/>
  <c r="X210" i="3"/>
  <c r="V210" i="3"/>
  <c r="S210" i="3"/>
  <c r="R210" i="3"/>
  <c r="Q210" i="3"/>
  <c r="O210" i="3"/>
  <c r="L210" i="3"/>
  <c r="K210" i="3"/>
  <c r="I210" i="3"/>
  <c r="D210" i="3"/>
  <c r="AB209" i="3"/>
  <c r="AA209" i="3"/>
  <c r="Z209" i="3"/>
  <c r="Y209" i="3"/>
  <c r="X209" i="3"/>
  <c r="V209" i="3"/>
  <c r="S209" i="3"/>
  <c r="R209" i="3"/>
  <c r="Q209" i="3"/>
  <c r="O209" i="3"/>
  <c r="L209" i="3"/>
  <c r="K209" i="3"/>
  <c r="I209" i="3"/>
  <c r="D209" i="3"/>
  <c r="AB208" i="3"/>
  <c r="AA208" i="3"/>
  <c r="Z208" i="3"/>
  <c r="Y208" i="3"/>
  <c r="X208" i="3"/>
  <c r="V208" i="3"/>
  <c r="S208" i="3"/>
  <c r="R208" i="3"/>
  <c r="Q208" i="3"/>
  <c r="O208" i="3"/>
  <c r="L208" i="3"/>
  <c r="K208" i="3"/>
  <c r="I208" i="3"/>
  <c r="D208" i="3"/>
  <c r="AB207" i="3"/>
  <c r="AA207" i="3"/>
  <c r="Z207" i="3"/>
  <c r="Y207" i="3"/>
  <c r="X207" i="3"/>
  <c r="V207" i="3"/>
  <c r="S207" i="3"/>
  <c r="R207" i="3"/>
  <c r="Q207" i="3"/>
  <c r="O207" i="3"/>
  <c r="L207" i="3"/>
  <c r="K207" i="3"/>
  <c r="I207" i="3"/>
  <c r="D207" i="3"/>
  <c r="AB206" i="3"/>
  <c r="AA206" i="3"/>
  <c r="Z206" i="3"/>
  <c r="Y206" i="3"/>
  <c r="X206" i="3"/>
  <c r="V206" i="3"/>
  <c r="S206" i="3"/>
  <c r="R206" i="3"/>
  <c r="Q206" i="3"/>
  <c r="O206" i="3"/>
  <c r="L206" i="3"/>
  <c r="K206" i="3"/>
  <c r="I206" i="3"/>
  <c r="D206" i="3"/>
  <c r="AB205" i="3"/>
  <c r="AA205" i="3"/>
  <c r="Z205" i="3"/>
  <c r="Y205" i="3"/>
  <c r="X205" i="3"/>
  <c r="V205" i="3"/>
  <c r="S205" i="3"/>
  <c r="R205" i="3"/>
  <c r="Q205" i="3"/>
  <c r="O205" i="3"/>
  <c r="L205" i="3"/>
  <c r="K205" i="3"/>
  <c r="I205" i="3"/>
  <c r="D205" i="3"/>
  <c r="AB204" i="3"/>
  <c r="AA204" i="3"/>
  <c r="Z204" i="3"/>
  <c r="Y204" i="3"/>
  <c r="X204" i="3"/>
  <c r="V204" i="3"/>
  <c r="S204" i="3"/>
  <c r="R204" i="3"/>
  <c r="Q204" i="3"/>
  <c r="O204" i="3"/>
  <c r="L204" i="3"/>
  <c r="K204" i="3"/>
  <c r="I204" i="3"/>
  <c r="D204" i="3"/>
  <c r="AB203" i="3"/>
  <c r="AA203" i="3"/>
  <c r="Z203" i="3"/>
  <c r="Y203" i="3"/>
  <c r="X203" i="3"/>
  <c r="V203" i="3"/>
  <c r="S203" i="3"/>
  <c r="R203" i="3"/>
  <c r="Q203" i="3"/>
  <c r="O203" i="3"/>
  <c r="L203" i="3"/>
  <c r="K203" i="3"/>
  <c r="I203" i="3"/>
  <c r="D203" i="3"/>
  <c r="AB202" i="3"/>
  <c r="AA202" i="3"/>
  <c r="Z202" i="3"/>
  <c r="Y202" i="3"/>
  <c r="X202" i="3"/>
  <c r="V202" i="3"/>
  <c r="S202" i="3"/>
  <c r="R202" i="3"/>
  <c r="Q202" i="3"/>
  <c r="O202" i="3"/>
  <c r="L202" i="3"/>
  <c r="K202" i="3"/>
  <c r="I202" i="3"/>
  <c r="D202" i="3"/>
  <c r="AB201" i="3"/>
  <c r="AA201" i="3"/>
  <c r="Z201" i="3"/>
  <c r="Y201" i="3"/>
  <c r="X201" i="3"/>
  <c r="V201" i="3"/>
  <c r="S201" i="3"/>
  <c r="R201" i="3"/>
  <c r="Q201" i="3"/>
  <c r="O201" i="3"/>
  <c r="L201" i="3"/>
  <c r="K201" i="3"/>
  <c r="I201" i="3"/>
  <c r="D201" i="3"/>
  <c r="AB200" i="3"/>
  <c r="AA200" i="3"/>
  <c r="Z200" i="3"/>
  <c r="Y200" i="3"/>
  <c r="X200" i="3"/>
  <c r="V200" i="3"/>
  <c r="S200" i="3"/>
  <c r="R200" i="3"/>
  <c r="Q200" i="3"/>
  <c r="O200" i="3"/>
  <c r="L200" i="3"/>
  <c r="K200" i="3"/>
  <c r="I200" i="3"/>
  <c r="D200" i="3"/>
  <c r="AB199" i="3"/>
  <c r="AA199" i="3"/>
  <c r="Z199" i="3"/>
  <c r="Y199" i="3"/>
  <c r="X199" i="3"/>
  <c r="V199" i="3"/>
  <c r="S199" i="3"/>
  <c r="R199" i="3"/>
  <c r="Q199" i="3"/>
  <c r="O199" i="3"/>
  <c r="L199" i="3"/>
  <c r="K199" i="3"/>
  <c r="I199" i="3"/>
  <c r="D199" i="3"/>
  <c r="AB198" i="3"/>
  <c r="AA198" i="3"/>
  <c r="Z198" i="3"/>
  <c r="Y198" i="3"/>
  <c r="X198" i="3"/>
  <c r="V198" i="3"/>
  <c r="S198" i="3"/>
  <c r="R198" i="3"/>
  <c r="Q198" i="3"/>
  <c r="O198" i="3"/>
  <c r="L198" i="3"/>
  <c r="K198" i="3"/>
  <c r="I198" i="3"/>
  <c r="D198" i="3"/>
  <c r="AB197" i="3"/>
  <c r="AA197" i="3"/>
  <c r="Z197" i="3"/>
  <c r="Y197" i="3"/>
  <c r="X197" i="3"/>
  <c r="V197" i="3"/>
  <c r="S197" i="3"/>
  <c r="R197" i="3"/>
  <c r="Q197" i="3"/>
  <c r="O197" i="3"/>
  <c r="L197" i="3"/>
  <c r="K197" i="3"/>
  <c r="I197" i="3"/>
  <c r="D197" i="3"/>
  <c r="AB196" i="3"/>
  <c r="AA196" i="3"/>
  <c r="Z196" i="3"/>
  <c r="Y196" i="3"/>
  <c r="X196" i="3"/>
  <c r="V196" i="3"/>
  <c r="S196" i="3"/>
  <c r="R196" i="3"/>
  <c r="Q196" i="3"/>
  <c r="O196" i="3"/>
  <c r="L196" i="3"/>
  <c r="K196" i="3"/>
  <c r="I196" i="3"/>
  <c r="D196" i="3"/>
  <c r="AB195" i="3"/>
  <c r="AA195" i="3"/>
  <c r="Z195" i="3"/>
  <c r="Y195" i="3"/>
  <c r="X195" i="3"/>
  <c r="V195" i="3"/>
  <c r="S195" i="3"/>
  <c r="R195" i="3"/>
  <c r="Q195" i="3"/>
  <c r="O195" i="3"/>
  <c r="L195" i="3"/>
  <c r="K195" i="3"/>
  <c r="I195" i="3"/>
  <c r="D195" i="3"/>
  <c r="AB194" i="3"/>
  <c r="AA194" i="3"/>
  <c r="Z194" i="3"/>
  <c r="Y194" i="3"/>
  <c r="X194" i="3"/>
  <c r="V194" i="3"/>
  <c r="S194" i="3"/>
  <c r="R194" i="3"/>
  <c r="Q194" i="3"/>
  <c r="O194" i="3"/>
  <c r="L194" i="3"/>
  <c r="K194" i="3"/>
  <c r="I194" i="3"/>
  <c r="D194" i="3"/>
  <c r="AB193" i="3"/>
  <c r="AA193" i="3"/>
  <c r="Z193" i="3"/>
  <c r="Y193" i="3"/>
  <c r="X193" i="3"/>
  <c r="V193" i="3"/>
  <c r="S193" i="3"/>
  <c r="R193" i="3"/>
  <c r="Q193" i="3"/>
  <c r="O193" i="3"/>
  <c r="L193" i="3"/>
  <c r="K193" i="3"/>
  <c r="I193" i="3"/>
  <c r="D193" i="3"/>
  <c r="AB192" i="3"/>
  <c r="AA192" i="3"/>
  <c r="Z192" i="3"/>
  <c r="Y192" i="3"/>
  <c r="X192" i="3"/>
  <c r="V192" i="3"/>
  <c r="S192" i="3"/>
  <c r="R192" i="3"/>
  <c r="Q192" i="3"/>
  <c r="O192" i="3"/>
  <c r="L192" i="3"/>
  <c r="K192" i="3"/>
  <c r="I192" i="3"/>
  <c r="D192" i="3"/>
  <c r="AB191" i="3"/>
  <c r="AA191" i="3"/>
  <c r="Z191" i="3"/>
  <c r="Y191" i="3"/>
  <c r="X191" i="3"/>
  <c r="V191" i="3"/>
  <c r="S191" i="3"/>
  <c r="R191" i="3"/>
  <c r="Q191" i="3"/>
  <c r="O191" i="3"/>
  <c r="L191" i="3"/>
  <c r="K191" i="3"/>
  <c r="I191" i="3"/>
  <c r="D191" i="3"/>
  <c r="AB190" i="3"/>
  <c r="AA190" i="3"/>
  <c r="Z190" i="3"/>
  <c r="Y190" i="3"/>
  <c r="X190" i="3"/>
  <c r="V190" i="3"/>
  <c r="S190" i="3"/>
  <c r="R190" i="3"/>
  <c r="Q190" i="3"/>
  <c r="O190" i="3"/>
  <c r="L190" i="3"/>
  <c r="K190" i="3"/>
  <c r="I190" i="3"/>
  <c r="D190" i="3"/>
  <c r="AB189" i="3"/>
  <c r="AA189" i="3"/>
  <c r="Z189" i="3"/>
  <c r="Y189" i="3"/>
  <c r="X189" i="3"/>
  <c r="V189" i="3"/>
  <c r="S189" i="3"/>
  <c r="R189" i="3"/>
  <c r="Q189" i="3"/>
  <c r="O189" i="3"/>
  <c r="L189" i="3"/>
  <c r="K189" i="3"/>
  <c r="I189" i="3"/>
  <c r="D189" i="3"/>
  <c r="AB188" i="3"/>
  <c r="AA188" i="3"/>
  <c r="Z188" i="3"/>
  <c r="Y188" i="3"/>
  <c r="X188" i="3"/>
  <c r="V188" i="3"/>
  <c r="S188" i="3"/>
  <c r="R188" i="3"/>
  <c r="Q188" i="3"/>
  <c r="O188" i="3"/>
  <c r="L188" i="3"/>
  <c r="K188" i="3"/>
  <c r="I188" i="3"/>
  <c r="D188" i="3"/>
  <c r="AB187" i="3"/>
  <c r="AA187" i="3"/>
  <c r="Z187" i="3"/>
  <c r="Y187" i="3"/>
  <c r="X187" i="3"/>
  <c r="V187" i="3"/>
  <c r="S187" i="3"/>
  <c r="R187" i="3"/>
  <c r="Q187" i="3"/>
  <c r="O187" i="3"/>
  <c r="L187" i="3"/>
  <c r="K187" i="3"/>
  <c r="I187" i="3"/>
  <c r="D187" i="3"/>
  <c r="AB186" i="3"/>
  <c r="AA186" i="3"/>
  <c r="Z186" i="3"/>
  <c r="Y186" i="3"/>
  <c r="X186" i="3"/>
  <c r="V186" i="3"/>
  <c r="S186" i="3"/>
  <c r="R186" i="3"/>
  <c r="Q186" i="3"/>
  <c r="O186" i="3"/>
  <c r="L186" i="3"/>
  <c r="K186" i="3"/>
  <c r="I186" i="3"/>
  <c r="D186" i="3"/>
  <c r="AB185" i="3"/>
  <c r="AA185" i="3"/>
  <c r="Z185" i="3"/>
  <c r="Y185" i="3"/>
  <c r="X185" i="3"/>
  <c r="V185" i="3"/>
  <c r="S185" i="3"/>
  <c r="R185" i="3"/>
  <c r="Q185" i="3"/>
  <c r="O185" i="3"/>
  <c r="L185" i="3"/>
  <c r="K185" i="3"/>
  <c r="I185" i="3"/>
  <c r="D185" i="3"/>
  <c r="AB184" i="3"/>
  <c r="AA184" i="3"/>
  <c r="Z184" i="3"/>
  <c r="Y184" i="3"/>
  <c r="X184" i="3"/>
  <c r="V184" i="3"/>
  <c r="S184" i="3"/>
  <c r="R184" i="3"/>
  <c r="Q184" i="3"/>
  <c r="O184" i="3"/>
  <c r="L184" i="3"/>
  <c r="K184" i="3"/>
  <c r="I184" i="3"/>
  <c r="D184" i="3"/>
  <c r="AB183" i="3"/>
  <c r="AA183" i="3"/>
  <c r="Z183" i="3"/>
  <c r="Y183" i="3"/>
  <c r="X183" i="3"/>
  <c r="V183" i="3"/>
  <c r="S183" i="3"/>
  <c r="R183" i="3"/>
  <c r="Q183" i="3"/>
  <c r="O183" i="3"/>
  <c r="L183" i="3"/>
  <c r="K183" i="3"/>
  <c r="I183" i="3"/>
  <c r="D183" i="3"/>
  <c r="AB182" i="3"/>
  <c r="AA182" i="3"/>
  <c r="Z182" i="3"/>
  <c r="Y182" i="3"/>
  <c r="X182" i="3"/>
  <c r="V182" i="3"/>
  <c r="S182" i="3"/>
  <c r="R182" i="3"/>
  <c r="Q182" i="3"/>
  <c r="O182" i="3"/>
  <c r="L182" i="3"/>
  <c r="K182" i="3"/>
  <c r="I182" i="3"/>
  <c r="D182" i="3"/>
  <c r="AB181" i="3"/>
  <c r="AA181" i="3"/>
  <c r="Z181" i="3"/>
  <c r="Y181" i="3"/>
  <c r="X181" i="3"/>
  <c r="V181" i="3"/>
  <c r="S181" i="3"/>
  <c r="R181" i="3"/>
  <c r="Q181" i="3"/>
  <c r="O181" i="3"/>
  <c r="L181" i="3"/>
  <c r="K181" i="3"/>
  <c r="I181" i="3"/>
  <c r="D181" i="3"/>
  <c r="AB180" i="3"/>
  <c r="AA180" i="3"/>
  <c r="Z180" i="3"/>
  <c r="Y180" i="3"/>
  <c r="X180" i="3"/>
  <c r="V180" i="3"/>
  <c r="S180" i="3"/>
  <c r="R180" i="3"/>
  <c r="Q180" i="3"/>
  <c r="O180" i="3"/>
  <c r="L180" i="3"/>
  <c r="K180" i="3"/>
  <c r="I180" i="3"/>
  <c r="D180" i="3"/>
  <c r="AB179" i="3"/>
  <c r="AA179" i="3"/>
  <c r="Z179" i="3"/>
  <c r="Y179" i="3"/>
  <c r="X179" i="3"/>
  <c r="V179" i="3"/>
  <c r="S179" i="3"/>
  <c r="R179" i="3"/>
  <c r="Q179" i="3"/>
  <c r="O179" i="3"/>
  <c r="L179" i="3"/>
  <c r="K179" i="3"/>
  <c r="I179" i="3"/>
  <c r="D179" i="3"/>
  <c r="AB178" i="3"/>
  <c r="AA178" i="3"/>
  <c r="Z178" i="3"/>
  <c r="Y178" i="3"/>
  <c r="X178" i="3"/>
  <c r="V178" i="3"/>
  <c r="S178" i="3"/>
  <c r="R178" i="3"/>
  <c r="Q178" i="3"/>
  <c r="O178" i="3"/>
  <c r="L178" i="3"/>
  <c r="K178" i="3"/>
  <c r="I178" i="3"/>
  <c r="D178" i="3"/>
  <c r="AB177" i="3"/>
  <c r="AA177" i="3"/>
  <c r="Z177" i="3"/>
  <c r="Y177" i="3"/>
  <c r="X177" i="3"/>
  <c r="V177" i="3"/>
  <c r="S177" i="3"/>
  <c r="R177" i="3"/>
  <c r="Q177" i="3"/>
  <c r="O177" i="3"/>
  <c r="L177" i="3"/>
  <c r="K177" i="3"/>
  <c r="I177" i="3"/>
  <c r="D177" i="3"/>
  <c r="AB176" i="3"/>
  <c r="AA176" i="3"/>
  <c r="Z176" i="3"/>
  <c r="Y176" i="3"/>
  <c r="X176" i="3"/>
  <c r="V176" i="3"/>
  <c r="S176" i="3"/>
  <c r="R176" i="3"/>
  <c r="Q176" i="3"/>
  <c r="O176" i="3"/>
  <c r="L176" i="3"/>
  <c r="K176" i="3"/>
  <c r="I176" i="3"/>
  <c r="D176" i="3"/>
  <c r="AB175" i="3"/>
  <c r="AA175" i="3"/>
  <c r="Z175" i="3"/>
  <c r="Y175" i="3"/>
  <c r="X175" i="3"/>
  <c r="V175" i="3"/>
  <c r="S175" i="3"/>
  <c r="R175" i="3"/>
  <c r="Q175" i="3"/>
  <c r="O175" i="3"/>
  <c r="L175" i="3"/>
  <c r="K175" i="3"/>
  <c r="I175" i="3"/>
  <c r="D175" i="3"/>
  <c r="AB174" i="3"/>
  <c r="AA174" i="3"/>
  <c r="Z174" i="3"/>
  <c r="Y174" i="3"/>
  <c r="X174" i="3"/>
  <c r="V174" i="3"/>
  <c r="S174" i="3"/>
  <c r="R174" i="3"/>
  <c r="Q174" i="3"/>
  <c r="O174" i="3"/>
  <c r="L174" i="3"/>
  <c r="K174" i="3"/>
  <c r="I174" i="3"/>
  <c r="D174" i="3"/>
  <c r="AB173" i="3"/>
  <c r="AA173" i="3"/>
  <c r="Z173" i="3"/>
  <c r="Y173" i="3"/>
  <c r="X173" i="3"/>
  <c r="V173" i="3"/>
  <c r="S173" i="3"/>
  <c r="R173" i="3"/>
  <c r="Q173" i="3"/>
  <c r="O173" i="3"/>
  <c r="L173" i="3"/>
  <c r="K173" i="3"/>
  <c r="I173" i="3"/>
  <c r="D173" i="3"/>
  <c r="AB172" i="3"/>
  <c r="AA172" i="3"/>
  <c r="Z172" i="3"/>
  <c r="Y172" i="3"/>
  <c r="X172" i="3"/>
  <c r="V172" i="3"/>
  <c r="S172" i="3"/>
  <c r="R172" i="3"/>
  <c r="Q172" i="3"/>
  <c r="O172" i="3"/>
  <c r="L172" i="3"/>
  <c r="K172" i="3"/>
  <c r="I172" i="3"/>
  <c r="D172" i="3"/>
  <c r="AB171" i="3"/>
  <c r="AA171" i="3"/>
  <c r="Z171" i="3"/>
  <c r="Y171" i="3"/>
  <c r="X171" i="3"/>
  <c r="V171" i="3"/>
  <c r="S171" i="3"/>
  <c r="R171" i="3"/>
  <c r="Q171" i="3"/>
  <c r="O171" i="3"/>
  <c r="L171" i="3"/>
  <c r="K171" i="3"/>
  <c r="I171" i="3"/>
  <c r="D171" i="3"/>
  <c r="AB170" i="3"/>
  <c r="AA170" i="3"/>
  <c r="Z170" i="3"/>
  <c r="Y170" i="3"/>
  <c r="X170" i="3"/>
  <c r="V170" i="3"/>
  <c r="S170" i="3"/>
  <c r="R170" i="3"/>
  <c r="Q170" i="3"/>
  <c r="O170" i="3"/>
  <c r="L170" i="3"/>
  <c r="K170" i="3"/>
  <c r="I170" i="3"/>
  <c r="D170" i="3"/>
  <c r="AB169" i="3"/>
  <c r="AA169" i="3"/>
  <c r="Z169" i="3"/>
  <c r="Y169" i="3"/>
  <c r="X169" i="3"/>
  <c r="V169" i="3"/>
  <c r="S169" i="3"/>
  <c r="R169" i="3"/>
  <c r="Q169" i="3"/>
  <c r="O169" i="3"/>
  <c r="L169" i="3"/>
  <c r="K169" i="3"/>
  <c r="I169" i="3"/>
  <c r="D169" i="3"/>
  <c r="AB168" i="3"/>
  <c r="AA168" i="3"/>
  <c r="Z168" i="3"/>
  <c r="Y168" i="3"/>
  <c r="X168" i="3"/>
  <c r="V168" i="3"/>
  <c r="S168" i="3"/>
  <c r="R168" i="3"/>
  <c r="Q168" i="3"/>
  <c r="O168" i="3"/>
  <c r="L168" i="3"/>
  <c r="K168" i="3"/>
  <c r="I168" i="3"/>
  <c r="D168" i="3"/>
  <c r="AB167" i="3"/>
  <c r="AA167" i="3"/>
  <c r="Z167" i="3"/>
  <c r="Y167" i="3"/>
  <c r="X167" i="3"/>
  <c r="V167" i="3"/>
  <c r="S167" i="3"/>
  <c r="R167" i="3"/>
  <c r="Q167" i="3"/>
  <c r="O167" i="3"/>
  <c r="L167" i="3"/>
  <c r="K167" i="3"/>
  <c r="I167" i="3"/>
  <c r="D167" i="3"/>
  <c r="AB166" i="3"/>
  <c r="AA166" i="3"/>
  <c r="Z166" i="3"/>
  <c r="Y166" i="3"/>
  <c r="X166" i="3"/>
  <c r="V166" i="3"/>
  <c r="S166" i="3"/>
  <c r="R166" i="3"/>
  <c r="Q166" i="3"/>
  <c r="O166" i="3"/>
  <c r="L166" i="3"/>
  <c r="K166" i="3"/>
  <c r="I166" i="3"/>
  <c r="D166" i="3"/>
  <c r="AB165" i="3"/>
  <c r="AA165" i="3"/>
  <c r="Z165" i="3"/>
  <c r="Y165" i="3"/>
  <c r="X165" i="3"/>
  <c r="V165" i="3"/>
  <c r="S165" i="3"/>
  <c r="R165" i="3"/>
  <c r="Q165" i="3"/>
  <c r="O165" i="3"/>
  <c r="L165" i="3"/>
  <c r="K165" i="3"/>
  <c r="I165" i="3"/>
  <c r="D165" i="3"/>
  <c r="AB164" i="3"/>
  <c r="AA164" i="3"/>
  <c r="Z164" i="3"/>
  <c r="Y164" i="3"/>
  <c r="X164" i="3"/>
  <c r="V164" i="3"/>
  <c r="S164" i="3"/>
  <c r="R164" i="3"/>
  <c r="Q164" i="3"/>
  <c r="O164" i="3"/>
  <c r="L164" i="3"/>
  <c r="K164" i="3"/>
  <c r="I164" i="3"/>
  <c r="D164" i="3"/>
  <c r="AB163" i="3"/>
  <c r="AA163" i="3"/>
  <c r="Z163" i="3"/>
  <c r="Y163" i="3"/>
  <c r="X163" i="3"/>
  <c r="V163" i="3"/>
  <c r="S163" i="3"/>
  <c r="R163" i="3"/>
  <c r="Q163" i="3"/>
  <c r="O163" i="3"/>
  <c r="L163" i="3"/>
  <c r="K163" i="3"/>
  <c r="I163" i="3"/>
  <c r="D163" i="3"/>
  <c r="AB162" i="3"/>
  <c r="AA162" i="3"/>
  <c r="Z162" i="3"/>
  <c r="Y162" i="3"/>
  <c r="X162" i="3"/>
  <c r="V162" i="3"/>
  <c r="S162" i="3"/>
  <c r="R162" i="3"/>
  <c r="Q162" i="3"/>
  <c r="O162" i="3"/>
  <c r="L162" i="3"/>
  <c r="K162" i="3"/>
  <c r="I162" i="3"/>
  <c r="D162" i="3"/>
  <c r="AB161" i="3"/>
  <c r="AA161" i="3"/>
  <c r="Z161" i="3"/>
  <c r="Y161" i="3"/>
  <c r="X161" i="3"/>
  <c r="V161" i="3"/>
  <c r="S161" i="3"/>
  <c r="R161" i="3"/>
  <c r="Q161" i="3"/>
  <c r="O161" i="3"/>
  <c r="L161" i="3"/>
  <c r="K161" i="3"/>
  <c r="I161" i="3"/>
  <c r="D161" i="3"/>
  <c r="AB160" i="3"/>
  <c r="AA160" i="3"/>
  <c r="Z160" i="3"/>
  <c r="Y160" i="3"/>
  <c r="X160" i="3"/>
  <c r="V160" i="3"/>
  <c r="S160" i="3"/>
  <c r="R160" i="3"/>
  <c r="Q160" i="3"/>
  <c r="O160" i="3"/>
  <c r="L160" i="3"/>
  <c r="K160" i="3"/>
  <c r="I160" i="3"/>
  <c r="D160" i="3"/>
  <c r="AB159" i="3"/>
  <c r="AA159" i="3"/>
  <c r="Z159" i="3"/>
  <c r="Y159" i="3"/>
  <c r="X159" i="3"/>
  <c r="V159" i="3"/>
  <c r="S159" i="3"/>
  <c r="R159" i="3"/>
  <c r="Q159" i="3"/>
  <c r="O159" i="3"/>
  <c r="L159" i="3"/>
  <c r="K159" i="3"/>
  <c r="I159" i="3"/>
  <c r="D159" i="3"/>
  <c r="AB158" i="3"/>
  <c r="AA158" i="3"/>
  <c r="Z158" i="3"/>
  <c r="Y158" i="3"/>
  <c r="X158" i="3"/>
  <c r="V158" i="3"/>
  <c r="S158" i="3"/>
  <c r="R158" i="3"/>
  <c r="Q158" i="3"/>
  <c r="O158" i="3"/>
  <c r="L158" i="3"/>
  <c r="K158" i="3"/>
  <c r="I158" i="3"/>
  <c r="D158" i="3"/>
  <c r="AB157" i="3"/>
  <c r="AA157" i="3"/>
  <c r="Z157" i="3"/>
  <c r="Y157" i="3"/>
  <c r="X157" i="3"/>
  <c r="V157" i="3"/>
  <c r="S157" i="3"/>
  <c r="R157" i="3"/>
  <c r="Q157" i="3"/>
  <c r="O157" i="3"/>
  <c r="L157" i="3"/>
  <c r="K157" i="3"/>
  <c r="I157" i="3"/>
  <c r="D157" i="3"/>
  <c r="AB156" i="3"/>
  <c r="AA156" i="3"/>
  <c r="Z156" i="3"/>
  <c r="Y156" i="3"/>
  <c r="X156" i="3"/>
  <c r="V156" i="3"/>
  <c r="S156" i="3"/>
  <c r="R156" i="3"/>
  <c r="Q156" i="3"/>
  <c r="O156" i="3"/>
  <c r="L156" i="3"/>
  <c r="K156" i="3"/>
  <c r="I156" i="3"/>
  <c r="D156" i="3"/>
  <c r="AB155" i="3"/>
  <c r="AA155" i="3"/>
  <c r="Z155" i="3"/>
  <c r="Y155" i="3"/>
  <c r="X155" i="3"/>
  <c r="V155" i="3"/>
  <c r="S155" i="3"/>
  <c r="R155" i="3"/>
  <c r="Q155" i="3"/>
  <c r="O155" i="3"/>
  <c r="L155" i="3"/>
  <c r="K155" i="3"/>
  <c r="I155" i="3"/>
  <c r="D155" i="3"/>
  <c r="AB154" i="3"/>
  <c r="AA154" i="3"/>
  <c r="Z154" i="3"/>
  <c r="Y154" i="3"/>
  <c r="X154" i="3"/>
  <c r="V154" i="3"/>
  <c r="S154" i="3"/>
  <c r="R154" i="3"/>
  <c r="Q154" i="3"/>
  <c r="O154" i="3"/>
  <c r="L154" i="3"/>
  <c r="K154" i="3"/>
  <c r="I154" i="3"/>
  <c r="D154" i="3"/>
  <c r="AB153" i="3"/>
  <c r="AA153" i="3"/>
  <c r="Z153" i="3"/>
  <c r="Y153" i="3"/>
  <c r="X153" i="3"/>
  <c r="V153" i="3"/>
  <c r="S153" i="3"/>
  <c r="R153" i="3"/>
  <c r="Q153" i="3"/>
  <c r="O153" i="3"/>
  <c r="L153" i="3"/>
  <c r="K153" i="3"/>
  <c r="I153" i="3"/>
  <c r="D153" i="3"/>
  <c r="AB152" i="3"/>
  <c r="AA152" i="3"/>
  <c r="Z152" i="3"/>
  <c r="Y152" i="3"/>
  <c r="X152" i="3"/>
  <c r="V152" i="3"/>
  <c r="S152" i="3"/>
  <c r="R152" i="3"/>
  <c r="Q152" i="3"/>
  <c r="O152" i="3"/>
  <c r="L152" i="3"/>
  <c r="K152" i="3"/>
  <c r="I152" i="3"/>
  <c r="D152" i="3"/>
  <c r="AB151" i="3"/>
  <c r="AA151" i="3"/>
  <c r="Z151" i="3"/>
  <c r="Y151" i="3"/>
  <c r="X151" i="3"/>
  <c r="V151" i="3"/>
  <c r="S151" i="3"/>
  <c r="R151" i="3"/>
  <c r="Q151" i="3"/>
  <c r="O151" i="3"/>
  <c r="L151" i="3"/>
  <c r="K151" i="3"/>
  <c r="I151" i="3"/>
  <c r="D151" i="3"/>
  <c r="AB150" i="3"/>
  <c r="AA150" i="3"/>
  <c r="Z150" i="3"/>
  <c r="Y150" i="3"/>
  <c r="X150" i="3"/>
  <c r="V150" i="3"/>
  <c r="S150" i="3"/>
  <c r="R150" i="3"/>
  <c r="Q150" i="3"/>
  <c r="O150" i="3"/>
  <c r="L150" i="3"/>
  <c r="K150" i="3"/>
  <c r="I150" i="3"/>
  <c r="D150" i="3"/>
  <c r="AB149" i="3"/>
  <c r="AA149" i="3"/>
  <c r="Z149" i="3"/>
  <c r="Y149" i="3"/>
  <c r="X149" i="3"/>
  <c r="V149" i="3"/>
  <c r="S149" i="3"/>
  <c r="R149" i="3"/>
  <c r="Q149" i="3"/>
  <c r="O149" i="3"/>
  <c r="L149" i="3"/>
  <c r="K149" i="3"/>
  <c r="I149" i="3"/>
  <c r="D149" i="3"/>
  <c r="AB148" i="3"/>
  <c r="AA148" i="3"/>
  <c r="Z148" i="3"/>
  <c r="Y148" i="3"/>
  <c r="X148" i="3"/>
  <c r="V148" i="3"/>
  <c r="S148" i="3"/>
  <c r="R148" i="3"/>
  <c r="Q148" i="3"/>
  <c r="O148" i="3"/>
  <c r="L148" i="3"/>
  <c r="K148" i="3"/>
  <c r="I148" i="3"/>
  <c r="D148" i="3"/>
  <c r="AB147" i="3"/>
  <c r="AA147" i="3"/>
  <c r="Z147" i="3"/>
  <c r="Y147" i="3"/>
  <c r="X147" i="3"/>
  <c r="V147" i="3"/>
  <c r="S147" i="3"/>
  <c r="R147" i="3"/>
  <c r="Q147" i="3"/>
  <c r="O147" i="3"/>
  <c r="L147" i="3"/>
  <c r="K147" i="3"/>
  <c r="I147" i="3"/>
  <c r="D147" i="3"/>
  <c r="AB146" i="3"/>
  <c r="AA146" i="3"/>
  <c r="Z146" i="3"/>
  <c r="Y146" i="3"/>
  <c r="X146" i="3"/>
  <c r="V146" i="3"/>
  <c r="S146" i="3"/>
  <c r="R146" i="3"/>
  <c r="Q146" i="3"/>
  <c r="O146" i="3"/>
  <c r="L146" i="3"/>
  <c r="K146" i="3"/>
  <c r="I146" i="3"/>
  <c r="D146" i="3"/>
  <c r="AB145" i="3"/>
  <c r="AA145" i="3"/>
  <c r="Z145" i="3"/>
  <c r="Y145" i="3"/>
  <c r="X145" i="3"/>
  <c r="V145" i="3"/>
  <c r="S145" i="3"/>
  <c r="R145" i="3"/>
  <c r="Q145" i="3"/>
  <c r="O145" i="3"/>
  <c r="L145" i="3"/>
  <c r="K145" i="3"/>
  <c r="I145" i="3"/>
  <c r="D145" i="3"/>
  <c r="AB144" i="3"/>
  <c r="AA144" i="3"/>
  <c r="Z144" i="3"/>
  <c r="Y144" i="3"/>
  <c r="X144" i="3"/>
  <c r="V144" i="3"/>
  <c r="S144" i="3"/>
  <c r="R144" i="3"/>
  <c r="Q144" i="3"/>
  <c r="O144" i="3"/>
  <c r="L144" i="3"/>
  <c r="K144" i="3"/>
  <c r="I144" i="3"/>
  <c r="D144" i="3"/>
  <c r="AB143" i="3"/>
  <c r="AA143" i="3"/>
  <c r="Z143" i="3"/>
  <c r="Y143" i="3"/>
  <c r="X143" i="3"/>
  <c r="V143" i="3"/>
  <c r="S143" i="3"/>
  <c r="R143" i="3"/>
  <c r="Q143" i="3"/>
  <c r="O143" i="3"/>
  <c r="L143" i="3"/>
  <c r="K143" i="3"/>
  <c r="I143" i="3"/>
  <c r="D143" i="3"/>
  <c r="AB142" i="3"/>
  <c r="AA142" i="3"/>
  <c r="Z142" i="3"/>
  <c r="Y142" i="3"/>
  <c r="X142" i="3"/>
  <c r="V142" i="3"/>
  <c r="S142" i="3"/>
  <c r="R142" i="3"/>
  <c r="Q142" i="3"/>
  <c r="O142" i="3"/>
  <c r="L142" i="3"/>
  <c r="K142" i="3"/>
  <c r="I142" i="3"/>
  <c r="D142" i="3"/>
  <c r="AB141" i="3"/>
  <c r="AA141" i="3"/>
  <c r="Z141" i="3"/>
  <c r="Y141" i="3"/>
  <c r="X141" i="3"/>
  <c r="V141" i="3"/>
  <c r="S141" i="3"/>
  <c r="R141" i="3"/>
  <c r="Q141" i="3"/>
  <c r="O141" i="3"/>
  <c r="L141" i="3"/>
  <c r="K141" i="3"/>
  <c r="I141" i="3"/>
  <c r="D141" i="3"/>
  <c r="AB140" i="3"/>
  <c r="AA140" i="3"/>
  <c r="Z140" i="3"/>
  <c r="Y140" i="3"/>
  <c r="X140" i="3"/>
  <c r="V140" i="3"/>
  <c r="S140" i="3"/>
  <c r="R140" i="3"/>
  <c r="Q140" i="3"/>
  <c r="O140" i="3"/>
  <c r="L140" i="3"/>
  <c r="K140" i="3"/>
  <c r="I140" i="3"/>
  <c r="D140" i="3"/>
  <c r="AB139" i="3"/>
  <c r="AA139" i="3"/>
  <c r="Z139" i="3"/>
  <c r="Y139" i="3"/>
  <c r="X139" i="3"/>
  <c r="V139" i="3"/>
  <c r="S139" i="3"/>
  <c r="R139" i="3"/>
  <c r="Q139" i="3"/>
  <c r="O139" i="3"/>
  <c r="L139" i="3"/>
  <c r="K139" i="3"/>
  <c r="I139" i="3"/>
  <c r="D139" i="3"/>
  <c r="AB138" i="3"/>
  <c r="AA138" i="3"/>
  <c r="Z138" i="3"/>
  <c r="Y138" i="3"/>
  <c r="X138" i="3"/>
  <c r="V138" i="3"/>
  <c r="S138" i="3"/>
  <c r="R138" i="3"/>
  <c r="Q138" i="3"/>
  <c r="O138" i="3"/>
  <c r="L138" i="3"/>
  <c r="K138" i="3"/>
  <c r="I138" i="3"/>
  <c r="D138" i="3"/>
  <c r="AB137" i="3"/>
  <c r="AA137" i="3"/>
  <c r="Z137" i="3"/>
  <c r="Y137" i="3"/>
  <c r="X137" i="3"/>
  <c r="V137" i="3"/>
  <c r="S137" i="3"/>
  <c r="R137" i="3"/>
  <c r="Q137" i="3"/>
  <c r="O137" i="3"/>
  <c r="L137" i="3"/>
  <c r="K137" i="3"/>
  <c r="I137" i="3"/>
  <c r="D137" i="3"/>
  <c r="AB136" i="3"/>
  <c r="AA136" i="3"/>
  <c r="Z136" i="3"/>
  <c r="Y136" i="3"/>
  <c r="X136" i="3"/>
  <c r="V136" i="3"/>
  <c r="S136" i="3"/>
  <c r="R136" i="3"/>
  <c r="Q136" i="3"/>
  <c r="O136" i="3"/>
  <c r="L136" i="3"/>
  <c r="K136" i="3"/>
  <c r="I136" i="3"/>
  <c r="D136" i="3"/>
  <c r="AB135" i="3"/>
  <c r="AA135" i="3"/>
  <c r="Z135" i="3"/>
  <c r="Y135" i="3"/>
  <c r="X135" i="3"/>
  <c r="V135" i="3"/>
  <c r="S135" i="3"/>
  <c r="R135" i="3"/>
  <c r="Q135" i="3"/>
  <c r="O135" i="3"/>
  <c r="L135" i="3"/>
  <c r="K135" i="3"/>
  <c r="I135" i="3"/>
  <c r="D135" i="3"/>
  <c r="AB134" i="3"/>
  <c r="AA134" i="3"/>
  <c r="Z134" i="3"/>
  <c r="Y134" i="3"/>
  <c r="X134" i="3"/>
  <c r="V134" i="3"/>
  <c r="S134" i="3"/>
  <c r="R134" i="3"/>
  <c r="Q134" i="3"/>
  <c r="O134" i="3"/>
  <c r="L134" i="3"/>
  <c r="K134" i="3"/>
  <c r="I134" i="3"/>
  <c r="D134" i="3"/>
  <c r="AB133" i="3"/>
  <c r="AA133" i="3"/>
  <c r="Z133" i="3"/>
  <c r="Y133" i="3"/>
  <c r="X133" i="3"/>
  <c r="V133" i="3"/>
  <c r="S133" i="3"/>
  <c r="R133" i="3"/>
  <c r="Q133" i="3"/>
  <c r="O133" i="3"/>
  <c r="L133" i="3"/>
  <c r="K133" i="3"/>
  <c r="I133" i="3"/>
  <c r="D133" i="3"/>
  <c r="AB132" i="3"/>
  <c r="AA132" i="3"/>
  <c r="Z132" i="3"/>
  <c r="Y132" i="3"/>
  <c r="X132" i="3"/>
  <c r="V132" i="3"/>
  <c r="S132" i="3"/>
  <c r="R132" i="3"/>
  <c r="Q132" i="3"/>
  <c r="O132" i="3"/>
  <c r="L132" i="3"/>
  <c r="K132" i="3"/>
  <c r="I132" i="3"/>
  <c r="D132" i="3"/>
  <c r="AB131" i="3"/>
  <c r="AA131" i="3"/>
  <c r="Z131" i="3"/>
  <c r="Y131" i="3"/>
  <c r="X131" i="3"/>
  <c r="V131" i="3"/>
  <c r="S131" i="3"/>
  <c r="R131" i="3"/>
  <c r="Q131" i="3"/>
  <c r="O131" i="3"/>
  <c r="L131" i="3"/>
  <c r="K131" i="3"/>
  <c r="I131" i="3"/>
  <c r="D131" i="3"/>
  <c r="AB130" i="3"/>
  <c r="AA130" i="3"/>
  <c r="Z130" i="3"/>
  <c r="Y130" i="3"/>
  <c r="X130" i="3"/>
  <c r="V130" i="3"/>
  <c r="S130" i="3"/>
  <c r="R130" i="3"/>
  <c r="Q130" i="3"/>
  <c r="O130" i="3"/>
  <c r="L130" i="3"/>
  <c r="K130" i="3"/>
  <c r="I130" i="3"/>
  <c r="D130" i="3"/>
  <c r="AB129" i="3"/>
  <c r="AA129" i="3"/>
  <c r="Z129" i="3"/>
  <c r="Y129" i="3"/>
  <c r="X129" i="3"/>
  <c r="V129" i="3"/>
  <c r="S129" i="3"/>
  <c r="R129" i="3"/>
  <c r="Q129" i="3"/>
  <c r="O129" i="3"/>
  <c r="L129" i="3"/>
  <c r="K129" i="3"/>
  <c r="I129" i="3"/>
  <c r="D129" i="3"/>
  <c r="AB128" i="3"/>
  <c r="AA128" i="3"/>
  <c r="Z128" i="3"/>
  <c r="Y128" i="3"/>
  <c r="X128" i="3"/>
  <c r="V128" i="3"/>
  <c r="S128" i="3"/>
  <c r="R128" i="3"/>
  <c r="Q128" i="3"/>
  <c r="O128" i="3"/>
  <c r="L128" i="3"/>
  <c r="K128" i="3"/>
  <c r="I128" i="3"/>
  <c r="D128" i="3"/>
  <c r="AB127" i="3"/>
  <c r="AA127" i="3"/>
  <c r="Z127" i="3"/>
  <c r="Y127" i="3"/>
  <c r="X127" i="3"/>
  <c r="V127" i="3"/>
  <c r="S127" i="3"/>
  <c r="R127" i="3"/>
  <c r="Q127" i="3"/>
  <c r="O127" i="3"/>
  <c r="L127" i="3"/>
  <c r="K127" i="3"/>
  <c r="I127" i="3"/>
  <c r="D127" i="3"/>
  <c r="AB126" i="3"/>
  <c r="AA126" i="3"/>
  <c r="Z126" i="3"/>
  <c r="Y126" i="3"/>
  <c r="X126" i="3"/>
  <c r="V126" i="3"/>
  <c r="S126" i="3"/>
  <c r="R126" i="3"/>
  <c r="Q126" i="3"/>
  <c r="O126" i="3"/>
  <c r="L126" i="3"/>
  <c r="K126" i="3"/>
  <c r="I126" i="3"/>
  <c r="D126" i="3"/>
  <c r="AB125" i="3"/>
  <c r="AA125" i="3"/>
  <c r="Z125" i="3"/>
  <c r="Y125" i="3"/>
  <c r="X125" i="3"/>
  <c r="V125" i="3"/>
  <c r="S125" i="3"/>
  <c r="R125" i="3"/>
  <c r="Q125" i="3"/>
  <c r="O125" i="3"/>
  <c r="L125" i="3"/>
  <c r="K125" i="3"/>
  <c r="I125" i="3"/>
  <c r="D125" i="3"/>
  <c r="AB124" i="3"/>
  <c r="AA124" i="3"/>
  <c r="Z124" i="3"/>
  <c r="Y124" i="3"/>
  <c r="X124" i="3"/>
  <c r="V124" i="3"/>
  <c r="S124" i="3"/>
  <c r="R124" i="3"/>
  <c r="Q124" i="3"/>
  <c r="O124" i="3"/>
  <c r="L124" i="3"/>
  <c r="K124" i="3"/>
  <c r="I124" i="3"/>
  <c r="D124" i="3"/>
  <c r="AB123" i="3"/>
  <c r="AA123" i="3"/>
  <c r="Z123" i="3"/>
  <c r="Y123" i="3"/>
  <c r="X123" i="3"/>
  <c r="V123" i="3"/>
  <c r="S123" i="3"/>
  <c r="R123" i="3"/>
  <c r="Q123" i="3"/>
  <c r="O123" i="3"/>
  <c r="L123" i="3"/>
  <c r="K123" i="3"/>
  <c r="I123" i="3"/>
  <c r="D123" i="3"/>
  <c r="AB122" i="3"/>
  <c r="AA122" i="3"/>
  <c r="Z122" i="3"/>
  <c r="Y122" i="3"/>
  <c r="X122" i="3"/>
  <c r="V122" i="3"/>
  <c r="S122" i="3"/>
  <c r="R122" i="3"/>
  <c r="Q122" i="3"/>
  <c r="O122" i="3"/>
  <c r="L122" i="3"/>
  <c r="K122" i="3"/>
  <c r="I122" i="3"/>
  <c r="D122" i="3"/>
  <c r="AB121" i="3"/>
  <c r="AA121" i="3"/>
  <c r="Z121" i="3"/>
  <c r="Y121" i="3"/>
  <c r="X121" i="3"/>
  <c r="V121" i="3"/>
  <c r="S121" i="3"/>
  <c r="R121" i="3"/>
  <c r="Q121" i="3"/>
  <c r="O121" i="3"/>
  <c r="L121" i="3"/>
  <c r="K121" i="3"/>
  <c r="I121" i="3"/>
  <c r="D121" i="3"/>
  <c r="AB120" i="3"/>
  <c r="AA120" i="3"/>
  <c r="Z120" i="3"/>
  <c r="Y120" i="3"/>
  <c r="X120" i="3"/>
  <c r="V120" i="3"/>
  <c r="S120" i="3"/>
  <c r="R120" i="3"/>
  <c r="Q120" i="3"/>
  <c r="O120" i="3"/>
  <c r="L120" i="3"/>
  <c r="K120" i="3"/>
  <c r="I120" i="3"/>
  <c r="D120" i="3"/>
  <c r="AB119" i="3"/>
  <c r="AA119" i="3"/>
  <c r="Z119" i="3"/>
  <c r="Y119" i="3"/>
  <c r="X119" i="3"/>
  <c r="V119" i="3"/>
  <c r="S119" i="3"/>
  <c r="R119" i="3"/>
  <c r="Q119" i="3"/>
  <c r="O119" i="3"/>
  <c r="L119" i="3"/>
  <c r="K119" i="3"/>
  <c r="I119" i="3"/>
  <c r="D119" i="3"/>
  <c r="AB118" i="3"/>
  <c r="AA118" i="3"/>
  <c r="Z118" i="3"/>
  <c r="Y118" i="3"/>
  <c r="X118" i="3"/>
  <c r="V118" i="3"/>
  <c r="S118" i="3"/>
  <c r="R118" i="3"/>
  <c r="Q118" i="3"/>
  <c r="O118" i="3"/>
  <c r="L118" i="3"/>
  <c r="K118" i="3"/>
  <c r="I118" i="3"/>
  <c r="D118" i="3"/>
  <c r="AB117" i="3"/>
  <c r="AA117" i="3"/>
  <c r="Z117" i="3"/>
  <c r="Y117" i="3"/>
  <c r="X117" i="3"/>
  <c r="V117" i="3"/>
  <c r="S117" i="3"/>
  <c r="R117" i="3"/>
  <c r="Q117" i="3"/>
  <c r="O117" i="3"/>
  <c r="L117" i="3"/>
  <c r="K117" i="3"/>
  <c r="I117" i="3"/>
  <c r="D117" i="3"/>
  <c r="AB116" i="3"/>
  <c r="AA116" i="3"/>
  <c r="Z116" i="3"/>
  <c r="Y116" i="3"/>
  <c r="X116" i="3"/>
  <c r="V116" i="3"/>
  <c r="S116" i="3"/>
  <c r="R116" i="3"/>
  <c r="Q116" i="3"/>
  <c r="O116" i="3"/>
  <c r="L116" i="3"/>
  <c r="K116" i="3"/>
  <c r="I116" i="3"/>
  <c r="D116" i="3"/>
  <c r="AB115" i="3"/>
  <c r="AA115" i="3"/>
  <c r="Z115" i="3"/>
  <c r="Y115" i="3"/>
  <c r="X115" i="3"/>
  <c r="V115" i="3"/>
  <c r="S115" i="3"/>
  <c r="R115" i="3"/>
  <c r="Q115" i="3"/>
  <c r="O115" i="3"/>
  <c r="L115" i="3"/>
  <c r="K115" i="3"/>
  <c r="I115" i="3"/>
  <c r="D115" i="3"/>
  <c r="AB114" i="3"/>
  <c r="AA114" i="3"/>
  <c r="Z114" i="3"/>
  <c r="Y114" i="3"/>
  <c r="X114" i="3"/>
  <c r="V114" i="3"/>
  <c r="S114" i="3"/>
  <c r="R114" i="3"/>
  <c r="Q114" i="3"/>
  <c r="O114" i="3"/>
  <c r="L114" i="3"/>
  <c r="K114" i="3"/>
  <c r="I114" i="3"/>
  <c r="D114" i="3"/>
  <c r="AB113" i="3"/>
  <c r="AA113" i="3"/>
  <c r="Z113" i="3"/>
  <c r="Y113" i="3"/>
  <c r="X113" i="3"/>
  <c r="V113" i="3"/>
  <c r="S113" i="3"/>
  <c r="R113" i="3"/>
  <c r="Q113" i="3"/>
  <c r="O113" i="3"/>
  <c r="L113" i="3"/>
  <c r="K113" i="3"/>
  <c r="I113" i="3"/>
  <c r="D113" i="3"/>
  <c r="AB112" i="3"/>
  <c r="AA112" i="3"/>
  <c r="Z112" i="3"/>
  <c r="Y112" i="3"/>
  <c r="X112" i="3"/>
  <c r="V112" i="3"/>
  <c r="S112" i="3"/>
  <c r="R112" i="3"/>
  <c r="Q112" i="3"/>
  <c r="O112" i="3"/>
  <c r="L112" i="3"/>
  <c r="K112" i="3"/>
  <c r="I112" i="3"/>
  <c r="D112" i="3"/>
  <c r="AB111" i="3"/>
  <c r="AA111" i="3"/>
  <c r="Z111" i="3"/>
  <c r="Y111" i="3"/>
  <c r="X111" i="3"/>
  <c r="V111" i="3"/>
  <c r="S111" i="3"/>
  <c r="R111" i="3"/>
  <c r="Q111" i="3"/>
  <c r="O111" i="3"/>
  <c r="L111" i="3"/>
  <c r="K111" i="3"/>
  <c r="I111" i="3"/>
  <c r="D111" i="3"/>
  <c r="AB110" i="3"/>
  <c r="AA110" i="3"/>
  <c r="Z110" i="3"/>
  <c r="Y110" i="3"/>
  <c r="X110" i="3"/>
  <c r="V110" i="3"/>
  <c r="S110" i="3"/>
  <c r="R110" i="3"/>
  <c r="Q110" i="3"/>
  <c r="O110" i="3"/>
  <c r="L110" i="3"/>
  <c r="K110" i="3"/>
  <c r="I110" i="3"/>
  <c r="D110" i="3"/>
  <c r="AB109" i="3"/>
  <c r="AA109" i="3"/>
  <c r="Z109" i="3"/>
  <c r="Y109" i="3"/>
  <c r="X109" i="3"/>
  <c r="V109" i="3"/>
  <c r="S109" i="3"/>
  <c r="R109" i="3"/>
  <c r="Q109" i="3"/>
  <c r="O109" i="3"/>
  <c r="L109" i="3"/>
  <c r="K109" i="3"/>
  <c r="I109" i="3"/>
  <c r="D109" i="3"/>
  <c r="AB108" i="3"/>
  <c r="AA108" i="3"/>
  <c r="Z108" i="3"/>
  <c r="Y108" i="3"/>
  <c r="X108" i="3"/>
  <c r="V108" i="3"/>
  <c r="S108" i="3"/>
  <c r="R108" i="3"/>
  <c r="Q108" i="3"/>
  <c r="O108" i="3"/>
  <c r="L108" i="3"/>
  <c r="K108" i="3"/>
  <c r="I108" i="3"/>
  <c r="D108" i="3"/>
  <c r="AB107" i="3"/>
  <c r="AA107" i="3"/>
  <c r="Z107" i="3"/>
  <c r="Y107" i="3"/>
  <c r="X107" i="3"/>
  <c r="V107" i="3"/>
  <c r="S107" i="3"/>
  <c r="R107" i="3"/>
  <c r="Q107" i="3"/>
  <c r="O107" i="3"/>
  <c r="L107" i="3"/>
  <c r="K107" i="3"/>
  <c r="I107" i="3"/>
  <c r="D107" i="3"/>
  <c r="AB106" i="3"/>
  <c r="AA106" i="3"/>
  <c r="Z106" i="3"/>
  <c r="Y106" i="3"/>
  <c r="X106" i="3"/>
  <c r="V106" i="3"/>
  <c r="S106" i="3"/>
  <c r="R106" i="3"/>
  <c r="Q106" i="3"/>
  <c r="O106" i="3"/>
  <c r="L106" i="3"/>
  <c r="K106" i="3"/>
  <c r="I106" i="3"/>
  <c r="D106" i="3"/>
  <c r="AB105" i="3"/>
  <c r="AA105" i="3"/>
  <c r="Z105" i="3"/>
  <c r="Y105" i="3"/>
  <c r="X105" i="3"/>
  <c r="V105" i="3"/>
  <c r="S105" i="3"/>
  <c r="R105" i="3"/>
  <c r="Q105" i="3"/>
  <c r="O105" i="3"/>
  <c r="L105" i="3"/>
  <c r="K105" i="3"/>
  <c r="I105" i="3"/>
  <c r="D105" i="3"/>
  <c r="AB104" i="3"/>
  <c r="AA104" i="3"/>
  <c r="Z104" i="3"/>
  <c r="Y104" i="3"/>
  <c r="X104" i="3"/>
  <c r="V104" i="3"/>
  <c r="S104" i="3"/>
  <c r="R104" i="3"/>
  <c r="Q104" i="3"/>
  <c r="O104" i="3"/>
  <c r="L104" i="3"/>
  <c r="K104" i="3"/>
  <c r="I104" i="3"/>
  <c r="D104" i="3"/>
  <c r="AB103" i="3"/>
  <c r="AA103" i="3"/>
  <c r="Z103" i="3"/>
  <c r="Y103" i="3"/>
  <c r="X103" i="3"/>
  <c r="V103" i="3"/>
  <c r="S103" i="3"/>
  <c r="R103" i="3"/>
  <c r="Q103" i="3"/>
  <c r="O103" i="3"/>
  <c r="L103" i="3"/>
  <c r="K103" i="3"/>
  <c r="I103" i="3"/>
  <c r="D103" i="3"/>
  <c r="AB102" i="3"/>
  <c r="AA102" i="3"/>
  <c r="Z102" i="3"/>
  <c r="Y102" i="3"/>
  <c r="X102" i="3"/>
  <c r="V102" i="3"/>
  <c r="S102" i="3"/>
  <c r="R102" i="3"/>
  <c r="Q102" i="3"/>
  <c r="O102" i="3"/>
  <c r="L102" i="3"/>
  <c r="K102" i="3"/>
  <c r="I102" i="3"/>
  <c r="D102" i="3"/>
  <c r="AB101" i="3"/>
  <c r="AA101" i="3"/>
  <c r="Z101" i="3"/>
  <c r="Y101" i="3"/>
  <c r="X101" i="3"/>
  <c r="V101" i="3"/>
  <c r="S101" i="3"/>
  <c r="R101" i="3"/>
  <c r="Q101" i="3"/>
  <c r="O101" i="3"/>
  <c r="L101" i="3"/>
  <c r="K101" i="3"/>
  <c r="I101" i="3"/>
  <c r="D101" i="3"/>
  <c r="AB100" i="3"/>
  <c r="AA100" i="3"/>
  <c r="Z100" i="3"/>
  <c r="Y100" i="3"/>
  <c r="X100" i="3"/>
  <c r="V100" i="3"/>
  <c r="S100" i="3"/>
  <c r="R100" i="3"/>
  <c r="Q100" i="3"/>
  <c r="O100" i="3"/>
  <c r="L100" i="3"/>
  <c r="K100" i="3"/>
  <c r="I100" i="3"/>
  <c r="D100" i="3"/>
  <c r="AB99" i="3"/>
  <c r="AA99" i="3"/>
  <c r="Z99" i="3"/>
  <c r="Y99" i="3"/>
  <c r="X99" i="3"/>
  <c r="V99" i="3"/>
  <c r="S99" i="3"/>
  <c r="R99" i="3"/>
  <c r="Q99" i="3"/>
  <c r="O99" i="3"/>
  <c r="L99" i="3"/>
  <c r="K99" i="3"/>
  <c r="I99" i="3"/>
  <c r="D99" i="3"/>
  <c r="AB98" i="3"/>
  <c r="AA98" i="3"/>
  <c r="Z98" i="3"/>
  <c r="Y98" i="3"/>
  <c r="X98" i="3"/>
  <c r="V98" i="3"/>
  <c r="S98" i="3"/>
  <c r="R98" i="3"/>
  <c r="Q98" i="3"/>
  <c r="O98" i="3"/>
  <c r="L98" i="3"/>
  <c r="K98" i="3"/>
  <c r="I98" i="3"/>
  <c r="D98" i="3"/>
  <c r="AB97" i="3"/>
  <c r="AA97" i="3"/>
  <c r="Z97" i="3"/>
  <c r="Y97" i="3"/>
  <c r="X97" i="3"/>
  <c r="V97" i="3"/>
  <c r="S97" i="3"/>
  <c r="R97" i="3"/>
  <c r="Q97" i="3"/>
  <c r="O97" i="3"/>
  <c r="L97" i="3"/>
  <c r="K97" i="3"/>
  <c r="I97" i="3"/>
  <c r="D97" i="3"/>
  <c r="AB96" i="3"/>
  <c r="AA96" i="3"/>
  <c r="Z96" i="3"/>
  <c r="Y96" i="3"/>
  <c r="X96" i="3"/>
  <c r="V96" i="3"/>
  <c r="S96" i="3"/>
  <c r="R96" i="3"/>
  <c r="Q96" i="3"/>
  <c r="O96" i="3"/>
  <c r="L96" i="3"/>
  <c r="K96" i="3"/>
  <c r="I96" i="3"/>
  <c r="D96" i="3"/>
  <c r="AB95" i="3"/>
  <c r="AA95" i="3"/>
  <c r="Z95" i="3"/>
  <c r="Y95" i="3"/>
  <c r="X95" i="3"/>
  <c r="V95" i="3"/>
  <c r="S95" i="3"/>
  <c r="R95" i="3"/>
  <c r="Q95" i="3"/>
  <c r="O95" i="3"/>
  <c r="L95" i="3"/>
  <c r="K95" i="3"/>
  <c r="I95" i="3"/>
  <c r="D95" i="3"/>
  <c r="AB94" i="3"/>
  <c r="AA94" i="3"/>
  <c r="Z94" i="3"/>
  <c r="Y94" i="3"/>
  <c r="X94" i="3"/>
  <c r="V94" i="3"/>
  <c r="S94" i="3"/>
  <c r="R94" i="3"/>
  <c r="Q94" i="3"/>
  <c r="O94" i="3"/>
  <c r="L94" i="3"/>
  <c r="K94" i="3"/>
  <c r="I94" i="3"/>
  <c r="D94" i="3"/>
  <c r="AB93" i="3"/>
  <c r="AA93" i="3"/>
  <c r="Z93" i="3"/>
  <c r="Y93" i="3"/>
  <c r="X93" i="3"/>
  <c r="V93" i="3"/>
  <c r="S93" i="3"/>
  <c r="R93" i="3"/>
  <c r="Q93" i="3"/>
  <c r="O93" i="3"/>
  <c r="L93" i="3"/>
  <c r="K93" i="3"/>
  <c r="I93" i="3"/>
  <c r="D93" i="3"/>
  <c r="AB92" i="3"/>
  <c r="AA92" i="3"/>
  <c r="Z92" i="3"/>
  <c r="Y92" i="3"/>
  <c r="X92" i="3"/>
  <c r="V92" i="3"/>
  <c r="S92" i="3"/>
  <c r="R92" i="3"/>
  <c r="Q92" i="3"/>
  <c r="O92" i="3"/>
  <c r="L92" i="3"/>
  <c r="K92" i="3"/>
  <c r="I92" i="3"/>
  <c r="D92" i="3"/>
  <c r="AB91" i="3"/>
  <c r="AA91" i="3"/>
  <c r="Z91" i="3"/>
  <c r="Y91" i="3"/>
  <c r="X91" i="3"/>
  <c r="V91" i="3"/>
  <c r="S91" i="3"/>
  <c r="R91" i="3"/>
  <c r="Q91" i="3"/>
  <c r="O91" i="3"/>
  <c r="L91" i="3"/>
  <c r="K91" i="3"/>
  <c r="I91" i="3"/>
  <c r="D91" i="3"/>
  <c r="AB90" i="3"/>
  <c r="AA90" i="3"/>
  <c r="Z90" i="3"/>
  <c r="Y90" i="3"/>
  <c r="X90" i="3"/>
  <c r="V90" i="3"/>
  <c r="S90" i="3"/>
  <c r="R90" i="3"/>
  <c r="Q90" i="3"/>
  <c r="O90" i="3"/>
  <c r="L90" i="3"/>
  <c r="K90" i="3"/>
  <c r="I90" i="3"/>
  <c r="D90" i="3"/>
  <c r="AB89" i="3"/>
  <c r="AA89" i="3"/>
  <c r="Z89" i="3"/>
  <c r="Y89" i="3"/>
  <c r="X89" i="3"/>
  <c r="V89" i="3"/>
  <c r="S89" i="3"/>
  <c r="R89" i="3"/>
  <c r="Q89" i="3"/>
  <c r="O89" i="3"/>
  <c r="L89" i="3"/>
  <c r="K89" i="3"/>
  <c r="I89" i="3"/>
  <c r="D89" i="3"/>
  <c r="AB88" i="3"/>
  <c r="AA88" i="3"/>
  <c r="Z88" i="3"/>
  <c r="Y88" i="3"/>
  <c r="X88" i="3"/>
  <c r="V88" i="3"/>
  <c r="S88" i="3"/>
  <c r="R88" i="3"/>
  <c r="Q88" i="3"/>
  <c r="O88" i="3"/>
  <c r="L88" i="3"/>
  <c r="K88" i="3"/>
  <c r="I88" i="3"/>
  <c r="D88" i="3"/>
  <c r="AB87" i="3"/>
  <c r="AA87" i="3"/>
  <c r="Z87" i="3"/>
  <c r="Y87" i="3"/>
  <c r="X87" i="3"/>
  <c r="V87" i="3"/>
  <c r="S87" i="3"/>
  <c r="R87" i="3"/>
  <c r="Q87" i="3"/>
  <c r="O87" i="3"/>
  <c r="L87" i="3"/>
  <c r="K87" i="3"/>
  <c r="I87" i="3"/>
  <c r="D87" i="3"/>
  <c r="AB86" i="3"/>
  <c r="AA86" i="3"/>
  <c r="Z86" i="3"/>
  <c r="Y86" i="3"/>
  <c r="X86" i="3"/>
  <c r="V86" i="3"/>
  <c r="S86" i="3"/>
  <c r="R86" i="3"/>
  <c r="Q86" i="3"/>
  <c r="O86" i="3"/>
  <c r="L86" i="3"/>
  <c r="K86" i="3"/>
  <c r="I86" i="3"/>
  <c r="D86" i="3"/>
  <c r="AB85" i="3"/>
  <c r="AA85" i="3"/>
  <c r="Z85" i="3"/>
  <c r="Y85" i="3"/>
  <c r="X85" i="3"/>
  <c r="V85" i="3"/>
  <c r="S85" i="3"/>
  <c r="R85" i="3"/>
  <c r="Q85" i="3"/>
  <c r="O85" i="3"/>
  <c r="L85" i="3"/>
  <c r="K85" i="3"/>
  <c r="I85" i="3"/>
  <c r="D85" i="3"/>
  <c r="AB84" i="3"/>
  <c r="AA84" i="3"/>
  <c r="Z84" i="3"/>
  <c r="Y84" i="3"/>
  <c r="X84" i="3"/>
  <c r="V84" i="3"/>
  <c r="S84" i="3"/>
  <c r="R84" i="3"/>
  <c r="Q84" i="3"/>
  <c r="O84" i="3"/>
  <c r="L84" i="3"/>
  <c r="K84" i="3"/>
  <c r="I84" i="3"/>
  <c r="D84" i="3"/>
  <c r="AB83" i="3"/>
  <c r="AA83" i="3"/>
  <c r="Z83" i="3"/>
  <c r="Y83" i="3"/>
  <c r="X83" i="3"/>
  <c r="V83" i="3"/>
  <c r="S83" i="3"/>
  <c r="R83" i="3"/>
  <c r="Q83" i="3"/>
  <c r="O83" i="3"/>
  <c r="L83" i="3"/>
  <c r="K83" i="3"/>
  <c r="I83" i="3"/>
  <c r="D83" i="3"/>
  <c r="AB82" i="3"/>
  <c r="AA82" i="3"/>
  <c r="Z82" i="3"/>
  <c r="Y82" i="3"/>
  <c r="X82" i="3"/>
  <c r="V82" i="3"/>
  <c r="S82" i="3"/>
  <c r="R82" i="3"/>
  <c r="Q82" i="3"/>
  <c r="O82" i="3"/>
  <c r="L82" i="3"/>
  <c r="K82" i="3"/>
  <c r="I82" i="3"/>
  <c r="D82" i="3"/>
  <c r="AB81" i="3"/>
  <c r="AA81" i="3"/>
  <c r="Z81" i="3"/>
  <c r="Y81" i="3"/>
  <c r="X81" i="3"/>
  <c r="V81" i="3"/>
  <c r="S81" i="3"/>
  <c r="R81" i="3"/>
  <c r="Q81" i="3"/>
  <c r="O81" i="3"/>
  <c r="L81" i="3"/>
  <c r="K81" i="3"/>
  <c r="I81" i="3"/>
  <c r="D81" i="3"/>
  <c r="AB80" i="3"/>
  <c r="AA80" i="3"/>
  <c r="Z80" i="3"/>
  <c r="Y80" i="3"/>
  <c r="X80" i="3"/>
  <c r="V80" i="3"/>
  <c r="S80" i="3"/>
  <c r="R80" i="3"/>
  <c r="Q80" i="3"/>
  <c r="O80" i="3"/>
  <c r="L80" i="3"/>
  <c r="K80" i="3"/>
  <c r="I80" i="3"/>
  <c r="D80" i="3"/>
  <c r="AB79" i="3"/>
  <c r="AA79" i="3"/>
  <c r="Z79" i="3"/>
  <c r="Y79" i="3"/>
  <c r="X79" i="3"/>
  <c r="V79" i="3"/>
  <c r="S79" i="3"/>
  <c r="R79" i="3"/>
  <c r="Q79" i="3"/>
  <c r="O79" i="3"/>
  <c r="L79" i="3"/>
  <c r="K79" i="3"/>
  <c r="I79" i="3"/>
  <c r="D79" i="3"/>
  <c r="AB78" i="3"/>
  <c r="AA78" i="3"/>
  <c r="Z78" i="3"/>
  <c r="Y78" i="3"/>
  <c r="X78" i="3"/>
  <c r="V78" i="3"/>
  <c r="S78" i="3"/>
  <c r="R78" i="3"/>
  <c r="Q78" i="3"/>
  <c r="O78" i="3"/>
  <c r="L78" i="3"/>
  <c r="K78" i="3"/>
  <c r="I78" i="3"/>
  <c r="D78" i="3"/>
  <c r="AB77" i="3"/>
  <c r="AA77" i="3"/>
  <c r="Z77" i="3"/>
  <c r="Y77" i="3"/>
  <c r="X77" i="3"/>
  <c r="V77" i="3"/>
  <c r="S77" i="3"/>
  <c r="R77" i="3"/>
  <c r="Q77" i="3"/>
  <c r="O77" i="3"/>
  <c r="L77" i="3"/>
  <c r="K77" i="3"/>
  <c r="I77" i="3"/>
  <c r="D77" i="3"/>
  <c r="AB76" i="3"/>
  <c r="AA76" i="3"/>
  <c r="Z76" i="3"/>
  <c r="Y76" i="3"/>
  <c r="X76" i="3"/>
  <c r="V76" i="3"/>
  <c r="S76" i="3"/>
  <c r="R76" i="3"/>
  <c r="Q76" i="3"/>
  <c r="O76" i="3"/>
  <c r="L76" i="3"/>
  <c r="K76" i="3"/>
  <c r="I76" i="3"/>
  <c r="D76" i="3"/>
  <c r="AB75" i="3"/>
  <c r="AA75" i="3"/>
  <c r="Z75" i="3"/>
  <c r="Y75" i="3"/>
  <c r="X75" i="3"/>
  <c r="V75" i="3"/>
  <c r="S75" i="3"/>
  <c r="R75" i="3"/>
  <c r="Q75" i="3"/>
  <c r="O75" i="3"/>
  <c r="L75" i="3"/>
  <c r="K75" i="3"/>
  <c r="I75" i="3"/>
  <c r="D75" i="3"/>
  <c r="AB74" i="3"/>
  <c r="AA74" i="3"/>
  <c r="Z74" i="3"/>
  <c r="Y74" i="3"/>
  <c r="X74" i="3"/>
  <c r="V74" i="3"/>
  <c r="S74" i="3"/>
  <c r="R74" i="3"/>
  <c r="Q74" i="3"/>
  <c r="O74" i="3"/>
  <c r="L74" i="3"/>
  <c r="K74" i="3"/>
  <c r="I74" i="3"/>
  <c r="D74" i="3"/>
  <c r="AB73" i="3"/>
  <c r="AA73" i="3"/>
  <c r="Z73" i="3"/>
  <c r="Y73" i="3"/>
  <c r="X73" i="3"/>
  <c r="V73" i="3"/>
  <c r="S73" i="3"/>
  <c r="R73" i="3"/>
  <c r="Q73" i="3"/>
  <c r="O73" i="3"/>
  <c r="L73" i="3"/>
  <c r="K73" i="3"/>
  <c r="I73" i="3"/>
  <c r="D73" i="3"/>
  <c r="AB72" i="3"/>
  <c r="AA72" i="3"/>
  <c r="Z72" i="3"/>
  <c r="Y72" i="3"/>
  <c r="X72" i="3"/>
  <c r="V72" i="3"/>
  <c r="S72" i="3"/>
  <c r="R72" i="3"/>
  <c r="Q72" i="3"/>
  <c r="O72" i="3"/>
  <c r="L72" i="3"/>
  <c r="K72" i="3"/>
  <c r="I72" i="3"/>
  <c r="D72" i="3"/>
  <c r="AB71" i="3"/>
  <c r="AA71" i="3"/>
  <c r="Z71" i="3"/>
  <c r="Y71" i="3"/>
  <c r="X71" i="3"/>
  <c r="V71" i="3"/>
  <c r="S71" i="3"/>
  <c r="R71" i="3"/>
  <c r="Q71" i="3"/>
  <c r="O71" i="3"/>
  <c r="L71" i="3"/>
  <c r="K71" i="3"/>
  <c r="I71" i="3"/>
  <c r="D71" i="3"/>
  <c r="AB70" i="3"/>
  <c r="AA70" i="3"/>
  <c r="Z70" i="3"/>
  <c r="Y70" i="3"/>
  <c r="X70" i="3"/>
  <c r="V70" i="3"/>
  <c r="S70" i="3"/>
  <c r="R70" i="3"/>
  <c r="Q70" i="3"/>
  <c r="O70" i="3"/>
  <c r="L70" i="3"/>
  <c r="K70" i="3"/>
  <c r="I70" i="3"/>
  <c r="D70" i="3"/>
  <c r="AB69" i="3"/>
  <c r="AA69" i="3"/>
  <c r="Z69" i="3"/>
  <c r="Y69" i="3"/>
  <c r="X69" i="3"/>
  <c r="V69" i="3"/>
  <c r="S69" i="3"/>
  <c r="R69" i="3"/>
  <c r="Q69" i="3"/>
  <c r="O69" i="3"/>
  <c r="L69" i="3"/>
  <c r="K69" i="3"/>
  <c r="I69" i="3"/>
  <c r="D69" i="3"/>
  <c r="AB68" i="3"/>
  <c r="AA68" i="3"/>
  <c r="Z68" i="3"/>
  <c r="Y68" i="3"/>
  <c r="X68" i="3"/>
  <c r="V68" i="3"/>
  <c r="S68" i="3"/>
  <c r="R68" i="3"/>
  <c r="Q68" i="3"/>
  <c r="O68" i="3"/>
  <c r="L68" i="3"/>
  <c r="K68" i="3"/>
  <c r="I68" i="3"/>
  <c r="D68" i="3"/>
  <c r="AB67" i="3"/>
  <c r="AA67" i="3"/>
  <c r="Z67" i="3"/>
  <c r="Y67" i="3"/>
  <c r="X67" i="3"/>
  <c r="V67" i="3"/>
  <c r="S67" i="3"/>
  <c r="R67" i="3"/>
  <c r="Q67" i="3"/>
  <c r="O67" i="3"/>
  <c r="L67" i="3"/>
  <c r="K67" i="3"/>
  <c r="I67" i="3"/>
  <c r="D67" i="3"/>
  <c r="AB66" i="3"/>
  <c r="AA66" i="3"/>
  <c r="Z66" i="3"/>
  <c r="Y66" i="3"/>
  <c r="X66" i="3"/>
  <c r="V66" i="3"/>
  <c r="S66" i="3"/>
  <c r="R66" i="3"/>
  <c r="Q66" i="3"/>
  <c r="O66" i="3"/>
  <c r="L66" i="3"/>
  <c r="K66" i="3"/>
  <c r="I66" i="3"/>
  <c r="D66" i="3"/>
  <c r="AB65" i="3"/>
  <c r="AA65" i="3"/>
  <c r="Z65" i="3"/>
  <c r="Y65" i="3"/>
  <c r="X65" i="3"/>
  <c r="V65" i="3"/>
  <c r="S65" i="3"/>
  <c r="R65" i="3"/>
  <c r="Q65" i="3"/>
  <c r="O65" i="3"/>
  <c r="L65" i="3"/>
  <c r="K65" i="3"/>
  <c r="I65" i="3"/>
  <c r="D65" i="3"/>
  <c r="AB64" i="3"/>
  <c r="AA64" i="3"/>
  <c r="Z64" i="3"/>
  <c r="Y64" i="3"/>
  <c r="X64" i="3"/>
  <c r="V64" i="3"/>
  <c r="S64" i="3"/>
  <c r="R64" i="3"/>
  <c r="Q64" i="3"/>
  <c r="O64" i="3"/>
  <c r="L64" i="3"/>
  <c r="K64" i="3"/>
  <c r="I64" i="3"/>
  <c r="D64" i="3"/>
  <c r="AB63" i="3"/>
  <c r="AA63" i="3"/>
  <c r="Z63" i="3"/>
  <c r="Y63" i="3"/>
  <c r="X63" i="3"/>
  <c r="V63" i="3"/>
  <c r="S63" i="3"/>
  <c r="R63" i="3"/>
  <c r="Q63" i="3"/>
  <c r="O63" i="3"/>
  <c r="L63" i="3"/>
  <c r="K63" i="3"/>
  <c r="I63" i="3"/>
  <c r="D63" i="3"/>
  <c r="AB62" i="3"/>
  <c r="AA62" i="3"/>
  <c r="Z62" i="3"/>
  <c r="Y62" i="3"/>
  <c r="X62" i="3"/>
  <c r="V62" i="3"/>
  <c r="S62" i="3"/>
  <c r="R62" i="3"/>
  <c r="Q62" i="3"/>
  <c r="O62" i="3"/>
  <c r="L62" i="3"/>
  <c r="K62" i="3"/>
  <c r="I62" i="3"/>
  <c r="D62" i="3"/>
  <c r="AB61" i="3"/>
  <c r="AA61" i="3"/>
  <c r="Z61" i="3"/>
  <c r="Y61" i="3"/>
  <c r="X61" i="3"/>
  <c r="V61" i="3"/>
  <c r="S61" i="3"/>
  <c r="R61" i="3"/>
  <c r="Q61" i="3"/>
  <c r="O61" i="3"/>
  <c r="L61" i="3"/>
  <c r="K61" i="3"/>
  <c r="I61" i="3"/>
  <c r="D61" i="3"/>
  <c r="AB60" i="3"/>
  <c r="AA60" i="3"/>
  <c r="Z60" i="3"/>
  <c r="Y60" i="3"/>
  <c r="X60" i="3"/>
  <c r="V60" i="3"/>
  <c r="S60" i="3"/>
  <c r="R60" i="3"/>
  <c r="Q60" i="3"/>
  <c r="O60" i="3"/>
  <c r="L60" i="3"/>
  <c r="K60" i="3"/>
  <c r="I60" i="3"/>
  <c r="D60" i="3"/>
  <c r="AB59" i="3"/>
  <c r="AA59" i="3"/>
  <c r="Z59" i="3"/>
  <c r="Y59" i="3"/>
  <c r="X59" i="3"/>
  <c r="V59" i="3"/>
  <c r="S59" i="3"/>
  <c r="R59" i="3"/>
  <c r="Q59" i="3"/>
  <c r="O59" i="3"/>
  <c r="L59" i="3"/>
  <c r="K59" i="3"/>
  <c r="I59" i="3"/>
  <c r="D59" i="3"/>
  <c r="AB58" i="3"/>
  <c r="AA58" i="3"/>
  <c r="Z58" i="3"/>
  <c r="Y58" i="3"/>
  <c r="X58" i="3"/>
  <c r="V58" i="3"/>
  <c r="S58" i="3"/>
  <c r="R58" i="3"/>
  <c r="Q58" i="3"/>
  <c r="O58" i="3"/>
  <c r="L58" i="3"/>
  <c r="K58" i="3"/>
  <c r="I58" i="3"/>
  <c r="D58" i="3"/>
  <c r="AB57" i="3"/>
  <c r="AA57" i="3"/>
  <c r="Z57" i="3"/>
  <c r="Y57" i="3"/>
  <c r="X57" i="3"/>
  <c r="V57" i="3"/>
  <c r="S57" i="3"/>
  <c r="R57" i="3"/>
  <c r="Q57" i="3"/>
  <c r="O57" i="3"/>
  <c r="L57" i="3"/>
  <c r="K57" i="3"/>
  <c r="I57" i="3"/>
  <c r="D57" i="3"/>
  <c r="AB56" i="3"/>
  <c r="AA56" i="3"/>
  <c r="Z56" i="3"/>
  <c r="Y56" i="3"/>
  <c r="X56" i="3"/>
  <c r="V56" i="3"/>
  <c r="S56" i="3"/>
  <c r="R56" i="3"/>
  <c r="Q56" i="3"/>
  <c r="O56" i="3"/>
  <c r="L56" i="3"/>
  <c r="K56" i="3"/>
  <c r="I56" i="3"/>
  <c r="D56" i="3"/>
  <c r="AB55" i="3"/>
  <c r="AA55" i="3"/>
  <c r="Z55" i="3"/>
  <c r="Y55" i="3"/>
  <c r="X55" i="3"/>
  <c r="V55" i="3"/>
  <c r="S55" i="3"/>
  <c r="R55" i="3"/>
  <c r="Q55" i="3"/>
  <c r="O55" i="3"/>
  <c r="L55" i="3"/>
  <c r="K55" i="3"/>
  <c r="I55" i="3"/>
  <c r="D55" i="3"/>
  <c r="AB54" i="3"/>
  <c r="AA54" i="3"/>
  <c r="Z54" i="3"/>
  <c r="Y54" i="3"/>
  <c r="X54" i="3"/>
  <c r="V54" i="3"/>
  <c r="S54" i="3"/>
  <c r="R54" i="3"/>
  <c r="Q54" i="3"/>
  <c r="O54" i="3"/>
  <c r="L54" i="3"/>
  <c r="K54" i="3"/>
  <c r="I54" i="3"/>
  <c r="D54" i="3"/>
  <c r="AB53" i="3"/>
  <c r="AA53" i="3"/>
  <c r="Z53" i="3"/>
  <c r="Y53" i="3"/>
  <c r="X53" i="3"/>
  <c r="V53" i="3"/>
  <c r="S53" i="3"/>
  <c r="R53" i="3"/>
  <c r="Q53" i="3"/>
  <c r="O53" i="3"/>
  <c r="L53" i="3"/>
  <c r="K53" i="3"/>
  <c r="I53" i="3"/>
  <c r="D53" i="3"/>
  <c r="AB52" i="3"/>
  <c r="AA52" i="3"/>
  <c r="Z52" i="3"/>
  <c r="Y52" i="3"/>
  <c r="X52" i="3"/>
  <c r="V52" i="3"/>
  <c r="S52" i="3"/>
  <c r="R52" i="3"/>
  <c r="Q52" i="3"/>
  <c r="O52" i="3"/>
  <c r="L52" i="3"/>
  <c r="K52" i="3"/>
  <c r="I52" i="3"/>
  <c r="D52" i="3"/>
  <c r="AB51" i="3"/>
  <c r="AA51" i="3"/>
  <c r="Z51" i="3"/>
  <c r="Y51" i="3"/>
  <c r="X51" i="3"/>
  <c r="V51" i="3"/>
  <c r="S51" i="3"/>
  <c r="R51" i="3"/>
  <c r="Q51" i="3"/>
  <c r="O51" i="3"/>
  <c r="L51" i="3"/>
  <c r="K51" i="3"/>
  <c r="I51" i="3"/>
  <c r="D51" i="3"/>
  <c r="AB50" i="3"/>
  <c r="AA50" i="3"/>
  <c r="Z50" i="3"/>
  <c r="Y50" i="3"/>
  <c r="X50" i="3"/>
  <c r="V50" i="3"/>
  <c r="S50" i="3"/>
  <c r="R50" i="3"/>
  <c r="Q50" i="3"/>
  <c r="O50" i="3"/>
  <c r="L50" i="3"/>
  <c r="K50" i="3"/>
  <c r="I50" i="3"/>
  <c r="D50" i="3"/>
  <c r="AB49" i="3"/>
  <c r="AA49" i="3"/>
  <c r="Z49" i="3"/>
  <c r="Y49" i="3"/>
  <c r="X49" i="3"/>
  <c r="V49" i="3"/>
  <c r="S49" i="3"/>
  <c r="R49" i="3"/>
  <c r="Q49" i="3"/>
  <c r="O49" i="3"/>
  <c r="L49" i="3"/>
  <c r="K49" i="3"/>
  <c r="I49" i="3"/>
  <c r="D49" i="3"/>
  <c r="AB48" i="3"/>
  <c r="AA48" i="3"/>
  <c r="Z48" i="3"/>
  <c r="Y48" i="3"/>
  <c r="X48" i="3"/>
  <c r="V48" i="3"/>
  <c r="S48" i="3"/>
  <c r="R48" i="3"/>
  <c r="Q48" i="3"/>
  <c r="O48" i="3"/>
  <c r="L48" i="3"/>
  <c r="K48" i="3"/>
  <c r="I48" i="3"/>
  <c r="D48" i="3"/>
  <c r="AB47" i="3"/>
  <c r="AA47" i="3"/>
  <c r="Z47" i="3"/>
  <c r="Y47" i="3"/>
  <c r="X47" i="3"/>
  <c r="V47" i="3"/>
  <c r="S47" i="3"/>
  <c r="R47" i="3"/>
  <c r="Q47" i="3"/>
  <c r="O47" i="3"/>
  <c r="L47" i="3"/>
  <c r="K47" i="3"/>
  <c r="I47" i="3"/>
  <c r="D47" i="3"/>
  <c r="AB46" i="3"/>
  <c r="AA46" i="3"/>
  <c r="Z46" i="3"/>
  <c r="Y46" i="3"/>
  <c r="X46" i="3"/>
  <c r="V46" i="3"/>
  <c r="S46" i="3"/>
  <c r="R46" i="3"/>
  <c r="Q46" i="3"/>
  <c r="O46" i="3"/>
  <c r="L46" i="3"/>
  <c r="K46" i="3"/>
  <c r="I46" i="3"/>
  <c r="D46" i="3"/>
  <c r="AB45" i="3"/>
  <c r="AA45" i="3"/>
  <c r="Z45" i="3"/>
  <c r="Y45" i="3"/>
  <c r="X45" i="3"/>
  <c r="V45" i="3"/>
  <c r="S45" i="3"/>
  <c r="R45" i="3"/>
  <c r="Q45" i="3"/>
  <c r="O45" i="3"/>
  <c r="L45" i="3"/>
  <c r="K45" i="3"/>
  <c r="I45" i="3"/>
  <c r="D45" i="3"/>
  <c r="AB44" i="3"/>
  <c r="AA44" i="3"/>
  <c r="Z44" i="3"/>
  <c r="Y44" i="3"/>
  <c r="X44" i="3"/>
  <c r="V44" i="3"/>
  <c r="S44" i="3"/>
  <c r="R44" i="3"/>
  <c r="Q44" i="3"/>
  <c r="O44" i="3"/>
  <c r="L44" i="3"/>
  <c r="K44" i="3"/>
  <c r="I44" i="3"/>
  <c r="D44" i="3"/>
  <c r="AB43" i="3"/>
  <c r="AA43" i="3"/>
  <c r="Z43" i="3"/>
  <c r="Y43" i="3"/>
  <c r="X43" i="3"/>
  <c r="V43" i="3"/>
  <c r="S43" i="3"/>
  <c r="R43" i="3"/>
  <c r="Q43" i="3"/>
  <c r="O43" i="3"/>
  <c r="L43" i="3"/>
  <c r="K43" i="3"/>
  <c r="I43" i="3"/>
  <c r="D43" i="3"/>
  <c r="AB42" i="3"/>
  <c r="AA42" i="3"/>
  <c r="Z42" i="3"/>
  <c r="Y42" i="3"/>
  <c r="X42" i="3"/>
  <c r="V42" i="3"/>
  <c r="S42" i="3"/>
  <c r="R42" i="3"/>
  <c r="Q42" i="3"/>
  <c r="O42" i="3"/>
  <c r="L42" i="3"/>
  <c r="K42" i="3"/>
  <c r="I42" i="3"/>
  <c r="D42" i="3"/>
  <c r="AB41" i="3"/>
  <c r="AA41" i="3"/>
  <c r="Z41" i="3"/>
  <c r="Y41" i="3"/>
  <c r="X41" i="3"/>
  <c r="V41" i="3"/>
  <c r="S41" i="3"/>
  <c r="R41" i="3"/>
  <c r="Q41" i="3"/>
  <c r="O41" i="3"/>
  <c r="L41" i="3"/>
  <c r="K41" i="3"/>
  <c r="I41" i="3"/>
  <c r="D41" i="3"/>
  <c r="AB40" i="3"/>
  <c r="AA40" i="3"/>
  <c r="Z40" i="3"/>
  <c r="Y40" i="3"/>
  <c r="X40" i="3"/>
  <c r="V40" i="3"/>
  <c r="S40" i="3"/>
  <c r="R40" i="3"/>
  <c r="Q40" i="3"/>
  <c r="O40" i="3"/>
  <c r="L40" i="3"/>
  <c r="K40" i="3"/>
  <c r="I40" i="3"/>
  <c r="D40" i="3"/>
  <c r="AB39" i="3"/>
  <c r="AA39" i="3"/>
  <c r="Z39" i="3"/>
  <c r="Y39" i="3"/>
  <c r="X39" i="3"/>
  <c r="V39" i="3"/>
  <c r="S39" i="3"/>
  <c r="R39" i="3"/>
  <c r="Q39" i="3"/>
  <c r="O39" i="3"/>
  <c r="L39" i="3"/>
  <c r="K39" i="3"/>
  <c r="I39" i="3"/>
  <c r="D39" i="3"/>
  <c r="AB38" i="3"/>
  <c r="AA38" i="3"/>
  <c r="Z38" i="3"/>
  <c r="Y38" i="3"/>
  <c r="X38" i="3"/>
  <c r="V38" i="3"/>
  <c r="S38" i="3"/>
  <c r="R38" i="3"/>
  <c r="Q38" i="3"/>
  <c r="O38" i="3"/>
  <c r="L38" i="3"/>
  <c r="K38" i="3"/>
  <c r="I38" i="3"/>
  <c r="D38" i="3"/>
  <c r="AB37" i="3"/>
  <c r="AA37" i="3"/>
  <c r="Z37" i="3"/>
  <c r="Y37" i="3"/>
  <c r="X37" i="3"/>
  <c r="V37" i="3"/>
  <c r="S37" i="3"/>
  <c r="R37" i="3"/>
  <c r="Q37" i="3"/>
  <c r="O37" i="3"/>
  <c r="L37" i="3"/>
  <c r="K37" i="3"/>
  <c r="I37" i="3"/>
  <c r="D37" i="3"/>
  <c r="AB36" i="3"/>
  <c r="AA36" i="3"/>
  <c r="Z36" i="3"/>
  <c r="Y36" i="3"/>
  <c r="X36" i="3"/>
  <c r="V36" i="3"/>
  <c r="S36" i="3"/>
  <c r="R36" i="3"/>
  <c r="Q36" i="3"/>
  <c r="O36" i="3"/>
  <c r="L36" i="3"/>
  <c r="K36" i="3"/>
  <c r="I36" i="3"/>
  <c r="D36" i="3"/>
  <c r="AB35" i="3"/>
  <c r="AA35" i="3"/>
  <c r="Z35" i="3"/>
  <c r="Y35" i="3"/>
  <c r="X35" i="3"/>
  <c r="V35" i="3"/>
  <c r="S35" i="3"/>
  <c r="R35" i="3"/>
  <c r="Q35" i="3"/>
  <c r="O35" i="3"/>
  <c r="L35" i="3"/>
  <c r="K35" i="3"/>
  <c r="I35" i="3"/>
  <c r="D35" i="3"/>
  <c r="AB34" i="3"/>
  <c r="AA34" i="3"/>
  <c r="Z34" i="3"/>
  <c r="Y34" i="3"/>
  <c r="X34" i="3"/>
  <c r="V34" i="3"/>
  <c r="S34" i="3"/>
  <c r="R34" i="3"/>
  <c r="Q34" i="3"/>
  <c r="O34" i="3"/>
  <c r="L34" i="3"/>
  <c r="K34" i="3"/>
  <c r="I34" i="3"/>
  <c r="D34" i="3"/>
  <c r="AB33" i="3"/>
  <c r="AA33" i="3"/>
  <c r="Z33" i="3"/>
  <c r="Y33" i="3"/>
  <c r="X33" i="3"/>
  <c r="V33" i="3"/>
  <c r="S33" i="3"/>
  <c r="R33" i="3"/>
  <c r="Q33" i="3"/>
  <c r="O33" i="3"/>
  <c r="L33" i="3"/>
  <c r="K33" i="3"/>
  <c r="I33" i="3"/>
  <c r="D33" i="3"/>
  <c r="AB32" i="3"/>
  <c r="AA32" i="3"/>
  <c r="Z32" i="3"/>
  <c r="Y32" i="3"/>
  <c r="X32" i="3"/>
  <c r="V32" i="3"/>
  <c r="S32" i="3"/>
  <c r="R32" i="3"/>
  <c r="Q32" i="3"/>
  <c r="O32" i="3"/>
  <c r="L32" i="3"/>
  <c r="K32" i="3"/>
  <c r="I32" i="3"/>
  <c r="D32" i="3"/>
  <c r="AB31" i="3"/>
  <c r="AA31" i="3"/>
  <c r="Z31" i="3"/>
  <c r="Y31" i="3"/>
  <c r="X31" i="3"/>
  <c r="V31" i="3"/>
  <c r="S31" i="3"/>
  <c r="R31" i="3"/>
  <c r="Q31" i="3"/>
  <c r="O31" i="3"/>
  <c r="L31" i="3"/>
  <c r="K31" i="3"/>
  <c r="I31" i="3"/>
  <c r="D31" i="3"/>
  <c r="AB30" i="3"/>
  <c r="AA30" i="3"/>
  <c r="Z30" i="3"/>
  <c r="Y30" i="3"/>
  <c r="X30" i="3"/>
  <c r="V30" i="3"/>
  <c r="S30" i="3"/>
  <c r="R30" i="3"/>
  <c r="Q30" i="3"/>
  <c r="O30" i="3"/>
  <c r="L30" i="3"/>
  <c r="K30" i="3"/>
  <c r="I30" i="3"/>
  <c r="D30" i="3"/>
  <c r="AB29" i="3"/>
  <c r="AA29" i="3"/>
  <c r="Z29" i="3"/>
  <c r="Y29" i="3"/>
  <c r="X29" i="3"/>
  <c r="V29" i="3"/>
  <c r="S29" i="3"/>
  <c r="R29" i="3"/>
  <c r="Q29" i="3"/>
  <c r="O29" i="3"/>
  <c r="L29" i="3"/>
  <c r="K29" i="3"/>
  <c r="I29" i="3"/>
  <c r="D29" i="3"/>
  <c r="AB28" i="3"/>
  <c r="AA28" i="3"/>
  <c r="Z28" i="3"/>
  <c r="Y28" i="3"/>
  <c r="X28" i="3"/>
  <c r="V28" i="3"/>
  <c r="S28" i="3"/>
  <c r="R28" i="3"/>
  <c r="Q28" i="3"/>
  <c r="O28" i="3"/>
  <c r="L28" i="3"/>
  <c r="K28" i="3"/>
  <c r="I28" i="3"/>
  <c r="D28" i="3"/>
  <c r="AB27" i="3"/>
  <c r="AA27" i="3"/>
  <c r="Z27" i="3"/>
  <c r="Y27" i="3"/>
  <c r="X27" i="3"/>
  <c r="V27" i="3"/>
  <c r="S27" i="3"/>
  <c r="R27" i="3"/>
  <c r="Q27" i="3"/>
  <c r="O27" i="3"/>
  <c r="L27" i="3"/>
  <c r="K27" i="3"/>
  <c r="I27" i="3"/>
  <c r="D27" i="3"/>
  <c r="AB26" i="3"/>
  <c r="AA26" i="3"/>
  <c r="Z26" i="3"/>
  <c r="Y26" i="3"/>
  <c r="X26" i="3"/>
  <c r="V26" i="3"/>
  <c r="S26" i="3"/>
  <c r="R26" i="3"/>
  <c r="Q26" i="3"/>
  <c r="O26" i="3"/>
  <c r="L26" i="3"/>
  <c r="K26" i="3"/>
  <c r="I26" i="3"/>
  <c r="D26" i="3"/>
  <c r="AB25" i="3"/>
  <c r="AA25" i="3"/>
  <c r="Z25" i="3"/>
  <c r="Y25" i="3"/>
  <c r="X25" i="3"/>
  <c r="V25" i="3"/>
  <c r="S25" i="3"/>
  <c r="R25" i="3"/>
  <c r="Q25" i="3"/>
  <c r="O25" i="3"/>
  <c r="L25" i="3"/>
  <c r="K25" i="3"/>
  <c r="I25" i="3"/>
  <c r="D25" i="3"/>
  <c r="AB24" i="3"/>
  <c r="AA24" i="3"/>
  <c r="Z24" i="3"/>
  <c r="Y24" i="3"/>
  <c r="X24" i="3"/>
  <c r="V24" i="3"/>
  <c r="S24" i="3"/>
  <c r="R24" i="3"/>
  <c r="Q24" i="3"/>
  <c r="O24" i="3"/>
  <c r="L24" i="3"/>
  <c r="K24" i="3"/>
  <c r="I24" i="3"/>
  <c r="D24" i="3"/>
  <c r="AB23" i="3"/>
  <c r="AA23" i="3"/>
  <c r="Z23" i="3"/>
  <c r="Y23" i="3"/>
  <c r="X23" i="3"/>
  <c r="V23" i="3"/>
  <c r="S23" i="3"/>
  <c r="R23" i="3"/>
  <c r="Q23" i="3"/>
  <c r="O23" i="3"/>
  <c r="L23" i="3"/>
  <c r="K23" i="3"/>
  <c r="I23" i="3"/>
  <c r="D23" i="3"/>
  <c r="AB22" i="3"/>
  <c r="AA22" i="3"/>
  <c r="Z22" i="3"/>
  <c r="Y22" i="3"/>
  <c r="X22" i="3"/>
  <c r="V22" i="3"/>
  <c r="S22" i="3"/>
  <c r="R22" i="3"/>
  <c r="Q22" i="3"/>
  <c r="O22" i="3"/>
  <c r="L22" i="3"/>
  <c r="K22" i="3"/>
  <c r="I22" i="3"/>
  <c r="D22" i="3"/>
  <c r="AB21" i="3"/>
  <c r="AA21" i="3"/>
  <c r="Z21" i="3"/>
  <c r="Y21" i="3"/>
  <c r="X21" i="3"/>
  <c r="V21" i="3"/>
  <c r="S21" i="3"/>
  <c r="R21" i="3"/>
  <c r="Q21" i="3"/>
  <c r="O21" i="3"/>
  <c r="L21" i="3"/>
  <c r="K21" i="3"/>
  <c r="I21" i="3"/>
  <c r="D21" i="3"/>
  <c r="AB20" i="3"/>
  <c r="AA20" i="3"/>
  <c r="Z20" i="3"/>
  <c r="Y20" i="3"/>
  <c r="X20" i="3"/>
  <c r="V20" i="3"/>
  <c r="S20" i="3"/>
  <c r="R20" i="3"/>
  <c r="Q20" i="3"/>
  <c r="O20" i="3"/>
  <c r="L20" i="3"/>
  <c r="K20" i="3"/>
  <c r="I20" i="3"/>
  <c r="D20" i="3"/>
  <c r="AB19" i="3"/>
  <c r="AA19" i="3"/>
  <c r="Z19" i="3"/>
  <c r="Y19" i="3"/>
  <c r="X19" i="3"/>
  <c r="V19" i="3"/>
  <c r="S19" i="3"/>
  <c r="R19" i="3"/>
  <c r="Q19" i="3"/>
  <c r="O19" i="3"/>
  <c r="L19" i="3"/>
  <c r="K19" i="3"/>
  <c r="I19" i="3"/>
  <c r="D19" i="3"/>
  <c r="AB18" i="3"/>
  <c r="AA18" i="3"/>
  <c r="Z18" i="3"/>
  <c r="Y18" i="3"/>
  <c r="X18" i="3"/>
  <c r="V18" i="3"/>
  <c r="S18" i="3"/>
  <c r="R18" i="3"/>
  <c r="Q18" i="3"/>
  <c r="O18" i="3"/>
  <c r="L18" i="3"/>
  <c r="K18" i="3"/>
  <c r="I18" i="3"/>
  <c r="D18" i="3"/>
  <c r="AB17" i="3"/>
  <c r="AA17" i="3"/>
  <c r="Z17" i="3"/>
  <c r="Y17" i="3"/>
  <c r="X17" i="3"/>
  <c r="V17" i="3"/>
  <c r="S17" i="3"/>
  <c r="R17" i="3"/>
  <c r="Q17" i="3"/>
  <c r="O17" i="3"/>
  <c r="L17" i="3"/>
  <c r="K17" i="3"/>
  <c r="I17" i="3"/>
  <c r="D17" i="3"/>
  <c r="AB16" i="3"/>
  <c r="AA16" i="3"/>
  <c r="Z16" i="3"/>
  <c r="Y16" i="3"/>
  <c r="X16" i="3"/>
  <c r="V16" i="3"/>
  <c r="S16" i="3"/>
  <c r="R16" i="3"/>
  <c r="Q16" i="3"/>
  <c r="O16" i="3"/>
  <c r="L16" i="3"/>
  <c r="K16" i="3"/>
  <c r="I16" i="3"/>
  <c r="D16" i="3"/>
  <c r="Y15" i="3"/>
  <c r="X15" i="3"/>
  <c r="Q15" i="3"/>
  <c r="AB15" i="3" s="1"/>
  <c r="O15" i="3"/>
  <c r="L15" i="3"/>
  <c r="K15" i="3"/>
  <c r="I15" i="3"/>
  <c r="B15" i="3"/>
  <c r="Y14" i="3"/>
  <c r="X14" i="3"/>
  <c r="I14" i="3"/>
  <c r="B14" i="3"/>
  <c r="D14" i="3" s="1"/>
  <c r="Y13" i="3"/>
  <c r="X13" i="3"/>
  <c r="N13" i="3"/>
  <c r="K13" i="3"/>
  <c r="L13" i="3" s="1"/>
  <c r="I13" i="3"/>
  <c r="B13" i="3"/>
  <c r="D13" i="3" s="1"/>
  <c r="Y12" i="3"/>
  <c r="X12" i="3"/>
  <c r="T12" i="3"/>
  <c r="L12" i="3"/>
  <c r="K12" i="3"/>
  <c r="I12" i="3"/>
  <c r="B12" i="3"/>
  <c r="D12" i="3" s="1"/>
  <c r="Y11" i="3"/>
  <c r="X11" i="3"/>
  <c r="T11" i="3"/>
  <c r="I11" i="3"/>
  <c r="B11" i="3"/>
  <c r="D11" i="3" s="1"/>
  <c r="Y10" i="3"/>
  <c r="X10" i="3"/>
  <c r="T10" i="3"/>
  <c r="K10" i="3"/>
  <c r="L10" i="3" s="1"/>
  <c r="I10" i="3"/>
  <c r="B10" i="3"/>
  <c r="D10" i="3" s="1"/>
  <c r="Y9" i="3"/>
  <c r="X9" i="3"/>
  <c r="N9" i="3"/>
  <c r="I9" i="3"/>
  <c r="K9" i="3" s="1"/>
  <c r="L9" i="3" s="1"/>
  <c r="B9" i="3"/>
  <c r="D9" i="3" s="1"/>
  <c r="Y8" i="3"/>
  <c r="X8" i="3"/>
  <c r="C14" i="1" s="1"/>
  <c r="N8" i="3"/>
  <c r="I8" i="3"/>
  <c r="B8" i="3"/>
  <c r="D8" i="3" s="1"/>
  <c r="O7" i="3"/>
  <c r="M7" i="3"/>
  <c r="L7" i="3"/>
  <c r="K7" i="3"/>
  <c r="I7" i="3"/>
  <c r="B19" i="2"/>
  <c r="C13" i="2"/>
  <c r="H10" i="2"/>
  <c r="B10" i="2"/>
  <c r="E6" i="2"/>
  <c r="B6" i="2"/>
  <c r="C4" i="2"/>
  <c r="B23" i="1"/>
  <c r="R15" i="3" l="1"/>
  <c r="S15" i="3"/>
  <c r="V15" i="3"/>
  <c r="Z15" i="3"/>
  <c r="AA15" i="3"/>
  <c r="O10" i="3"/>
  <c r="Q10" i="3" s="1"/>
  <c r="L8" i="3"/>
  <c r="L11" i="3"/>
  <c r="O9" i="3"/>
  <c r="Q9" i="3" s="1"/>
  <c r="O13" i="3"/>
  <c r="Q13" i="3" s="1"/>
  <c r="E9" i="5"/>
  <c r="D20" i="5"/>
  <c r="D22" i="5"/>
  <c r="D24" i="5"/>
  <c r="D26" i="5"/>
  <c r="D28" i="5"/>
  <c r="D30" i="5"/>
  <c r="G35" i="5"/>
  <c r="J4" i="5"/>
  <c r="E20" i="5"/>
  <c r="E22" i="5"/>
  <c r="E24" i="5"/>
  <c r="E26" i="5"/>
  <c r="E28" i="5"/>
  <c r="E30" i="5"/>
  <c r="F36" i="5"/>
  <c r="J5" i="5"/>
  <c r="F20" i="5"/>
  <c r="F22" i="5"/>
  <c r="F24" i="5"/>
  <c r="F26" i="5"/>
  <c r="F28" i="5"/>
  <c r="F30" i="5"/>
  <c r="G36" i="5"/>
  <c r="K8" i="3"/>
  <c r="K14" i="3"/>
  <c r="L14" i="3" s="1"/>
  <c r="G20" i="5"/>
  <c r="G22" i="5"/>
  <c r="G24" i="5"/>
  <c r="G26" i="5"/>
  <c r="G28" i="5"/>
  <c r="G30" i="5"/>
  <c r="K11" i="3"/>
  <c r="D15" i="3"/>
  <c r="B21" i="5"/>
  <c r="B23" i="5"/>
  <c r="B25" i="5"/>
  <c r="B27" i="5"/>
  <c r="B29" i="5"/>
  <c r="B31" i="5"/>
  <c r="G38" i="5"/>
  <c r="B15" i="5"/>
  <c r="C21" i="5"/>
  <c r="C23" i="5"/>
  <c r="C25" i="5"/>
  <c r="C27" i="5"/>
  <c r="C29" i="5"/>
  <c r="C31" i="5"/>
  <c r="E7" i="5"/>
  <c r="E15" i="5"/>
  <c r="D21" i="5"/>
  <c r="D23" i="5"/>
  <c r="D25" i="5"/>
  <c r="D27" i="5"/>
  <c r="D29" i="5"/>
  <c r="D31" i="5"/>
  <c r="B16" i="5"/>
  <c r="E21" i="5"/>
  <c r="E23" i="5"/>
  <c r="E25" i="5"/>
  <c r="E27" i="5"/>
  <c r="E29" i="5"/>
  <c r="E31" i="5"/>
  <c r="D1" i="5"/>
  <c r="E16" i="5"/>
  <c r="F21" i="5"/>
  <c r="F23" i="5"/>
  <c r="F25" i="5"/>
  <c r="F27" i="5"/>
  <c r="F29" i="5"/>
  <c r="F31" i="5"/>
  <c r="O12" i="3"/>
  <c r="Q12" i="3" s="1"/>
  <c r="E8" i="5"/>
  <c r="B17" i="5"/>
  <c r="G21" i="5"/>
  <c r="G23" i="5"/>
  <c r="G25" i="5"/>
  <c r="G27" i="5"/>
  <c r="G29" i="5"/>
  <c r="G31" i="5"/>
  <c r="B20" i="5"/>
  <c r="B22" i="5"/>
  <c r="B24" i="5"/>
  <c r="B26" i="5"/>
  <c r="B28" i="5"/>
  <c r="B30" i="5"/>
  <c r="J2" i="5"/>
  <c r="C20" i="5"/>
  <c r="C22" i="5"/>
  <c r="C24" i="5"/>
  <c r="C26" i="5"/>
  <c r="C28" i="5"/>
  <c r="R12" i="3" l="1"/>
  <c r="AB12" i="3"/>
  <c r="AA12" i="3"/>
  <c r="Z12" i="3"/>
  <c r="S12" i="3"/>
  <c r="V12" i="3"/>
  <c r="AB13" i="3"/>
  <c r="AA13" i="3"/>
  <c r="Z13" i="3"/>
  <c r="S13" i="3"/>
  <c r="R13" i="3"/>
  <c r="V13" i="3"/>
  <c r="Q14" i="3"/>
  <c r="O14" i="3"/>
  <c r="AB9" i="3"/>
  <c r="AA9" i="3"/>
  <c r="Z9" i="3"/>
  <c r="R9" i="3"/>
  <c r="B11" i="2"/>
  <c r="S9" i="3"/>
  <c r="V9" i="3"/>
  <c r="AB10" i="3"/>
  <c r="AA10" i="3"/>
  <c r="H11" i="2"/>
  <c r="Z10" i="3"/>
  <c r="S10" i="3"/>
  <c r="R10" i="3"/>
  <c r="V10" i="3"/>
  <c r="O8" i="3"/>
  <c r="Q8" i="3" s="1"/>
  <c r="Q11" i="3"/>
  <c r="O11" i="3"/>
  <c r="G37" i="5"/>
  <c r="J6" i="5"/>
  <c r="S8" i="3" l="1"/>
  <c r="B27" i="2"/>
  <c r="R8" i="3"/>
  <c r="E8" i="2"/>
  <c r="E7" i="2"/>
  <c r="B7" i="2"/>
  <c r="AB8" i="3"/>
  <c r="AA8" i="3"/>
  <c r="Z8" i="3"/>
  <c r="V8" i="3"/>
  <c r="G39" i="5"/>
  <c r="J7" i="5"/>
  <c r="S11" i="3"/>
  <c r="R11" i="3"/>
  <c r="J8" i="5" s="1"/>
  <c r="AB11" i="3"/>
  <c r="AA11" i="3"/>
  <c r="Z11" i="3"/>
  <c r="J3" i="5"/>
  <c r="G2" i="5"/>
  <c r="V11" i="3"/>
  <c r="R14" i="3"/>
  <c r="AB14" i="3"/>
  <c r="S14" i="3"/>
  <c r="AA14" i="3"/>
  <c r="Z14" i="3"/>
  <c r="V14" i="3"/>
  <c r="C14" i="2" l="1"/>
  <c r="G25" i="2"/>
  <c r="F25" i="2"/>
  <c r="F23" i="2"/>
  <c r="E25" i="2"/>
  <c r="E23" i="2"/>
  <c r="C25" i="2"/>
  <c r="C23" i="2"/>
  <c r="B25" i="2"/>
  <c r="B23" i="2"/>
  <c r="D25" i="2"/>
  <c r="D23" i="2"/>
  <c r="G26" i="2"/>
  <c r="G24" i="2"/>
  <c r="G22" i="2"/>
  <c r="H7" i="2"/>
  <c r="E22" i="2"/>
  <c r="D24" i="2"/>
  <c r="G23" i="2"/>
  <c r="F26" i="2"/>
  <c r="F24" i="2"/>
  <c r="F22" i="2"/>
  <c r="E24" i="2"/>
  <c r="D26" i="2"/>
  <c r="D22" i="2"/>
  <c r="E26" i="2"/>
  <c r="C26" i="2"/>
  <c r="C24" i="2"/>
  <c r="C22" i="2"/>
  <c r="B26" i="2"/>
  <c r="B24" i="2"/>
  <c r="B22" i="2"/>
  <c r="F18" i="2"/>
  <c r="E18" i="2"/>
  <c r="D18" i="2"/>
  <c r="C18" i="2"/>
  <c r="B18" i="2"/>
  <c r="F17" i="2"/>
  <c r="E17" i="2"/>
  <c r="D17" i="2"/>
  <c r="C17" i="2"/>
  <c r="B17" i="2"/>
  <c r="E11" i="2"/>
  <c r="A49" i="5"/>
  <c r="A48" i="5"/>
</calcChain>
</file>

<file path=xl/sharedStrings.xml><?xml version="1.0" encoding="utf-8"?>
<sst xmlns="http://schemas.openxmlformats.org/spreadsheetml/2006/main" count="282" uniqueCount="217">
  <si>
    <t>Freelance Invoice Tracker</t>
  </si>
  <si>
    <t>Write a print-ready invoice from your line items, get your next free invoice number suggested and duplicates flagged, and see who is late — every time you open it.</t>
  </si>
  <si>
    <t>SET UP ONCE — fill the yellow boxes. Everything else follows from them.</t>
  </si>
  <si>
    <t>Your business name</t>
  </si>
  <si>
    <t>Your name / contact person</t>
  </si>
  <si>
    <t>Your name</t>
  </si>
  <si>
    <t>Address line 1</t>
  </si>
  <si>
    <t>Street 1</t>
  </si>
  <si>
    <t>Address line 2 — ZIP + city</t>
  </si>
  <si>
    <t>12345 Your city</t>
  </si>
  <si>
    <t>Country</t>
  </si>
  <si>
    <t>Your country</t>
  </si>
  <si>
    <t>Email</t>
  </si>
  <si>
    <t>you@yourdomain.com</t>
  </si>
  <si>
    <t>Phone / website</t>
  </si>
  <si>
    <t>yourdomain.com</t>
  </si>
  <si>
    <t>Tax or registration number — free text, whatever your country calls it (shipped empty on purpose)</t>
  </si>
  <si>
    <t>Currency symbol or code — pick one or simply type your own (AED, HUF, anything)</t>
  </si>
  <si>
    <t>€</t>
  </si>
  <si>
    <t>Invoice number prefix</t>
  </si>
  <si>
    <t>2026-</t>
  </si>
  <si>
    <t>Next free invoice number — calculates itself, never type here</t>
  </si>
  <si>
    <t>Default payment terms in days</t>
  </si>
  <si>
    <t>First reminder after … days overdue</t>
  </si>
  <si>
    <t>Second reminder after … days overdue</t>
  </si>
  <si>
    <t>Last friendly reminder after … days overdue</t>
  </si>
  <si>
    <t>Payment details, line 1 (printed on every invoice)</t>
  </si>
  <si>
    <t>Bank: Your Bank · IBAN 00 0000 0000 0000 0000</t>
  </si>
  <si>
    <t>Payment details, line 2 (printed on every invoice)</t>
  </si>
  <si>
    <t>PayPal: you@yourdomain.com</t>
  </si>
  <si>
    <t>Footer note printed on every invoice — your own tax / legal wording goes here</t>
  </si>
  <si>
    <t>Thank you for your business. Please pay by the due date shown above.</t>
  </si>
  <si>
    <t>Default rate to add, as a plain number (e.g. 10 = 10 %). Leave 0 if you do not add one.</t>
  </si>
  <si>
    <t>HOW TO USE THIS WORKBOOK</t>
  </si>
  <si>
    <t>1 · Invoices — one row per invoice: number, date, client, project. The grey columns (due date, totals, status, days overdue, what to do next) fill themselves.</t>
  </si>
  <si>
    <t>2 · Line Items — one row per item, tagged with its invoice number from the dropdown. The net amount lands back on the Invoices sheet by itself.</t>
  </si>
  <si>
    <t>3 · Invoice (print) — pick a number in cell C1 and the whole document fills in. Ctrl/Cmd+P → Save as PDF; row 1 with the picker stays off the printout. Google Sheets: select A2:G45 → File → Print → Selected cells → Fit to width.</t>
  </si>
  <si>
    <t>4 · Dashboard — open it any morning: what is outstanding, what is overdue, who to chase today. It recalculates every time you open the file.</t>
  </si>
  <si>
    <t>5 · Below the printable invoice sits a ready-to-copy reminder email with the number, the amount, the due date and the days overdue.</t>
  </si>
  <si>
    <t>6 · Lists — the four dropdown lists (stage, unit, currency, payment terms). Each dropdown reads rows 1–20 of its column, so you can add your own values in the empty cells below the last one. Nothing on that sheet is calculated.</t>
  </si>
  <si>
    <t>CLEAN UP THE DEMO — the file ships with eight example invoices so you can see it working. Select Invoices rows 8–15 and Line Items rows 8–27 → right-click → Delete rows. Never use 'Clear contents' on a whole row: that would take the grey formulas with it. You lose 8 of 250 template rows, nothing else.</t>
  </si>
  <si>
    <t>This workbook contains no tax rules, no rates and no country logic, and gives no tax, legal or accounting advice. It multiplies the percentage you type in and adds it up. Leave it at 0 if that is right for you.</t>
  </si>
  <si>
    <t>Whatever your country requires on an invoice — a tax line, a registration number, a small-business note — goes into C11 and C21 above. C11 ships empty on purpose; C21 holds a neutral thank-you line that you can overwrite with your own wording.</t>
  </si>
  <si>
    <t>Invoice numbers: this sheet suggests the next free number and flags duplicates on the spot — it cannot stop you from typing one twice. If you already have invoices from before, type your highest existing number into row 8 once; the suggestion counts up from the highest number in the sheet.</t>
  </si>
  <si>
    <t>Do not use * or ? inside an invoice number — both are wildcard characters and would quietly make the totals wrong. Column V on the Invoices sheet warns you if one slips in.</t>
  </si>
  <si>
    <t>Capacity: holds up to 250 invoices and 500 line items. Twelve line items print on one invoice; if an invoice has more, the printable sheet says so instead of silently cutting them off.</t>
  </si>
  <si>
    <t>A client address over several lines: Windows Alt+Enter · Mac Ctrl+Option+Enter · Google Sheets Alt+Enter (Win) / Ctrl+Option+Enter (Mac). Type it once per client — the printable invoice reuses it.</t>
  </si>
  <si>
    <t>GOOGLE SHEETS: File → Import → Upload → Replace spreadsheet. Formulas, dropdowns and colours survive the trip.</t>
  </si>
  <si>
    <t>Yellow = you type.   Grey = calculates itself — never type in a grey cell.</t>
  </si>
  <si>
    <t>The eight demo rows use live formulas (=TODAY()-n) so the file never looks stale — which also means you should delete them rather than type over them, or you carry a moving date into a real invoice.</t>
  </si>
  <si>
    <t>WHAT THIS FILE DOES NOT DO — it does not send emails, it does not connect to your bank, and it has no tax rules, rates or country logic of its own.</t>
  </si>
  <si>
    <t>LICENSE — One buyer, one business. Use it for your own invoicing on as many devices as you like, including commercially. Please do not resell, redistribute or include it in a product of your own.</t>
  </si>
  <si>
    <t>Questions or a broken formula? Message us on Etsy — we reply within 48 h.</t>
  </si>
  <si>
    <t>Dashboard</t>
  </si>
  <si>
    <t>Everything here calculates itself — there is nothing to type on this sheet.</t>
  </si>
  <si>
    <t>Today</t>
  </si>
  <si>
    <t>Oldest overdue</t>
  </si>
  <si>
    <t>open + overdue + part-paid, nothing else</t>
  </si>
  <si>
    <t>the longest anyone has kept you waiting</t>
  </si>
  <si>
    <t>Average days to pay</t>
  </si>
  <si>
    <t>Next free invoice number</t>
  </si>
  <si>
    <t>Numbering check</t>
  </si>
  <si>
    <t>WHERE THE OPEN MONEY SITS</t>
  </si>
  <si>
    <t>Not due</t>
  </si>
  <si>
    <t>1-14 days</t>
  </si>
  <si>
    <t>15-30 days</t>
  </si>
  <si>
    <t>31-60 days</t>
  </si>
  <si>
    <t>61+ days</t>
  </si>
  <si>
    <t>WHO TO CHASE TODAY — the five longest-overdue invoices</t>
  </si>
  <si>
    <t>Invoice no.</t>
  </si>
  <si>
    <t>Client</t>
  </si>
  <si>
    <t>Open amount</t>
  </si>
  <si>
    <t>Days overdue</t>
  </si>
  <si>
    <t>Action</t>
  </si>
  <si>
    <t>Client email</t>
  </si>
  <si>
    <t>Invoices</t>
  </si>
  <si>
    <t>One row per invoice. Type in the yellow columns — the grey ones work out the due date, the totals, the status and what to do next.</t>
  </si>
  <si>
    <t>This workbook contains no tax rules, no rates and no country logic, and gives no tax, legal or accounting advice. It multiplies the percentage you type in and adds it up.</t>
  </si>
  <si>
    <t>Demo: rows 8–15 hold eight example invoices and use live formulas (=TODAY()-n) so the file never looks stale. To start clean: select rows 8–15 → right-click → Delete rows. You lose 8 of 250 template rows, nothing else. Do NOT use 'Clear contents' on a whole row — that removes the grey formulas too.</t>
  </si>
  <si>
    <t>Invoice date</t>
  </si>
  <si>
    <t>Terms (days)</t>
  </si>
  <si>
    <t>Due date</t>
  </si>
  <si>
    <t>Client address (Alt+Enter = new line)</t>
  </si>
  <si>
    <t>Project / reference</t>
  </si>
  <si>
    <t>Tax rate %</t>
  </si>
  <si>
    <t>Paid date</t>
  </si>
  <si>
    <t>Stage</t>
  </si>
  <si>
    <t>Status</t>
  </si>
  <si>
    <t>Follow-up sent on</t>
  </si>
  <si>
    <t>Notes</t>
  </si>
  <si>
    <t>Check — blank means all good</t>
  </si>
  <si>
    <t>NumTail (helper)</t>
  </si>
  <si>
    <t>ClientAddrKey (helper)</t>
  </si>
  <si>
    <t>OverdueSortKey (helper)</t>
  </si>
  <si>
    <t>DaysToPay (helper)</t>
  </si>
  <si>
    <t>AgeingBucket (helper)</t>
  </si>
  <si>
    <t>2026-001</t>
  </si>
  <si>
    <t>Northwind Studio</t>
  </si>
  <si>
    <t>ana@northwind.example</t>
  </si>
  <si>
    <t>Northwind Studio
Harbour Road 12
2000 Antwerp
Belgium</t>
  </si>
  <si>
    <t>Brand website copy</t>
  </si>
  <si>
    <t>Paid 12 days after the invoice date.</t>
  </si>
  <si>
    <t>2026-002</t>
  </si>
  <si>
    <t>Halden &amp; Voss</t>
  </si>
  <si>
    <t>billing@haldenvoss.example</t>
  </si>
  <si>
    <t>Halden &amp; Voss
Rathausplatz 4
8000 Zurich
Switzerland</t>
  </si>
  <si>
    <t>Q2 analytics dashboard</t>
  </si>
  <si>
    <t>Slow payer: 42 days. Consider a deposit next time.</t>
  </si>
  <si>
    <t>2026-003</t>
  </si>
  <si>
    <t>Marisol Ferrer</t>
  </si>
  <si>
    <t>marisol@ferrer.example</t>
  </si>
  <si>
    <t>Marisol Ferrer
Calle Mayor 8
28013 Madrid
Spain</t>
  </si>
  <si>
    <t>Podcast editing, April</t>
  </si>
  <si>
    <t>Sent</t>
  </si>
  <si>
    <t>First reminder sent.</t>
  </si>
  <si>
    <t>2026-004</t>
  </si>
  <si>
    <t>Website relaunch, phase 2</t>
  </si>
  <si>
    <t>Address fills itself from invoice 2026-001.</t>
  </si>
  <si>
    <t>2026-005</t>
  </si>
  <si>
    <t>Bramble Coffee Co.</t>
  </si>
  <si>
    <t>hello@bramble.example</t>
  </si>
  <si>
    <t>Bramble Coffee Co.
Mill Lane 3
Bristol BS1 4QD
United Kingdom</t>
  </si>
  <si>
    <t>Menu and packaging artwork</t>
  </si>
  <si>
    <t>Shows the rate column: 10 typed in, 10 % added. Nothing preset.</t>
  </si>
  <si>
    <t>2026-006</t>
  </si>
  <si>
    <t>Larkfield Books</t>
  </si>
  <si>
    <t>accounts@larkfield.example</t>
  </si>
  <si>
    <t>Larkfield Books
17 Cedar Street
Dublin D02
Ireland</t>
  </si>
  <si>
    <t>Editorial retainer</t>
  </si>
  <si>
    <t>50 % deposit received, rest due with the invoice.</t>
  </si>
  <si>
    <t>2026-007</t>
  </si>
  <si>
    <t>Podcast editing, May</t>
  </si>
  <si>
    <t>Issued today — nothing to chase yet.</t>
  </si>
  <si>
    <t>2026-008</t>
  </si>
  <si>
    <t>Kestrel Fitness</t>
  </si>
  <si>
    <t>sam@kestrel.example</t>
  </si>
  <si>
    <t>Kestrel Fitness
Schoolhouse Yard 2
10119 Berlin
Germany</t>
  </si>
  <si>
    <t>Coaching site refresh</t>
  </si>
  <si>
    <t>Draft</t>
  </si>
  <si>
    <t>Draft: counts nowhere until you change the stage.</t>
  </si>
  <si>
    <t>Line Items</t>
  </si>
  <si>
    <t>One row per item, tagged with its invoice number. The net amount lands back on the Invoices sheet by itself.</t>
  </si>
  <si>
    <t>Demo: rows 8–27 hold the twenty example line items behind those invoices, with live =TODAY()-n dates. To start clean: select rows 8–27 → right-click → Delete rows. Never 'Clear contents' a whole row.</t>
  </si>
  <si>
    <t>Date</t>
  </si>
  <si>
    <t>Description</t>
  </si>
  <si>
    <t>Qty / hours</t>
  </si>
  <si>
    <t>Unit</t>
  </si>
  <si>
    <t>Discount %</t>
  </si>
  <si>
    <t>PrintRank (helper)</t>
  </si>
  <si>
    <t>Link check</t>
  </si>
  <si>
    <t>Landing page copy — three drafts</t>
  </si>
  <si>
    <t>hour</t>
  </si>
  <si>
    <t>Kick-off workshop, on site</t>
  </si>
  <si>
    <t>day</t>
  </si>
  <si>
    <t>Stock photo licence</t>
  </si>
  <si>
    <t>licence</t>
  </si>
  <si>
    <t>Analytics dashboard build</t>
  </si>
  <si>
    <t>project</t>
  </si>
  <si>
    <t>Data cleanup and mapping</t>
  </si>
  <si>
    <t>Travel to client site</t>
  </si>
  <si>
    <t>km</t>
  </si>
  <si>
    <t>Podcast episode edit</t>
  </si>
  <si>
    <t>item</t>
  </si>
  <si>
    <t>Show notes and timestamps</t>
  </si>
  <si>
    <t>UX review of 14 screens</t>
  </si>
  <si>
    <t>Copy rewrite, 9 pages</t>
  </si>
  <si>
    <t>page</t>
  </si>
  <si>
    <t>Project management</t>
  </si>
  <si>
    <t>Extra revision round</t>
  </si>
  <si>
    <t>Menu artwork — six variants</t>
  </si>
  <si>
    <t>Print-ready files</t>
  </si>
  <si>
    <t>Editorial retainer, current month</t>
  </si>
  <si>
    <t>month</t>
  </si>
  <si>
    <t>Intro / outro remix</t>
  </si>
  <si>
    <t>Discovery call</t>
  </si>
  <si>
    <t>Site audit and recommendations</t>
  </si>
  <si>
    <t>Pick an invoice number  →</t>
  </si>
  <si>
    <t>row pointer</t>
  </si>
  <si>
    <t>INVOICE</t>
  </si>
  <si>
    <t>client (text)</t>
  </si>
  <si>
    <t>status (text)</t>
  </si>
  <si>
    <t>invoice date (text)</t>
  </si>
  <si>
    <t>due date (text)</t>
  </si>
  <si>
    <t>BILL TO</t>
  </si>
  <si>
    <t>total (text)</t>
  </si>
  <si>
    <t>open amount (text)</t>
  </si>
  <si>
    <t>days overdue (text)</t>
  </si>
  <si>
    <t>Helper cells — not printed. Leave them alone.</t>
  </si>
  <si>
    <t>Invoice number</t>
  </si>
  <si>
    <t>Terms</t>
  </si>
  <si>
    <t>Reference</t>
  </si>
  <si>
    <t>#</t>
  </si>
  <si>
    <t>Qty</t>
  </si>
  <si>
    <t>Unit price</t>
  </si>
  <si>
    <t>Disc %</t>
  </si>
  <si>
    <t>Amount</t>
  </si>
  <si>
    <t>Total</t>
  </si>
  <si>
    <t>Paid to date</t>
  </si>
  <si>
    <t>HOW TO PAY</t>
  </si>
  <si>
    <t>This workbook contains no tax rules, no rates and no country logic, and gives no tax, legal or accounting advice. It multiplies the percentage you type in and adds it up.  (This line is not printed.)</t>
  </si>
  <si>
    <t>COPY-PASTE REMINDER EMAIL — not printed.  Template wording, not legal advice: check what a formal demand has to look like where you are.</t>
  </si>
  <si>
    <t>These four columns feed the dropdowns. Every dropdown reads rows 1–20 of its column, so the bordered empty cells are yours: type a value there and it appears in the dropdown. Rows you leave empty show up as blank lines in the Excel dropdown — harmless. Nothing here is calculated.</t>
  </si>
  <si>
    <t>$</t>
  </si>
  <si>
    <t>Cancelled</t>
  </si>
  <si>
    <t>half-day</t>
  </si>
  <si>
    <t>£</t>
  </si>
  <si>
    <t>CHF</t>
  </si>
  <si>
    <t>kr</t>
  </si>
  <si>
    <t>word</t>
  </si>
  <si>
    <t>zł</t>
  </si>
  <si>
    <t>Kč</t>
  </si>
  <si>
    <t>¥</t>
  </si>
  <si>
    <t>A$</t>
  </si>
  <si>
    <t>C$</t>
  </si>
  <si>
    <t>other</t>
  </si>
  <si>
    <t>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</si>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</sst>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
    <numFmt numFmtId="165" formatCode="yyyy\-mm\-dd"/>
    <numFmt numFmtId="166" formatCode="#,##0.00;\-#,##0.00;&quot;—&quot;"/>
    <numFmt numFmtId="167" formatCode="0&quot; days&quot;;;&quot;—&quot;"/>
    <numFmt numFmtId="168" formatCode="0.##&quot; %&quot;"/>
    <numFmt numFmtId="169" formatCode="0.00;;&quot;—&quot;"/>
    <numFmt numFmtId="170" formatCode="0&quot; %&quot;;;&quot;—&quot;"/>
    <numFmt numFmtId="171" formatCode="0&quot; %&quot;;;&quot;&quot;"/>
  </numFmts>
  <fonts count="30" x14ac:knownFonts="1">
    <font>
      <sz val="11"/>
      <color theme="1"/>
      <name val="Calibri"/>
      <family val="2"/>
      <scheme val="minor"/>
    </font>
    <font>
      <b/>
      <sz val="20"/>
      <color rgb="FF2D3A8C"/>
      <name val="Calibri"/>
      <family val="2"/>
    </font>
    <font>
      <sz val="12"/>
      <color rgb="FF555B7A"/>
      <name val="Calibri"/>
      <family val="2"/>
    </font>
    <font>
      <b/>
      <sz val="12"/>
      <color rgb="FF1F7A6D"/>
      <name val="Calibri"/>
      <family val="2"/>
    </font>
    <font>
      <sz val="11"/>
      <color rgb="FF1E2340"/>
      <name val="Calibri"/>
      <family val="2"/>
    </font>
    <font>
      <b/>
      <sz val="11"/>
      <color rgb="FF2D3A8C"/>
      <name val="Calibri"/>
      <family val="2"/>
    </font>
    <font>
      <b/>
      <sz val="11"/>
      <color rgb="FF9C0006"/>
      <name val="Calibri"/>
      <family val="2"/>
    </font>
    <font>
      <sz val="10"/>
      <color rgb="FF1E2340"/>
      <name val="Calibri"/>
      <family val="2"/>
    </font>
    <font>
      <sz val="11"/>
      <color rgb="FF555B7A"/>
      <name val="Calibri"/>
      <family val="2"/>
    </font>
    <font>
      <sz val="9"/>
      <color rgb="FF555B7A"/>
      <name val="Calibri"/>
      <family val="2"/>
    </font>
    <font>
      <b/>
      <sz val="16"/>
      <color rgb="FF2D3A8C"/>
      <name val="Calibri"/>
      <family val="2"/>
    </font>
    <font>
      <sz val="10"/>
      <color rgb="FF555B7A"/>
      <name val="Calibri"/>
      <family val="2"/>
    </font>
    <font>
      <b/>
      <sz val="11"/>
      <color rgb="FF1E2340"/>
      <name val="Calibri"/>
      <family val="2"/>
    </font>
    <font>
      <b/>
      <sz val="18"/>
      <color rgb="FF2D3A8C"/>
      <name val="Calibri"/>
      <family val="2"/>
    </font>
    <font>
      <b/>
      <sz val="12"/>
      <color rgb="FF2D3A8C"/>
      <name val="Calibri"/>
      <family val="2"/>
    </font>
    <font>
      <b/>
      <sz val="11"/>
      <color rgb="FF1F7A6D"/>
      <name val="Calibri"/>
      <family val="2"/>
    </font>
    <font>
      <b/>
      <sz val="12"/>
      <color rgb="FF1E2340"/>
      <name val="Calibri"/>
      <family val="2"/>
    </font>
    <font>
      <i/>
      <sz val="11"/>
      <color rgb="FF555B7A"/>
      <name val="Calibri"/>
      <family val="2"/>
    </font>
    <font>
      <b/>
      <sz val="11"/>
      <color rgb="FFFFFFFF"/>
      <name val="Calibri"/>
      <family val="2"/>
    </font>
    <font>
      <i/>
      <sz val="10"/>
      <color rgb="FF555B7A"/>
      <name val="Calibri"/>
      <family val="2"/>
    </font>
    <font>
      <b/>
      <sz val="10"/>
      <color rgb="FF1E2340"/>
      <name val="Calibri"/>
      <family val="2"/>
    </font>
    <font>
      <sz val="9"/>
      <color rgb="FF9C0006"/>
      <name val="Calibri"/>
      <family val="2"/>
    </font>
    <font>
      <i/>
      <sz val="9"/>
      <color rgb="FF555B7A"/>
      <name val="Calibri"/>
      <family val="2"/>
    </font>
    <font>
      <b/>
      <sz val="26"/>
      <color rgb="FF2D3A8C"/>
      <name val="Calibri"/>
      <family val="2"/>
    </font>
    <font>
      <b/>
      <sz val="18"/>
      <color rgb="FF9C0006"/>
      <name val="Calibri"/>
      <family val="2"/>
    </font>
    <font>
      <b/>
      <sz val="10"/>
      <color rgb="FF1F7A6D"/>
      <name val="Calibri"/>
      <family val="2"/>
    </font>
    <font>
      <b/>
      <sz val="10"/>
      <color rgb="FFFFFFFF"/>
      <name val="Calibri"/>
      <family val="2"/>
    </font>
    <font>
      <b/>
      <sz val="10"/>
      <color rgb="FF9C0006"/>
      <name val="Calibri"/>
      <family val="2"/>
    </font>
    <font>
      <sz val="8"/>
      <color rgb="FF555B7A"/>
      <name val="Calibri"/>
      <family val="2"/>
    </font>
    <font>
      <i/>
      <sz val="8"/>
      <color rgb="FF555B7A"/>
      <name val="Calibri"/>
      <family val="2"/>
    </font>
  </fonts>
  <fills count="12">
    <fill>
      <patternFill patternType="none"/>
    </fill>
    <fill>
      <patternFill patternType="gray125"/>
    </fill>
    <fill>
      <patternFill patternType="solid">
        <fgColor rgb="FFFFF7D6"/>
      </patternFill>
    </fill>
    <fill>
      <patternFill patternType="solid">
        <fgColor rgb="FFECEDF3"/>
      </patternFill>
    </fill>
    <fill>
      <patternFill patternType="solid">
        <fgColor rgb="FFEEF1FB"/>
      </patternFill>
    </fill>
    <fill>
      <patternFill patternType="solid">
        <fgColor rgb="FFE3F1EE"/>
      </patternFill>
    </fill>
    <fill>
      <patternFill patternType="solid">
        <fgColor rgb="FFFFF9E6"/>
      </patternFill>
    </fill>
    <fill>
      <patternFill patternType="solid">
        <fgColor rgb="FFFFF2CC"/>
      </patternFill>
    </fill>
    <fill>
      <patternFill patternType="solid">
        <fgColor rgb="FFFCE4D6"/>
      </patternFill>
    </fill>
    <fill>
      <patternFill patternType="solid">
        <fgColor rgb="FFECECF2"/>
      </patternFill>
    </fill>
    <fill>
      <patternFill patternType="solid">
        <fgColor rgb="FF2D3A8C"/>
      </patternFill>
    </fill>
    <fill>
      <patternFill patternType="solid">
        <fgColor rgb="FFF7F8FC"/>
      </patternFill>
    </fill>
  </fills>
  <borders count="3">
    <border>
      <left/>
      <right/>
      <top/>
      <bottom/>
      <diagonal/>
    </border>
    <border>
      <left style="thin">
        <color rgb="FFD9DCEA"/>
      </left>
      <right style="thin">
        <color rgb="FFD9DCEA"/>
      </right>
      <top style="thin">
        <color rgb="FFD9DCEA"/>
      </top>
      <bottom style="thin">
        <color rgb="FFD9DCEA"/>
      </bottom>
      <diagonal/>
    </border>
    <border>
      <left/>
      <right style="thin">
        <color rgb="FFD9DCEA"/>
      </right>
      <top style="thin">
        <color rgb="FFD9DCEA"/>
      </top>
      <bottom style="thin">
        <color rgb="FFD9DCEA"/>
      </bottom>
      <diagonal/>
    </border>
  </borders>
  <cellStyleXfs count="1">
    <xf numFmtId="0" fontId="0" fillId="0" borderId="0"/>
  </cellStyleXfs>
  <cellXfs count="9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center"/>
    </xf>
    <xf numFmtId="0" fontId="4" fillId="2" borderId="1" xfId="0" applyFont="1" applyFill="1" applyBorder="1" applyAlignment="1">
      <alignment vertical="center"/>
    </xf>
    <xf numFmtId="0" fontId="5" fillId="3" borderId="1" xfId="0" applyFont="1" applyFill="1" applyBorder="1" applyAlignment="1">
      <alignment vertical="center"/>
    </xf>
    <xf numFmtId="1" fontId="4" fillId="2" borderId="1" xfId="0" applyNumberFormat="1" applyFont="1" applyFill="1" applyBorder="1" applyAlignment="1">
      <alignment vertical="center"/>
    </xf>
    <xf numFmtId="164" fontId="4" fillId="2" borderId="1" xfId="0" applyNumberFormat="1" applyFont="1" applyFill="1" applyBorder="1" applyAlignment="1">
      <alignment vertical="center"/>
    </xf>
    <xf numFmtId="0" fontId="6" fillId="0" borderId="0" xfId="0" applyFont="1"/>
    <xf numFmtId="0" fontId="3" fillId="0" borderId="0" xfId="0" applyFont="1" applyAlignment="1">
      <alignment vertical="center"/>
    </xf>
    <xf numFmtId="0" fontId="7"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1" fillId="0" borderId="0" xfId="0" applyFont="1"/>
    <xf numFmtId="0" fontId="8" fillId="0" borderId="0" xfId="0" applyFont="1"/>
    <xf numFmtId="165" fontId="12" fillId="0" borderId="0" xfId="0" applyNumberFormat="1" applyFont="1"/>
    <xf numFmtId="0" fontId="15" fillId="0" borderId="0" xfId="0" applyFont="1"/>
    <xf numFmtId="0" fontId="11" fillId="0" borderId="1" xfId="0" applyFont="1" applyBorder="1" applyAlignment="1">
      <alignment horizontal="center"/>
    </xf>
    <xf numFmtId="166" fontId="16" fillId="5" borderId="1" xfId="0" applyNumberFormat="1" applyFont="1" applyFill="1" applyBorder="1" applyAlignment="1">
      <alignment horizontal="center"/>
    </xf>
    <xf numFmtId="166" fontId="16" fillId="6" borderId="1" xfId="0" applyNumberFormat="1" applyFont="1" applyFill="1" applyBorder="1" applyAlignment="1">
      <alignment horizontal="center"/>
    </xf>
    <xf numFmtId="166" fontId="16" fillId="7" borderId="1" xfId="0" applyNumberFormat="1" applyFont="1" applyFill="1" applyBorder="1" applyAlignment="1">
      <alignment horizontal="center"/>
    </xf>
    <xf numFmtId="166" fontId="16" fillId="8" borderId="1" xfId="0" applyNumberFormat="1" applyFont="1" applyFill="1" applyBorder="1" applyAlignment="1">
      <alignment horizontal="center"/>
    </xf>
    <xf numFmtId="166" fontId="16" fillId="9" borderId="1" xfId="0" applyNumberFormat="1" applyFont="1" applyFill="1" applyBorder="1" applyAlignment="1">
      <alignment horizontal="center"/>
    </xf>
    <xf numFmtId="0" fontId="9" fillId="0" borderId="1" xfId="0" applyFont="1" applyBorder="1" applyAlignment="1">
      <alignment horizontal="center"/>
    </xf>
    <xf numFmtId="0" fontId="18" fillId="10" borderId="1" xfId="0" applyFont="1" applyFill="1" applyBorder="1" applyAlignment="1">
      <alignment vertical="center" wrapText="1"/>
    </xf>
    <xf numFmtId="0" fontId="4" fillId="0" borderId="1" xfId="0" applyFont="1" applyBorder="1" applyAlignment="1">
      <alignment vertical="center"/>
    </xf>
    <xf numFmtId="166" fontId="4" fillId="0" borderId="1" xfId="0" applyNumberFormat="1" applyFont="1" applyBorder="1" applyAlignment="1">
      <alignment vertical="center"/>
    </xf>
    <xf numFmtId="167" fontId="4" fillId="0" borderId="1" xfId="0" applyNumberFormat="1" applyFont="1" applyBorder="1" applyAlignment="1">
      <alignment vertical="center"/>
    </xf>
    <xf numFmtId="0" fontId="0" fillId="2" borderId="1" xfId="0" applyFill="1" applyBorder="1" applyAlignment="1">
      <alignment vertical="top" wrapText="1"/>
    </xf>
    <xf numFmtId="165" fontId="0" fillId="2" borderId="1" xfId="0" applyNumberFormat="1" applyFill="1" applyBorder="1" applyAlignment="1">
      <alignment vertical="top" wrapText="1"/>
    </xf>
    <xf numFmtId="1" fontId="0" fillId="2" borderId="1" xfId="0" applyNumberFormat="1" applyFill="1" applyBorder="1" applyAlignment="1">
      <alignment vertical="top" wrapText="1"/>
    </xf>
    <xf numFmtId="165" fontId="0" fillId="3" borderId="1" xfId="0" applyNumberFormat="1" applyFill="1" applyBorder="1" applyAlignment="1">
      <alignment vertical="top" wrapText="1"/>
    </xf>
    <xf numFmtId="166" fontId="0" fillId="3" borderId="1" xfId="0" applyNumberFormat="1" applyFill="1" applyBorder="1" applyAlignment="1">
      <alignment vertical="top" wrapText="1"/>
    </xf>
    <xf numFmtId="168" fontId="0" fillId="2" borderId="1" xfId="0" applyNumberFormat="1" applyFill="1" applyBorder="1" applyAlignment="1">
      <alignment vertical="top" wrapText="1"/>
    </xf>
    <xf numFmtId="166" fontId="0" fillId="2" borderId="1" xfId="0" applyNumberFormat="1" applyFill="1" applyBorder="1" applyAlignment="1">
      <alignment vertical="top" wrapText="1"/>
    </xf>
    <xf numFmtId="0" fontId="0" fillId="3" borderId="1" xfId="0" applyFill="1" applyBorder="1" applyAlignment="1">
      <alignment vertical="top" wrapText="1"/>
    </xf>
    <xf numFmtId="167" fontId="0" fillId="3" borderId="1" xfId="0" applyNumberFormat="1" applyFill="1" applyBorder="1" applyAlignment="1">
      <alignment vertical="top" wrapText="1"/>
    </xf>
    <xf numFmtId="0" fontId="0" fillId="11" borderId="1" xfId="0" applyFill="1" applyBorder="1" applyAlignment="1">
      <alignment vertical="top" wrapText="1"/>
    </xf>
    <xf numFmtId="0" fontId="0" fillId="0" borderId="1" xfId="0" applyBorder="1" applyAlignment="1">
      <alignment vertical="top" wrapText="1"/>
    </xf>
    <xf numFmtId="169" fontId="0" fillId="2" borderId="1" xfId="0" applyNumberFormat="1" applyFill="1" applyBorder="1" applyAlignment="1">
      <alignment vertical="top" wrapText="1"/>
    </xf>
    <xf numFmtId="170" fontId="0" fillId="2" borderId="1" xfId="0" applyNumberFormat="1" applyFill="1" applyBorder="1" applyAlignment="1">
      <alignment vertical="top" wrapText="1"/>
    </xf>
    <xf numFmtId="0" fontId="12" fillId="0" borderId="0" xfId="0" applyFont="1"/>
    <xf numFmtId="0" fontId="16" fillId="2" borderId="1" xfId="0" applyFont="1" applyFill="1" applyBorder="1" applyAlignment="1">
      <alignment horizontal="center" vertical="center"/>
    </xf>
    <xf numFmtId="0" fontId="28" fillId="0" borderId="0" xfId="0" applyFont="1"/>
    <xf numFmtId="0" fontId="28" fillId="3" borderId="0" xfId="0" applyFont="1" applyFill="1"/>
    <xf numFmtId="0" fontId="23" fillId="0" borderId="0" xfId="0" applyFont="1"/>
    <xf numFmtId="0" fontId="24" fillId="0" borderId="0" xfId="0" applyFont="1" applyAlignment="1">
      <alignment horizontal="right" vertical="center"/>
    </xf>
    <xf numFmtId="0" fontId="25" fillId="0" borderId="0" xfId="0" applyFont="1"/>
    <xf numFmtId="0" fontId="29" fillId="0" borderId="0" xfId="0" applyFont="1"/>
    <xf numFmtId="0" fontId="4" fillId="0" borderId="0" xfId="0" applyFont="1"/>
    <xf numFmtId="165" fontId="4" fillId="0" borderId="0" xfId="0" applyNumberFormat="1" applyFont="1"/>
    <xf numFmtId="0" fontId="26" fillId="10" borderId="1" xfId="0" applyFont="1" applyFill="1" applyBorder="1" applyAlignment="1">
      <alignment horizontal="left" vertical="center"/>
    </xf>
    <xf numFmtId="0" fontId="26" fillId="10" borderId="1" xfId="0" applyFont="1" applyFill="1" applyBorder="1" applyAlignment="1">
      <alignment horizontal="right" vertical="center"/>
    </xf>
    <xf numFmtId="0" fontId="11" fillId="0" borderId="1" xfId="0" applyFont="1" applyBorder="1" applyAlignment="1">
      <alignment vertical="center" wrapText="1"/>
    </xf>
    <xf numFmtId="0" fontId="4" fillId="0" borderId="1" xfId="0" applyFont="1" applyBorder="1" applyAlignment="1">
      <alignment vertical="center" wrapText="1"/>
    </xf>
    <xf numFmtId="164" fontId="0" fillId="0" borderId="1" xfId="0" applyNumberFormat="1" applyBorder="1" applyAlignment="1">
      <alignment horizontal="right" vertical="center"/>
    </xf>
    <xf numFmtId="0" fontId="11" fillId="0" borderId="1" xfId="0" applyFont="1" applyBorder="1" applyAlignment="1">
      <alignment horizontal="right" vertical="center"/>
    </xf>
    <xf numFmtId="166" fontId="0" fillId="0" borderId="1" xfId="0" applyNumberFormat="1" applyBorder="1" applyAlignment="1">
      <alignment horizontal="right" vertical="center"/>
    </xf>
    <xf numFmtId="171" fontId="0" fillId="0" borderId="1" xfId="0" applyNumberFormat="1" applyBorder="1" applyAlignment="1">
      <alignment horizontal="right" vertical="center"/>
    </xf>
    <xf numFmtId="166" fontId="4" fillId="0" borderId="1" xfId="0" applyNumberFormat="1" applyFont="1" applyBorder="1" applyAlignment="1">
      <alignment horizontal="right" vertical="center"/>
    </xf>
    <xf numFmtId="0" fontId="8" fillId="0" borderId="0" xfId="0" applyFont="1" applyAlignment="1">
      <alignment horizontal="right" vertical="center"/>
    </xf>
    <xf numFmtId="0" fontId="12" fillId="0" borderId="0" xfId="0" applyFont="1" applyAlignment="1">
      <alignment horizontal="right" vertical="center"/>
    </xf>
    <xf numFmtId="166" fontId="12" fillId="0" borderId="1" xfId="0" applyNumberFormat="1" applyFont="1" applyBorder="1" applyAlignment="1">
      <alignment horizontal="right" vertical="center"/>
    </xf>
    <xf numFmtId="0" fontId="16" fillId="0" borderId="0" xfId="0" applyFont="1" applyAlignment="1">
      <alignment horizontal="right" vertical="center"/>
    </xf>
    <xf numFmtId="166" fontId="13" fillId="4" borderId="1" xfId="0" applyNumberFormat="1" applyFont="1" applyFill="1" applyBorder="1" applyAlignment="1">
      <alignment horizontal="right" vertical="center"/>
    </xf>
    <xf numFmtId="0" fontId="4" fillId="0" borderId="1" xfId="0" applyFont="1" applyBorder="1"/>
    <xf numFmtId="0" fontId="4" fillId="2" borderId="1" xfId="0" applyFont="1" applyFill="1" applyBorder="1"/>
    <xf numFmtId="166" fontId="13" fillId="4" borderId="1" xfId="0" applyNumberFormat="1" applyFont="1" applyFill="1" applyBorder="1" applyAlignment="1">
      <alignment horizontal="center" vertical="center"/>
    </xf>
    <xf numFmtId="0" fontId="0" fillId="0" borderId="2" xfId="0" applyBorder="1"/>
    <xf numFmtId="0" fontId="11" fillId="0" borderId="1" xfId="0" applyFont="1" applyBorder="1" applyAlignment="1">
      <alignment horizontal="center" vertical="center"/>
    </xf>
    <xf numFmtId="0" fontId="9" fillId="0" borderId="0" xfId="0" applyFont="1" applyAlignment="1">
      <alignment horizontal="center" vertical="center"/>
    </xf>
    <xf numFmtId="0" fontId="0" fillId="0" borderId="0" xfId="0"/>
    <xf numFmtId="0" fontId="11" fillId="0" borderId="0" xfId="0" applyFont="1"/>
    <xf numFmtId="0" fontId="15" fillId="0" borderId="0" xfId="0" applyFont="1" applyAlignment="1">
      <alignment horizontal="left" vertical="center"/>
    </xf>
    <xf numFmtId="167" fontId="13" fillId="4" borderId="1" xfId="0" applyNumberFormat="1" applyFont="1" applyFill="1" applyBorder="1" applyAlignment="1">
      <alignment horizontal="center" vertical="center"/>
    </xf>
    <xf numFmtId="0" fontId="17" fillId="0" borderId="0" xfId="0" applyFont="1"/>
    <xf numFmtId="0" fontId="15" fillId="0" borderId="0" xfId="0" applyFont="1"/>
    <xf numFmtId="0" fontId="19" fillId="0" borderId="0" xfId="0" applyFont="1"/>
    <xf numFmtId="0" fontId="10" fillId="0" borderId="0" xfId="0" applyFont="1"/>
    <xf numFmtId="0" fontId="14" fillId="3" borderId="1" xfId="0" applyFont="1" applyFill="1" applyBorder="1" applyAlignment="1">
      <alignment horizontal="center"/>
    </xf>
    <xf numFmtId="0" fontId="22" fillId="0" borderId="0" xfId="0" applyFont="1" applyAlignment="1">
      <alignment vertical="center"/>
    </xf>
    <xf numFmtId="0" fontId="21" fillId="0" borderId="0" xfId="0" applyFont="1" applyAlignment="1">
      <alignment vertical="center" wrapText="1"/>
    </xf>
    <xf numFmtId="0" fontId="20" fillId="0" borderId="0" xfId="0" applyFont="1" applyAlignment="1">
      <alignment vertical="center"/>
    </xf>
    <xf numFmtId="0" fontId="20" fillId="0" borderId="0" xfId="0" applyFont="1"/>
    <xf numFmtId="0" fontId="22" fillId="0" borderId="0" xfId="0" applyFont="1"/>
    <xf numFmtId="0" fontId="4" fillId="0" borderId="0" xfId="0" applyFont="1" applyAlignment="1">
      <alignment vertical="top" wrapText="1"/>
    </xf>
    <xf numFmtId="0" fontId="8" fillId="0" borderId="0" xfId="0" applyFont="1"/>
    <xf numFmtId="0" fontId="7" fillId="0" borderId="0" xfId="0" applyFont="1"/>
    <xf numFmtId="0" fontId="12" fillId="0" borderId="0" xfId="0" applyFont="1"/>
    <xf numFmtId="0" fontId="16" fillId="0" borderId="0" xfId="0" applyFont="1"/>
    <xf numFmtId="0" fontId="9" fillId="0" borderId="0" xfId="0" applyFont="1"/>
    <xf numFmtId="0" fontId="8" fillId="0" borderId="0" xfId="0" applyFont="1" applyAlignment="1">
      <alignment vertical="top" wrapText="1"/>
    </xf>
    <xf numFmtId="0" fontId="27" fillId="0" borderId="0" xfId="0" applyFont="1"/>
    <xf numFmtId="0" fontId="25" fillId="0" borderId="0" xfId="0" applyFont="1"/>
  </cellXfs>
  <cellStyles count="1">
    <cellStyle name="Standard" xfId="0" builtinId="0"/>
  </cellStyles>
  <dxfs count="28">
    <dxf>
      <font>
        <b/>
        <sz val="18"/>
        <color rgb="FF9C0006"/>
      </font>
      <fill>
        <patternFill patternType="solid">
          <fgColor rgb="FFF8D7D7"/>
        </patternFill>
      </fill>
    </dxf>
    <dxf>
      <font>
        <b/>
        <sz val="9"/>
        <color rgb="FF9C0006"/>
      </font>
    </dxf>
    <dxf>
      <font>
        <b/>
        <color rgb="FF9C0006"/>
      </font>
      <fill>
        <patternFill patternType="solid">
          <fgColor rgb="FFF8D7D7"/>
        </patternFill>
      </fill>
    </dxf>
    <dxf>
      <fill>
        <patternFill patternType="solid">
          <fgColor rgb="FFDCF2E4"/>
        </patternFill>
      </fill>
    </dxf>
    <dxf>
      <font>
        <b/>
        <color rgb="FF9C0006"/>
      </font>
      <fill>
        <patternFill patternType="solid">
          <fgColor rgb="FFF8D7D7"/>
        </patternFill>
      </fill>
    </dxf>
    <dxf>
      <fill>
        <patternFill patternType="solid">
          <fgColor rgb="FFDCF2E4"/>
        </patternFill>
      </fill>
    </dxf>
    <dxf>
      <fill>
        <patternFill patternType="solid">
          <fgColor rgb="FFF5DBDB"/>
        </patternFill>
      </fill>
    </dxf>
    <dxf>
      <font>
        <b/>
        <sz val="18"/>
        <color rgb="FF1F7A6D"/>
      </font>
      <fill>
        <patternFill patternType="solid">
          <fgColor rgb="FFE3F1EE"/>
        </patternFill>
      </fill>
    </dxf>
    <dxf>
      <font>
        <b/>
        <sz val="18"/>
        <color rgb="FF1E2340"/>
      </font>
      <fill>
        <patternFill patternType="solid">
          <fgColor rgb="FFFFF9E6"/>
        </patternFill>
      </fill>
    </dxf>
    <dxf>
      <font>
        <b/>
        <sz val="18"/>
        <color rgb="FF1E2340"/>
      </font>
      <fill>
        <patternFill patternType="solid">
          <fgColor rgb="FFFFF2CC"/>
        </patternFill>
      </fill>
    </dxf>
    <dxf>
      <font>
        <b/>
        <sz val="18"/>
        <color rgb="FF1E2340"/>
      </font>
      <fill>
        <patternFill patternType="solid">
          <fgColor rgb="FFFCE4D6"/>
        </patternFill>
      </fill>
    </dxf>
    <dxf>
      <font>
        <b/>
        <sz val="18"/>
        <color rgb="FF9C0006"/>
      </font>
      <fill>
        <patternFill patternType="solid">
          <fgColor rgb="FFF4C7C3"/>
        </patternFill>
      </fill>
    </dxf>
    <dxf>
      <font>
        <b/>
        <sz val="12"/>
        <color rgb="FF9C0006"/>
      </font>
      <fill>
        <patternFill patternType="solid">
          <fgColor rgb="FFF4C7C3"/>
        </patternFill>
      </fill>
    </dxf>
    <dxf>
      <font>
        <b/>
        <sz val="18"/>
        <color rgb="FF555B7A"/>
      </font>
      <fill>
        <patternFill patternType="solid">
          <fgColor rgb="FFECECF2"/>
        </patternFill>
      </fill>
    </dxf>
    <dxf>
      <font>
        <b/>
        <sz val="18"/>
        <color rgb="FF1F7A6D"/>
      </font>
      <fill>
        <patternFill patternType="solid">
          <fgColor rgb="FFE3F1EE"/>
        </patternFill>
      </fill>
    </dxf>
    <dxf>
      <font>
        <b/>
        <sz val="18"/>
        <color rgb="FF1E2340"/>
      </font>
      <fill>
        <patternFill patternType="solid">
          <fgColor rgb="FFFFF2CC"/>
        </patternFill>
      </fill>
    </dxf>
    <dxf>
      <font>
        <b/>
        <sz val="18"/>
        <color rgb="FF9C0006"/>
      </font>
      <fill>
        <patternFill patternType="solid">
          <fgColor rgb="FFF4C7C3"/>
        </patternFill>
      </fill>
    </dxf>
    <dxf>
      <font>
        <b/>
        <sz val="18"/>
        <color rgb="FF8A5A00"/>
      </font>
      <fill>
        <patternFill patternType="solid">
          <fgColor rgb="FFFFF1CC"/>
        </patternFill>
      </fill>
    </dxf>
    <dxf>
      <font>
        <b/>
        <sz val="18"/>
        <color rgb="FF9C0006"/>
      </font>
      <fill>
        <patternFill patternType="solid">
          <fgColor rgb="FFF8D7D7"/>
        </patternFill>
      </fill>
    </dxf>
    <dxf>
      <font>
        <b/>
        <sz val="18"/>
        <color rgb="FF1F7A6D"/>
      </font>
      <fill>
        <patternFill patternType="solid">
          <fgColor rgb="FFE3F1EE"/>
        </patternFill>
      </fill>
    </dxf>
    <dxf>
      <font>
        <b/>
        <color rgb="FF1F7A6D"/>
      </font>
      <fill>
        <patternFill patternType="solid">
          <fgColor rgb="FFE3F1EE"/>
        </patternFill>
      </fill>
    </dxf>
    <dxf>
      <font>
        <b/>
        <color rgb="FF9C0006"/>
      </font>
      <fill>
        <patternFill patternType="solid">
          <fgColor rgb="FFF8D7D7"/>
        </patternFill>
      </fill>
    </dxf>
    <dxf>
      <fill>
        <patternFill patternType="solid">
          <fgColor rgb="FFFFF2CC"/>
        </patternFill>
      </fill>
    </dxf>
    <dxf>
      <fill>
        <patternFill patternType="solid">
          <fgColor rgb="FFFCE4D6"/>
        </patternFill>
      </fill>
    </dxf>
    <dxf>
      <fill>
        <patternFill patternType="solid">
          <fgColor rgb="FFF8D7D7"/>
        </patternFill>
      </fill>
    </dxf>
    <dxf>
      <font>
        <b/>
        <sz val="18"/>
        <color rgb="FF555B7A"/>
      </font>
      <fill>
        <patternFill patternType="solid">
          <fgColor rgb="FFECECF2"/>
        </patternFill>
      </fill>
    </dxf>
    <dxf>
      <font>
        <b/>
        <sz val="18"/>
        <color rgb="FF1F7A6D"/>
      </font>
      <fill>
        <patternFill patternType="solid">
          <fgColor rgb="FFE3F1EE"/>
        </patternFill>
      </fill>
    </dxf>
    <dxf>
      <fill>
        <patternFill patternType="solid">
          <fgColor rgb="FFF8D7D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6"/>
  <sheetViews>
    <sheetView showGridLines="0" tabSelected="1" workbookViewId="0"/>
  </sheetViews>
  <sheetFormatPr baseColWidth="10" defaultColWidth="8.83203125" defaultRowHeight="15" x14ac:dyDescent="0.2"/>
  <cols>
    <col min="1" max="1" width="3" customWidth="1"/>
    <col min="2" max="2" width="100" customWidth="1"/>
    <col min="3" max="3" width="34" customWidth="1"/>
  </cols>
  <sheetData>
    <row r="1" spans="2:3" ht="28" customHeight="1" x14ac:dyDescent="0.3">
      <c r="B1" s="1" t="s">
        <v>0</v>
      </c>
    </row>
    <row r="2" spans="2:3" ht="20" customHeight="1" x14ac:dyDescent="0.2">
      <c r="B2" s="2" t="s">
        <v>1</v>
      </c>
    </row>
    <row r="3" spans="2:3" ht="22" customHeight="1" x14ac:dyDescent="0.2">
      <c r="B3" s="3" t="s">
        <v>2</v>
      </c>
    </row>
    <row r="4" spans="2:3" ht="19" customHeight="1" x14ac:dyDescent="0.2">
      <c r="B4" s="4" t="s">
        <v>3</v>
      </c>
      <c r="C4" s="5" t="s">
        <v>3</v>
      </c>
    </row>
    <row r="5" spans="2:3" ht="19" customHeight="1" x14ac:dyDescent="0.2">
      <c r="B5" s="4" t="s">
        <v>4</v>
      </c>
      <c r="C5" s="5" t="s">
        <v>5</v>
      </c>
    </row>
    <row r="6" spans="2:3" ht="19" customHeight="1" x14ac:dyDescent="0.2">
      <c r="B6" s="4" t="s">
        <v>6</v>
      </c>
      <c r="C6" s="5" t="s">
        <v>7</v>
      </c>
    </row>
    <row r="7" spans="2:3" ht="19" customHeight="1" x14ac:dyDescent="0.2">
      <c r="B7" s="4" t="s">
        <v>8</v>
      </c>
      <c r="C7" s="5" t="s">
        <v>9</v>
      </c>
    </row>
    <row r="8" spans="2:3" ht="19" customHeight="1" x14ac:dyDescent="0.2">
      <c r="B8" s="4" t="s">
        <v>10</v>
      </c>
      <c r="C8" s="5" t="s">
        <v>11</v>
      </c>
    </row>
    <row r="9" spans="2:3" ht="19" customHeight="1" x14ac:dyDescent="0.2">
      <c r="B9" s="4" t="s">
        <v>12</v>
      </c>
      <c r="C9" s="5" t="s">
        <v>13</v>
      </c>
    </row>
    <row r="10" spans="2:3" ht="19" customHeight="1" x14ac:dyDescent="0.2">
      <c r="B10" s="4" t="s">
        <v>14</v>
      </c>
      <c r="C10" s="5" t="s">
        <v>15</v>
      </c>
    </row>
    <row r="11" spans="2:3" ht="19" customHeight="1" x14ac:dyDescent="0.2">
      <c r="B11" s="4" t="s">
        <v>16</v>
      </c>
      <c r="C11" s="5"/>
    </row>
    <row r="12" spans="2:3" ht="19" customHeight="1" x14ac:dyDescent="0.2">
      <c r="B12" s="4" t="s">
        <v>17</v>
      </c>
      <c r="C12" s="5" t="s">
        <v>18</v>
      </c>
    </row>
    <row r="13" spans="2:3" ht="19" customHeight="1" x14ac:dyDescent="0.2">
      <c r="B13" s="4" t="s">
        <v>19</v>
      </c>
      <c r="C13" s="5" t="s">
        <v>20</v>
      </c>
    </row>
    <row r="14" spans="2:3" ht="19" customHeight="1" x14ac:dyDescent="0.2">
      <c r="B14" s="4" t="s">
        <v>21</v>
      </c>
      <c r="C14" s="6" t="str">
        <f>IF(COUNT(Invoices!$X$8:$X$257)=0,$C$13&amp;"001",$C$13&amp;TEXT(MAX(Invoices!$X$8:$X$257)+1,"000"))</f>
        <v>2026-009</v>
      </c>
    </row>
    <row r="15" spans="2:3" ht="19" customHeight="1" x14ac:dyDescent="0.2">
      <c r="B15" s="4" t="s">
        <v>22</v>
      </c>
      <c r="C15" s="7">
        <v>14</v>
      </c>
    </row>
    <row r="16" spans="2:3" ht="19" customHeight="1" x14ac:dyDescent="0.2">
      <c r="B16" s="4" t="s">
        <v>23</v>
      </c>
      <c r="C16" s="7">
        <v>7</v>
      </c>
    </row>
    <row r="17" spans="2:3" ht="19" customHeight="1" x14ac:dyDescent="0.2">
      <c r="B17" s="4" t="s">
        <v>24</v>
      </c>
      <c r="C17" s="7">
        <v>21</v>
      </c>
    </row>
    <row r="18" spans="2:3" ht="19" customHeight="1" x14ac:dyDescent="0.2">
      <c r="B18" s="4" t="s">
        <v>25</v>
      </c>
      <c r="C18" s="7">
        <v>45</v>
      </c>
    </row>
    <row r="19" spans="2:3" ht="19" customHeight="1" x14ac:dyDescent="0.2">
      <c r="B19" s="4" t="s">
        <v>26</v>
      </c>
      <c r="C19" s="5" t="s">
        <v>27</v>
      </c>
    </row>
    <row r="20" spans="2:3" ht="19" customHeight="1" x14ac:dyDescent="0.2">
      <c r="B20" s="4" t="s">
        <v>28</v>
      </c>
      <c r="C20" s="5" t="s">
        <v>29</v>
      </c>
    </row>
    <row r="21" spans="2:3" ht="19" customHeight="1" x14ac:dyDescent="0.2">
      <c r="B21" s="4" t="s">
        <v>30</v>
      </c>
      <c r="C21" s="5" t="s">
        <v>31</v>
      </c>
    </row>
    <row r="22" spans="2:3" ht="19" customHeight="1" x14ac:dyDescent="0.2">
      <c r="B22" s="4" t="s">
        <v>32</v>
      </c>
      <c r="C22" s="8">
        <v>0</v>
      </c>
    </row>
    <row r="23" spans="2:3" x14ac:dyDescent="0.2">
      <c r="B23" s="9" t="str">
        <f>IF(OR($C$16&gt;=$C$17,$C$17&gt;=$C$18),"Check your reminder days: the first reminder must come before the second, and the second before the last one.","")</f>
        <v/>
      </c>
    </row>
    <row r="24" spans="2:3" ht="18" customHeight="1" x14ac:dyDescent="0.2">
      <c r="B24" s="10" t="s">
        <v>33</v>
      </c>
    </row>
    <row r="25" spans="2:3" ht="17" customHeight="1" x14ac:dyDescent="0.2">
      <c r="B25" s="4" t="s">
        <v>34</v>
      </c>
    </row>
    <row r="26" spans="2:3" ht="17" customHeight="1" x14ac:dyDescent="0.2">
      <c r="B26" s="4" t="s">
        <v>35</v>
      </c>
    </row>
    <row r="27" spans="2:3" ht="17" customHeight="1" x14ac:dyDescent="0.2">
      <c r="B27" s="4" t="s">
        <v>36</v>
      </c>
    </row>
    <row r="28" spans="2:3" ht="17" customHeight="1" x14ac:dyDescent="0.2">
      <c r="B28" s="4" t="s">
        <v>37</v>
      </c>
    </row>
    <row r="29" spans="2:3" ht="17" customHeight="1" x14ac:dyDescent="0.2">
      <c r="B29" s="4" t="s">
        <v>38</v>
      </c>
    </row>
    <row r="30" spans="2:3" ht="17" customHeight="1" x14ac:dyDescent="0.2">
      <c r="B30" s="4" t="s">
        <v>39</v>
      </c>
    </row>
    <row r="31" spans="2:3" ht="17" customHeight="1" x14ac:dyDescent="0.2">
      <c r="B31" s="11"/>
    </row>
    <row r="32" spans="2:3" ht="17" customHeight="1" x14ac:dyDescent="0.2">
      <c r="B32" s="4" t="s">
        <v>40</v>
      </c>
    </row>
    <row r="33" spans="2:2" ht="17" customHeight="1" x14ac:dyDescent="0.2">
      <c r="B33" s="11"/>
    </row>
    <row r="34" spans="2:2" ht="17" customHeight="1" x14ac:dyDescent="0.2">
      <c r="B34" s="12" t="s">
        <v>41</v>
      </c>
    </row>
    <row r="35" spans="2:2" ht="17" customHeight="1" x14ac:dyDescent="0.2">
      <c r="B35" s="4" t="s">
        <v>42</v>
      </c>
    </row>
    <row r="36" spans="2:2" ht="17" customHeight="1" x14ac:dyDescent="0.2">
      <c r="B36" s="4" t="s">
        <v>43</v>
      </c>
    </row>
    <row r="37" spans="2:2" ht="17" customHeight="1" x14ac:dyDescent="0.2">
      <c r="B37" s="4" t="s">
        <v>44</v>
      </c>
    </row>
    <row r="38" spans="2:2" ht="17" customHeight="1" x14ac:dyDescent="0.2">
      <c r="B38" s="4" t="s">
        <v>45</v>
      </c>
    </row>
    <row r="39" spans="2:2" ht="17" customHeight="1" x14ac:dyDescent="0.2">
      <c r="B39" s="4" t="s">
        <v>46</v>
      </c>
    </row>
    <row r="40" spans="2:2" ht="17" customHeight="1" x14ac:dyDescent="0.2">
      <c r="B40" s="4" t="s">
        <v>47</v>
      </c>
    </row>
    <row r="41" spans="2:2" ht="17" customHeight="1" x14ac:dyDescent="0.2">
      <c r="B41" s="4" t="s">
        <v>48</v>
      </c>
    </row>
    <row r="42" spans="2:2" ht="17" customHeight="1" x14ac:dyDescent="0.2">
      <c r="B42" s="4" t="s">
        <v>49</v>
      </c>
    </row>
    <row r="43" spans="2:2" ht="17" customHeight="1" x14ac:dyDescent="0.2">
      <c r="B43" s="11"/>
    </row>
    <row r="44" spans="2:2" ht="17" customHeight="1" x14ac:dyDescent="0.2">
      <c r="B44" s="13" t="s">
        <v>50</v>
      </c>
    </row>
    <row r="45" spans="2:2" ht="17" customHeight="1" x14ac:dyDescent="0.2">
      <c r="B45" s="14" t="s">
        <v>51</v>
      </c>
    </row>
    <row r="46" spans="2:2" ht="17" customHeight="1" x14ac:dyDescent="0.2">
      <c r="B46" s="14" t="s">
        <v>52</v>
      </c>
    </row>
  </sheetData>
  <conditionalFormatting sqref="B23">
    <cfRule type="expression" dxfId="27" priority="1">
      <formula>LEN($B$23)&gt;0</formula>
    </cfRule>
  </conditionalFormatting>
  <dataValidations count="1">
    <dataValidation type="whole" errorStyle="warning" allowBlank="1" showErrorMessage="1" errorTitle="Whole days only" error="Whole days only, 0–365." sqref="C15:C18" xr:uid="{00000000-0002-0000-0000-000001000000}">
      <formula1>0</formula1>
      <formula2>365</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000-000000000000}">
          <x14:formula1>
            <xm:f>Lists!$C$1:$C$20</xm:f>
          </x14:formula1>
          <xm:sqref>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baseColWidth="10" defaultColWidth="8.83203125" defaultRowHeight="15" x14ac:dyDescent="0.2"/>
  <cols>
    <col min="1" max="1" width="2" customWidth="1"/>
    <col min="2" max="3" width="20" customWidth="1"/>
    <col min="4" max="9" width="18" customWidth="1"/>
  </cols>
  <sheetData>
    <row r="1" spans="1:9" ht="26" customHeight="1" x14ac:dyDescent="0.25">
      <c r="A1" s="80" t="s">
        <v>53</v>
      </c>
      <c r="B1" s="73"/>
      <c r="C1" s="73"/>
      <c r="D1" s="73"/>
      <c r="E1" s="73"/>
      <c r="F1" s="73"/>
      <c r="G1" s="73"/>
      <c r="H1" s="73"/>
      <c r="I1" s="73"/>
    </row>
    <row r="2" spans="1:9" x14ac:dyDescent="0.2">
      <c r="A2" s="74" t="s">
        <v>54</v>
      </c>
      <c r="B2" s="73"/>
      <c r="C2" s="73"/>
      <c r="D2" s="73"/>
      <c r="E2" s="73"/>
      <c r="F2" s="73"/>
      <c r="G2" s="73"/>
      <c r="H2" s="73"/>
      <c r="I2" s="73"/>
    </row>
    <row r="4" spans="1:9" x14ac:dyDescent="0.2">
      <c r="B4" s="16" t="s">
        <v>55</v>
      </c>
      <c r="C4" s="17">
        <f ca="1">TODAY()</f>
        <v>46232</v>
      </c>
    </row>
    <row r="6" spans="1:9" x14ac:dyDescent="0.2">
      <c r="B6" s="71" t="str">
        <f>IF('Start Here'!$C$12="","Outstanding","Outstanding ("&amp;'Start Here'!$C$12&amp;")")</f>
        <v>Outstanding (€)</v>
      </c>
      <c r="C6" s="70"/>
      <c r="E6" s="71" t="str">
        <f>IF('Start Here'!$C$12="","Overdue now","Overdue now ("&amp;'Start Here'!$C$12&amp;")")</f>
        <v>Overdue now (€)</v>
      </c>
      <c r="F6" s="70"/>
      <c r="H6" s="71" t="s">
        <v>56</v>
      </c>
      <c r="I6" s="70"/>
    </row>
    <row r="7" spans="1:9" ht="30" customHeight="1" x14ac:dyDescent="0.2">
      <c r="B7" s="69">
        <f ca="1">IFERROR(SUMIF(Invoices!$Q$8:$Q$257,"Open",Invoices!$O$8:$O$257)+SUMIF(Invoices!$Q$8:$Q$257,"Overdue",Invoices!$O$8:$O$257)+SUMIF(Invoices!$Q$8:$Q$257,"Part-paid",Invoices!$O$8:$O$257),0)</f>
        <v>7821</v>
      </c>
      <c r="C7" s="70"/>
      <c r="E7" s="69">
        <f ca="1">IFERROR(SUMIF(Invoices!$Q$8:$Q$257,"Overdue",Invoices!$O$8:$O$257),0)</f>
        <v>5901</v>
      </c>
      <c r="F7" s="70"/>
      <c r="H7" s="76">
        <f ca="1">IFERROR(ROUNDDOWN(MAX(Invoices!$Z$8:$Z$257),0),0)</f>
        <v>68</v>
      </c>
      <c r="I7" s="70"/>
    </row>
    <row r="8" spans="1:9" x14ac:dyDescent="0.2">
      <c r="B8" s="72" t="s">
        <v>57</v>
      </c>
      <c r="C8" s="73"/>
      <c r="E8" s="72" t="str">
        <f ca="1">IF(COUNTIF(Invoices!$Q$8:$Q$257,"Overdue")=0,"nothing overdue",COUNTIF(Invoices!$Q$8:$Q$257,"Overdue")&amp;" invoice(s)")</f>
        <v>3 invoice(s)</v>
      </c>
      <c r="F8" s="73"/>
      <c r="H8" s="72" t="s">
        <v>58</v>
      </c>
      <c r="I8" s="73"/>
    </row>
    <row r="10" spans="1:9" x14ac:dyDescent="0.2">
      <c r="B10" s="71" t="str">
        <f>IF('Start Here'!$C$12="","Paid — last 30 days","Paid — last 30 days ("&amp;'Start Here'!$C$12&amp;")")</f>
        <v>Paid — last 30 days (€)</v>
      </c>
      <c r="C10" s="70"/>
      <c r="E10" s="71" t="s">
        <v>59</v>
      </c>
      <c r="F10" s="70"/>
      <c r="H10" s="71" t="str">
        <f>IF('Start Here'!$C$12="","Invoiced this month","Invoiced this month ("&amp;'Start Here'!$C$12&amp;")")</f>
        <v>Invoiced this month (€)</v>
      </c>
      <c r="I10" s="70"/>
    </row>
    <row r="11" spans="1:9" ht="30" customHeight="1" x14ac:dyDescent="0.2">
      <c r="B11" s="69">
        <f ca="1">IFERROR(SUMIFS(Invoices!$M$8:$M$257,Invoices!$N$8:$N$257,"&gt;="&amp;(TODAY()-30),Invoices!$N$8:$N$257,"&lt;="&amp;TODAY(),Invoices!$Q$8:$Q$257,"&lt;&gt;Cancelled"),0)</f>
        <v>3718.5</v>
      </c>
      <c r="C11" s="70"/>
      <c r="E11" s="76">
        <f ca="1">IFERROR(ROUND(AVERAGE(Invoices!$AA$8:$AA$257),0),0)</f>
        <v>27</v>
      </c>
      <c r="F11" s="70"/>
      <c r="H11" s="69">
        <f ca="1">IFERROR(SUMIFS(Invoices!$L$8:$L$257,Invoices!$B$8:$B$257,"&gt;="&amp;DATE(YEAR(TODAY()),MONTH(TODAY()),1),Invoices!$B$8:$B$257,"&lt;="&amp;EOMONTH(TODAY(),0),Invoices!$Q$8:$Q$257,"&lt;&gt;Cancelled",Invoices!$Q$8:$Q$257,"&lt;&gt;Draft"),0)</f>
        <v>4060</v>
      </c>
      <c r="I11" s="70"/>
    </row>
    <row r="13" spans="1:9" ht="16" x14ac:dyDescent="0.2">
      <c r="B13" s="16" t="s">
        <v>60</v>
      </c>
      <c r="C13" s="81" t="str">
        <f>IF(COUNT(Invoices!$X$8:$X$257)=0,'Start Here'!$C$13&amp;"001",'Start Here'!$C$13&amp;TEXT(MAX(Invoices!$X$8:$X$257)+1,"000"))</f>
        <v>2026-009</v>
      </c>
      <c r="D13" s="70"/>
    </row>
    <row r="14" spans="1:9" x14ac:dyDescent="0.2">
      <c r="B14" s="16" t="s">
        <v>61</v>
      </c>
      <c r="C14" s="75" t="str">
        <f ca="1">IF(COUNTIF(Invoices!$V$8:$V$257,"*Duplicate*")=0,"Numbering clean",COUNTIF(Invoices!$V$8:$V$257,"*Duplicate*")&amp;" duplicate invoice number(s) — see column V on the Invoices sheet")</f>
        <v>Numbering clean</v>
      </c>
      <c r="D14" s="73"/>
      <c r="E14" s="73"/>
      <c r="F14" s="73"/>
      <c r="G14" s="73"/>
      <c r="H14" s="73"/>
      <c r="I14" s="73"/>
    </row>
    <row r="15" spans="1:9" x14ac:dyDescent="0.2">
      <c r="B15" s="18" t="s">
        <v>62</v>
      </c>
    </row>
    <row r="16" spans="1:9" x14ac:dyDescent="0.2">
      <c r="B16" s="19" t="s">
        <v>63</v>
      </c>
      <c r="C16" s="19" t="s">
        <v>64</v>
      </c>
      <c r="D16" s="19" t="s">
        <v>65</v>
      </c>
      <c r="E16" s="19" t="s">
        <v>66</v>
      </c>
      <c r="F16" s="19" t="s">
        <v>67</v>
      </c>
    </row>
    <row r="17" spans="2:9" ht="16" x14ac:dyDescent="0.2">
      <c r="B17" s="20">
        <f ca="1">IFERROR(SUMIF(Invoices!$AB$8:$AB$257,"Not due",Invoices!$O$8:$O$257),0)</f>
        <v>1920</v>
      </c>
      <c r="C17" s="21">
        <f ca="1">IFERROR(SUMIF(Invoices!$AB$8:$AB$257,"1-14",Invoices!$O$8:$O$257),0)</f>
        <v>1240</v>
      </c>
      <c r="D17" s="22">
        <f ca="1">IFERROR(SUMIF(Invoices!$AB$8:$AB$257,"15-30",Invoices!$O$8:$O$257),0)</f>
        <v>3209</v>
      </c>
      <c r="E17" s="23">
        <f ca="1">IFERROR(SUMIF(Invoices!$AB$8:$AB$257,"31-60",Invoices!$O$8:$O$257),0)</f>
        <v>0</v>
      </c>
      <c r="F17" s="24">
        <f ca="1">IFERROR(SUMIF(Invoices!$AB$8:$AB$257,"61+",Invoices!$O$8:$O$257),0)</f>
        <v>1452</v>
      </c>
    </row>
    <row r="18" spans="2:9" x14ac:dyDescent="0.2">
      <c r="B18" s="25" t="str">
        <f ca="1">IF(COUNTIF(Invoices!$AB$8:$AB$257,"Not due")=0,"—",COUNTIF(Invoices!$AB$8:$AB$257,"Not due")&amp;" invoice(s)")</f>
        <v>2 invoice(s)</v>
      </c>
      <c r="C18" s="25" t="str">
        <f ca="1">IF(COUNTIF(Invoices!$AB$8:$AB$257,"1-14")=0,"—",COUNTIF(Invoices!$AB$8:$AB$257,"1-14")&amp;" invoice(s)")</f>
        <v>1 invoice(s)</v>
      </c>
      <c r="D18" s="25" t="str">
        <f ca="1">IF(COUNTIF(Invoices!$AB$8:$AB$257,"15-30")=0,"—",COUNTIF(Invoices!$AB$8:$AB$257,"15-30")&amp;" invoice(s)")</f>
        <v>1 invoice(s)</v>
      </c>
      <c r="E18" s="25" t="str">
        <f ca="1">IF(COUNTIF(Invoices!$AB$8:$AB$257,"31-60")=0,"—",COUNTIF(Invoices!$AB$8:$AB$257,"31-60")&amp;" invoice(s)")</f>
        <v>—</v>
      </c>
      <c r="F18" s="25" t="str">
        <f ca="1">IF(COUNTIF(Invoices!$AB$8:$AB$257,"61+")=0,"—",COUNTIF(Invoices!$AB$8:$AB$257,"61+")&amp;" invoice(s)")</f>
        <v>1 invoice(s)</v>
      </c>
    </row>
    <row r="19" spans="2:9" x14ac:dyDescent="0.2">
      <c r="B19" s="77" t="str">
        <f>IF(COUNTA(Invoices!$A$8:$A$257)=0,"No invoices yet — add your first one on the Invoices sheet. This page fills itself.","")</f>
        <v/>
      </c>
      <c r="C19" s="73"/>
      <c r="D19" s="73"/>
      <c r="E19" s="73"/>
      <c r="F19" s="73"/>
      <c r="G19" s="73"/>
      <c r="H19" s="73"/>
      <c r="I19" s="73"/>
    </row>
    <row r="20" spans="2:9" x14ac:dyDescent="0.2">
      <c r="B20" s="78" t="s">
        <v>68</v>
      </c>
      <c r="C20" s="73"/>
      <c r="D20" s="73"/>
      <c r="E20" s="73"/>
      <c r="F20" s="73"/>
      <c r="G20" s="73"/>
      <c r="H20" s="73"/>
      <c r="I20" s="73"/>
    </row>
    <row r="21" spans="2:9" ht="22" customHeight="1" x14ac:dyDescent="0.2">
      <c r="B21" s="26" t="s">
        <v>69</v>
      </c>
      <c r="C21" s="26" t="s">
        <v>70</v>
      </c>
      <c r="D21" s="26" t="s">
        <v>71</v>
      </c>
      <c r="E21" s="26" t="s">
        <v>72</v>
      </c>
      <c r="F21" s="26" t="s">
        <v>73</v>
      </c>
      <c r="G21" s="26" t="s">
        <v>74</v>
      </c>
    </row>
    <row r="22" spans="2:9" x14ac:dyDescent="0.2">
      <c r="B22" s="27" t="str">
        <f ca="1">IFERROR(IF(INDEX(Invoices!$A$8:$A$257,MATCH(LARGE(Invoices!$Z$8:$Z$257,1),Invoices!$Z$8:$Z$257,0))&amp;""="","—",INDEX(Invoices!$A$8:$A$257,MATCH(LARGE(Invoices!$Z$8:$Z$257,1),Invoices!$Z$8:$Z$257,0))&amp;""),"—")</f>
        <v>2026-005</v>
      </c>
      <c r="C22" s="27" t="str">
        <f ca="1">IFERROR(IF(INDEX(Invoices!$E$8:$E$257,MATCH(LARGE(Invoices!$Z$8:$Z$257,1),Invoices!$Z$8:$Z$257,0))&amp;""="","—",INDEX(Invoices!$E$8:$E$257,MATCH(LARGE(Invoices!$Z$8:$Z$257,1),Invoices!$Z$8:$Z$257,0))&amp;""),"—")</f>
        <v>Bramble Coffee Co.</v>
      </c>
      <c r="D22" s="28">
        <f ca="1">IFERROR(IF(INDEX(Invoices!$O$8:$O$257,MATCH(LARGE(Invoices!$Z$8:$Z$257,1),Invoices!$Z$8:$Z$257,0))="","—",INDEX(Invoices!$O$8:$O$257,MATCH(LARGE(Invoices!$Z$8:$Z$257,1),Invoices!$Z$8:$Z$257,0))),"—")</f>
        <v>1452</v>
      </c>
      <c r="E22" s="29">
        <f ca="1">IFERROR(ROUNDDOWN(LARGE(Invoices!$Z$8:$Z$257,1),0),"—")</f>
        <v>68</v>
      </c>
      <c r="F22" s="27" t="str">
        <f ca="1">IFERROR(IF(INDEX(Invoices!$S$8:$S$257,MATCH(LARGE(Invoices!$Z$8:$Z$257,1),Invoices!$Z$8:$Z$257,0))&amp;""="","—",INDEX(Invoices!$S$8:$S$257,MATCH(LARGE(Invoices!$Z$8:$Z$257,1),Invoices!$Z$8:$Z$257,0))&amp;""),"—")</f>
        <v>Last friendly reminder</v>
      </c>
      <c r="G22" s="27" t="str">
        <f ca="1">IFERROR(IF(INDEX(Invoices!$F$8:$F$257,MATCH(LARGE(Invoices!$Z$8:$Z$257,1),Invoices!$Z$8:$Z$257,0))&amp;""="","—",INDEX(Invoices!$F$8:$F$257,MATCH(LARGE(Invoices!$Z$8:$Z$257,1),Invoices!$Z$8:$Z$257,0))&amp;""),"—")</f>
        <v>hello@bramble.example</v>
      </c>
    </row>
    <row r="23" spans="2:9" x14ac:dyDescent="0.2">
      <c r="B23" s="27" t="str">
        <f ca="1">IFERROR(IF(INDEX(Invoices!$A$8:$A$257,MATCH(LARGE(Invoices!$Z$8:$Z$257,2),Invoices!$Z$8:$Z$257,0))&amp;""="","—",INDEX(Invoices!$A$8:$A$257,MATCH(LARGE(Invoices!$Z$8:$Z$257,2),Invoices!$Z$8:$Z$257,0))&amp;""),"—")</f>
        <v>2026-004</v>
      </c>
      <c r="C23" s="27" t="str">
        <f ca="1">IFERROR(IF(INDEX(Invoices!$E$8:$E$257,MATCH(LARGE(Invoices!$Z$8:$Z$257,2),Invoices!$Z$8:$Z$257,0))&amp;""="","—",INDEX(Invoices!$E$8:$E$257,MATCH(LARGE(Invoices!$Z$8:$Z$257,2),Invoices!$Z$8:$Z$257,0))&amp;""),"—")</f>
        <v>Northwind Studio</v>
      </c>
      <c r="D23" s="28">
        <f ca="1">IFERROR(IF(INDEX(Invoices!$O$8:$O$257,MATCH(LARGE(Invoices!$Z$8:$Z$257,2),Invoices!$Z$8:$Z$257,0))="","—",INDEX(Invoices!$O$8:$O$257,MATCH(LARGE(Invoices!$Z$8:$Z$257,2),Invoices!$Z$8:$Z$257,0))),"—")</f>
        <v>3209</v>
      </c>
      <c r="E23" s="29">
        <f ca="1">IFERROR(ROUNDDOWN(LARGE(Invoices!$Z$8:$Z$257,2),0),"—")</f>
        <v>22</v>
      </c>
      <c r="F23" s="27" t="str">
        <f ca="1">IFERROR(IF(INDEX(Invoices!$S$8:$S$257,MATCH(LARGE(Invoices!$Z$8:$Z$257,2),Invoices!$Z$8:$Z$257,0))&amp;""="","—",INDEX(Invoices!$S$8:$S$257,MATCH(LARGE(Invoices!$Z$8:$Z$257,2),Invoices!$Z$8:$Z$257,0))&amp;""),"—")</f>
        <v>Second reminder</v>
      </c>
      <c r="G23" s="27" t="str">
        <f ca="1">IFERROR(IF(INDEX(Invoices!$F$8:$F$257,MATCH(LARGE(Invoices!$Z$8:$Z$257,2),Invoices!$Z$8:$Z$257,0))&amp;""="","—",INDEX(Invoices!$F$8:$F$257,MATCH(LARGE(Invoices!$Z$8:$Z$257,2),Invoices!$Z$8:$Z$257,0))&amp;""),"—")</f>
        <v>ana@northwind.example</v>
      </c>
    </row>
    <row r="24" spans="2:9" x14ac:dyDescent="0.2">
      <c r="B24" s="27" t="str">
        <f ca="1">IFERROR(IF(INDEX(Invoices!$A$8:$A$257,MATCH(LARGE(Invoices!$Z$8:$Z$257,3),Invoices!$Z$8:$Z$257,0))&amp;""="","—",INDEX(Invoices!$A$8:$A$257,MATCH(LARGE(Invoices!$Z$8:$Z$257,3),Invoices!$Z$8:$Z$257,0))&amp;""),"—")</f>
        <v>2026-003</v>
      </c>
      <c r="C24" s="27" t="str">
        <f ca="1">IFERROR(IF(INDEX(Invoices!$E$8:$E$257,MATCH(LARGE(Invoices!$Z$8:$Z$257,3),Invoices!$Z$8:$Z$257,0))&amp;""="","—",INDEX(Invoices!$E$8:$E$257,MATCH(LARGE(Invoices!$Z$8:$Z$257,3),Invoices!$Z$8:$Z$257,0))&amp;""),"—")</f>
        <v>Marisol Ferrer</v>
      </c>
      <c r="D24" s="28">
        <f ca="1">IFERROR(IF(INDEX(Invoices!$O$8:$O$257,MATCH(LARGE(Invoices!$Z$8:$Z$257,3),Invoices!$Z$8:$Z$257,0))="","—",INDEX(Invoices!$O$8:$O$257,MATCH(LARGE(Invoices!$Z$8:$Z$257,3),Invoices!$Z$8:$Z$257,0))),"—")</f>
        <v>1240</v>
      </c>
      <c r="E24" s="29">
        <f ca="1">IFERROR(ROUNDDOWN(LARGE(Invoices!$Z$8:$Z$257,3),0),"—")</f>
        <v>12</v>
      </c>
      <c r="F24" s="27" t="str">
        <f ca="1">IFERROR(IF(INDEX(Invoices!$S$8:$S$257,MATCH(LARGE(Invoices!$Z$8:$Z$257,3),Invoices!$Z$8:$Z$257,0))&amp;""="","—",INDEX(Invoices!$S$8:$S$257,MATCH(LARGE(Invoices!$Z$8:$Z$257,3),Invoices!$Z$8:$Z$257,0))&amp;""),"—")</f>
        <v>First reminder</v>
      </c>
      <c r="G24" s="27" t="str">
        <f ca="1">IFERROR(IF(INDEX(Invoices!$F$8:$F$257,MATCH(LARGE(Invoices!$Z$8:$Z$257,3),Invoices!$Z$8:$Z$257,0))&amp;""="","—",INDEX(Invoices!$F$8:$F$257,MATCH(LARGE(Invoices!$Z$8:$Z$257,3),Invoices!$Z$8:$Z$257,0))&amp;""),"—")</f>
        <v>marisol@ferrer.example</v>
      </c>
    </row>
    <row r="25" spans="2:9" x14ac:dyDescent="0.2">
      <c r="B25" s="27" t="str">
        <f ca="1">IFERROR(IF(INDEX(Invoices!$A$8:$A$257,MATCH(LARGE(Invoices!$Z$8:$Z$257,4),Invoices!$Z$8:$Z$257,0))&amp;""="","—",INDEX(Invoices!$A$8:$A$257,MATCH(LARGE(Invoices!$Z$8:$Z$257,4),Invoices!$Z$8:$Z$257,0))&amp;""),"—")</f>
        <v>—</v>
      </c>
      <c r="C25" s="27" t="str">
        <f ca="1">IFERROR(IF(INDEX(Invoices!$E$8:$E$257,MATCH(LARGE(Invoices!$Z$8:$Z$257,4),Invoices!$Z$8:$Z$257,0))&amp;""="","—",INDEX(Invoices!$E$8:$E$257,MATCH(LARGE(Invoices!$Z$8:$Z$257,4),Invoices!$Z$8:$Z$257,0))&amp;""),"—")</f>
        <v>—</v>
      </c>
      <c r="D25" s="28" t="str">
        <f ca="1">IFERROR(IF(INDEX(Invoices!$O$8:$O$257,MATCH(LARGE(Invoices!$Z$8:$Z$257,4),Invoices!$Z$8:$Z$257,0))="","—",INDEX(Invoices!$O$8:$O$257,MATCH(LARGE(Invoices!$Z$8:$Z$257,4),Invoices!$Z$8:$Z$257,0))),"—")</f>
        <v>—</v>
      </c>
      <c r="E25" s="29" t="str">
        <f ca="1">IFERROR(ROUNDDOWN(LARGE(Invoices!$Z$8:$Z$257,4),0),"—")</f>
        <v>—</v>
      </c>
      <c r="F25" s="27" t="str">
        <f ca="1">IFERROR(IF(INDEX(Invoices!$S$8:$S$257,MATCH(LARGE(Invoices!$Z$8:$Z$257,4),Invoices!$Z$8:$Z$257,0))&amp;""="","—",INDEX(Invoices!$S$8:$S$257,MATCH(LARGE(Invoices!$Z$8:$Z$257,4),Invoices!$Z$8:$Z$257,0))&amp;""),"—")</f>
        <v>—</v>
      </c>
      <c r="G25" s="27" t="str">
        <f ca="1">IFERROR(IF(INDEX(Invoices!$F$8:$F$257,MATCH(LARGE(Invoices!$Z$8:$Z$257,4),Invoices!$Z$8:$Z$257,0))&amp;""="","—",INDEX(Invoices!$F$8:$F$257,MATCH(LARGE(Invoices!$Z$8:$Z$257,4),Invoices!$Z$8:$Z$257,0))&amp;""),"—")</f>
        <v>—</v>
      </c>
    </row>
    <row r="26" spans="2:9" x14ac:dyDescent="0.2">
      <c r="B26" s="27" t="str">
        <f ca="1">IFERROR(IF(INDEX(Invoices!$A$8:$A$257,MATCH(LARGE(Invoices!$Z$8:$Z$257,5),Invoices!$Z$8:$Z$257,0))&amp;""="","—",INDEX(Invoices!$A$8:$A$257,MATCH(LARGE(Invoices!$Z$8:$Z$257,5),Invoices!$Z$8:$Z$257,0))&amp;""),"—")</f>
        <v>—</v>
      </c>
      <c r="C26" s="27" t="str">
        <f ca="1">IFERROR(IF(INDEX(Invoices!$E$8:$E$257,MATCH(LARGE(Invoices!$Z$8:$Z$257,5),Invoices!$Z$8:$Z$257,0))&amp;""="","—",INDEX(Invoices!$E$8:$E$257,MATCH(LARGE(Invoices!$Z$8:$Z$257,5),Invoices!$Z$8:$Z$257,0))&amp;""),"—")</f>
        <v>—</v>
      </c>
      <c r="D26" s="28" t="str">
        <f ca="1">IFERROR(IF(INDEX(Invoices!$O$8:$O$257,MATCH(LARGE(Invoices!$Z$8:$Z$257,5),Invoices!$Z$8:$Z$257,0))="","—",INDEX(Invoices!$O$8:$O$257,MATCH(LARGE(Invoices!$Z$8:$Z$257,5),Invoices!$Z$8:$Z$257,0))),"—")</f>
        <v>—</v>
      </c>
      <c r="E26" s="29" t="str">
        <f ca="1">IFERROR(ROUNDDOWN(LARGE(Invoices!$Z$8:$Z$257,5),0),"—")</f>
        <v>—</v>
      </c>
      <c r="F26" s="27" t="str">
        <f ca="1">IFERROR(IF(INDEX(Invoices!$S$8:$S$257,MATCH(LARGE(Invoices!$Z$8:$Z$257,5),Invoices!$Z$8:$Z$257,0))&amp;""="","—",INDEX(Invoices!$S$8:$S$257,MATCH(LARGE(Invoices!$Z$8:$Z$257,5),Invoices!$Z$8:$Z$257,0))&amp;""),"—")</f>
        <v>—</v>
      </c>
      <c r="G26" s="27" t="str">
        <f ca="1">IFERROR(IF(INDEX(Invoices!$F$8:$F$257,MATCH(LARGE(Invoices!$Z$8:$Z$257,5),Invoices!$Z$8:$Z$257,0))&amp;""="","—",INDEX(Invoices!$F$8:$F$257,MATCH(LARGE(Invoices!$Z$8:$Z$257,5),Invoices!$Z$8:$Z$257,0))&amp;""),"—")</f>
        <v>—</v>
      </c>
    </row>
    <row r="27" spans="2:9" x14ac:dyDescent="0.2">
      <c r="B27" s="79" t="str">
        <f ca="1">IF(COUNTIF(Invoices!$Q$8:$Q$257,"Overdue")&gt;5,"+"&amp;COUNTIF(Invoices!$Q$8:$Q$257,"Overdue")-5&amp;" more overdue — see the Invoices sheet","")</f>
        <v/>
      </c>
      <c r="C27" s="73"/>
      <c r="D27" s="73"/>
      <c r="E27" s="73"/>
      <c r="F27" s="73"/>
      <c r="G27" s="73"/>
    </row>
  </sheetData>
  <mergeCells count="22">
    <mergeCell ref="A1:I1"/>
    <mergeCell ref="C13:D13"/>
    <mergeCell ref="H8:I8"/>
    <mergeCell ref="B19:I19"/>
    <mergeCell ref="B6:C6"/>
    <mergeCell ref="E7:F7"/>
    <mergeCell ref="B20:I20"/>
    <mergeCell ref="B27:G27"/>
    <mergeCell ref="B11:C11"/>
    <mergeCell ref="E10:F10"/>
    <mergeCell ref="B8:C8"/>
    <mergeCell ref="C14:I14"/>
    <mergeCell ref="H11:I11"/>
    <mergeCell ref="B10:C10"/>
    <mergeCell ref="E11:F11"/>
    <mergeCell ref="B7:C7"/>
    <mergeCell ref="H10:I10"/>
    <mergeCell ref="E8:F8"/>
    <mergeCell ref="A2:I2"/>
    <mergeCell ref="H6:I6"/>
    <mergeCell ref="E6:F6"/>
    <mergeCell ref="H7:I7"/>
  </mergeCells>
  <conditionalFormatting sqref="B11">
    <cfRule type="expression" dxfId="26" priority="9" stopIfTrue="1">
      <formula>$B$11&gt;0</formula>
    </cfRule>
    <cfRule type="expression" dxfId="25" priority="10">
      <formula>$B$11=0</formula>
    </cfRule>
  </conditionalFormatting>
  <conditionalFormatting sqref="B22:G26">
    <cfRule type="expression" dxfId="24" priority="18">
      <formula>$F22="Last friendly reminder"</formula>
    </cfRule>
    <cfRule type="expression" dxfId="23" priority="19">
      <formula>$F22="Second reminder"</formula>
    </cfRule>
    <cfRule type="expression" dxfId="22" priority="20">
      <formula>$F22="First reminder"</formula>
    </cfRule>
  </conditionalFormatting>
  <conditionalFormatting sqref="C14">
    <cfRule type="expression" dxfId="21" priority="15" stopIfTrue="1">
      <formula>$C$14&lt;&gt;"Numbering clean"</formula>
    </cfRule>
    <cfRule type="expression" dxfId="20" priority="16">
      <formula>$C$14="Numbering clean"</formula>
    </cfRule>
  </conditionalFormatting>
  <conditionalFormatting sqref="E7">
    <cfRule type="expression" dxfId="19" priority="1" stopIfTrue="1">
      <formula>$E$7=0</formula>
    </cfRule>
    <cfRule type="expression" dxfId="18" priority="2" stopIfTrue="1">
      <formula>$E$7&gt;=0.25*$B$7</formula>
    </cfRule>
    <cfRule type="expression" dxfId="17" priority="3">
      <formula>$E$7&gt;0</formula>
    </cfRule>
  </conditionalFormatting>
  <conditionalFormatting sqref="E11">
    <cfRule type="cellIs" dxfId="16" priority="11" operator="greaterThan">
      <formula>45</formula>
    </cfRule>
    <cfRule type="cellIs" dxfId="15" priority="12" operator="between">
      <formula>31</formula>
      <formula>45</formula>
    </cfRule>
    <cfRule type="cellIs" dxfId="14" priority="13" operator="between">
      <formula>1</formula>
      <formula>30</formula>
    </cfRule>
    <cfRule type="cellIs" dxfId="13" priority="14" operator="equal">
      <formula>0</formula>
    </cfRule>
  </conditionalFormatting>
  <conditionalFormatting sqref="F17">
    <cfRule type="cellIs" dxfId="12" priority="17" operator="greaterThan">
      <formula>0</formula>
    </cfRule>
  </conditionalFormatting>
  <conditionalFormatting sqref="H7">
    <cfRule type="cellIs" dxfId="11" priority="4" operator="greaterThanOrEqual">
      <formula>60</formula>
    </cfRule>
    <cfRule type="cellIs" dxfId="10" priority="5" operator="between">
      <formula>30</formula>
      <formula>59</formula>
    </cfRule>
    <cfRule type="cellIs" dxfId="9" priority="6" operator="between">
      <formula>8</formula>
      <formula>29</formula>
    </cfRule>
    <cfRule type="cellIs" dxfId="8" priority="7" operator="between">
      <formula>1</formula>
      <formula>7</formula>
    </cfRule>
    <cfRule type="cellIs" dxfId="7" priority="8" operator="equal">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57"/>
  <sheetViews>
    <sheetView workbookViewId="0">
      <pane ySplit="7" topLeftCell="A8" activePane="bottomLeft" state="frozen"/>
      <selection pane="bottomLeft" activeCell="A8" sqref="A8"/>
    </sheetView>
  </sheetViews>
  <sheetFormatPr baseColWidth="10" defaultColWidth="8.83203125" defaultRowHeight="15" x14ac:dyDescent="0.2"/>
  <cols>
    <col min="1" max="1" width="14" customWidth="1"/>
    <col min="2" max="2" width="12" customWidth="1"/>
    <col min="3" max="3" width="8" customWidth="1"/>
    <col min="4" max="4" width="12" customWidth="1"/>
    <col min="5" max="5" width="22" customWidth="1"/>
    <col min="6" max="6" width="24" customWidth="1"/>
    <col min="7" max="7" width="30" customWidth="1"/>
    <col min="8" max="8" width="24" customWidth="1"/>
    <col min="9" max="9" width="13" customWidth="1"/>
    <col min="10" max="10" width="10" customWidth="1"/>
    <col min="11" max="11" width="12" customWidth="1"/>
    <col min="12" max="13" width="13" customWidth="1"/>
    <col min="14" max="14" width="12" customWidth="1"/>
    <col min="15" max="15" width="13" customWidth="1"/>
    <col min="16" max="16" width="11" customWidth="1"/>
    <col min="17" max="17" width="13" customWidth="1"/>
    <col min="18" max="18" width="11" customWidth="1"/>
    <col min="19" max="19" width="21" customWidth="1"/>
    <col min="20" max="20" width="13" customWidth="1"/>
    <col min="21" max="21" width="30" customWidth="1"/>
    <col min="22" max="22" width="26" customWidth="1"/>
    <col min="23" max="23" width="2" hidden="1" customWidth="1"/>
    <col min="24" max="24" width="11" hidden="1" customWidth="1"/>
    <col min="25" max="25" width="16" hidden="1" customWidth="1"/>
    <col min="26" max="26" width="14" hidden="1" customWidth="1"/>
    <col min="27" max="27" width="11" hidden="1" customWidth="1"/>
    <col min="28" max="28" width="13" hidden="1" customWidth="1"/>
  </cols>
  <sheetData>
    <row r="1" spans="1:28" ht="26" customHeight="1" x14ac:dyDescent="0.25">
      <c r="A1" s="80" t="s">
        <v>75</v>
      </c>
      <c r="B1" s="73"/>
      <c r="C1" s="73"/>
      <c r="D1" s="73"/>
      <c r="E1" s="73"/>
      <c r="F1" s="73"/>
      <c r="G1" s="73"/>
      <c r="H1" s="73"/>
      <c r="I1" s="73"/>
      <c r="J1" s="73"/>
      <c r="K1" s="73"/>
      <c r="L1" s="73"/>
      <c r="M1" s="73"/>
      <c r="N1" s="73"/>
      <c r="O1" s="73"/>
      <c r="P1" s="73"/>
      <c r="Q1" s="73"/>
      <c r="R1" s="73"/>
      <c r="S1" s="73"/>
      <c r="T1" s="73"/>
      <c r="U1" s="73"/>
      <c r="V1" s="73"/>
    </row>
    <row r="2" spans="1:28" x14ac:dyDescent="0.2">
      <c r="A2" s="74" t="s">
        <v>76</v>
      </c>
      <c r="B2" s="73"/>
      <c r="C2" s="73"/>
      <c r="D2" s="73"/>
      <c r="E2" s="73"/>
      <c r="F2" s="73"/>
      <c r="G2" s="73"/>
      <c r="H2" s="73"/>
      <c r="I2" s="73"/>
      <c r="J2" s="73"/>
      <c r="K2" s="73"/>
      <c r="L2" s="73"/>
      <c r="M2" s="73"/>
      <c r="N2" s="73"/>
      <c r="O2" s="73"/>
      <c r="P2" s="73"/>
      <c r="Q2" s="73"/>
      <c r="R2" s="73"/>
      <c r="S2" s="73"/>
      <c r="T2" s="73"/>
      <c r="U2" s="73"/>
      <c r="V2" s="73"/>
    </row>
    <row r="4" spans="1:28" ht="30" customHeight="1" x14ac:dyDescent="0.2">
      <c r="A4" s="84" t="s">
        <v>48</v>
      </c>
      <c r="B4" s="73"/>
      <c r="C4" s="73"/>
      <c r="D4" s="73"/>
      <c r="E4" s="73"/>
      <c r="F4" s="73"/>
      <c r="G4" s="73"/>
      <c r="H4" s="73"/>
      <c r="I4" s="73"/>
      <c r="J4" s="83" t="s">
        <v>77</v>
      </c>
      <c r="K4" s="73"/>
      <c r="L4" s="73"/>
      <c r="M4" s="73"/>
      <c r="N4" s="73"/>
      <c r="O4" s="73"/>
      <c r="P4" s="73"/>
      <c r="Q4" s="73"/>
      <c r="R4" s="73"/>
      <c r="S4" s="73"/>
      <c r="T4" s="73"/>
      <c r="U4" s="73"/>
      <c r="V4" s="73"/>
    </row>
    <row r="5" spans="1:28" ht="16" customHeight="1" x14ac:dyDescent="0.2">
      <c r="A5" s="82" t="s">
        <v>78</v>
      </c>
      <c r="B5" s="73"/>
      <c r="C5" s="73"/>
      <c r="D5" s="73"/>
      <c r="E5" s="73"/>
      <c r="F5" s="73"/>
      <c r="G5" s="73"/>
      <c r="H5" s="73"/>
      <c r="I5" s="73"/>
      <c r="J5" s="73"/>
      <c r="K5" s="73"/>
      <c r="L5" s="73"/>
      <c r="M5" s="73"/>
      <c r="N5" s="73"/>
      <c r="O5" s="73"/>
      <c r="P5" s="73"/>
      <c r="Q5" s="73"/>
      <c r="R5" s="73"/>
      <c r="S5" s="73"/>
      <c r="T5" s="73"/>
      <c r="U5" s="73"/>
      <c r="V5" s="73"/>
    </row>
    <row r="7" spans="1:28" ht="30" customHeight="1" x14ac:dyDescent="0.2">
      <c r="A7" s="26" t="s">
        <v>69</v>
      </c>
      <c r="B7" s="26" t="s">
        <v>79</v>
      </c>
      <c r="C7" s="26" t="s">
        <v>80</v>
      </c>
      <c r="D7" s="26" t="s">
        <v>81</v>
      </c>
      <c r="E7" s="26" t="s">
        <v>70</v>
      </c>
      <c r="F7" s="26" t="s">
        <v>74</v>
      </c>
      <c r="G7" s="26" t="s">
        <v>82</v>
      </c>
      <c r="H7" s="26" t="s">
        <v>83</v>
      </c>
      <c r="I7" s="26" t="str">
        <f>IF('Start Here'!$C$12="","Net amount","Net amount ("&amp;'Start Here'!$C$12&amp;")")</f>
        <v>Net amount (€)</v>
      </c>
      <c r="J7" s="26" t="s">
        <v>84</v>
      </c>
      <c r="K7" s="26" t="str">
        <f>IF('Start Here'!$C$12="","Tax amount","Tax amount ("&amp;'Start Here'!$C$12&amp;")")</f>
        <v>Tax amount (€)</v>
      </c>
      <c r="L7" s="26" t="str">
        <f>IF('Start Here'!$C$12="","Total","Total ("&amp;'Start Here'!$C$12&amp;")")</f>
        <v>Total (€)</v>
      </c>
      <c r="M7" s="26" t="str">
        <f>IF('Start Here'!$C$12="","Paid amount","Paid amount ("&amp;'Start Here'!$C$12&amp;")")</f>
        <v>Paid amount (€)</v>
      </c>
      <c r="N7" s="26" t="s">
        <v>85</v>
      </c>
      <c r="O7" s="26" t="str">
        <f>IF('Start Here'!$C$12="","Open amount","Open amount ("&amp;'Start Here'!$C$12&amp;")")</f>
        <v>Open amount (€)</v>
      </c>
      <c r="P7" s="26" t="s">
        <v>86</v>
      </c>
      <c r="Q7" s="26" t="s">
        <v>87</v>
      </c>
      <c r="R7" s="26" t="s">
        <v>72</v>
      </c>
      <c r="S7" s="26" t="s">
        <v>73</v>
      </c>
      <c r="T7" s="26" t="s">
        <v>88</v>
      </c>
      <c r="U7" s="26" t="s">
        <v>89</v>
      </c>
      <c r="V7" s="26" t="s">
        <v>90</v>
      </c>
      <c r="W7" s="26"/>
      <c r="X7" s="26" t="s">
        <v>91</v>
      </c>
      <c r="Y7" s="26" t="s">
        <v>92</v>
      </c>
      <c r="Z7" s="26" t="s">
        <v>93</v>
      </c>
      <c r="AA7" s="26" t="s">
        <v>94</v>
      </c>
      <c r="AB7" s="26" t="s">
        <v>95</v>
      </c>
    </row>
    <row r="8" spans="1:28" ht="64" x14ac:dyDescent="0.2">
      <c r="A8" s="30" t="s">
        <v>96</v>
      </c>
      <c r="B8" s="31">
        <f ca="1">TODAY()-54</f>
        <v>46178</v>
      </c>
      <c r="C8" s="32">
        <v>14</v>
      </c>
      <c r="D8" s="33">
        <f ca="1">IF($B8="","",$B8+IF($C8="",IF('Start Here'!$C$15="",14,'Start Here'!$C$15),$C8))</f>
        <v>46192</v>
      </c>
      <c r="E8" s="30" t="s">
        <v>97</v>
      </c>
      <c r="F8" s="30" t="s">
        <v>98</v>
      </c>
      <c r="G8" s="30" t="s">
        <v>99</v>
      </c>
      <c r="H8" s="30" t="s">
        <v>100</v>
      </c>
      <c r="I8" s="34">
        <f>IF($A8="","",ROUND(SUMIF('Line Items'!$A$8:$A$507,$A8,'Line Items'!$H$8:$H$507),2))</f>
        <v>1195</v>
      </c>
      <c r="J8" s="35">
        <v>0</v>
      </c>
      <c r="K8" s="34">
        <f>IF($A8="","",ROUND($I8*IFERROR(IF($J8="",IF('Start Here'!$C$22="",0,'Start Here'!$C$22),$J8),0)/100,2))</f>
        <v>0</v>
      </c>
      <c r="L8" s="34">
        <f t="shared" ref="L8:L71" si="0">IF($A8="","",ROUND($I8+$K8,2))</f>
        <v>1195</v>
      </c>
      <c r="M8" s="36">
        <v>1195</v>
      </c>
      <c r="N8" s="31">
        <f ca="1">TODAY()-42</f>
        <v>46190</v>
      </c>
      <c r="O8" s="34">
        <f t="shared" ref="O8:O71" si="1">IF($A8="","",ROUND($L8-IF($M8="",0,$M8),2))</f>
        <v>0</v>
      </c>
      <c r="P8" s="30"/>
      <c r="Q8" s="37" t="str">
        <f t="shared" ref="Q8:Q71" ca="1" si="2">IF($A8="","",IF($P8="Cancelled","Cancelled",IF($P8="Draft","Draft",IF($L8=0,"No lines yet",IF($O8&lt;=0,"Paid",IF($D8="","No date",IF($D8&lt;TODAY(),"Overdue",IF(IF($M8="",0,$M8)&gt;0,"Part-paid","Open"))))))))</f>
        <v>Paid</v>
      </c>
      <c r="R8" s="38" t="str">
        <f t="shared" ref="R8:R71" ca="1" si="3">IF($A8="","",IF($Q8&lt;&gt;"Overdue","—",TODAY()-$D8))</f>
        <v>—</v>
      </c>
      <c r="S8" s="37" t="str">
        <f ca="1">IF($A8="","",IF(OR($Q8="Paid",$Q8="Cancelled",$Q8="Draft"),"—",IF($Q8="No lines yet","Add line items",IF($Q8="No date","Add invoice date",IF($D8-TODAY()&gt;7,"—",IF($D8-TODAY()&gt;=1,"Due soon",IF($D8=TODAY(),"Due today",IF(TODAY()-$D8&lt;IF('Start Here'!$C$16="",7,'Start Here'!$C$16),"Just overdue",IF(TODAY()-$D8&lt;IF('Start Here'!$C$17="",21,'Start Here'!$C$17),"First reminder",IF(TODAY()-$D8&lt;IF('Start Here'!$C$18="",45,'Start Here'!$C$18),"Second reminder","Last friendly reminder"))))))))))</f>
        <v>—</v>
      </c>
      <c r="T8" s="31"/>
      <c r="U8" s="30" t="s">
        <v>101</v>
      </c>
      <c r="V8" s="37" t="str">
        <f t="shared" ref="V8:V71" ca="1" si="4">IF($A8="","",TRIM(IF(COUNTIF($A$8:$A$257,$A8)&gt;1,"Duplicate no. ","")&amp;IF(ISNUMBER(FIND("*",$A8))+ISNUMBER(FIND("?",$A8))&gt;0,"Avoid * and ? in invoice numbers ","")&amp;IF($E8="","No client ","")&amp;IF($L8=0,"No amount ","")&amp;IF(AND($Q8="Overdue",$F8=""),"No client email ","")))</f>
        <v/>
      </c>
      <c r="W8" s="39"/>
      <c r="X8" s="37">
        <f>IF($A8="","",IFERROR(VALUE(IF('Start Here'!$C$13="",$A8,SUBSTITUTE($A8,'Start Here'!$C$13,""))),""))</f>
        <v>1</v>
      </c>
      <c r="Y8" s="37" t="str">
        <f t="shared" ref="Y8:Y71" si="5">IF(AND($E8&lt;&gt;"",$G8&lt;&gt;""),$E8,"")</f>
        <v>Northwind Studio</v>
      </c>
      <c r="Z8" s="37" t="str">
        <f t="shared" ref="Z8:Z71" ca="1" si="6">IF($A8="","",IF($Q8&lt;&gt;"Overdue","",(TODAY()-$D8)+ROW()/100000))</f>
        <v/>
      </c>
      <c r="AA8" s="37">
        <f t="shared" ref="AA8:AA71" ca="1" si="7">IF($A8="","",IF(AND($Q8="Paid",ISNUMBER($N8),ISNUMBER($B8)),$N8-$B8,""))</f>
        <v>12</v>
      </c>
      <c r="AB8" s="37" t="str">
        <f t="shared" ref="AB8:AB71" ca="1" si="8">IF($A8="","",IF(OR($Q8="Paid",$Q8="Draft",$Q8="Cancelled",$Q8="No lines yet",$Q8="No date"),"",IF($Q8&lt;&gt;"Overdue","Not due",IF(TODAY()-$D8&lt;=14,"1-14",IF(TODAY()-$D8&lt;=30,"15-30",IF(TODAY()-$D8&lt;=60,"31-60","61+"))))))</f>
        <v/>
      </c>
    </row>
    <row r="9" spans="1:28" ht="64" x14ac:dyDescent="0.2">
      <c r="A9" s="30" t="s">
        <v>102</v>
      </c>
      <c r="B9" s="31">
        <f ca="1">TODAY()-70</f>
        <v>46162</v>
      </c>
      <c r="C9" s="32">
        <v>30</v>
      </c>
      <c r="D9" s="33">
        <f ca="1">IF($B9="","",$B9+IF($C9="",IF('Start Here'!$C$15="",14,'Start Here'!$C$15),$C9))</f>
        <v>46192</v>
      </c>
      <c r="E9" s="30" t="s">
        <v>103</v>
      </c>
      <c r="F9" s="30" t="s">
        <v>104</v>
      </c>
      <c r="G9" s="30" t="s">
        <v>105</v>
      </c>
      <c r="H9" s="30" t="s">
        <v>106</v>
      </c>
      <c r="I9" s="34">
        <f>IF($A9="","",ROUND(SUMIF('Line Items'!$A$8:$A$507,$A9,'Line Items'!$H$8:$H$507),2))</f>
        <v>2818.5</v>
      </c>
      <c r="J9" s="35">
        <v>0</v>
      </c>
      <c r="K9" s="34">
        <f>IF($A9="","",ROUND($I9*IFERROR(IF($J9="",IF('Start Here'!$C$22="",0,'Start Here'!$C$22),$J9),0)/100,2))</f>
        <v>0</v>
      </c>
      <c r="L9" s="34">
        <f t="shared" si="0"/>
        <v>2818.5</v>
      </c>
      <c r="M9" s="36">
        <v>2818.5</v>
      </c>
      <c r="N9" s="31">
        <f ca="1">TODAY()-28</f>
        <v>46204</v>
      </c>
      <c r="O9" s="34">
        <f t="shared" si="1"/>
        <v>0</v>
      </c>
      <c r="P9" s="30"/>
      <c r="Q9" s="37" t="str">
        <f t="shared" ca="1" si="2"/>
        <v>Paid</v>
      </c>
      <c r="R9" s="38" t="str">
        <f t="shared" ca="1" si="3"/>
        <v>—</v>
      </c>
      <c r="S9" s="37" t="str">
        <f ca="1">IF($A9="","",IF(OR($Q9="Paid",$Q9="Cancelled",$Q9="Draft"),"—",IF($Q9="No lines yet","Add line items",IF($Q9="No date","Add invoice date",IF($D9-TODAY()&gt;7,"—",IF($D9-TODAY()&gt;=1,"Due soon",IF($D9=TODAY(),"Due today",IF(TODAY()-$D9&lt;IF('Start Here'!$C$16="",7,'Start Here'!$C$16),"Just overdue",IF(TODAY()-$D9&lt;IF('Start Here'!$C$17="",21,'Start Here'!$C$17),"First reminder",IF(TODAY()-$D9&lt;IF('Start Here'!$C$18="",45,'Start Here'!$C$18),"Second reminder","Last friendly reminder"))))))))))</f>
        <v>—</v>
      </c>
      <c r="T9" s="31"/>
      <c r="U9" s="30" t="s">
        <v>107</v>
      </c>
      <c r="V9" s="37" t="str">
        <f t="shared" ca="1" si="4"/>
        <v/>
      </c>
      <c r="W9" s="40"/>
      <c r="X9" s="37">
        <f>IF($A9="","",IFERROR(VALUE(IF('Start Here'!$C$13="",$A9,SUBSTITUTE($A9,'Start Here'!$C$13,""))),""))</f>
        <v>2</v>
      </c>
      <c r="Y9" s="37" t="str">
        <f t="shared" si="5"/>
        <v>Halden &amp; Voss</v>
      </c>
      <c r="Z9" s="37" t="str">
        <f t="shared" ca="1" si="6"/>
        <v/>
      </c>
      <c r="AA9" s="37">
        <f t="shared" ca="1" si="7"/>
        <v>42</v>
      </c>
      <c r="AB9" s="37" t="str">
        <f t="shared" ca="1" si="8"/>
        <v/>
      </c>
    </row>
    <row r="10" spans="1:28" ht="64" x14ac:dyDescent="0.2">
      <c r="A10" s="30" t="s">
        <v>108</v>
      </c>
      <c r="B10" s="31">
        <f ca="1">TODAY()-26</f>
        <v>46206</v>
      </c>
      <c r="C10" s="32">
        <v>14</v>
      </c>
      <c r="D10" s="33">
        <f ca="1">IF($B10="","",$B10+IF($C10="",IF('Start Here'!$C$15="",14,'Start Here'!$C$15),$C10))</f>
        <v>46220</v>
      </c>
      <c r="E10" s="30" t="s">
        <v>109</v>
      </c>
      <c r="F10" s="30" t="s">
        <v>110</v>
      </c>
      <c r="G10" s="30" t="s">
        <v>111</v>
      </c>
      <c r="H10" s="30" t="s">
        <v>112</v>
      </c>
      <c r="I10" s="34">
        <f>IF($A10="","",ROUND(SUMIF('Line Items'!$A$8:$A$507,$A10,'Line Items'!$H$8:$H$507),2))</f>
        <v>1240</v>
      </c>
      <c r="J10" s="35">
        <v>0</v>
      </c>
      <c r="K10" s="34">
        <f>IF($A10="","",ROUND($I10*IFERROR(IF($J10="",IF('Start Here'!$C$22="",0,'Start Here'!$C$22),$J10),0)/100,2))</f>
        <v>0</v>
      </c>
      <c r="L10" s="34">
        <f t="shared" si="0"/>
        <v>1240</v>
      </c>
      <c r="M10" s="36"/>
      <c r="N10" s="31"/>
      <c r="O10" s="34">
        <f t="shared" si="1"/>
        <v>1240</v>
      </c>
      <c r="P10" s="30" t="s">
        <v>113</v>
      </c>
      <c r="Q10" s="37" t="str">
        <f t="shared" ca="1" si="2"/>
        <v>Overdue</v>
      </c>
      <c r="R10" s="38">
        <f t="shared" ca="1" si="3"/>
        <v>12</v>
      </c>
      <c r="S10" s="37" t="str">
        <f ca="1">IF($A10="","",IF(OR($Q10="Paid",$Q10="Cancelled",$Q10="Draft"),"—",IF($Q10="No lines yet","Add line items",IF($Q10="No date","Add invoice date",IF($D10-TODAY()&gt;7,"—",IF($D10-TODAY()&gt;=1,"Due soon",IF($D10=TODAY(),"Due today",IF(TODAY()-$D10&lt;IF('Start Here'!$C$16="",7,'Start Here'!$C$16),"Just overdue",IF(TODAY()-$D10&lt;IF('Start Here'!$C$17="",21,'Start Here'!$C$17),"First reminder",IF(TODAY()-$D10&lt;IF('Start Here'!$C$18="",45,'Start Here'!$C$18),"Second reminder","Last friendly reminder"))))))))))</f>
        <v>First reminder</v>
      </c>
      <c r="T10" s="31">
        <f ca="1">TODAY()-5</f>
        <v>46227</v>
      </c>
      <c r="U10" s="30" t="s">
        <v>114</v>
      </c>
      <c r="V10" s="37" t="str">
        <f t="shared" ca="1" si="4"/>
        <v/>
      </c>
      <c r="W10" s="39"/>
      <c r="X10" s="37">
        <f>IF($A10="","",IFERROR(VALUE(IF('Start Here'!$C$13="",$A10,SUBSTITUTE($A10,'Start Here'!$C$13,""))),""))</f>
        <v>3</v>
      </c>
      <c r="Y10" s="37" t="str">
        <f t="shared" si="5"/>
        <v>Marisol Ferrer</v>
      </c>
      <c r="Z10" s="37">
        <f t="shared" ca="1" si="6"/>
        <v>12.0001</v>
      </c>
      <c r="AA10" s="37" t="str">
        <f t="shared" ca="1" si="7"/>
        <v/>
      </c>
      <c r="AB10" s="37" t="str">
        <f t="shared" ca="1" si="8"/>
        <v>1-14</v>
      </c>
    </row>
    <row r="11" spans="1:28" ht="32" x14ac:dyDescent="0.2">
      <c r="A11" s="30" t="s">
        <v>115</v>
      </c>
      <c r="B11" s="31">
        <f ca="1">TODAY()-52</f>
        <v>46180</v>
      </c>
      <c r="C11" s="32">
        <v>30</v>
      </c>
      <c r="D11" s="33">
        <f ca="1">IF($B11="","",$B11+IF($C11="",IF('Start Here'!$C$15="",14,'Start Here'!$C$15),$C11))</f>
        <v>46210</v>
      </c>
      <c r="E11" s="30" t="s">
        <v>97</v>
      </c>
      <c r="F11" s="30" t="s">
        <v>98</v>
      </c>
      <c r="G11" s="30"/>
      <c r="H11" s="30" t="s">
        <v>116</v>
      </c>
      <c r="I11" s="34">
        <f>IF($A11="","",ROUND(SUMIF('Line Items'!$A$8:$A$507,$A11,'Line Items'!$H$8:$H$507),2))</f>
        <v>3209</v>
      </c>
      <c r="J11" s="35">
        <v>0</v>
      </c>
      <c r="K11" s="34">
        <f>IF($A11="","",ROUND($I11*IFERROR(IF($J11="",IF('Start Here'!$C$22="",0,'Start Here'!$C$22),$J11),0)/100,2))</f>
        <v>0</v>
      </c>
      <c r="L11" s="34">
        <f t="shared" si="0"/>
        <v>3209</v>
      </c>
      <c r="M11" s="36"/>
      <c r="N11" s="31"/>
      <c r="O11" s="34">
        <f t="shared" si="1"/>
        <v>3209</v>
      </c>
      <c r="P11" s="30" t="s">
        <v>113</v>
      </c>
      <c r="Q11" s="37" t="str">
        <f t="shared" ca="1" si="2"/>
        <v>Overdue</v>
      </c>
      <c r="R11" s="38">
        <f t="shared" ca="1" si="3"/>
        <v>22</v>
      </c>
      <c r="S11" s="37" t="str">
        <f ca="1">IF($A11="","",IF(OR($Q11="Paid",$Q11="Cancelled",$Q11="Draft"),"—",IF($Q11="No lines yet","Add line items",IF($Q11="No date","Add invoice date",IF($D11-TODAY()&gt;7,"—",IF($D11-TODAY()&gt;=1,"Due soon",IF($D11=TODAY(),"Due today",IF(TODAY()-$D11&lt;IF('Start Here'!$C$16="",7,'Start Here'!$C$16),"Just overdue",IF(TODAY()-$D11&lt;IF('Start Here'!$C$17="",21,'Start Here'!$C$17),"First reminder",IF(TODAY()-$D11&lt;IF('Start Here'!$C$18="",45,'Start Here'!$C$18),"Second reminder","Last friendly reminder"))))))))))</f>
        <v>Second reminder</v>
      </c>
      <c r="T11" s="31">
        <f ca="1">TODAY()-8</f>
        <v>46224</v>
      </c>
      <c r="U11" s="30" t="s">
        <v>117</v>
      </c>
      <c r="V11" s="37" t="str">
        <f t="shared" ca="1" si="4"/>
        <v/>
      </c>
      <c r="W11" s="40"/>
      <c r="X11" s="37">
        <f>IF($A11="","",IFERROR(VALUE(IF('Start Here'!$C$13="",$A11,SUBSTITUTE($A11,'Start Here'!$C$13,""))),""))</f>
        <v>4</v>
      </c>
      <c r="Y11" s="37" t="str">
        <f t="shared" si="5"/>
        <v/>
      </c>
      <c r="Z11" s="37">
        <f t="shared" ca="1" si="6"/>
        <v>22.000109999999999</v>
      </c>
      <c r="AA11" s="37" t="str">
        <f t="shared" ca="1" si="7"/>
        <v/>
      </c>
      <c r="AB11" s="37" t="str">
        <f t="shared" ca="1" si="8"/>
        <v>15-30</v>
      </c>
    </row>
    <row r="12" spans="1:28" ht="64" x14ac:dyDescent="0.2">
      <c r="A12" s="30" t="s">
        <v>118</v>
      </c>
      <c r="B12" s="31">
        <f ca="1">TODAY()-82</f>
        <v>46150</v>
      </c>
      <c r="C12" s="32">
        <v>14</v>
      </c>
      <c r="D12" s="33">
        <f ca="1">IF($B12="","",$B12+IF($C12="",IF('Start Here'!$C$15="",14,'Start Here'!$C$15),$C12))</f>
        <v>46164</v>
      </c>
      <c r="E12" s="30" t="s">
        <v>119</v>
      </c>
      <c r="F12" s="30" t="s">
        <v>120</v>
      </c>
      <c r="G12" s="30" t="s">
        <v>121</v>
      </c>
      <c r="H12" s="30" t="s">
        <v>122</v>
      </c>
      <c r="I12" s="34">
        <f>IF($A12="","",ROUND(SUMIF('Line Items'!$A$8:$A$507,$A12,'Line Items'!$H$8:$H$507),2))</f>
        <v>1320</v>
      </c>
      <c r="J12" s="35">
        <v>10</v>
      </c>
      <c r="K12" s="34">
        <f>IF($A12="","",ROUND($I12*IFERROR(IF($J12="",IF('Start Here'!$C$22="",0,'Start Here'!$C$22),$J12),0)/100,2))</f>
        <v>132</v>
      </c>
      <c r="L12" s="34">
        <f t="shared" si="0"/>
        <v>1452</v>
      </c>
      <c r="M12" s="36"/>
      <c r="N12" s="31"/>
      <c r="O12" s="34">
        <f t="shared" si="1"/>
        <v>1452</v>
      </c>
      <c r="P12" s="30" t="s">
        <v>113</v>
      </c>
      <c r="Q12" s="37" t="str">
        <f t="shared" ca="1" si="2"/>
        <v>Overdue</v>
      </c>
      <c r="R12" s="38">
        <f t="shared" ca="1" si="3"/>
        <v>68</v>
      </c>
      <c r="S12" s="37" t="str">
        <f ca="1">IF($A12="","",IF(OR($Q12="Paid",$Q12="Cancelled",$Q12="Draft"),"—",IF($Q12="No lines yet","Add line items",IF($Q12="No date","Add invoice date",IF($D12-TODAY()&gt;7,"—",IF($D12-TODAY()&gt;=1,"Due soon",IF($D12=TODAY(),"Due today",IF(TODAY()-$D12&lt;IF('Start Here'!$C$16="",7,'Start Here'!$C$16),"Just overdue",IF(TODAY()-$D12&lt;IF('Start Here'!$C$17="",21,'Start Here'!$C$17),"First reminder",IF(TODAY()-$D12&lt;IF('Start Here'!$C$18="",45,'Start Here'!$C$18),"Second reminder","Last friendly reminder"))))))))))</f>
        <v>Last friendly reminder</v>
      </c>
      <c r="T12" s="31">
        <f ca="1">TODAY()-20</f>
        <v>46212</v>
      </c>
      <c r="U12" s="30" t="s">
        <v>123</v>
      </c>
      <c r="V12" s="37" t="str">
        <f t="shared" ca="1" si="4"/>
        <v/>
      </c>
      <c r="W12" s="39"/>
      <c r="X12" s="37">
        <f>IF($A12="","",IFERROR(VALUE(IF('Start Here'!$C$13="",$A12,SUBSTITUTE($A12,'Start Here'!$C$13,""))),""))</f>
        <v>5</v>
      </c>
      <c r="Y12" s="37" t="str">
        <f t="shared" si="5"/>
        <v>Bramble Coffee Co.</v>
      </c>
      <c r="Z12" s="37">
        <f t="shared" ca="1" si="6"/>
        <v>68.000119999999995</v>
      </c>
      <c r="AA12" s="37" t="str">
        <f t="shared" ca="1" si="7"/>
        <v/>
      </c>
      <c r="AB12" s="37" t="str">
        <f t="shared" ca="1" si="8"/>
        <v>61+</v>
      </c>
    </row>
    <row r="13" spans="1:28" ht="64" x14ac:dyDescent="0.2">
      <c r="A13" s="30" t="s">
        <v>124</v>
      </c>
      <c r="B13" s="31">
        <f ca="1">TODAY()-3</f>
        <v>46229</v>
      </c>
      <c r="C13" s="32">
        <v>14</v>
      </c>
      <c r="D13" s="33">
        <f ca="1">IF($B13="","",$B13+IF($C13="",IF('Start Here'!$C$15="",14,'Start Here'!$C$15),$C13))</f>
        <v>46243</v>
      </c>
      <c r="E13" s="30" t="s">
        <v>125</v>
      </c>
      <c r="F13" s="30" t="s">
        <v>126</v>
      </c>
      <c r="G13" s="30" t="s">
        <v>127</v>
      </c>
      <c r="H13" s="30" t="s">
        <v>128</v>
      </c>
      <c r="I13" s="34">
        <f>IF($A13="","",ROUND(SUMIF('Line Items'!$A$8:$A$507,$A13,'Line Items'!$H$8:$H$507),2))</f>
        <v>1800</v>
      </c>
      <c r="J13" s="35">
        <v>0</v>
      </c>
      <c r="K13" s="34">
        <f>IF($A13="","",ROUND($I13*IFERROR(IF($J13="",IF('Start Here'!$C$22="",0,'Start Here'!$C$22),$J13),0)/100,2))</f>
        <v>0</v>
      </c>
      <c r="L13" s="34">
        <f t="shared" si="0"/>
        <v>1800</v>
      </c>
      <c r="M13" s="36">
        <v>900</v>
      </c>
      <c r="N13" s="31">
        <f ca="1">TODAY()-2</f>
        <v>46230</v>
      </c>
      <c r="O13" s="34">
        <f t="shared" si="1"/>
        <v>900</v>
      </c>
      <c r="P13" s="30"/>
      <c r="Q13" s="37" t="str">
        <f t="shared" ca="1" si="2"/>
        <v>Part-paid</v>
      </c>
      <c r="R13" s="38" t="str">
        <f t="shared" ca="1" si="3"/>
        <v>—</v>
      </c>
      <c r="S13" s="37" t="str">
        <f ca="1">IF($A13="","",IF(OR($Q13="Paid",$Q13="Cancelled",$Q13="Draft"),"—",IF($Q13="No lines yet","Add line items",IF($Q13="No date","Add invoice date",IF($D13-TODAY()&gt;7,"—",IF($D13-TODAY()&gt;=1,"Due soon",IF($D13=TODAY(),"Due today",IF(TODAY()-$D13&lt;IF('Start Here'!$C$16="",7,'Start Here'!$C$16),"Just overdue",IF(TODAY()-$D13&lt;IF('Start Here'!$C$17="",21,'Start Here'!$C$17),"First reminder",IF(TODAY()-$D13&lt;IF('Start Here'!$C$18="",45,'Start Here'!$C$18),"Second reminder","Last friendly reminder"))))))))))</f>
        <v>—</v>
      </c>
      <c r="T13" s="31"/>
      <c r="U13" s="30" t="s">
        <v>129</v>
      </c>
      <c r="V13" s="37" t="str">
        <f t="shared" ca="1" si="4"/>
        <v/>
      </c>
      <c r="W13" s="40"/>
      <c r="X13" s="37">
        <f>IF($A13="","",IFERROR(VALUE(IF('Start Here'!$C$13="",$A13,SUBSTITUTE($A13,'Start Here'!$C$13,""))),""))</f>
        <v>6</v>
      </c>
      <c r="Y13" s="37" t="str">
        <f t="shared" si="5"/>
        <v>Larkfield Books</v>
      </c>
      <c r="Z13" s="37" t="str">
        <f t="shared" ca="1" si="6"/>
        <v/>
      </c>
      <c r="AA13" s="37" t="str">
        <f t="shared" ca="1" si="7"/>
        <v/>
      </c>
      <c r="AB13" s="37" t="str">
        <f t="shared" ca="1" si="8"/>
        <v>Not due</v>
      </c>
    </row>
    <row r="14" spans="1:28" ht="16" x14ac:dyDescent="0.2">
      <c r="A14" s="30" t="s">
        <v>130</v>
      </c>
      <c r="B14" s="31">
        <f ca="1">TODAY()</f>
        <v>46232</v>
      </c>
      <c r="C14" s="32">
        <v>14</v>
      </c>
      <c r="D14" s="33">
        <f ca="1">IF($B14="","",$B14+IF($C14="",IF('Start Here'!$C$15="",14,'Start Here'!$C$15),$C14))</f>
        <v>46246</v>
      </c>
      <c r="E14" s="30" t="s">
        <v>109</v>
      </c>
      <c r="F14" s="30" t="s">
        <v>110</v>
      </c>
      <c r="G14" s="30"/>
      <c r="H14" s="30" t="s">
        <v>131</v>
      </c>
      <c r="I14" s="34">
        <f>IF($A14="","",ROUND(SUMIF('Line Items'!$A$8:$A$507,$A14,'Line Items'!$H$8:$H$507),2))</f>
        <v>1020</v>
      </c>
      <c r="J14" s="35">
        <v>0</v>
      </c>
      <c r="K14" s="34">
        <f>IF($A14="","",ROUND($I14*IFERROR(IF($J14="",IF('Start Here'!$C$22="",0,'Start Here'!$C$22),$J14),0)/100,2))</f>
        <v>0</v>
      </c>
      <c r="L14" s="34">
        <f t="shared" si="0"/>
        <v>1020</v>
      </c>
      <c r="M14" s="36"/>
      <c r="N14" s="31"/>
      <c r="O14" s="34">
        <f t="shared" si="1"/>
        <v>1020</v>
      </c>
      <c r="P14" s="30"/>
      <c r="Q14" s="37" t="str">
        <f t="shared" ca="1" si="2"/>
        <v>Open</v>
      </c>
      <c r="R14" s="38" t="str">
        <f t="shared" ca="1" si="3"/>
        <v>—</v>
      </c>
      <c r="S14" s="37" t="str">
        <f ca="1">IF($A14="","",IF(OR($Q14="Paid",$Q14="Cancelled",$Q14="Draft"),"—",IF($Q14="No lines yet","Add line items",IF($Q14="No date","Add invoice date",IF($D14-TODAY()&gt;7,"—",IF($D14-TODAY()&gt;=1,"Due soon",IF($D14=TODAY(),"Due today",IF(TODAY()-$D14&lt;IF('Start Here'!$C$16="",7,'Start Here'!$C$16),"Just overdue",IF(TODAY()-$D14&lt;IF('Start Here'!$C$17="",21,'Start Here'!$C$17),"First reminder",IF(TODAY()-$D14&lt;IF('Start Here'!$C$18="",45,'Start Here'!$C$18),"Second reminder","Last friendly reminder"))))))))))</f>
        <v>—</v>
      </c>
      <c r="T14" s="31"/>
      <c r="U14" s="30" t="s">
        <v>132</v>
      </c>
      <c r="V14" s="37" t="str">
        <f t="shared" ca="1" si="4"/>
        <v/>
      </c>
      <c r="W14" s="39"/>
      <c r="X14" s="37">
        <f>IF($A14="","",IFERROR(VALUE(IF('Start Here'!$C$13="",$A14,SUBSTITUTE($A14,'Start Here'!$C$13,""))),""))</f>
        <v>7</v>
      </c>
      <c r="Y14" s="37" t="str">
        <f t="shared" si="5"/>
        <v/>
      </c>
      <c r="Z14" s="37" t="str">
        <f t="shared" ca="1" si="6"/>
        <v/>
      </c>
      <c r="AA14" s="37" t="str">
        <f t="shared" ca="1" si="7"/>
        <v/>
      </c>
      <c r="AB14" s="37" t="str">
        <f t="shared" ca="1" si="8"/>
        <v>Not due</v>
      </c>
    </row>
    <row r="15" spans="1:28" ht="64" x14ac:dyDescent="0.2">
      <c r="A15" s="30" t="s">
        <v>133</v>
      </c>
      <c r="B15" s="31">
        <f ca="1">TODAY()-1</f>
        <v>46231</v>
      </c>
      <c r="C15" s="32">
        <v>14</v>
      </c>
      <c r="D15" s="33">
        <f ca="1">IF($B15="","",$B15+IF($C15="",IF('Start Here'!$C$15="",14,'Start Here'!$C$15),$C15))</f>
        <v>46245</v>
      </c>
      <c r="E15" s="30" t="s">
        <v>134</v>
      </c>
      <c r="F15" s="30" t="s">
        <v>135</v>
      </c>
      <c r="G15" s="30" t="s">
        <v>136</v>
      </c>
      <c r="H15" s="30" t="s">
        <v>137</v>
      </c>
      <c r="I15" s="34">
        <f>IF($A15="","",ROUND(SUMIF('Line Items'!$A$8:$A$507,$A15,'Line Items'!$H$8:$H$507),2))</f>
        <v>535</v>
      </c>
      <c r="J15" s="35">
        <v>0</v>
      </c>
      <c r="K15" s="34">
        <f>IF($A15="","",ROUND($I15*IFERROR(IF($J15="",IF('Start Here'!$C$22="",0,'Start Here'!$C$22),$J15),0)/100,2))</f>
        <v>0</v>
      </c>
      <c r="L15" s="34">
        <f t="shared" si="0"/>
        <v>535</v>
      </c>
      <c r="M15" s="36"/>
      <c r="N15" s="31"/>
      <c r="O15" s="34">
        <f t="shared" si="1"/>
        <v>535</v>
      </c>
      <c r="P15" s="30" t="s">
        <v>138</v>
      </c>
      <c r="Q15" s="37" t="str">
        <f t="shared" ca="1" si="2"/>
        <v>Draft</v>
      </c>
      <c r="R15" s="38" t="str">
        <f t="shared" ca="1" si="3"/>
        <v>—</v>
      </c>
      <c r="S15" s="37" t="str">
        <f ca="1">IF($A15="","",IF(OR($Q15="Paid",$Q15="Cancelled",$Q15="Draft"),"—",IF($Q15="No lines yet","Add line items",IF($Q15="No date","Add invoice date",IF($D15-TODAY()&gt;7,"—",IF($D15-TODAY()&gt;=1,"Due soon",IF($D15=TODAY(),"Due today",IF(TODAY()-$D15&lt;IF('Start Here'!$C$16="",7,'Start Here'!$C$16),"Just overdue",IF(TODAY()-$D15&lt;IF('Start Here'!$C$17="",21,'Start Here'!$C$17),"First reminder",IF(TODAY()-$D15&lt;IF('Start Here'!$C$18="",45,'Start Here'!$C$18),"Second reminder","Last friendly reminder"))))))))))</f>
        <v>—</v>
      </c>
      <c r="T15" s="31"/>
      <c r="U15" s="30" t="s">
        <v>139</v>
      </c>
      <c r="V15" s="37" t="str">
        <f t="shared" ca="1" si="4"/>
        <v/>
      </c>
      <c r="W15" s="40"/>
      <c r="X15" s="37">
        <f>IF($A15="","",IFERROR(VALUE(IF('Start Here'!$C$13="",$A15,SUBSTITUTE($A15,'Start Here'!$C$13,""))),""))</f>
        <v>8</v>
      </c>
      <c r="Y15" s="37" t="str">
        <f t="shared" si="5"/>
        <v>Kestrel Fitness</v>
      </c>
      <c r="Z15" s="37" t="str">
        <f t="shared" ca="1" si="6"/>
        <v/>
      </c>
      <c r="AA15" s="37" t="str">
        <f t="shared" ca="1" si="7"/>
        <v/>
      </c>
      <c r="AB15" s="37" t="str">
        <f t="shared" ca="1" si="8"/>
        <v/>
      </c>
    </row>
    <row r="16" spans="1:28" ht="16" x14ac:dyDescent="0.2">
      <c r="A16" s="30"/>
      <c r="B16" s="31"/>
      <c r="C16" s="32"/>
      <c r="D16" s="33" t="str">
        <f>IF($B16="","",$B16+IF($C16="",IF('Start Here'!$C$15="",14,'Start Here'!$C$15),$C16))</f>
        <v/>
      </c>
      <c r="E16" s="30"/>
      <c r="F16" s="30"/>
      <c r="G16" s="30"/>
      <c r="H16" s="30"/>
      <c r="I16" s="34" t="str">
        <f>IF($A16="","",ROUND(SUMIF('Line Items'!$A$8:$A$507,$A16,'Line Items'!$H$8:$H$507),2))</f>
        <v/>
      </c>
      <c r="J16" s="35"/>
      <c r="K16" s="34" t="str">
        <f>IF($A16="","",ROUND($I16*IFERROR(IF($J16="",IF('Start Here'!$C$22="",0,'Start Here'!$C$22),$J16),0)/100,2))</f>
        <v/>
      </c>
      <c r="L16" s="34" t="str">
        <f t="shared" si="0"/>
        <v/>
      </c>
      <c r="M16" s="36"/>
      <c r="N16" s="31"/>
      <c r="O16" s="34" t="str">
        <f t="shared" si="1"/>
        <v/>
      </c>
      <c r="P16" s="30"/>
      <c r="Q16" s="37" t="str">
        <f t="shared" ca="1" si="2"/>
        <v/>
      </c>
      <c r="R16" s="38" t="str">
        <f t="shared" ca="1" si="3"/>
        <v/>
      </c>
      <c r="S16" s="37" t="str">
        <f ca="1">IF($A16="","",IF(OR($Q16="Paid",$Q16="Cancelled",$Q16="Draft"),"—",IF($Q16="No lines yet","Add line items",IF($Q16="No date","Add invoice date",IF($D16-TODAY()&gt;7,"—",IF($D16-TODAY()&gt;=1,"Due soon",IF($D16=TODAY(),"Due today",IF(TODAY()-$D16&lt;IF('Start Here'!$C$16="",7,'Start Here'!$C$16),"Just overdue",IF(TODAY()-$D16&lt;IF('Start Here'!$C$17="",21,'Start Here'!$C$17),"First reminder",IF(TODAY()-$D16&lt;IF('Start Here'!$C$18="",45,'Start Here'!$C$18),"Second reminder","Last friendly reminder"))))))))))</f>
        <v/>
      </c>
      <c r="T16" s="31"/>
      <c r="U16" s="30"/>
      <c r="V16" s="37" t="str">
        <f t="shared" si="4"/>
        <v/>
      </c>
      <c r="W16" s="39"/>
      <c r="X16" s="37" t="str">
        <f>IF($A16="","",IFERROR(VALUE(IF('Start Here'!$C$13="",$A16,SUBSTITUTE($A16,'Start Here'!$C$13,""))),""))</f>
        <v/>
      </c>
      <c r="Y16" s="37" t="str">
        <f t="shared" si="5"/>
        <v/>
      </c>
      <c r="Z16" s="37" t="str">
        <f t="shared" ca="1" si="6"/>
        <v/>
      </c>
      <c r="AA16" s="37" t="str">
        <f t="shared" si="7"/>
        <v/>
      </c>
      <c r="AB16" s="37" t="str">
        <f t="shared" ca="1" si="8"/>
        <v/>
      </c>
    </row>
    <row r="17" spans="1:28" ht="16" x14ac:dyDescent="0.2">
      <c r="A17" s="30"/>
      <c r="B17" s="31"/>
      <c r="C17" s="32"/>
      <c r="D17" s="33" t="str">
        <f>IF($B17="","",$B17+IF($C17="",IF('Start Here'!$C$15="",14,'Start Here'!$C$15),$C17))</f>
        <v/>
      </c>
      <c r="E17" s="30"/>
      <c r="F17" s="30"/>
      <c r="G17" s="30"/>
      <c r="H17" s="30"/>
      <c r="I17" s="34" t="str">
        <f>IF($A17="","",ROUND(SUMIF('Line Items'!$A$8:$A$507,$A17,'Line Items'!$H$8:$H$507),2))</f>
        <v/>
      </c>
      <c r="J17" s="35"/>
      <c r="K17" s="34" t="str">
        <f>IF($A17="","",ROUND($I17*IFERROR(IF($J17="",IF('Start Here'!$C$22="",0,'Start Here'!$C$22),$J17),0)/100,2))</f>
        <v/>
      </c>
      <c r="L17" s="34" t="str">
        <f t="shared" si="0"/>
        <v/>
      </c>
      <c r="M17" s="36"/>
      <c r="N17" s="31"/>
      <c r="O17" s="34" t="str">
        <f t="shared" si="1"/>
        <v/>
      </c>
      <c r="P17" s="30"/>
      <c r="Q17" s="37" t="str">
        <f t="shared" ca="1" si="2"/>
        <v/>
      </c>
      <c r="R17" s="38" t="str">
        <f t="shared" ca="1" si="3"/>
        <v/>
      </c>
      <c r="S17" s="37" t="str">
        <f ca="1">IF($A17="","",IF(OR($Q17="Paid",$Q17="Cancelled",$Q17="Draft"),"—",IF($Q17="No lines yet","Add line items",IF($Q17="No date","Add invoice date",IF($D17-TODAY()&gt;7,"—",IF($D17-TODAY()&gt;=1,"Due soon",IF($D17=TODAY(),"Due today",IF(TODAY()-$D17&lt;IF('Start Here'!$C$16="",7,'Start Here'!$C$16),"Just overdue",IF(TODAY()-$D17&lt;IF('Start Here'!$C$17="",21,'Start Here'!$C$17),"First reminder",IF(TODAY()-$D17&lt;IF('Start Here'!$C$18="",45,'Start Here'!$C$18),"Second reminder","Last friendly reminder"))))))))))</f>
        <v/>
      </c>
      <c r="T17" s="31"/>
      <c r="U17" s="30"/>
      <c r="V17" s="37" t="str">
        <f t="shared" si="4"/>
        <v/>
      </c>
      <c r="W17" s="40"/>
      <c r="X17" s="37" t="str">
        <f>IF($A17="","",IFERROR(VALUE(IF('Start Here'!$C$13="",$A17,SUBSTITUTE($A17,'Start Here'!$C$13,""))),""))</f>
        <v/>
      </c>
      <c r="Y17" s="37" t="str">
        <f t="shared" si="5"/>
        <v/>
      </c>
      <c r="Z17" s="37" t="str">
        <f t="shared" ca="1" si="6"/>
        <v/>
      </c>
      <c r="AA17" s="37" t="str">
        <f t="shared" si="7"/>
        <v/>
      </c>
      <c r="AB17" s="37" t="str">
        <f t="shared" ca="1" si="8"/>
        <v/>
      </c>
    </row>
    <row r="18" spans="1:28" ht="16" x14ac:dyDescent="0.2">
      <c r="A18" s="30"/>
      <c r="B18" s="31"/>
      <c r="C18" s="32"/>
      <c r="D18" s="33" t="str">
        <f>IF($B18="","",$B18+IF($C18="",IF('Start Here'!$C$15="",14,'Start Here'!$C$15),$C18))</f>
        <v/>
      </c>
      <c r="E18" s="30"/>
      <c r="F18" s="30"/>
      <c r="G18" s="30"/>
      <c r="H18" s="30"/>
      <c r="I18" s="34" t="str">
        <f>IF($A18="","",ROUND(SUMIF('Line Items'!$A$8:$A$507,$A18,'Line Items'!$H$8:$H$507),2))</f>
        <v/>
      </c>
      <c r="J18" s="35"/>
      <c r="K18" s="34" t="str">
        <f>IF($A18="","",ROUND($I18*IFERROR(IF($J18="",IF('Start Here'!$C$22="",0,'Start Here'!$C$22),$J18),0)/100,2))</f>
        <v/>
      </c>
      <c r="L18" s="34" t="str">
        <f t="shared" si="0"/>
        <v/>
      </c>
      <c r="M18" s="36"/>
      <c r="N18" s="31"/>
      <c r="O18" s="34" t="str">
        <f t="shared" si="1"/>
        <v/>
      </c>
      <c r="P18" s="30"/>
      <c r="Q18" s="37" t="str">
        <f t="shared" ca="1" si="2"/>
        <v/>
      </c>
      <c r="R18" s="38" t="str">
        <f t="shared" ca="1" si="3"/>
        <v/>
      </c>
      <c r="S18" s="37" t="str">
        <f ca="1">IF($A18="","",IF(OR($Q18="Paid",$Q18="Cancelled",$Q18="Draft"),"—",IF($Q18="No lines yet","Add line items",IF($Q18="No date","Add invoice date",IF($D18-TODAY()&gt;7,"—",IF($D18-TODAY()&gt;=1,"Due soon",IF($D18=TODAY(),"Due today",IF(TODAY()-$D18&lt;IF('Start Here'!$C$16="",7,'Start Here'!$C$16),"Just overdue",IF(TODAY()-$D18&lt;IF('Start Here'!$C$17="",21,'Start Here'!$C$17),"First reminder",IF(TODAY()-$D18&lt;IF('Start Here'!$C$18="",45,'Start Here'!$C$18),"Second reminder","Last friendly reminder"))))))))))</f>
        <v/>
      </c>
      <c r="T18" s="31"/>
      <c r="U18" s="30"/>
      <c r="V18" s="37" t="str">
        <f t="shared" si="4"/>
        <v/>
      </c>
      <c r="W18" s="39"/>
      <c r="X18" s="37" t="str">
        <f>IF($A18="","",IFERROR(VALUE(IF('Start Here'!$C$13="",$A18,SUBSTITUTE($A18,'Start Here'!$C$13,""))),""))</f>
        <v/>
      </c>
      <c r="Y18" s="37" t="str">
        <f t="shared" si="5"/>
        <v/>
      </c>
      <c r="Z18" s="37" t="str">
        <f t="shared" ca="1" si="6"/>
        <v/>
      </c>
      <c r="AA18" s="37" t="str">
        <f t="shared" si="7"/>
        <v/>
      </c>
      <c r="AB18" s="37" t="str">
        <f t="shared" ca="1" si="8"/>
        <v/>
      </c>
    </row>
    <row r="19" spans="1:28" ht="16" x14ac:dyDescent="0.2">
      <c r="A19" s="30"/>
      <c r="B19" s="31"/>
      <c r="C19" s="32"/>
      <c r="D19" s="33" t="str">
        <f>IF($B19="","",$B19+IF($C19="",IF('Start Here'!$C$15="",14,'Start Here'!$C$15),$C19))</f>
        <v/>
      </c>
      <c r="E19" s="30"/>
      <c r="F19" s="30"/>
      <c r="G19" s="30"/>
      <c r="H19" s="30"/>
      <c r="I19" s="34" t="str">
        <f>IF($A19="","",ROUND(SUMIF('Line Items'!$A$8:$A$507,$A19,'Line Items'!$H$8:$H$507),2))</f>
        <v/>
      </c>
      <c r="J19" s="35"/>
      <c r="K19" s="34" t="str">
        <f>IF($A19="","",ROUND($I19*IFERROR(IF($J19="",IF('Start Here'!$C$22="",0,'Start Here'!$C$22),$J19),0)/100,2))</f>
        <v/>
      </c>
      <c r="L19" s="34" t="str">
        <f t="shared" si="0"/>
        <v/>
      </c>
      <c r="M19" s="36"/>
      <c r="N19" s="31"/>
      <c r="O19" s="34" t="str">
        <f t="shared" si="1"/>
        <v/>
      </c>
      <c r="P19" s="30"/>
      <c r="Q19" s="37" t="str">
        <f t="shared" ca="1" si="2"/>
        <v/>
      </c>
      <c r="R19" s="38" t="str">
        <f t="shared" ca="1" si="3"/>
        <v/>
      </c>
      <c r="S19" s="37" t="str">
        <f ca="1">IF($A19="","",IF(OR($Q19="Paid",$Q19="Cancelled",$Q19="Draft"),"—",IF($Q19="No lines yet","Add line items",IF($Q19="No date","Add invoice date",IF($D19-TODAY()&gt;7,"—",IF($D19-TODAY()&gt;=1,"Due soon",IF($D19=TODAY(),"Due today",IF(TODAY()-$D19&lt;IF('Start Here'!$C$16="",7,'Start Here'!$C$16),"Just overdue",IF(TODAY()-$D19&lt;IF('Start Here'!$C$17="",21,'Start Here'!$C$17),"First reminder",IF(TODAY()-$D19&lt;IF('Start Here'!$C$18="",45,'Start Here'!$C$18),"Second reminder","Last friendly reminder"))))))))))</f>
        <v/>
      </c>
      <c r="T19" s="31"/>
      <c r="U19" s="30"/>
      <c r="V19" s="37" t="str">
        <f t="shared" si="4"/>
        <v/>
      </c>
      <c r="W19" s="40"/>
      <c r="X19" s="37" t="str">
        <f>IF($A19="","",IFERROR(VALUE(IF('Start Here'!$C$13="",$A19,SUBSTITUTE($A19,'Start Here'!$C$13,""))),""))</f>
        <v/>
      </c>
      <c r="Y19" s="37" t="str">
        <f t="shared" si="5"/>
        <v/>
      </c>
      <c r="Z19" s="37" t="str">
        <f t="shared" ca="1" si="6"/>
        <v/>
      </c>
      <c r="AA19" s="37" t="str">
        <f t="shared" si="7"/>
        <v/>
      </c>
      <c r="AB19" s="37" t="str">
        <f t="shared" ca="1" si="8"/>
        <v/>
      </c>
    </row>
    <row r="20" spans="1:28" ht="16" x14ac:dyDescent="0.2">
      <c r="A20" s="30"/>
      <c r="B20" s="31"/>
      <c r="C20" s="32"/>
      <c r="D20" s="33" t="str">
        <f>IF($B20="","",$B20+IF($C20="",IF('Start Here'!$C$15="",14,'Start Here'!$C$15),$C20))</f>
        <v/>
      </c>
      <c r="E20" s="30"/>
      <c r="F20" s="30"/>
      <c r="G20" s="30"/>
      <c r="H20" s="30"/>
      <c r="I20" s="34" t="str">
        <f>IF($A20="","",ROUND(SUMIF('Line Items'!$A$8:$A$507,$A20,'Line Items'!$H$8:$H$507),2))</f>
        <v/>
      </c>
      <c r="J20" s="35"/>
      <c r="K20" s="34" t="str">
        <f>IF($A20="","",ROUND($I20*IFERROR(IF($J20="",IF('Start Here'!$C$22="",0,'Start Here'!$C$22),$J20),0)/100,2))</f>
        <v/>
      </c>
      <c r="L20" s="34" t="str">
        <f t="shared" si="0"/>
        <v/>
      </c>
      <c r="M20" s="36"/>
      <c r="N20" s="31"/>
      <c r="O20" s="34" t="str">
        <f t="shared" si="1"/>
        <v/>
      </c>
      <c r="P20" s="30"/>
      <c r="Q20" s="37" t="str">
        <f t="shared" ca="1" si="2"/>
        <v/>
      </c>
      <c r="R20" s="38" t="str">
        <f t="shared" ca="1" si="3"/>
        <v/>
      </c>
      <c r="S20" s="37" t="str">
        <f ca="1">IF($A20="","",IF(OR($Q20="Paid",$Q20="Cancelled",$Q20="Draft"),"—",IF($Q20="No lines yet","Add line items",IF($Q20="No date","Add invoice date",IF($D20-TODAY()&gt;7,"—",IF($D20-TODAY()&gt;=1,"Due soon",IF($D20=TODAY(),"Due today",IF(TODAY()-$D20&lt;IF('Start Here'!$C$16="",7,'Start Here'!$C$16),"Just overdue",IF(TODAY()-$D20&lt;IF('Start Here'!$C$17="",21,'Start Here'!$C$17),"First reminder",IF(TODAY()-$D20&lt;IF('Start Here'!$C$18="",45,'Start Here'!$C$18),"Second reminder","Last friendly reminder"))))))))))</f>
        <v/>
      </c>
      <c r="T20" s="31"/>
      <c r="U20" s="30"/>
      <c r="V20" s="37" t="str">
        <f t="shared" si="4"/>
        <v/>
      </c>
      <c r="W20" s="39"/>
      <c r="X20" s="37" t="str">
        <f>IF($A20="","",IFERROR(VALUE(IF('Start Here'!$C$13="",$A20,SUBSTITUTE($A20,'Start Here'!$C$13,""))),""))</f>
        <v/>
      </c>
      <c r="Y20" s="37" t="str">
        <f t="shared" si="5"/>
        <v/>
      </c>
      <c r="Z20" s="37" t="str">
        <f t="shared" ca="1" si="6"/>
        <v/>
      </c>
      <c r="AA20" s="37" t="str">
        <f t="shared" si="7"/>
        <v/>
      </c>
      <c r="AB20" s="37" t="str">
        <f t="shared" ca="1" si="8"/>
        <v/>
      </c>
    </row>
    <row r="21" spans="1:28" ht="16" x14ac:dyDescent="0.2">
      <c r="A21" s="30"/>
      <c r="B21" s="31"/>
      <c r="C21" s="32"/>
      <c r="D21" s="33" t="str">
        <f>IF($B21="","",$B21+IF($C21="",IF('Start Here'!$C$15="",14,'Start Here'!$C$15),$C21))</f>
        <v/>
      </c>
      <c r="E21" s="30"/>
      <c r="F21" s="30"/>
      <c r="G21" s="30"/>
      <c r="H21" s="30"/>
      <c r="I21" s="34" t="str">
        <f>IF($A21="","",ROUND(SUMIF('Line Items'!$A$8:$A$507,$A21,'Line Items'!$H$8:$H$507),2))</f>
        <v/>
      </c>
      <c r="J21" s="35"/>
      <c r="K21" s="34" t="str">
        <f>IF($A21="","",ROUND($I21*IFERROR(IF($J21="",IF('Start Here'!$C$22="",0,'Start Here'!$C$22),$J21),0)/100,2))</f>
        <v/>
      </c>
      <c r="L21" s="34" t="str">
        <f t="shared" si="0"/>
        <v/>
      </c>
      <c r="M21" s="36"/>
      <c r="N21" s="31"/>
      <c r="O21" s="34" t="str">
        <f t="shared" si="1"/>
        <v/>
      </c>
      <c r="P21" s="30"/>
      <c r="Q21" s="37" t="str">
        <f t="shared" ca="1" si="2"/>
        <v/>
      </c>
      <c r="R21" s="38" t="str">
        <f t="shared" ca="1" si="3"/>
        <v/>
      </c>
      <c r="S21" s="37" t="str">
        <f ca="1">IF($A21="","",IF(OR($Q21="Paid",$Q21="Cancelled",$Q21="Draft"),"—",IF($Q21="No lines yet","Add line items",IF($Q21="No date","Add invoice date",IF($D21-TODAY()&gt;7,"—",IF($D21-TODAY()&gt;=1,"Due soon",IF($D21=TODAY(),"Due today",IF(TODAY()-$D21&lt;IF('Start Here'!$C$16="",7,'Start Here'!$C$16),"Just overdue",IF(TODAY()-$D21&lt;IF('Start Here'!$C$17="",21,'Start Here'!$C$17),"First reminder",IF(TODAY()-$D21&lt;IF('Start Here'!$C$18="",45,'Start Here'!$C$18),"Second reminder","Last friendly reminder"))))))))))</f>
        <v/>
      </c>
      <c r="T21" s="31"/>
      <c r="U21" s="30"/>
      <c r="V21" s="37" t="str">
        <f t="shared" si="4"/>
        <v/>
      </c>
      <c r="W21" s="40"/>
      <c r="X21" s="37" t="str">
        <f>IF($A21="","",IFERROR(VALUE(IF('Start Here'!$C$13="",$A21,SUBSTITUTE($A21,'Start Here'!$C$13,""))),""))</f>
        <v/>
      </c>
      <c r="Y21" s="37" t="str">
        <f t="shared" si="5"/>
        <v/>
      </c>
      <c r="Z21" s="37" t="str">
        <f t="shared" ca="1" si="6"/>
        <v/>
      </c>
      <c r="AA21" s="37" t="str">
        <f t="shared" si="7"/>
        <v/>
      </c>
      <c r="AB21" s="37" t="str">
        <f t="shared" ca="1" si="8"/>
        <v/>
      </c>
    </row>
    <row r="22" spans="1:28" ht="16" x14ac:dyDescent="0.2">
      <c r="A22" s="30"/>
      <c r="B22" s="31"/>
      <c r="C22" s="32"/>
      <c r="D22" s="33" t="str">
        <f>IF($B22="","",$B22+IF($C22="",IF('Start Here'!$C$15="",14,'Start Here'!$C$15),$C22))</f>
        <v/>
      </c>
      <c r="E22" s="30"/>
      <c r="F22" s="30"/>
      <c r="G22" s="30"/>
      <c r="H22" s="30"/>
      <c r="I22" s="34" t="str">
        <f>IF($A22="","",ROUND(SUMIF('Line Items'!$A$8:$A$507,$A22,'Line Items'!$H$8:$H$507),2))</f>
        <v/>
      </c>
      <c r="J22" s="35"/>
      <c r="K22" s="34" t="str">
        <f>IF($A22="","",ROUND($I22*IFERROR(IF($J22="",IF('Start Here'!$C$22="",0,'Start Here'!$C$22),$J22),0)/100,2))</f>
        <v/>
      </c>
      <c r="L22" s="34" t="str">
        <f t="shared" si="0"/>
        <v/>
      </c>
      <c r="M22" s="36"/>
      <c r="N22" s="31"/>
      <c r="O22" s="34" t="str">
        <f t="shared" si="1"/>
        <v/>
      </c>
      <c r="P22" s="30"/>
      <c r="Q22" s="37" t="str">
        <f t="shared" ca="1" si="2"/>
        <v/>
      </c>
      <c r="R22" s="38" t="str">
        <f t="shared" ca="1" si="3"/>
        <v/>
      </c>
      <c r="S22" s="37" t="str">
        <f ca="1">IF($A22="","",IF(OR($Q22="Paid",$Q22="Cancelled",$Q22="Draft"),"—",IF($Q22="No lines yet","Add line items",IF($Q22="No date","Add invoice date",IF($D22-TODAY()&gt;7,"—",IF($D22-TODAY()&gt;=1,"Due soon",IF($D22=TODAY(),"Due today",IF(TODAY()-$D22&lt;IF('Start Here'!$C$16="",7,'Start Here'!$C$16),"Just overdue",IF(TODAY()-$D22&lt;IF('Start Here'!$C$17="",21,'Start Here'!$C$17),"First reminder",IF(TODAY()-$D22&lt;IF('Start Here'!$C$18="",45,'Start Here'!$C$18),"Second reminder","Last friendly reminder"))))))))))</f>
        <v/>
      </c>
      <c r="T22" s="31"/>
      <c r="U22" s="30"/>
      <c r="V22" s="37" t="str">
        <f t="shared" si="4"/>
        <v/>
      </c>
      <c r="W22" s="39"/>
      <c r="X22" s="37" t="str">
        <f>IF($A22="","",IFERROR(VALUE(IF('Start Here'!$C$13="",$A22,SUBSTITUTE($A22,'Start Here'!$C$13,""))),""))</f>
        <v/>
      </c>
      <c r="Y22" s="37" t="str">
        <f t="shared" si="5"/>
        <v/>
      </c>
      <c r="Z22" s="37" t="str">
        <f t="shared" ca="1" si="6"/>
        <v/>
      </c>
      <c r="AA22" s="37" t="str">
        <f t="shared" si="7"/>
        <v/>
      </c>
      <c r="AB22" s="37" t="str">
        <f t="shared" ca="1" si="8"/>
        <v/>
      </c>
    </row>
    <row r="23" spans="1:28" ht="16" x14ac:dyDescent="0.2">
      <c r="A23" s="30"/>
      <c r="B23" s="31"/>
      <c r="C23" s="32"/>
      <c r="D23" s="33" t="str">
        <f>IF($B23="","",$B23+IF($C23="",IF('Start Here'!$C$15="",14,'Start Here'!$C$15),$C23))</f>
        <v/>
      </c>
      <c r="E23" s="30"/>
      <c r="F23" s="30"/>
      <c r="G23" s="30"/>
      <c r="H23" s="30"/>
      <c r="I23" s="34" t="str">
        <f>IF($A23="","",ROUND(SUMIF('Line Items'!$A$8:$A$507,$A23,'Line Items'!$H$8:$H$507),2))</f>
        <v/>
      </c>
      <c r="J23" s="35"/>
      <c r="K23" s="34" t="str">
        <f>IF($A23="","",ROUND($I23*IFERROR(IF($J23="",IF('Start Here'!$C$22="",0,'Start Here'!$C$22),$J23),0)/100,2))</f>
        <v/>
      </c>
      <c r="L23" s="34" t="str">
        <f t="shared" si="0"/>
        <v/>
      </c>
      <c r="M23" s="36"/>
      <c r="N23" s="31"/>
      <c r="O23" s="34" t="str">
        <f t="shared" si="1"/>
        <v/>
      </c>
      <c r="P23" s="30"/>
      <c r="Q23" s="37" t="str">
        <f t="shared" ca="1" si="2"/>
        <v/>
      </c>
      <c r="R23" s="38" t="str">
        <f t="shared" ca="1" si="3"/>
        <v/>
      </c>
      <c r="S23" s="37" t="str">
        <f ca="1">IF($A23="","",IF(OR($Q23="Paid",$Q23="Cancelled",$Q23="Draft"),"—",IF($Q23="No lines yet","Add line items",IF($Q23="No date","Add invoice date",IF($D23-TODAY()&gt;7,"—",IF($D23-TODAY()&gt;=1,"Due soon",IF($D23=TODAY(),"Due today",IF(TODAY()-$D23&lt;IF('Start Here'!$C$16="",7,'Start Here'!$C$16),"Just overdue",IF(TODAY()-$D23&lt;IF('Start Here'!$C$17="",21,'Start Here'!$C$17),"First reminder",IF(TODAY()-$D23&lt;IF('Start Here'!$C$18="",45,'Start Here'!$C$18),"Second reminder","Last friendly reminder"))))))))))</f>
        <v/>
      </c>
      <c r="T23" s="31"/>
      <c r="U23" s="30"/>
      <c r="V23" s="37" t="str">
        <f t="shared" si="4"/>
        <v/>
      </c>
      <c r="W23" s="40"/>
      <c r="X23" s="37" t="str">
        <f>IF($A23="","",IFERROR(VALUE(IF('Start Here'!$C$13="",$A23,SUBSTITUTE($A23,'Start Here'!$C$13,""))),""))</f>
        <v/>
      </c>
      <c r="Y23" s="37" t="str">
        <f t="shared" si="5"/>
        <v/>
      </c>
      <c r="Z23" s="37" t="str">
        <f t="shared" ca="1" si="6"/>
        <v/>
      </c>
      <c r="AA23" s="37" t="str">
        <f t="shared" si="7"/>
        <v/>
      </c>
      <c r="AB23" s="37" t="str">
        <f t="shared" ca="1" si="8"/>
        <v/>
      </c>
    </row>
    <row r="24" spans="1:28" ht="16" x14ac:dyDescent="0.2">
      <c r="A24" s="30"/>
      <c r="B24" s="31"/>
      <c r="C24" s="32"/>
      <c r="D24" s="33" t="str">
        <f>IF($B24="","",$B24+IF($C24="",IF('Start Here'!$C$15="",14,'Start Here'!$C$15),$C24))</f>
        <v/>
      </c>
      <c r="E24" s="30"/>
      <c r="F24" s="30"/>
      <c r="G24" s="30"/>
      <c r="H24" s="30"/>
      <c r="I24" s="34" t="str">
        <f>IF($A24="","",ROUND(SUMIF('Line Items'!$A$8:$A$507,$A24,'Line Items'!$H$8:$H$507),2))</f>
        <v/>
      </c>
      <c r="J24" s="35"/>
      <c r="K24" s="34" t="str">
        <f>IF($A24="","",ROUND($I24*IFERROR(IF($J24="",IF('Start Here'!$C$22="",0,'Start Here'!$C$22),$J24),0)/100,2))</f>
        <v/>
      </c>
      <c r="L24" s="34" t="str">
        <f t="shared" si="0"/>
        <v/>
      </c>
      <c r="M24" s="36"/>
      <c r="N24" s="31"/>
      <c r="O24" s="34" t="str">
        <f t="shared" si="1"/>
        <v/>
      </c>
      <c r="P24" s="30"/>
      <c r="Q24" s="37" t="str">
        <f t="shared" ca="1" si="2"/>
        <v/>
      </c>
      <c r="R24" s="38" t="str">
        <f t="shared" ca="1" si="3"/>
        <v/>
      </c>
      <c r="S24" s="37" t="str">
        <f ca="1">IF($A24="","",IF(OR($Q24="Paid",$Q24="Cancelled",$Q24="Draft"),"—",IF($Q24="No lines yet","Add line items",IF($Q24="No date","Add invoice date",IF($D24-TODAY()&gt;7,"—",IF($D24-TODAY()&gt;=1,"Due soon",IF($D24=TODAY(),"Due today",IF(TODAY()-$D24&lt;IF('Start Here'!$C$16="",7,'Start Here'!$C$16),"Just overdue",IF(TODAY()-$D24&lt;IF('Start Here'!$C$17="",21,'Start Here'!$C$17),"First reminder",IF(TODAY()-$D24&lt;IF('Start Here'!$C$18="",45,'Start Here'!$C$18),"Second reminder","Last friendly reminder"))))))))))</f>
        <v/>
      </c>
      <c r="T24" s="31"/>
      <c r="U24" s="30"/>
      <c r="V24" s="37" t="str">
        <f t="shared" si="4"/>
        <v/>
      </c>
      <c r="W24" s="39"/>
      <c r="X24" s="37" t="str">
        <f>IF($A24="","",IFERROR(VALUE(IF('Start Here'!$C$13="",$A24,SUBSTITUTE($A24,'Start Here'!$C$13,""))),""))</f>
        <v/>
      </c>
      <c r="Y24" s="37" t="str">
        <f t="shared" si="5"/>
        <v/>
      </c>
      <c r="Z24" s="37" t="str">
        <f t="shared" ca="1" si="6"/>
        <v/>
      </c>
      <c r="AA24" s="37" t="str">
        <f t="shared" si="7"/>
        <v/>
      </c>
      <c r="AB24" s="37" t="str">
        <f t="shared" ca="1" si="8"/>
        <v/>
      </c>
    </row>
    <row r="25" spans="1:28" ht="16" x14ac:dyDescent="0.2">
      <c r="A25" s="30"/>
      <c r="B25" s="31"/>
      <c r="C25" s="32"/>
      <c r="D25" s="33" t="str">
        <f>IF($B25="","",$B25+IF($C25="",IF('Start Here'!$C$15="",14,'Start Here'!$C$15),$C25))</f>
        <v/>
      </c>
      <c r="E25" s="30"/>
      <c r="F25" s="30"/>
      <c r="G25" s="30"/>
      <c r="H25" s="30"/>
      <c r="I25" s="34" t="str">
        <f>IF($A25="","",ROUND(SUMIF('Line Items'!$A$8:$A$507,$A25,'Line Items'!$H$8:$H$507),2))</f>
        <v/>
      </c>
      <c r="J25" s="35"/>
      <c r="K25" s="34" t="str">
        <f>IF($A25="","",ROUND($I25*IFERROR(IF($J25="",IF('Start Here'!$C$22="",0,'Start Here'!$C$22),$J25),0)/100,2))</f>
        <v/>
      </c>
      <c r="L25" s="34" t="str">
        <f t="shared" si="0"/>
        <v/>
      </c>
      <c r="M25" s="36"/>
      <c r="N25" s="31"/>
      <c r="O25" s="34" t="str">
        <f t="shared" si="1"/>
        <v/>
      </c>
      <c r="P25" s="30"/>
      <c r="Q25" s="37" t="str">
        <f t="shared" ca="1" si="2"/>
        <v/>
      </c>
      <c r="R25" s="38" t="str">
        <f t="shared" ca="1" si="3"/>
        <v/>
      </c>
      <c r="S25" s="37" t="str">
        <f ca="1">IF($A25="","",IF(OR($Q25="Paid",$Q25="Cancelled",$Q25="Draft"),"—",IF($Q25="No lines yet","Add line items",IF($Q25="No date","Add invoice date",IF($D25-TODAY()&gt;7,"—",IF($D25-TODAY()&gt;=1,"Due soon",IF($D25=TODAY(),"Due today",IF(TODAY()-$D25&lt;IF('Start Here'!$C$16="",7,'Start Here'!$C$16),"Just overdue",IF(TODAY()-$D25&lt;IF('Start Here'!$C$17="",21,'Start Here'!$C$17),"First reminder",IF(TODAY()-$D25&lt;IF('Start Here'!$C$18="",45,'Start Here'!$C$18),"Second reminder","Last friendly reminder"))))))))))</f>
        <v/>
      </c>
      <c r="T25" s="31"/>
      <c r="U25" s="30"/>
      <c r="V25" s="37" t="str">
        <f t="shared" si="4"/>
        <v/>
      </c>
      <c r="W25" s="40"/>
      <c r="X25" s="37" t="str">
        <f>IF($A25="","",IFERROR(VALUE(IF('Start Here'!$C$13="",$A25,SUBSTITUTE($A25,'Start Here'!$C$13,""))),""))</f>
        <v/>
      </c>
      <c r="Y25" s="37" t="str">
        <f t="shared" si="5"/>
        <v/>
      </c>
      <c r="Z25" s="37" t="str">
        <f t="shared" ca="1" si="6"/>
        <v/>
      </c>
      <c r="AA25" s="37" t="str">
        <f t="shared" si="7"/>
        <v/>
      </c>
      <c r="AB25" s="37" t="str">
        <f t="shared" ca="1" si="8"/>
        <v/>
      </c>
    </row>
    <row r="26" spans="1:28" ht="16" x14ac:dyDescent="0.2">
      <c r="A26" s="30"/>
      <c r="B26" s="31"/>
      <c r="C26" s="32"/>
      <c r="D26" s="33" t="str">
        <f>IF($B26="","",$B26+IF($C26="",IF('Start Here'!$C$15="",14,'Start Here'!$C$15),$C26))</f>
        <v/>
      </c>
      <c r="E26" s="30"/>
      <c r="F26" s="30"/>
      <c r="G26" s="30"/>
      <c r="H26" s="30"/>
      <c r="I26" s="34" t="str">
        <f>IF($A26="","",ROUND(SUMIF('Line Items'!$A$8:$A$507,$A26,'Line Items'!$H$8:$H$507),2))</f>
        <v/>
      </c>
      <c r="J26" s="35"/>
      <c r="K26" s="34" t="str">
        <f>IF($A26="","",ROUND($I26*IFERROR(IF($J26="",IF('Start Here'!$C$22="",0,'Start Here'!$C$22),$J26),0)/100,2))</f>
        <v/>
      </c>
      <c r="L26" s="34" t="str">
        <f t="shared" si="0"/>
        <v/>
      </c>
      <c r="M26" s="36"/>
      <c r="N26" s="31"/>
      <c r="O26" s="34" t="str">
        <f t="shared" si="1"/>
        <v/>
      </c>
      <c r="P26" s="30"/>
      <c r="Q26" s="37" t="str">
        <f t="shared" ca="1" si="2"/>
        <v/>
      </c>
      <c r="R26" s="38" t="str">
        <f t="shared" ca="1" si="3"/>
        <v/>
      </c>
      <c r="S26" s="37" t="str">
        <f ca="1">IF($A26="","",IF(OR($Q26="Paid",$Q26="Cancelled",$Q26="Draft"),"—",IF($Q26="No lines yet","Add line items",IF($Q26="No date","Add invoice date",IF($D26-TODAY()&gt;7,"—",IF($D26-TODAY()&gt;=1,"Due soon",IF($D26=TODAY(),"Due today",IF(TODAY()-$D26&lt;IF('Start Here'!$C$16="",7,'Start Here'!$C$16),"Just overdue",IF(TODAY()-$D26&lt;IF('Start Here'!$C$17="",21,'Start Here'!$C$17),"First reminder",IF(TODAY()-$D26&lt;IF('Start Here'!$C$18="",45,'Start Here'!$C$18),"Second reminder","Last friendly reminder"))))))))))</f>
        <v/>
      </c>
      <c r="T26" s="31"/>
      <c r="U26" s="30"/>
      <c r="V26" s="37" t="str">
        <f t="shared" si="4"/>
        <v/>
      </c>
      <c r="W26" s="39"/>
      <c r="X26" s="37" t="str">
        <f>IF($A26="","",IFERROR(VALUE(IF('Start Here'!$C$13="",$A26,SUBSTITUTE($A26,'Start Here'!$C$13,""))),""))</f>
        <v/>
      </c>
      <c r="Y26" s="37" t="str">
        <f t="shared" si="5"/>
        <v/>
      </c>
      <c r="Z26" s="37" t="str">
        <f t="shared" ca="1" si="6"/>
        <v/>
      </c>
      <c r="AA26" s="37" t="str">
        <f t="shared" si="7"/>
        <v/>
      </c>
      <c r="AB26" s="37" t="str">
        <f t="shared" ca="1" si="8"/>
        <v/>
      </c>
    </row>
    <row r="27" spans="1:28" ht="16" x14ac:dyDescent="0.2">
      <c r="A27" s="30"/>
      <c r="B27" s="31"/>
      <c r="C27" s="32"/>
      <c r="D27" s="33" t="str">
        <f>IF($B27="","",$B27+IF($C27="",IF('Start Here'!$C$15="",14,'Start Here'!$C$15),$C27))</f>
        <v/>
      </c>
      <c r="E27" s="30"/>
      <c r="F27" s="30"/>
      <c r="G27" s="30"/>
      <c r="H27" s="30"/>
      <c r="I27" s="34" t="str">
        <f>IF($A27="","",ROUND(SUMIF('Line Items'!$A$8:$A$507,$A27,'Line Items'!$H$8:$H$507),2))</f>
        <v/>
      </c>
      <c r="J27" s="35"/>
      <c r="K27" s="34" t="str">
        <f>IF($A27="","",ROUND($I27*IFERROR(IF($J27="",IF('Start Here'!$C$22="",0,'Start Here'!$C$22),$J27),0)/100,2))</f>
        <v/>
      </c>
      <c r="L27" s="34" t="str">
        <f t="shared" si="0"/>
        <v/>
      </c>
      <c r="M27" s="36"/>
      <c r="N27" s="31"/>
      <c r="O27" s="34" t="str">
        <f t="shared" si="1"/>
        <v/>
      </c>
      <c r="P27" s="30"/>
      <c r="Q27" s="37" t="str">
        <f t="shared" ca="1" si="2"/>
        <v/>
      </c>
      <c r="R27" s="38" t="str">
        <f t="shared" ca="1" si="3"/>
        <v/>
      </c>
      <c r="S27" s="37" t="str">
        <f ca="1">IF($A27="","",IF(OR($Q27="Paid",$Q27="Cancelled",$Q27="Draft"),"—",IF($Q27="No lines yet","Add line items",IF($Q27="No date","Add invoice date",IF($D27-TODAY()&gt;7,"—",IF($D27-TODAY()&gt;=1,"Due soon",IF($D27=TODAY(),"Due today",IF(TODAY()-$D27&lt;IF('Start Here'!$C$16="",7,'Start Here'!$C$16),"Just overdue",IF(TODAY()-$D27&lt;IF('Start Here'!$C$17="",21,'Start Here'!$C$17),"First reminder",IF(TODAY()-$D27&lt;IF('Start Here'!$C$18="",45,'Start Here'!$C$18),"Second reminder","Last friendly reminder"))))))))))</f>
        <v/>
      </c>
      <c r="T27" s="31"/>
      <c r="U27" s="30"/>
      <c r="V27" s="37" t="str">
        <f t="shared" si="4"/>
        <v/>
      </c>
      <c r="W27" s="40"/>
      <c r="X27" s="37" t="str">
        <f>IF($A27="","",IFERROR(VALUE(IF('Start Here'!$C$13="",$A27,SUBSTITUTE($A27,'Start Here'!$C$13,""))),""))</f>
        <v/>
      </c>
      <c r="Y27" s="37" t="str">
        <f t="shared" si="5"/>
        <v/>
      </c>
      <c r="Z27" s="37" t="str">
        <f t="shared" ca="1" si="6"/>
        <v/>
      </c>
      <c r="AA27" s="37" t="str">
        <f t="shared" si="7"/>
        <v/>
      </c>
      <c r="AB27" s="37" t="str">
        <f t="shared" ca="1" si="8"/>
        <v/>
      </c>
    </row>
    <row r="28" spans="1:28" ht="16" x14ac:dyDescent="0.2">
      <c r="A28" s="30"/>
      <c r="B28" s="31"/>
      <c r="C28" s="32"/>
      <c r="D28" s="33" t="str">
        <f>IF($B28="","",$B28+IF($C28="",IF('Start Here'!$C$15="",14,'Start Here'!$C$15),$C28))</f>
        <v/>
      </c>
      <c r="E28" s="30"/>
      <c r="F28" s="30"/>
      <c r="G28" s="30"/>
      <c r="H28" s="30"/>
      <c r="I28" s="34" t="str">
        <f>IF($A28="","",ROUND(SUMIF('Line Items'!$A$8:$A$507,$A28,'Line Items'!$H$8:$H$507),2))</f>
        <v/>
      </c>
      <c r="J28" s="35"/>
      <c r="K28" s="34" t="str">
        <f>IF($A28="","",ROUND($I28*IFERROR(IF($J28="",IF('Start Here'!$C$22="",0,'Start Here'!$C$22),$J28),0)/100,2))</f>
        <v/>
      </c>
      <c r="L28" s="34" t="str">
        <f t="shared" si="0"/>
        <v/>
      </c>
      <c r="M28" s="36"/>
      <c r="N28" s="31"/>
      <c r="O28" s="34" t="str">
        <f t="shared" si="1"/>
        <v/>
      </c>
      <c r="P28" s="30"/>
      <c r="Q28" s="37" t="str">
        <f t="shared" ca="1" si="2"/>
        <v/>
      </c>
      <c r="R28" s="38" t="str">
        <f t="shared" ca="1" si="3"/>
        <v/>
      </c>
      <c r="S28" s="37" t="str">
        <f ca="1">IF($A28="","",IF(OR($Q28="Paid",$Q28="Cancelled",$Q28="Draft"),"—",IF($Q28="No lines yet","Add line items",IF($Q28="No date","Add invoice date",IF($D28-TODAY()&gt;7,"—",IF($D28-TODAY()&gt;=1,"Due soon",IF($D28=TODAY(),"Due today",IF(TODAY()-$D28&lt;IF('Start Here'!$C$16="",7,'Start Here'!$C$16),"Just overdue",IF(TODAY()-$D28&lt;IF('Start Here'!$C$17="",21,'Start Here'!$C$17),"First reminder",IF(TODAY()-$D28&lt;IF('Start Here'!$C$18="",45,'Start Here'!$C$18),"Second reminder","Last friendly reminder"))))))))))</f>
        <v/>
      </c>
      <c r="T28" s="31"/>
      <c r="U28" s="30"/>
      <c r="V28" s="37" t="str">
        <f t="shared" si="4"/>
        <v/>
      </c>
      <c r="W28" s="39"/>
      <c r="X28" s="37" t="str">
        <f>IF($A28="","",IFERROR(VALUE(IF('Start Here'!$C$13="",$A28,SUBSTITUTE($A28,'Start Here'!$C$13,""))),""))</f>
        <v/>
      </c>
      <c r="Y28" s="37" t="str">
        <f t="shared" si="5"/>
        <v/>
      </c>
      <c r="Z28" s="37" t="str">
        <f t="shared" ca="1" si="6"/>
        <v/>
      </c>
      <c r="AA28" s="37" t="str">
        <f t="shared" si="7"/>
        <v/>
      </c>
      <c r="AB28" s="37" t="str">
        <f t="shared" ca="1" si="8"/>
        <v/>
      </c>
    </row>
    <row r="29" spans="1:28" ht="16" x14ac:dyDescent="0.2">
      <c r="A29" s="30"/>
      <c r="B29" s="31"/>
      <c r="C29" s="32"/>
      <c r="D29" s="33" t="str">
        <f>IF($B29="","",$B29+IF($C29="",IF('Start Here'!$C$15="",14,'Start Here'!$C$15),$C29))</f>
        <v/>
      </c>
      <c r="E29" s="30"/>
      <c r="F29" s="30"/>
      <c r="G29" s="30"/>
      <c r="H29" s="30"/>
      <c r="I29" s="34" t="str">
        <f>IF($A29="","",ROUND(SUMIF('Line Items'!$A$8:$A$507,$A29,'Line Items'!$H$8:$H$507),2))</f>
        <v/>
      </c>
      <c r="J29" s="35"/>
      <c r="K29" s="34" t="str">
        <f>IF($A29="","",ROUND($I29*IFERROR(IF($J29="",IF('Start Here'!$C$22="",0,'Start Here'!$C$22),$J29),0)/100,2))</f>
        <v/>
      </c>
      <c r="L29" s="34" t="str">
        <f t="shared" si="0"/>
        <v/>
      </c>
      <c r="M29" s="36"/>
      <c r="N29" s="31"/>
      <c r="O29" s="34" t="str">
        <f t="shared" si="1"/>
        <v/>
      </c>
      <c r="P29" s="30"/>
      <c r="Q29" s="37" t="str">
        <f t="shared" ca="1" si="2"/>
        <v/>
      </c>
      <c r="R29" s="38" t="str">
        <f t="shared" ca="1" si="3"/>
        <v/>
      </c>
      <c r="S29" s="37" t="str">
        <f ca="1">IF($A29="","",IF(OR($Q29="Paid",$Q29="Cancelled",$Q29="Draft"),"—",IF($Q29="No lines yet","Add line items",IF($Q29="No date","Add invoice date",IF($D29-TODAY()&gt;7,"—",IF($D29-TODAY()&gt;=1,"Due soon",IF($D29=TODAY(),"Due today",IF(TODAY()-$D29&lt;IF('Start Here'!$C$16="",7,'Start Here'!$C$16),"Just overdue",IF(TODAY()-$D29&lt;IF('Start Here'!$C$17="",21,'Start Here'!$C$17),"First reminder",IF(TODAY()-$D29&lt;IF('Start Here'!$C$18="",45,'Start Here'!$C$18),"Second reminder","Last friendly reminder"))))))))))</f>
        <v/>
      </c>
      <c r="T29" s="31"/>
      <c r="U29" s="30"/>
      <c r="V29" s="37" t="str">
        <f t="shared" si="4"/>
        <v/>
      </c>
      <c r="W29" s="40"/>
      <c r="X29" s="37" t="str">
        <f>IF($A29="","",IFERROR(VALUE(IF('Start Here'!$C$13="",$A29,SUBSTITUTE($A29,'Start Here'!$C$13,""))),""))</f>
        <v/>
      </c>
      <c r="Y29" s="37" t="str">
        <f t="shared" si="5"/>
        <v/>
      </c>
      <c r="Z29" s="37" t="str">
        <f t="shared" ca="1" si="6"/>
        <v/>
      </c>
      <c r="AA29" s="37" t="str">
        <f t="shared" si="7"/>
        <v/>
      </c>
      <c r="AB29" s="37" t="str">
        <f t="shared" ca="1" si="8"/>
        <v/>
      </c>
    </row>
    <row r="30" spans="1:28" ht="16" x14ac:dyDescent="0.2">
      <c r="A30" s="30"/>
      <c r="B30" s="31"/>
      <c r="C30" s="32"/>
      <c r="D30" s="33" t="str">
        <f>IF($B30="","",$B30+IF($C30="",IF('Start Here'!$C$15="",14,'Start Here'!$C$15),$C30))</f>
        <v/>
      </c>
      <c r="E30" s="30"/>
      <c r="F30" s="30"/>
      <c r="G30" s="30"/>
      <c r="H30" s="30"/>
      <c r="I30" s="34" t="str">
        <f>IF($A30="","",ROUND(SUMIF('Line Items'!$A$8:$A$507,$A30,'Line Items'!$H$8:$H$507),2))</f>
        <v/>
      </c>
      <c r="J30" s="35"/>
      <c r="K30" s="34" t="str">
        <f>IF($A30="","",ROUND($I30*IFERROR(IF($J30="",IF('Start Here'!$C$22="",0,'Start Here'!$C$22),$J30),0)/100,2))</f>
        <v/>
      </c>
      <c r="L30" s="34" t="str">
        <f t="shared" si="0"/>
        <v/>
      </c>
      <c r="M30" s="36"/>
      <c r="N30" s="31"/>
      <c r="O30" s="34" t="str">
        <f t="shared" si="1"/>
        <v/>
      </c>
      <c r="P30" s="30"/>
      <c r="Q30" s="37" t="str">
        <f t="shared" ca="1" si="2"/>
        <v/>
      </c>
      <c r="R30" s="38" t="str">
        <f t="shared" ca="1" si="3"/>
        <v/>
      </c>
      <c r="S30" s="37" t="str">
        <f ca="1">IF($A30="","",IF(OR($Q30="Paid",$Q30="Cancelled",$Q30="Draft"),"—",IF($Q30="No lines yet","Add line items",IF($Q30="No date","Add invoice date",IF($D30-TODAY()&gt;7,"—",IF($D30-TODAY()&gt;=1,"Due soon",IF($D30=TODAY(),"Due today",IF(TODAY()-$D30&lt;IF('Start Here'!$C$16="",7,'Start Here'!$C$16),"Just overdue",IF(TODAY()-$D30&lt;IF('Start Here'!$C$17="",21,'Start Here'!$C$17),"First reminder",IF(TODAY()-$D30&lt;IF('Start Here'!$C$18="",45,'Start Here'!$C$18),"Second reminder","Last friendly reminder"))))))))))</f>
        <v/>
      </c>
      <c r="T30" s="31"/>
      <c r="U30" s="30"/>
      <c r="V30" s="37" t="str">
        <f t="shared" si="4"/>
        <v/>
      </c>
      <c r="W30" s="39"/>
      <c r="X30" s="37" t="str">
        <f>IF($A30="","",IFERROR(VALUE(IF('Start Here'!$C$13="",$A30,SUBSTITUTE($A30,'Start Here'!$C$13,""))),""))</f>
        <v/>
      </c>
      <c r="Y30" s="37" t="str">
        <f t="shared" si="5"/>
        <v/>
      </c>
      <c r="Z30" s="37" t="str">
        <f t="shared" ca="1" si="6"/>
        <v/>
      </c>
      <c r="AA30" s="37" t="str">
        <f t="shared" si="7"/>
        <v/>
      </c>
      <c r="AB30" s="37" t="str">
        <f t="shared" ca="1" si="8"/>
        <v/>
      </c>
    </row>
    <row r="31" spans="1:28" ht="16" x14ac:dyDescent="0.2">
      <c r="A31" s="30"/>
      <c r="B31" s="31"/>
      <c r="C31" s="32"/>
      <c r="D31" s="33" t="str">
        <f>IF($B31="","",$B31+IF($C31="",IF('Start Here'!$C$15="",14,'Start Here'!$C$15),$C31))</f>
        <v/>
      </c>
      <c r="E31" s="30"/>
      <c r="F31" s="30"/>
      <c r="G31" s="30"/>
      <c r="H31" s="30"/>
      <c r="I31" s="34" t="str">
        <f>IF($A31="","",ROUND(SUMIF('Line Items'!$A$8:$A$507,$A31,'Line Items'!$H$8:$H$507),2))</f>
        <v/>
      </c>
      <c r="J31" s="35"/>
      <c r="K31" s="34" t="str">
        <f>IF($A31="","",ROUND($I31*IFERROR(IF($J31="",IF('Start Here'!$C$22="",0,'Start Here'!$C$22),$J31),0)/100,2))</f>
        <v/>
      </c>
      <c r="L31" s="34" t="str">
        <f t="shared" si="0"/>
        <v/>
      </c>
      <c r="M31" s="36"/>
      <c r="N31" s="31"/>
      <c r="O31" s="34" t="str">
        <f t="shared" si="1"/>
        <v/>
      </c>
      <c r="P31" s="30"/>
      <c r="Q31" s="37" t="str">
        <f t="shared" ca="1" si="2"/>
        <v/>
      </c>
      <c r="R31" s="38" t="str">
        <f t="shared" ca="1" si="3"/>
        <v/>
      </c>
      <c r="S31" s="37" t="str">
        <f ca="1">IF($A31="","",IF(OR($Q31="Paid",$Q31="Cancelled",$Q31="Draft"),"—",IF($Q31="No lines yet","Add line items",IF($Q31="No date","Add invoice date",IF($D31-TODAY()&gt;7,"—",IF($D31-TODAY()&gt;=1,"Due soon",IF($D31=TODAY(),"Due today",IF(TODAY()-$D31&lt;IF('Start Here'!$C$16="",7,'Start Here'!$C$16),"Just overdue",IF(TODAY()-$D31&lt;IF('Start Here'!$C$17="",21,'Start Here'!$C$17),"First reminder",IF(TODAY()-$D31&lt;IF('Start Here'!$C$18="",45,'Start Here'!$C$18),"Second reminder","Last friendly reminder"))))))))))</f>
        <v/>
      </c>
      <c r="T31" s="31"/>
      <c r="U31" s="30"/>
      <c r="V31" s="37" t="str">
        <f t="shared" si="4"/>
        <v/>
      </c>
      <c r="W31" s="40"/>
      <c r="X31" s="37" t="str">
        <f>IF($A31="","",IFERROR(VALUE(IF('Start Here'!$C$13="",$A31,SUBSTITUTE($A31,'Start Here'!$C$13,""))),""))</f>
        <v/>
      </c>
      <c r="Y31" s="37" t="str">
        <f t="shared" si="5"/>
        <v/>
      </c>
      <c r="Z31" s="37" t="str">
        <f t="shared" ca="1" si="6"/>
        <v/>
      </c>
      <c r="AA31" s="37" t="str">
        <f t="shared" si="7"/>
        <v/>
      </c>
      <c r="AB31" s="37" t="str">
        <f t="shared" ca="1" si="8"/>
        <v/>
      </c>
    </row>
    <row r="32" spans="1:28" ht="16" x14ac:dyDescent="0.2">
      <c r="A32" s="30"/>
      <c r="B32" s="31"/>
      <c r="C32" s="32"/>
      <c r="D32" s="33" t="str">
        <f>IF($B32="","",$B32+IF($C32="",IF('Start Here'!$C$15="",14,'Start Here'!$C$15),$C32))</f>
        <v/>
      </c>
      <c r="E32" s="30"/>
      <c r="F32" s="30"/>
      <c r="G32" s="30"/>
      <c r="H32" s="30"/>
      <c r="I32" s="34" t="str">
        <f>IF($A32="","",ROUND(SUMIF('Line Items'!$A$8:$A$507,$A32,'Line Items'!$H$8:$H$507),2))</f>
        <v/>
      </c>
      <c r="J32" s="35"/>
      <c r="K32" s="34" t="str">
        <f>IF($A32="","",ROUND($I32*IFERROR(IF($J32="",IF('Start Here'!$C$22="",0,'Start Here'!$C$22),$J32),0)/100,2))</f>
        <v/>
      </c>
      <c r="L32" s="34" t="str">
        <f t="shared" si="0"/>
        <v/>
      </c>
      <c r="M32" s="36"/>
      <c r="N32" s="31"/>
      <c r="O32" s="34" t="str">
        <f t="shared" si="1"/>
        <v/>
      </c>
      <c r="P32" s="30"/>
      <c r="Q32" s="37" t="str">
        <f t="shared" ca="1" si="2"/>
        <v/>
      </c>
      <c r="R32" s="38" t="str">
        <f t="shared" ca="1" si="3"/>
        <v/>
      </c>
      <c r="S32" s="37" t="str">
        <f ca="1">IF($A32="","",IF(OR($Q32="Paid",$Q32="Cancelled",$Q32="Draft"),"—",IF($Q32="No lines yet","Add line items",IF($Q32="No date","Add invoice date",IF($D32-TODAY()&gt;7,"—",IF($D32-TODAY()&gt;=1,"Due soon",IF($D32=TODAY(),"Due today",IF(TODAY()-$D32&lt;IF('Start Here'!$C$16="",7,'Start Here'!$C$16),"Just overdue",IF(TODAY()-$D32&lt;IF('Start Here'!$C$17="",21,'Start Here'!$C$17),"First reminder",IF(TODAY()-$D32&lt;IF('Start Here'!$C$18="",45,'Start Here'!$C$18),"Second reminder","Last friendly reminder"))))))))))</f>
        <v/>
      </c>
      <c r="T32" s="31"/>
      <c r="U32" s="30"/>
      <c r="V32" s="37" t="str">
        <f t="shared" si="4"/>
        <v/>
      </c>
      <c r="W32" s="39"/>
      <c r="X32" s="37" t="str">
        <f>IF($A32="","",IFERROR(VALUE(IF('Start Here'!$C$13="",$A32,SUBSTITUTE($A32,'Start Here'!$C$13,""))),""))</f>
        <v/>
      </c>
      <c r="Y32" s="37" t="str">
        <f t="shared" si="5"/>
        <v/>
      </c>
      <c r="Z32" s="37" t="str">
        <f t="shared" ca="1" si="6"/>
        <v/>
      </c>
      <c r="AA32" s="37" t="str">
        <f t="shared" si="7"/>
        <v/>
      </c>
      <c r="AB32" s="37" t="str">
        <f t="shared" ca="1" si="8"/>
        <v/>
      </c>
    </row>
    <row r="33" spans="1:28" ht="16" x14ac:dyDescent="0.2">
      <c r="A33" s="30"/>
      <c r="B33" s="31"/>
      <c r="C33" s="32"/>
      <c r="D33" s="33" t="str">
        <f>IF($B33="","",$B33+IF($C33="",IF('Start Here'!$C$15="",14,'Start Here'!$C$15),$C33))</f>
        <v/>
      </c>
      <c r="E33" s="30"/>
      <c r="F33" s="30"/>
      <c r="G33" s="30"/>
      <c r="H33" s="30"/>
      <c r="I33" s="34" t="str">
        <f>IF($A33="","",ROUND(SUMIF('Line Items'!$A$8:$A$507,$A33,'Line Items'!$H$8:$H$507),2))</f>
        <v/>
      </c>
      <c r="J33" s="35"/>
      <c r="K33" s="34" t="str">
        <f>IF($A33="","",ROUND($I33*IFERROR(IF($J33="",IF('Start Here'!$C$22="",0,'Start Here'!$C$22),$J33),0)/100,2))</f>
        <v/>
      </c>
      <c r="L33" s="34" t="str">
        <f t="shared" si="0"/>
        <v/>
      </c>
      <c r="M33" s="36"/>
      <c r="N33" s="31"/>
      <c r="O33" s="34" t="str">
        <f t="shared" si="1"/>
        <v/>
      </c>
      <c r="P33" s="30"/>
      <c r="Q33" s="37" t="str">
        <f t="shared" ca="1" si="2"/>
        <v/>
      </c>
      <c r="R33" s="38" t="str">
        <f t="shared" ca="1" si="3"/>
        <v/>
      </c>
      <c r="S33" s="37" t="str">
        <f ca="1">IF($A33="","",IF(OR($Q33="Paid",$Q33="Cancelled",$Q33="Draft"),"—",IF($Q33="No lines yet","Add line items",IF($Q33="No date","Add invoice date",IF($D33-TODAY()&gt;7,"—",IF($D33-TODAY()&gt;=1,"Due soon",IF($D33=TODAY(),"Due today",IF(TODAY()-$D33&lt;IF('Start Here'!$C$16="",7,'Start Here'!$C$16),"Just overdue",IF(TODAY()-$D33&lt;IF('Start Here'!$C$17="",21,'Start Here'!$C$17),"First reminder",IF(TODAY()-$D33&lt;IF('Start Here'!$C$18="",45,'Start Here'!$C$18),"Second reminder","Last friendly reminder"))))))))))</f>
        <v/>
      </c>
      <c r="T33" s="31"/>
      <c r="U33" s="30"/>
      <c r="V33" s="37" t="str">
        <f t="shared" si="4"/>
        <v/>
      </c>
      <c r="W33" s="40"/>
      <c r="X33" s="37" t="str">
        <f>IF($A33="","",IFERROR(VALUE(IF('Start Here'!$C$13="",$A33,SUBSTITUTE($A33,'Start Here'!$C$13,""))),""))</f>
        <v/>
      </c>
      <c r="Y33" s="37" t="str">
        <f t="shared" si="5"/>
        <v/>
      </c>
      <c r="Z33" s="37" t="str">
        <f t="shared" ca="1" si="6"/>
        <v/>
      </c>
      <c r="AA33" s="37" t="str">
        <f t="shared" si="7"/>
        <v/>
      </c>
      <c r="AB33" s="37" t="str">
        <f t="shared" ca="1" si="8"/>
        <v/>
      </c>
    </row>
    <row r="34" spans="1:28" ht="16" x14ac:dyDescent="0.2">
      <c r="A34" s="30"/>
      <c r="B34" s="31"/>
      <c r="C34" s="32"/>
      <c r="D34" s="33" t="str">
        <f>IF($B34="","",$B34+IF($C34="",IF('Start Here'!$C$15="",14,'Start Here'!$C$15),$C34))</f>
        <v/>
      </c>
      <c r="E34" s="30"/>
      <c r="F34" s="30"/>
      <c r="G34" s="30"/>
      <c r="H34" s="30"/>
      <c r="I34" s="34" t="str">
        <f>IF($A34="","",ROUND(SUMIF('Line Items'!$A$8:$A$507,$A34,'Line Items'!$H$8:$H$507),2))</f>
        <v/>
      </c>
      <c r="J34" s="35"/>
      <c r="K34" s="34" t="str">
        <f>IF($A34="","",ROUND($I34*IFERROR(IF($J34="",IF('Start Here'!$C$22="",0,'Start Here'!$C$22),$J34),0)/100,2))</f>
        <v/>
      </c>
      <c r="L34" s="34" t="str">
        <f t="shared" si="0"/>
        <v/>
      </c>
      <c r="M34" s="36"/>
      <c r="N34" s="31"/>
      <c r="O34" s="34" t="str">
        <f t="shared" si="1"/>
        <v/>
      </c>
      <c r="P34" s="30"/>
      <c r="Q34" s="37" t="str">
        <f t="shared" ca="1" si="2"/>
        <v/>
      </c>
      <c r="R34" s="38" t="str">
        <f t="shared" ca="1" si="3"/>
        <v/>
      </c>
      <c r="S34" s="37" t="str">
        <f ca="1">IF($A34="","",IF(OR($Q34="Paid",$Q34="Cancelled",$Q34="Draft"),"—",IF($Q34="No lines yet","Add line items",IF($Q34="No date","Add invoice date",IF($D34-TODAY()&gt;7,"—",IF($D34-TODAY()&gt;=1,"Due soon",IF($D34=TODAY(),"Due today",IF(TODAY()-$D34&lt;IF('Start Here'!$C$16="",7,'Start Here'!$C$16),"Just overdue",IF(TODAY()-$D34&lt;IF('Start Here'!$C$17="",21,'Start Here'!$C$17),"First reminder",IF(TODAY()-$D34&lt;IF('Start Here'!$C$18="",45,'Start Here'!$C$18),"Second reminder","Last friendly reminder"))))))))))</f>
        <v/>
      </c>
      <c r="T34" s="31"/>
      <c r="U34" s="30"/>
      <c r="V34" s="37" t="str">
        <f t="shared" si="4"/>
        <v/>
      </c>
      <c r="W34" s="39"/>
      <c r="X34" s="37" t="str">
        <f>IF($A34="","",IFERROR(VALUE(IF('Start Here'!$C$13="",$A34,SUBSTITUTE($A34,'Start Here'!$C$13,""))),""))</f>
        <v/>
      </c>
      <c r="Y34" s="37" t="str">
        <f t="shared" si="5"/>
        <v/>
      </c>
      <c r="Z34" s="37" t="str">
        <f t="shared" ca="1" si="6"/>
        <v/>
      </c>
      <c r="AA34" s="37" t="str">
        <f t="shared" si="7"/>
        <v/>
      </c>
      <c r="AB34" s="37" t="str">
        <f t="shared" ca="1" si="8"/>
        <v/>
      </c>
    </row>
    <row r="35" spans="1:28" ht="16" x14ac:dyDescent="0.2">
      <c r="A35" s="30"/>
      <c r="B35" s="31"/>
      <c r="C35" s="32"/>
      <c r="D35" s="33" t="str">
        <f>IF($B35="","",$B35+IF($C35="",IF('Start Here'!$C$15="",14,'Start Here'!$C$15),$C35))</f>
        <v/>
      </c>
      <c r="E35" s="30"/>
      <c r="F35" s="30"/>
      <c r="G35" s="30"/>
      <c r="H35" s="30"/>
      <c r="I35" s="34" t="str">
        <f>IF($A35="","",ROUND(SUMIF('Line Items'!$A$8:$A$507,$A35,'Line Items'!$H$8:$H$507),2))</f>
        <v/>
      </c>
      <c r="J35" s="35"/>
      <c r="K35" s="34" t="str">
        <f>IF($A35="","",ROUND($I35*IFERROR(IF($J35="",IF('Start Here'!$C$22="",0,'Start Here'!$C$22),$J35),0)/100,2))</f>
        <v/>
      </c>
      <c r="L35" s="34" t="str">
        <f t="shared" si="0"/>
        <v/>
      </c>
      <c r="M35" s="36"/>
      <c r="N35" s="31"/>
      <c r="O35" s="34" t="str">
        <f t="shared" si="1"/>
        <v/>
      </c>
      <c r="P35" s="30"/>
      <c r="Q35" s="37" t="str">
        <f t="shared" ca="1" si="2"/>
        <v/>
      </c>
      <c r="R35" s="38" t="str">
        <f t="shared" ca="1" si="3"/>
        <v/>
      </c>
      <c r="S35" s="37" t="str">
        <f ca="1">IF($A35="","",IF(OR($Q35="Paid",$Q35="Cancelled",$Q35="Draft"),"—",IF($Q35="No lines yet","Add line items",IF($Q35="No date","Add invoice date",IF($D35-TODAY()&gt;7,"—",IF($D35-TODAY()&gt;=1,"Due soon",IF($D35=TODAY(),"Due today",IF(TODAY()-$D35&lt;IF('Start Here'!$C$16="",7,'Start Here'!$C$16),"Just overdue",IF(TODAY()-$D35&lt;IF('Start Here'!$C$17="",21,'Start Here'!$C$17),"First reminder",IF(TODAY()-$D35&lt;IF('Start Here'!$C$18="",45,'Start Here'!$C$18),"Second reminder","Last friendly reminder"))))))))))</f>
        <v/>
      </c>
      <c r="T35" s="31"/>
      <c r="U35" s="30"/>
      <c r="V35" s="37" t="str">
        <f t="shared" si="4"/>
        <v/>
      </c>
      <c r="W35" s="40"/>
      <c r="X35" s="37" t="str">
        <f>IF($A35="","",IFERROR(VALUE(IF('Start Here'!$C$13="",$A35,SUBSTITUTE($A35,'Start Here'!$C$13,""))),""))</f>
        <v/>
      </c>
      <c r="Y35" s="37" t="str">
        <f t="shared" si="5"/>
        <v/>
      </c>
      <c r="Z35" s="37" t="str">
        <f t="shared" ca="1" si="6"/>
        <v/>
      </c>
      <c r="AA35" s="37" t="str">
        <f t="shared" si="7"/>
        <v/>
      </c>
      <c r="AB35" s="37" t="str">
        <f t="shared" ca="1" si="8"/>
        <v/>
      </c>
    </row>
    <row r="36" spans="1:28" ht="16" x14ac:dyDescent="0.2">
      <c r="A36" s="30"/>
      <c r="B36" s="31"/>
      <c r="C36" s="32"/>
      <c r="D36" s="33" t="str">
        <f>IF($B36="","",$B36+IF($C36="",IF('Start Here'!$C$15="",14,'Start Here'!$C$15),$C36))</f>
        <v/>
      </c>
      <c r="E36" s="30"/>
      <c r="F36" s="30"/>
      <c r="G36" s="30"/>
      <c r="H36" s="30"/>
      <c r="I36" s="34" t="str">
        <f>IF($A36="","",ROUND(SUMIF('Line Items'!$A$8:$A$507,$A36,'Line Items'!$H$8:$H$507),2))</f>
        <v/>
      </c>
      <c r="J36" s="35"/>
      <c r="K36" s="34" t="str">
        <f>IF($A36="","",ROUND($I36*IFERROR(IF($J36="",IF('Start Here'!$C$22="",0,'Start Here'!$C$22),$J36),0)/100,2))</f>
        <v/>
      </c>
      <c r="L36" s="34" t="str">
        <f t="shared" si="0"/>
        <v/>
      </c>
      <c r="M36" s="36"/>
      <c r="N36" s="31"/>
      <c r="O36" s="34" t="str">
        <f t="shared" si="1"/>
        <v/>
      </c>
      <c r="P36" s="30"/>
      <c r="Q36" s="37" t="str">
        <f t="shared" ca="1" si="2"/>
        <v/>
      </c>
      <c r="R36" s="38" t="str">
        <f t="shared" ca="1" si="3"/>
        <v/>
      </c>
      <c r="S36" s="37" t="str">
        <f ca="1">IF($A36="","",IF(OR($Q36="Paid",$Q36="Cancelled",$Q36="Draft"),"—",IF($Q36="No lines yet","Add line items",IF($Q36="No date","Add invoice date",IF($D36-TODAY()&gt;7,"—",IF($D36-TODAY()&gt;=1,"Due soon",IF($D36=TODAY(),"Due today",IF(TODAY()-$D36&lt;IF('Start Here'!$C$16="",7,'Start Here'!$C$16),"Just overdue",IF(TODAY()-$D36&lt;IF('Start Here'!$C$17="",21,'Start Here'!$C$17),"First reminder",IF(TODAY()-$D36&lt;IF('Start Here'!$C$18="",45,'Start Here'!$C$18),"Second reminder","Last friendly reminder"))))))))))</f>
        <v/>
      </c>
      <c r="T36" s="31"/>
      <c r="U36" s="30"/>
      <c r="V36" s="37" t="str">
        <f t="shared" si="4"/>
        <v/>
      </c>
      <c r="W36" s="39"/>
      <c r="X36" s="37" t="str">
        <f>IF($A36="","",IFERROR(VALUE(IF('Start Here'!$C$13="",$A36,SUBSTITUTE($A36,'Start Here'!$C$13,""))),""))</f>
        <v/>
      </c>
      <c r="Y36" s="37" t="str">
        <f t="shared" si="5"/>
        <v/>
      </c>
      <c r="Z36" s="37" t="str">
        <f t="shared" ca="1" si="6"/>
        <v/>
      </c>
      <c r="AA36" s="37" t="str">
        <f t="shared" si="7"/>
        <v/>
      </c>
      <c r="AB36" s="37" t="str">
        <f t="shared" ca="1" si="8"/>
        <v/>
      </c>
    </row>
    <row r="37" spans="1:28" ht="16" x14ac:dyDescent="0.2">
      <c r="A37" s="30"/>
      <c r="B37" s="31"/>
      <c r="C37" s="32"/>
      <c r="D37" s="33" t="str">
        <f>IF($B37="","",$B37+IF($C37="",IF('Start Here'!$C$15="",14,'Start Here'!$C$15),$C37))</f>
        <v/>
      </c>
      <c r="E37" s="30"/>
      <c r="F37" s="30"/>
      <c r="G37" s="30"/>
      <c r="H37" s="30"/>
      <c r="I37" s="34" t="str">
        <f>IF($A37="","",ROUND(SUMIF('Line Items'!$A$8:$A$507,$A37,'Line Items'!$H$8:$H$507),2))</f>
        <v/>
      </c>
      <c r="J37" s="35"/>
      <c r="K37" s="34" t="str">
        <f>IF($A37="","",ROUND($I37*IFERROR(IF($J37="",IF('Start Here'!$C$22="",0,'Start Here'!$C$22),$J37),0)/100,2))</f>
        <v/>
      </c>
      <c r="L37" s="34" t="str">
        <f t="shared" si="0"/>
        <v/>
      </c>
      <c r="M37" s="36"/>
      <c r="N37" s="31"/>
      <c r="O37" s="34" t="str">
        <f t="shared" si="1"/>
        <v/>
      </c>
      <c r="P37" s="30"/>
      <c r="Q37" s="37" t="str">
        <f t="shared" ca="1" si="2"/>
        <v/>
      </c>
      <c r="R37" s="38" t="str">
        <f t="shared" ca="1" si="3"/>
        <v/>
      </c>
      <c r="S37" s="37" t="str">
        <f ca="1">IF($A37="","",IF(OR($Q37="Paid",$Q37="Cancelled",$Q37="Draft"),"—",IF($Q37="No lines yet","Add line items",IF($Q37="No date","Add invoice date",IF($D37-TODAY()&gt;7,"—",IF($D37-TODAY()&gt;=1,"Due soon",IF($D37=TODAY(),"Due today",IF(TODAY()-$D37&lt;IF('Start Here'!$C$16="",7,'Start Here'!$C$16),"Just overdue",IF(TODAY()-$D37&lt;IF('Start Here'!$C$17="",21,'Start Here'!$C$17),"First reminder",IF(TODAY()-$D37&lt;IF('Start Here'!$C$18="",45,'Start Here'!$C$18),"Second reminder","Last friendly reminder"))))))))))</f>
        <v/>
      </c>
      <c r="T37" s="31"/>
      <c r="U37" s="30"/>
      <c r="V37" s="37" t="str">
        <f t="shared" si="4"/>
        <v/>
      </c>
      <c r="W37" s="40"/>
      <c r="X37" s="37" t="str">
        <f>IF($A37="","",IFERROR(VALUE(IF('Start Here'!$C$13="",$A37,SUBSTITUTE($A37,'Start Here'!$C$13,""))),""))</f>
        <v/>
      </c>
      <c r="Y37" s="37" t="str">
        <f t="shared" si="5"/>
        <v/>
      </c>
      <c r="Z37" s="37" t="str">
        <f t="shared" ca="1" si="6"/>
        <v/>
      </c>
      <c r="AA37" s="37" t="str">
        <f t="shared" si="7"/>
        <v/>
      </c>
      <c r="AB37" s="37" t="str">
        <f t="shared" ca="1" si="8"/>
        <v/>
      </c>
    </row>
    <row r="38" spans="1:28" ht="16" x14ac:dyDescent="0.2">
      <c r="A38" s="30"/>
      <c r="B38" s="31"/>
      <c r="C38" s="32"/>
      <c r="D38" s="33" t="str">
        <f>IF($B38="","",$B38+IF($C38="",IF('Start Here'!$C$15="",14,'Start Here'!$C$15),$C38))</f>
        <v/>
      </c>
      <c r="E38" s="30"/>
      <c r="F38" s="30"/>
      <c r="G38" s="30"/>
      <c r="H38" s="30"/>
      <c r="I38" s="34" t="str">
        <f>IF($A38="","",ROUND(SUMIF('Line Items'!$A$8:$A$507,$A38,'Line Items'!$H$8:$H$507),2))</f>
        <v/>
      </c>
      <c r="J38" s="35"/>
      <c r="K38" s="34" t="str">
        <f>IF($A38="","",ROUND($I38*IFERROR(IF($J38="",IF('Start Here'!$C$22="",0,'Start Here'!$C$22),$J38),0)/100,2))</f>
        <v/>
      </c>
      <c r="L38" s="34" t="str">
        <f t="shared" si="0"/>
        <v/>
      </c>
      <c r="M38" s="36"/>
      <c r="N38" s="31"/>
      <c r="O38" s="34" t="str">
        <f t="shared" si="1"/>
        <v/>
      </c>
      <c r="P38" s="30"/>
      <c r="Q38" s="37" t="str">
        <f t="shared" ca="1" si="2"/>
        <v/>
      </c>
      <c r="R38" s="38" t="str">
        <f t="shared" ca="1" si="3"/>
        <v/>
      </c>
      <c r="S38" s="37" t="str">
        <f ca="1">IF($A38="","",IF(OR($Q38="Paid",$Q38="Cancelled",$Q38="Draft"),"—",IF($Q38="No lines yet","Add line items",IF($Q38="No date","Add invoice date",IF($D38-TODAY()&gt;7,"—",IF($D38-TODAY()&gt;=1,"Due soon",IF($D38=TODAY(),"Due today",IF(TODAY()-$D38&lt;IF('Start Here'!$C$16="",7,'Start Here'!$C$16),"Just overdue",IF(TODAY()-$D38&lt;IF('Start Here'!$C$17="",21,'Start Here'!$C$17),"First reminder",IF(TODAY()-$D38&lt;IF('Start Here'!$C$18="",45,'Start Here'!$C$18),"Second reminder","Last friendly reminder"))))))))))</f>
        <v/>
      </c>
      <c r="T38" s="31"/>
      <c r="U38" s="30"/>
      <c r="V38" s="37" t="str">
        <f t="shared" si="4"/>
        <v/>
      </c>
      <c r="W38" s="39"/>
      <c r="X38" s="37" t="str">
        <f>IF($A38="","",IFERROR(VALUE(IF('Start Here'!$C$13="",$A38,SUBSTITUTE($A38,'Start Here'!$C$13,""))),""))</f>
        <v/>
      </c>
      <c r="Y38" s="37" t="str">
        <f t="shared" si="5"/>
        <v/>
      </c>
      <c r="Z38" s="37" t="str">
        <f t="shared" ca="1" si="6"/>
        <v/>
      </c>
      <c r="AA38" s="37" t="str">
        <f t="shared" si="7"/>
        <v/>
      </c>
      <c r="AB38" s="37" t="str">
        <f t="shared" ca="1" si="8"/>
        <v/>
      </c>
    </row>
    <row r="39" spans="1:28" ht="16" x14ac:dyDescent="0.2">
      <c r="A39" s="30"/>
      <c r="B39" s="31"/>
      <c r="C39" s="32"/>
      <c r="D39" s="33" t="str">
        <f>IF($B39="","",$B39+IF($C39="",IF('Start Here'!$C$15="",14,'Start Here'!$C$15),$C39))</f>
        <v/>
      </c>
      <c r="E39" s="30"/>
      <c r="F39" s="30"/>
      <c r="G39" s="30"/>
      <c r="H39" s="30"/>
      <c r="I39" s="34" t="str">
        <f>IF($A39="","",ROUND(SUMIF('Line Items'!$A$8:$A$507,$A39,'Line Items'!$H$8:$H$507),2))</f>
        <v/>
      </c>
      <c r="J39" s="35"/>
      <c r="K39" s="34" t="str">
        <f>IF($A39="","",ROUND($I39*IFERROR(IF($J39="",IF('Start Here'!$C$22="",0,'Start Here'!$C$22),$J39),0)/100,2))</f>
        <v/>
      </c>
      <c r="L39" s="34" t="str">
        <f t="shared" si="0"/>
        <v/>
      </c>
      <c r="M39" s="36"/>
      <c r="N39" s="31"/>
      <c r="O39" s="34" t="str">
        <f t="shared" si="1"/>
        <v/>
      </c>
      <c r="P39" s="30"/>
      <c r="Q39" s="37" t="str">
        <f t="shared" ca="1" si="2"/>
        <v/>
      </c>
      <c r="R39" s="38" t="str">
        <f t="shared" ca="1" si="3"/>
        <v/>
      </c>
      <c r="S39" s="37" t="str">
        <f ca="1">IF($A39="","",IF(OR($Q39="Paid",$Q39="Cancelled",$Q39="Draft"),"—",IF($Q39="No lines yet","Add line items",IF($Q39="No date","Add invoice date",IF($D39-TODAY()&gt;7,"—",IF($D39-TODAY()&gt;=1,"Due soon",IF($D39=TODAY(),"Due today",IF(TODAY()-$D39&lt;IF('Start Here'!$C$16="",7,'Start Here'!$C$16),"Just overdue",IF(TODAY()-$D39&lt;IF('Start Here'!$C$17="",21,'Start Here'!$C$17),"First reminder",IF(TODAY()-$D39&lt;IF('Start Here'!$C$18="",45,'Start Here'!$C$18),"Second reminder","Last friendly reminder"))))))))))</f>
        <v/>
      </c>
      <c r="T39" s="31"/>
      <c r="U39" s="30"/>
      <c r="V39" s="37" t="str">
        <f t="shared" si="4"/>
        <v/>
      </c>
      <c r="W39" s="40"/>
      <c r="X39" s="37" t="str">
        <f>IF($A39="","",IFERROR(VALUE(IF('Start Here'!$C$13="",$A39,SUBSTITUTE($A39,'Start Here'!$C$13,""))),""))</f>
        <v/>
      </c>
      <c r="Y39" s="37" t="str">
        <f t="shared" si="5"/>
        <v/>
      </c>
      <c r="Z39" s="37" t="str">
        <f t="shared" ca="1" si="6"/>
        <v/>
      </c>
      <c r="AA39" s="37" t="str">
        <f t="shared" si="7"/>
        <v/>
      </c>
      <c r="AB39" s="37" t="str">
        <f t="shared" ca="1" si="8"/>
        <v/>
      </c>
    </row>
    <row r="40" spans="1:28" ht="16" x14ac:dyDescent="0.2">
      <c r="A40" s="30"/>
      <c r="B40" s="31"/>
      <c r="C40" s="32"/>
      <c r="D40" s="33" t="str">
        <f>IF($B40="","",$B40+IF($C40="",IF('Start Here'!$C$15="",14,'Start Here'!$C$15),$C40))</f>
        <v/>
      </c>
      <c r="E40" s="30"/>
      <c r="F40" s="30"/>
      <c r="G40" s="30"/>
      <c r="H40" s="30"/>
      <c r="I40" s="34" t="str">
        <f>IF($A40="","",ROUND(SUMIF('Line Items'!$A$8:$A$507,$A40,'Line Items'!$H$8:$H$507),2))</f>
        <v/>
      </c>
      <c r="J40" s="35"/>
      <c r="K40" s="34" t="str">
        <f>IF($A40="","",ROUND($I40*IFERROR(IF($J40="",IF('Start Here'!$C$22="",0,'Start Here'!$C$22),$J40),0)/100,2))</f>
        <v/>
      </c>
      <c r="L40" s="34" t="str">
        <f t="shared" si="0"/>
        <v/>
      </c>
      <c r="M40" s="36"/>
      <c r="N40" s="31"/>
      <c r="O40" s="34" t="str">
        <f t="shared" si="1"/>
        <v/>
      </c>
      <c r="P40" s="30"/>
      <c r="Q40" s="37" t="str">
        <f t="shared" ca="1" si="2"/>
        <v/>
      </c>
      <c r="R40" s="38" t="str">
        <f t="shared" ca="1" si="3"/>
        <v/>
      </c>
      <c r="S40" s="37" t="str">
        <f ca="1">IF($A40="","",IF(OR($Q40="Paid",$Q40="Cancelled",$Q40="Draft"),"—",IF($Q40="No lines yet","Add line items",IF($Q40="No date","Add invoice date",IF($D40-TODAY()&gt;7,"—",IF($D40-TODAY()&gt;=1,"Due soon",IF($D40=TODAY(),"Due today",IF(TODAY()-$D40&lt;IF('Start Here'!$C$16="",7,'Start Here'!$C$16),"Just overdue",IF(TODAY()-$D40&lt;IF('Start Here'!$C$17="",21,'Start Here'!$C$17),"First reminder",IF(TODAY()-$D40&lt;IF('Start Here'!$C$18="",45,'Start Here'!$C$18),"Second reminder","Last friendly reminder"))))))))))</f>
        <v/>
      </c>
      <c r="T40" s="31"/>
      <c r="U40" s="30"/>
      <c r="V40" s="37" t="str">
        <f t="shared" si="4"/>
        <v/>
      </c>
      <c r="W40" s="39"/>
      <c r="X40" s="37" t="str">
        <f>IF($A40="","",IFERROR(VALUE(IF('Start Here'!$C$13="",$A40,SUBSTITUTE($A40,'Start Here'!$C$13,""))),""))</f>
        <v/>
      </c>
      <c r="Y40" s="37" t="str">
        <f t="shared" si="5"/>
        <v/>
      </c>
      <c r="Z40" s="37" t="str">
        <f t="shared" ca="1" si="6"/>
        <v/>
      </c>
      <c r="AA40" s="37" t="str">
        <f t="shared" si="7"/>
        <v/>
      </c>
      <c r="AB40" s="37" t="str">
        <f t="shared" ca="1" si="8"/>
        <v/>
      </c>
    </row>
    <row r="41" spans="1:28" ht="16" x14ac:dyDescent="0.2">
      <c r="A41" s="30"/>
      <c r="B41" s="31"/>
      <c r="C41" s="32"/>
      <c r="D41" s="33" t="str">
        <f>IF($B41="","",$B41+IF($C41="",IF('Start Here'!$C$15="",14,'Start Here'!$C$15),$C41))</f>
        <v/>
      </c>
      <c r="E41" s="30"/>
      <c r="F41" s="30"/>
      <c r="G41" s="30"/>
      <c r="H41" s="30"/>
      <c r="I41" s="34" t="str">
        <f>IF($A41="","",ROUND(SUMIF('Line Items'!$A$8:$A$507,$A41,'Line Items'!$H$8:$H$507),2))</f>
        <v/>
      </c>
      <c r="J41" s="35"/>
      <c r="K41" s="34" t="str">
        <f>IF($A41="","",ROUND($I41*IFERROR(IF($J41="",IF('Start Here'!$C$22="",0,'Start Here'!$C$22),$J41),0)/100,2))</f>
        <v/>
      </c>
      <c r="L41" s="34" t="str">
        <f t="shared" si="0"/>
        <v/>
      </c>
      <c r="M41" s="36"/>
      <c r="N41" s="31"/>
      <c r="O41" s="34" t="str">
        <f t="shared" si="1"/>
        <v/>
      </c>
      <c r="P41" s="30"/>
      <c r="Q41" s="37" t="str">
        <f t="shared" ca="1" si="2"/>
        <v/>
      </c>
      <c r="R41" s="38" t="str">
        <f t="shared" ca="1" si="3"/>
        <v/>
      </c>
      <c r="S41" s="37" t="str">
        <f ca="1">IF($A41="","",IF(OR($Q41="Paid",$Q41="Cancelled",$Q41="Draft"),"—",IF($Q41="No lines yet","Add line items",IF($Q41="No date","Add invoice date",IF($D41-TODAY()&gt;7,"—",IF($D41-TODAY()&gt;=1,"Due soon",IF($D41=TODAY(),"Due today",IF(TODAY()-$D41&lt;IF('Start Here'!$C$16="",7,'Start Here'!$C$16),"Just overdue",IF(TODAY()-$D41&lt;IF('Start Here'!$C$17="",21,'Start Here'!$C$17),"First reminder",IF(TODAY()-$D41&lt;IF('Start Here'!$C$18="",45,'Start Here'!$C$18),"Second reminder","Last friendly reminder"))))))))))</f>
        <v/>
      </c>
      <c r="T41" s="31"/>
      <c r="U41" s="30"/>
      <c r="V41" s="37" t="str">
        <f t="shared" si="4"/>
        <v/>
      </c>
      <c r="W41" s="40"/>
      <c r="X41" s="37" t="str">
        <f>IF($A41="","",IFERROR(VALUE(IF('Start Here'!$C$13="",$A41,SUBSTITUTE($A41,'Start Here'!$C$13,""))),""))</f>
        <v/>
      </c>
      <c r="Y41" s="37" t="str">
        <f t="shared" si="5"/>
        <v/>
      </c>
      <c r="Z41" s="37" t="str">
        <f t="shared" ca="1" si="6"/>
        <v/>
      </c>
      <c r="AA41" s="37" t="str">
        <f t="shared" si="7"/>
        <v/>
      </c>
      <c r="AB41" s="37" t="str">
        <f t="shared" ca="1" si="8"/>
        <v/>
      </c>
    </row>
    <row r="42" spans="1:28" ht="16" x14ac:dyDescent="0.2">
      <c r="A42" s="30"/>
      <c r="B42" s="31"/>
      <c r="C42" s="32"/>
      <c r="D42" s="33" t="str">
        <f>IF($B42="","",$B42+IF($C42="",IF('Start Here'!$C$15="",14,'Start Here'!$C$15),$C42))</f>
        <v/>
      </c>
      <c r="E42" s="30"/>
      <c r="F42" s="30"/>
      <c r="G42" s="30"/>
      <c r="H42" s="30"/>
      <c r="I42" s="34" t="str">
        <f>IF($A42="","",ROUND(SUMIF('Line Items'!$A$8:$A$507,$A42,'Line Items'!$H$8:$H$507),2))</f>
        <v/>
      </c>
      <c r="J42" s="35"/>
      <c r="K42" s="34" t="str">
        <f>IF($A42="","",ROUND($I42*IFERROR(IF($J42="",IF('Start Here'!$C$22="",0,'Start Here'!$C$22),$J42),0)/100,2))</f>
        <v/>
      </c>
      <c r="L42" s="34" t="str">
        <f t="shared" si="0"/>
        <v/>
      </c>
      <c r="M42" s="36"/>
      <c r="N42" s="31"/>
      <c r="O42" s="34" t="str">
        <f t="shared" si="1"/>
        <v/>
      </c>
      <c r="P42" s="30"/>
      <c r="Q42" s="37" t="str">
        <f t="shared" ca="1" si="2"/>
        <v/>
      </c>
      <c r="R42" s="38" t="str">
        <f t="shared" ca="1" si="3"/>
        <v/>
      </c>
      <c r="S42" s="37" t="str">
        <f ca="1">IF($A42="","",IF(OR($Q42="Paid",$Q42="Cancelled",$Q42="Draft"),"—",IF($Q42="No lines yet","Add line items",IF($Q42="No date","Add invoice date",IF($D42-TODAY()&gt;7,"—",IF($D42-TODAY()&gt;=1,"Due soon",IF($D42=TODAY(),"Due today",IF(TODAY()-$D42&lt;IF('Start Here'!$C$16="",7,'Start Here'!$C$16),"Just overdue",IF(TODAY()-$D42&lt;IF('Start Here'!$C$17="",21,'Start Here'!$C$17),"First reminder",IF(TODAY()-$D42&lt;IF('Start Here'!$C$18="",45,'Start Here'!$C$18),"Second reminder","Last friendly reminder"))))))))))</f>
        <v/>
      </c>
      <c r="T42" s="31"/>
      <c r="U42" s="30"/>
      <c r="V42" s="37" t="str">
        <f t="shared" si="4"/>
        <v/>
      </c>
      <c r="W42" s="39"/>
      <c r="X42" s="37" t="str">
        <f>IF($A42="","",IFERROR(VALUE(IF('Start Here'!$C$13="",$A42,SUBSTITUTE($A42,'Start Here'!$C$13,""))),""))</f>
        <v/>
      </c>
      <c r="Y42" s="37" t="str">
        <f t="shared" si="5"/>
        <v/>
      </c>
      <c r="Z42" s="37" t="str">
        <f t="shared" ca="1" si="6"/>
        <v/>
      </c>
      <c r="AA42" s="37" t="str">
        <f t="shared" si="7"/>
        <v/>
      </c>
      <c r="AB42" s="37" t="str">
        <f t="shared" ca="1" si="8"/>
        <v/>
      </c>
    </row>
    <row r="43" spans="1:28" ht="16" x14ac:dyDescent="0.2">
      <c r="A43" s="30"/>
      <c r="B43" s="31"/>
      <c r="C43" s="32"/>
      <c r="D43" s="33" t="str">
        <f>IF($B43="","",$B43+IF($C43="",IF('Start Here'!$C$15="",14,'Start Here'!$C$15),$C43))</f>
        <v/>
      </c>
      <c r="E43" s="30"/>
      <c r="F43" s="30"/>
      <c r="G43" s="30"/>
      <c r="H43" s="30"/>
      <c r="I43" s="34" t="str">
        <f>IF($A43="","",ROUND(SUMIF('Line Items'!$A$8:$A$507,$A43,'Line Items'!$H$8:$H$507),2))</f>
        <v/>
      </c>
      <c r="J43" s="35"/>
      <c r="K43" s="34" t="str">
        <f>IF($A43="","",ROUND($I43*IFERROR(IF($J43="",IF('Start Here'!$C$22="",0,'Start Here'!$C$22),$J43),0)/100,2))</f>
        <v/>
      </c>
      <c r="L43" s="34" t="str">
        <f t="shared" si="0"/>
        <v/>
      </c>
      <c r="M43" s="36"/>
      <c r="N43" s="31"/>
      <c r="O43" s="34" t="str">
        <f t="shared" si="1"/>
        <v/>
      </c>
      <c r="P43" s="30"/>
      <c r="Q43" s="37" t="str">
        <f t="shared" ca="1" si="2"/>
        <v/>
      </c>
      <c r="R43" s="38" t="str">
        <f t="shared" ca="1" si="3"/>
        <v/>
      </c>
      <c r="S43" s="37" t="str">
        <f ca="1">IF($A43="","",IF(OR($Q43="Paid",$Q43="Cancelled",$Q43="Draft"),"—",IF($Q43="No lines yet","Add line items",IF($Q43="No date","Add invoice date",IF($D43-TODAY()&gt;7,"—",IF($D43-TODAY()&gt;=1,"Due soon",IF($D43=TODAY(),"Due today",IF(TODAY()-$D43&lt;IF('Start Here'!$C$16="",7,'Start Here'!$C$16),"Just overdue",IF(TODAY()-$D43&lt;IF('Start Here'!$C$17="",21,'Start Here'!$C$17),"First reminder",IF(TODAY()-$D43&lt;IF('Start Here'!$C$18="",45,'Start Here'!$C$18),"Second reminder","Last friendly reminder"))))))))))</f>
        <v/>
      </c>
      <c r="T43" s="31"/>
      <c r="U43" s="30"/>
      <c r="V43" s="37" t="str">
        <f t="shared" si="4"/>
        <v/>
      </c>
      <c r="W43" s="40"/>
      <c r="X43" s="37" t="str">
        <f>IF($A43="","",IFERROR(VALUE(IF('Start Here'!$C$13="",$A43,SUBSTITUTE($A43,'Start Here'!$C$13,""))),""))</f>
        <v/>
      </c>
      <c r="Y43" s="37" t="str">
        <f t="shared" si="5"/>
        <v/>
      </c>
      <c r="Z43" s="37" t="str">
        <f t="shared" ca="1" si="6"/>
        <v/>
      </c>
      <c r="AA43" s="37" t="str">
        <f t="shared" si="7"/>
        <v/>
      </c>
      <c r="AB43" s="37" t="str">
        <f t="shared" ca="1" si="8"/>
        <v/>
      </c>
    </row>
    <row r="44" spans="1:28" ht="16" x14ac:dyDescent="0.2">
      <c r="A44" s="30"/>
      <c r="B44" s="31"/>
      <c r="C44" s="32"/>
      <c r="D44" s="33" t="str">
        <f>IF($B44="","",$B44+IF($C44="",IF('Start Here'!$C$15="",14,'Start Here'!$C$15),$C44))</f>
        <v/>
      </c>
      <c r="E44" s="30"/>
      <c r="F44" s="30"/>
      <c r="G44" s="30"/>
      <c r="H44" s="30"/>
      <c r="I44" s="34" t="str">
        <f>IF($A44="","",ROUND(SUMIF('Line Items'!$A$8:$A$507,$A44,'Line Items'!$H$8:$H$507),2))</f>
        <v/>
      </c>
      <c r="J44" s="35"/>
      <c r="K44" s="34" t="str">
        <f>IF($A44="","",ROUND($I44*IFERROR(IF($J44="",IF('Start Here'!$C$22="",0,'Start Here'!$C$22),$J44),0)/100,2))</f>
        <v/>
      </c>
      <c r="L44" s="34" t="str">
        <f t="shared" si="0"/>
        <v/>
      </c>
      <c r="M44" s="36"/>
      <c r="N44" s="31"/>
      <c r="O44" s="34" t="str">
        <f t="shared" si="1"/>
        <v/>
      </c>
      <c r="P44" s="30"/>
      <c r="Q44" s="37" t="str">
        <f t="shared" ca="1" si="2"/>
        <v/>
      </c>
      <c r="R44" s="38" t="str">
        <f t="shared" ca="1" si="3"/>
        <v/>
      </c>
      <c r="S44" s="37" t="str">
        <f ca="1">IF($A44="","",IF(OR($Q44="Paid",$Q44="Cancelled",$Q44="Draft"),"—",IF($Q44="No lines yet","Add line items",IF($Q44="No date","Add invoice date",IF($D44-TODAY()&gt;7,"—",IF($D44-TODAY()&gt;=1,"Due soon",IF($D44=TODAY(),"Due today",IF(TODAY()-$D44&lt;IF('Start Here'!$C$16="",7,'Start Here'!$C$16),"Just overdue",IF(TODAY()-$D44&lt;IF('Start Here'!$C$17="",21,'Start Here'!$C$17),"First reminder",IF(TODAY()-$D44&lt;IF('Start Here'!$C$18="",45,'Start Here'!$C$18),"Second reminder","Last friendly reminder"))))))))))</f>
        <v/>
      </c>
      <c r="T44" s="31"/>
      <c r="U44" s="30"/>
      <c r="V44" s="37" t="str">
        <f t="shared" si="4"/>
        <v/>
      </c>
      <c r="W44" s="39"/>
      <c r="X44" s="37" t="str">
        <f>IF($A44="","",IFERROR(VALUE(IF('Start Here'!$C$13="",$A44,SUBSTITUTE($A44,'Start Here'!$C$13,""))),""))</f>
        <v/>
      </c>
      <c r="Y44" s="37" t="str">
        <f t="shared" si="5"/>
        <v/>
      </c>
      <c r="Z44" s="37" t="str">
        <f t="shared" ca="1" si="6"/>
        <v/>
      </c>
      <c r="AA44" s="37" t="str">
        <f t="shared" si="7"/>
        <v/>
      </c>
      <c r="AB44" s="37" t="str">
        <f t="shared" ca="1" si="8"/>
        <v/>
      </c>
    </row>
    <row r="45" spans="1:28" ht="16" x14ac:dyDescent="0.2">
      <c r="A45" s="30"/>
      <c r="B45" s="31"/>
      <c r="C45" s="32"/>
      <c r="D45" s="33" t="str">
        <f>IF($B45="","",$B45+IF($C45="",IF('Start Here'!$C$15="",14,'Start Here'!$C$15),$C45))</f>
        <v/>
      </c>
      <c r="E45" s="30"/>
      <c r="F45" s="30"/>
      <c r="G45" s="30"/>
      <c r="H45" s="30"/>
      <c r="I45" s="34" t="str">
        <f>IF($A45="","",ROUND(SUMIF('Line Items'!$A$8:$A$507,$A45,'Line Items'!$H$8:$H$507),2))</f>
        <v/>
      </c>
      <c r="J45" s="35"/>
      <c r="K45" s="34" t="str">
        <f>IF($A45="","",ROUND($I45*IFERROR(IF($J45="",IF('Start Here'!$C$22="",0,'Start Here'!$C$22),$J45),0)/100,2))</f>
        <v/>
      </c>
      <c r="L45" s="34" t="str">
        <f t="shared" si="0"/>
        <v/>
      </c>
      <c r="M45" s="36"/>
      <c r="N45" s="31"/>
      <c r="O45" s="34" t="str">
        <f t="shared" si="1"/>
        <v/>
      </c>
      <c r="P45" s="30"/>
      <c r="Q45" s="37" t="str">
        <f t="shared" ca="1" si="2"/>
        <v/>
      </c>
      <c r="R45" s="38" t="str">
        <f t="shared" ca="1" si="3"/>
        <v/>
      </c>
      <c r="S45" s="37" t="str">
        <f ca="1">IF($A45="","",IF(OR($Q45="Paid",$Q45="Cancelled",$Q45="Draft"),"—",IF($Q45="No lines yet","Add line items",IF($Q45="No date","Add invoice date",IF($D45-TODAY()&gt;7,"—",IF($D45-TODAY()&gt;=1,"Due soon",IF($D45=TODAY(),"Due today",IF(TODAY()-$D45&lt;IF('Start Here'!$C$16="",7,'Start Here'!$C$16),"Just overdue",IF(TODAY()-$D45&lt;IF('Start Here'!$C$17="",21,'Start Here'!$C$17),"First reminder",IF(TODAY()-$D45&lt;IF('Start Here'!$C$18="",45,'Start Here'!$C$18),"Second reminder","Last friendly reminder"))))))))))</f>
        <v/>
      </c>
      <c r="T45" s="31"/>
      <c r="U45" s="30"/>
      <c r="V45" s="37" t="str">
        <f t="shared" si="4"/>
        <v/>
      </c>
      <c r="W45" s="40"/>
      <c r="X45" s="37" t="str">
        <f>IF($A45="","",IFERROR(VALUE(IF('Start Here'!$C$13="",$A45,SUBSTITUTE($A45,'Start Here'!$C$13,""))),""))</f>
        <v/>
      </c>
      <c r="Y45" s="37" t="str">
        <f t="shared" si="5"/>
        <v/>
      </c>
      <c r="Z45" s="37" t="str">
        <f t="shared" ca="1" si="6"/>
        <v/>
      </c>
      <c r="AA45" s="37" t="str">
        <f t="shared" si="7"/>
        <v/>
      </c>
      <c r="AB45" s="37" t="str">
        <f t="shared" ca="1" si="8"/>
        <v/>
      </c>
    </row>
    <row r="46" spans="1:28" ht="16" x14ac:dyDescent="0.2">
      <c r="A46" s="30"/>
      <c r="B46" s="31"/>
      <c r="C46" s="32"/>
      <c r="D46" s="33" t="str">
        <f>IF($B46="","",$B46+IF($C46="",IF('Start Here'!$C$15="",14,'Start Here'!$C$15),$C46))</f>
        <v/>
      </c>
      <c r="E46" s="30"/>
      <c r="F46" s="30"/>
      <c r="G46" s="30"/>
      <c r="H46" s="30"/>
      <c r="I46" s="34" t="str">
        <f>IF($A46="","",ROUND(SUMIF('Line Items'!$A$8:$A$507,$A46,'Line Items'!$H$8:$H$507),2))</f>
        <v/>
      </c>
      <c r="J46" s="35"/>
      <c r="K46" s="34" t="str">
        <f>IF($A46="","",ROUND($I46*IFERROR(IF($J46="",IF('Start Here'!$C$22="",0,'Start Here'!$C$22),$J46),0)/100,2))</f>
        <v/>
      </c>
      <c r="L46" s="34" t="str">
        <f t="shared" si="0"/>
        <v/>
      </c>
      <c r="M46" s="36"/>
      <c r="N46" s="31"/>
      <c r="O46" s="34" t="str">
        <f t="shared" si="1"/>
        <v/>
      </c>
      <c r="P46" s="30"/>
      <c r="Q46" s="37" t="str">
        <f t="shared" ca="1" si="2"/>
        <v/>
      </c>
      <c r="R46" s="38" t="str">
        <f t="shared" ca="1" si="3"/>
        <v/>
      </c>
      <c r="S46" s="37" t="str">
        <f ca="1">IF($A46="","",IF(OR($Q46="Paid",$Q46="Cancelled",$Q46="Draft"),"—",IF($Q46="No lines yet","Add line items",IF($Q46="No date","Add invoice date",IF($D46-TODAY()&gt;7,"—",IF($D46-TODAY()&gt;=1,"Due soon",IF($D46=TODAY(),"Due today",IF(TODAY()-$D46&lt;IF('Start Here'!$C$16="",7,'Start Here'!$C$16),"Just overdue",IF(TODAY()-$D46&lt;IF('Start Here'!$C$17="",21,'Start Here'!$C$17),"First reminder",IF(TODAY()-$D46&lt;IF('Start Here'!$C$18="",45,'Start Here'!$C$18),"Second reminder","Last friendly reminder"))))))))))</f>
        <v/>
      </c>
      <c r="T46" s="31"/>
      <c r="U46" s="30"/>
      <c r="V46" s="37" t="str">
        <f t="shared" si="4"/>
        <v/>
      </c>
      <c r="W46" s="39"/>
      <c r="X46" s="37" t="str">
        <f>IF($A46="","",IFERROR(VALUE(IF('Start Here'!$C$13="",$A46,SUBSTITUTE($A46,'Start Here'!$C$13,""))),""))</f>
        <v/>
      </c>
      <c r="Y46" s="37" t="str">
        <f t="shared" si="5"/>
        <v/>
      </c>
      <c r="Z46" s="37" t="str">
        <f t="shared" ca="1" si="6"/>
        <v/>
      </c>
      <c r="AA46" s="37" t="str">
        <f t="shared" si="7"/>
        <v/>
      </c>
      <c r="AB46" s="37" t="str">
        <f t="shared" ca="1" si="8"/>
        <v/>
      </c>
    </row>
    <row r="47" spans="1:28" ht="16" x14ac:dyDescent="0.2">
      <c r="A47" s="30"/>
      <c r="B47" s="31"/>
      <c r="C47" s="32"/>
      <c r="D47" s="33" t="str">
        <f>IF($B47="","",$B47+IF($C47="",IF('Start Here'!$C$15="",14,'Start Here'!$C$15),$C47))</f>
        <v/>
      </c>
      <c r="E47" s="30"/>
      <c r="F47" s="30"/>
      <c r="G47" s="30"/>
      <c r="H47" s="30"/>
      <c r="I47" s="34" t="str">
        <f>IF($A47="","",ROUND(SUMIF('Line Items'!$A$8:$A$507,$A47,'Line Items'!$H$8:$H$507),2))</f>
        <v/>
      </c>
      <c r="J47" s="35"/>
      <c r="K47" s="34" t="str">
        <f>IF($A47="","",ROUND($I47*IFERROR(IF($J47="",IF('Start Here'!$C$22="",0,'Start Here'!$C$22),$J47),0)/100,2))</f>
        <v/>
      </c>
      <c r="L47" s="34" t="str">
        <f t="shared" si="0"/>
        <v/>
      </c>
      <c r="M47" s="36"/>
      <c r="N47" s="31"/>
      <c r="O47" s="34" t="str">
        <f t="shared" si="1"/>
        <v/>
      </c>
      <c r="P47" s="30"/>
      <c r="Q47" s="37" t="str">
        <f t="shared" ca="1" si="2"/>
        <v/>
      </c>
      <c r="R47" s="38" t="str">
        <f t="shared" ca="1" si="3"/>
        <v/>
      </c>
      <c r="S47" s="37" t="str">
        <f ca="1">IF($A47="","",IF(OR($Q47="Paid",$Q47="Cancelled",$Q47="Draft"),"—",IF($Q47="No lines yet","Add line items",IF($Q47="No date","Add invoice date",IF($D47-TODAY()&gt;7,"—",IF($D47-TODAY()&gt;=1,"Due soon",IF($D47=TODAY(),"Due today",IF(TODAY()-$D47&lt;IF('Start Here'!$C$16="",7,'Start Here'!$C$16),"Just overdue",IF(TODAY()-$D47&lt;IF('Start Here'!$C$17="",21,'Start Here'!$C$17),"First reminder",IF(TODAY()-$D47&lt;IF('Start Here'!$C$18="",45,'Start Here'!$C$18),"Second reminder","Last friendly reminder"))))))))))</f>
        <v/>
      </c>
      <c r="T47" s="31"/>
      <c r="U47" s="30"/>
      <c r="V47" s="37" t="str">
        <f t="shared" si="4"/>
        <v/>
      </c>
      <c r="W47" s="40"/>
      <c r="X47" s="37" t="str">
        <f>IF($A47="","",IFERROR(VALUE(IF('Start Here'!$C$13="",$A47,SUBSTITUTE($A47,'Start Here'!$C$13,""))),""))</f>
        <v/>
      </c>
      <c r="Y47" s="37" t="str">
        <f t="shared" si="5"/>
        <v/>
      </c>
      <c r="Z47" s="37" t="str">
        <f t="shared" ca="1" si="6"/>
        <v/>
      </c>
      <c r="AA47" s="37" t="str">
        <f t="shared" si="7"/>
        <v/>
      </c>
      <c r="AB47" s="37" t="str">
        <f t="shared" ca="1" si="8"/>
        <v/>
      </c>
    </row>
    <row r="48" spans="1:28" ht="16" x14ac:dyDescent="0.2">
      <c r="A48" s="30"/>
      <c r="B48" s="31"/>
      <c r="C48" s="32"/>
      <c r="D48" s="33" t="str">
        <f>IF($B48="","",$B48+IF($C48="",IF('Start Here'!$C$15="",14,'Start Here'!$C$15),$C48))</f>
        <v/>
      </c>
      <c r="E48" s="30"/>
      <c r="F48" s="30"/>
      <c r="G48" s="30"/>
      <c r="H48" s="30"/>
      <c r="I48" s="34" t="str">
        <f>IF($A48="","",ROUND(SUMIF('Line Items'!$A$8:$A$507,$A48,'Line Items'!$H$8:$H$507),2))</f>
        <v/>
      </c>
      <c r="J48" s="35"/>
      <c r="K48" s="34" t="str">
        <f>IF($A48="","",ROUND($I48*IFERROR(IF($J48="",IF('Start Here'!$C$22="",0,'Start Here'!$C$22),$J48),0)/100,2))</f>
        <v/>
      </c>
      <c r="L48" s="34" t="str">
        <f t="shared" si="0"/>
        <v/>
      </c>
      <c r="M48" s="36"/>
      <c r="N48" s="31"/>
      <c r="O48" s="34" t="str">
        <f t="shared" si="1"/>
        <v/>
      </c>
      <c r="P48" s="30"/>
      <c r="Q48" s="37" t="str">
        <f t="shared" ca="1" si="2"/>
        <v/>
      </c>
      <c r="R48" s="38" t="str">
        <f t="shared" ca="1" si="3"/>
        <v/>
      </c>
      <c r="S48" s="37" t="str">
        <f ca="1">IF($A48="","",IF(OR($Q48="Paid",$Q48="Cancelled",$Q48="Draft"),"—",IF($Q48="No lines yet","Add line items",IF($Q48="No date","Add invoice date",IF($D48-TODAY()&gt;7,"—",IF($D48-TODAY()&gt;=1,"Due soon",IF($D48=TODAY(),"Due today",IF(TODAY()-$D48&lt;IF('Start Here'!$C$16="",7,'Start Here'!$C$16),"Just overdue",IF(TODAY()-$D48&lt;IF('Start Here'!$C$17="",21,'Start Here'!$C$17),"First reminder",IF(TODAY()-$D48&lt;IF('Start Here'!$C$18="",45,'Start Here'!$C$18),"Second reminder","Last friendly reminder"))))))))))</f>
        <v/>
      </c>
      <c r="T48" s="31"/>
      <c r="U48" s="30"/>
      <c r="V48" s="37" t="str">
        <f t="shared" si="4"/>
        <v/>
      </c>
      <c r="W48" s="39"/>
      <c r="X48" s="37" t="str">
        <f>IF($A48="","",IFERROR(VALUE(IF('Start Here'!$C$13="",$A48,SUBSTITUTE($A48,'Start Here'!$C$13,""))),""))</f>
        <v/>
      </c>
      <c r="Y48" s="37" t="str">
        <f t="shared" si="5"/>
        <v/>
      </c>
      <c r="Z48" s="37" t="str">
        <f t="shared" ca="1" si="6"/>
        <v/>
      </c>
      <c r="AA48" s="37" t="str">
        <f t="shared" si="7"/>
        <v/>
      </c>
      <c r="AB48" s="37" t="str">
        <f t="shared" ca="1" si="8"/>
        <v/>
      </c>
    </row>
    <row r="49" spans="1:28" ht="16" x14ac:dyDescent="0.2">
      <c r="A49" s="30"/>
      <c r="B49" s="31"/>
      <c r="C49" s="32"/>
      <c r="D49" s="33" t="str">
        <f>IF($B49="","",$B49+IF($C49="",IF('Start Here'!$C$15="",14,'Start Here'!$C$15),$C49))</f>
        <v/>
      </c>
      <c r="E49" s="30"/>
      <c r="F49" s="30"/>
      <c r="G49" s="30"/>
      <c r="H49" s="30"/>
      <c r="I49" s="34" t="str">
        <f>IF($A49="","",ROUND(SUMIF('Line Items'!$A$8:$A$507,$A49,'Line Items'!$H$8:$H$507),2))</f>
        <v/>
      </c>
      <c r="J49" s="35"/>
      <c r="K49" s="34" t="str">
        <f>IF($A49="","",ROUND($I49*IFERROR(IF($J49="",IF('Start Here'!$C$22="",0,'Start Here'!$C$22),$J49),0)/100,2))</f>
        <v/>
      </c>
      <c r="L49" s="34" t="str">
        <f t="shared" si="0"/>
        <v/>
      </c>
      <c r="M49" s="36"/>
      <c r="N49" s="31"/>
      <c r="O49" s="34" t="str">
        <f t="shared" si="1"/>
        <v/>
      </c>
      <c r="P49" s="30"/>
      <c r="Q49" s="37" t="str">
        <f t="shared" ca="1" si="2"/>
        <v/>
      </c>
      <c r="R49" s="38" t="str">
        <f t="shared" ca="1" si="3"/>
        <v/>
      </c>
      <c r="S49" s="37" t="str">
        <f ca="1">IF($A49="","",IF(OR($Q49="Paid",$Q49="Cancelled",$Q49="Draft"),"—",IF($Q49="No lines yet","Add line items",IF($Q49="No date","Add invoice date",IF($D49-TODAY()&gt;7,"—",IF($D49-TODAY()&gt;=1,"Due soon",IF($D49=TODAY(),"Due today",IF(TODAY()-$D49&lt;IF('Start Here'!$C$16="",7,'Start Here'!$C$16),"Just overdue",IF(TODAY()-$D49&lt;IF('Start Here'!$C$17="",21,'Start Here'!$C$17),"First reminder",IF(TODAY()-$D49&lt;IF('Start Here'!$C$18="",45,'Start Here'!$C$18),"Second reminder","Last friendly reminder"))))))))))</f>
        <v/>
      </c>
      <c r="T49" s="31"/>
      <c r="U49" s="30"/>
      <c r="V49" s="37" t="str">
        <f t="shared" si="4"/>
        <v/>
      </c>
      <c r="W49" s="40"/>
      <c r="X49" s="37" t="str">
        <f>IF($A49="","",IFERROR(VALUE(IF('Start Here'!$C$13="",$A49,SUBSTITUTE($A49,'Start Here'!$C$13,""))),""))</f>
        <v/>
      </c>
      <c r="Y49" s="37" t="str">
        <f t="shared" si="5"/>
        <v/>
      </c>
      <c r="Z49" s="37" t="str">
        <f t="shared" ca="1" si="6"/>
        <v/>
      </c>
      <c r="AA49" s="37" t="str">
        <f t="shared" si="7"/>
        <v/>
      </c>
      <c r="AB49" s="37" t="str">
        <f t="shared" ca="1" si="8"/>
        <v/>
      </c>
    </row>
    <row r="50" spans="1:28" ht="16" x14ac:dyDescent="0.2">
      <c r="A50" s="30"/>
      <c r="B50" s="31"/>
      <c r="C50" s="32"/>
      <c r="D50" s="33" t="str">
        <f>IF($B50="","",$B50+IF($C50="",IF('Start Here'!$C$15="",14,'Start Here'!$C$15),$C50))</f>
        <v/>
      </c>
      <c r="E50" s="30"/>
      <c r="F50" s="30"/>
      <c r="G50" s="30"/>
      <c r="H50" s="30"/>
      <c r="I50" s="34" t="str">
        <f>IF($A50="","",ROUND(SUMIF('Line Items'!$A$8:$A$507,$A50,'Line Items'!$H$8:$H$507),2))</f>
        <v/>
      </c>
      <c r="J50" s="35"/>
      <c r="K50" s="34" t="str">
        <f>IF($A50="","",ROUND($I50*IFERROR(IF($J50="",IF('Start Here'!$C$22="",0,'Start Here'!$C$22),$J50),0)/100,2))</f>
        <v/>
      </c>
      <c r="L50" s="34" t="str">
        <f t="shared" si="0"/>
        <v/>
      </c>
      <c r="M50" s="36"/>
      <c r="N50" s="31"/>
      <c r="O50" s="34" t="str">
        <f t="shared" si="1"/>
        <v/>
      </c>
      <c r="P50" s="30"/>
      <c r="Q50" s="37" t="str">
        <f t="shared" ca="1" si="2"/>
        <v/>
      </c>
      <c r="R50" s="38" t="str">
        <f t="shared" ca="1" si="3"/>
        <v/>
      </c>
      <c r="S50" s="37" t="str">
        <f ca="1">IF($A50="","",IF(OR($Q50="Paid",$Q50="Cancelled",$Q50="Draft"),"—",IF($Q50="No lines yet","Add line items",IF($Q50="No date","Add invoice date",IF($D50-TODAY()&gt;7,"—",IF($D50-TODAY()&gt;=1,"Due soon",IF($D50=TODAY(),"Due today",IF(TODAY()-$D50&lt;IF('Start Here'!$C$16="",7,'Start Here'!$C$16),"Just overdue",IF(TODAY()-$D50&lt;IF('Start Here'!$C$17="",21,'Start Here'!$C$17),"First reminder",IF(TODAY()-$D50&lt;IF('Start Here'!$C$18="",45,'Start Here'!$C$18),"Second reminder","Last friendly reminder"))))))))))</f>
        <v/>
      </c>
      <c r="T50" s="31"/>
      <c r="U50" s="30"/>
      <c r="V50" s="37" t="str">
        <f t="shared" si="4"/>
        <v/>
      </c>
      <c r="W50" s="39"/>
      <c r="X50" s="37" t="str">
        <f>IF($A50="","",IFERROR(VALUE(IF('Start Here'!$C$13="",$A50,SUBSTITUTE($A50,'Start Here'!$C$13,""))),""))</f>
        <v/>
      </c>
      <c r="Y50" s="37" t="str">
        <f t="shared" si="5"/>
        <v/>
      </c>
      <c r="Z50" s="37" t="str">
        <f t="shared" ca="1" si="6"/>
        <v/>
      </c>
      <c r="AA50" s="37" t="str">
        <f t="shared" si="7"/>
        <v/>
      </c>
      <c r="AB50" s="37" t="str">
        <f t="shared" ca="1" si="8"/>
        <v/>
      </c>
    </row>
    <row r="51" spans="1:28" ht="16" x14ac:dyDescent="0.2">
      <c r="A51" s="30"/>
      <c r="B51" s="31"/>
      <c r="C51" s="32"/>
      <c r="D51" s="33" t="str">
        <f>IF($B51="","",$B51+IF($C51="",IF('Start Here'!$C$15="",14,'Start Here'!$C$15),$C51))</f>
        <v/>
      </c>
      <c r="E51" s="30"/>
      <c r="F51" s="30"/>
      <c r="G51" s="30"/>
      <c r="H51" s="30"/>
      <c r="I51" s="34" t="str">
        <f>IF($A51="","",ROUND(SUMIF('Line Items'!$A$8:$A$507,$A51,'Line Items'!$H$8:$H$507),2))</f>
        <v/>
      </c>
      <c r="J51" s="35"/>
      <c r="K51" s="34" t="str">
        <f>IF($A51="","",ROUND($I51*IFERROR(IF($J51="",IF('Start Here'!$C$22="",0,'Start Here'!$C$22),$J51),0)/100,2))</f>
        <v/>
      </c>
      <c r="L51" s="34" t="str">
        <f t="shared" si="0"/>
        <v/>
      </c>
      <c r="M51" s="36"/>
      <c r="N51" s="31"/>
      <c r="O51" s="34" t="str">
        <f t="shared" si="1"/>
        <v/>
      </c>
      <c r="P51" s="30"/>
      <c r="Q51" s="37" t="str">
        <f t="shared" ca="1" si="2"/>
        <v/>
      </c>
      <c r="R51" s="38" t="str">
        <f t="shared" ca="1" si="3"/>
        <v/>
      </c>
      <c r="S51" s="37" t="str">
        <f ca="1">IF($A51="","",IF(OR($Q51="Paid",$Q51="Cancelled",$Q51="Draft"),"—",IF($Q51="No lines yet","Add line items",IF($Q51="No date","Add invoice date",IF($D51-TODAY()&gt;7,"—",IF($D51-TODAY()&gt;=1,"Due soon",IF($D51=TODAY(),"Due today",IF(TODAY()-$D51&lt;IF('Start Here'!$C$16="",7,'Start Here'!$C$16),"Just overdue",IF(TODAY()-$D51&lt;IF('Start Here'!$C$17="",21,'Start Here'!$C$17),"First reminder",IF(TODAY()-$D51&lt;IF('Start Here'!$C$18="",45,'Start Here'!$C$18),"Second reminder","Last friendly reminder"))))))))))</f>
        <v/>
      </c>
      <c r="T51" s="31"/>
      <c r="U51" s="30"/>
      <c r="V51" s="37" t="str">
        <f t="shared" si="4"/>
        <v/>
      </c>
      <c r="W51" s="40"/>
      <c r="X51" s="37" t="str">
        <f>IF($A51="","",IFERROR(VALUE(IF('Start Here'!$C$13="",$A51,SUBSTITUTE($A51,'Start Here'!$C$13,""))),""))</f>
        <v/>
      </c>
      <c r="Y51" s="37" t="str">
        <f t="shared" si="5"/>
        <v/>
      </c>
      <c r="Z51" s="37" t="str">
        <f t="shared" ca="1" si="6"/>
        <v/>
      </c>
      <c r="AA51" s="37" t="str">
        <f t="shared" si="7"/>
        <v/>
      </c>
      <c r="AB51" s="37" t="str">
        <f t="shared" ca="1" si="8"/>
        <v/>
      </c>
    </row>
    <row r="52" spans="1:28" ht="16" x14ac:dyDescent="0.2">
      <c r="A52" s="30"/>
      <c r="B52" s="31"/>
      <c r="C52" s="32"/>
      <c r="D52" s="33" t="str">
        <f>IF($B52="","",$B52+IF($C52="",IF('Start Here'!$C$15="",14,'Start Here'!$C$15),$C52))</f>
        <v/>
      </c>
      <c r="E52" s="30"/>
      <c r="F52" s="30"/>
      <c r="G52" s="30"/>
      <c r="H52" s="30"/>
      <c r="I52" s="34" t="str">
        <f>IF($A52="","",ROUND(SUMIF('Line Items'!$A$8:$A$507,$A52,'Line Items'!$H$8:$H$507),2))</f>
        <v/>
      </c>
      <c r="J52" s="35"/>
      <c r="K52" s="34" t="str">
        <f>IF($A52="","",ROUND($I52*IFERROR(IF($J52="",IF('Start Here'!$C$22="",0,'Start Here'!$C$22),$J52),0)/100,2))</f>
        <v/>
      </c>
      <c r="L52" s="34" t="str">
        <f t="shared" si="0"/>
        <v/>
      </c>
      <c r="M52" s="36"/>
      <c r="N52" s="31"/>
      <c r="O52" s="34" t="str">
        <f t="shared" si="1"/>
        <v/>
      </c>
      <c r="P52" s="30"/>
      <c r="Q52" s="37" t="str">
        <f t="shared" ca="1" si="2"/>
        <v/>
      </c>
      <c r="R52" s="38" t="str">
        <f t="shared" ca="1" si="3"/>
        <v/>
      </c>
      <c r="S52" s="37" t="str">
        <f ca="1">IF($A52="","",IF(OR($Q52="Paid",$Q52="Cancelled",$Q52="Draft"),"—",IF($Q52="No lines yet","Add line items",IF($Q52="No date","Add invoice date",IF($D52-TODAY()&gt;7,"—",IF($D52-TODAY()&gt;=1,"Due soon",IF($D52=TODAY(),"Due today",IF(TODAY()-$D52&lt;IF('Start Here'!$C$16="",7,'Start Here'!$C$16),"Just overdue",IF(TODAY()-$D52&lt;IF('Start Here'!$C$17="",21,'Start Here'!$C$17),"First reminder",IF(TODAY()-$D52&lt;IF('Start Here'!$C$18="",45,'Start Here'!$C$18),"Second reminder","Last friendly reminder"))))))))))</f>
        <v/>
      </c>
      <c r="T52" s="31"/>
      <c r="U52" s="30"/>
      <c r="V52" s="37" t="str">
        <f t="shared" si="4"/>
        <v/>
      </c>
      <c r="W52" s="39"/>
      <c r="X52" s="37" t="str">
        <f>IF($A52="","",IFERROR(VALUE(IF('Start Here'!$C$13="",$A52,SUBSTITUTE($A52,'Start Here'!$C$13,""))),""))</f>
        <v/>
      </c>
      <c r="Y52" s="37" t="str">
        <f t="shared" si="5"/>
        <v/>
      </c>
      <c r="Z52" s="37" t="str">
        <f t="shared" ca="1" si="6"/>
        <v/>
      </c>
      <c r="AA52" s="37" t="str">
        <f t="shared" si="7"/>
        <v/>
      </c>
      <c r="AB52" s="37" t="str">
        <f t="shared" ca="1" si="8"/>
        <v/>
      </c>
    </row>
    <row r="53" spans="1:28" ht="16" x14ac:dyDescent="0.2">
      <c r="A53" s="30"/>
      <c r="B53" s="31"/>
      <c r="C53" s="32"/>
      <c r="D53" s="33" t="str">
        <f>IF($B53="","",$B53+IF($C53="",IF('Start Here'!$C$15="",14,'Start Here'!$C$15),$C53))</f>
        <v/>
      </c>
      <c r="E53" s="30"/>
      <c r="F53" s="30"/>
      <c r="G53" s="30"/>
      <c r="H53" s="30"/>
      <c r="I53" s="34" t="str">
        <f>IF($A53="","",ROUND(SUMIF('Line Items'!$A$8:$A$507,$A53,'Line Items'!$H$8:$H$507),2))</f>
        <v/>
      </c>
      <c r="J53" s="35"/>
      <c r="K53" s="34" t="str">
        <f>IF($A53="","",ROUND($I53*IFERROR(IF($J53="",IF('Start Here'!$C$22="",0,'Start Here'!$C$22),$J53),0)/100,2))</f>
        <v/>
      </c>
      <c r="L53" s="34" t="str">
        <f t="shared" si="0"/>
        <v/>
      </c>
      <c r="M53" s="36"/>
      <c r="N53" s="31"/>
      <c r="O53" s="34" t="str">
        <f t="shared" si="1"/>
        <v/>
      </c>
      <c r="P53" s="30"/>
      <c r="Q53" s="37" t="str">
        <f t="shared" ca="1" si="2"/>
        <v/>
      </c>
      <c r="R53" s="38" t="str">
        <f t="shared" ca="1" si="3"/>
        <v/>
      </c>
      <c r="S53" s="37" t="str">
        <f ca="1">IF($A53="","",IF(OR($Q53="Paid",$Q53="Cancelled",$Q53="Draft"),"—",IF($Q53="No lines yet","Add line items",IF($Q53="No date","Add invoice date",IF($D53-TODAY()&gt;7,"—",IF($D53-TODAY()&gt;=1,"Due soon",IF($D53=TODAY(),"Due today",IF(TODAY()-$D53&lt;IF('Start Here'!$C$16="",7,'Start Here'!$C$16),"Just overdue",IF(TODAY()-$D53&lt;IF('Start Here'!$C$17="",21,'Start Here'!$C$17),"First reminder",IF(TODAY()-$D53&lt;IF('Start Here'!$C$18="",45,'Start Here'!$C$18),"Second reminder","Last friendly reminder"))))))))))</f>
        <v/>
      </c>
      <c r="T53" s="31"/>
      <c r="U53" s="30"/>
      <c r="V53" s="37" t="str">
        <f t="shared" si="4"/>
        <v/>
      </c>
      <c r="W53" s="40"/>
      <c r="X53" s="37" t="str">
        <f>IF($A53="","",IFERROR(VALUE(IF('Start Here'!$C$13="",$A53,SUBSTITUTE($A53,'Start Here'!$C$13,""))),""))</f>
        <v/>
      </c>
      <c r="Y53" s="37" t="str">
        <f t="shared" si="5"/>
        <v/>
      </c>
      <c r="Z53" s="37" t="str">
        <f t="shared" ca="1" si="6"/>
        <v/>
      </c>
      <c r="AA53" s="37" t="str">
        <f t="shared" si="7"/>
        <v/>
      </c>
      <c r="AB53" s="37" t="str">
        <f t="shared" ca="1" si="8"/>
        <v/>
      </c>
    </row>
    <row r="54" spans="1:28" ht="16" x14ac:dyDescent="0.2">
      <c r="A54" s="30"/>
      <c r="B54" s="31"/>
      <c r="C54" s="32"/>
      <c r="D54" s="33" t="str">
        <f>IF($B54="","",$B54+IF($C54="",IF('Start Here'!$C$15="",14,'Start Here'!$C$15),$C54))</f>
        <v/>
      </c>
      <c r="E54" s="30"/>
      <c r="F54" s="30"/>
      <c r="G54" s="30"/>
      <c r="H54" s="30"/>
      <c r="I54" s="34" t="str">
        <f>IF($A54="","",ROUND(SUMIF('Line Items'!$A$8:$A$507,$A54,'Line Items'!$H$8:$H$507),2))</f>
        <v/>
      </c>
      <c r="J54" s="35"/>
      <c r="K54" s="34" t="str">
        <f>IF($A54="","",ROUND($I54*IFERROR(IF($J54="",IF('Start Here'!$C$22="",0,'Start Here'!$C$22),$J54),0)/100,2))</f>
        <v/>
      </c>
      <c r="L54" s="34" t="str">
        <f t="shared" si="0"/>
        <v/>
      </c>
      <c r="M54" s="36"/>
      <c r="N54" s="31"/>
      <c r="O54" s="34" t="str">
        <f t="shared" si="1"/>
        <v/>
      </c>
      <c r="P54" s="30"/>
      <c r="Q54" s="37" t="str">
        <f t="shared" ca="1" si="2"/>
        <v/>
      </c>
      <c r="R54" s="38" t="str">
        <f t="shared" ca="1" si="3"/>
        <v/>
      </c>
      <c r="S54" s="37" t="str">
        <f ca="1">IF($A54="","",IF(OR($Q54="Paid",$Q54="Cancelled",$Q54="Draft"),"—",IF($Q54="No lines yet","Add line items",IF($Q54="No date","Add invoice date",IF($D54-TODAY()&gt;7,"—",IF($D54-TODAY()&gt;=1,"Due soon",IF($D54=TODAY(),"Due today",IF(TODAY()-$D54&lt;IF('Start Here'!$C$16="",7,'Start Here'!$C$16),"Just overdue",IF(TODAY()-$D54&lt;IF('Start Here'!$C$17="",21,'Start Here'!$C$17),"First reminder",IF(TODAY()-$D54&lt;IF('Start Here'!$C$18="",45,'Start Here'!$C$18),"Second reminder","Last friendly reminder"))))))))))</f>
        <v/>
      </c>
      <c r="T54" s="31"/>
      <c r="U54" s="30"/>
      <c r="V54" s="37" t="str">
        <f t="shared" si="4"/>
        <v/>
      </c>
      <c r="W54" s="39"/>
      <c r="X54" s="37" t="str">
        <f>IF($A54="","",IFERROR(VALUE(IF('Start Here'!$C$13="",$A54,SUBSTITUTE($A54,'Start Here'!$C$13,""))),""))</f>
        <v/>
      </c>
      <c r="Y54" s="37" t="str">
        <f t="shared" si="5"/>
        <v/>
      </c>
      <c r="Z54" s="37" t="str">
        <f t="shared" ca="1" si="6"/>
        <v/>
      </c>
      <c r="AA54" s="37" t="str">
        <f t="shared" si="7"/>
        <v/>
      </c>
      <c r="AB54" s="37" t="str">
        <f t="shared" ca="1" si="8"/>
        <v/>
      </c>
    </row>
    <row r="55" spans="1:28" ht="16" x14ac:dyDescent="0.2">
      <c r="A55" s="30"/>
      <c r="B55" s="31"/>
      <c r="C55" s="32"/>
      <c r="D55" s="33" t="str">
        <f>IF($B55="","",$B55+IF($C55="",IF('Start Here'!$C$15="",14,'Start Here'!$C$15),$C55))</f>
        <v/>
      </c>
      <c r="E55" s="30"/>
      <c r="F55" s="30"/>
      <c r="G55" s="30"/>
      <c r="H55" s="30"/>
      <c r="I55" s="34" t="str">
        <f>IF($A55="","",ROUND(SUMIF('Line Items'!$A$8:$A$507,$A55,'Line Items'!$H$8:$H$507),2))</f>
        <v/>
      </c>
      <c r="J55" s="35"/>
      <c r="K55" s="34" t="str">
        <f>IF($A55="","",ROUND($I55*IFERROR(IF($J55="",IF('Start Here'!$C$22="",0,'Start Here'!$C$22),$J55),0)/100,2))</f>
        <v/>
      </c>
      <c r="L55" s="34" t="str">
        <f t="shared" si="0"/>
        <v/>
      </c>
      <c r="M55" s="36"/>
      <c r="N55" s="31"/>
      <c r="O55" s="34" t="str">
        <f t="shared" si="1"/>
        <v/>
      </c>
      <c r="P55" s="30"/>
      <c r="Q55" s="37" t="str">
        <f t="shared" ca="1" si="2"/>
        <v/>
      </c>
      <c r="R55" s="38" t="str">
        <f t="shared" ca="1" si="3"/>
        <v/>
      </c>
      <c r="S55" s="37" t="str">
        <f ca="1">IF($A55="","",IF(OR($Q55="Paid",$Q55="Cancelled",$Q55="Draft"),"—",IF($Q55="No lines yet","Add line items",IF($Q55="No date","Add invoice date",IF($D55-TODAY()&gt;7,"—",IF($D55-TODAY()&gt;=1,"Due soon",IF($D55=TODAY(),"Due today",IF(TODAY()-$D55&lt;IF('Start Here'!$C$16="",7,'Start Here'!$C$16),"Just overdue",IF(TODAY()-$D55&lt;IF('Start Here'!$C$17="",21,'Start Here'!$C$17),"First reminder",IF(TODAY()-$D55&lt;IF('Start Here'!$C$18="",45,'Start Here'!$C$18),"Second reminder","Last friendly reminder"))))))))))</f>
        <v/>
      </c>
      <c r="T55" s="31"/>
      <c r="U55" s="30"/>
      <c r="V55" s="37" t="str">
        <f t="shared" si="4"/>
        <v/>
      </c>
      <c r="W55" s="40"/>
      <c r="X55" s="37" t="str">
        <f>IF($A55="","",IFERROR(VALUE(IF('Start Here'!$C$13="",$A55,SUBSTITUTE($A55,'Start Here'!$C$13,""))),""))</f>
        <v/>
      </c>
      <c r="Y55" s="37" t="str">
        <f t="shared" si="5"/>
        <v/>
      </c>
      <c r="Z55" s="37" t="str">
        <f t="shared" ca="1" si="6"/>
        <v/>
      </c>
      <c r="AA55" s="37" t="str">
        <f t="shared" si="7"/>
        <v/>
      </c>
      <c r="AB55" s="37" t="str">
        <f t="shared" ca="1" si="8"/>
        <v/>
      </c>
    </row>
    <row r="56" spans="1:28" ht="16" x14ac:dyDescent="0.2">
      <c r="A56" s="30"/>
      <c r="B56" s="31"/>
      <c r="C56" s="32"/>
      <c r="D56" s="33" t="str">
        <f>IF($B56="","",$B56+IF($C56="",IF('Start Here'!$C$15="",14,'Start Here'!$C$15),$C56))</f>
        <v/>
      </c>
      <c r="E56" s="30"/>
      <c r="F56" s="30"/>
      <c r="G56" s="30"/>
      <c r="H56" s="30"/>
      <c r="I56" s="34" t="str">
        <f>IF($A56="","",ROUND(SUMIF('Line Items'!$A$8:$A$507,$A56,'Line Items'!$H$8:$H$507),2))</f>
        <v/>
      </c>
      <c r="J56" s="35"/>
      <c r="K56" s="34" t="str">
        <f>IF($A56="","",ROUND($I56*IFERROR(IF($J56="",IF('Start Here'!$C$22="",0,'Start Here'!$C$22),$J56),0)/100,2))</f>
        <v/>
      </c>
      <c r="L56" s="34" t="str">
        <f t="shared" si="0"/>
        <v/>
      </c>
      <c r="M56" s="36"/>
      <c r="N56" s="31"/>
      <c r="O56" s="34" t="str">
        <f t="shared" si="1"/>
        <v/>
      </c>
      <c r="P56" s="30"/>
      <c r="Q56" s="37" t="str">
        <f t="shared" ca="1" si="2"/>
        <v/>
      </c>
      <c r="R56" s="38" t="str">
        <f t="shared" ca="1" si="3"/>
        <v/>
      </c>
      <c r="S56" s="37" t="str">
        <f ca="1">IF($A56="","",IF(OR($Q56="Paid",$Q56="Cancelled",$Q56="Draft"),"—",IF($Q56="No lines yet","Add line items",IF($Q56="No date","Add invoice date",IF($D56-TODAY()&gt;7,"—",IF($D56-TODAY()&gt;=1,"Due soon",IF($D56=TODAY(),"Due today",IF(TODAY()-$D56&lt;IF('Start Here'!$C$16="",7,'Start Here'!$C$16),"Just overdue",IF(TODAY()-$D56&lt;IF('Start Here'!$C$17="",21,'Start Here'!$C$17),"First reminder",IF(TODAY()-$D56&lt;IF('Start Here'!$C$18="",45,'Start Here'!$C$18),"Second reminder","Last friendly reminder"))))))))))</f>
        <v/>
      </c>
      <c r="T56" s="31"/>
      <c r="U56" s="30"/>
      <c r="V56" s="37" t="str">
        <f t="shared" si="4"/>
        <v/>
      </c>
      <c r="W56" s="39"/>
      <c r="X56" s="37" t="str">
        <f>IF($A56="","",IFERROR(VALUE(IF('Start Here'!$C$13="",$A56,SUBSTITUTE($A56,'Start Here'!$C$13,""))),""))</f>
        <v/>
      </c>
      <c r="Y56" s="37" t="str">
        <f t="shared" si="5"/>
        <v/>
      </c>
      <c r="Z56" s="37" t="str">
        <f t="shared" ca="1" si="6"/>
        <v/>
      </c>
      <c r="AA56" s="37" t="str">
        <f t="shared" si="7"/>
        <v/>
      </c>
      <c r="AB56" s="37" t="str">
        <f t="shared" ca="1" si="8"/>
        <v/>
      </c>
    </row>
    <row r="57" spans="1:28" ht="16" x14ac:dyDescent="0.2">
      <c r="A57" s="30"/>
      <c r="B57" s="31"/>
      <c r="C57" s="32"/>
      <c r="D57" s="33" t="str">
        <f>IF($B57="","",$B57+IF($C57="",IF('Start Here'!$C$15="",14,'Start Here'!$C$15),$C57))</f>
        <v/>
      </c>
      <c r="E57" s="30"/>
      <c r="F57" s="30"/>
      <c r="G57" s="30"/>
      <c r="H57" s="30"/>
      <c r="I57" s="34" t="str">
        <f>IF($A57="","",ROUND(SUMIF('Line Items'!$A$8:$A$507,$A57,'Line Items'!$H$8:$H$507),2))</f>
        <v/>
      </c>
      <c r="J57" s="35"/>
      <c r="K57" s="34" t="str">
        <f>IF($A57="","",ROUND($I57*IFERROR(IF($J57="",IF('Start Here'!$C$22="",0,'Start Here'!$C$22),$J57),0)/100,2))</f>
        <v/>
      </c>
      <c r="L57" s="34" t="str">
        <f t="shared" si="0"/>
        <v/>
      </c>
      <c r="M57" s="36"/>
      <c r="N57" s="31"/>
      <c r="O57" s="34" t="str">
        <f t="shared" si="1"/>
        <v/>
      </c>
      <c r="P57" s="30"/>
      <c r="Q57" s="37" t="str">
        <f t="shared" ca="1" si="2"/>
        <v/>
      </c>
      <c r="R57" s="38" t="str">
        <f t="shared" ca="1" si="3"/>
        <v/>
      </c>
      <c r="S57" s="37" t="str">
        <f ca="1">IF($A57="","",IF(OR($Q57="Paid",$Q57="Cancelled",$Q57="Draft"),"—",IF($Q57="No lines yet","Add line items",IF($Q57="No date","Add invoice date",IF($D57-TODAY()&gt;7,"—",IF($D57-TODAY()&gt;=1,"Due soon",IF($D57=TODAY(),"Due today",IF(TODAY()-$D57&lt;IF('Start Here'!$C$16="",7,'Start Here'!$C$16),"Just overdue",IF(TODAY()-$D57&lt;IF('Start Here'!$C$17="",21,'Start Here'!$C$17),"First reminder",IF(TODAY()-$D57&lt;IF('Start Here'!$C$18="",45,'Start Here'!$C$18),"Second reminder","Last friendly reminder"))))))))))</f>
        <v/>
      </c>
      <c r="T57" s="31"/>
      <c r="U57" s="30"/>
      <c r="V57" s="37" t="str">
        <f t="shared" si="4"/>
        <v/>
      </c>
      <c r="W57" s="40"/>
      <c r="X57" s="37" t="str">
        <f>IF($A57="","",IFERROR(VALUE(IF('Start Here'!$C$13="",$A57,SUBSTITUTE($A57,'Start Here'!$C$13,""))),""))</f>
        <v/>
      </c>
      <c r="Y57" s="37" t="str">
        <f t="shared" si="5"/>
        <v/>
      </c>
      <c r="Z57" s="37" t="str">
        <f t="shared" ca="1" si="6"/>
        <v/>
      </c>
      <c r="AA57" s="37" t="str">
        <f t="shared" si="7"/>
        <v/>
      </c>
      <c r="AB57" s="37" t="str">
        <f t="shared" ca="1" si="8"/>
        <v/>
      </c>
    </row>
    <row r="58" spans="1:28" ht="16" x14ac:dyDescent="0.2">
      <c r="A58" s="30"/>
      <c r="B58" s="31"/>
      <c r="C58" s="32"/>
      <c r="D58" s="33" t="str">
        <f>IF($B58="","",$B58+IF($C58="",IF('Start Here'!$C$15="",14,'Start Here'!$C$15),$C58))</f>
        <v/>
      </c>
      <c r="E58" s="30"/>
      <c r="F58" s="30"/>
      <c r="G58" s="30"/>
      <c r="H58" s="30"/>
      <c r="I58" s="34" t="str">
        <f>IF($A58="","",ROUND(SUMIF('Line Items'!$A$8:$A$507,$A58,'Line Items'!$H$8:$H$507),2))</f>
        <v/>
      </c>
      <c r="J58" s="35"/>
      <c r="K58" s="34" t="str">
        <f>IF($A58="","",ROUND($I58*IFERROR(IF($J58="",IF('Start Here'!$C$22="",0,'Start Here'!$C$22),$J58),0)/100,2))</f>
        <v/>
      </c>
      <c r="L58" s="34" t="str">
        <f t="shared" si="0"/>
        <v/>
      </c>
      <c r="M58" s="36"/>
      <c r="N58" s="31"/>
      <c r="O58" s="34" t="str">
        <f t="shared" si="1"/>
        <v/>
      </c>
      <c r="P58" s="30"/>
      <c r="Q58" s="37" t="str">
        <f t="shared" ca="1" si="2"/>
        <v/>
      </c>
      <c r="R58" s="38" t="str">
        <f t="shared" ca="1" si="3"/>
        <v/>
      </c>
      <c r="S58" s="37" t="str">
        <f ca="1">IF($A58="","",IF(OR($Q58="Paid",$Q58="Cancelled",$Q58="Draft"),"—",IF($Q58="No lines yet","Add line items",IF($Q58="No date","Add invoice date",IF($D58-TODAY()&gt;7,"—",IF($D58-TODAY()&gt;=1,"Due soon",IF($D58=TODAY(),"Due today",IF(TODAY()-$D58&lt;IF('Start Here'!$C$16="",7,'Start Here'!$C$16),"Just overdue",IF(TODAY()-$D58&lt;IF('Start Here'!$C$17="",21,'Start Here'!$C$17),"First reminder",IF(TODAY()-$D58&lt;IF('Start Here'!$C$18="",45,'Start Here'!$C$18),"Second reminder","Last friendly reminder"))))))))))</f>
        <v/>
      </c>
      <c r="T58" s="31"/>
      <c r="U58" s="30"/>
      <c r="V58" s="37" t="str">
        <f t="shared" si="4"/>
        <v/>
      </c>
      <c r="W58" s="39"/>
      <c r="X58" s="37" t="str">
        <f>IF($A58="","",IFERROR(VALUE(IF('Start Here'!$C$13="",$A58,SUBSTITUTE($A58,'Start Here'!$C$13,""))),""))</f>
        <v/>
      </c>
      <c r="Y58" s="37" t="str">
        <f t="shared" si="5"/>
        <v/>
      </c>
      <c r="Z58" s="37" t="str">
        <f t="shared" ca="1" si="6"/>
        <v/>
      </c>
      <c r="AA58" s="37" t="str">
        <f t="shared" si="7"/>
        <v/>
      </c>
      <c r="AB58" s="37" t="str">
        <f t="shared" ca="1" si="8"/>
        <v/>
      </c>
    </row>
    <row r="59" spans="1:28" ht="16" x14ac:dyDescent="0.2">
      <c r="A59" s="30"/>
      <c r="B59" s="31"/>
      <c r="C59" s="32"/>
      <c r="D59" s="33" t="str">
        <f>IF($B59="","",$B59+IF($C59="",IF('Start Here'!$C$15="",14,'Start Here'!$C$15),$C59))</f>
        <v/>
      </c>
      <c r="E59" s="30"/>
      <c r="F59" s="30"/>
      <c r="G59" s="30"/>
      <c r="H59" s="30"/>
      <c r="I59" s="34" t="str">
        <f>IF($A59="","",ROUND(SUMIF('Line Items'!$A$8:$A$507,$A59,'Line Items'!$H$8:$H$507),2))</f>
        <v/>
      </c>
      <c r="J59" s="35"/>
      <c r="K59" s="34" t="str">
        <f>IF($A59="","",ROUND($I59*IFERROR(IF($J59="",IF('Start Here'!$C$22="",0,'Start Here'!$C$22),$J59),0)/100,2))</f>
        <v/>
      </c>
      <c r="L59" s="34" t="str">
        <f t="shared" si="0"/>
        <v/>
      </c>
      <c r="M59" s="36"/>
      <c r="N59" s="31"/>
      <c r="O59" s="34" t="str">
        <f t="shared" si="1"/>
        <v/>
      </c>
      <c r="P59" s="30"/>
      <c r="Q59" s="37" t="str">
        <f t="shared" ca="1" si="2"/>
        <v/>
      </c>
      <c r="R59" s="38" t="str">
        <f t="shared" ca="1" si="3"/>
        <v/>
      </c>
      <c r="S59" s="37" t="str">
        <f ca="1">IF($A59="","",IF(OR($Q59="Paid",$Q59="Cancelled",$Q59="Draft"),"—",IF($Q59="No lines yet","Add line items",IF($Q59="No date","Add invoice date",IF($D59-TODAY()&gt;7,"—",IF($D59-TODAY()&gt;=1,"Due soon",IF($D59=TODAY(),"Due today",IF(TODAY()-$D59&lt;IF('Start Here'!$C$16="",7,'Start Here'!$C$16),"Just overdue",IF(TODAY()-$D59&lt;IF('Start Here'!$C$17="",21,'Start Here'!$C$17),"First reminder",IF(TODAY()-$D59&lt;IF('Start Here'!$C$18="",45,'Start Here'!$C$18),"Second reminder","Last friendly reminder"))))))))))</f>
        <v/>
      </c>
      <c r="T59" s="31"/>
      <c r="U59" s="30"/>
      <c r="V59" s="37" t="str">
        <f t="shared" si="4"/>
        <v/>
      </c>
      <c r="W59" s="40"/>
      <c r="X59" s="37" t="str">
        <f>IF($A59="","",IFERROR(VALUE(IF('Start Here'!$C$13="",$A59,SUBSTITUTE($A59,'Start Here'!$C$13,""))),""))</f>
        <v/>
      </c>
      <c r="Y59" s="37" t="str">
        <f t="shared" si="5"/>
        <v/>
      </c>
      <c r="Z59" s="37" t="str">
        <f t="shared" ca="1" si="6"/>
        <v/>
      </c>
      <c r="AA59" s="37" t="str">
        <f t="shared" si="7"/>
        <v/>
      </c>
      <c r="AB59" s="37" t="str">
        <f t="shared" ca="1" si="8"/>
        <v/>
      </c>
    </row>
    <row r="60" spans="1:28" ht="16" x14ac:dyDescent="0.2">
      <c r="A60" s="30"/>
      <c r="B60" s="31"/>
      <c r="C60" s="32"/>
      <c r="D60" s="33" t="str">
        <f>IF($B60="","",$B60+IF($C60="",IF('Start Here'!$C$15="",14,'Start Here'!$C$15),$C60))</f>
        <v/>
      </c>
      <c r="E60" s="30"/>
      <c r="F60" s="30"/>
      <c r="G60" s="30"/>
      <c r="H60" s="30"/>
      <c r="I60" s="34" t="str">
        <f>IF($A60="","",ROUND(SUMIF('Line Items'!$A$8:$A$507,$A60,'Line Items'!$H$8:$H$507),2))</f>
        <v/>
      </c>
      <c r="J60" s="35"/>
      <c r="K60" s="34" t="str">
        <f>IF($A60="","",ROUND($I60*IFERROR(IF($J60="",IF('Start Here'!$C$22="",0,'Start Here'!$C$22),$J60),0)/100,2))</f>
        <v/>
      </c>
      <c r="L60" s="34" t="str">
        <f t="shared" si="0"/>
        <v/>
      </c>
      <c r="M60" s="36"/>
      <c r="N60" s="31"/>
      <c r="O60" s="34" t="str">
        <f t="shared" si="1"/>
        <v/>
      </c>
      <c r="P60" s="30"/>
      <c r="Q60" s="37" t="str">
        <f t="shared" ca="1" si="2"/>
        <v/>
      </c>
      <c r="R60" s="38" t="str">
        <f t="shared" ca="1" si="3"/>
        <v/>
      </c>
      <c r="S60" s="37" t="str">
        <f ca="1">IF($A60="","",IF(OR($Q60="Paid",$Q60="Cancelled",$Q60="Draft"),"—",IF($Q60="No lines yet","Add line items",IF($Q60="No date","Add invoice date",IF($D60-TODAY()&gt;7,"—",IF($D60-TODAY()&gt;=1,"Due soon",IF($D60=TODAY(),"Due today",IF(TODAY()-$D60&lt;IF('Start Here'!$C$16="",7,'Start Here'!$C$16),"Just overdue",IF(TODAY()-$D60&lt;IF('Start Here'!$C$17="",21,'Start Here'!$C$17),"First reminder",IF(TODAY()-$D60&lt;IF('Start Here'!$C$18="",45,'Start Here'!$C$18),"Second reminder","Last friendly reminder"))))))))))</f>
        <v/>
      </c>
      <c r="T60" s="31"/>
      <c r="U60" s="30"/>
      <c r="V60" s="37" t="str">
        <f t="shared" si="4"/>
        <v/>
      </c>
      <c r="W60" s="39"/>
      <c r="X60" s="37" t="str">
        <f>IF($A60="","",IFERROR(VALUE(IF('Start Here'!$C$13="",$A60,SUBSTITUTE($A60,'Start Here'!$C$13,""))),""))</f>
        <v/>
      </c>
      <c r="Y60" s="37" t="str">
        <f t="shared" si="5"/>
        <v/>
      </c>
      <c r="Z60" s="37" t="str">
        <f t="shared" ca="1" si="6"/>
        <v/>
      </c>
      <c r="AA60" s="37" t="str">
        <f t="shared" si="7"/>
        <v/>
      </c>
      <c r="AB60" s="37" t="str">
        <f t="shared" ca="1" si="8"/>
        <v/>
      </c>
    </row>
    <row r="61" spans="1:28" ht="16" x14ac:dyDescent="0.2">
      <c r="A61" s="30"/>
      <c r="B61" s="31"/>
      <c r="C61" s="32"/>
      <c r="D61" s="33" t="str">
        <f>IF($B61="","",$B61+IF($C61="",IF('Start Here'!$C$15="",14,'Start Here'!$C$15),$C61))</f>
        <v/>
      </c>
      <c r="E61" s="30"/>
      <c r="F61" s="30"/>
      <c r="G61" s="30"/>
      <c r="H61" s="30"/>
      <c r="I61" s="34" t="str">
        <f>IF($A61="","",ROUND(SUMIF('Line Items'!$A$8:$A$507,$A61,'Line Items'!$H$8:$H$507),2))</f>
        <v/>
      </c>
      <c r="J61" s="35"/>
      <c r="K61" s="34" t="str">
        <f>IF($A61="","",ROUND($I61*IFERROR(IF($J61="",IF('Start Here'!$C$22="",0,'Start Here'!$C$22),$J61),0)/100,2))</f>
        <v/>
      </c>
      <c r="L61" s="34" t="str">
        <f t="shared" si="0"/>
        <v/>
      </c>
      <c r="M61" s="36"/>
      <c r="N61" s="31"/>
      <c r="O61" s="34" t="str">
        <f t="shared" si="1"/>
        <v/>
      </c>
      <c r="P61" s="30"/>
      <c r="Q61" s="37" t="str">
        <f t="shared" ca="1" si="2"/>
        <v/>
      </c>
      <c r="R61" s="38" t="str">
        <f t="shared" ca="1" si="3"/>
        <v/>
      </c>
      <c r="S61" s="37" t="str">
        <f ca="1">IF($A61="","",IF(OR($Q61="Paid",$Q61="Cancelled",$Q61="Draft"),"—",IF($Q61="No lines yet","Add line items",IF($Q61="No date","Add invoice date",IF($D61-TODAY()&gt;7,"—",IF($D61-TODAY()&gt;=1,"Due soon",IF($D61=TODAY(),"Due today",IF(TODAY()-$D61&lt;IF('Start Here'!$C$16="",7,'Start Here'!$C$16),"Just overdue",IF(TODAY()-$D61&lt;IF('Start Here'!$C$17="",21,'Start Here'!$C$17),"First reminder",IF(TODAY()-$D61&lt;IF('Start Here'!$C$18="",45,'Start Here'!$C$18),"Second reminder","Last friendly reminder"))))))))))</f>
        <v/>
      </c>
      <c r="T61" s="31"/>
      <c r="U61" s="30"/>
      <c r="V61" s="37" t="str">
        <f t="shared" si="4"/>
        <v/>
      </c>
      <c r="W61" s="40"/>
      <c r="X61" s="37" t="str">
        <f>IF($A61="","",IFERROR(VALUE(IF('Start Here'!$C$13="",$A61,SUBSTITUTE($A61,'Start Here'!$C$13,""))),""))</f>
        <v/>
      </c>
      <c r="Y61" s="37" t="str">
        <f t="shared" si="5"/>
        <v/>
      </c>
      <c r="Z61" s="37" t="str">
        <f t="shared" ca="1" si="6"/>
        <v/>
      </c>
      <c r="AA61" s="37" t="str">
        <f t="shared" si="7"/>
        <v/>
      </c>
      <c r="AB61" s="37" t="str">
        <f t="shared" ca="1" si="8"/>
        <v/>
      </c>
    </row>
    <row r="62" spans="1:28" ht="16" x14ac:dyDescent="0.2">
      <c r="A62" s="30"/>
      <c r="B62" s="31"/>
      <c r="C62" s="32"/>
      <c r="D62" s="33" t="str">
        <f>IF($B62="","",$B62+IF($C62="",IF('Start Here'!$C$15="",14,'Start Here'!$C$15),$C62))</f>
        <v/>
      </c>
      <c r="E62" s="30"/>
      <c r="F62" s="30"/>
      <c r="G62" s="30"/>
      <c r="H62" s="30"/>
      <c r="I62" s="34" t="str">
        <f>IF($A62="","",ROUND(SUMIF('Line Items'!$A$8:$A$507,$A62,'Line Items'!$H$8:$H$507),2))</f>
        <v/>
      </c>
      <c r="J62" s="35"/>
      <c r="K62" s="34" t="str">
        <f>IF($A62="","",ROUND($I62*IFERROR(IF($J62="",IF('Start Here'!$C$22="",0,'Start Here'!$C$22),$J62),0)/100,2))</f>
        <v/>
      </c>
      <c r="L62" s="34" t="str">
        <f t="shared" si="0"/>
        <v/>
      </c>
      <c r="M62" s="36"/>
      <c r="N62" s="31"/>
      <c r="O62" s="34" t="str">
        <f t="shared" si="1"/>
        <v/>
      </c>
      <c r="P62" s="30"/>
      <c r="Q62" s="37" t="str">
        <f t="shared" ca="1" si="2"/>
        <v/>
      </c>
      <c r="R62" s="38" t="str">
        <f t="shared" ca="1" si="3"/>
        <v/>
      </c>
      <c r="S62" s="37" t="str">
        <f ca="1">IF($A62="","",IF(OR($Q62="Paid",$Q62="Cancelled",$Q62="Draft"),"—",IF($Q62="No lines yet","Add line items",IF($Q62="No date","Add invoice date",IF($D62-TODAY()&gt;7,"—",IF($D62-TODAY()&gt;=1,"Due soon",IF($D62=TODAY(),"Due today",IF(TODAY()-$D62&lt;IF('Start Here'!$C$16="",7,'Start Here'!$C$16),"Just overdue",IF(TODAY()-$D62&lt;IF('Start Here'!$C$17="",21,'Start Here'!$C$17),"First reminder",IF(TODAY()-$D62&lt;IF('Start Here'!$C$18="",45,'Start Here'!$C$18),"Second reminder","Last friendly reminder"))))))))))</f>
        <v/>
      </c>
      <c r="T62" s="31"/>
      <c r="U62" s="30"/>
      <c r="V62" s="37" t="str">
        <f t="shared" si="4"/>
        <v/>
      </c>
      <c r="W62" s="39"/>
      <c r="X62" s="37" t="str">
        <f>IF($A62="","",IFERROR(VALUE(IF('Start Here'!$C$13="",$A62,SUBSTITUTE($A62,'Start Here'!$C$13,""))),""))</f>
        <v/>
      </c>
      <c r="Y62" s="37" t="str">
        <f t="shared" si="5"/>
        <v/>
      </c>
      <c r="Z62" s="37" t="str">
        <f t="shared" ca="1" si="6"/>
        <v/>
      </c>
      <c r="AA62" s="37" t="str">
        <f t="shared" si="7"/>
        <v/>
      </c>
      <c r="AB62" s="37" t="str">
        <f t="shared" ca="1" si="8"/>
        <v/>
      </c>
    </row>
    <row r="63" spans="1:28" ht="16" x14ac:dyDescent="0.2">
      <c r="A63" s="30"/>
      <c r="B63" s="31"/>
      <c r="C63" s="32"/>
      <c r="D63" s="33" t="str">
        <f>IF($B63="","",$B63+IF($C63="",IF('Start Here'!$C$15="",14,'Start Here'!$C$15),$C63))</f>
        <v/>
      </c>
      <c r="E63" s="30"/>
      <c r="F63" s="30"/>
      <c r="G63" s="30"/>
      <c r="H63" s="30"/>
      <c r="I63" s="34" t="str">
        <f>IF($A63="","",ROUND(SUMIF('Line Items'!$A$8:$A$507,$A63,'Line Items'!$H$8:$H$507),2))</f>
        <v/>
      </c>
      <c r="J63" s="35"/>
      <c r="K63" s="34" t="str">
        <f>IF($A63="","",ROUND($I63*IFERROR(IF($J63="",IF('Start Here'!$C$22="",0,'Start Here'!$C$22),$J63),0)/100,2))</f>
        <v/>
      </c>
      <c r="L63" s="34" t="str">
        <f t="shared" si="0"/>
        <v/>
      </c>
      <c r="M63" s="36"/>
      <c r="N63" s="31"/>
      <c r="O63" s="34" t="str">
        <f t="shared" si="1"/>
        <v/>
      </c>
      <c r="P63" s="30"/>
      <c r="Q63" s="37" t="str">
        <f t="shared" ca="1" si="2"/>
        <v/>
      </c>
      <c r="R63" s="38" t="str">
        <f t="shared" ca="1" si="3"/>
        <v/>
      </c>
      <c r="S63" s="37" t="str">
        <f ca="1">IF($A63="","",IF(OR($Q63="Paid",$Q63="Cancelled",$Q63="Draft"),"—",IF($Q63="No lines yet","Add line items",IF($Q63="No date","Add invoice date",IF($D63-TODAY()&gt;7,"—",IF($D63-TODAY()&gt;=1,"Due soon",IF($D63=TODAY(),"Due today",IF(TODAY()-$D63&lt;IF('Start Here'!$C$16="",7,'Start Here'!$C$16),"Just overdue",IF(TODAY()-$D63&lt;IF('Start Here'!$C$17="",21,'Start Here'!$C$17),"First reminder",IF(TODAY()-$D63&lt;IF('Start Here'!$C$18="",45,'Start Here'!$C$18),"Second reminder","Last friendly reminder"))))))))))</f>
        <v/>
      </c>
      <c r="T63" s="31"/>
      <c r="U63" s="30"/>
      <c r="V63" s="37" t="str">
        <f t="shared" si="4"/>
        <v/>
      </c>
      <c r="W63" s="40"/>
      <c r="X63" s="37" t="str">
        <f>IF($A63="","",IFERROR(VALUE(IF('Start Here'!$C$13="",$A63,SUBSTITUTE($A63,'Start Here'!$C$13,""))),""))</f>
        <v/>
      </c>
      <c r="Y63" s="37" t="str">
        <f t="shared" si="5"/>
        <v/>
      </c>
      <c r="Z63" s="37" t="str">
        <f t="shared" ca="1" si="6"/>
        <v/>
      </c>
      <c r="AA63" s="37" t="str">
        <f t="shared" si="7"/>
        <v/>
      </c>
      <c r="AB63" s="37" t="str">
        <f t="shared" ca="1" si="8"/>
        <v/>
      </c>
    </row>
    <row r="64" spans="1:28" ht="16" x14ac:dyDescent="0.2">
      <c r="A64" s="30"/>
      <c r="B64" s="31"/>
      <c r="C64" s="32"/>
      <c r="D64" s="33" t="str">
        <f>IF($B64="","",$B64+IF($C64="",IF('Start Here'!$C$15="",14,'Start Here'!$C$15),$C64))</f>
        <v/>
      </c>
      <c r="E64" s="30"/>
      <c r="F64" s="30"/>
      <c r="G64" s="30"/>
      <c r="H64" s="30"/>
      <c r="I64" s="34" t="str">
        <f>IF($A64="","",ROUND(SUMIF('Line Items'!$A$8:$A$507,$A64,'Line Items'!$H$8:$H$507),2))</f>
        <v/>
      </c>
      <c r="J64" s="35"/>
      <c r="K64" s="34" t="str">
        <f>IF($A64="","",ROUND($I64*IFERROR(IF($J64="",IF('Start Here'!$C$22="",0,'Start Here'!$C$22),$J64),0)/100,2))</f>
        <v/>
      </c>
      <c r="L64" s="34" t="str">
        <f t="shared" si="0"/>
        <v/>
      </c>
      <c r="M64" s="36"/>
      <c r="N64" s="31"/>
      <c r="O64" s="34" t="str">
        <f t="shared" si="1"/>
        <v/>
      </c>
      <c r="P64" s="30"/>
      <c r="Q64" s="37" t="str">
        <f t="shared" ca="1" si="2"/>
        <v/>
      </c>
      <c r="R64" s="38" t="str">
        <f t="shared" ca="1" si="3"/>
        <v/>
      </c>
      <c r="S64" s="37" t="str">
        <f ca="1">IF($A64="","",IF(OR($Q64="Paid",$Q64="Cancelled",$Q64="Draft"),"—",IF($Q64="No lines yet","Add line items",IF($Q64="No date","Add invoice date",IF($D64-TODAY()&gt;7,"—",IF($D64-TODAY()&gt;=1,"Due soon",IF($D64=TODAY(),"Due today",IF(TODAY()-$D64&lt;IF('Start Here'!$C$16="",7,'Start Here'!$C$16),"Just overdue",IF(TODAY()-$D64&lt;IF('Start Here'!$C$17="",21,'Start Here'!$C$17),"First reminder",IF(TODAY()-$D64&lt;IF('Start Here'!$C$18="",45,'Start Here'!$C$18),"Second reminder","Last friendly reminder"))))))))))</f>
        <v/>
      </c>
      <c r="T64" s="31"/>
      <c r="U64" s="30"/>
      <c r="V64" s="37" t="str">
        <f t="shared" si="4"/>
        <v/>
      </c>
      <c r="W64" s="39"/>
      <c r="X64" s="37" t="str">
        <f>IF($A64="","",IFERROR(VALUE(IF('Start Here'!$C$13="",$A64,SUBSTITUTE($A64,'Start Here'!$C$13,""))),""))</f>
        <v/>
      </c>
      <c r="Y64" s="37" t="str">
        <f t="shared" si="5"/>
        <v/>
      </c>
      <c r="Z64" s="37" t="str">
        <f t="shared" ca="1" si="6"/>
        <v/>
      </c>
      <c r="AA64" s="37" t="str">
        <f t="shared" si="7"/>
        <v/>
      </c>
      <c r="AB64" s="37" t="str">
        <f t="shared" ca="1" si="8"/>
        <v/>
      </c>
    </row>
    <row r="65" spans="1:28" ht="16" x14ac:dyDescent="0.2">
      <c r="A65" s="30"/>
      <c r="B65" s="31"/>
      <c r="C65" s="32"/>
      <c r="D65" s="33" t="str">
        <f>IF($B65="","",$B65+IF($C65="",IF('Start Here'!$C$15="",14,'Start Here'!$C$15),$C65))</f>
        <v/>
      </c>
      <c r="E65" s="30"/>
      <c r="F65" s="30"/>
      <c r="G65" s="30"/>
      <c r="H65" s="30"/>
      <c r="I65" s="34" t="str">
        <f>IF($A65="","",ROUND(SUMIF('Line Items'!$A$8:$A$507,$A65,'Line Items'!$H$8:$H$507),2))</f>
        <v/>
      </c>
      <c r="J65" s="35"/>
      <c r="K65" s="34" t="str">
        <f>IF($A65="","",ROUND($I65*IFERROR(IF($J65="",IF('Start Here'!$C$22="",0,'Start Here'!$C$22),$J65),0)/100,2))</f>
        <v/>
      </c>
      <c r="L65" s="34" t="str">
        <f t="shared" si="0"/>
        <v/>
      </c>
      <c r="M65" s="36"/>
      <c r="N65" s="31"/>
      <c r="O65" s="34" t="str">
        <f t="shared" si="1"/>
        <v/>
      </c>
      <c r="P65" s="30"/>
      <c r="Q65" s="37" t="str">
        <f t="shared" ca="1" si="2"/>
        <v/>
      </c>
      <c r="R65" s="38" t="str">
        <f t="shared" ca="1" si="3"/>
        <v/>
      </c>
      <c r="S65" s="37" t="str">
        <f ca="1">IF($A65="","",IF(OR($Q65="Paid",$Q65="Cancelled",$Q65="Draft"),"—",IF($Q65="No lines yet","Add line items",IF($Q65="No date","Add invoice date",IF($D65-TODAY()&gt;7,"—",IF($D65-TODAY()&gt;=1,"Due soon",IF($D65=TODAY(),"Due today",IF(TODAY()-$D65&lt;IF('Start Here'!$C$16="",7,'Start Here'!$C$16),"Just overdue",IF(TODAY()-$D65&lt;IF('Start Here'!$C$17="",21,'Start Here'!$C$17),"First reminder",IF(TODAY()-$D65&lt;IF('Start Here'!$C$18="",45,'Start Here'!$C$18),"Second reminder","Last friendly reminder"))))))))))</f>
        <v/>
      </c>
      <c r="T65" s="31"/>
      <c r="U65" s="30"/>
      <c r="V65" s="37" t="str">
        <f t="shared" si="4"/>
        <v/>
      </c>
      <c r="W65" s="40"/>
      <c r="X65" s="37" t="str">
        <f>IF($A65="","",IFERROR(VALUE(IF('Start Here'!$C$13="",$A65,SUBSTITUTE($A65,'Start Here'!$C$13,""))),""))</f>
        <v/>
      </c>
      <c r="Y65" s="37" t="str">
        <f t="shared" si="5"/>
        <v/>
      </c>
      <c r="Z65" s="37" t="str">
        <f t="shared" ca="1" si="6"/>
        <v/>
      </c>
      <c r="AA65" s="37" t="str">
        <f t="shared" si="7"/>
        <v/>
      </c>
      <c r="AB65" s="37" t="str">
        <f t="shared" ca="1" si="8"/>
        <v/>
      </c>
    </row>
    <row r="66" spans="1:28" ht="16" x14ac:dyDescent="0.2">
      <c r="A66" s="30"/>
      <c r="B66" s="31"/>
      <c r="C66" s="32"/>
      <c r="D66" s="33" t="str">
        <f>IF($B66="","",$B66+IF($C66="",IF('Start Here'!$C$15="",14,'Start Here'!$C$15),$C66))</f>
        <v/>
      </c>
      <c r="E66" s="30"/>
      <c r="F66" s="30"/>
      <c r="G66" s="30"/>
      <c r="H66" s="30"/>
      <c r="I66" s="34" t="str">
        <f>IF($A66="","",ROUND(SUMIF('Line Items'!$A$8:$A$507,$A66,'Line Items'!$H$8:$H$507),2))</f>
        <v/>
      </c>
      <c r="J66" s="35"/>
      <c r="K66" s="34" t="str">
        <f>IF($A66="","",ROUND($I66*IFERROR(IF($J66="",IF('Start Here'!$C$22="",0,'Start Here'!$C$22),$J66),0)/100,2))</f>
        <v/>
      </c>
      <c r="L66" s="34" t="str">
        <f t="shared" si="0"/>
        <v/>
      </c>
      <c r="M66" s="36"/>
      <c r="N66" s="31"/>
      <c r="O66" s="34" t="str">
        <f t="shared" si="1"/>
        <v/>
      </c>
      <c r="P66" s="30"/>
      <c r="Q66" s="37" t="str">
        <f t="shared" ca="1" si="2"/>
        <v/>
      </c>
      <c r="R66" s="38" t="str">
        <f t="shared" ca="1" si="3"/>
        <v/>
      </c>
      <c r="S66" s="37" t="str">
        <f ca="1">IF($A66="","",IF(OR($Q66="Paid",$Q66="Cancelled",$Q66="Draft"),"—",IF($Q66="No lines yet","Add line items",IF($Q66="No date","Add invoice date",IF($D66-TODAY()&gt;7,"—",IF($D66-TODAY()&gt;=1,"Due soon",IF($D66=TODAY(),"Due today",IF(TODAY()-$D66&lt;IF('Start Here'!$C$16="",7,'Start Here'!$C$16),"Just overdue",IF(TODAY()-$D66&lt;IF('Start Here'!$C$17="",21,'Start Here'!$C$17),"First reminder",IF(TODAY()-$D66&lt;IF('Start Here'!$C$18="",45,'Start Here'!$C$18),"Second reminder","Last friendly reminder"))))))))))</f>
        <v/>
      </c>
      <c r="T66" s="31"/>
      <c r="U66" s="30"/>
      <c r="V66" s="37" t="str">
        <f t="shared" si="4"/>
        <v/>
      </c>
      <c r="W66" s="39"/>
      <c r="X66" s="37" t="str">
        <f>IF($A66="","",IFERROR(VALUE(IF('Start Here'!$C$13="",$A66,SUBSTITUTE($A66,'Start Here'!$C$13,""))),""))</f>
        <v/>
      </c>
      <c r="Y66" s="37" t="str">
        <f t="shared" si="5"/>
        <v/>
      </c>
      <c r="Z66" s="37" t="str">
        <f t="shared" ca="1" si="6"/>
        <v/>
      </c>
      <c r="AA66" s="37" t="str">
        <f t="shared" si="7"/>
        <v/>
      </c>
      <c r="AB66" s="37" t="str">
        <f t="shared" ca="1" si="8"/>
        <v/>
      </c>
    </row>
    <row r="67" spans="1:28" ht="16" x14ac:dyDescent="0.2">
      <c r="A67" s="30"/>
      <c r="B67" s="31"/>
      <c r="C67" s="32"/>
      <c r="D67" s="33" t="str">
        <f>IF($B67="","",$B67+IF($C67="",IF('Start Here'!$C$15="",14,'Start Here'!$C$15),$C67))</f>
        <v/>
      </c>
      <c r="E67" s="30"/>
      <c r="F67" s="30"/>
      <c r="G67" s="30"/>
      <c r="H67" s="30"/>
      <c r="I67" s="34" t="str">
        <f>IF($A67="","",ROUND(SUMIF('Line Items'!$A$8:$A$507,$A67,'Line Items'!$H$8:$H$507),2))</f>
        <v/>
      </c>
      <c r="J67" s="35"/>
      <c r="K67" s="34" t="str">
        <f>IF($A67="","",ROUND($I67*IFERROR(IF($J67="",IF('Start Here'!$C$22="",0,'Start Here'!$C$22),$J67),0)/100,2))</f>
        <v/>
      </c>
      <c r="L67" s="34" t="str">
        <f t="shared" si="0"/>
        <v/>
      </c>
      <c r="M67" s="36"/>
      <c r="N67" s="31"/>
      <c r="O67" s="34" t="str">
        <f t="shared" si="1"/>
        <v/>
      </c>
      <c r="P67" s="30"/>
      <c r="Q67" s="37" t="str">
        <f t="shared" ca="1" si="2"/>
        <v/>
      </c>
      <c r="R67" s="38" t="str">
        <f t="shared" ca="1" si="3"/>
        <v/>
      </c>
      <c r="S67" s="37" t="str">
        <f ca="1">IF($A67="","",IF(OR($Q67="Paid",$Q67="Cancelled",$Q67="Draft"),"—",IF($Q67="No lines yet","Add line items",IF($Q67="No date","Add invoice date",IF($D67-TODAY()&gt;7,"—",IF($D67-TODAY()&gt;=1,"Due soon",IF($D67=TODAY(),"Due today",IF(TODAY()-$D67&lt;IF('Start Here'!$C$16="",7,'Start Here'!$C$16),"Just overdue",IF(TODAY()-$D67&lt;IF('Start Here'!$C$17="",21,'Start Here'!$C$17),"First reminder",IF(TODAY()-$D67&lt;IF('Start Here'!$C$18="",45,'Start Here'!$C$18),"Second reminder","Last friendly reminder"))))))))))</f>
        <v/>
      </c>
      <c r="T67" s="31"/>
      <c r="U67" s="30"/>
      <c r="V67" s="37" t="str">
        <f t="shared" si="4"/>
        <v/>
      </c>
      <c r="W67" s="40"/>
      <c r="X67" s="37" t="str">
        <f>IF($A67="","",IFERROR(VALUE(IF('Start Here'!$C$13="",$A67,SUBSTITUTE($A67,'Start Here'!$C$13,""))),""))</f>
        <v/>
      </c>
      <c r="Y67" s="37" t="str">
        <f t="shared" si="5"/>
        <v/>
      </c>
      <c r="Z67" s="37" t="str">
        <f t="shared" ca="1" si="6"/>
        <v/>
      </c>
      <c r="AA67" s="37" t="str">
        <f t="shared" si="7"/>
        <v/>
      </c>
      <c r="AB67" s="37" t="str">
        <f t="shared" ca="1" si="8"/>
        <v/>
      </c>
    </row>
    <row r="68" spans="1:28" ht="16" x14ac:dyDescent="0.2">
      <c r="A68" s="30"/>
      <c r="B68" s="31"/>
      <c r="C68" s="32"/>
      <c r="D68" s="33" t="str">
        <f>IF($B68="","",$B68+IF($C68="",IF('Start Here'!$C$15="",14,'Start Here'!$C$15),$C68))</f>
        <v/>
      </c>
      <c r="E68" s="30"/>
      <c r="F68" s="30"/>
      <c r="G68" s="30"/>
      <c r="H68" s="30"/>
      <c r="I68" s="34" t="str">
        <f>IF($A68="","",ROUND(SUMIF('Line Items'!$A$8:$A$507,$A68,'Line Items'!$H$8:$H$507),2))</f>
        <v/>
      </c>
      <c r="J68" s="35"/>
      <c r="K68" s="34" t="str">
        <f>IF($A68="","",ROUND($I68*IFERROR(IF($J68="",IF('Start Here'!$C$22="",0,'Start Here'!$C$22),$J68),0)/100,2))</f>
        <v/>
      </c>
      <c r="L68" s="34" t="str">
        <f t="shared" si="0"/>
        <v/>
      </c>
      <c r="M68" s="36"/>
      <c r="N68" s="31"/>
      <c r="O68" s="34" t="str">
        <f t="shared" si="1"/>
        <v/>
      </c>
      <c r="P68" s="30"/>
      <c r="Q68" s="37" t="str">
        <f t="shared" ca="1" si="2"/>
        <v/>
      </c>
      <c r="R68" s="38" t="str">
        <f t="shared" ca="1" si="3"/>
        <v/>
      </c>
      <c r="S68" s="37" t="str">
        <f ca="1">IF($A68="","",IF(OR($Q68="Paid",$Q68="Cancelled",$Q68="Draft"),"—",IF($Q68="No lines yet","Add line items",IF($Q68="No date","Add invoice date",IF($D68-TODAY()&gt;7,"—",IF($D68-TODAY()&gt;=1,"Due soon",IF($D68=TODAY(),"Due today",IF(TODAY()-$D68&lt;IF('Start Here'!$C$16="",7,'Start Here'!$C$16),"Just overdue",IF(TODAY()-$D68&lt;IF('Start Here'!$C$17="",21,'Start Here'!$C$17),"First reminder",IF(TODAY()-$D68&lt;IF('Start Here'!$C$18="",45,'Start Here'!$C$18),"Second reminder","Last friendly reminder"))))))))))</f>
        <v/>
      </c>
      <c r="T68" s="31"/>
      <c r="U68" s="30"/>
      <c r="V68" s="37" t="str">
        <f t="shared" si="4"/>
        <v/>
      </c>
      <c r="W68" s="39"/>
      <c r="X68" s="37" t="str">
        <f>IF($A68="","",IFERROR(VALUE(IF('Start Here'!$C$13="",$A68,SUBSTITUTE($A68,'Start Here'!$C$13,""))),""))</f>
        <v/>
      </c>
      <c r="Y68" s="37" t="str">
        <f t="shared" si="5"/>
        <v/>
      </c>
      <c r="Z68" s="37" t="str">
        <f t="shared" ca="1" si="6"/>
        <v/>
      </c>
      <c r="AA68" s="37" t="str">
        <f t="shared" si="7"/>
        <v/>
      </c>
      <c r="AB68" s="37" t="str">
        <f t="shared" ca="1" si="8"/>
        <v/>
      </c>
    </row>
    <row r="69" spans="1:28" ht="16" x14ac:dyDescent="0.2">
      <c r="A69" s="30"/>
      <c r="B69" s="31"/>
      <c r="C69" s="32"/>
      <c r="D69" s="33" t="str">
        <f>IF($B69="","",$B69+IF($C69="",IF('Start Here'!$C$15="",14,'Start Here'!$C$15),$C69))</f>
        <v/>
      </c>
      <c r="E69" s="30"/>
      <c r="F69" s="30"/>
      <c r="G69" s="30"/>
      <c r="H69" s="30"/>
      <c r="I69" s="34" t="str">
        <f>IF($A69="","",ROUND(SUMIF('Line Items'!$A$8:$A$507,$A69,'Line Items'!$H$8:$H$507),2))</f>
        <v/>
      </c>
      <c r="J69" s="35"/>
      <c r="K69" s="34" t="str">
        <f>IF($A69="","",ROUND($I69*IFERROR(IF($J69="",IF('Start Here'!$C$22="",0,'Start Here'!$C$22),$J69),0)/100,2))</f>
        <v/>
      </c>
      <c r="L69" s="34" t="str">
        <f t="shared" si="0"/>
        <v/>
      </c>
      <c r="M69" s="36"/>
      <c r="N69" s="31"/>
      <c r="O69" s="34" t="str">
        <f t="shared" si="1"/>
        <v/>
      </c>
      <c r="P69" s="30"/>
      <c r="Q69" s="37" t="str">
        <f t="shared" ca="1" si="2"/>
        <v/>
      </c>
      <c r="R69" s="38" t="str">
        <f t="shared" ca="1" si="3"/>
        <v/>
      </c>
      <c r="S69" s="37" t="str">
        <f ca="1">IF($A69="","",IF(OR($Q69="Paid",$Q69="Cancelled",$Q69="Draft"),"—",IF($Q69="No lines yet","Add line items",IF($Q69="No date","Add invoice date",IF($D69-TODAY()&gt;7,"—",IF($D69-TODAY()&gt;=1,"Due soon",IF($D69=TODAY(),"Due today",IF(TODAY()-$D69&lt;IF('Start Here'!$C$16="",7,'Start Here'!$C$16),"Just overdue",IF(TODAY()-$D69&lt;IF('Start Here'!$C$17="",21,'Start Here'!$C$17),"First reminder",IF(TODAY()-$D69&lt;IF('Start Here'!$C$18="",45,'Start Here'!$C$18),"Second reminder","Last friendly reminder"))))))))))</f>
        <v/>
      </c>
      <c r="T69" s="31"/>
      <c r="U69" s="30"/>
      <c r="V69" s="37" t="str">
        <f t="shared" si="4"/>
        <v/>
      </c>
      <c r="W69" s="40"/>
      <c r="X69" s="37" t="str">
        <f>IF($A69="","",IFERROR(VALUE(IF('Start Here'!$C$13="",$A69,SUBSTITUTE($A69,'Start Here'!$C$13,""))),""))</f>
        <v/>
      </c>
      <c r="Y69" s="37" t="str">
        <f t="shared" si="5"/>
        <v/>
      </c>
      <c r="Z69" s="37" t="str">
        <f t="shared" ca="1" si="6"/>
        <v/>
      </c>
      <c r="AA69" s="37" t="str">
        <f t="shared" si="7"/>
        <v/>
      </c>
      <c r="AB69" s="37" t="str">
        <f t="shared" ca="1" si="8"/>
        <v/>
      </c>
    </row>
    <row r="70" spans="1:28" ht="16" x14ac:dyDescent="0.2">
      <c r="A70" s="30"/>
      <c r="B70" s="31"/>
      <c r="C70" s="32"/>
      <c r="D70" s="33" t="str">
        <f>IF($B70="","",$B70+IF($C70="",IF('Start Here'!$C$15="",14,'Start Here'!$C$15),$C70))</f>
        <v/>
      </c>
      <c r="E70" s="30"/>
      <c r="F70" s="30"/>
      <c r="G70" s="30"/>
      <c r="H70" s="30"/>
      <c r="I70" s="34" t="str">
        <f>IF($A70="","",ROUND(SUMIF('Line Items'!$A$8:$A$507,$A70,'Line Items'!$H$8:$H$507),2))</f>
        <v/>
      </c>
      <c r="J70" s="35"/>
      <c r="K70" s="34" t="str">
        <f>IF($A70="","",ROUND($I70*IFERROR(IF($J70="",IF('Start Here'!$C$22="",0,'Start Here'!$C$22),$J70),0)/100,2))</f>
        <v/>
      </c>
      <c r="L70" s="34" t="str">
        <f t="shared" si="0"/>
        <v/>
      </c>
      <c r="M70" s="36"/>
      <c r="N70" s="31"/>
      <c r="O70" s="34" t="str">
        <f t="shared" si="1"/>
        <v/>
      </c>
      <c r="P70" s="30"/>
      <c r="Q70" s="37" t="str">
        <f t="shared" ca="1" si="2"/>
        <v/>
      </c>
      <c r="R70" s="38" t="str">
        <f t="shared" ca="1" si="3"/>
        <v/>
      </c>
      <c r="S70" s="37" t="str">
        <f ca="1">IF($A70="","",IF(OR($Q70="Paid",$Q70="Cancelled",$Q70="Draft"),"—",IF($Q70="No lines yet","Add line items",IF($Q70="No date","Add invoice date",IF($D70-TODAY()&gt;7,"—",IF($D70-TODAY()&gt;=1,"Due soon",IF($D70=TODAY(),"Due today",IF(TODAY()-$D70&lt;IF('Start Here'!$C$16="",7,'Start Here'!$C$16),"Just overdue",IF(TODAY()-$D70&lt;IF('Start Here'!$C$17="",21,'Start Here'!$C$17),"First reminder",IF(TODAY()-$D70&lt;IF('Start Here'!$C$18="",45,'Start Here'!$C$18),"Second reminder","Last friendly reminder"))))))))))</f>
        <v/>
      </c>
      <c r="T70" s="31"/>
      <c r="U70" s="30"/>
      <c r="V70" s="37" t="str">
        <f t="shared" si="4"/>
        <v/>
      </c>
      <c r="W70" s="39"/>
      <c r="X70" s="37" t="str">
        <f>IF($A70="","",IFERROR(VALUE(IF('Start Here'!$C$13="",$A70,SUBSTITUTE($A70,'Start Here'!$C$13,""))),""))</f>
        <v/>
      </c>
      <c r="Y70" s="37" t="str">
        <f t="shared" si="5"/>
        <v/>
      </c>
      <c r="Z70" s="37" t="str">
        <f t="shared" ca="1" si="6"/>
        <v/>
      </c>
      <c r="AA70" s="37" t="str">
        <f t="shared" si="7"/>
        <v/>
      </c>
      <c r="AB70" s="37" t="str">
        <f t="shared" ca="1" si="8"/>
        <v/>
      </c>
    </row>
    <row r="71" spans="1:28" ht="16" x14ac:dyDescent="0.2">
      <c r="A71" s="30"/>
      <c r="B71" s="31"/>
      <c r="C71" s="32"/>
      <c r="D71" s="33" t="str">
        <f>IF($B71="","",$B71+IF($C71="",IF('Start Here'!$C$15="",14,'Start Here'!$C$15),$C71))</f>
        <v/>
      </c>
      <c r="E71" s="30"/>
      <c r="F71" s="30"/>
      <c r="G71" s="30"/>
      <c r="H71" s="30"/>
      <c r="I71" s="34" t="str">
        <f>IF($A71="","",ROUND(SUMIF('Line Items'!$A$8:$A$507,$A71,'Line Items'!$H$8:$H$507),2))</f>
        <v/>
      </c>
      <c r="J71" s="35"/>
      <c r="K71" s="34" t="str">
        <f>IF($A71="","",ROUND($I71*IFERROR(IF($J71="",IF('Start Here'!$C$22="",0,'Start Here'!$C$22),$J71),0)/100,2))</f>
        <v/>
      </c>
      <c r="L71" s="34" t="str">
        <f t="shared" si="0"/>
        <v/>
      </c>
      <c r="M71" s="36"/>
      <c r="N71" s="31"/>
      <c r="O71" s="34" t="str">
        <f t="shared" si="1"/>
        <v/>
      </c>
      <c r="P71" s="30"/>
      <c r="Q71" s="37" t="str">
        <f t="shared" ca="1" si="2"/>
        <v/>
      </c>
      <c r="R71" s="38" t="str">
        <f t="shared" ca="1" si="3"/>
        <v/>
      </c>
      <c r="S71" s="37" t="str">
        <f ca="1">IF($A71="","",IF(OR($Q71="Paid",$Q71="Cancelled",$Q71="Draft"),"—",IF($Q71="No lines yet","Add line items",IF($Q71="No date","Add invoice date",IF($D71-TODAY()&gt;7,"—",IF($D71-TODAY()&gt;=1,"Due soon",IF($D71=TODAY(),"Due today",IF(TODAY()-$D71&lt;IF('Start Here'!$C$16="",7,'Start Here'!$C$16),"Just overdue",IF(TODAY()-$D71&lt;IF('Start Here'!$C$17="",21,'Start Here'!$C$17),"First reminder",IF(TODAY()-$D71&lt;IF('Start Here'!$C$18="",45,'Start Here'!$C$18),"Second reminder","Last friendly reminder"))))))))))</f>
        <v/>
      </c>
      <c r="T71" s="31"/>
      <c r="U71" s="30"/>
      <c r="V71" s="37" t="str">
        <f t="shared" si="4"/>
        <v/>
      </c>
      <c r="W71" s="40"/>
      <c r="X71" s="37" t="str">
        <f>IF($A71="","",IFERROR(VALUE(IF('Start Here'!$C$13="",$A71,SUBSTITUTE($A71,'Start Here'!$C$13,""))),""))</f>
        <v/>
      </c>
      <c r="Y71" s="37" t="str">
        <f t="shared" si="5"/>
        <v/>
      </c>
      <c r="Z71" s="37" t="str">
        <f t="shared" ca="1" si="6"/>
        <v/>
      </c>
      <c r="AA71" s="37" t="str">
        <f t="shared" si="7"/>
        <v/>
      </c>
      <c r="AB71" s="37" t="str">
        <f t="shared" ca="1" si="8"/>
        <v/>
      </c>
    </row>
    <row r="72" spans="1:28" ht="16" x14ac:dyDescent="0.2">
      <c r="A72" s="30"/>
      <c r="B72" s="31"/>
      <c r="C72" s="32"/>
      <c r="D72" s="33" t="str">
        <f>IF($B72="","",$B72+IF($C72="",IF('Start Here'!$C$15="",14,'Start Here'!$C$15),$C72))</f>
        <v/>
      </c>
      <c r="E72" s="30"/>
      <c r="F72" s="30"/>
      <c r="G72" s="30"/>
      <c r="H72" s="30"/>
      <c r="I72" s="34" t="str">
        <f>IF($A72="","",ROUND(SUMIF('Line Items'!$A$8:$A$507,$A72,'Line Items'!$H$8:$H$507),2))</f>
        <v/>
      </c>
      <c r="J72" s="35"/>
      <c r="K72" s="34" t="str">
        <f>IF($A72="","",ROUND($I72*IFERROR(IF($J72="",IF('Start Here'!$C$22="",0,'Start Here'!$C$22),$J72),0)/100,2))</f>
        <v/>
      </c>
      <c r="L72" s="34" t="str">
        <f t="shared" ref="L72:L135" si="9">IF($A72="","",ROUND($I72+$K72,2))</f>
        <v/>
      </c>
      <c r="M72" s="36"/>
      <c r="N72" s="31"/>
      <c r="O72" s="34" t="str">
        <f t="shared" ref="O72:O135" si="10">IF($A72="","",ROUND($L72-IF($M72="",0,$M72),2))</f>
        <v/>
      </c>
      <c r="P72" s="30"/>
      <c r="Q72" s="37" t="str">
        <f t="shared" ref="Q72:Q135" ca="1" si="11">IF($A72="","",IF($P72="Cancelled","Cancelled",IF($P72="Draft","Draft",IF($L72=0,"No lines yet",IF($O72&lt;=0,"Paid",IF($D72="","No date",IF($D72&lt;TODAY(),"Overdue",IF(IF($M72="",0,$M72)&gt;0,"Part-paid","Open"))))))))</f>
        <v/>
      </c>
      <c r="R72" s="38" t="str">
        <f t="shared" ref="R72:R135" ca="1" si="12">IF($A72="","",IF($Q72&lt;&gt;"Overdue","—",TODAY()-$D72))</f>
        <v/>
      </c>
      <c r="S72" s="37" t="str">
        <f ca="1">IF($A72="","",IF(OR($Q72="Paid",$Q72="Cancelled",$Q72="Draft"),"—",IF($Q72="No lines yet","Add line items",IF($Q72="No date","Add invoice date",IF($D72-TODAY()&gt;7,"—",IF($D72-TODAY()&gt;=1,"Due soon",IF($D72=TODAY(),"Due today",IF(TODAY()-$D72&lt;IF('Start Here'!$C$16="",7,'Start Here'!$C$16),"Just overdue",IF(TODAY()-$D72&lt;IF('Start Here'!$C$17="",21,'Start Here'!$C$17),"First reminder",IF(TODAY()-$D72&lt;IF('Start Here'!$C$18="",45,'Start Here'!$C$18),"Second reminder","Last friendly reminder"))))))))))</f>
        <v/>
      </c>
      <c r="T72" s="31"/>
      <c r="U72" s="30"/>
      <c r="V72" s="37" t="str">
        <f t="shared" ref="V72:V135" si="13">IF($A72="","",TRIM(IF(COUNTIF($A$8:$A$257,$A72)&gt;1,"Duplicate no. ","")&amp;IF(ISNUMBER(FIND("*",$A72))+ISNUMBER(FIND("?",$A72))&gt;0,"Avoid * and ? in invoice numbers ","")&amp;IF($E72="","No client ","")&amp;IF($L72=0,"No amount ","")&amp;IF(AND($Q72="Overdue",$F72=""),"No client email ","")))</f>
        <v/>
      </c>
      <c r="W72" s="39"/>
      <c r="X72" s="37" t="str">
        <f>IF($A72="","",IFERROR(VALUE(IF('Start Here'!$C$13="",$A72,SUBSTITUTE($A72,'Start Here'!$C$13,""))),""))</f>
        <v/>
      </c>
      <c r="Y72" s="37" t="str">
        <f t="shared" ref="Y72:Y135" si="14">IF(AND($E72&lt;&gt;"",$G72&lt;&gt;""),$E72,"")</f>
        <v/>
      </c>
      <c r="Z72" s="37" t="str">
        <f t="shared" ref="Z72:Z135" ca="1" si="15">IF($A72="","",IF($Q72&lt;&gt;"Overdue","",(TODAY()-$D72)+ROW()/100000))</f>
        <v/>
      </c>
      <c r="AA72" s="37" t="str">
        <f t="shared" ref="AA72:AA135" si="16">IF($A72="","",IF(AND($Q72="Paid",ISNUMBER($N72),ISNUMBER($B72)),$N72-$B72,""))</f>
        <v/>
      </c>
      <c r="AB72" s="37" t="str">
        <f t="shared" ref="AB72:AB135" ca="1" si="17">IF($A72="","",IF(OR($Q72="Paid",$Q72="Draft",$Q72="Cancelled",$Q72="No lines yet",$Q72="No date"),"",IF($Q72&lt;&gt;"Overdue","Not due",IF(TODAY()-$D72&lt;=14,"1-14",IF(TODAY()-$D72&lt;=30,"15-30",IF(TODAY()-$D72&lt;=60,"31-60","61+"))))))</f>
        <v/>
      </c>
    </row>
    <row r="73" spans="1:28" ht="16" x14ac:dyDescent="0.2">
      <c r="A73" s="30"/>
      <c r="B73" s="31"/>
      <c r="C73" s="32"/>
      <c r="D73" s="33" t="str">
        <f>IF($B73="","",$B73+IF($C73="",IF('Start Here'!$C$15="",14,'Start Here'!$C$15),$C73))</f>
        <v/>
      </c>
      <c r="E73" s="30"/>
      <c r="F73" s="30"/>
      <c r="G73" s="30"/>
      <c r="H73" s="30"/>
      <c r="I73" s="34" t="str">
        <f>IF($A73="","",ROUND(SUMIF('Line Items'!$A$8:$A$507,$A73,'Line Items'!$H$8:$H$507),2))</f>
        <v/>
      </c>
      <c r="J73" s="35"/>
      <c r="K73" s="34" t="str">
        <f>IF($A73="","",ROUND($I73*IFERROR(IF($J73="",IF('Start Here'!$C$22="",0,'Start Here'!$C$22),$J73),0)/100,2))</f>
        <v/>
      </c>
      <c r="L73" s="34" t="str">
        <f t="shared" si="9"/>
        <v/>
      </c>
      <c r="M73" s="36"/>
      <c r="N73" s="31"/>
      <c r="O73" s="34" t="str">
        <f t="shared" si="10"/>
        <v/>
      </c>
      <c r="P73" s="30"/>
      <c r="Q73" s="37" t="str">
        <f t="shared" ca="1" si="11"/>
        <v/>
      </c>
      <c r="R73" s="38" t="str">
        <f t="shared" ca="1" si="12"/>
        <v/>
      </c>
      <c r="S73" s="37" t="str">
        <f ca="1">IF($A73="","",IF(OR($Q73="Paid",$Q73="Cancelled",$Q73="Draft"),"—",IF($Q73="No lines yet","Add line items",IF($Q73="No date","Add invoice date",IF($D73-TODAY()&gt;7,"—",IF($D73-TODAY()&gt;=1,"Due soon",IF($D73=TODAY(),"Due today",IF(TODAY()-$D73&lt;IF('Start Here'!$C$16="",7,'Start Here'!$C$16),"Just overdue",IF(TODAY()-$D73&lt;IF('Start Here'!$C$17="",21,'Start Here'!$C$17),"First reminder",IF(TODAY()-$D73&lt;IF('Start Here'!$C$18="",45,'Start Here'!$C$18),"Second reminder","Last friendly reminder"))))))))))</f>
        <v/>
      </c>
      <c r="T73" s="31"/>
      <c r="U73" s="30"/>
      <c r="V73" s="37" t="str">
        <f t="shared" si="13"/>
        <v/>
      </c>
      <c r="W73" s="40"/>
      <c r="X73" s="37" t="str">
        <f>IF($A73="","",IFERROR(VALUE(IF('Start Here'!$C$13="",$A73,SUBSTITUTE($A73,'Start Here'!$C$13,""))),""))</f>
        <v/>
      </c>
      <c r="Y73" s="37" t="str">
        <f t="shared" si="14"/>
        <v/>
      </c>
      <c r="Z73" s="37" t="str">
        <f t="shared" ca="1" si="15"/>
        <v/>
      </c>
      <c r="AA73" s="37" t="str">
        <f t="shared" si="16"/>
        <v/>
      </c>
      <c r="AB73" s="37" t="str">
        <f t="shared" ca="1" si="17"/>
        <v/>
      </c>
    </row>
    <row r="74" spans="1:28" ht="16" x14ac:dyDescent="0.2">
      <c r="A74" s="30"/>
      <c r="B74" s="31"/>
      <c r="C74" s="32"/>
      <c r="D74" s="33" t="str">
        <f>IF($B74="","",$B74+IF($C74="",IF('Start Here'!$C$15="",14,'Start Here'!$C$15),$C74))</f>
        <v/>
      </c>
      <c r="E74" s="30"/>
      <c r="F74" s="30"/>
      <c r="G74" s="30"/>
      <c r="H74" s="30"/>
      <c r="I74" s="34" t="str">
        <f>IF($A74="","",ROUND(SUMIF('Line Items'!$A$8:$A$507,$A74,'Line Items'!$H$8:$H$507),2))</f>
        <v/>
      </c>
      <c r="J74" s="35"/>
      <c r="K74" s="34" t="str">
        <f>IF($A74="","",ROUND($I74*IFERROR(IF($J74="",IF('Start Here'!$C$22="",0,'Start Here'!$C$22),$J74),0)/100,2))</f>
        <v/>
      </c>
      <c r="L74" s="34" t="str">
        <f t="shared" si="9"/>
        <v/>
      </c>
      <c r="M74" s="36"/>
      <c r="N74" s="31"/>
      <c r="O74" s="34" t="str">
        <f t="shared" si="10"/>
        <v/>
      </c>
      <c r="P74" s="30"/>
      <c r="Q74" s="37" t="str">
        <f t="shared" ca="1" si="11"/>
        <v/>
      </c>
      <c r="R74" s="38" t="str">
        <f t="shared" ca="1" si="12"/>
        <v/>
      </c>
      <c r="S74" s="37" t="str">
        <f ca="1">IF($A74="","",IF(OR($Q74="Paid",$Q74="Cancelled",$Q74="Draft"),"—",IF($Q74="No lines yet","Add line items",IF($Q74="No date","Add invoice date",IF($D74-TODAY()&gt;7,"—",IF($D74-TODAY()&gt;=1,"Due soon",IF($D74=TODAY(),"Due today",IF(TODAY()-$D74&lt;IF('Start Here'!$C$16="",7,'Start Here'!$C$16),"Just overdue",IF(TODAY()-$D74&lt;IF('Start Here'!$C$17="",21,'Start Here'!$C$17),"First reminder",IF(TODAY()-$D74&lt;IF('Start Here'!$C$18="",45,'Start Here'!$C$18),"Second reminder","Last friendly reminder"))))))))))</f>
        <v/>
      </c>
      <c r="T74" s="31"/>
      <c r="U74" s="30"/>
      <c r="V74" s="37" t="str">
        <f t="shared" si="13"/>
        <v/>
      </c>
      <c r="W74" s="39"/>
      <c r="X74" s="37" t="str">
        <f>IF($A74="","",IFERROR(VALUE(IF('Start Here'!$C$13="",$A74,SUBSTITUTE($A74,'Start Here'!$C$13,""))),""))</f>
        <v/>
      </c>
      <c r="Y74" s="37" t="str">
        <f t="shared" si="14"/>
        <v/>
      </c>
      <c r="Z74" s="37" t="str">
        <f t="shared" ca="1" si="15"/>
        <v/>
      </c>
      <c r="AA74" s="37" t="str">
        <f t="shared" si="16"/>
        <v/>
      </c>
      <c r="AB74" s="37" t="str">
        <f t="shared" ca="1" si="17"/>
        <v/>
      </c>
    </row>
    <row r="75" spans="1:28" ht="16" x14ac:dyDescent="0.2">
      <c r="A75" s="30"/>
      <c r="B75" s="31"/>
      <c r="C75" s="32"/>
      <c r="D75" s="33" t="str">
        <f>IF($B75="","",$B75+IF($C75="",IF('Start Here'!$C$15="",14,'Start Here'!$C$15),$C75))</f>
        <v/>
      </c>
      <c r="E75" s="30"/>
      <c r="F75" s="30"/>
      <c r="G75" s="30"/>
      <c r="H75" s="30"/>
      <c r="I75" s="34" t="str">
        <f>IF($A75="","",ROUND(SUMIF('Line Items'!$A$8:$A$507,$A75,'Line Items'!$H$8:$H$507),2))</f>
        <v/>
      </c>
      <c r="J75" s="35"/>
      <c r="K75" s="34" t="str">
        <f>IF($A75="","",ROUND($I75*IFERROR(IF($J75="",IF('Start Here'!$C$22="",0,'Start Here'!$C$22),$J75),0)/100,2))</f>
        <v/>
      </c>
      <c r="L75" s="34" t="str">
        <f t="shared" si="9"/>
        <v/>
      </c>
      <c r="M75" s="36"/>
      <c r="N75" s="31"/>
      <c r="O75" s="34" t="str">
        <f t="shared" si="10"/>
        <v/>
      </c>
      <c r="P75" s="30"/>
      <c r="Q75" s="37" t="str">
        <f t="shared" ca="1" si="11"/>
        <v/>
      </c>
      <c r="R75" s="38" t="str">
        <f t="shared" ca="1" si="12"/>
        <v/>
      </c>
      <c r="S75" s="37" t="str">
        <f ca="1">IF($A75="","",IF(OR($Q75="Paid",$Q75="Cancelled",$Q75="Draft"),"—",IF($Q75="No lines yet","Add line items",IF($Q75="No date","Add invoice date",IF($D75-TODAY()&gt;7,"—",IF($D75-TODAY()&gt;=1,"Due soon",IF($D75=TODAY(),"Due today",IF(TODAY()-$D75&lt;IF('Start Here'!$C$16="",7,'Start Here'!$C$16),"Just overdue",IF(TODAY()-$D75&lt;IF('Start Here'!$C$17="",21,'Start Here'!$C$17),"First reminder",IF(TODAY()-$D75&lt;IF('Start Here'!$C$18="",45,'Start Here'!$C$18),"Second reminder","Last friendly reminder"))))))))))</f>
        <v/>
      </c>
      <c r="T75" s="31"/>
      <c r="U75" s="30"/>
      <c r="V75" s="37" t="str">
        <f t="shared" si="13"/>
        <v/>
      </c>
      <c r="W75" s="40"/>
      <c r="X75" s="37" t="str">
        <f>IF($A75="","",IFERROR(VALUE(IF('Start Here'!$C$13="",$A75,SUBSTITUTE($A75,'Start Here'!$C$13,""))),""))</f>
        <v/>
      </c>
      <c r="Y75" s="37" t="str">
        <f t="shared" si="14"/>
        <v/>
      </c>
      <c r="Z75" s="37" t="str">
        <f t="shared" ca="1" si="15"/>
        <v/>
      </c>
      <c r="AA75" s="37" t="str">
        <f t="shared" si="16"/>
        <v/>
      </c>
      <c r="AB75" s="37" t="str">
        <f t="shared" ca="1" si="17"/>
        <v/>
      </c>
    </row>
    <row r="76" spans="1:28" ht="16" x14ac:dyDescent="0.2">
      <c r="A76" s="30"/>
      <c r="B76" s="31"/>
      <c r="C76" s="32"/>
      <c r="D76" s="33" t="str">
        <f>IF($B76="","",$B76+IF($C76="",IF('Start Here'!$C$15="",14,'Start Here'!$C$15),$C76))</f>
        <v/>
      </c>
      <c r="E76" s="30"/>
      <c r="F76" s="30"/>
      <c r="G76" s="30"/>
      <c r="H76" s="30"/>
      <c r="I76" s="34" t="str">
        <f>IF($A76="","",ROUND(SUMIF('Line Items'!$A$8:$A$507,$A76,'Line Items'!$H$8:$H$507),2))</f>
        <v/>
      </c>
      <c r="J76" s="35"/>
      <c r="K76" s="34" t="str">
        <f>IF($A76="","",ROUND($I76*IFERROR(IF($J76="",IF('Start Here'!$C$22="",0,'Start Here'!$C$22),$J76),0)/100,2))</f>
        <v/>
      </c>
      <c r="L76" s="34" t="str">
        <f t="shared" si="9"/>
        <v/>
      </c>
      <c r="M76" s="36"/>
      <c r="N76" s="31"/>
      <c r="O76" s="34" t="str">
        <f t="shared" si="10"/>
        <v/>
      </c>
      <c r="P76" s="30"/>
      <c r="Q76" s="37" t="str">
        <f t="shared" ca="1" si="11"/>
        <v/>
      </c>
      <c r="R76" s="38" t="str">
        <f t="shared" ca="1" si="12"/>
        <v/>
      </c>
      <c r="S76" s="37" t="str">
        <f ca="1">IF($A76="","",IF(OR($Q76="Paid",$Q76="Cancelled",$Q76="Draft"),"—",IF($Q76="No lines yet","Add line items",IF($Q76="No date","Add invoice date",IF($D76-TODAY()&gt;7,"—",IF($D76-TODAY()&gt;=1,"Due soon",IF($D76=TODAY(),"Due today",IF(TODAY()-$D76&lt;IF('Start Here'!$C$16="",7,'Start Here'!$C$16),"Just overdue",IF(TODAY()-$D76&lt;IF('Start Here'!$C$17="",21,'Start Here'!$C$17),"First reminder",IF(TODAY()-$D76&lt;IF('Start Here'!$C$18="",45,'Start Here'!$C$18),"Second reminder","Last friendly reminder"))))))))))</f>
        <v/>
      </c>
      <c r="T76" s="31"/>
      <c r="U76" s="30"/>
      <c r="V76" s="37" t="str">
        <f t="shared" si="13"/>
        <v/>
      </c>
      <c r="W76" s="39"/>
      <c r="X76" s="37" t="str">
        <f>IF($A76="","",IFERROR(VALUE(IF('Start Here'!$C$13="",$A76,SUBSTITUTE($A76,'Start Here'!$C$13,""))),""))</f>
        <v/>
      </c>
      <c r="Y76" s="37" t="str">
        <f t="shared" si="14"/>
        <v/>
      </c>
      <c r="Z76" s="37" t="str">
        <f t="shared" ca="1" si="15"/>
        <v/>
      </c>
      <c r="AA76" s="37" t="str">
        <f t="shared" si="16"/>
        <v/>
      </c>
      <c r="AB76" s="37" t="str">
        <f t="shared" ca="1" si="17"/>
        <v/>
      </c>
    </row>
    <row r="77" spans="1:28" ht="16" x14ac:dyDescent="0.2">
      <c r="A77" s="30"/>
      <c r="B77" s="31"/>
      <c r="C77" s="32"/>
      <c r="D77" s="33" t="str">
        <f>IF($B77="","",$B77+IF($C77="",IF('Start Here'!$C$15="",14,'Start Here'!$C$15),$C77))</f>
        <v/>
      </c>
      <c r="E77" s="30"/>
      <c r="F77" s="30"/>
      <c r="G77" s="30"/>
      <c r="H77" s="30"/>
      <c r="I77" s="34" t="str">
        <f>IF($A77="","",ROUND(SUMIF('Line Items'!$A$8:$A$507,$A77,'Line Items'!$H$8:$H$507),2))</f>
        <v/>
      </c>
      <c r="J77" s="35"/>
      <c r="K77" s="34" t="str">
        <f>IF($A77="","",ROUND($I77*IFERROR(IF($J77="",IF('Start Here'!$C$22="",0,'Start Here'!$C$22),$J77),0)/100,2))</f>
        <v/>
      </c>
      <c r="L77" s="34" t="str">
        <f t="shared" si="9"/>
        <v/>
      </c>
      <c r="M77" s="36"/>
      <c r="N77" s="31"/>
      <c r="O77" s="34" t="str">
        <f t="shared" si="10"/>
        <v/>
      </c>
      <c r="P77" s="30"/>
      <c r="Q77" s="37" t="str">
        <f t="shared" ca="1" si="11"/>
        <v/>
      </c>
      <c r="R77" s="38" t="str">
        <f t="shared" ca="1" si="12"/>
        <v/>
      </c>
      <c r="S77" s="37" t="str">
        <f ca="1">IF($A77="","",IF(OR($Q77="Paid",$Q77="Cancelled",$Q77="Draft"),"—",IF($Q77="No lines yet","Add line items",IF($Q77="No date","Add invoice date",IF($D77-TODAY()&gt;7,"—",IF($D77-TODAY()&gt;=1,"Due soon",IF($D77=TODAY(),"Due today",IF(TODAY()-$D77&lt;IF('Start Here'!$C$16="",7,'Start Here'!$C$16),"Just overdue",IF(TODAY()-$D77&lt;IF('Start Here'!$C$17="",21,'Start Here'!$C$17),"First reminder",IF(TODAY()-$D77&lt;IF('Start Here'!$C$18="",45,'Start Here'!$C$18),"Second reminder","Last friendly reminder"))))))))))</f>
        <v/>
      </c>
      <c r="T77" s="31"/>
      <c r="U77" s="30"/>
      <c r="V77" s="37" t="str">
        <f t="shared" si="13"/>
        <v/>
      </c>
      <c r="W77" s="40"/>
      <c r="X77" s="37" t="str">
        <f>IF($A77="","",IFERROR(VALUE(IF('Start Here'!$C$13="",$A77,SUBSTITUTE($A77,'Start Here'!$C$13,""))),""))</f>
        <v/>
      </c>
      <c r="Y77" s="37" t="str">
        <f t="shared" si="14"/>
        <v/>
      </c>
      <c r="Z77" s="37" t="str">
        <f t="shared" ca="1" si="15"/>
        <v/>
      </c>
      <c r="AA77" s="37" t="str">
        <f t="shared" si="16"/>
        <v/>
      </c>
      <c r="AB77" s="37" t="str">
        <f t="shared" ca="1" si="17"/>
        <v/>
      </c>
    </row>
    <row r="78" spans="1:28" ht="16" x14ac:dyDescent="0.2">
      <c r="A78" s="30"/>
      <c r="B78" s="31"/>
      <c r="C78" s="32"/>
      <c r="D78" s="33" t="str">
        <f>IF($B78="","",$B78+IF($C78="",IF('Start Here'!$C$15="",14,'Start Here'!$C$15),$C78))</f>
        <v/>
      </c>
      <c r="E78" s="30"/>
      <c r="F78" s="30"/>
      <c r="G78" s="30"/>
      <c r="H78" s="30"/>
      <c r="I78" s="34" t="str">
        <f>IF($A78="","",ROUND(SUMIF('Line Items'!$A$8:$A$507,$A78,'Line Items'!$H$8:$H$507),2))</f>
        <v/>
      </c>
      <c r="J78" s="35"/>
      <c r="K78" s="34" t="str">
        <f>IF($A78="","",ROUND($I78*IFERROR(IF($J78="",IF('Start Here'!$C$22="",0,'Start Here'!$C$22),$J78),0)/100,2))</f>
        <v/>
      </c>
      <c r="L78" s="34" t="str">
        <f t="shared" si="9"/>
        <v/>
      </c>
      <c r="M78" s="36"/>
      <c r="N78" s="31"/>
      <c r="O78" s="34" t="str">
        <f t="shared" si="10"/>
        <v/>
      </c>
      <c r="P78" s="30"/>
      <c r="Q78" s="37" t="str">
        <f t="shared" ca="1" si="11"/>
        <v/>
      </c>
      <c r="R78" s="38" t="str">
        <f t="shared" ca="1" si="12"/>
        <v/>
      </c>
      <c r="S78" s="37" t="str">
        <f ca="1">IF($A78="","",IF(OR($Q78="Paid",$Q78="Cancelled",$Q78="Draft"),"—",IF($Q78="No lines yet","Add line items",IF($Q78="No date","Add invoice date",IF($D78-TODAY()&gt;7,"—",IF($D78-TODAY()&gt;=1,"Due soon",IF($D78=TODAY(),"Due today",IF(TODAY()-$D78&lt;IF('Start Here'!$C$16="",7,'Start Here'!$C$16),"Just overdue",IF(TODAY()-$D78&lt;IF('Start Here'!$C$17="",21,'Start Here'!$C$17),"First reminder",IF(TODAY()-$D78&lt;IF('Start Here'!$C$18="",45,'Start Here'!$C$18),"Second reminder","Last friendly reminder"))))))))))</f>
        <v/>
      </c>
      <c r="T78" s="31"/>
      <c r="U78" s="30"/>
      <c r="V78" s="37" t="str">
        <f t="shared" si="13"/>
        <v/>
      </c>
      <c r="W78" s="39"/>
      <c r="X78" s="37" t="str">
        <f>IF($A78="","",IFERROR(VALUE(IF('Start Here'!$C$13="",$A78,SUBSTITUTE($A78,'Start Here'!$C$13,""))),""))</f>
        <v/>
      </c>
      <c r="Y78" s="37" t="str">
        <f t="shared" si="14"/>
        <v/>
      </c>
      <c r="Z78" s="37" t="str">
        <f t="shared" ca="1" si="15"/>
        <v/>
      </c>
      <c r="AA78" s="37" t="str">
        <f t="shared" si="16"/>
        <v/>
      </c>
      <c r="AB78" s="37" t="str">
        <f t="shared" ca="1" si="17"/>
        <v/>
      </c>
    </row>
    <row r="79" spans="1:28" ht="16" x14ac:dyDescent="0.2">
      <c r="A79" s="30"/>
      <c r="B79" s="31"/>
      <c r="C79" s="32"/>
      <c r="D79" s="33" t="str">
        <f>IF($B79="","",$B79+IF($C79="",IF('Start Here'!$C$15="",14,'Start Here'!$C$15),$C79))</f>
        <v/>
      </c>
      <c r="E79" s="30"/>
      <c r="F79" s="30"/>
      <c r="G79" s="30"/>
      <c r="H79" s="30"/>
      <c r="I79" s="34" t="str">
        <f>IF($A79="","",ROUND(SUMIF('Line Items'!$A$8:$A$507,$A79,'Line Items'!$H$8:$H$507),2))</f>
        <v/>
      </c>
      <c r="J79" s="35"/>
      <c r="K79" s="34" t="str">
        <f>IF($A79="","",ROUND($I79*IFERROR(IF($J79="",IF('Start Here'!$C$22="",0,'Start Here'!$C$22),$J79),0)/100,2))</f>
        <v/>
      </c>
      <c r="L79" s="34" t="str">
        <f t="shared" si="9"/>
        <v/>
      </c>
      <c r="M79" s="36"/>
      <c r="N79" s="31"/>
      <c r="O79" s="34" t="str">
        <f t="shared" si="10"/>
        <v/>
      </c>
      <c r="P79" s="30"/>
      <c r="Q79" s="37" t="str">
        <f t="shared" ca="1" si="11"/>
        <v/>
      </c>
      <c r="R79" s="38" t="str">
        <f t="shared" ca="1" si="12"/>
        <v/>
      </c>
      <c r="S79" s="37" t="str">
        <f ca="1">IF($A79="","",IF(OR($Q79="Paid",$Q79="Cancelled",$Q79="Draft"),"—",IF($Q79="No lines yet","Add line items",IF($Q79="No date","Add invoice date",IF($D79-TODAY()&gt;7,"—",IF($D79-TODAY()&gt;=1,"Due soon",IF($D79=TODAY(),"Due today",IF(TODAY()-$D79&lt;IF('Start Here'!$C$16="",7,'Start Here'!$C$16),"Just overdue",IF(TODAY()-$D79&lt;IF('Start Here'!$C$17="",21,'Start Here'!$C$17),"First reminder",IF(TODAY()-$D79&lt;IF('Start Here'!$C$18="",45,'Start Here'!$C$18),"Second reminder","Last friendly reminder"))))))))))</f>
        <v/>
      </c>
      <c r="T79" s="31"/>
      <c r="U79" s="30"/>
      <c r="V79" s="37" t="str">
        <f t="shared" si="13"/>
        <v/>
      </c>
      <c r="W79" s="40"/>
      <c r="X79" s="37" t="str">
        <f>IF($A79="","",IFERROR(VALUE(IF('Start Here'!$C$13="",$A79,SUBSTITUTE($A79,'Start Here'!$C$13,""))),""))</f>
        <v/>
      </c>
      <c r="Y79" s="37" t="str">
        <f t="shared" si="14"/>
        <v/>
      </c>
      <c r="Z79" s="37" t="str">
        <f t="shared" ca="1" si="15"/>
        <v/>
      </c>
      <c r="AA79" s="37" t="str">
        <f t="shared" si="16"/>
        <v/>
      </c>
      <c r="AB79" s="37" t="str">
        <f t="shared" ca="1" si="17"/>
        <v/>
      </c>
    </row>
    <row r="80" spans="1:28" ht="16" x14ac:dyDescent="0.2">
      <c r="A80" s="30"/>
      <c r="B80" s="31"/>
      <c r="C80" s="32"/>
      <c r="D80" s="33" t="str">
        <f>IF($B80="","",$B80+IF($C80="",IF('Start Here'!$C$15="",14,'Start Here'!$C$15),$C80))</f>
        <v/>
      </c>
      <c r="E80" s="30"/>
      <c r="F80" s="30"/>
      <c r="G80" s="30"/>
      <c r="H80" s="30"/>
      <c r="I80" s="34" t="str">
        <f>IF($A80="","",ROUND(SUMIF('Line Items'!$A$8:$A$507,$A80,'Line Items'!$H$8:$H$507),2))</f>
        <v/>
      </c>
      <c r="J80" s="35"/>
      <c r="K80" s="34" t="str">
        <f>IF($A80="","",ROUND($I80*IFERROR(IF($J80="",IF('Start Here'!$C$22="",0,'Start Here'!$C$22),$J80),0)/100,2))</f>
        <v/>
      </c>
      <c r="L80" s="34" t="str">
        <f t="shared" si="9"/>
        <v/>
      </c>
      <c r="M80" s="36"/>
      <c r="N80" s="31"/>
      <c r="O80" s="34" t="str">
        <f t="shared" si="10"/>
        <v/>
      </c>
      <c r="P80" s="30"/>
      <c r="Q80" s="37" t="str">
        <f t="shared" ca="1" si="11"/>
        <v/>
      </c>
      <c r="R80" s="38" t="str">
        <f t="shared" ca="1" si="12"/>
        <v/>
      </c>
      <c r="S80" s="37" t="str">
        <f ca="1">IF($A80="","",IF(OR($Q80="Paid",$Q80="Cancelled",$Q80="Draft"),"—",IF($Q80="No lines yet","Add line items",IF($Q80="No date","Add invoice date",IF($D80-TODAY()&gt;7,"—",IF($D80-TODAY()&gt;=1,"Due soon",IF($D80=TODAY(),"Due today",IF(TODAY()-$D80&lt;IF('Start Here'!$C$16="",7,'Start Here'!$C$16),"Just overdue",IF(TODAY()-$D80&lt;IF('Start Here'!$C$17="",21,'Start Here'!$C$17),"First reminder",IF(TODAY()-$D80&lt;IF('Start Here'!$C$18="",45,'Start Here'!$C$18),"Second reminder","Last friendly reminder"))))))))))</f>
        <v/>
      </c>
      <c r="T80" s="31"/>
      <c r="U80" s="30"/>
      <c r="V80" s="37" t="str">
        <f t="shared" si="13"/>
        <v/>
      </c>
      <c r="W80" s="39"/>
      <c r="X80" s="37" t="str">
        <f>IF($A80="","",IFERROR(VALUE(IF('Start Here'!$C$13="",$A80,SUBSTITUTE($A80,'Start Here'!$C$13,""))),""))</f>
        <v/>
      </c>
      <c r="Y80" s="37" t="str">
        <f t="shared" si="14"/>
        <v/>
      </c>
      <c r="Z80" s="37" t="str">
        <f t="shared" ca="1" si="15"/>
        <v/>
      </c>
      <c r="AA80" s="37" t="str">
        <f t="shared" si="16"/>
        <v/>
      </c>
      <c r="AB80" s="37" t="str">
        <f t="shared" ca="1" si="17"/>
        <v/>
      </c>
    </row>
    <row r="81" spans="1:28" ht="16" x14ac:dyDescent="0.2">
      <c r="A81" s="30"/>
      <c r="B81" s="31"/>
      <c r="C81" s="32"/>
      <c r="D81" s="33" t="str">
        <f>IF($B81="","",$B81+IF($C81="",IF('Start Here'!$C$15="",14,'Start Here'!$C$15),$C81))</f>
        <v/>
      </c>
      <c r="E81" s="30"/>
      <c r="F81" s="30"/>
      <c r="G81" s="30"/>
      <c r="H81" s="30"/>
      <c r="I81" s="34" t="str">
        <f>IF($A81="","",ROUND(SUMIF('Line Items'!$A$8:$A$507,$A81,'Line Items'!$H$8:$H$507),2))</f>
        <v/>
      </c>
      <c r="J81" s="35"/>
      <c r="K81" s="34" t="str">
        <f>IF($A81="","",ROUND($I81*IFERROR(IF($J81="",IF('Start Here'!$C$22="",0,'Start Here'!$C$22),$J81),0)/100,2))</f>
        <v/>
      </c>
      <c r="L81" s="34" t="str">
        <f t="shared" si="9"/>
        <v/>
      </c>
      <c r="M81" s="36"/>
      <c r="N81" s="31"/>
      <c r="O81" s="34" t="str">
        <f t="shared" si="10"/>
        <v/>
      </c>
      <c r="P81" s="30"/>
      <c r="Q81" s="37" t="str">
        <f t="shared" ca="1" si="11"/>
        <v/>
      </c>
      <c r="R81" s="38" t="str">
        <f t="shared" ca="1" si="12"/>
        <v/>
      </c>
      <c r="S81" s="37" t="str">
        <f ca="1">IF($A81="","",IF(OR($Q81="Paid",$Q81="Cancelled",$Q81="Draft"),"—",IF($Q81="No lines yet","Add line items",IF($Q81="No date","Add invoice date",IF($D81-TODAY()&gt;7,"—",IF($D81-TODAY()&gt;=1,"Due soon",IF($D81=TODAY(),"Due today",IF(TODAY()-$D81&lt;IF('Start Here'!$C$16="",7,'Start Here'!$C$16),"Just overdue",IF(TODAY()-$D81&lt;IF('Start Here'!$C$17="",21,'Start Here'!$C$17),"First reminder",IF(TODAY()-$D81&lt;IF('Start Here'!$C$18="",45,'Start Here'!$C$18),"Second reminder","Last friendly reminder"))))))))))</f>
        <v/>
      </c>
      <c r="T81" s="31"/>
      <c r="U81" s="30"/>
      <c r="V81" s="37" t="str">
        <f t="shared" si="13"/>
        <v/>
      </c>
      <c r="W81" s="40"/>
      <c r="X81" s="37" t="str">
        <f>IF($A81="","",IFERROR(VALUE(IF('Start Here'!$C$13="",$A81,SUBSTITUTE($A81,'Start Here'!$C$13,""))),""))</f>
        <v/>
      </c>
      <c r="Y81" s="37" t="str">
        <f t="shared" si="14"/>
        <v/>
      </c>
      <c r="Z81" s="37" t="str">
        <f t="shared" ca="1" si="15"/>
        <v/>
      </c>
      <c r="AA81" s="37" t="str">
        <f t="shared" si="16"/>
        <v/>
      </c>
      <c r="AB81" s="37" t="str">
        <f t="shared" ca="1" si="17"/>
        <v/>
      </c>
    </row>
    <row r="82" spans="1:28" ht="16" x14ac:dyDescent="0.2">
      <c r="A82" s="30"/>
      <c r="B82" s="31"/>
      <c r="C82" s="32"/>
      <c r="D82" s="33" t="str">
        <f>IF($B82="","",$B82+IF($C82="",IF('Start Here'!$C$15="",14,'Start Here'!$C$15),$C82))</f>
        <v/>
      </c>
      <c r="E82" s="30"/>
      <c r="F82" s="30"/>
      <c r="G82" s="30"/>
      <c r="H82" s="30"/>
      <c r="I82" s="34" t="str">
        <f>IF($A82="","",ROUND(SUMIF('Line Items'!$A$8:$A$507,$A82,'Line Items'!$H$8:$H$507),2))</f>
        <v/>
      </c>
      <c r="J82" s="35"/>
      <c r="K82" s="34" t="str">
        <f>IF($A82="","",ROUND($I82*IFERROR(IF($J82="",IF('Start Here'!$C$22="",0,'Start Here'!$C$22),$J82),0)/100,2))</f>
        <v/>
      </c>
      <c r="L82" s="34" t="str">
        <f t="shared" si="9"/>
        <v/>
      </c>
      <c r="M82" s="36"/>
      <c r="N82" s="31"/>
      <c r="O82" s="34" t="str">
        <f t="shared" si="10"/>
        <v/>
      </c>
      <c r="P82" s="30"/>
      <c r="Q82" s="37" t="str">
        <f t="shared" ca="1" si="11"/>
        <v/>
      </c>
      <c r="R82" s="38" t="str">
        <f t="shared" ca="1" si="12"/>
        <v/>
      </c>
      <c r="S82" s="37" t="str">
        <f ca="1">IF($A82="","",IF(OR($Q82="Paid",$Q82="Cancelled",$Q82="Draft"),"—",IF($Q82="No lines yet","Add line items",IF($Q82="No date","Add invoice date",IF($D82-TODAY()&gt;7,"—",IF($D82-TODAY()&gt;=1,"Due soon",IF($D82=TODAY(),"Due today",IF(TODAY()-$D82&lt;IF('Start Here'!$C$16="",7,'Start Here'!$C$16),"Just overdue",IF(TODAY()-$D82&lt;IF('Start Here'!$C$17="",21,'Start Here'!$C$17),"First reminder",IF(TODAY()-$D82&lt;IF('Start Here'!$C$18="",45,'Start Here'!$C$18),"Second reminder","Last friendly reminder"))))))))))</f>
        <v/>
      </c>
      <c r="T82" s="31"/>
      <c r="U82" s="30"/>
      <c r="V82" s="37" t="str">
        <f t="shared" si="13"/>
        <v/>
      </c>
      <c r="W82" s="39"/>
      <c r="X82" s="37" t="str">
        <f>IF($A82="","",IFERROR(VALUE(IF('Start Here'!$C$13="",$A82,SUBSTITUTE($A82,'Start Here'!$C$13,""))),""))</f>
        <v/>
      </c>
      <c r="Y82" s="37" t="str">
        <f t="shared" si="14"/>
        <v/>
      </c>
      <c r="Z82" s="37" t="str">
        <f t="shared" ca="1" si="15"/>
        <v/>
      </c>
      <c r="AA82" s="37" t="str">
        <f t="shared" si="16"/>
        <v/>
      </c>
      <c r="AB82" s="37" t="str">
        <f t="shared" ca="1" si="17"/>
        <v/>
      </c>
    </row>
    <row r="83" spans="1:28" ht="16" x14ac:dyDescent="0.2">
      <c r="A83" s="30"/>
      <c r="B83" s="31"/>
      <c r="C83" s="32"/>
      <c r="D83" s="33" t="str">
        <f>IF($B83="","",$B83+IF($C83="",IF('Start Here'!$C$15="",14,'Start Here'!$C$15),$C83))</f>
        <v/>
      </c>
      <c r="E83" s="30"/>
      <c r="F83" s="30"/>
      <c r="G83" s="30"/>
      <c r="H83" s="30"/>
      <c r="I83" s="34" t="str">
        <f>IF($A83="","",ROUND(SUMIF('Line Items'!$A$8:$A$507,$A83,'Line Items'!$H$8:$H$507),2))</f>
        <v/>
      </c>
      <c r="J83" s="35"/>
      <c r="K83" s="34" t="str">
        <f>IF($A83="","",ROUND($I83*IFERROR(IF($J83="",IF('Start Here'!$C$22="",0,'Start Here'!$C$22),$J83),0)/100,2))</f>
        <v/>
      </c>
      <c r="L83" s="34" t="str">
        <f t="shared" si="9"/>
        <v/>
      </c>
      <c r="M83" s="36"/>
      <c r="N83" s="31"/>
      <c r="O83" s="34" t="str">
        <f t="shared" si="10"/>
        <v/>
      </c>
      <c r="P83" s="30"/>
      <c r="Q83" s="37" t="str">
        <f t="shared" ca="1" si="11"/>
        <v/>
      </c>
      <c r="R83" s="38" t="str">
        <f t="shared" ca="1" si="12"/>
        <v/>
      </c>
      <c r="S83" s="37" t="str">
        <f ca="1">IF($A83="","",IF(OR($Q83="Paid",$Q83="Cancelled",$Q83="Draft"),"—",IF($Q83="No lines yet","Add line items",IF($Q83="No date","Add invoice date",IF($D83-TODAY()&gt;7,"—",IF($D83-TODAY()&gt;=1,"Due soon",IF($D83=TODAY(),"Due today",IF(TODAY()-$D83&lt;IF('Start Here'!$C$16="",7,'Start Here'!$C$16),"Just overdue",IF(TODAY()-$D83&lt;IF('Start Here'!$C$17="",21,'Start Here'!$C$17),"First reminder",IF(TODAY()-$D83&lt;IF('Start Here'!$C$18="",45,'Start Here'!$C$18),"Second reminder","Last friendly reminder"))))))))))</f>
        <v/>
      </c>
      <c r="T83" s="31"/>
      <c r="U83" s="30"/>
      <c r="V83" s="37" t="str">
        <f t="shared" si="13"/>
        <v/>
      </c>
      <c r="W83" s="40"/>
      <c r="X83" s="37" t="str">
        <f>IF($A83="","",IFERROR(VALUE(IF('Start Here'!$C$13="",$A83,SUBSTITUTE($A83,'Start Here'!$C$13,""))),""))</f>
        <v/>
      </c>
      <c r="Y83" s="37" t="str">
        <f t="shared" si="14"/>
        <v/>
      </c>
      <c r="Z83" s="37" t="str">
        <f t="shared" ca="1" si="15"/>
        <v/>
      </c>
      <c r="AA83" s="37" t="str">
        <f t="shared" si="16"/>
        <v/>
      </c>
      <c r="AB83" s="37" t="str">
        <f t="shared" ca="1" si="17"/>
        <v/>
      </c>
    </row>
    <row r="84" spans="1:28" ht="16" x14ac:dyDescent="0.2">
      <c r="A84" s="30"/>
      <c r="B84" s="31"/>
      <c r="C84" s="32"/>
      <c r="D84" s="33" t="str">
        <f>IF($B84="","",$B84+IF($C84="",IF('Start Here'!$C$15="",14,'Start Here'!$C$15),$C84))</f>
        <v/>
      </c>
      <c r="E84" s="30"/>
      <c r="F84" s="30"/>
      <c r="G84" s="30"/>
      <c r="H84" s="30"/>
      <c r="I84" s="34" t="str">
        <f>IF($A84="","",ROUND(SUMIF('Line Items'!$A$8:$A$507,$A84,'Line Items'!$H$8:$H$507),2))</f>
        <v/>
      </c>
      <c r="J84" s="35"/>
      <c r="K84" s="34" t="str">
        <f>IF($A84="","",ROUND($I84*IFERROR(IF($J84="",IF('Start Here'!$C$22="",0,'Start Here'!$C$22),$J84),0)/100,2))</f>
        <v/>
      </c>
      <c r="L84" s="34" t="str">
        <f t="shared" si="9"/>
        <v/>
      </c>
      <c r="M84" s="36"/>
      <c r="N84" s="31"/>
      <c r="O84" s="34" t="str">
        <f t="shared" si="10"/>
        <v/>
      </c>
      <c r="P84" s="30"/>
      <c r="Q84" s="37" t="str">
        <f t="shared" ca="1" si="11"/>
        <v/>
      </c>
      <c r="R84" s="38" t="str">
        <f t="shared" ca="1" si="12"/>
        <v/>
      </c>
      <c r="S84" s="37" t="str">
        <f ca="1">IF($A84="","",IF(OR($Q84="Paid",$Q84="Cancelled",$Q84="Draft"),"—",IF($Q84="No lines yet","Add line items",IF($Q84="No date","Add invoice date",IF($D84-TODAY()&gt;7,"—",IF($D84-TODAY()&gt;=1,"Due soon",IF($D84=TODAY(),"Due today",IF(TODAY()-$D84&lt;IF('Start Here'!$C$16="",7,'Start Here'!$C$16),"Just overdue",IF(TODAY()-$D84&lt;IF('Start Here'!$C$17="",21,'Start Here'!$C$17),"First reminder",IF(TODAY()-$D84&lt;IF('Start Here'!$C$18="",45,'Start Here'!$C$18),"Second reminder","Last friendly reminder"))))))))))</f>
        <v/>
      </c>
      <c r="T84" s="31"/>
      <c r="U84" s="30"/>
      <c r="V84" s="37" t="str">
        <f t="shared" si="13"/>
        <v/>
      </c>
      <c r="W84" s="39"/>
      <c r="X84" s="37" t="str">
        <f>IF($A84="","",IFERROR(VALUE(IF('Start Here'!$C$13="",$A84,SUBSTITUTE($A84,'Start Here'!$C$13,""))),""))</f>
        <v/>
      </c>
      <c r="Y84" s="37" t="str">
        <f t="shared" si="14"/>
        <v/>
      </c>
      <c r="Z84" s="37" t="str">
        <f t="shared" ca="1" si="15"/>
        <v/>
      </c>
      <c r="AA84" s="37" t="str">
        <f t="shared" si="16"/>
        <v/>
      </c>
      <c r="AB84" s="37" t="str">
        <f t="shared" ca="1" si="17"/>
        <v/>
      </c>
    </row>
    <row r="85" spans="1:28" ht="16" x14ac:dyDescent="0.2">
      <c r="A85" s="30"/>
      <c r="B85" s="31"/>
      <c r="C85" s="32"/>
      <c r="D85" s="33" t="str">
        <f>IF($B85="","",$B85+IF($C85="",IF('Start Here'!$C$15="",14,'Start Here'!$C$15),$C85))</f>
        <v/>
      </c>
      <c r="E85" s="30"/>
      <c r="F85" s="30"/>
      <c r="G85" s="30"/>
      <c r="H85" s="30"/>
      <c r="I85" s="34" t="str">
        <f>IF($A85="","",ROUND(SUMIF('Line Items'!$A$8:$A$507,$A85,'Line Items'!$H$8:$H$507),2))</f>
        <v/>
      </c>
      <c r="J85" s="35"/>
      <c r="K85" s="34" t="str">
        <f>IF($A85="","",ROUND($I85*IFERROR(IF($J85="",IF('Start Here'!$C$22="",0,'Start Here'!$C$22),$J85),0)/100,2))</f>
        <v/>
      </c>
      <c r="L85" s="34" t="str">
        <f t="shared" si="9"/>
        <v/>
      </c>
      <c r="M85" s="36"/>
      <c r="N85" s="31"/>
      <c r="O85" s="34" t="str">
        <f t="shared" si="10"/>
        <v/>
      </c>
      <c r="P85" s="30"/>
      <c r="Q85" s="37" t="str">
        <f t="shared" ca="1" si="11"/>
        <v/>
      </c>
      <c r="R85" s="38" t="str">
        <f t="shared" ca="1" si="12"/>
        <v/>
      </c>
      <c r="S85" s="37" t="str">
        <f ca="1">IF($A85="","",IF(OR($Q85="Paid",$Q85="Cancelled",$Q85="Draft"),"—",IF($Q85="No lines yet","Add line items",IF($Q85="No date","Add invoice date",IF($D85-TODAY()&gt;7,"—",IF($D85-TODAY()&gt;=1,"Due soon",IF($D85=TODAY(),"Due today",IF(TODAY()-$D85&lt;IF('Start Here'!$C$16="",7,'Start Here'!$C$16),"Just overdue",IF(TODAY()-$D85&lt;IF('Start Here'!$C$17="",21,'Start Here'!$C$17),"First reminder",IF(TODAY()-$D85&lt;IF('Start Here'!$C$18="",45,'Start Here'!$C$18),"Second reminder","Last friendly reminder"))))))))))</f>
        <v/>
      </c>
      <c r="T85" s="31"/>
      <c r="U85" s="30"/>
      <c r="V85" s="37" t="str">
        <f t="shared" si="13"/>
        <v/>
      </c>
      <c r="W85" s="40"/>
      <c r="X85" s="37" t="str">
        <f>IF($A85="","",IFERROR(VALUE(IF('Start Here'!$C$13="",$A85,SUBSTITUTE($A85,'Start Here'!$C$13,""))),""))</f>
        <v/>
      </c>
      <c r="Y85" s="37" t="str">
        <f t="shared" si="14"/>
        <v/>
      </c>
      <c r="Z85" s="37" t="str">
        <f t="shared" ca="1" si="15"/>
        <v/>
      </c>
      <c r="AA85" s="37" t="str">
        <f t="shared" si="16"/>
        <v/>
      </c>
      <c r="AB85" s="37" t="str">
        <f t="shared" ca="1" si="17"/>
        <v/>
      </c>
    </row>
    <row r="86" spans="1:28" ht="16" x14ac:dyDescent="0.2">
      <c r="A86" s="30"/>
      <c r="B86" s="31"/>
      <c r="C86" s="32"/>
      <c r="D86" s="33" t="str">
        <f>IF($B86="","",$B86+IF($C86="",IF('Start Here'!$C$15="",14,'Start Here'!$C$15),$C86))</f>
        <v/>
      </c>
      <c r="E86" s="30"/>
      <c r="F86" s="30"/>
      <c r="G86" s="30"/>
      <c r="H86" s="30"/>
      <c r="I86" s="34" t="str">
        <f>IF($A86="","",ROUND(SUMIF('Line Items'!$A$8:$A$507,$A86,'Line Items'!$H$8:$H$507),2))</f>
        <v/>
      </c>
      <c r="J86" s="35"/>
      <c r="K86" s="34" t="str">
        <f>IF($A86="","",ROUND($I86*IFERROR(IF($J86="",IF('Start Here'!$C$22="",0,'Start Here'!$C$22),$J86),0)/100,2))</f>
        <v/>
      </c>
      <c r="L86" s="34" t="str">
        <f t="shared" si="9"/>
        <v/>
      </c>
      <c r="M86" s="36"/>
      <c r="N86" s="31"/>
      <c r="O86" s="34" t="str">
        <f t="shared" si="10"/>
        <v/>
      </c>
      <c r="P86" s="30"/>
      <c r="Q86" s="37" t="str">
        <f t="shared" ca="1" si="11"/>
        <v/>
      </c>
      <c r="R86" s="38" t="str">
        <f t="shared" ca="1" si="12"/>
        <v/>
      </c>
      <c r="S86" s="37" t="str">
        <f ca="1">IF($A86="","",IF(OR($Q86="Paid",$Q86="Cancelled",$Q86="Draft"),"—",IF($Q86="No lines yet","Add line items",IF($Q86="No date","Add invoice date",IF($D86-TODAY()&gt;7,"—",IF($D86-TODAY()&gt;=1,"Due soon",IF($D86=TODAY(),"Due today",IF(TODAY()-$D86&lt;IF('Start Here'!$C$16="",7,'Start Here'!$C$16),"Just overdue",IF(TODAY()-$D86&lt;IF('Start Here'!$C$17="",21,'Start Here'!$C$17),"First reminder",IF(TODAY()-$D86&lt;IF('Start Here'!$C$18="",45,'Start Here'!$C$18),"Second reminder","Last friendly reminder"))))))))))</f>
        <v/>
      </c>
      <c r="T86" s="31"/>
      <c r="U86" s="30"/>
      <c r="V86" s="37" t="str">
        <f t="shared" si="13"/>
        <v/>
      </c>
      <c r="W86" s="39"/>
      <c r="X86" s="37" t="str">
        <f>IF($A86="","",IFERROR(VALUE(IF('Start Here'!$C$13="",$A86,SUBSTITUTE($A86,'Start Here'!$C$13,""))),""))</f>
        <v/>
      </c>
      <c r="Y86" s="37" t="str">
        <f t="shared" si="14"/>
        <v/>
      </c>
      <c r="Z86" s="37" t="str">
        <f t="shared" ca="1" si="15"/>
        <v/>
      </c>
      <c r="AA86" s="37" t="str">
        <f t="shared" si="16"/>
        <v/>
      </c>
      <c r="AB86" s="37" t="str">
        <f t="shared" ca="1" si="17"/>
        <v/>
      </c>
    </row>
    <row r="87" spans="1:28" ht="16" x14ac:dyDescent="0.2">
      <c r="A87" s="30"/>
      <c r="B87" s="31"/>
      <c r="C87" s="32"/>
      <c r="D87" s="33" t="str">
        <f>IF($B87="","",$B87+IF($C87="",IF('Start Here'!$C$15="",14,'Start Here'!$C$15),$C87))</f>
        <v/>
      </c>
      <c r="E87" s="30"/>
      <c r="F87" s="30"/>
      <c r="G87" s="30"/>
      <c r="H87" s="30"/>
      <c r="I87" s="34" t="str">
        <f>IF($A87="","",ROUND(SUMIF('Line Items'!$A$8:$A$507,$A87,'Line Items'!$H$8:$H$507),2))</f>
        <v/>
      </c>
      <c r="J87" s="35"/>
      <c r="K87" s="34" t="str">
        <f>IF($A87="","",ROUND($I87*IFERROR(IF($J87="",IF('Start Here'!$C$22="",0,'Start Here'!$C$22),$J87),0)/100,2))</f>
        <v/>
      </c>
      <c r="L87" s="34" t="str">
        <f t="shared" si="9"/>
        <v/>
      </c>
      <c r="M87" s="36"/>
      <c r="N87" s="31"/>
      <c r="O87" s="34" t="str">
        <f t="shared" si="10"/>
        <v/>
      </c>
      <c r="P87" s="30"/>
      <c r="Q87" s="37" t="str">
        <f t="shared" ca="1" si="11"/>
        <v/>
      </c>
      <c r="R87" s="38" t="str">
        <f t="shared" ca="1" si="12"/>
        <v/>
      </c>
      <c r="S87" s="37" t="str">
        <f ca="1">IF($A87="","",IF(OR($Q87="Paid",$Q87="Cancelled",$Q87="Draft"),"—",IF($Q87="No lines yet","Add line items",IF($Q87="No date","Add invoice date",IF($D87-TODAY()&gt;7,"—",IF($D87-TODAY()&gt;=1,"Due soon",IF($D87=TODAY(),"Due today",IF(TODAY()-$D87&lt;IF('Start Here'!$C$16="",7,'Start Here'!$C$16),"Just overdue",IF(TODAY()-$D87&lt;IF('Start Here'!$C$17="",21,'Start Here'!$C$17),"First reminder",IF(TODAY()-$D87&lt;IF('Start Here'!$C$18="",45,'Start Here'!$C$18),"Second reminder","Last friendly reminder"))))))))))</f>
        <v/>
      </c>
      <c r="T87" s="31"/>
      <c r="U87" s="30"/>
      <c r="V87" s="37" t="str">
        <f t="shared" si="13"/>
        <v/>
      </c>
      <c r="W87" s="40"/>
      <c r="X87" s="37" t="str">
        <f>IF($A87="","",IFERROR(VALUE(IF('Start Here'!$C$13="",$A87,SUBSTITUTE($A87,'Start Here'!$C$13,""))),""))</f>
        <v/>
      </c>
      <c r="Y87" s="37" t="str">
        <f t="shared" si="14"/>
        <v/>
      </c>
      <c r="Z87" s="37" t="str">
        <f t="shared" ca="1" si="15"/>
        <v/>
      </c>
      <c r="AA87" s="37" t="str">
        <f t="shared" si="16"/>
        <v/>
      </c>
      <c r="AB87" s="37" t="str">
        <f t="shared" ca="1" si="17"/>
        <v/>
      </c>
    </row>
    <row r="88" spans="1:28" ht="16" x14ac:dyDescent="0.2">
      <c r="A88" s="30"/>
      <c r="B88" s="31"/>
      <c r="C88" s="32"/>
      <c r="D88" s="33" t="str">
        <f>IF($B88="","",$B88+IF($C88="",IF('Start Here'!$C$15="",14,'Start Here'!$C$15),$C88))</f>
        <v/>
      </c>
      <c r="E88" s="30"/>
      <c r="F88" s="30"/>
      <c r="G88" s="30"/>
      <c r="H88" s="30"/>
      <c r="I88" s="34" t="str">
        <f>IF($A88="","",ROUND(SUMIF('Line Items'!$A$8:$A$507,$A88,'Line Items'!$H$8:$H$507),2))</f>
        <v/>
      </c>
      <c r="J88" s="35"/>
      <c r="K88" s="34" t="str">
        <f>IF($A88="","",ROUND($I88*IFERROR(IF($J88="",IF('Start Here'!$C$22="",0,'Start Here'!$C$22),$J88),0)/100,2))</f>
        <v/>
      </c>
      <c r="L88" s="34" t="str">
        <f t="shared" si="9"/>
        <v/>
      </c>
      <c r="M88" s="36"/>
      <c r="N88" s="31"/>
      <c r="O88" s="34" t="str">
        <f t="shared" si="10"/>
        <v/>
      </c>
      <c r="P88" s="30"/>
      <c r="Q88" s="37" t="str">
        <f t="shared" ca="1" si="11"/>
        <v/>
      </c>
      <c r="R88" s="38" t="str">
        <f t="shared" ca="1" si="12"/>
        <v/>
      </c>
      <c r="S88" s="37" t="str">
        <f ca="1">IF($A88="","",IF(OR($Q88="Paid",$Q88="Cancelled",$Q88="Draft"),"—",IF($Q88="No lines yet","Add line items",IF($Q88="No date","Add invoice date",IF($D88-TODAY()&gt;7,"—",IF($D88-TODAY()&gt;=1,"Due soon",IF($D88=TODAY(),"Due today",IF(TODAY()-$D88&lt;IF('Start Here'!$C$16="",7,'Start Here'!$C$16),"Just overdue",IF(TODAY()-$D88&lt;IF('Start Here'!$C$17="",21,'Start Here'!$C$17),"First reminder",IF(TODAY()-$D88&lt;IF('Start Here'!$C$18="",45,'Start Here'!$C$18),"Second reminder","Last friendly reminder"))))))))))</f>
        <v/>
      </c>
      <c r="T88" s="31"/>
      <c r="U88" s="30"/>
      <c r="V88" s="37" t="str">
        <f t="shared" si="13"/>
        <v/>
      </c>
      <c r="W88" s="39"/>
      <c r="X88" s="37" t="str">
        <f>IF($A88="","",IFERROR(VALUE(IF('Start Here'!$C$13="",$A88,SUBSTITUTE($A88,'Start Here'!$C$13,""))),""))</f>
        <v/>
      </c>
      <c r="Y88" s="37" t="str">
        <f t="shared" si="14"/>
        <v/>
      </c>
      <c r="Z88" s="37" t="str">
        <f t="shared" ca="1" si="15"/>
        <v/>
      </c>
      <c r="AA88" s="37" t="str">
        <f t="shared" si="16"/>
        <v/>
      </c>
      <c r="AB88" s="37" t="str">
        <f t="shared" ca="1" si="17"/>
        <v/>
      </c>
    </row>
    <row r="89" spans="1:28" ht="16" x14ac:dyDescent="0.2">
      <c r="A89" s="30"/>
      <c r="B89" s="31"/>
      <c r="C89" s="32"/>
      <c r="D89" s="33" t="str">
        <f>IF($B89="","",$B89+IF($C89="",IF('Start Here'!$C$15="",14,'Start Here'!$C$15),$C89))</f>
        <v/>
      </c>
      <c r="E89" s="30"/>
      <c r="F89" s="30"/>
      <c r="G89" s="30"/>
      <c r="H89" s="30"/>
      <c r="I89" s="34" t="str">
        <f>IF($A89="","",ROUND(SUMIF('Line Items'!$A$8:$A$507,$A89,'Line Items'!$H$8:$H$507),2))</f>
        <v/>
      </c>
      <c r="J89" s="35"/>
      <c r="K89" s="34" t="str">
        <f>IF($A89="","",ROUND($I89*IFERROR(IF($J89="",IF('Start Here'!$C$22="",0,'Start Here'!$C$22),$J89),0)/100,2))</f>
        <v/>
      </c>
      <c r="L89" s="34" t="str">
        <f t="shared" si="9"/>
        <v/>
      </c>
      <c r="M89" s="36"/>
      <c r="N89" s="31"/>
      <c r="O89" s="34" t="str">
        <f t="shared" si="10"/>
        <v/>
      </c>
      <c r="P89" s="30"/>
      <c r="Q89" s="37" t="str">
        <f t="shared" ca="1" si="11"/>
        <v/>
      </c>
      <c r="R89" s="38" t="str">
        <f t="shared" ca="1" si="12"/>
        <v/>
      </c>
      <c r="S89" s="37" t="str">
        <f ca="1">IF($A89="","",IF(OR($Q89="Paid",$Q89="Cancelled",$Q89="Draft"),"—",IF($Q89="No lines yet","Add line items",IF($Q89="No date","Add invoice date",IF($D89-TODAY()&gt;7,"—",IF($D89-TODAY()&gt;=1,"Due soon",IF($D89=TODAY(),"Due today",IF(TODAY()-$D89&lt;IF('Start Here'!$C$16="",7,'Start Here'!$C$16),"Just overdue",IF(TODAY()-$D89&lt;IF('Start Here'!$C$17="",21,'Start Here'!$C$17),"First reminder",IF(TODAY()-$D89&lt;IF('Start Here'!$C$18="",45,'Start Here'!$C$18),"Second reminder","Last friendly reminder"))))))))))</f>
        <v/>
      </c>
      <c r="T89" s="31"/>
      <c r="U89" s="30"/>
      <c r="V89" s="37" t="str">
        <f t="shared" si="13"/>
        <v/>
      </c>
      <c r="W89" s="40"/>
      <c r="X89" s="37" t="str">
        <f>IF($A89="","",IFERROR(VALUE(IF('Start Here'!$C$13="",$A89,SUBSTITUTE($A89,'Start Here'!$C$13,""))),""))</f>
        <v/>
      </c>
      <c r="Y89" s="37" t="str">
        <f t="shared" si="14"/>
        <v/>
      </c>
      <c r="Z89" s="37" t="str">
        <f t="shared" ca="1" si="15"/>
        <v/>
      </c>
      <c r="AA89" s="37" t="str">
        <f t="shared" si="16"/>
        <v/>
      </c>
      <c r="AB89" s="37" t="str">
        <f t="shared" ca="1" si="17"/>
        <v/>
      </c>
    </row>
    <row r="90" spans="1:28" ht="16" x14ac:dyDescent="0.2">
      <c r="A90" s="30"/>
      <c r="B90" s="31"/>
      <c r="C90" s="32"/>
      <c r="D90" s="33" t="str">
        <f>IF($B90="","",$B90+IF($C90="",IF('Start Here'!$C$15="",14,'Start Here'!$C$15),$C90))</f>
        <v/>
      </c>
      <c r="E90" s="30"/>
      <c r="F90" s="30"/>
      <c r="G90" s="30"/>
      <c r="H90" s="30"/>
      <c r="I90" s="34" t="str">
        <f>IF($A90="","",ROUND(SUMIF('Line Items'!$A$8:$A$507,$A90,'Line Items'!$H$8:$H$507),2))</f>
        <v/>
      </c>
      <c r="J90" s="35"/>
      <c r="K90" s="34" t="str">
        <f>IF($A90="","",ROUND($I90*IFERROR(IF($J90="",IF('Start Here'!$C$22="",0,'Start Here'!$C$22),$J90),0)/100,2))</f>
        <v/>
      </c>
      <c r="L90" s="34" t="str">
        <f t="shared" si="9"/>
        <v/>
      </c>
      <c r="M90" s="36"/>
      <c r="N90" s="31"/>
      <c r="O90" s="34" t="str">
        <f t="shared" si="10"/>
        <v/>
      </c>
      <c r="P90" s="30"/>
      <c r="Q90" s="37" t="str">
        <f t="shared" ca="1" si="11"/>
        <v/>
      </c>
      <c r="R90" s="38" t="str">
        <f t="shared" ca="1" si="12"/>
        <v/>
      </c>
      <c r="S90" s="37" t="str">
        <f ca="1">IF($A90="","",IF(OR($Q90="Paid",$Q90="Cancelled",$Q90="Draft"),"—",IF($Q90="No lines yet","Add line items",IF($Q90="No date","Add invoice date",IF($D90-TODAY()&gt;7,"—",IF($D90-TODAY()&gt;=1,"Due soon",IF($D90=TODAY(),"Due today",IF(TODAY()-$D90&lt;IF('Start Here'!$C$16="",7,'Start Here'!$C$16),"Just overdue",IF(TODAY()-$D90&lt;IF('Start Here'!$C$17="",21,'Start Here'!$C$17),"First reminder",IF(TODAY()-$D90&lt;IF('Start Here'!$C$18="",45,'Start Here'!$C$18),"Second reminder","Last friendly reminder"))))))))))</f>
        <v/>
      </c>
      <c r="T90" s="31"/>
      <c r="U90" s="30"/>
      <c r="V90" s="37" t="str">
        <f t="shared" si="13"/>
        <v/>
      </c>
      <c r="W90" s="39"/>
      <c r="X90" s="37" t="str">
        <f>IF($A90="","",IFERROR(VALUE(IF('Start Here'!$C$13="",$A90,SUBSTITUTE($A90,'Start Here'!$C$13,""))),""))</f>
        <v/>
      </c>
      <c r="Y90" s="37" t="str">
        <f t="shared" si="14"/>
        <v/>
      </c>
      <c r="Z90" s="37" t="str">
        <f t="shared" ca="1" si="15"/>
        <v/>
      </c>
      <c r="AA90" s="37" t="str">
        <f t="shared" si="16"/>
        <v/>
      </c>
      <c r="AB90" s="37" t="str">
        <f t="shared" ca="1" si="17"/>
        <v/>
      </c>
    </row>
    <row r="91" spans="1:28" ht="16" x14ac:dyDescent="0.2">
      <c r="A91" s="30"/>
      <c r="B91" s="31"/>
      <c r="C91" s="32"/>
      <c r="D91" s="33" t="str">
        <f>IF($B91="","",$B91+IF($C91="",IF('Start Here'!$C$15="",14,'Start Here'!$C$15),$C91))</f>
        <v/>
      </c>
      <c r="E91" s="30"/>
      <c r="F91" s="30"/>
      <c r="G91" s="30"/>
      <c r="H91" s="30"/>
      <c r="I91" s="34" t="str">
        <f>IF($A91="","",ROUND(SUMIF('Line Items'!$A$8:$A$507,$A91,'Line Items'!$H$8:$H$507),2))</f>
        <v/>
      </c>
      <c r="J91" s="35"/>
      <c r="K91" s="34" t="str">
        <f>IF($A91="","",ROUND($I91*IFERROR(IF($J91="",IF('Start Here'!$C$22="",0,'Start Here'!$C$22),$J91),0)/100,2))</f>
        <v/>
      </c>
      <c r="L91" s="34" t="str">
        <f t="shared" si="9"/>
        <v/>
      </c>
      <c r="M91" s="36"/>
      <c r="N91" s="31"/>
      <c r="O91" s="34" t="str">
        <f t="shared" si="10"/>
        <v/>
      </c>
      <c r="P91" s="30"/>
      <c r="Q91" s="37" t="str">
        <f t="shared" ca="1" si="11"/>
        <v/>
      </c>
      <c r="R91" s="38" t="str">
        <f t="shared" ca="1" si="12"/>
        <v/>
      </c>
      <c r="S91" s="37" t="str">
        <f ca="1">IF($A91="","",IF(OR($Q91="Paid",$Q91="Cancelled",$Q91="Draft"),"—",IF($Q91="No lines yet","Add line items",IF($Q91="No date","Add invoice date",IF($D91-TODAY()&gt;7,"—",IF($D91-TODAY()&gt;=1,"Due soon",IF($D91=TODAY(),"Due today",IF(TODAY()-$D91&lt;IF('Start Here'!$C$16="",7,'Start Here'!$C$16),"Just overdue",IF(TODAY()-$D91&lt;IF('Start Here'!$C$17="",21,'Start Here'!$C$17),"First reminder",IF(TODAY()-$D91&lt;IF('Start Here'!$C$18="",45,'Start Here'!$C$18),"Second reminder","Last friendly reminder"))))))))))</f>
        <v/>
      </c>
      <c r="T91" s="31"/>
      <c r="U91" s="30"/>
      <c r="V91" s="37" t="str">
        <f t="shared" si="13"/>
        <v/>
      </c>
      <c r="W91" s="40"/>
      <c r="X91" s="37" t="str">
        <f>IF($A91="","",IFERROR(VALUE(IF('Start Here'!$C$13="",$A91,SUBSTITUTE($A91,'Start Here'!$C$13,""))),""))</f>
        <v/>
      </c>
      <c r="Y91" s="37" t="str">
        <f t="shared" si="14"/>
        <v/>
      </c>
      <c r="Z91" s="37" t="str">
        <f t="shared" ca="1" si="15"/>
        <v/>
      </c>
      <c r="AA91" s="37" t="str">
        <f t="shared" si="16"/>
        <v/>
      </c>
      <c r="AB91" s="37" t="str">
        <f t="shared" ca="1" si="17"/>
        <v/>
      </c>
    </row>
    <row r="92" spans="1:28" ht="16" x14ac:dyDescent="0.2">
      <c r="A92" s="30"/>
      <c r="B92" s="31"/>
      <c r="C92" s="32"/>
      <c r="D92" s="33" t="str">
        <f>IF($B92="","",$B92+IF($C92="",IF('Start Here'!$C$15="",14,'Start Here'!$C$15),$C92))</f>
        <v/>
      </c>
      <c r="E92" s="30"/>
      <c r="F92" s="30"/>
      <c r="G92" s="30"/>
      <c r="H92" s="30"/>
      <c r="I92" s="34" t="str">
        <f>IF($A92="","",ROUND(SUMIF('Line Items'!$A$8:$A$507,$A92,'Line Items'!$H$8:$H$507),2))</f>
        <v/>
      </c>
      <c r="J92" s="35"/>
      <c r="K92" s="34" t="str">
        <f>IF($A92="","",ROUND($I92*IFERROR(IF($J92="",IF('Start Here'!$C$22="",0,'Start Here'!$C$22),$J92),0)/100,2))</f>
        <v/>
      </c>
      <c r="L92" s="34" t="str">
        <f t="shared" si="9"/>
        <v/>
      </c>
      <c r="M92" s="36"/>
      <c r="N92" s="31"/>
      <c r="O92" s="34" t="str">
        <f t="shared" si="10"/>
        <v/>
      </c>
      <c r="P92" s="30"/>
      <c r="Q92" s="37" t="str">
        <f t="shared" ca="1" si="11"/>
        <v/>
      </c>
      <c r="R92" s="38" t="str">
        <f t="shared" ca="1" si="12"/>
        <v/>
      </c>
      <c r="S92" s="37" t="str">
        <f ca="1">IF($A92="","",IF(OR($Q92="Paid",$Q92="Cancelled",$Q92="Draft"),"—",IF($Q92="No lines yet","Add line items",IF($Q92="No date","Add invoice date",IF($D92-TODAY()&gt;7,"—",IF($D92-TODAY()&gt;=1,"Due soon",IF($D92=TODAY(),"Due today",IF(TODAY()-$D92&lt;IF('Start Here'!$C$16="",7,'Start Here'!$C$16),"Just overdue",IF(TODAY()-$D92&lt;IF('Start Here'!$C$17="",21,'Start Here'!$C$17),"First reminder",IF(TODAY()-$D92&lt;IF('Start Here'!$C$18="",45,'Start Here'!$C$18),"Second reminder","Last friendly reminder"))))))))))</f>
        <v/>
      </c>
      <c r="T92" s="31"/>
      <c r="U92" s="30"/>
      <c r="V92" s="37" t="str">
        <f t="shared" si="13"/>
        <v/>
      </c>
      <c r="W92" s="39"/>
      <c r="X92" s="37" t="str">
        <f>IF($A92="","",IFERROR(VALUE(IF('Start Here'!$C$13="",$A92,SUBSTITUTE($A92,'Start Here'!$C$13,""))),""))</f>
        <v/>
      </c>
      <c r="Y92" s="37" t="str">
        <f t="shared" si="14"/>
        <v/>
      </c>
      <c r="Z92" s="37" t="str">
        <f t="shared" ca="1" si="15"/>
        <v/>
      </c>
      <c r="AA92" s="37" t="str">
        <f t="shared" si="16"/>
        <v/>
      </c>
      <c r="AB92" s="37" t="str">
        <f t="shared" ca="1" si="17"/>
        <v/>
      </c>
    </row>
    <row r="93" spans="1:28" ht="16" x14ac:dyDescent="0.2">
      <c r="A93" s="30"/>
      <c r="B93" s="31"/>
      <c r="C93" s="32"/>
      <c r="D93" s="33" t="str">
        <f>IF($B93="","",$B93+IF($C93="",IF('Start Here'!$C$15="",14,'Start Here'!$C$15),$C93))</f>
        <v/>
      </c>
      <c r="E93" s="30"/>
      <c r="F93" s="30"/>
      <c r="G93" s="30"/>
      <c r="H93" s="30"/>
      <c r="I93" s="34" t="str">
        <f>IF($A93="","",ROUND(SUMIF('Line Items'!$A$8:$A$507,$A93,'Line Items'!$H$8:$H$507),2))</f>
        <v/>
      </c>
      <c r="J93" s="35"/>
      <c r="K93" s="34" t="str">
        <f>IF($A93="","",ROUND($I93*IFERROR(IF($J93="",IF('Start Here'!$C$22="",0,'Start Here'!$C$22),$J93),0)/100,2))</f>
        <v/>
      </c>
      <c r="L93" s="34" t="str">
        <f t="shared" si="9"/>
        <v/>
      </c>
      <c r="M93" s="36"/>
      <c r="N93" s="31"/>
      <c r="O93" s="34" t="str">
        <f t="shared" si="10"/>
        <v/>
      </c>
      <c r="P93" s="30"/>
      <c r="Q93" s="37" t="str">
        <f t="shared" ca="1" si="11"/>
        <v/>
      </c>
      <c r="R93" s="38" t="str">
        <f t="shared" ca="1" si="12"/>
        <v/>
      </c>
      <c r="S93" s="37" t="str">
        <f ca="1">IF($A93="","",IF(OR($Q93="Paid",$Q93="Cancelled",$Q93="Draft"),"—",IF($Q93="No lines yet","Add line items",IF($Q93="No date","Add invoice date",IF($D93-TODAY()&gt;7,"—",IF($D93-TODAY()&gt;=1,"Due soon",IF($D93=TODAY(),"Due today",IF(TODAY()-$D93&lt;IF('Start Here'!$C$16="",7,'Start Here'!$C$16),"Just overdue",IF(TODAY()-$D93&lt;IF('Start Here'!$C$17="",21,'Start Here'!$C$17),"First reminder",IF(TODAY()-$D93&lt;IF('Start Here'!$C$18="",45,'Start Here'!$C$18),"Second reminder","Last friendly reminder"))))))))))</f>
        <v/>
      </c>
      <c r="T93" s="31"/>
      <c r="U93" s="30"/>
      <c r="V93" s="37" t="str">
        <f t="shared" si="13"/>
        <v/>
      </c>
      <c r="W93" s="40"/>
      <c r="X93" s="37" t="str">
        <f>IF($A93="","",IFERROR(VALUE(IF('Start Here'!$C$13="",$A93,SUBSTITUTE($A93,'Start Here'!$C$13,""))),""))</f>
        <v/>
      </c>
      <c r="Y93" s="37" t="str">
        <f t="shared" si="14"/>
        <v/>
      </c>
      <c r="Z93" s="37" t="str">
        <f t="shared" ca="1" si="15"/>
        <v/>
      </c>
      <c r="AA93" s="37" t="str">
        <f t="shared" si="16"/>
        <v/>
      </c>
      <c r="AB93" s="37" t="str">
        <f t="shared" ca="1" si="17"/>
        <v/>
      </c>
    </row>
    <row r="94" spans="1:28" ht="16" x14ac:dyDescent="0.2">
      <c r="A94" s="30"/>
      <c r="B94" s="31"/>
      <c r="C94" s="32"/>
      <c r="D94" s="33" t="str">
        <f>IF($B94="","",$B94+IF($C94="",IF('Start Here'!$C$15="",14,'Start Here'!$C$15),$C94))</f>
        <v/>
      </c>
      <c r="E94" s="30"/>
      <c r="F94" s="30"/>
      <c r="G94" s="30"/>
      <c r="H94" s="30"/>
      <c r="I94" s="34" t="str">
        <f>IF($A94="","",ROUND(SUMIF('Line Items'!$A$8:$A$507,$A94,'Line Items'!$H$8:$H$507),2))</f>
        <v/>
      </c>
      <c r="J94" s="35"/>
      <c r="K94" s="34" t="str">
        <f>IF($A94="","",ROUND($I94*IFERROR(IF($J94="",IF('Start Here'!$C$22="",0,'Start Here'!$C$22),$J94),0)/100,2))</f>
        <v/>
      </c>
      <c r="L94" s="34" t="str">
        <f t="shared" si="9"/>
        <v/>
      </c>
      <c r="M94" s="36"/>
      <c r="N94" s="31"/>
      <c r="O94" s="34" t="str">
        <f t="shared" si="10"/>
        <v/>
      </c>
      <c r="P94" s="30"/>
      <c r="Q94" s="37" t="str">
        <f t="shared" ca="1" si="11"/>
        <v/>
      </c>
      <c r="R94" s="38" t="str">
        <f t="shared" ca="1" si="12"/>
        <v/>
      </c>
      <c r="S94" s="37" t="str">
        <f ca="1">IF($A94="","",IF(OR($Q94="Paid",$Q94="Cancelled",$Q94="Draft"),"—",IF($Q94="No lines yet","Add line items",IF($Q94="No date","Add invoice date",IF($D94-TODAY()&gt;7,"—",IF($D94-TODAY()&gt;=1,"Due soon",IF($D94=TODAY(),"Due today",IF(TODAY()-$D94&lt;IF('Start Here'!$C$16="",7,'Start Here'!$C$16),"Just overdue",IF(TODAY()-$D94&lt;IF('Start Here'!$C$17="",21,'Start Here'!$C$17),"First reminder",IF(TODAY()-$D94&lt;IF('Start Here'!$C$18="",45,'Start Here'!$C$18),"Second reminder","Last friendly reminder"))))))))))</f>
        <v/>
      </c>
      <c r="T94" s="31"/>
      <c r="U94" s="30"/>
      <c r="V94" s="37" t="str">
        <f t="shared" si="13"/>
        <v/>
      </c>
      <c r="W94" s="39"/>
      <c r="X94" s="37" t="str">
        <f>IF($A94="","",IFERROR(VALUE(IF('Start Here'!$C$13="",$A94,SUBSTITUTE($A94,'Start Here'!$C$13,""))),""))</f>
        <v/>
      </c>
      <c r="Y94" s="37" t="str">
        <f t="shared" si="14"/>
        <v/>
      </c>
      <c r="Z94" s="37" t="str">
        <f t="shared" ca="1" si="15"/>
        <v/>
      </c>
      <c r="AA94" s="37" t="str">
        <f t="shared" si="16"/>
        <v/>
      </c>
      <c r="AB94" s="37" t="str">
        <f t="shared" ca="1" si="17"/>
        <v/>
      </c>
    </row>
    <row r="95" spans="1:28" ht="16" x14ac:dyDescent="0.2">
      <c r="A95" s="30"/>
      <c r="B95" s="31"/>
      <c r="C95" s="32"/>
      <c r="D95" s="33" t="str">
        <f>IF($B95="","",$B95+IF($C95="",IF('Start Here'!$C$15="",14,'Start Here'!$C$15),$C95))</f>
        <v/>
      </c>
      <c r="E95" s="30"/>
      <c r="F95" s="30"/>
      <c r="G95" s="30"/>
      <c r="H95" s="30"/>
      <c r="I95" s="34" t="str">
        <f>IF($A95="","",ROUND(SUMIF('Line Items'!$A$8:$A$507,$A95,'Line Items'!$H$8:$H$507),2))</f>
        <v/>
      </c>
      <c r="J95" s="35"/>
      <c r="K95" s="34" t="str">
        <f>IF($A95="","",ROUND($I95*IFERROR(IF($J95="",IF('Start Here'!$C$22="",0,'Start Here'!$C$22),$J95),0)/100,2))</f>
        <v/>
      </c>
      <c r="L95" s="34" t="str">
        <f t="shared" si="9"/>
        <v/>
      </c>
      <c r="M95" s="36"/>
      <c r="N95" s="31"/>
      <c r="O95" s="34" t="str">
        <f t="shared" si="10"/>
        <v/>
      </c>
      <c r="P95" s="30"/>
      <c r="Q95" s="37" t="str">
        <f t="shared" ca="1" si="11"/>
        <v/>
      </c>
      <c r="R95" s="38" t="str">
        <f t="shared" ca="1" si="12"/>
        <v/>
      </c>
      <c r="S95" s="37" t="str">
        <f ca="1">IF($A95="","",IF(OR($Q95="Paid",$Q95="Cancelled",$Q95="Draft"),"—",IF($Q95="No lines yet","Add line items",IF($Q95="No date","Add invoice date",IF($D95-TODAY()&gt;7,"—",IF($D95-TODAY()&gt;=1,"Due soon",IF($D95=TODAY(),"Due today",IF(TODAY()-$D95&lt;IF('Start Here'!$C$16="",7,'Start Here'!$C$16),"Just overdue",IF(TODAY()-$D95&lt;IF('Start Here'!$C$17="",21,'Start Here'!$C$17),"First reminder",IF(TODAY()-$D95&lt;IF('Start Here'!$C$18="",45,'Start Here'!$C$18),"Second reminder","Last friendly reminder"))))))))))</f>
        <v/>
      </c>
      <c r="T95" s="31"/>
      <c r="U95" s="30"/>
      <c r="V95" s="37" t="str">
        <f t="shared" si="13"/>
        <v/>
      </c>
      <c r="W95" s="40"/>
      <c r="X95" s="37" t="str">
        <f>IF($A95="","",IFERROR(VALUE(IF('Start Here'!$C$13="",$A95,SUBSTITUTE($A95,'Start Here'!$C$13,""))),""))</f>
        <v/>
      </c>
      <c r="Y95" s="37" t="str">
        <f t="shared" si="14"/>
        <v/>
      </c>
      <c r="Z95" s="37" t="str">
        <f t="shared" ca="1" si="15"/>
        <v/>
      </c>
      <c r="AA95" s="37" t="str">
        <f t="shared" si="16"/>
        <v/>
      </c>
      <c r="AB95" s="37" t="str">
        <f t="shared" ca="1" si="17"/>
        <v/>
      </c>
    </row>
    <row r="96" spans="1:28" ht="16" x14ac:dyDescent="0.2">
      <c r="A96" s="30"/>
      <c r="B96" s="31"/>
      <c r="C96" s="32"/>
      <c r="D96" s="33" t="str">
        <f>IF($B96="","",$B96+IF($C96="",IF('Start Here'!$C$15="",14,'Start Here'!$C$15),$C96))</f>
        <v/>
      </c>
      <c r="E96" s="30"/>
      <c r="F96" s="30"/>
      <c r="G96" s="30"/>
      <c r="H96" s="30"/>
      <c r="I96" s="34" t="str">
        <f>IF($A96="","",ROUND(SUMIF('Line Items'!$A$8:$A$507,$A96,'Line Items'!$H$8:$H$507),2))</f>
        <v/>
      </c>
      <c r="J96" s="35"/>
      <c r="K96" s="34" t="str">
        <f>IF($A96="","",ROUND($I96*IFERROR(IF($J96="",IF('Start Here'!$C$22="",0,'Start Here'!$C$22),$J96),0)/100,2))</f>
        <v/>
      </c>
      <c r="L96" s="34" t="str">
        <f t="shared" si="9"/>
        <v/>
      </c>
      <c r="M96" s="36"/>
      <c r="N96" s="31"/>
      <c r="O96" s="34" t="str">
        <f t="shared" si="10"/>
        <v/>
      </c>
      <c r="P96" s="30"/>
      <c r="Q96" s="37" t="str">
        <f t="shared" ca="1" si="11"/>
        <v/>
      </c>
      <c r="R96" s="38" t="str">
        <f t="shared" ca="1" si="12"/>
        <v/>
      </c>
      <c r="S96" s="37" t="str">
        <f ca="1">IF($A96="","",IF(OR($Q96="Paid",$Q96="Cancelled",$Q96="Draft"),"—",IF($Q96="No lines yet","Add line items",IF($Q96="No date","Add invoice date",IF($D96-TODAY()&gt;7,"—",IF($D96-TODAY()&gt;=1,"Due soon",IF($D96=TODAY(),"Due today",IF(TODAY()-$D96&lt;IF('Start Here'!$C$16="",7,'Start Here'!$C$16),"Just overdue",IF(TODAY()-$D96&lt;IF('Start Here'!$C$17="",21,'Start Here'!$C$17),"First reminder",IF(TODAY()-$D96&lt;IF('Start Here'!$C$18="",45,'Start Here'!$C$18),"Second reminder","Last friendly reminder"))))))))))</f>
        <v/>
      </c>
      <c r="T96" s="31"/>
      <c r="U96" s="30"/>
      <c r="V96" s="37" t="str">
        <f t="shared" si="13"/>
        <v/>
      </c>
      <c r="W96" s="39"/>
      <c r="X96" s="37" t="str">
        <f>IF($A96="","",IFERROR(VALUE(IF('Start Here'!$C$13="",$A96,SUBSTITUTE($A96,'Start Here'!$C$13,""))),""))</f>
        <v/>
      </c>
      <c r="Y96" s="37" t="str">
        <f t="shared" si="14"/>
        <v/>
      </c>
      <c r="Z96" s="37" t="str">
        <f t="shared" ca="1" si="15"/>
        <v/>
      </c>
      <c r="AA96" s="37" t="str">
        <f t="shared" si="16"/>
        <v/>
      </c>
      <c r="AB96" s="37" t="str">
        <f t="shared" ca="1" si="17"/>
        <v/>
      </c>
    </row>
    <row r="97" spans="1:28" ht="16" x14ac:dyDescent="0.2">
      <c r="A97" s="30"/>
      <c r="B97" s="31"/>
      <c r="C97" s="32"/>
      <c r="D97" s="33" t="str">
        <f>IF($B97="","",$B97+IF($C97="",IF('Start Here'!$C$15="",14,'Start Here'!$C$15),$C97))</f>
        <v/>
      </c>
      <c r="E97" s="30"/>
      <c r="F97" s="30"/>
      <c r="G97" s="30"/>
      <c r="H97" s="30"/>
      <c r="I97" s="34" t="str">
        <f>IF($A97="","",ROUND(SUMIF('Line Items'!$A$8:$A$507,$A97,'Line Items'!$H$8:$H$507),2))</f>
        <v/>
      </c>
      <c r="J97" s="35"/>
      <c r="K97" s="34" t="str">
        <f>IF($A97="","",ROUND($I97*IFERROR(IF($J97="",IF('Start Here'!$C$22="",0,'Start Here'!$C$22),$J97),0)/100,2))</f>
        <v/>
      </c>
      <c r="L97" s="34" t="str">
        <f t="shared" si="9"/>
        <v/>
      </c>
      <c r="M97" s="36"/>
      <c r="N97" s="31"/>
      <c r="O97" s="34" t="str">
        <f t="shared" si="10"/>
        <v/>
      </c>
      <c r="P97" s="30"/>
      <c r="Q97" s="37" t="str">
        <f t="shared" ca="1" si="11"/>
        <v/>
      </c>
      <c r="R97" s="38" t="str">
        <f t="shared" ca="1" si="12"/>
        <v/>
      </c>
      <c r="S97" s="37" t="str">
        <f ca="1">IF($A97="","",IF(OR($Q97="Paid",$Q97="Cancelled",$Q97="Draft"),"—",IF($Q97="No lines yet","Add line items",IF($Q97="No date","Add invoice date",IF($D97-TODAY()&gt;7,"—",IF($D97-TODAY()&gt;=1,"Due soon",IF($D97=TODAY(),"Due today",IF(TODAY()-$D97&lt;IF('Start Here'!$C$16="",7,'Start Here'!$C$16),"Just overdue",IF(TODAY()-$D97&lt;IF('Start Here'!$C$17="",21,'Start Here'!$C$17),"First reminder",IF(TODAY()-$D97&lt;IF('Start Here'!$C$18="",45,'Start Here'!$C$18),"Second reminder","Last friendly reminder"))))))))))</f>
        <v/>
      </c>
      <c r="T97" s="31"/>
      <c r="U97" s="30"/>
      <c r="V97" s="37" t="str">
        <f t="shared" si="13"/>
        <v/>
      </c>
      <c r="W97" s="40"/>
      <c r="X97" s="37" t="str">
        <f>IF($A97="","",IFERROR(VALUE(IF('Start Here'!$C$13="",$A97,SUBSTITUTE($A97,'Start Here'!$C$13,""))),""))</f>
        <v/>
      </c>
      <c r="Y97" s="37" t="str">
        <f t="shared" si="14"/>
        <v/>
      </c>
      <c r="Z97" s="37" t="str">
        <f t="shared" ca="1" si="15"/>
        <v/>
      </c>
      <c r="AA97" s="37" t="str">
        <f t="shared" si="16"/>
        <v/>
      </c>
      <c r="AB97" s="37" t="str">
        <f t="shared" ca="1" si="17"/>
        <v/>
      </c>
    </row>
    <row r="98" spans="1:28" ht="16" x14ac:dyDescent="0.2">
      <c r="A98" s="30"/>
      <c r="B98" s="31"/>
      <c r="C98" s="32"/>
      <c r="D98" s="33" t="str">
        <f>IF($B98="","",$B98+IF($C98="",IF('Start Here'!$C$15="",14,'Start Here'!$C$15),$C98))</f>
        <v/>
      </c>
      <c r="E98" s="30"/>
      <c r="F98" s="30"/>
      <c r="G98" s="30"/>
      <c r="H98" s="30"/>
      <c r="I98" s="34" t="str">
        <f>IF($A98="","",ROUND(SUMIF('Line Items'!$A$8:$A$507,$A98,'Line Items'!$H$8:$H$507),2))</f>
        <v/>
      </c>
      <c r="J98" s="35"/>
      <c r="K98" s="34" t="str">
        <f>IF($A98="","",ROUND($I98*IFERROR(IF($J98="",IF('Start Here'!$C$22="",0,'Start Here'!$C$22),$J98),0)/100,2))</f>
        <v/>
      </c>
      <c r="L98" s="34" t="str">
        <f t="shared" si="9"/>
        <v/>
      </c>
      <c r="M98" s="36"/>
      <c r="N98" s="31"/>
      <c r="O98" s="34" t="str">
        <f t="shared" si="10"/>
        <v/>
      </c>
      <c r="P98" s="30"/>
      <c r="Q98" s="37" t="str">
        <f t="shared" ca="1" si="11"/>
        <v/>
      </c>
      <c r="R98" s="38" t="str">
        <f t="shared" ca="1" si="12"/>
        <v/>
      </c>
      <c r="S98" s="37" t="str">
        <f ca="1">IF($A98="","",IF(OR($Q98="Paid",$Q98="Cancelled",$Q98="Draft"),"—",IF($Q98="No lines yet","Add line items",IF($Q98="No date","Add invoice date",IF($D98-TODAY()&gt;7,"—",IF($D98-TODAY()&gt;=1,"Due soon",IF($D98=TODAY(),"Due today",IF(TODAY()-$D98&lt;IF('Start Here'!$C$16="",7,'Start Here'!$C$16),"Just overdue",IF(TODAY()-$D98&lt;IF('Start Here'!$C$17="",21,'Start Here'!$C$17),"First reminder",IF(TODAY()-$D98&lt;IF('Start Here'!$C$18="",45,'Start Here'!$C$18),"Second reminder","Last friendly reminder"))))))))))</f>
        <v/>
      </c>
      <c r="T98" s="31"/>
      <c r="U98" s="30"/>
      <c r="V98" s="37" t="str">
        <f t="shared" si="13"/>
        <v/>
      </c>
      <c r="W98" s="39"/>
      <c r="X98" s="37" t="str">
        <f>IF($A98="","",IFERROR(VALUE(IF('Start Here'!$C$13="",$A98,SUBSTITUTE($A98,'Start Here'!$C$13,""))),""))</f>
        <v/>
      </c>
      <c r="Y98" s="37" t="str">
        <f t="shared" si="14"/>
        <v/>
      </c>
      <c r="Z98" s="37" t="str">
        <f t="shared" ca="1" si="15"/>
        <v/>
      </c>
      <c r="AA98" s="37" t="str">
        <f t="shared" si="16"/>
        <v/>
      </c>
      <c r="AB98" s="37" t="str">
        <f t="shared" ca="1" si="17"/>
        <v/>
      </c>
    </row>
    <row r="99" spans="1:28" ht="16" x14ac:dyDescent="0.2">
      <c r="A99" s="30"/>
      <c r="B99" s="31"/>
      <c r="C99" s="32"/>
      <c r="D99" s="33" t="str">
        <f>IF($B99="","",$B99+IF($C99="",IF('Start Here'!$C$15="",14,'Start Here'!$C$15),$C99))</f>
        <v/>
      </c>
      <c r="E99" s="30"/>
      <c r="F99" s="30"/>
      <c r="G99" s="30"/>
      <c r="H99" s="30"/>
      <c r="I99" s="34" t="str">
        <f>IF($A99="","",ROUND(SUMIF('Line Items'!$A$8:$A$507,$A99,'Line Items'!$H$8:$H$507),2))</f>
        <v/>
      </c>
      <c r="J99" s="35"/>
      <c r="K99" s="34" t="str">
        <f>IF($A99="","",ROUND($I99*IFERROR(IF($J99="",IF('Start Here'!$C$22="",0,'Start Here'!$C$22),$J99),0)/100,2))</f>
        <v/>
      </c>
      <c r="L99" s="34" t="str">
        <f t="shared" si="9"/>
        <v/>
      </c>
      <c r="M99" s="36"/>
      <c r="N99" s="31"/>
      <c r="O99" s="34" t="str">
        <f t="shared" si="10"/>
        <v/>
      </c>
      <c r="P99" s="30"/>
      <c r="Q99" s="37" t="str">
        <f t="shared" ca="1" si="11"/>
        <v/>
      </c>
      <c r="R99" s="38" t="str">
        <f t="shared" ca="1" si="12"/>
        <v/>
      </c>
      <c r="S99" s="37" t="str">
        <f ca="1">IF($A99="","",IF(OR($Q99="Paid",$Q99="Cancelled",$Q99="Draft"),"—",IF($Q99="No lines yet","Add line items",IF($Q99="No date","Add invoice date",IF($D99-TODAY()&gt;7,"—",IF($D99-TODAY()&gt;=1,"Due soon",IF($D99=TODAY(),"Due today",IF(TODAY()-$D99&lt;IF('Start Here'!$C$16="",7,'Start Here'!$C$16),"Just overdue",IF(TODAY()-$D99&lt;IF('Start Here'!$C$17="",21,'Start Here'!$C$17),"First reminder",IF(TODAY()-$D99&lt;IF('Start Here'!$C$18="",45,'Start Here'!$C$18),"Second reminder","Last friendly reminder"))))))))))</f>
        <v/>
      </c>
      <c r="T99" s="31"/>
      <c r="U99" s="30"/>
      <c r="V99" s="37" t="str">
        <f t="shared" si="13"/>
        <v/>
      </c>
      <c r="W99" s="40"/>
      <c r="X99" s="37" t="str">
        <f>IF($A99="","",IFERROR(VALUE(IF('Start Here'!$C$13="",$A99,SUBSTITUTE($A99,'Start Here'!$C$13,""))),""))</f>
        <v/>
      </c>
      <c r="Y99" s="37" t="str">
        <f t="shared" si="14"/>
        <v/>
      </c>
      <c r="Z99" s="37" t="str">
        <f t="shared" ca="1" si="15"/>
        <v/>
      </c>
      <c r="AA99" s="37" t="str">
        <f t="shared" si="16"/>
        <v/>
      </c>
      <c r="AB99" s="37" t="str">
        <f t="shared" ca="1" si="17"/>
        <v/>
      </c>
    </row>
    <row r="100" spans="1:28" ht="16" x14ac:dyDescent="0.2">
      <c r="A100" s="30"/>
      <c r="B100" s="31"/>
      <c r="C100" s="32"/>
      <c r="D100" s="33" t="str">
        <f>IF($B100="","",$B100+IF($C100="",IF('Start Here'!$C$15="",14,'Start Here'!$C$15),$C100))</f>
        <v/>
      </c>
      <c r="E100" s="30"/>
      <c r="F100" s="30"/>
      <c r="G100" s="30"/>
      <c r="H100" s="30"/>
      <c r="I100" s="34" t="str">
        <f>IF($A100="","",ROUND(SUMIF('Line Items'!$A$8:$A$507,$A100,'Line Items'!$H$8:$H$507),2))</f>
        <v/>
      </c>
      <c r="J100" s="35"/>
      <c r="K100" s="34" t="str">
        <f>IF($A100="","",ROUND($I100*IFERROR(IF($J100="",IF('Start Here'!$C$22="",0,'Start Here'!$C$22),$J100),0)/100,2))</f>
        <v/>
      </c>
      <c r="L100" s="34" t="str">
        <f t="shared" si="9"/>
        <v/>
      </c>
      <c r="M100" s="36"/>
      <c r="N100" s="31"/>
      <c r="O100" s="34" t="str">
        <f t="shared" si="10"/>
        <v/>
      </c>
      <c r="P100" s="30"/>
      <c r="Q100" s="37" t="str">
        <f t="shared" ca="1" si="11"/>
        <v/>
      </c>
      <c r="R100" s="38" t="str">
        <f t="shared" ca="1" si="12"/>
        <v/>
      </c>
      <c r="S100" s="37" t="str">
        <f ca="1">IF($A100="","",IF(OR($Q100="Paid",$Q100="Cancelled",$Q100="Draft"),"—",IF($Q100="No lines yet","Add line items",IF($Q100="No date","Add invoice date",IF($D100-TODAY()&gt;7,"—",IF($D100-TODAY()&gt;=1,"Due soon",IF($D100=TODAY(),"Due today",IF(TODAY()-$D100&lt;IF('Start Here'!$C$16="",7,'Start Here'!$C$16),"Just overdue",IF(TODAY()-$D100&lt;IF('Start Here'!$C$17="",21,'Start Here'!$C$17),"First reminder",IF(TODAY()-$D100&lt;IF('Start Here'!$C$18="",45,'Start Here'!$C$18),"Second reminder","Last friendly reminder"))))))))))</f>
        <v/>
      </c>
      <c r="T100" s="31"/>
      <c r="U100" s="30"/>
      <c r="V100" s="37" t="str">
        <f t="shared" si="13"/>
        <v/>
      </c>
      <c r="W100" s="39"/>
      <c r="X100" s="37" t="str">
        <f>IF($A100="","",IFERROR(VALUE(IF('Start Here'!$C$13="",$A100,SUBSTITUTE($A100,'Start Here'!$C$13,""))),""))</f>
        <v/>
      </c>
      <c r="Y100" s="37" t="str">
        <f t="shared" si="14"/>
        <v/>
      </c>
      <c r="Z100" s="37" t="str">
        <f t="shared" ca="1" si="15"/>
        <v/>
      </c>
      <c r="AA100" s="37" t="str">
        <f t="shared" si="16"/>
        <v/>
      </c>
      <c r="AB100" s="37" t="str">
        <f t="shared" ca="1" si="17"/>
        <v/>
      </c>
    </row>
    <row r="101" spans="1:28" ht="16" x14ac:dyDescent="0.2">
      <c r="A101" s="30"/>
      <c r="B101" s="31"/>
      <c r="C101" s="32"/>
      <c r="D101" s="33" t="str">
        <f>IF($B101="","",$B101+IF($C101="",IF('Start Here'!$C$15="",14,'Start Here'!$C$15),$C101))</f>
        <v/>
      </c>
      <c r="E101" s="30"/>
      <c r="F101" s="30"/>
      <c r="G101" s="30"/>
      <c r="H101" s="30"/>
      <c r="I101" s="34" t="str">
        <f>IF($A101="","",ROUND(SUMIF('Line Items'!$A$8:$A$507,$A101,'Line Items'!$H$8:$H$507),2))</f>
        <v/>
      </c>
      <c r="J101" s="35"/>
      <c r="K101" s="34" t="str">
        <f>IF($A101="","",ROUND($I101*IFERROR(IF($J101="",IF('Start Here'!$C$22="",0,'Start Here'!$C$22),$J101),0)/100,2))</f>
        <v/>
      </c>
      <c r="L101" s="34" t="str">
        <f t="shared" si="9"/>
        <v/>
      </c>
      <c r="M101" s="36"/>
      <c r="N101" s="31"/>
      <c r="O101" s="34" t="str">
        <f t="shared" si="10"/>
        <v/>
      </c>
      <c r="P101" s="30"/>
      <c r="Q101" s="37" t="str">
        <f t="shared" ca="1" si="11"/>
        <v/>
      </c>
      <c r="R101" s="38" t="str">
        <f t="shared" ca="1" si="12"/>
        <v/>
      </c>
      <c r="S101" s="37" t="str">
        <f ca="1">IF($A101="","",IF(OR($Q101="Paid",$Q101="Cancelled",$Q101="Draft"),"—",IF($Q101="No lines yet","Add line items",IF($Q101="No date","Add invoice date",IF($D101-TODAY()&gt;7,"—",IF($D101-TODAY()&gt;=1,"Due soon",IF($D101=TODAY(),"Due today",IF(TODAY()-$D101&lt;IF('Start Here'!$C$16="",7,'Start Here'!$C$16),"Just overdue",IF(TODAY()-$D101&lt;IF('Start Here'!$C$17="",21,'Start Here'!$C$17),"First reminder",IF(TODAY()-$D101&lt;IF('Start Here'!$C$18="",45,'Start Here'!$C$18),"Second reminder","Last friendly reminder"))))))))))</f>
        <v/>
      </c>
      <c r="T101" s="31"/>
      <c r="U101" s="30"/>
      <c r="V101" s="37" t="str">
        <f t="shared" si="13"/>
        <v/>
      </c>
      <c r="W101" s="40"/>
      <c r="X101" s="37" t="str">
        <f>IF($A101="","",IFERROR(VALUE(IF('Start Here'!$C$13="",$A101,SUBSTITUTE($A101,'Start Here'!$C$13,""))),""))</f>
        <v/>
      </c>
      <c r="Y101" s="37" t="str">
        <f t="shared" si="14"/>
        <v/>
      </c>
      <c r="Z101" s="37" t="str">
        <f t="shared" ca="1" si="15"/>
        <v/>
      </c>
      <c r="AA101" s="37" t="str">
        <f t="shared" si="16"/>
        <v/>
      </c>
      <c r="AB101" s="37" t="str">
        <f t="shared" ca="1" si="17"/>
        <v/>
      </c>
    </row>
    <row r="102" spans="1:28" ht="16" x14ac:dyDescent="0.2">
      <c r="A102" s="30"/>
      <c r="B102" s="31"/>
      <c r="C102" s="32"/>
      <c r="D102" s="33" t="str">
        <f>IF($B102="","",$B102+IF($C102="",IF('Start Here'!$C$15="",14,'Start Here'!$C$15),$C102))</f>
        <v/>
      </c>
      <c r="E102" s="30"/>
      <c r="F102" s="30"/>
      <c r="G102" s="30"/>
      <c r="H102" s="30"/>
      <c r="I102" s="34" t="str">
        <f>IF($A102="","",ROUND(SUMIF('Line Items'!$A$8:$A$507,$A102,'Line Items'!$H$8:$H$507),2))</f>
        <v/>
      </c>
      <c r="J102" s="35"/>
      <c r="K102" s="34" t="str">
        <f>IF($A102="","",ROUND($I102*IFERROR(IF($J102="",IF('Start Here'!$C$22="",0,'Start Here'!$C$22),$J102),0)/100,2))</f>
        <v/>
      </c>
      <c r="L102" s="34" t="str">
        <f t="shared" si="9"/>
        <v/>
      </c>
      <c r="M102" s="36"/>
      <c r="N102" s="31"/>
      <c r="O102" s="34" t="str">
        <f t="shared" si="10"/>
        <v/>
      </c>
      <c r="P102" s="30"/>
      <c r="Q102" s="37" t="str">
        <f t="shared" ca="1" si="11"/>
        <v/>
      </c>
      <c r="R102" s="38" t="str">
        <f t="shared" ca="1" si="12"/>
        <v/>
      </c>
      <c r="S102" s="37" t="str">
        <f ca="1">IF($A102="","",IF(OR($Q102="Paid",$Q102="Cancelled",$Q102="Draft"),"—",IF($Q102="No lines yet","Add line items",IF($Q102="No date","Add invoice date",IF($D102-TODAY()&gt;7,"—",IF($D102-TODAY()&gt;=1,"Due soon",IF($D102=TODAY(),"Due today",IF(TODAY()-$D102&lt;IF('Start Here'!$C$16="",7,'Start Here'!$C$16),"Just overdue",IF(TODAY()-$D102&lt;IF('Start Here'!$C$17="",21,'Start Here'!$C$17),"First reminder",IF(TODAY()-$D102&lt;IF('Start Here'!$C$18="",45,'Start Here'!$C$18),"Second reminder","Last friendly reminder"))))))))))</f>
        <v/>
      </c>
      <c r="T102" s="31"/>
      <c r="U102" s="30"/>
      <c r="V102" s="37" t="str">
        <f t="shared" si="13"/>
        <v/>
      </c>
      <c r="W102" s="39"/>
      <c r="X102" s="37" t="str">
        <f>IF($A102="","",IFERROR(VALUE(IF('Start Here'!$C$13="",$A102,SUBSTITUTE($A102,'Start Here'!$C$13,""))),""))</f>
        <v/>
      </c>
      <c r="Y102" s="37" t="str">
        <f t="shared" si="14"/>
        <v/>
      </c>
      <c r="Z102" s="37" t="str">
        <f t="shared" ca="1" si="15"/>
        <v/>
      </c>
      <c r="AA102" s="37" t="str">
        <f t="shared" si="16"/>
        <v/>
      </c>
      <c r="AB102" s="37" t="str">
        <f t="shared" ca="1" si="17"/>
        <v/>
      </c>
    </row>
    <row r="103" spans="1:28" ht="16" x14ac:dyDescent="0.2">
      <c r="A103" s="30"/>
      <c r="B103" s="31"/>
      <c r="C103" s="32"/>
      <c r="D103" s="33" t="str">
        <f>IF($B103="","",$B103+IF($C103="",IF('Start Here'!$C$15="",14,'Start Here'!$C$15),$C103))</f>
        <v/>
      </c>
      <c r="E103" s="30"/>
      <c r="F103" s="30"/>
      <c r="G103" s="30"/>
      <c r="H103" s="30"/>
      <c r="I103" s="34" t="str">
        <f>IF($A103="","",ROUND(SUMIF('Line Items'!$A$8:$A$507,$A103,'Line Items'!$H$8:$H$507),2))</f>
        <v/>
      </c>
      <c r="J103" s="35"/>
      <c r="K103" s="34" t="str">
        <f>IF($A103="","",ROUND($I103*IFERROR(IF($J103="",IF('Start Here'!$C$22="",0,'Start Here'!$C$22),$J103),0)/100,2))</f>
        <v/>
      </c>
      <c r="L103" s="34" t="str">
        <f t="shared" si="9"/>
        <v/>
      </c>
      <c r="M103" s="36"/>
      <c r="N103" s="31"/>
      <c r="O103" s="34" t="str">
        <f t="shared" si="10"/>
        <v/>
      </c>
      <c r="P103" s="30"/>
      <c r="Q103" s="37" t="str">
        <f t="shared" ca="1" si="11"/>
        <v/>
      </c>
      <c r="R103" s="38" t="str">
        <f t="shared" ca="1" si="12"/>
        <v/>
      </c>
      <c r="S103" s="37" t="str">
        <f ca="1">IF($A103="","",IF(OR($Q103="Paid",$Q103="Cancelled",$Q103="Draft"),"—",IF($Q103="No lines yet","Add line items",IF($Q103="No date","Add invoice date",IF($D103-TODAY()&gt;7,"—",IF($D103-TODAY()&gt;=1,"Due soon",IF($D103=TODAY(),"Due today",IF(TODAY()-$D103&lt;IF('Start Here'!$C$16="",7,'Start Here'!$C$16),"Just overdue",IF(TODAY()-$D103&lt;IF('Start Here'!$C$17="",21,'Start Here'!$C$17),"First reminder",IF(TODAY()-$D103&lt;IF('Start Here'!$C$18="",45,'Start Here'!$C$18),"Second reminder","Last friendly reminder"))))))))))</f>
        <v/>
      </c>
      <c r="T103" s="31"/>
      <c r="U103" s="30"/>
      <c r="V103" s="37" t="str">
        <f t="shared" si="13"/>
        <v/>
      </c>
      <c r="W103" s="40"/>
      <c r="X103" s="37" t="str">
        <f>IF($A103="","",IFERROR(VALUE(IF('Start Here'!$C$13="",$A103,SUBSTITUTE($A103,'Start Here'!$C$13,""))),""))</f>
        <v/>
      </c>
      <c r="Y103" s="37" t="str">
        <f t="shared" si="14"/>
        <v/>
      </c>
      <c r="Z103" s="37" t="str">
        <f t="shared" ca="1" si="15"/>
        <v/>
      </c>
      <c r="AA103" s="37" t="str">
        <f t="shared" si="16"/>
        <v/>
      </c>
      <c r="AB103" s="37" t="str">
        <f t="shared" ca="1" si="17"/>
        <v/>
      </c>
    </row>
    <row r="104" spans="1:28" ht="16" x14ac:dyDescent="0.2">
      <c r="A104" s="30"/>
      <c r="B104" s="31"/>
      <c r="C104" s="32"/>
      <c r="D104" s="33" t="str">
        <f>IF($B104="","",$B104+IF($C104="",IF('Start Here'!$C$15="",14,'Start Here'!$C$15),$C104))</f>
        <v/>
      </c>
      <c r="E104" s="30"/>
      <c r="F104" s="30"/>
      <c r="G104" s="30"/>
      <c r="H104" s="30"/>
      <c r="I104" s="34" t="str">
        <f>IF($A104="","",ROUND(SUMIF('Line Items'!$A$8:$A$507,$A104,'Line Items'!$H$8:$H$507),2))</f>
        <v/>
      </c>
      <c r="J104" s="35"/>
      <c r="K104" s="34" t="str">
        <f>IF($A104="","",ROUND($I104*IFERROR(IF($J104="",IF('Start Here'!$C$22="",0,'Start Here'!$C$22),$J104),0)/100,2))</f>
        <v/>
      </c>
      <c r="L104" s="34" t="str">
        <f t="shared" si="9"/>
        <v/>
      </c>
      <c r="M104" s="36"/>
      <c r="N104" s="31"/>
      <c r="O104" s="34" t="str">
        <f t="shared" si="10"/>
        <v/>
      </c>
      <c r="P104" s="30"/>
      <c r="Q104" s="37" t="str">
        <f t="shared" ca="1" si="11"/>
        <v/>
      </c>
      <c r="R104" s="38" t="str">
        <f t="shared" ca="1" si="12"/>
        <v/>
      </c>
      <c r="S104" s="37" t="str">
        <f ca="1">IF($A104="","",IF(OR($Q104="Paid",$Q104="Cancelled",$Q104="Draft"),"—",IF($Q104="No lines yet","Add line items",IF($Q104="No date","Add invoice date",IF($D104-TODAY()&gt;7,"—",IF($D104-TODAY()&gt;=1,"Due soon",IF($D104=TODAY(),"Due today",IF(TODAY()-$D104&lt;IF('Start Here'!$C$16="",7,'Start Here'!$C$16),"Just overdue",IF(TODAY()-$D104&lt;IF('Start Here'!$C$17="",21,'Start Here'!$C$17),"First reminder",IF(TODAY()-$D104&lt;IF('Start Here'!$C$18="",45,'Start Here'!$C$18),"Second reminder","Last friendly reminder"))))))))))</f>
        <v/>
      </c>
      <c r="T104" s="31"/>
      <c r="U104" s="30"/>
      <c r="V104" s="37" t="str">
        <f t="shared" si="13"/>
        <v/>
      </c>
      <c r="W104" s="39"/>
      <c r="X104" s="37" t="str">
        <f>IF($A104="","",IFERROR(VALUE(IF('Start Here'!$C$13="",$A104,SUBSTITUTE($A104,'Start Here'!$C$13,""))),""))</f>
        <v/>
      </c>
      <c r="Y104" s="37" t="str">
        <f t="shared" si="14"/>
        <v/>
      </c>
      <c r="Z104" s="37" t="str">
        <f t="shared" ca="1" si="15"/>
        <v/>
      </c>
      <c r="AA104" s="37" t="str">
        <f t="shared" si="16"/>
        <v/>
      </c>
      <c r="AB104" s="37" t="str">
        <f t="shared" ca="1" si="17"/>
        <v/>
      </c>
    </row>
    <row r="105" spans="1:28" ht="16" x14ac:dyDescent="0.2">
      <c r="A105" s="30"/>
      <c r="B105" s="31"/>
      <c r="C105" s="32"/>
      <c r="D105" s="33" t="str">
        <f>IF($B105="","",$B105+IF($C105="",IF('Start Here'!$C$15="",14,'Start Here'!$C$15),$C105))</f>
        <v/>
      </c>
      <c r="E105" s="30"/>
      <c r="F105" s="30"/>
      <c r="G105" s="30"/>
      <c r="H105" s="30"/>
      <c r="I105" s="34" t="str">
        <f>IF($A105="","",ROUND(SUMIF('Line Items'!$A$8:$A$507,$A105,'Line Items'!$H$8:$H$507),2))</f>
        <v/>
      </c>
      <c r="J105" s="35"/>
      <c r="K105" s="34" t="str">
        <f>IF($A105="","",ROUND($I105*IFERROR(IF($J105="",IF('Start Here'!$C$22="",0,'Start Here'!$C$22),$J105),0)/100,2))</f>
        <v/>
      </c>
      <c r="L105" s="34" t="str">
        <f t="shared" si="9"/>
        <v/>
      </c>
      <c r="M105" s="36"/>
      <c r="N105" s="31"/>
      <c r="O105" s="34" t="str">
        <f t="shared" si="10"/>
        <v/>
      </c>
      <c r="P105" s="30"/>
      <c r="Q105" s="37" t="str">
        <f t="shared" ca="1" si="11"/>
        <v/>
      </c>
      <c r="R105" s="38" t="str">
        <f t="shared" ca="1" si="12"/>
        <v/>
      </c>
      <c r="S105" s="37" t="str">
        <f ca="1">IF($A105="","",IF(OR($Q105="Paid",$Q105="Cancelled",$Q105="Draft"),"—",IF($Q105="No lines yet","Add line items",IF($Q105="No date","Add invoice date",IF($D105-TODAY()&gt;7,"—",IF($D105-TODAY()&gt;=1,"Due soon",IF($D105=TODAY(),"Due today",IF(TODAY()-$D105&lt;IF('Start Here'!$C$16="",7,'Start Here'!$C$16),"Just overdue",IF(TODAY()-$D105&lt;IF('Start Here'!$C$17="",21,'Start Here'!$C$17),"First reminder",IF(TODAY()-$D105&lt;IF('Start Here'!$C$18="",45,'Start Here'!$C$18),"Second reminder","Last friendly reminder"))))))))))</f>
        <v/>
      </c>
      <c r="T105" s="31"/>
      <c r="U105" s="30"/>
      <c r="V105" s="37" t="str">
        <f t="shared" si="13"/>
        <v/>
      </c>
      <c r="W105" s="40"/>
      <c r="X105" s="37" t="str">
        <f>IF($A105="","",IFERROR(VALUE(IF('Start Here'!$C$13="",$A105,SUBSTITUTE($A105,'Start Here'!$C$13,""))),""))</f>
        <v/>
      </c>
      <c r="Y105" s="37" t="str">
        <f t="shared" si="14"/>
        <v/>
      </c>
      <c r="Z105" s="37" t="str">
        <f t="shared" ca="1" si="15"/>
        <v/>
      </c>
      <c r="AA105" s="37" t="str">
        <f t="shared" si="16"/>
        <v/>
      </c>
      <c r="AB105" s="37" t="str">
        <f t="shared" ca="1" si="17"/>
        <v/>
      </c>
    </row>
    <row r="106" spans="1:28" ht="16" x14ac:dyDescent="0.2">
      <c r="A106" s="30"/>
      <c r="B106" s="31"/>
      <c r="C106" s="32"/>
      <c r="D106" s="33" t="str">
        <f>IF($B106="","",$B106+IF($C106="",IF('Start Here'!$C$15="",14,'Start Here'!$C$15),$C106))</f>
        <v/>
      </c>
      <c r="E106" s="30"/>
      <c r="F106" s="30"/>
      <c r="G106" s="30"/>
      <c r="H106" s="30"/>
      <c r="I106" s="34" t="str">
        <f>IF($A106="","",ROUND(SUMIF('Line Items'!$A$8:$A$507,$A106,'Line Items'!$H$8:$H$507),2))</f>
        <v/>
      </c>
      <c r="J106" s="35"/>
      <c r="K106" s="34" t="str">
        <f>IF($A106="","",ROUND($I106*IFERROR(IF($J106="",IF('Start Here'!$C$22="",0,'Start Here'!$C$22),$J106),0)/100,2))</f>
        <v/>
      </c>
      <c r="L106" s="34" t="str">
        <f t="shared" si="9"/>
        <v/>
      </c>
      <c r="M106" s="36"/>
      <c r="N106" s="31"/>
      <c r="O106" s="34" t="str">
        <f t="shared" si="10"/>
        <v/>
      </c>
      <c r="P106" s="30"/>
      <c r="Q106" s="37" t="str">
        <f t="shared" ca="1" si="11"/>
        <v/>
      </c>
      <c r="R106" s="38" t="str">
        <f t="shared" ca="1" si="12"/>
        <v/>
      </c>
      <c r="S106" s="37" t="str">
        <f ca="1">IF($A106="","",IF(OR($Q106="Paid",$Q106="Cancelled",$Q106="Draft"),"—",IF($Q106="No lines yet","Add line items",IF($Q106="No date","Add invoice date",IF($D106-TODAY()&gt;7,"—",IF($D106-TODAY()&gt;=1,"Due soon",IF($D106=TODAY(),"Due today",IF(TODAY()-$D106&lt;IF('Start Here'!$C$16="",7,'Start Here'!$C$16),"Just overdue",IF(TODAY()-$D106&lt;IF('Start Here'!$C$17="",21,'Start Here'!$C$17),"First reminder",IF(TODAY()-$D106&lt;IF('Start Here'!$C$18="",45,'Start Here'!$C$18),"Second reminder","Last friendly reminder"))))))))))</f>
        <v/>
      </c>
      <c r="T106" s="31"/>
      <c r="U106" s="30"/>
      <c r="V106" s="37" t="str">
        <f t="shared" si="13"/>
        <v/>
      </c>
      <c r="W106" s="39"/>
      <c r="X106" s="37" t="str">
        <f>IF($A106="","",IFERROR(VALUE(IF('Start Here'!$C$13="",$A106,SUBSTITUTE($A106,'Start Here'!$C$13,""))),""))</f>
        <v/>
      </c>
      <c r="Y106" s="37" t="str">
        <f t="shared" si="14"/>
        <v/>
      </c>
      <c r="Z106" s="37" t="str">
        <f t="shared" ca="1" si="15"/>
        <v/>
      </c>
      <c r="AA106" s="37" t="str">
        <f t="shared" si="16"/>
        <v/>
      </c>
      <c r="AB106" s="37" t="str">
        <f t="shared" ca="1" si="17"/>
        <v/>
      </c>
    </row>
    <row r="107" spans="1:28" ht="16" x14ac:dyDescent="0.2">
      <c r="A107" s="30"/>
      <c r="B107" s="31"/>
      <c r="C107" s="32"/>
      <c r="D107" s="33" t="str">
        <f>IF($B107="","",$B107+IF($C107="",IF('Start Here'!$C$15="",14,'Start Here'!$C$15),$C107))</f>
        <v/>
      </c>
      <c r="E107" s="30"/>
      <c r="F107" s="30"/>
      <c r="G107" s="30"/>
      <c r="H107" s="30"/>
      <c r="I107" s="34" t="str">
        <f>IF($A107="","",ROUND(SUMIF('Line Items'!$A$8:$A$507,$A107,'Line Items'!$H$8:$H$507),2))</f>
        <v/>
      </c>
      <c r="J107" s="35"/>
      <c r="K107" s="34" t="str">
        <f>IF($A107="","",ROUND($I107*IFERROR(IF($J107="",IF('Start Here'!$C$22="",0,'Start Here'!$C$22),$J107),0)/100,2))</f>
        <v/>
      </c>
      <c r="L107" s="34" t="str">
        <f t="shared" si="9"/>
        <v/>
      </c>
      <c r="M107" s="36"/>
      <c r="N107" s="31"/>
      <c r="O107" s="34" t="str">
        <f t="shared" si="10"/>
        <v/>
      </c>
      <c r="P107" s="30"/>
      <c r="Q107" s="37" t="str">
        <f t="shared" ca="1" si="11"/>
        <v/>
      </c>
      <c r="R107" s="38" t="str">
        <f t="shared" ca="1" si="12"/>
        <v/>
      </c>
      <c r="S107" s="37" t="str">
        <f ca="1">IF($A107="","",IF(OR($Q107="Paid",$Q107="Cancelled",$Q107="Draft"),"—",IF($Q107="No lines yet","Add line items",IF($Q107="No date","Add invoice date",IF($D107-TODAY()&gt;7,"—",IF($D107-TODAY()&gt;=1,"Due soon",IF($D107=TODAY(),"Due today",IF(TODAY()-$D107&lt;IF('Start Here'!$C$16="",7,'Start Here'!$C$16),"Just overdue",IF(TODAY()-$D107&lt;IF('Start Here'!$C$17="",21,'Start Here'!$C$17),"First reminder",IF(TODAY()-$D107&lt;IF('Start Here'!$C$18="",45,'Start Here'!$C$18),"Second reminder","Last friendly reminder"))))))))))</f>
        <v/>
      </c>
      <c r="T107" s="31"/>
      <c r="U107" s="30"/>
      <c r="V107" s="37" t="str">
        <f t="shared" si="13"/>
        <v/>
      </c>
      <c r="W107" s="40"/>
      <c r="X107" s="37" t="str">
        <f>IF($A107="","",IFERROR(VALUE(IF('Start Here'!$C$13="",$A107,SUBSTITUTE($A107,'Start Here'!$C$13,""))),""))</f>
        <v/>
      </c>
      <c r="Y107" s="37" t="str">
        <f t="shared" si="14"/>
        <v/>
      </c>
      <c r="Z107" s="37" t="str">
        <f t="shared" ca="1" si="15"/>
        <v/>
      </c>
      <c r="AA107" s="37" t="str">
        <f t="shared" si="16"/>
        <v/>
      </c>
      <c r="AB107" s="37" t="str">
        <f t="shared" ca="1" si="17"/>
        <v/>
      </c>
    </row>
    <row r="108" spans="1:28" ht="16" x14ac:dyDescent="0.2">
      <c r="A108" s="30"/>
      <c r="B108" s="31"/>
      <c r="C108" s="32"/>
      <c r="D108" s="33" t="str">
        <f>IF($B108="","",$B108+IF($C108="",IF('Start Here'!$C$15="",14,'Start Here'!$C$15),$C108))</f>
        <v/>
      </c>
      <c r="E108" s="30"/>
      <c r="F108" s="30"/>
      <c r="G108" s="30"/>
      <c r="H108" s="30"/>
      <c r="I108" s="34" t="str">
        <f>IF($A108="","",ROUND(SUMIF('Line Items'!$A$8:$A$507,$A108,'Line Items'!$H$8:$H$507),2))</f>
        <v/>
      </c>
      <c r="J108" s="35"/>
      <c r="K108" s="34" t="str">
        <f>IF($A108="","",ROUND($I108*IFERROR(IF($J108="",IF('Start Here'!$C$22="",0,'Start Here'!$C$22),$J108),0)/100,2))</f>
        <v/>
      </c>
      <c r="L108" s="34" t="str">
        <f t="shared" si="9"/>
        <v/>
      </c>
      <c r="M108" s="36"/>
      <c r="N108" s="31"/>
      <c r="O108" s="34" t="str">
        <f t="shared" si="10"/>
        <v/>
      </c>
      <c r="P108" s="30"/>
      <c r="Q108" s="37" t="str">
        <f t="shared" ca="1" si="11"/>
        <v/>
      </c>
      <c r="R108" s="38" t="str">
        <f t="shared" ca="1" si="12"/>
        <v/>
      </c>
      <c r="S108" s="37" t="str">
        <f ca="1">IF($A108="","",IF(OR($Q108="Paid",$Q108="Cancelled",$Q108="Draft"),"—",IF($Q108="No lines yet","Add line items",IF($Q108="No date","Add invoice date",IF($D108-TODAY()&gt;7,"—",IF($D108-TODAY()&gt;=1,"Due soon",IF($D108=TODAY(),"Due today",IF(TODAY()-$D108&lt;IF('Start Here'!$C$16="",7,'Start Here'!$C$16),"Just overdue",IF(TODAY()-$D108&lt;IF('Start Here'!$C$17="",21,'Start Here'!$C$17),"First reminder",IF(TODAY()-$D108&lt;IF('Start Here'!$C$18="",45,'Start Here'!$C$18),"Second reminder","Last friendly reminder"))))))))))</f>
        <v/>
      </c>
      <c r="T108" s="31"/>
      <c r="U108" s="30"/>
      <c r="V108" s="37" t="str">
        <f t="shared" si="13"/>
        <v/>
      </c>
      <c r="W108" s="39"/>
      <c r="X108" s="37" t="str">
        <f>IF($A108="","",IFERROR(VALUE(IF('Start Here'!$C$13="",$A108,SUBSTITUTE($A108,'Start Here'!$C$13,""))),""))</f>
        <v/>
      </c>
      <c r="Y108" s="37" t="str">
        <f t="shared" si="14"/>
        <v/>
      </c>
      <c r="Z108" s="37" t="str">
        <f t="shared" ca="1" si="15"/>
        <v/>
      </c>
      <c r="AA108" s="37" t="str">
        <f t="shared" si="16"/>
        <v/>
      </c>
      <c r="AB108" s="37" t="str">
        <f t="shared" ca="1" si="17"/>
        <v/>
      </c>
    </row>
    <row r="109" spans="1:28" ht="16" x14ac:dyDescent="0.2">
      <c r="A109" s="30"/>
      <c r="B109" s="31"/>
      <c r="C109" s="32"/>
      <c r="D109" s="33" t="str">
        <f>IF($B109="","",$B109+IF($C109="",IF('Start Here'!$C$15="",14,'Start Here'!$C$15),$C109))</f>
        <v/>
      </c>
      <c r="E109" s="30"/>
      <c r="F109" s="30"/>
      <c r="G109" s="30"/>
      <c r="H109" s="30"/>
      <c r="I109" s="34" t="str">
        <f>IF($A109="","",ROUND(SUMIF('Line Items'!$A$8:$A$507,$A109,'Line Items'!$H$8:$H$507),2))</f>
        <v/>
      </c>
      <c r="J109" s="35"/>
      <c r="K109" s="34" t="str">
        <f>IF($A109="","",ROUND($I109*IFERROR(IF($J109="",IF('Start Here'!$C$22="",0,'Start Here'!$C$22),$J109),0)/100,2))</f>
        <v/>
      </c>
      <c r="L109" s="34" t="str">
        <f t="shared" si="9"/>
        <v/>
      </c>
      <c r="M109" s="36"/>
      <c r="N109" s="31"/>
      <c r="O109" s="34" t="str">
        <f t="shared" si="10"/>
        <v/>
      </c>
      <c r="P109" s="30"/>
      <c r="Q109" s="37" t="str">
        <f t="shared" ca="1" si="11"/>
        <v/>
      </c>
      <c r="R109" s="38" t="str">
        <f t="shared" ca="1" si="12"/>
        <v/>
      </c>
      <c r="S109" s="37" t="str">
        <f ca="1">IF($A109="","",IF(OR($Q109="Paid",$Q109="Cancelled",$Q109="Draft"),"—",IF($Q109="No lines yet","Add line items",IF($Q109="No date","Add invoice date",IF($D109-TODAY()&gt;7,"—",IF($D109-TODAY()&gt;=1,"Due soon",IF($D109=TODAY(),"Due today",IF(TODAY()-$D109&lt;IF('Start Here'!$C$16="",7,'Start Here'!$C$16),"Just overdue",IF(TODAY()-$D109&lt;IF('Start Here'!$C$17="",21,'Start Here'!$C$17),"First reminder",IF(TODAY()-$D109&lt;IF('Start Here'!$C$18="",45,'Start Here'!$C$18),"Second reminder","Last friendly reminder"))))))))))</f>
        <v/>
      </c>
      <c r="T109" s="31"/>
      <c r="U109" s="30"/>
      <c r="V109" s="37" t="str">
        <f t="shared" si="13"/>
        <v/>
      </c>
      <c r="W109" s="40"/>
      <c r="X109" s="37" t="str">
        <f>IF($A109="","",IFERROR(VALUE(IF('Start Here'!$C$13="",$A109,SUBSTITUTE($A109,'Start Here'!$C$13,""))),""))</f>
        <v/>
      </c>
      <c r="Y109" s="37" t="str">
        <f t="shared" si="14"/>
        <v/>
      </c>
      <c r="Z109" s="37" t="str">
        <f t="shared" ca="1" si="15"/>
        <v/>
      </c>
      <c r="AA109" s="37" t="str">
        <f t="shared" si="16"/>
        <v/>
      </c>
      <c r="AB109" s="37" t="str">
        <f t="shared" ca="1" si="17"/>
        <v/>
      </c>
    </row>
    <row r="110" spans="1:28" ht="16" x14ac:dyDescent="0.2">
      <c r="A110" s="30"/>
      <c r="B110" s="31"/>
      <c r="C110" s="32"/>
      <c r="D110" s="33" t="str">
        <f>IF($B110="","",$B110+IF($C110="",IF('Start Here'!$C$15="",14,'Start Here'!$C$15),$C110))</f>
        <v/>
      </c>
      <c r="E110" s="30"/>
      <c r="F110" s="30"/>
      <c r="G110" s="30"/>
      <c r="H110" s="30"/>
      <c r="I110" s="34" t="str">
        <f>IF($A110="","",ROUND(SUMIF('Line Items'!$A$8:$A$507,$A110,'Line Items'!$H$8:$H$507),2))</f>
        <v/>
      </c>
      <c r="J110" s="35"/>
      <c r="K110" s="34" t="str">
        <f>IF($A110="","",ROUND($I110*IFERROR(IF($J110="",IF('Start Here'!$C$22="",0,'Start Here'!$C$22),$J110),0)/100,2))</f>
        <v/>
      </c>
      <c r="L110" s="34" t="str">
        <f t="shared" si="9"/>
        <v/>
      </c>
      <c r="M110" s="36"/>
      <c r="N110" s="31"/>
      <c r="O110" s="34" t="str">
        <f t="shared" si="10"/>
        <v/>
      </c>
      <c r="P110" s="30"/>
      <c r="Q110" s="37" t="str">
        <f t="shared" ca="1" si="11"/>
        <v/>
      </c>
      <c r="R110" s="38" t="str">
        <f t="shared" ca="1" si="12"/>
        <v/>
      </c>
      <c r="S110" s="37" t="str">
        <f ca="1">IF($A110="","",IF(OR($Q110="Paid",$Q110="Cancelled",$Q110="Draft"),"—",IF($Q110="No lines yet","Add line items",IF($Q110="No date","Add invoice date",IF($D110-TODAY()&gt;7,"—",IF($D110-TODAY()&gt;=1,"Due soon",IF($D110=TODAY(),"Due today",IF(TODAY()-$D110&lt;IF('Start Here'!$C$16="",7,'Start Here'!$C$16),"Just overdue",IF(TODAY()-$D110&lt;IF('Start Here'!$C$17="",21,'Start Here'!$C$17),"First reminder",IF(TODAY()-$D110&lt;IF('Start Here'!$C$18="",45,'Start Here'!$C$18),"Second reminder","Last friendly reminder"))))))))))</f>
        <v/>
      </c>
      <c r="T110" s="31"/>
      <c r="U110" s="30"/>
      <c r="V110" s="37" t="str">
        <f t="shared" si="13"/>
        <v/>
      </c>
      <c r="W110" s="39"/>
      <c r="X110" s="37" t="str">
        <f>IF($A110="","",IFERROR(VALUE(IF('Start Here'!$C$13="",$A110,SUBSTITUTE($A110,'Start Here'!$C$13,""))),""))</f>
        <v/>
      </c>
      <c r="Y110" s="37" t="str">
        <f t="shared" si="14"/>
        <v/>
      </c>
      <c r="Z110" s="37" t="str">
        <f t="shared" ca="1" si="15"/>
        <v/>
      </c>
      <c r="AA110" s="37" t="str">
        <f t="shared" si="16"/>
        <v/>
      </c>
      <c r="AB110" s="37" t="str">
        <f t="shared" ca="1" si="17"/>
        <v/>
      </c>
    </row>
    <row r="111" spans="1:28" ht="16" x14ac:dyDescent="0.2">
      <c r="A111" s="30"/>
      <c r="B111" s="31"/>
      <c r="C111" s="32"/>
      <c r="D111" s="33" t="str">
        <f>IF($B111="","",$B111+IF($C111="",IF('Start Here'!$C$15="",14,'Start Here'!$C$15),$C111))</f>
        <v/>
      </c>
      <c r="E111" s="30"/>
      <c r="F111" s="30"/>
      <c r="G111" s="30"/>
      <c r="H111" s="30"/>
      <c r="I111" s="34" t="str">
        <f>IF($A111="","",ROUND(SUMIF('Line Items'!$A$8:$A$507,$A111,'Line Items'!$H$8:$H$507),2))</f>
        <v/>
      </c>
      <c r="J111" s="35"/>
      <c r="K111" s="34" t="str">
        <f>IF($A111="","",ROUND($I111*IFERROR(IF($J111="",IF('Start Here'!$C$22="",0,'Start Here'!$C$22),$J111),0)/100,2))</f>
        <v/>
      </c>
      <c r="L111" s="34" t="str">
        <f t="shared" si="9"/>
        <v/>
      </c>
      <c r="M111" s="36"/>
      <c r="N111" s="31"/>
      <c r="O111" s="34" t="str">
        <f t="shared" si="10"/>
        <v/>
      </c>
      <c r="P111" s="30"/>
      <c r="Q111" s="37" t="str">
        <f t="shared" ca="1" si="11"/>
        <v/>
      </c>
      <c r="R111" s="38" t="str">
        <f t="shared" ca="1" si="12"/>
        <v/>
      </c>
      <c r="S111" s="37" t="str">
        <f ca="1">IF($A111="","",IF(OR($Q111="Paid",$Q111="Cancelled",$Q111="Draft"),"—",IF($Q111="No lines yet","Add line items",IF($Q111="No date","Add invoice date",IF($D111-TODAY()&gt;7,"—",IF($D111-TODAY()&gt;=1,"Due soon",IF($D111=TODAY(),"Due today",IF(TODAY()-$D111&lt;IF('Start Here'!$C$16="",7,'Start Here'!$C$16),"Just overdue",IF(TODAY()-$D111&lt;IF('Start Here'!$C$17="",21,'Start Here'!$C$17),"First reminder",IF(TODAY()-$D111&lt;IF('Start Here'!$C$18="",45,'Start Here'!$C$18),"Second reminder","Last friendly reminder"))))))))))</f>
        <v/>
      </c>
      <c r="T111" s="31"/>
      <c r="U111" s="30"/>
      <c r="V111" s="37" t="str">
        <f t="shared" si="13"/>
        <v/>
      </c>
      <c r="W111" s="40"/>
      <c r="X111" s="37" t="str">
        <f>IF($A111="","",IFERROR(VALUE(IF('Start Here'!$C$13="",$A111,SUBSTITUTE($A111,'Start Here'!$C$13,""))),""))</f>
        <v/>
      </c>
      <c r="Y111" s="37" t="str">
        <f t="shared" si="14"/>
        <v/>
      </c>
      <c r="Z111" s="37" t="str">
        <f t="shared" ca="1" si="15"/>
        <v/>
      </c>
      <c r="AA111" s="37" t="str">
        <f t="shared" si="16"/>
        <v/>
      </c>
      <c r="AB111" s="37" t="str">
        <f t="shared" ca="1" si="17"/>
        <v/>
      </c>
    </row>
    <row r="112" spans="1:28" ht="16" x14ac:dyDescent="0.2">
      <c r="A112" s="30"/>
      <c r="B112" s="31"/>
      <c r="C112" s="32"/>
      <c r="D112" s="33" t="str">
        <f>IF($B112="","",$B112+IF($C112="",IF('Start Here'!$C$15="",14,'Start Here'!$C$15),$C112))</f>
        <v/>
      </c>
      <c r="E112" s="30"/>
      <c r="F112" s="30"/>
      <c r="G112" s="30"/>
      <c r="H112" s="30"/>
      <c r="I112" s="34" t="str">
        <f>IF($A112="","",ROUND(SUMIF('Line Items'!$A$8:$A$507,$A112,'Line Items'!$H$8:$H$507),2))</f>
        <v/>
      </c>
      <c r="J112" s="35"/>
      <c r="K112" s="34" t="str">
        <f>IF($A112="","",ROUND($I112*IFERROR(IF($J112="",IF('Start Here'!$C$22="",0,'Start Here'!$C$22),$J112),0)/100,2))</f>
        <v/>
      </c>
      <c r="L112" s="34" t="str">
        <f t="shared" si="9"/>
        <v/>
      </c>
      <c r="M112" s="36"/>
      <c r="N112" s="31"/>
      <c r="O112" s="34" t="str">
        <f t="shared" si="10"/>
        <v/>
      </c>
      <c r="P112" s="30"/>
      <c r="Q112" s="37" t="str">
        <f t="shared" ca="1" si="11"/>
        <v/>
      </c>
      <c r="R112" s="38" t="str">
        <f t="shared" ca="1" si="12"/>
        <v/>
      </c>
      <c r="S112" s="37" t="str">
        <f ca="1">IF($A112="","",IF(OR($Q112="Paid",$Q112="Cancelled",$Q112="Draft"),"—",IF($Q112="No lines yet","Add line items",IF($Q112="No date","Add invoice date",IF($D112-TODAY()&gt;7,"—",IF($D112-TODAY()&gt;=1,"Due soon",IF($D112=TODAY(),"Due today",IF(TODAY()-$D112&lt;IF('Start Here'!$C$16="",7,'Start Here'!$C$16),"Just overdue",IF(TODAY()-$D112&lt;IF('Start Here'!$C$17="",21,'Start Here'!$C$17),"First reminder",IF(TODAY()-$D112&lt;IF('Start Here'!$C$18="",45,'Start Here'!$C$18),"Second reminder","Last friendly reminder"))))))))))</f>
        <v/>
      </c>
      <c r="T112" s="31"/>
      <c r="U112" s="30"/>
      <c r="V112" s="37" t="str">
        <f t="shared" si="13"/>
        <v/>
      </c>
      <c r="W112" s="39"/>
      <c r="X112" s="37" t="str">
        <f>IF($A112="","",IFERROR(VALUE(IF('Start Here'!$C$13="",$A112,SUBSTITUTE($A112,'Start Here'!$C$13,""))),""))</f>
        <v/>
      </c>
      <c r="Y112" s="37" t="str">
        <f t="shared" si="14"/>
        <v/>
      </c>
      <c r="Z112" s="37" t="str">
        <f t="shared" ca="1" si="15"/>
        <v/>
      </c>
      <c r="AA112" s="37" t="str">
        <f t="shared" si="16"/>
        <v/>
      </c>
      <c r="AB112" s="37" t="str">
        <f t="shared" ca="1" si="17"/>
        <v/>
      </c>
    </row>
    <row r="113" spans="1:28" ht="16" x14ac:dyDescent="0.2">
      <c r="A113" s="30"/>
      <c r="B113" s="31"/>
      <c r="C113" s="32"/>
      <c r="D113" s="33" t="str">
        <f>IF($B113="","",$B113+IF($C113="",IF('Start Here'!$C$15="",14,'Start Here'!$C$15),$C113))</f>
        <v/>
      </c>
      <c r="E113" s="30"/>
      <c r="F113" s="30"/>
      <c r="G113" s="30"/>
      <c r="H113" s="30"/>
      <c r="I113" s="34" t="str">
        <f>IF($A113="","",ROUND(SUMIF('Line Items'!$A$8:$A$507,$A113,'Line Items'!$H$8:$H$507),2))</f>
        <v/>
      </c>
      <c r="J113" s="35"/>
      <c r="K113" s="34" t="str">
        <f>IF($A113="","",ROUND($I113*IFERROR(IF($J113="",IF('Start Here'!$C$22="",0,'Start Here'!$C$22),$J113),0)/100,2))</f>
        <v/>
      </c>
      <c r="L113" s="34" t="str">
        <f t="shared" si="9"/>
        <v/>
      </c>
      <c r="M113" s="36"/>
      <c r="N113" s="31"/>
      <c r="O113" s="34" t="str">
        <f t="shared" si="10"/>
        <v/>
      </c>
      <c r="P113" s="30"/>
      <c r="Q113" s="37" t="str">
        <f t="shared" ca="1" si="11"/>
        <v/>
      </c>
      <c r="R113" s="38" t="str">
        <f t="shared" ca="1" si="12"/>
        <v/>
      </c>
      <c r="S113" s="37" t="str">
        <f ca="1">IF($A113="","",IF(OR($Q113="Paid",$Q113="Cancelled",$Q113="Draft"),"—",IF($Q113="No lines yet","Add line items",IF($Q113="No date","Add invoice date",IF($D113-TODAY()&gt;7,"—",IF($D113-TODAY()&gt;=1,"Due soon",IF($D113=TODAY(),"Due today",IF(TODAY()-$D113&lt;IF('Start Here'!$C$16="",7,'Start Here'!$C$16),"Just overdue",IF(TODAY()-$D113&lt;IF('Start Here'!$C$17="",21,'Start Here'!$C$17),"First reminder",IF(TODAY()-$D113&lt;IF('Start Here'!$C$18="",45,'Start Here'!$C$18),"Second reminder","Last friendly reminder"))))))))))</f>
        <v/>
      </c>
      <c r="T113" s="31"/>
      <c r="U113" s="30"/>
      <c r="V113" s="37" t="str">
        <f t="shared" si="13"/>
        <v/>
      </c>
      <c r="W113" s="40"/>
      <c r="X113" s="37" t="str">
        <f>IF($A113="","",IFERROR(VALUE(IF('Start Here'!$C$13="",$A113,SUBSTITUTE($A113,'Start Here'!$C$13,""))),""))</f>
        <v/>
      </c>
      <c r="Y113" s="37" t="str">
        <f t="shared" si="14"/>
        <v/>
      </c>
      <c r="Z113" s="37" t="str">
        <f t="shared" ca="1" si="15"/>
        <v/>
      </c>
      <c r="AA113" s="37" t="str">
        <f t="shared" si="16"/>
        <v/>
      </c>
      <c r="AB113" s="37" t="str">
        <f t="shared" ca="1" si="17"/>
        <v/>
      </c>
    </row>
    <row r="114" spans="1:28" ht="16" x14ac:dyDescent="0.2">
      <c r="A114" s="30"/>
      <c r="B114" s="31"/>
      <c r="C114" s="32"/>
      <c r="D114" s="33" t="str">
        <f>IF($B114="","",$B114+IF($C114="",IF('Start Here'!$C$15="",14,'Start Here'!$C$15),$C114))</f>
        <v/>
      </c>
      <c r="E114" s="30"/>
      <c r="F114" s="30"/>
      <c r="G114" s="30"/>
      <c r="H114" s="30"/>
      <c r="I114" s="34" t="str">
        <f>IF($A114="","",ROUND(SUMIF('Line Items'!$A$8:$A$507,$A114,'Line Items'!$H$8:$H$507),2))</f>
        <v/>
      </c>
      <c r="J114" s="35"/>
      <c r="K114" s="34" t="str">
        <f>IF($A114="","",ROUND($I114*IFERROR(IF($J114="",IF('Start Here'!$C$22="",0,'Start Here'!$C$22),$J114),0)/100,2))</f>
        <v/>
      </c>
      <c r="L114" s="34" t="str">
        <f t="shared" si="9"/>
        <v/>
      </c>
      <c r="M114" s="36"/>
      <c r="N114" s="31"/>
      <c r="O114" s="34" t="str">
        <f t="shared" si="10"/>
        <v/>
      </c>
      <c r="P114" s="30"/>
      <c r="Q114" s="37" t="str">
        <f t="shared" ca="1" si="11"/>
        <v/>
      </c>
      <c r="R114" s="38" t="str">
        <f t="shared" ca="1" si="12"/>
        <v/>
      </c>
      <c r="S114" s="37" t="str">
        <f ca="1">IF($A114="","",IF(OR($Q114="Paid",$Q114="Cancelled",$Q114="Draft"),"—",IF($Q114="No lines yet","Add line items",IF($Q114="No date","Add invoice date",IF($D114-TODAY()&gt;7,"—",IF($D114-TODAY()&gt;=1,"Due soon",IF($D114=TODAY(),"Due today",IF(TODAY()-$D114&lt;IF('Start Here'!$C$16="",7,'Start Here'!$C$16),"Just overdue",IF(TODAY()-$D114&lt;IF('Start Here'!$C$17="",21,'Start Here'!$C$17),"First reminder",IF(TODAY()-$D114&lt;IF('Start Here'!$C$18="",45,'Start Here'!$C$18),"Second reminder","Last friendly reminder"))))))))))</f>
        <v/>
      </c>
      <c r="T114" s="31"/>
      <c r="U114" s="30"/>
      <c r="V114" s="37" t="str">
        <f t="shared" si="13"/>
        <v/>
      </c>
      <c r="W114" s="39"/>
      <c r="X114" s="37" t="str">
        <f>IF($A114="","",IFERROR(VALUE(IF('Start Here'!$C$13="",$A114,SUBSTITUTE($A114,'Start Here'!$C$13,""))),""))</f>
        <v/>
      </c>
      <c r="Y114" s="37" t="str">
        <f t="shared" si="14"/>
        <v/>
      </c>
      <c r="Z114" s="37" t="str">
        <f t="shared" ca="1" si="15"/>
        <v/>
      </c>
      <c r="AA114" s="37" t="str">
        <f t="shared" si="16"/>
        <v/>
      </c>
      <c r="AB114" s="37" t="str">
        <f t="shared" ca="1" si="17"/>
        <v/>
      </c>
    </row>
    <row r="115" spans="1:28" ht="16" x14ac:dyDescent="0.2">
      <c r="A115" s="30"/>
      <c r="B115" s="31"/>
      <c r="C115" s="32"/>
      <c r="D115" s="33" t="str">
        <f>IF($B115="","",$B115+IF($C115="",IF('Start Here'!$C$15="",14,'Start Here'!$C$15),$C115))</f>
        <v/>
      </c>
      <c r="E115" s="30"/>
      <c r="F115" s="30"/>
      <c r="G115" s="30"/>
      <c r="H115" s="30"/>
      <c r="I115" s="34" t="str">
        <f>IF($A115="","",ROUND(SUMIF('Line Items'!$A$8:$A$507,$A115,'Line Items'!$H$8:$H$507),2))</f>
        <v/>
      </c>
      <c r="J115" s="35"/>
      <c r="K115" s="34" t="str">
        <f>IF($A115="","",ROUND($I115*IFERROR(IF($J115="",IF('Start Here'!$C$22="",0,'Start Here'!$C$22),$J115),0)/100,2))</f>
        <v/>
      </c>
      <c r="L115" s="34" t="str">
        <f t="shared" si="9"/>
        <v/>
      </c>
      <c r="M115" s="36"/>
      <c r="N115" s="31"/>
      <c r="O115" s="34" t="str">
        <f t="shared" si="10"/>
        <v/>
      </c>
      <c r="P115" s="30"/>
      <c r="Q115" s="37" t="str">
        <f t="shared" ca="1" si="11"/>
        <v/>
      </c>
      <c r="R115" s="38" t="str">
        <f t="shared" ca="1" si="12"/>
        <v/>
      </c>
      <c r="S115" s="37" t="str">
        <f ca="1">IF($A115="","",IF(OR($Q115="Paid",$Q115="Cancelled",$Q115="Draft"),"—",IF($Q115="No lines yet","Add line items",IF($Q115="No date","Add invoice date",IF($D115-TODAY()&gt;7,"—",IF($D115-TODAY()&gt;=1,"Due soon",IF($D115=TODAY(),"Due today",IF(TODAY()-$D115&lt;IF('Start Here'!$C$16="",7,'Start Here'!$C$16),"Just overdue",IF(TODAY()-$D115&lt;IF('Start Here'!$C$17="",21,'Start Here'!$C$17),"First reminder",IF(TODAY()-$D115&lt;IF('Start Here'!$C$18="",45,'Start Here'!$C$18),"Second reminder","Last friendly reminder"))))))))))</f>
        <v/>
      </c>
      <c r="T115" s="31"/>
      <c r="U115" s="30"/>
      <c r="V115" s="37" t="str">
        <f t="shared" si="13"/>
        <v/>
      </c>
      <c r="W115" s="40"/>
      <c r="X115" s="37" t="str">
        <f>IF($A115="","",IFERROR(VALUE(IF('Start Here'!$C$13="",$A115,SUBSTITUTE($A115,'Start Here'!$C$13,""))),""))</f>
        <v/>
      </c>
      <c r="Y115" s="37" t="str">
        <f t="shared" si="14"/>
        <v/>
      </c>
      <c r="Z115" s="37" t="str">
        <f t="shared" ca="1" si="15"/>
        <v/>
      </c>
      <c r="AA115" s="37" t="str">
        <f t="shared" si="16"/>
        <v/>
      </c>
      <c r="AB115" s="37" t="str">
        <f t="shared" ca="1" si="17"/>
        <v/>
      </c>
    </row>
    <row r="116" spans="1:28" ht="16" x14ac:dyDescent="0.2">
      <c r="A116" s="30"/>
      <c r="B116" s="31"/>
      <c r="C116" s="32"/>
      <c r="D116" s="33" t="str">
        <f>IF($B116="","",$B116+IF($C116="",IF('Start Here'!$C$15="",14,'Start Here'!$C$15),$C116))</f>
        <v/>
      </c>
      <c r="E116" s="30"/>
      <c r="F116" s="30"/>
      <c r="G116" s="30"/>
      <c r="H116" s="30"/>
      <c r="I116" s="34" t="str">
        <f>IF($A116="","",ROUND(SUMIF('Line Items'!$A$8:$A$507,$A116,'Line Items'!$H$8:$H$507),2))</f>
        <v/>
      </c>
      <c r="J116" s="35"/>
      <c r="K116" s="34" t="str">
        <f>IF($A116="","",ROUND($I116*IFERROR(IF($J116="",IF('Start Here'!$C$22="",0,'Start Here'!$C$22),$J116),0)/100,2))</f>
        <v/>
      </c>
      <c r="L116" s="34" t="str">
        <f t="shared" si="9"/>
        <v/>
      </c>
      <c r="M116" s="36"/>
      <c r="N116" s="31"/>
      <c r="O116" s="34" t="str">
        <f t="shared" si="10"/>
        <v/>
      </c>
      <c r="P116" s="30"/>
      <c r="Q116" s="37" t="str">
        <f t="shared" ca="1" si="11"/>
        <v/>
      </c>
      <c r="R116" s="38" t="str">
        <f t="shared" ca="1" si="12"/>
        <v/>
      </c>
      <c r="S116" s="37" t="str">
        <f ca="1">IF($A116="","",IF(OR($Q116="Paid",$Q116="Cancelled",$Q116="Draft"),"—",IF($Q116="No lines yet","Add line items",IF($Q116="No date","Add invoice date",IF($D116-TODAY()&gt;7,"—",IF($D116-TODAY()&gt;=1,"Due soon",IF($D116=TODAY(),"Due today",IF(TODAY()-$D116&lt;IF('Start Here'!$C$16="",7,'Start Here'!$C$16),"Just overdue",IF(TODAY()-$D116&lt;IF('Start Here'!$C$17="",21,'Start Here'!$C$17),"First reminder",IF(TODAY()-$D116&lt;IF('Start Here'!$C$18="",45,'Start Here'!$C$18),"Second reminder","Last friendly reminder"))))))))))</f>
        <v/>
      </c>
      <c r="T116" s="31"/>
      <c r="U116" s="30"/>
      <c r="V116" s="37" t="str">
        <f t="shared" si="13"/>
        <v/>
      </c>
      <c r="W116" s="39"/>
      <c r="X116" s="37" t="str">
        <f>IF($A116="","",IFERROR(VALUE(IF('Start Here'!$C$13="",$A116,SUBSTITUTE($A116,'Start Here'!$C$13,""))),""))</f>
        <v/>
      </c>
      <c r="Y116" s="37" t="str">
        <f t="shared" si="14"/>
        <v/>
      </c>
      <c r="Z116" s="37" t="str">
        <f t="shared" ca="1" si="15"/>
        <v/>
      </c>
      <c r="AA116" s="37" t="str">
        <f t="shared" si="16"/>
        <v/>
      </c>
      <c r="AB116" s="37" t="str">
        <f t="shared" ca="1" si="17"/>
        <v/>
      </c>
    </row>
    <row r="117" spans="1:28" ht="16" x14ac:dyDescent="0.2">
      <c r="A117" s="30"/>
      <c r="B117" s="31"/>
      <c r="C117" s="32"/>
      <c r="D117" s="33" t="str">
        <f>IF($B117="","",$B117+IF($C117="",IF('Start Here'!$C$15="",14,'Start Here'!$C$15),$C117))</f>
        <v/>
      </c>
      <c r="E117" s="30"/>
      <c r="F117" s="30"/>
      <c r="G117" s="30"/>
      <c r="H117" s="30"/>
      <c r="I117" s="34" t="str">
        <f>IF($A117="","",ROUND(SUMIF('Line Items'!$A$8:$A$507,$A117,'Line Items'!$H$8:$H$507),2))</f>
        <v/>
      </c>
      <c r="J117" s="35"/>
      <c r="K117" s="34" t="str">
        <f>IF($A117="","",ROUND($I117*IFERROR(IF($J117="",IF('Start Here'!$C$22="",0,'Start Here'!$C$22),$J117),0)/100,2))</f>
        <v/>
      </c>
      <c r="L117" s="34" t="str">
        <f t="shared" si="9"/>
        <v/>
      </c>
      <c r="M117" s="36"/>
      <c r="N117" s="31"/>
      <c r="O117" s="34" t="str">
        <f t="shared" si="10"/>
        <v/>
      </c>
      <c r="P117" s="30"/>
      <c r="Q117" s="37" t="str">
        <f t="shared" ca="1" si="11"/>
        <v/>
      </c>
      <c r="R117" s="38" t="str">
        <f t="shared" ca="1" si="12"/>
        <v/>
      </c>
      <c r="S117" s="37" t="str">
        <f ca="1">IF($A117="","",IF(OR($Q117="Paid",$Q117="Cancelled",$Q117="Draft"),"—",IF($Q117="No lines yet","Add line items",IF($Q117="No date","Add invoice date",IF($D117-TODAY()&gt;7,"—",IF($D117-TODAY()&gt;=1,"Due soon",IF($D117=TODAY(),"Due today",IF(TODAY()-$D117&lt;IF('Start Here'!$C$16="",7,'Start Here'!$C$16),"Just overdue",IF(TODAY()-$D117&lt;IF('Start Here'!$C$17="",21,'Start Here'!$C$17),"First reminder",IF(TODAY()-$D117&lt;IF('Start Here'!$C$18="",45,'Start Here'!$C$18),"Second reminder","Last friendly reminder"))))))))))</f>
        <v/>
      </c>
      <c r="T117" s="31"/>
      <c r="U117" s="30"/>
      <c r="V117" s="37" t="str">
        <f t="shared" si="13"/>
        <v/>
      </c>
      <c r="W117" s="40"/>
      <c r="X117" s="37" t="str">
        <f>IF($A117="","",IFERROR(VALUE(IF('Start Here'!$C$13="",$A117,SUBSTITUTE($A117,'Start Here'!$C$13,""))),""))</f>
        <v/>
      </c>
      <c r="Y117" s="37" t="str">
        <f t="shared" si="14"/>
        <v/>
      </c>
      <c r="Z117" s="37" t="str">
        <f t="shared" ca="1" si="15"/>
        <v/>
      </c>
      <c r="AA117" s="37" t="str">
        <f t="shared" si="16"/>
        <v/>
      </c>
      <c r="AB117" s="37" t="str">
        <f t="shared" ca="1" si="17"/>
        <v/>
      </c>
    </row>
    <row r="118" spans="1:28" ht="16" x14ac:dyDescent="0.2">
      <c r="A118" s="30"/>
      <c r="B118" s="31"/>
      <c r="C118" s="32"/>
      <c r="D118" s="33" t="str">
        <f>IF($B118="","",$B118+IF($C118="",IF('Start Here'!$C$15="",14,'Start Here'!$C$15),$C118))</f>
        <v/>
      </c>
      <c r="E118" s="30"/>
      <c r="F118" s="30"/>
      <c r="G118" s="30"/>
      <c r="H118" s="30"/>
      <c r="I118" s="34" t="str">
        <f>IF($A118="","",ROUND(SUMIF('Line Items'!$A$8:$A$507,$A118,'Line Items'!$H$8:$H$507),2))</f>
        <v/>
      </c>
      <c r="J118" s="35"/>
      <c r="K118" s="34" t="str">
        <f>IF($A118="","",ROUND($I118*IFERROR(IF($J118="",IF('Start Here'!$C$22="",0,'Start Here'!$C$22),$J118),0)/100,2))</f>
        <v/>
      </c>
      <c r="L118" s="34" t="str">
        <f t="shared" si="9"/>
        <v/>
      </c>
      <c r="M118" s="36"/>
      <c r="N118" s="31"/>
      <c r="O118" s="34" t="str">
        <f t="shared" si="10"/>
        <v/>
      </c>
      <c r="P118" s="30"/>
      <c r="Q118" s="37" t="str">
        <f t="shared" ca="1" si="11"/>
        <v/>
      </c>
      <c r="R118" s="38" t="str">
        <f t="shared" ca="1" si="12"/>
        <v/>
      </c>
      <c r="S118" s="37" t="str">
        <f ca="1">IF($A118="","",IF(OR($Q118="Paid",$Q118="Cancelled",$Q118="Draft"),"—",IF($Q118="No lines yet","Add line items",IF($Q118="No date","Add invoice date",IF($D118-TODAY()&gt;7,"—",IF($D118-TODAY()&gt;=1,"Due soon",IF($D118=TODAY(),"Due today",IF(TODAY()-$D118&lt;IF('Start Here'!$C$16="",7,'Start Here'!$C$16),"Just overdue",IF(TODAY()-$D118&lt;IF('Start Here'!$C$17="",21,'Start Here'!$C$17),"First reminder",IF(TODAY()-$D118&lt;IF('Start Here'!$C$18="",45,'Start Here'!$C$18),"Second reminder","Last friendly reminder"))))))))))</f>
        <v/>
      </c>
      <c r="T118" s="31"/>
      <c r="U118" s="30"/>
      <c r="V118" s="37" t="str">
        <f t="shared" si="13"/>
        <v/>
      </c>
      <c r="W118" s="39"/>
      <c r="X118" s="37" t="str">
        <f>IF($A118="","",IFERROR(VALUE(IF('Start Here'!$C$13="",$A118,SUBSTITUTE($A118,'Start Here'!$C$13,""))),""))</f>
        <v/>
      </c>
      <c r="Y118" s="37" t="str">
        <f t="shared" si="14"/>
        <v/>
      </c>
      <c r="Z118" s="37" t="str">
        <f t="shared" ca="1" si="15"/>
        <v/>
      </c>
      <c r="AA118" s="37" t="str">
        <f t="shared" si="16"/>
        <v/>
      </c>
      <c r="AB118" s="37" t="str">
        <f t="shared" ca="1" si="17"/>
        <v/>
      </c>
    </row>
    <row r="119" spans="1:28" ht="16" x14ac:dyDescent="0.2">
      <c r="A119" s="30"/>
      <c r="B119" s="31"/>
      <c r="C119" s="32"/>
      <c r="D119" s="33" t="str">
        <f>IF($B119="","",$B119+IF($C119="",IF('Start Here'!$C$15="",14,'Start Here'!$C$15),$C119))</f>
        <v/>
      </c>
      <c r="E119" s="30"/>
      <c r="F119" s="30"/>
      <c r="G119" s="30"/>
      <c r="H119" s="30"/>
      <c r="I119" s="34" t="str">
        <f>IF($A119="","",ROUND(SUMIF('Line Items'!$A$8:$A$507,$A119,'Line Items'!$H$8:$H$507),2))</f>
        <v/>
      </c>
      <c r="J119" s="35"/>
      <c r="K119" s="34" t="str">
        <f>IF($A119="","",ROUND($I119*IFERROR(IF($J119="",IF('Start Here'!$C$22="",0,'Start Here'!$C$22),$J119),0)/100,2))</f>
        <v/>
      </c>
      <c r="L119" s="34" t="str">
        <f t="shared" si="9"/>
        <v/>
      </c>
      <c r="M119" s="36"/>
      <c r="N119" s="31"/>
      <c r="O119" s="34" t="str">
        <f t="shared" si="10"/>
        <v/>
      </c>
      <c r="P119" s="30"/>
      <c r="Q119" s="37" t="str">
        <f t="shared" ca="1" si="11"/>
        <v/>
      </c>
      <c r="R119" s="38" t="str">
        <f t="shared" ca="1" si="12"/>
        <v/>
      </c>
      <c r="S119" s="37" t="str">
        <f ca="1">IF($A119="","",IF(OR($Q119="Paid",$Q119="Cancelled",$Q119="Draft"),"—",IF($Q119="No lines yet","Add line items",IF($Q119="No date","Add invoice date",IF($D119-TODAY()&gt;7,"—",IF($D119-TODAY()&gt;=1,"Due soon",IF($D119=TODAY(),"Due today",IF(TODAY()-$D119&lt;IF('Start Here'!$C$16="",7,'Start Here'!$C$16),"Just overdue",IF(TODAY()-$D119&lt;IF('Start Here'!$C$17="",21,'Start Here'!$C$17),"First reminder",IF(TODAY()-$D119&lt;IF('Start Here'!$C$18="",45,'Start Here'!$C$18),"Second reminder","Last friendly reminder"))))))))))</f>
        <v/>
      </c>
      <c r="T119" s="31"/>
      <c r="U119" s="30"/>
      <c r="V119" s="37" t="str">
        <f t="shared" si="13"/>
        <v/>
      </c>
      <c r="W119" s="40"/>
      <c r="X119" s="37" t="str">
        <f>IF($A119="","",IFERROR(VALUE(IF('Start Here'!$C$13="",$A119,SUBSTITUTE($A119,'Start Here'!$C$13,""))),""))</f>
        <v/>
      </c>
      <c r="Y119" s="37" t="str">
        <f t="shared" si="14"/>
        <v/>
      </c>
      <c r="Z119" s="37" t="str">
        <f t="shared" ca="1" si="15"/>
        <v/>
      </c>
      <c r="AA119" s="37" t="str">
        <f t="shared" si="16"/>
        <v/>
      </c>
      <c r="AB119" s="37" t="str">
        <f t="shared" ca="1" si="17"/>
        <v/>
      </c>
    </row>
    <row r="120" spans="1:28" ht="16" x14ac:dyDescent="0.2">
      <c r="A120" s="30"/>
      <c r="B120" s="31"/>
      <c r="C120" s="32"/>
      <c r="D120" s="33" t="str">
        <f>IF($B120="","",$B120+IF($C120="",IF('Start Here'!$C$15="",14,'Start Here'!$C$15),$C120))</f>
        <v/>
      </c>
      <c r="E120" s="30"/>
      <c r="F120" s="30"/>
      <c r="G120" s="30"/>
      <c r="H120" s="30"/>
      <c r="I120" s="34" t="str">
        <f>IF($A120="","",ROUND(SUMIF('Line Items'!$A$8:$A$507,$A120,'Line Items'!$H$8:$H$507),2))</f>
        <v/>
      </c>
      <c r="J120" s="35"/>
      <c r="K120" s="34" t="str">
        <f>IF($A120="","",ROUND($I120*IFERROR(IF($J120="",IF('Start Here'!$C$22="",0,'Start Here'!$C$22),$J120),0)/100,2))</f>
        <v/>
      </c>
      <c r="L120" s="34" t="str">
        <f t="shared" si="9"/>
        <v/>
      </c>
      <c r="M120" s="36"/>
      <c r="N120" s="31"/>
      <c r="O120" s="34" t="str">
        <f t="shared" si="10"/>
        <v/>
      </c>
      <c r="P120" s="30"/>
      <c r="Q120" s="37" t="str">
        <f t="shared" ca="1" si="11"/>
        <v/>
      </c>
      <c r="R120" s="38" t="str">
        <f t="shared" ca="1" si="12"/>
        <v/>
      </c>
      <c r="S120" s="37" t="str">
        <f ca="1">IF($A120="","",IF(OR($Q120="Paid",$Q120="Cancelled",$Q120="Draft"),"—",IF($Q120="No lines yet","Add line items",IF($Q120="No date","Add invoice date",IF($D120-TODAY()&gt;7,"—",IF($D120-TODAY()&gt;=1,"Due soon",IF($D120=TODAY(),"Due today",IF(TODAY()-$D120&lt;IF('Start Here'!$C$16="",7,'Start Here'!$C$16),"Just overdue",IF(TODAY()-$D120&lt;IF('Start Here'!$C$17="",21,'Start Here'!$C$17),"First reminder",IF(TODAY()-$D120&lt;IF('Start Here'!$C$18="",45,'Start Here'!$C$18),"Second reminder","Last friendly reminder"))))))))))</f>
        <v/>
      </c>
      <c r="T120" s="31"/>
      <c r="U120" s="30"/>
      <c r="V120" s="37" t="str">
        <f t="shared" si="13"/>
        <v/>
      </c>
      <c r="W120" s="39"/>
      <c r="X120" s="37" t="str">
        <f>IF($A120="","",IFERROR(VALUE(IF('Start Here'!$C$13="",$A120,SUBSTITUTE($A120,'Start Here'!$C$13,""))),""))</f>
        <v/>
      </c>
      <c r="Y120" s="37" t="str">
        <f t="shared" si="14"/>
        <v/>
      </c>
      <c r="Z120" s="37" t="str">
        <f t="shared" ca="1" si="15"/>
        <v/>
      </c>
      <c r="AA120" s="37" t="str">
        <f t="shared" si="16"/>
        <v/>
      </c>
      <c r="AB120" s="37" t="str">
        <f t="shared" ca="1" si="17"/>
        <v/>
      </c>
    </row>
    <row r="121" spans="1:28" ht="16" x14ac:dyDescent="0.2">
      <c r="A121" s="30"/>
      <c r="B121" s="31"/>
      <c r="C121" s="32"/>
      <c r="D121" s="33" t="str">
        <f>IF($B121="","",$B121+IF($C121="",IF('Start Here'!$C$15="",14,'Start Here'!$C$15),$C121))</f>
        <v/>
      </c>
      <c r="E121" s="30"/>
      <c r="F121" s="30"/>
      <c r="G121" s="30"/>
      <c r="H121" s="30"/>
      <c r="I121" s="34" t="str">
        <f>IF($A121="","",ROUND(SUMIF('Line Items'!$A$8:$A$507,$A121,'Line Items'!$H$8:$H$507),2))</f>
        <v/>
      </c>
      <c r="J121" s="35"/>
      <c r="K121" s="34" t="str">
        <f>IF($A121="","",ROUND($I121*IFERROR(IF($J121="",IF('Start Here'!$C$22="",0,'Start Here'!$C$22),$J121),0)/100,2))</f>
        <v/>
      </c>
      <c r="L121" s="34" t="str">
        <f t="shared" si="9"/>
        <v/>
      </c>
      <c r="M121" s="36"/>
      <c r="N121" s="31"/>
      <c r="O121" s="34" t="str">
        <f t="shared" si="10"/>
        <v/>
      </c>
      <c r="P121" s="30"/>
      <c r="Q121" s="37" t="str">
        <f t="shared" ca="1" si="11"/>
        <v/>
      </c>
      <c r="R121" s="38" t="str">
        <f t="shared" ca="1" si="12"/>
        <v/>
      </c>
      <c r="S121" s="37" t="str">
        <f ca="1">IF($A121="","",IF(OR($Q121="Paid",$Q121="Cancelled",$Q121="Draft"),"—",IF($Q121="No lines yet","Add line items",IF($Q121="No date","Add invoice date",IF($D121-TODAY()&gt;7,"—",IF($D121-TODAY()&gt;=1,"Due soon",IF($D121=TODAY(),"Due today",IF(TODAY()-$D121&lt;IF('Start Here'!$C$16="",7,'Start Here'!$C$16),"Just overdue",IF(TODAY()-$D121&lt;IF('Start Here'!$C$17="",21,'Start Here'!$C$17),"First reminder",IF(TODAY()-$D121&lt;IF('Start Here'!$C$18="",45,'Start Here'!$C$18),"Second reminder","Last friendly reminder"))))))))))</f>
        <v/>
      </c>
      <c r="T121" s="31"/>
      <c r="U121" s="30"/>
      <c r="V121" s="37" t="str">
        <f t="shared" si="13"/>
        <v/>
      </c>
      <c r="W121" s="40"/>
      <c r="X121" s="37" t="str">
        <f>IF($A121="","",IFERROR(VALUE(IF('Start Here'!$C$13="",$A121,SUBSTITUTE($A121,'Start Here'!$C$13,""))),""))</f>
        <v/>
      </c>
      <c r="Y121" s="37" t="str">
        <f t="shared" si="14"/>
        <v/>
      </c>
      <c r="Z121" s="37" t="str">
        <f t="shared" ca="1" si="15"/>
        <v/>
      </c>
      <c r="AA121" s="37" t="str">
        <f t="shared" si="16"/>
        <v/>
      </c>
      <c r="AB121" s="37" t="str">
        <f t="shared" ca="1" si="17"/>
        <v/>
      </c>
    </row>
    <row r="122" spans="1:28" ht="16" x14ac:dyDescent="0.2">
      <c r="A122" s="30"/>
      <c r="B122" s="31"/>
      <c r="C122" s="32"/>
      <c r="D122" s="33" t="str">
        <f>IF($B122="","",$B122+IF($C122="",IF('Start Here'!$C$15="",14,'Start Here'!$C$15),$C122))</f>
        <v/>
      </c>
      <c r="E122" s="30"/>
      <c r="F122" s="30"/>
      <c r="G122" s="30"/>
      <c r="H122" s="30"/>
      <c r="I122" s="34" t="str">
        <f>IF($A122="","",ROUND(SUMIF('Line Items'!$A$8:$A$507,$A122,'Line Items'!$H$8:$H$507),2))</f>
        <v/>
      </c>
      <c r="J122" s="35"/>
      <c r="K122" s="34" t="str">
        <f>IF($A122="","",ROUND($I122*IFERROR(IF($J122="",IF('Start Here'!$C$22="",0,'Start Here'!$C$22),$J122),0)/100,2))</f>
        <v/>
      </c>
      <c r="L122" s="34" t="str">
        <f t="shared" si="9"/>
        <v/>
      </c>
      <c r="M122" s="36"/>
      <c r="N122" s="31"/>
      <c r="O122" s="34" t="str">
        <f t="shared" si="10"/>
        <v/>
      </c>
      <c r="P122" s="30"/>
      <c r="Q122" s="37" t="str">
        <f t="shared" ca="1" si="11"/>
        <v/>
      </c>
      <c r="R122" s="38" t="str">
        <f t="shared" ca="1" si="12"/>
        <v/>
      </c>
      <c r="S122" s="37" t="str">
        <f ca="1">IF($A122="","",IF(OR($Q122="Paid",$Q122="Cancelled",$Q122="Draft"),"—",IF($Q122="No lines yet","Add line items",IF($Q122="No date","Add invoice date",IF($D122-TODAY()&gt;7,"—",IF($D122-TODAY()&gt;=1,"Due soon",IF($D122=TODAY(),"Due today",IF(TODAY()-$D122&lt;IF('Start Here'!$C$16="",7,'Start Here'!$C$16),"Just overdue",IF(TODAY()-$D122&lt;IF('Start Here'!$C$17="",21,'Start Here'!$C$17),"First reminder",IF(TODAY()-$D122&lt;IF('Start Here'!$C$18="",45,'Start Here'!$C$18),"Second reminder","Last friendly reminder"))))))))))</f>
        <v/>
      </c>
      <c r="T122" s="31"/>
      <c r="U122" s="30"/>
      <c r="V122" s="37" t="str">
        <f t="shared" si="13"/>
        <v/>
      </c>
      <c r="W122" s="39"/>
      <c r="X122" s="37" t="str">
        <f>IF($A122="","",IFERROR(VALUE(IF('Start Here'!$C$13="",$A122,SUBSTITUTE($A122,'Start Here'!$C$13,""))),""))</f>
        <v/>
      </c>
      <c r="Y122" s="37" t="str">
        <f t="shared" si="14"/>
        <v/>
      </c>
      <c r="Z122" s="37" t="str">
        <f t="shared" ca="1" si="15"/>
        <v/>
      </c>
      <c r="AA122" s="37" t="str">
        <f t="shared" si="16"/>
        <v/>
      </c>
      <c r="AB122" s="37" t="str">
        <f t="shared" ca="1" si="17"/>
        <v/>
      </c>
    </row>
    <row r="123" spans="1:28" ht="16" x14ac:dyDescent="0.2">
      <c r="A123" s="30"/>
      <c r="B123" s="31"/>
      <c r="C123" s="32"/>
      <c r="D123" s="33" t="str">
        <f>IF($B123="","",$B123+IF($C123="",IF('Start Here'!$C$15="",14,'Start Here'!$C$15),$C123))</f>
        <v/>
      </c>
      <c r="E123" s="30"/>
      <c r="F123" s="30"/>
      <c r="G123" s="30"/>
      <c r="H123" s="30"/>
      <c r="I123" s="34" t="str">
        <f>IF($A123="","",ROUND(SUMIF('Line Items'!$A$8:$A$507,$A123,'Line Items'!$H$8:$H$507),2))</f>
        <v/>
      </c>
      <c r="J123" s="35"/>
      <c r="K123" s="34" t="str">
        <f>IF($A123="","",ROUND($I123*IFERROR(IF($J123="",IF('Start Here'!$C$22="",0,'Start Here'!$C$22),$J123),0)/100,2))</f>
        <v/>
      </c>
      <c r="L123" s="34" t="str">
        <f t="shared" si="9"/>
        <v/>
      </c>
      <c r="M123" s="36"/>
      <c r="N123" s="31"/>
      <c r="O123" s="34" t="str">
        <f t="shared" si="10"/>
        <v/>
      </c>
      <c r="P123" s="30"/>
      <c r="Q123" s="37" t="str">
        <f t="shared" ca="1" si="11"/>
        <v/>
      </c>
      <c r="R123" s="38" t="str">
        <f t="shared" ca="1" si="12"/>
        <v/>
      </c>
      <c r="S123" s="37" t="str">
        <f ca="1">IF($A123="","",IF(OR($Q123="Paid",$Q123="Cancelled",$Q123="Draft"),"—",IF($Q123="No lines yet","Add line items",IF($Q123="No date","Add invoice date",IF($D123-TODAY()&gt;7,"—",IF($D123-TODAY()&gt;=1,"Due soon",IF($D123=TODAY(),"Due today",IF(TODAY()-$D123&lt;IF('Start Here'!$C$16="",7,'Start Here'!$C$16),"Just overdue",IF(TODAY()-$D123&lt;IF('Start Here'!$C$17="",21,'Start Here'!$C$17),"First reminder",IF(TODAY()-$D123&lt;IF('Start Here'!$C$18="",45,'Start Here'!$C$18),"Second reminder","Last friendly reminder"))))))))))</f>
        <v/>
      </c>
      <c r="T123" s="31"/>
      <c r="U123" s="30"/>
      <c r="V123" s="37" t="str">
        <f t="shared" si="13"/>
        <v/>
      </c>
      <c r="W123" s="40"/>
      <c r="X123" s="37" t="str">
        <f>IF($A123="","",IFERROR(VALUE(IF('Start Here'!$C$13="",$A123,SUBSTITUTE($A123,'Start Here'!$C$13,""))),""))</f>
        <v/>
      </c>
      <c r="Y123" s="37" t="str">
        <f t="shared" si="14"/>
        <v/>
      </c>
      <c r="Z123" s="37" t="str">
        <f t="shared" ca="1" si="15"/>
        <v/>
      </c>
      <c r="AA123" s="37" t="str">
        <f t="shared" si="16"/>
        <v/>
      </c>
      <c r="AB123" s="37" t="str">
        <f t="shared" ca="1" si="17"/>
        <v/>
      </c>
    </row>
    <row r="124" spans="1:28" ht="16" x14ac:dyDescent="0.2">
      <c r="A124" s="30"/>
      <c r="B124" s="31"/>
      <c r="C124" s="32"/>
      <c r="D124" s="33" t="str">
        <f>IF($B124="","",$B124+IF($C124="",IF('Start Here'!$C$15="",14,'Start Here'!$C$15),$C124))</f>
        <v/>
      </c>
      <c r="E124" s="30"/>
      <c r="F124" s="30"/>
      <c r="G124" s="30"/>
      <c r="H124" s="30"/>
      <c r="I124" s="34" t="str">
        <f>IF($A124="","",ROUND(SUMIF('Line Items'!$A$8:$A$507,$A124,'Line Items'!$H$8:$H$507),2))</f>
        <v/>
      </c>
      <c r="J124" s="35"/>
      <c r="K124" s="34" t="str">
        <f>IF($A124="","",ROUND($I124*IFERROR(IF($J124="",IF('Start Here'!$C$22="",0,'Start Here'!$C$22),$J124),0)/100,2))</f>
        <v/>
      </c>
      <c r="L124" s="34" t="str">
        <f t="shared" si="9"/>
        <v/>
      </c>
      <c r="M124" s="36"/>
      <c r="N124" s="31"/>
      <c r="O124" s="34" t="str">
        <f t="shared" si="10"/>
        <v/>
      </c>
      <c r="P124" s="30"/>
      <c r="Q124" s="37" t="str">
        <f t="shared" ca="1" si="11"/>
        <v/>
      </c>
      <c r="R124" s="38" t="str">
        <f t="shared" ca="1" si="12"/>
        <v/>
      </c>
      <c r="S124" s="37" t="str">
        <f ca="1">IF($A124="","",IF(OR($Q124="Paid",$Q124="Cancelled",$Q124="Draft"),"—",IF($Q124="No lines yet","Add line items",IF($Q124="No date","Add invoice date",IF($D124-TODAY()&gt;7,"—",IF($D124-TODAY()&gt;=1,"Due soon",IF($D124=TODAY(),"Due today",IF(TODAY()-$D124&lt;IF('Start Here'!$C$16="",7,'Start Here'!$C$16),"Just overdue",IF(TODAY()-$D124&lt;IF('Start Here'!$C$17="",21,'Start Here'!$C$17),"First reminder",IF(TODAY()-$D124&lt;IF('Start Here'!$C$18="",45,'Start Here'!$C$18),"Second reminder","Last friendly reminder"))))))))))</f>
        <v/>
      </c>
      <c r="T124" s="31"/>
      <c r="U124" s="30"/>
      <c r="V124" s="37" t="str">
        <f t="shared" si="13"/>
        <v/>
      </c>
      <c r="W124" s="39"/>
      <c r="X124" s="37" t="str">
        <f>IF($A124="","",IFERROR(VALUE(IF('Start Here'!$C$13="",$A124,SUBSTITUTE($A124,'Start Here'!$C$13,""))),""))</f>
        <v/>
      </c>
      <c r="Y124" s="37" t="str">
        <f t="shared" si="14"/>
        <v/>
      </c>
      <c r="Z124" s="37" t="str">
        <f t="shared" ca="1" si="15"/>
        <v/>
      </c>
      <c r="AA124" s="37" t="str">
        <f t="shared" si="16"/>
        <v/>
      </c>
      <c r="AB124" s="37" t="str">
        <f t="shared" ca="1" si="17"/>
        <v/>
      </c>
    </row>
    <row r="125" spans="1:28" ht="16" x14ac:dyDescent="0.2">
      <c r="A125" s="30"/>
      <c r="B125" s="31"/>
      <c r="C125" s="32"/>
      <c r="D125" s="33" t="str">
        <f>IF($B125="","",$B125+IF($C125="",IF('Start Here'!$C$15="",14,'Start Here'!$C$15),$C125))</f>
        <v/>
      </c>
      <c r="E125" s="30"/>
      <c r="F125" s="30"/>
      <c r="G125" s="30"/>
      <c r="H125" s="30"/>
      <c r="I125" s="34" t="str">
        <f>IF($A125="","",ROUND(SUMIF('Line Items'!$A$8:$A$507,$A125,'Line Items'!$H$8:$H$507),2))</f>
        <v/>
      </c>
      <c r="J125" s="35"/>
      <c r="K125" s="34" t="str">
        <f>IF($A125="","",ROUND($I125*IFERROR(IF($J125="",IF('Start Here'!$C$22="",0,'Start Here'!$C$22),$J125),0)/100,2))</f>
        <v/>
      </c>
      <c r="L125" s="34" t="str">
        <f t="shared" si="9"/>
        <v/>
      </c>
      <c r="M125" s="36"/>
      <c r="N125" s="31"/>
      <c r="O125" s="34" t="str">
        <f t="shared" si="10"/>
        <v/>
      </c>
      <c r="P125" s="30"/>
      <c r="Q125" s="37" t="str">
        <f t="shared" ca="1" si="11"/>
        <v/>
      </c>
      <c r="R125" s="38" t="str">
        <f t="shared" ca="1" si="12"/>
        <v/>
      </c>
      <c r="S125" s="37" t="str">
        <f ca="1">IF($A125="","",IF(OR($Q125="Paid",$Q125="Cancelled",$Q125="Draft"),"—",IF($Q125="No lines yet","Add line items",IF($Q125="No date","Add invoice date",IF($D125-TODAY()&gt;7,"—",IF($D125-TODAY()&gt;=1,"Due soon",IF($D125=TODAY(),"Due today",IF(TODAY()-$D125&lt;IF('Start Here'!$C$16="",7,'Start Here'!$C$16),"Just overdue",IF(TODAY()-$D125&lt;IF('Start Here'!$C$17="",21,'Start Here'!$C$17),"First reminder",IF(TODAY()-$D125&lt;IF('Start Here'!$C$18="",45,'Start Here'!$C$18),"Second reminder","Last friendly reminder"))))))))))</f>
        <v/>
      </c>
      <c r="T125" s="31"/>
      <c r="U125" s="30"/>
      <c r="V125" s="37" t="str">
        <f t="shared" si="13"/>
        <v/>
      </c>
      <c r="W125" s="40"/>
      <c r="X125" s="37" t="str">
        <f>IF($A125="","",IFERROR(VALUE(IF('Start Here'!$C$13="",$A125,SUBSTITUTE($A125,'Start Here'!$C$13,""))),""))</f>
        <v/>
      </c>
      <c r="Y125" s="37" t="str">
        <f t="shared" si="14"/>
        <v/>
      </c>
      <c r="Z125" s="37" t="str">
        <f t="shared" ca="1" si="15"/>
        <v/>
      </c>
      <c r="AA125" s="37" t="str">
        <f t="shared" si="16"/>
        <v/>
      </c>
      <c r="AB125" s="37" t="str">
        <f t="shared" ca="1" si="17"/>
        <v/>
      </c>
    </row>
    <row r="126" spans="1:28" ht="16" x14ac:dyDescent="0.2">
      <c r="A126" s="30"/>
      <c r="B126" s="31"/>
      <c r="C126" s="32"/>
      <c r="D126" s="33" t="str">
        <f>IF($B126="","",$B126+IF($C126="",IF('Start Here'!$C$15="",14,'Start Here'!$C$15),$C126))</f>
        <v/>
      </c>
      <c r="E126" s="30"/>
      <c r="F126" s="30"/>
      <c r="G126" s="30"/>
      <c r="H126" s="30"/>
      <c r="I126" s="34" t="str">
        <f>IF($A126="","",ROUND(SUMIF('Line Items'!$A$8:$A$507,$A126,'Line Items'!$H$8:$H$507),2))</f>
        <v/>
      </c>
      <c r="J126" s="35"/>
      <c r="K126" s="34" t="str">
        <f>IF($A126="","",ROUND($I126*IFERROR(IF($J126="",IF('Start Here'!$C$22="",0,'Start Here'!$C$22),$J126),0)/100,2))</f>
        <v/>
      </c>
      <c r="L126" s="34" t="str">
        <f t="shared" si="9"/>
        <v/>
      </c>
      <c r="M126" s="36"/>
      <c r="N126" s="31"/>
      <c r="O126" s="34" t="str">
        <f t="shared" si="10"/>
        <v/>
      </c>
      <c r="P126" s="30"/>
      <c r="Q126" s="37" t="str">
        <f t="shared" ca="1" si="11"/>
        <v/>
      </c>
      <c r="R126" s="38" t="str">
        <f t="shared" ca="1" si="12"/>
        <v/>
      </c>
      <c r="S126" s="37" t="str">
        <f ca="1">IF($A126="","",IF(OR($Q126="Paid",$Q126="Cancelled",$Q126="Draft"),"—",IF($Q126="No lines yet","Add line items",IF($Q126="No date","Add invoice date",IF($D126-TODAY()&gt;7,"—",IF($D126-TODAY()&gt;=1,"Due soon",IF($D126=TODAY(),"Due today",IF(TODAY()-$D126&lt;IF('Start Here'!$C$16="",7,'Start Here'!$C$16),"Just overdue",IF(TODAY()-$D126&lt;IF('Start Here'!$C$17="",21,'Start Here'!$C$17),"First reminder",IF(TODAY()-$D126&lt;IF('Start Here'!$C$18="",45,'Start Here'!$C$18),"Second reminder","Last friendly reminder"))))))))))</f>
        <v/>
      </c>
      <c r="T126" s="31"/>
      <c r="U126" s="30"/>
      <c r="V126" s="37" t="str">
        <f t="shared" si="13"/>
        <v/>
      </c>
      <c r="W126" s="39"/>
      <c r="X126" s="37" t="str">
        <f>IF($A126="","",IFERROR(VALUE(IF('Start Here'!$C$13="",$A126,SUBSTITUTE($A126,'Start Here'!$C$13,""))),""))</f>
        <v/>
      </c>
      <c r="Y126" s="37" t="str">
        <f t="shared" si="14"/>
        <v/>
      </c>
      <c r="Z126" s="37" t="str">
        <f t="shared" ca="1" si="15"/>
        <v/>
      </c>
      <c r="AA126" s="37" t="str">
        <f t="shared" si="16"/>
        <v/>
      </c>
      <c r="AB126" s="37" t="str">
        <f t="shared" ca="1" si="17"/>
        <v/>
      </c>
    </row>
    <row r="127" spans="1:28" ht="16" x14ac:dyDescent="0.2">
      <c r="A127" s="30"/>
      <c r="B127" s="31"/>
      <c r="C127" s="32"/>
      <c r="D127" s="33" t="str">
        <f>IF($B127="","",$B127+IF($C127="",IF('Start Here'!$C$15="",14,'Start Here'!$C$15),$C127))</f>
        <v/>
      </c>
      <c r="E127" s="30"/>
      <c r="F127" s="30"/>
      <c r="G127" s="30"/>
      <c r="H127" s="30"/>
      <c r="I127" s="34" t="str">
        <f>IF($A127="","",ROUND(SUMIF('Line Items'!$A$8:$A$507,$A127,'Line Items'!$H$8:$H$507),2))</f>
        <v/>
      </c>
      <c r="J127" s="35"/>
      <c r="K127" s="34" t="str">
        <f>IF($A127="","",ROUND($I127*IFERROR(IF($J127="",IF('Start Here'!$C$22="",0,'Start Here'!$C$22),$J127),0)/100,2))</f>
        <v/>
      </c>
      <c r="L127" s="34" t="str">
        <f t="shared" si="9"/>
        <v/>
      </c>
      <c r="M127" s="36"/>
      <c r="N127" s="31"/>
      <c r="O127" s="34" t="str">
        <f t="shared" si="10"/>
        <v/>
      </c>
      <c r="P127" s="30"/>
      <c r="Q127" s="37" t="str">
        <f t="shared" ca="1" si="11"/>
        <v/>
      </c>
      <c r="R127" s="38" t="str">
        <f t="shared" ca="1" si="12"/>
        <v/>
      </c>
      <c r="S127" s="37" t="str">
        <f ca="1">IF($A127="","",IF(OR($Q127="Paid",$Q127="Cancelled",$Q127="Draft"),"—",IF($Q127="No lines yet","Add line items",IF($Q127="No date","Add invoice date",IF($D127-TODAY()&gt;7,"—",IF($D127-TODAY()&gt;=1,"Due soon",IF($D127=TODAY(),"Due today",IF(TODAY()-$D127&lt;IF('Start Here'!$C$16="",7,'Start Here'!$C$16),"Just overdue",IF(TODAY()-$D127&lt;IF('Start Here'!$C$17="",21,'Start Here'!$C$17),"First reminder",IF(TODAY()-$D127&lt;IF('Start Here'!$C$18="",45,'Start Here'!$C$18),"Second reminder","Last friendly reminder"))))))))))</f>
        <v/>
      </c>
      <c r="T127" s="31"/>
      <c r="U127" s="30"/>
      <c r="V127" s="37" t="str">
        <f t="shared" si="13"/>
        <v/>
      </c>
      <c r="W127" s="40"/>
      <c r="X127" s="37" t="str">
        <f>IF($A127="","",IFERROR(VALUE(IF('Start Here'!$C$13="",$A127,SUBSTITUTE($A127,'Start Here'!$C$13,""))),""))</f>
        <v/>
      </c>
      <c r="Y127" s="37" t="str">
        <f t="shared" si="14"/>
        <v/>
      </c>
      <c r="Z127" s="37" t="str">
        <f t="shared" ca="1" si="15"/>
        <v/>
      </c>
      <c r="AA127" s="37" t="str">
        <f t="shared" si="16"/>
        <v/>
      </c>
      <c r="AB127" s="37" t="str">
        <f t="shared" ca="1" si="17"/>
        <v/>
      </c>
    </row>
    <row r="128" spans="1:28" ht="16" x14ac:dyDescent="0.2">
      <c r="A128" s="30"/>
      <c r="B128" s="31"/>
      <c r="C128" s="32"/>
      <c r="D128" s="33" t="str">
        <f>IF($B128="","",$B128+IF($C128="",IF('Start Here'!$C$15="",14,'Start Here'!$C$15),$C128))</f>
        <v/>
      </c>
      <c r="E128" s="30"/>
      <c r="F128" s="30"/>
      <c r="G128" s="30"/>
      <c r="H128" s="30"/>
      <c r="I128" s="34" t="str">
        <f>IF($A128="","",ROUND(SUMIF('Line Items'!$A$8:$A$507,$A128,'Line Items'!$H$8:$H$507),2))</f>
        <v/>
      </c>
      <c r="J128" s="35"/>
      <c r="K128" s="34" t="str">
        <f>IF($A128="","",ROUND($I128*IFERROR(IF($J128="",IF('Start Here'!$C$22="",0,'Start Here'!$C$22),$J128),0)/100,2))</f>
        <v/>
      </c>
      <c r="L128" s="34" t="str">
        <f t="shared" si="9"/>
        <v/>
      </c>
      <c r="M128" s="36"/>
      <c r="N128" s="31"/>
      <c r="O128" s="34" t="str">
        <f t="shared" si="10"/>
        <v/>
      </c>
      <c r="P128" s="30"/>
      <c r="Q128" s="37" t="str">
        <f t="shared" ca="1" si="11"/>
        <v/>
      </c>
      <c r="R128" s="38" t="str">
        <f t="shared" ca="1" si="12"/>
        <v/>
      </c>
      <c r="S128" s="37" t="str">
        <f ca="1">IF($A128="","",IF(OR($Q128="Paid",$Q128="Cancelled",$Q128="Draft"),"—",IF($Q128="No lines yet","Add line items",IF($Q128="No date","Add invoice date",IF($D128-TODAY()&gt;7,"—",IF($D128-TODAY()&gt;=1,"Due soon",IF($D128=TODAY(),"Due today",IF(TODAY()-$D128&lt;IF('Start Here'!$C$16="",7,'Start Here'!$C$16),"Just overdue",IF(TODAY()-$D128&lt;IF('Start Here'!$C$17="",21,'Start Here'!$C$17),"First reminder",IF(TODAY()-$D128&lt;IF('Start Here'!$C$18="",45,'Start Here'!$C$18),"Second reminder","Last friendly reminder"))))))))))</f>
        <v/>
      </c>
      <c r="T128" s="31"/>
      <c r="U128" s="30"/>
      <c r="V128" s="37" t="str">
        <f t="shared" si="13"/>
        <v/>
      </c>
      <c r="W128" s="39"/>
      <c r="X128" s="37" t="str">
        <f>IF($A128="","",IFERROR(VALUE(IF('Start Here'!$C$13="",$A128,SUBSTITUTE($A128,'Start Here'!$C$13,""))),""))</f>
        <v/>
      </c>
      <c r="Y128" s="37" t="str">
        <f t="shared" si="14"/>
        <v/>
      </c>
      <c r="Z128" s="37" t="str">
        <f t="shared" ca="1" si="15"/>
        <v/>
      </c>
      <c r="AA128" s="37" t="str">
        <f t="shared" si="16"/>
        <v/>
      </c>
      <c r="AB128" s="37" t="str">
        <f t="shared" ca="1" si="17"/>
        <v/>
      </c>
    </row>
    <row r="129" spans="1:28" ht="16" x14ac:dyDescent="0.2">
      <c r="A129" s="30"/>
      <c r="B129" s="31"/>
      <c r="C129" s="32"/>
      <c r="D129" s="33" t="str">
        <f>IF($B129="","",$B129+IF($C129="",IF('Start Here'!$C$15="",14,'Start Here'!$C$15),$C129))</f>
        <v/>
      </c>
      <c r="E129" s="30"/>
      <c r="F129" s="30"/>
      <c r="G129" s="30"/>
      <c r="H129" s="30"/>
      <c r="I129" s="34" t="str">
        <f>IF($A129="","",ROUND(SUMIF('Line Items'!$A$8:$A$507,$A129,'Line Items'!$H$8:$H$507),2))</f>
        <v/>
      </c>
      <c r="J129" s="35"/>
      <c r="K129" s="34" t="str">
        <f>IF($A129="","",ROUND($I129*IFERROR(IF($J129="",IF('Start Here'!$C$22="",0,'Start Here'!$C$22),$J129),0)/100,2))</f>
        <v/>
      </c>
      <c r="L129" s="34" t="str">
        <f t="shared" si="9"/>
        <v/>
      </c>
      <c r="M129" s="36"/>
      <c r="N129" s="31"/>
      <c r="O129" s="34" t="str">
        <f t="shared" si="10"/>
        <v/>
      </c>
      <c r="P129" s="30"/>
      <c r="Q129" s="37" t="str">
        <f t="shared" ca="1" si="11"/>
        <v/>
      </c>
      <c r="R129" s="38" t="str">
        <f t="shared" ca="1" si="12"/>
        <v/>
      </c>
      <c r="S129" s="37" t="str">
        <f ca="1">IF($A129="","",IF(OR($Q129="Paid",$Q129="Cancelled",$Q129="Draft"),"—",IF($Q129="No lines yet","Add line items",IF($Q129="No date","Add invoice date",IF($D129-TODAY()&gt;7,"—",IF($D129-TODAY()&gt;=1,"Due soon",IF($D129=TODAY(),"Due today",IF(TODAY()-$D129&lt;IF('Start Here'!$C$16="",7,'Start Here'!$C$16),"Just overdue",IF(TODAY()-$D129&lt;IF('Start Here'!$C$17="",21,'Start Here'!$C$17),"First reminder",IF(TODAY()-$D129&lt;IF('Start Here'!$C$18="",45,'Start Here'!$C$18),"Second reminder","Last friendly reminder"))))))))))</f>
        <v/>
      </c>
      <c r="T129" s="31"/>
      <c r="U129" s="30"/>
      <c r="V129" s="37" t="str">
        <f t="shared" si="13"/>
        <v/>
      </c>
      <c r="W129" s="40"/>
      <c r="X129" s="37" t="str">
        <f>IF($A129="","",IFERROR(VALUE(IF('Start Here'!$C$13="",$A129,SUBSTITUTE($A129,'Start Here'!$C$13,""))),""))</f>
        <v/>
      </c>
      <c r="Y129" s="37" t="str">
        <f t="shared" si="14"/>
        <v/>
      </c>
      <c r="Z129" s="37" t="str">
        <f t="shared" ca="1" si="15"/>
        <v/>
      </c>
      <c r="AA129" s="37" t="str">
        <f t="shared" si="16"/>
        <v/>
      </c>
      <c r="AB129" s="37" t="str">
        <f t="shared" ca="1" si="17"/>
        <v/>
      </c>
    </row>
    <row r="130" spans="1:28" ht="16" x14ac:dyDescent="0.2">
      <c r="A130" s="30"/>
      <c r="B130" s="31"/>
      <c r="C130" s="32"/>
      <c r="D130" s="33" t="str">
        <f>IF($B130="","",$B130+IF($C130="",IF('Start Here'!$C$15="",14,'Start Here'!$C$15),$C130))</f>
        <v/>
      </c>
      <c r="E130" s="30"/>
      <c r="F130" s="30"/>
      <c r="G130" s="30"/>
      <c r="H130" s="30"/>
      <c r="I130" s="34" t="str">
        <f>IF($A130="","",ROUND(SUMIF('Line Items'!$A$8:$A$507,$A130,'Line Items'!$H$8:$H$507),2))</f>
        <v/>
      </c>
      <c r="J130" s="35"/>
      <c r="K130" s="34" t="str">
        <f>IF($A130="","",ROUND($I130*IFERROR(IF($J130="",IF('Start Here'!$C$22="",0,'Start Here'!$C$22),$J130),0)/100,2))</f>
        <v/>
      </c>
      <c r="L130" s="34" t="str">
        <f t="shared" si="9"/>
        <v/>
      </c>
      <c r="M130" s="36"/>
      <c r="N130" s="31"/>
      <c r="O130" s="34" t="str">
        <f t="shared" si="10"/>
        <v/>
      </c>
      <c r="P130" s="30"/>
      <c r="Q130" s="37" t="str">
        <f t="shared" ca="1" si="11"/>
        <v/>
      </c>
      <c r="R130" s="38" t="str">
        <f t="shared" ca="1" si="12"/>
        <v/>
      </c>
      <c r="S130" s="37" t="str">
        <f ca="1">IF($A130="","",IF(OR($Q130="Paid",$Q130="Cancelled",$Q130="Draft"),"—",IF($Q130="No lines yet","Add line items",IF($Q130="No date","Add invoice date",IF($D130-TODAY()&gt;7,"—",IF($D130-TODAY()&gt;=1,"Due soon",IF($D130=TODAY(),"Due today",IF(TODAY()-$D130&lt;IF('Start Here'!$C$16="",7,'Start Here'!$C$16),"Just overdue",IF(TODAY()-$D130&lt;IF('Start Here'!$C$17="",21,'Start Here'!$C$17),"First reminder",IF(TODAY()-$D130&lt;IF('Start Here'!$C$18="",45,'Start Here'!$C$18),"Second reminder","Last friendly reminder"))))))))))</f>
        <v/>
      </c>
      <c r="T130" s="31"/>
      <c r="U130" s="30"/>
      <c r="V130" s="37" t="str">
        <f t="shared" si="13"/>
        <v/>
      </c>
      <c r="W130" s="39"/>
      <c r="X130" s="37" t="str">
        <f>IF($A130="","",IFERROR(VALUE(IF('Start Here'!$C$13="",$A130,SUBSTITUTE($A130,'Start Here'!$C$13,""))),""))</f>
        <v/>
      </c>
      <c r="Y130" s="37" t="str">
        <f t="shared" si="14"/>
        <v/>
      </c>
      <c r="Z130" s="37" t="str">
        <f t="shared" ca="1" si="15"/>
        <v/>
      </c>
      <c r="AA130" s="37" t="str">
        <f t="shared" si="16"/>
        <v/>
      </c>
      <c r="AB130" s="37" t="str">
        <f t="shared" ca="1" si="17"/>
        <v/>
      </c>
    </row>
    <row r="131" spans="1:28" ht="16" x14ac:dyDescent="0.2">
      <c r="A131" s="30"/>
      <c r="B131" s="31"/>
      <c r="C131" s="32"/>
      <c r="D131" s="33" t="str">
        <f>IF($B131="","",$B131+IF($C131="",IF('Start Here'!$C$15="",14,'Start Here'!$C$15),$C131))</f>
        <v/>
      </c>
      <c r="E131" s="30"/>
      <c r="F131" s="30"/>
      <c r="G131" s="30"/>
      <c r="H131" s="30"/>
      <c r="I131" s="34" t="str">
        <f>IF($A131="","",ROUND(SUMIF('Line Items'!$A$8:$A$507,$A131,'Line Items'!$H$8:$H$507),2))</f>
        <v/>
      </c>
      <c r="J131" s="35"/>
      <c r="K131" s="34" t="str">
        <f>IF($A131="","",ROUND($I131*IFERROR(IF($J131="",IF('Start Here'!$C$22="",0,'Start Here'!$C$22),$J131),0)/100,2))</f>
        <v/>
      </c>
      <c r="L131" s="34" t="str">
        <f t="shared" si="9"/>
        <v/>
      </c>
      <c r="M131" s="36"/>
      <c r="N131" s="31"/>
      <c r="O131" s="34" t="str">
        <f t="shared" si="10"/>
        <v/>
      </c>
      <c r="P131" s="30"/>
      <c r="Q131" s="37" t="str">
        <f t="shared" ca="1" si="11"/>
        <v/>
      </c>
      <c r="R131" s="38" t="str">
        <f t="shared" ca="1" si="12"/>
        <v/>
      </c>
      <c r="S131" s="37" t="str">
        <f ca="1">IF($A131="","",IF(OR($Q131="Paid",$Q131="Cancelled",$Q131="Draft"),"—",IF($Q131="No lines yet","Add line items",IF($Q131="No date","Add invoice date",IF($D131-TODAY()&gt;7,"—",IF($D131-TODAY()&gt;=1,"Due soon",IF($D131=TODAY(),"Due today",IF(TODAY()-$D131&lt;IF('Start Here'!$C$16="",7,'Start Here'!$C$16),"Just overdue",IF(TODAY()-$D131&lt;IF('Start Here'!$C$17="",21,'Start Here'!$C$17),"First reminder",IF(TODAY()-$D131&lt;IF('Start Here'!$C$18="",45,'Start Here'!$C$18),"Second reminder","Last friendly reminder"))))))))))</f>
        <v/>
      </c>
      <c r="T131" s="31"/>
      <c r="U131" s="30"/>
      <c r="V131" s="37" t="str">
        <f t="shared" si="13"/>
        <v/>
      </c>
      <c r="W131" s="40"/>
      <c r="X131" s="37" t="str">
        <f>IF($A131="","",IFERROR(VALUE(IF('Start Here'!$C$13="",$A131,SUBSTITUTE($A131,'Start Here'!$C$13,""))),""))</f>
        <v/>
      </c>
      <c r="Y131" s="37" t="str">
        <f t="shared" si="14"/>
        <v/>
      </c>
      <c r="Z131" s="37" t="str">
        <f t="shared" ca="1" si="15"/>
        <v/>
      </c>
      <c r="AA131" s="37" t="str">
        <f t="shared" si="16"/>
        <v/>
      </c>
      <c r="AB131" s="37" t="str">
        <f t="shared" ca="1" si="17"/>
        <v/>
      </c>
    </row>
    <row r="132" spans="1:28" ht="16" x14ac:dyDescent="0.2">
      <c r="A132" s="30"/>
      <c r="B132" s="31"/>
      <c r="C132" s="32"/>
      <c r="D132" s="33" t="str">
        <f>IF($B132="","",$B132+IF($C132="",IF('Start Here'!$C$15="",14,'Start Here'!$C$15),$C132))</f>
        <v/>
      </c>
      <c r="E132" s="30"/>
      <c r="F132" s="30"/>
      <c r="G132" s="30"/>
      <c r="H132" s="30"/>
      <c r="I132" s="34" t="str">
        <f>IF($A132="","",ROUND(SUMIF('Line Items'!$A$8:$A$507,$A132,'Line Items'!$H$8:$H$507),2))</f>
        <v/>
      </c>
      <c r="J132" s="35"/>
      <c r="K132" s="34" t="str">
        <f>IF($A132="","",ROUND($I132*IFERROR(IF($J132="",IF('Start Here'!$C$22="",0,'Start Here'!$C$22),$J132),0)/100,2))</f>
        <v/>
      </c>
      <c r="L132" s="34" t="str">
        <f t="shared" si="9"/>
        <v/>
      </c>
      <c r="M132" s="36"/>
      <c r="N132" s="31"/>
      <c r="O132" s="34" t="str">
        <f t="shared" si="10"/>
        <v/>
      </c>
      <c r="P132" s="30"/>
      <c r="Q132" s="37" t="str">
        <f t="shared" ca="1" si="11"/>
        <v/>
      </c>
      <c r="R132" s="38" t="str">
        <f t="shared" ca="1" si="12"/>
        <v/>
      </c>
      <c r="S132" s="37" t="str">
        <f ca="1">IF($A132="","",IF(OR($Q132="Paid",$Q132="Cancelled",$Q132="Draft"),"—",IF($Q132="No lines yet","Add line items",IF($Q132="No date","Add invoice date",IF($D132-TODAY()&gt;7,"—",IF($D132-TODAY()&gt;=1,"Due soon",IF($D132=TODAY(),"Due today",IF(TODAY()-$D132&lt;IF('Start Here'!$C$16="",7,'Start Here'!$C$16),"Just overdue",IF(TODAY()-$D132&lt;IF('Start Here'!$C$17="",21,'Start Here'!$C$17),"First reminder",IF(TODAY()-$D132&lt;IF('Start Here'!$C$18="",45,'Start Here'!$C$18),"Second reminder","Last friendly reminder"))))))))))</f>
        <v/>
      </c>
      <c r="T132" s="31"/>
      <c r="U132" s="30"/>
      <c r="V132" s="37" t="str">
        <f t="shared" si="13"/>
        <v/>
      </c>
      <c r="W132" s="39"/>
      <c r="X132" s="37" t="str">
        <f>IF($A132="","",IFERROR(VALUE(IF('Start Here'!$C$13="",$A132,SUBSTITUTE($A132,'Start Here'!$C$13,""))),""))</f>
        <v/>
      </c>
      <c r="Y132" s="37" t="str">
        <f t="shared" si="14"/>
        <v/>
      </c>
      <c r="Z132" s="37" t="str">
        <f t="shared" ca="1" si="15"/>
        <v/>
      </c>
      <c r="AA132" s="37" t="str">
        <f t="shared" si="16"/>
        <v/>
      </c>
      <c r="AB132" s="37" t="str">
        <f t="shared" ca="1" si="17"/>
        <v/>
      </c>
    </row>
    <row r="133" spans="1:28" ht="16" x14ac:dyDescent="0.2">
      <c r="A133" s="30"/>
      <c r="B133" s="31"/>
      <c r="C133" s="32"/>
      <c r="D133" s="33" t="str">
        <f>IF($B133="","",$B133+IF($C133="",IF('Start Here'!$C$15="",14,'Start Here'!$C$15),$C133))</f>
        <v/>
      </c>
      <c r="E133" s="30"/>
      <c r="F133" s="30"/>
      <c r="G133" s="30"/>
      <c r="H133" s="30"/>
      <c r="I133" s="34" t="str">
        <f>IF($A133="","",ROUND(SUMIF('Line Items'!$A$8:$A$507,$A133,'Line Items'!$H$8:$H$507),2))</f>
        <v/>
      </c>
      <c r="J133" s="35"/>
      <c r="K133" s="34" t="str">
        <f>IF($A133="","",ROUND($I133*IFERROR(IF($J133="",IF('Start Here'!$C$22="",0,'Start Here'!$C$22),$J133),0)/100,2))</f>
        <v/>
      </c>
      <c r="L133" s="34" t="str">
        <f t="shared" si="9"/>
        <v/>
      </c>
      <c r="M133" s="36"/>
      <c r="N133" s="31"/>
      <c r="O133" s="34" t="str">
        <f t="shared" si="10"/>
        <v/>
      </c>
      <c r="P133" s="30"/>
      <c r="Q133" s="37" t="str">
        <f t="shared" ca="1" si="11"/>
        <v/>
      </c>
      <c r="R133" s="38" t="str">
        <f t="shared" ca="1" si="12"/>
        <v/>
      </c>
      <c r="S133" s="37" t="str">
        <f ca="1">IF($A133="","",IF(OR($Q133="Paid",$Q133="Cancelled",$Q133="Draft"),"—",IF($Q133="No lines yet","Add line items",IF($Q133="No date","Add invoice date",IF($D133-TODAY()&gt;7,"—",IF($D133-TODAY()&gt;=1,"Due soon",IF($D133=TODAY(),"Due today",IF(TODAY()-$D133&lt;IF('Start Here'!$C$16="",7,'Start Here'!$C$16),"Just overdue",IF(TODAY()-$D133&lt;IF('Start Here'!$C$17="",21,'Start Here'!$C$17),"First reminder",IF(TODAY()-$D133&lt;IF('Start Here'!$C$18="",45,'Start Here'!$C$18),"Second reminder","Last friendly reminder"))))))))))</f>
        <v/>
      </c>
      <c r="T133" s="31"/>
      <c r="U133" s="30"/>
      <c r="V133" s="37" t="str">
        <f t="shared" si="13"/>
        <v/>
      </c>
      <c r="W133" s="40"/>
      <c r="X133" s="37" t="str">
        <f>IF($A133="","",IFERROR(VALUE(IF('Start Here'!$C$13="",$A133,SUBSTITUTE($A133,'Start Here'!$C$13,""))),""))</f>
        <v/>
      </c>
      <c r="Y133" s="37" t="str">
        <f t="shared" si="14"/>
        <v/>
      </c>
      <c r="Z133" s="37" t="str">
        <f t="shared" ca="1" si="15"/>
        <v/>
      </c>
      <c r="AA133" s="37" t="str">
        <f t="shared" si="16"/>
        <v/>
      </c>
      <c r="AB133" s="37" t="str">
        <f t="shared" ca="1" si="17"/>
        <v/>
      </c>
    </row>
    <row r="134" spans="1:28" ht="16" x14ac:dyDescent="0.2">
      <c r="A134" s="30"/>
      <c r="B134" s="31"/>
      <c r="C134" s="32"/>
      <c r="D134" s="33" t="str">
        <f>IF($B134="","",$B134+IF($C134="",IF('Start Here'!$C$15="",14,'Start Here'!$C$15),$C134))</f>
        <v/>
      </c>
      <c r="E134" s="30"/>
      <c r="F134" s="30"/>
      <c r="G134" s="30"/>
      <c r="H134" s="30"/>
      <c r="I134" s="34" t="str">
        <f>IF($A134="","",ROUND(SUMIF('Line Items'!$A$8:$A$507,$A134,'Line Items'!$H$8:$H$507),2))</f>
        <v/>
      </c>
      <c r="J134" s="35"/>
      <c r="K134" s="34" t="str">
        <f>IF($A134="","",ROUND($I134*IFERROR(IF($J134="",IF('Start Here'!$C$22="",0,'Start Here'!$C$22),$J134),0)/100,2))</f>
        <v/>
      </c>
      <c r="L134" s="34" t="str">
        <f t="shared" si="9"/>
        <v/>
      </c>
      <c r="M134" s="36"/>
      <c r="N134" s="31"/>
      <c r="O134" s="34" t="str">
        <f t="shared" si="10"/>
        <v/>
      </c>
      <c r="P134" s="30"/>
      <c r="Q134" s="37" t="str">
        <f t="shared" ca="1" si="11"/>
        <v/>
      </c>
      <c r="R134" s="38" t="str">
        <f t="shared" ca="1" si="12"/>
        <v/>
      </c>
      <c r="S134" s="37" t="str">
        <f ca="1">IF($A134="","",IF(OR($Q134="Paid",$Q134="Cancelled",$Q134="Draft"),"—",IF($Q134="No lines yet","Add line items",IF($Q134="No date","Add invoice date",IF($D134-TODAY()&gt;7,"—",IF($D134-TODAY()&gt;=1,"Due soon",IF($D134=TODAY(),"Due today",IF(TODAY()-$D134&lt;IF('Start Here'!$C$16="",7,'Start Here'!$C$16),"Just overdue",IF(TODAY()-$D134&lt;IF('Start Here'!$C$17="",21,'Start Here'!$C$17),"First reminder",IF(TODAY()-$D134&lt;IF('Start Here'!$C$18="",45,'Start Here'!$C$18),"Second reminder","Last friendly reminder"))))))))))</f>
        <v/>
      </c>
      <c r="T134" s="31"/>
      <c r="U134" s="30"/>
      <c r="V134" s="37" t="str">
        <f t="shared" si="13"/>
        <v/>
      </c>
      <c r="W134" s="39"/>
      <c r="X134" s="37" t="str">
        <f>IF($A134="","",IFERROR(VALUE(IF('Start Here'!$C$13="",$A134,SUBSTITUTE($A134,'Start Here'!$C$13,""))),""))</f>
        <v/>
      </c>
      <c r="Y134" s="37" t="str">
        <f t="shared" si="14"/>
        <v/>
      </c>
      <c r="Z134" s="37" t="str">
        <f t="shared" ca="1" si="15"/>
        <v/>
      </c>
      <c r="AA134" s="37" t="str">
        <f t="shared" si="16"/>
        <v/>
      </c>
      <c r="AB134" s="37" t="str">
        <f t="shared" ca="1" si="17"/>
        <v/>
      </c>
    </row>
    <row r="135" spans="1:28" ht="16" x14ac:dyDescent="0.2">
      <c r="A135" s="30"/>
      <c r="B135" s="31"/>
      <c r="C135" s="32"/>
      <c r="D135" s="33" t="str">
        <f>IF($B135="","",$B135+IF($C135="",IF('Start Here'!$C$15="",14,'Start Here'!$C$15),$C135))</f>
        <v/>
      </c>
      <c r="E135" s="30"/>
      <c r="F135" s="30"/>
      <c r="G135" s="30"/>
      <c r="H135" s="30"/>
      <c r="I135" s="34" t="str">
        <f>IF($A135="","",ROUND(SUMIF('Line Items'!$A$8:$A$507,$A135,'Line Items'!$H$8:$H$507),2))</f>
        <v/>
      </c>
      <c r="J135" s="35"/>
      <c r="K135" s="34" t="str">
        <f>IF($A135="","",ROUND($I135*IFERROR(IF($J135="",IF('Start Here'!$C$22="",0,'Start Here'!$C$22),$J135),0)/100,2))</f>
        <v/>
      </c>
      <c r="L135" s="34" t="str">
        <f t="shared" si="9"/>
        <v/>
      </c>
      <c r="M135" s="36"/>
      <c r="N135" s="31"/>
      <c r="O135" s="34" t="str">
        <f t="shared" si="10"/>
        <v/>
      </c>
      <c r="P135" s="30"/>
      <c r="Q135" s="37" t="str">
        <f t="shared" ca="1" si="11"/>
        <v/>
      </c>
      <c r="R135" s="38" t="str">
        <f t="shared" ca="1" si="12"/>
        <v/>
      </c>
      <c r="S135" s="37" t="str">
        <f ca="1">IF($A135="","",IF(OR($Q135="Paid",$Q135="Cancelled",$Q135="Draft"),"—",IF($Q135="No lines yet","Add line items",IF($Q135="No date","Add invoice date",IF($D135-TODAY()&gt;7,"—",IF($D135-TODAY()&gt;=1,"Due soon",IF($D135=TODAY(),"Due today",IF(TODAY()-$D135&lt;IF('Start Here'!$C$16="",7,'Start Here'!$C$16),"Just overdue",IF(TODAY()-$D135&lt;IF('Start Here'!$C$17="",21,'Start Here'!$C$17),"First reminder",IF(TODAY()-$D135&lt;IF('Start Here'!$C$18="",45,'Start Here'!$C$18),"Second reminder","Last friendly reminder"))))))))))</f>
        <v/>
      </c>
      <c r="T135" s="31"/>
      <c r="U135" s="30"/>
      <c r="V135" s="37" t="str">
        <f t="shared" si="13"/>
        <v/>
      </c>
      <c r="W135" s="40"/>
      <c r="X135" s="37" t="str">
        <f>IF($A135="","",IFERROR(VALUE(IF('Start Here'!$C$13="",$A135,SUBSTITUTE($A135,'Start Here'!$C$13,""))),""))</f>
        <v/>
      </c>
      <c r="Y135" s="37" t="str">
        <f t="shared" si="14"/>
        <v/>
      </c>
      <c r="Z135" s="37" t="str">
        <f t="shared" ca="1" si="15"/>
        <v/>
      </c>
      <c r="AA135" s="37" t="str">
        <f t="shared" si="16"/>
        <v/>
      </c>
      <c r="AB135" s="37" t="str">
        <f t="shared" ca="1" si="17"/>
        <v/>
      </c>
    </row>
    <row r="136" spans="1:28" ht="16" x14ac:dyDescent="0.2">
      <c r="A136" s="30"/>
      <c r="B136" s="31"/>
      <c r="C136" s="32"/>
      <c r="D136" s="33" t="str">
        <f>IF($B136="","",$B136+IF($C136="",IF('Start Here'!$C$15="",14,'Start Here'!$C$15),$C136))</f>
        <v/>
      </c>
      <c r="E136" s="30"/>
      <c r="F136" s="30"/>
      <c r="G136" s="30"/>
      <c r="H136" s="30"/>
      <c r="I136" s="34" t="str">
        <f>IF($A136="","",ROUND(SUMIF('Line Items'!$A$8:$A$507,$A136,'Line Items'!$H$8:$H$507),2))</f>
        <v/>
      </c>
      <c r="J136" s="35"/>
      <c r="K136" s="34" t="str">
        <f>IF($A136="","",ROUND($I136*IFERROR(IF($J136="",IF('Start Here'!$C$22="",0,'Start Here'!$C$22),$J136),0)/100,2))</f>
        <v/>
      </c>
      <c r="L136" s="34" t="str">
        <f t="shared" ref="L136:L199" si="18">IF($A136="","",ROUND($I136+$K136,2))</f>
        <v/>
      </c>
      <c r="M136" s="36"/>
      <c r="N136" s="31"/>
      <c r="O136" s="34" t="str">
        <f t="shared" ref="O136:O199" si="19">IF($A136="","",ROUND($L136-IF($M136="",0,$M136),2))</f>
        <v/>
      </c>
      <c r="P136" s="30"/>
      <c r="Q136" s="37" t="str">
        <f t="shared" ref="Q136:Q199" ca="1" si="20">IF($A136="","",IF($P136="Cancelled","Cancelled",IF($P136="Draft","Draft",IF($L136=0,"No lines yet",IF($O136&lt;=0,"Paid",IF($D136="","No date",IF($D136&lt;TODAY(),"Overdue",IF(IF($M136="",0,$M136)&gt;0,"Part-paid","Open"))))))))</f>
        <v/>
      </c>
      <c r="R136" s="38" t="str">
        <f t="shared" ref="R136:R199" ca="1" si="21">IF($A136="","",IF($Q136&lt;&gt;"Overdue","—",TODAY()-$D136))</f>
        <v/>
      </c>
      <c r="S136" s="37" t="str">
        <f ca="1">IF($A136="","",IF(OR($Q136="Paid",$Q136="Cancelled",$Q136="Draft"),"—",IF($Q136="No lines yet","Add line items",IF($Q136="No date","Add invoice date",IF($D136-TODAY()&gt;7,"—",IF($D136-TODAY()&gt;=1,"Due soon",IF($D136=TODAY(),"Due today",IF(TODAY()-$D136&lt;IF('Start Here'!$C$16="",7,'Start Here'!$C$16),"Just overdue",IF(TODAY()-$D136&lt;IF('Start Here'!$C$17="",21,'Start Here'!$C$17),"First reminder",IF(TODAY()-$D136&lt;IF('Start Here'!$C$18="",45,'Start Here'!$C$18),"Second reminder","Last friendly reminder"))))))))))</f>
        <v/>
      </c>
      <c r="T136" s="31"/>
      <c r="U136" s="30"/>
      <c r="V136" s="37" t="str">
        <f t="shared" ref="V136:V199" si="22">IF($A136="","",TRIM(IF(COUNTIF($A$8:$A$257,$A136)&gt;1,"Duplicate no. ","")&amp;IF(ISNUMBER(FIND("*",$A136))+ISNUMBER(FIND("?",$A136))&gt;0,"Avoid * and ? in invoice numbers ","")&amp;IF($E136="","No client ","")&amp;IF($L136=0,"No amount ","")&amp;IF(AND($Q136="Overdue",$F136=""),"No client email ","")))</f>
        <v/>
      </c>
      <c r="W136" s="39"/>
      <c r="X136" s="37" t="str">
        <f>IF($A136="","",IFERROR(VALUE(IF('Start Here'!$C$13="",$A136,SUBSTITUTE($A136,'Start Here'!$C$13,""))),""))</f>
        <v/>
      </c>
      <c r="Y136" s="37" t="str">
        <f t="shared" ref="Y136:Y199" si="23">IF(AND($E136&lt;&gt;"",$G136&lt;&gt;""),$E136,"")</f>
        <v/>
      </c>
      <c r="Z136" s="37" t="str">
        <f t="shared" ref="Z136:Z199" ca="1" si="24">IF($A136="","",IF($Q136&lt;&gt;"Overdue","",(TODAY()-$D136)+ROW()/100000))</f>
        <v/>
      </c>
      <c r="AA136" s="37" t="str">
        <f t="shared" ref="AA136:AA199" si="25">IF($A136="","",IF(AND($Q136="Paid",ISNUMBER($N136),ISNUMBER($B136)),$N136-$B136,""))</f>
        <v/>
      </c>
      <c r="AB136" s="37" t="str">
        <f t="shared" ref="AB136:AB199" ca="1" si="26">IF($A136="","",IF(OR($Q136="Paid",$Q136="Draft",$Q136="Cancelled",$Q136="No lines yet",$Q136="No date"),"",IF($Q136&lt;&gt;"Overdue","Not due",IF(TODAY()-$D136&lt;=14,"1-14",IF(TODAY()-$D136&lt;=30,"15-30",IF(TODAY()-$D136&lt;=60,"31-60","61+"))))))</f>
        <v/>
      </c>
    </row>
    <row r="137" spans="1:28" ht="16" x14ac:dyDescent="0.2">
      <c r="A137" s="30"/>
      <c r="B137" s="31"/>
      <c r="C137" s="32"/>
      <c r="D137" s="33" t="str">
        <f>IF($B137="","",$B137+IF($C137="",IF('Start Here'!$C$15="",14,'Start Here'!$C$15),$C137))</f>
        <v/>
      </c>
      <c r="E137" s="30"/>
      <c r="F137" s="30"/>
      <c r="G137" s="30"/>
      <c r="H137" s="30"/>
      <c r="I137" s="34" t="str">
        <f>IF($A137="","",ROUND(SUMIF('Line Items'!$A$8:$A$507,$A137,'Line Items'!$H$8:$H$507),2))</f>
        <v/>
      </c>
      <c r="J137" s="35"/>
      <c r="K137" s="34" t="str">
        <f>IF($A137="","",ROUND($I137*IFERROR(IF($J137="",IF('Start Here'!$C$22="",0,'Start Here'!$C$22),$J137),0)/100,2))</f>
        <v/>
      </c>
      <c r="L137" s="34" t="str">
        <f t="shared" si="18"/>
        <v/>
      </c>
      <c r="M137" s="36"/>
      <c r="N137" s="31"/>
      <c r="O137" s="34" t="str">
        <f t="shared" si="19"/>
        <v/>
      </c>
      <c r="P137" s="30"/>
      <c r="Q137" s="37" t="str">
        <f t="shared" ca="1" si="20"/>
        <v/>
      </c>
      <c r="R137" s="38" t="str">
        <f t="shared" ca="1" si="21"/>
        <v/>
      </c>
      <c r="S137" s="37" t="str">
        <f ca="1">IF($A137="","",IF(OR($Q137="Paid",$Q137="Cancelled",$Q137="Draft"),"—",IF($Q137="No lines yet","Add line items",IF($Q137="No date","Add invoice date",IF($D137-TODAY()&gt;7,"—",IF($D137-TODAY()&gt;=1,"Due soon",IF($D137=TODAY(),"Due today",IF(TODAY()-$D137&lt;IF('Start Here'!$C$16="",7,'Start Here'!$C$16),"Just overdue",IF(TODAY()-$D137&lt;IF('Start Here'!$C$17="",21,'Start Here'!$C$17),"First reminder",IF(TODAY()-$D137&lt;IF('Start Here'!$C$18="",45,'Start Here'!$C$18),"Second reminder","Last friendly reminder"))))))))))</f>
        <v/>
      </c>
      <c r="T137" s="31"/>
      <c r="U137" s="30"/>
      <c r="V137" s="37" t="str">
        <f t="shared" si="22"/>
        <v/>
      </c>
      <c r="W137" s="40"/>
      <c r="X137" s="37" t="str">
        <f>IF($A137="","",IFERROR(VALUE(IF('Start Here'!$C$13="",$A137,SUBSTITUTE($A137,'Start Here'!$C$13,""))),""))</f>
        <v/>
      </c>
      <c r="Y137" s="37" t="str">
        <f t="shared" si="23"/>
        <v/>
      </c>
      <c r="Z137" s="37" t="str">
        <f t="shared" ca="1" si="24"/>
        <v/>
      </c>
      <c r="AA137" s="37" t="str">
        <f t="shared" si="25"/>
        <v/>
      </c>
      <c r="AB137" s="37" t="str">
        <f t="shared" ca="1" si="26"/>
        <v/>
      </c>
    </row>
    <row r="138" spans="1:28" ht="16" x14ac:dyDescent="0.2">
      <c r="A138" s="30"/>
      <c r="B138" s="31"/>
      <c r="C138" s="32"/>
      <c r="D138" s="33" t="str">
        <f>IF($B138="","",$B138+IF($C138="",IF('Start Here'!$C$15="",14,'Start Here'!$C$15),$C138))</f>
        <v/>
      </c>
      <c r="E138" s="30"/>
      <c r="F138" s="30"/>
      <c r="G138" s="30"/>
      <c r="H138" s="30"/>
      <c r="I138" s="34" t="str">
        <f>IF($A138="","",ROUND(SUMIF('Line Items'!$A$8:$A$507,$A138,'Line Items'!$H$8:$H$507),2))</f>
        <v/>
      </c>
      <c r="J138" s="35"/>
      <c r="K138" s="34" t="str">
        <f>IF($A138="","",ROUND($I138*IFERROR(IF($J138="",IF('Start Here'!$C$22="",0,'Start Here'!$C$22),$J138),0)/100,2))</f>
        <v/>
      </c>
      <c r="L138" s="34" t="str">
        <f t="shared" si="18"/>
        <v/>
      </c>
      <c r="M138" s="36"/>
      <c r="N138" s="31"/>
      <c r="O138" s="34" t="str">
        <f t="shared" si="19"/>
        <v/>
      </c>
      <c r="P138" s="30"/>
      <c r="Q138" s="37" t="str">
        <f t="shared" ca="1" si="20"/>
        <v/>
      </c>
      <c r="R138" s="38" t="str">
        <f t="shared" ca="1" si="21"/>
        <v/>
      </c>
      <c r="S138" s="37" t="str">
        <f ca="1">IF($A138="","",IF(OR($Q138="Paid",$Q138="Cancelled",$Q138="Draft"),"—",IF($Q138="No lines yet","Add line items",IF($Q138="No date","Add invoice date",IF($D138-TODAY()&gt;7,"—",IF($D138-TODAY()&gt;=1,"Due soon",IF($D138=TODAY(),"Due today",IF(TODAY()-$D138&lt;IF('Start Here'!$C$16="",7,'Start Here'!$C$16),"Just overdue",IF(TODAY()-$D138&lt;IF('Start Here'!$C$17="",21,'Start Here'!$C$17),"First reminder",IF(TODAY()-$D138&lt;IF('Start Here'!$C$18="",45,'Start Here'!$C$18),"Second reminder","Last friendly reminder"))))))))))</f>
        <v/>
      </c>
      <c r="T138" s="31"/>
      <c r="U138" s="30"/>
      <c r="V138" s="37" t="str">
        <f t="shared" si="22"/>
        <v/>
      </c>
      <c r="W138" s="39"/>
      <c r="X138" s="37" t="str">
        <f>IF($A138="","",IFERROR(VALUE(IF('Start Here'!$C$13="",$A138,SUBSTITUTE($A138,'Start Here'!$C$13,""))),""))</f>
        <v/>
      </c>
      <c r="Y138" s="37" t="str">
        <f t="shared" si="23"/>
        <v/>
      </c>
      <c r="Z138" s="37" t="str">
        <f t="shared" ca="1" si="24"/>
        <v/>
      </c>
      <c r="AA138" s="37" t="str">
        <f t="shared" si="25"/>
        <v/>
      </c>
      <c r="AB138" s="37" t="str">
        <f t="shared" ca="1" si="26"/>
        <v/>
      </c>
    </row>
    <row r="139" spans="1:28" ht="16" x14ac:dyDescent="0.2">
      <c r="A139" s="30"/>
      <c r="B139" s="31"/>
      <c r="C139" s="32"/>
      <c r="D139" s="33" t="str">
        <f>IF($B139="","",$B139+IF($C139="",IF('Start Here'!$C$15="",14,'Start Here'!$C$15),$C139))</f>
        <v/>
      </c>
      <c r="E139" s="30"/>
      <c r="F139" s="30"/>
      <c r="G139" s="30"/>
      <c r="H139" s="30"/>
      <c r="I139" s="34" t="str">
        <f>IF($A139="","",ROUND(SUMIF('Line Items'!$A$8:$A$507,$A139,'Line Items'!$H$8:$H$507),2))</f>
        <v/>
      </c>
      <c r="J139" s="35"/>
      <c r="K139" s="34" t="str">
        <f>IF($A139="","",ROUND($I139*IFERROR(IF($J139="",IF('Start Here'!$C$22="",0,'Start Here'!$C$22),$J139),0)/100,2))</f>
        <v/>
      </c>
      <c r="L139" s="34" t="str">
        <f t="shared" si="18"/>
        <v/>
      </c>
      <c r="M139" s="36"/>
      <c r="N139" s="31"/>
      <c r="O139" s="34" t="str">
        <f t="shared" si="19"/>
        <v/>
      </c>
      <c r="P139" s="30"/>
      <c r="Q139" s="37" t="str">
        <f t="shared" ca="1" si="20"/>
        <v/>
      </c>
      <c r="R139" s="38" t="str">
        <f t="shared" ca="1" si="21"/>
        <v/>
      </c>
      <c r="S139" s="37" t="str">
        <f ca="1">IF($A139="","",IF(OR($Q139="Paid",$Q139="Cancelled",$Q139="Draft"),"—",IF($Q139="No lines yet","Add line items",IF($Q139="No date","Add invoice date",IF($D139-TODAY()&gt;7,"—",IF($D139-TODAY()&gt;=1,"Due soon",IF($D139=TODAY(),"Due today",IF(TODAY()-$D139&lt;IF('Start Here'!$C$16="",7,'Start Here'!$C$16),"Just overdue",IF(TODAY()-$D139&lt;IF('Start Here'!$C$17="",21,'Start Here'!$C$17),"First reminder",IF(TODAY()-$D139&lt;IF('Start Here'!$C$18="",45,'Start Here'!$C$18),"Second reminder","Last friendly reminder"))))))))))</f>
        <v/>
      </c>
      <c r="T139" s="31"/>
      <c r="U139" s="30"/>
      <c r="V139" s="37" t="str">
        <f t="shared" si="22"/>
        <v/>
      </c>
      <c r="W139" s="40"/>
      <c r="X139" s="37" t="str">
        <f>IF($A139="","",IFERROR(VALUE(IF('Start Here'!$C$13="",$A139,SUBSTITUTE($A139,'Start Here'!$C$13,""))),""))</f>
        <v/>
      </c>
      <c r="Y139" s="37" t="str">
        <f t="shared" si="23"/>
        <v/>
      </c>
      <c r="Z139" s="37" t="str">
        <f t="shared" ca="1" si="24"/>
        <v/>
      </c>
      <c r="AA139" s="37" t="str">
        <f t="shared" si="25"/>
        <v/>
      </c>
      <c r="AB139" s="37" t="str">
        <f t="shared" ca="1" si="26"/>
        <v/>
      </c>
    </row>
    <row r="140" spans="1:28" ht="16" x14ac:dyDescent="0.2">
      <c r="A140" s="30"/>
      <c r="B140" s="31"/>
      <c r="C140" s="32"/>
      <c r="D140" s="33" t="str">
        <f>IF($B140="","",$B140+IF($C140="",IF('Start Here'!$C$15="",14,'Start Here'!$C$15),$C140))</f>
        <v/>
      </c>
      <c r="E140" s="30"/>
      <c r="F140" s="30"/>
      <c r="G140" s="30"/>
      <c r="H140" s="30"/>
      <c r="I140" s="34" t="str">
        <f>IF($A140="","",ROUND(SUMIF('Line Items'!$A$8:$A$507,$A140,'Line Items'!$H$8:$H$507),2))</f>
        <v/>
      </c>
      <c r="J140" s="35"/>
      <c r="K140" s="34" t="str">
        <f>IF($A140="","",ROUND($I140*IFERROR(IF($J140="",IF('Start Here'!$C$22="",0,'Start Here'!$C$22),$J140),0)/100,2))</f>
        <v/>
      </c>
      <c r="L140" s="34" t="str">
        <f t="shared" si="18"/>
        <v/>
      </c>
      <c r="M140" s="36"/>
      <c r="N140" s="31"/>
      <c r="O140" s="34" t="str">
        <f t="shared" si="19"/>
        <v/>
      </c>
      <c r="P140" s="30"/>
      <c r="Q140" s="37" t="str">
        <f t="shared" ca="1" si="20"/>
        <v/>
      </c>
      <c r="R140" s="38" t="str">
        <f t="shared" ca="1" si="21"/>
        <v/>
      </c>
      <c r="S140" s="37" t="str">
        <f ca="1">IF($A140="","",IF(OR($Q140="Paid",$Q140="Cancelled",$Q140="Draft"),"—",IF($Q140="No lines yet","Add line items",IF($Q140="No date","Add invoice date",IF($D140-TODAY()&gt;7,"—",IF($D140-TODAY()&gt;=1,"Due soon",IF($D140=TODAY(),"Due today",IF(TODAY()-$D140&lt;IF('Start Here'!$C$16="",7,'Start Here'!$C$16),"Just overdue",IF(TODAY()-$D140&lt;IF('Start Here'!$C$17="",21,'Start Here'!$C$17),"First reminder",IF(TODAY()-$D140&lt;IF('Start Here'!$C$18="",45,'Start Here'!$C$18),"Second reminder","Last friendly reminder"))))))))))</f>
        <v/>
      </c>
      <c r="T140" s="31"/>
      <c r="U140" s="30"/>
      <c r="V140" s="37" t="str">
        <f t="shared" si="22"/>
        <v/>
      </c>
      <c r="W140" s="39"/>
      <c r="X140" s="37" t="str">
        <f>IF($A140="","",IFERROR(VALUE(IF('Start Here'!$C$13="",$A140,SUBSTITUTE($A140,'Start Here'!$C$13,""))),""))</f>
        <v/>
      </c>
      <c r="Y140" s="37" t="str">
        <f t="shared" si="23"/>
        <v/>
      </c>
      <c r="Z140" s="37" t="str">
        <f t="shared" ca="1" si="24"/>
        <v/>
      </c>
      <c r="AA140" s="37" t="str">
        <f t="shared" si="25"/>
        <v/>
      </c>
      <c r="AB140" s="37" t="str">
        <f t="shared" ca="1" si="26"/>
        <v/>
      </c>
    </row>
    <row r="141" spans="1:28" ht="16" x14ac:dyDescent="0.2">
      <c r="A141" s="30"/>
      <c r="B141" s="31"/>
      <c r="C141" s="32"/>
      <c r="D141" s="33" t="str">
        <f>IF($B141="","",$B141+IF($C141="",IF('Start Here'!$C$15="",14,'Start Here'!$C$15),$C141))</f>
        <v/>
      </c>
      <c r="E141" s="30"/>
      <c r="F141" s="30"/>
      <c r="G141" s="30"/>
      <c r="H141" s="30"/>
      <c r="I141" s="34" t="str">
        <f>IF($A141="","",ROUND(SUMIF('Line Items'!$A$8:$A$507,$A141,'Line Items'!$H$8:$H$507),2))</f>
        <v/>
      </c>
      <c r="J141" s="35"/>
      <c r="K141" s="34" t="str">
        <f>IF($A141="","",ROUND($I141*IFERROR(IF($J141="",IF('Start Here'!$C$22="",0,'Start Here'!$C$22),$J141),0)/100,2))</f>
        <v/>
      </c>
      <c r="L141" s="34" t="str">
        <f t="shared" si="18"/>
        <v/>
      </c>
      <c r="M141" s="36"/>
      <c r="N141" s="31"/>
      <c r="O141" s="34" t="str">
        <f t="shared" si="19"/>
        <v/>
      </c>
      <c r="P141" s="30"/>
      <c r="Q141" s="37" t="str">
        <f t="shared" ca="1" si="20"/>
        <v/>
      </c>
      <c r="R141" s="38" t="str">
        <f t="shared" ca="1" si="21"/>
        <v/>
      </c>
      <c r="S141" s="37" t="str">
        <f ca="1">IF($A141="","",IF(OR($Q141="Paid",$Q141="Cancelled",$Q141="Draft"),"—",IF($Q141="No lines yet","Add line items",IF($Q141="No date","Add invoice date",IF($D141-TODAY()&gt;7,"—",IF($D141-TODAY()&gt;=1,"Due soon",IF($D141=TODAY(),"Due today",IF(TODAY()-$D141&lt;IF('Start Here'!$C$16="",7,'Start Here'!$C$16),"Just overdue",IF(TODAY()-$D141&lt;IF('Start Here'!$C$17="",21,'Start Here'!$C$17),"First reminder",IF(TODAY()-$D141&lt;IF('Start Here'!$C$18="",45,'Start Here'!$C$18),"Second reminder","Last friendly reminder"))))))))))</f>
        <v/>
      </c>
      <c r="T141" s="31"/>
      <c r="U141" s="30"/>
      <c r="V141" s="37" t="str">
        <f t="shared" si="22"/>
        <v/>
      </c>
      <c r="W141" s="40"/>
      <c r="X141" s="37" t="str">
        <f>IF($A141="","",IFERROR(VALUE(IF('Start Here'!$C$13="",$A141,SUBSTITUTE($A141,'Start Here'!$C$13,""))),""))</f>
        <v/>
      </c>
      <c r="Y141" s="37" t="str">
        <f t="shared" si="23"/>
        <v/>
      </c>
      <c r="Z141" s="37" t="str">
        <f t="shared" ca="1" si="24"/>
        <v/>
      </c>
      <c r="AA141" s="37" t="str">
        <f t="shared" si="25"/>
        <v/>
      </c>
      <c r="AB141" s="37" t="str">
        <f t="shared" ca="1" si="26"/>
        <v/>
      </c>
    </row>
    <row r="142" spans="1:28" ht="16" x14ac:dyDescent="0.2">
      <c r="A142" s="30"/>
      <c r="B142" s="31"/>
      <c r="C142" s="32"/>
      <c r="D142" s="33" t="str">
        <f>IF($B142="","",$B142+IF($C142="",IF('Start Here'!$C$15="",14,'Start Here'!$C$15),$C142))</f>
        <v/>
      </c>
      <c r="E142" s="30"/>
      <c r="F142" s="30"/>
      <c r="G142" s="30"/>
      <c r="H142" s="30"/>
      <c r="I142" s="34" t="str">
        <f>IF($A142="","",ROUND(SUMIF('Line Items'!$A$8:$A$507,$A142,'Line Items'!$H$8:$H$507),2))</f>
        <v/>
      </c>
      <c r="J142" s="35"/>
      <c r="K142" s="34" t="str">
        <f>IF($A142="","",ROUND($I142*IFERROR(IF($J142="",IF('Start Here'!$C$22="",0,'Start Here'!$C$22),$J142),0)/100,2))</f>
        <v/>
      </c>
      <c r="L142" s="34" t="str">
        <f t="shared" si="18"/>
        <v/>
      </c>
      <c r="M142" s="36"/>
      <c r="N142" s="31"/>
      <c r="O142" s="34" t="str">
        <f t="shared" si="19"/>
        <v/>
      </c>
      <c r="P142" s="30"/>
      <c r="Q142" s="37" t="str">
        <f t="shared" ca="1" si="20"/>
        <v/>
      </c>
      <c r="R142" s="38" t="str">
        <f t="shared" ca="1" si="21"/>
        <v/>
      </c>
      <c r="S142" s="37" t="str">
        <f ca="1">IF($A142="","",IF(OR($Q142="Paid",$Q142="Cancelled",$Q142="Draft"),"—",IF($Q142="No lines yet","Add line items",IF($Q142="No date","Add invoice date",IF($D142-TODAY()&gt;7,"—",IF($D142-TODAY()&gt;=1,"Due soon",IF($D142=TODAY(),"Due today",IF(TODAY()-$D142&lt;IF('Start Here'!$C$16="",7,'Start Here'!$C$16),"Just overdue",IF(TODAY()-$D142&lt;IF('Start Here'!$C$17="",21,'Start Here'!$C$17),"First reminder",IF(TODAY()-$D142&lt;IF('Start Here'!$C$18="",45,'Start Here'!$C$18),"Second reminder","Last friendly reminder"))))))))))</f>
        <v/>
      </c>
      <c r="T142" s="31"/>
      <c r="U142" s="30"/>
      <c r="V142" s="37" t="str">
        <f t="shared" si="22"/>
        <v/>
      </c>
      <c r="W142" s="39"/>
      <c r="X142" s="37" t="str">
        <f>IF($A142="","",IFERROR(VALUE(IF('Start Here'!$C$13="",$A142,SUBSTITUTE($A142,'Start Here'!$C$13,""))),""))</f>
        <v/>
      </c>
      <c r="Y142" s="37" t="str">
        <f t="shared" si="23"/>
        <v/>
      </c>
      <c r="Z142" s="37" t="str">
        <f t="shared" ca="1" si="24"/>
        <v/>
      </c>
      <c r="AA142" s="37" t="str">
        <f t="shared" si="25"/>
        <v/>
      </c>
      <c r="AB142" s="37" t="str">
        <f t="shared" ca="1" si="26"/>
        <v/>
      </c>
    </row>
    <row r="143" spans="1:28" ht="16" x14ac:dyDescent="0.2">
      <c r="A143" s="30"/>
      <c r="B143" s="31"/>
      <c r="C143" s="32"/>
      <c r="D143" s="33" t="str">
        <f>IF($B143="","",$B143+IF($C143="",IF('Start Here'!$C$15="",14,'Start Here'!$C$15),$C143))</f>
        <v/>
      </c>
      <c r="E143" s="30"/>
      <c r="F143" s="30"/>
      <c r="G143" s="30"/>
      <c r="H143" s="30"/>
      <c r="I143" s="34" t="str">
        <f>IF($A143="","",ROUND(SUMIF('Line Items'!$A$8:$A$507,$A143,'Line Items'!$H$8:$H$507),2))</f>
        <v/>
      </c>
      <c r="J143" s="35"/>
      <c r="K143" s="34" t="str">
        <f>IF($A143="","",ROUND($I143*IFERROR(IF($J143="",IF('Start Here'!$C$22="",0,'Start Here'!$C$22),$J143),0)/100,2))</f>
        <v/>
      </c>
      <c r="L143" s="34" t="str">
        <f t="shared" si="18"/>
        <v/>
      </c>
      <c r="M143" s="36"/>
      <c r="N143" s="31"/>
      <c r="O143" s="34" t="str">
        <f t="shared" si="19"/>
        <v/>
      </c>
      <c r="P143" s="30"/>
      <c r="Q143" s="37" t="str">
        <f t="shared" ca="1" si="20"/>
        <v/>
      </c>
      <c r="R143" s="38" t="str">
        <f t="shared" ca="1" si="21"/>
        <v/>
      </c>
      <c r="S143" s="37" t="str">
        <f ca="1">IF($A143="","",IF(OR($Q143="Paid",$Q143="Cancelled",$Q143="Draft"),"—",IF($Q143="No lines yet","Add line items",IF($Q143="No date","Add invoice date",IF($D143-TODAY()&gt;7,"—",IF($D143-TODAY()&gt;=1,"Due soon",IF($D143=TODAY(),"Due today",IF(TODAY()-$D143&lt;IF('Start Here'!$C$16="",7,'Start Here'!$C$16),"Just overdue",IF(TODAY()-$D143&lt;IF('Start Here'!$C$17="",21,'Start Here'!$C$17),"First reminder",IF(TODAY()-$D143&lt;IF('Start Here'!$C$18="",45,'Start Here'!$C$18),"Second reminder","Last friendly reminder"))))))))))</f>
        <v/>
      </c>
      <c r="T143" s="31"/>
      <c r="U143" s="30"/>
      <c r="V143" s="37" t="str">
        <f t="shared" si="22"/>
        <v/>
      </c>
      <c r="W143" s="40"/>
      <c r="X143" s="37" t="str">
        <f>IF($A143="","",IFERROR(VALUE(IF('Start Here'!$C$13="",$A143,SUBSTITUTE($A143,'Start Here'!$C$13,""))),""))</f>
        <v/>
      </c>
      <c r="Y143" s="37" t="str">
        <f t="shared" si="23"/>
        <v/>
      </c>
      <c r="Z143" s="37" t="str">
        <f t="shared" ca="1" si="24"/>
        <v/>
      </c>
      <c r="AA143" s="37" t="str">
        <f t="shared" si="25"/>
        <v/>
      </c>
      <c r="AB143" s="37" t="str">
        <f t="shared" ca="1" si="26"/>
        <v/>
      </c>
    </row>
    <row r="144" spans="1:28" ht="16" x14ac:dyDescent="0.2">
      <c r="A144" s="30"/>
      <c r="B144" s="31"/>
      <c r="C144" s="32"/>
      <c r="D144" s="33" t="str">
        <f>IF($B144="","",$B144+IF($C144="",IF('Start Here'!$C$15="",14,'Start Here'!$C$15),$C144))</f>
        <v/>
      </c>
      <c r="E144" s="30"/>
      <c r="F144" s="30"/>
      <c r="G144" s="30"/>
      <c r="H144" s="30"/>
      <c r="I144" s="34" t="str">
        <f>IF($A144="","",ROUND(SUMIF('Line Items'!$A$8:$A$507,$A144,'Line Items'!$H$8:$H$507),2))</f>
        <v/>
      </c>
      <c r="J144" s="35"/>
      <c r="K144" s="34" t="str">
        <f>IF($A144="","",ROUND($I144*IFERROR(IF($J144="",IF('Start Here'!$C$22="",0,'Start Here'!$C$22),$J144),0)/100,2))</f>
        <v/>
      </c>
      <c r="L144" s="34" t="str">
        <f t="shared" si="18"/>
        <v/>
      </c>
      <c r="M144" s="36"/>
      <c r="N144" s="31"/>
      <c r="O144" s="34" t="str">
        <f t="shared" si="19"/>
        <v/>
      </c>
      <c r="P144" s="30"/>
      <c r="Q144" s="37" t="str">
        <f t="shared" ca="1" si="20"/>
        <v/>
      </c>
      <c r="R144" s="38" t="str">
        <f t="shared" ca="1" si="21"/>
        <v/>
      </c>
      <c r="S144" s="37" t="str">
        <f ca="1">IF($A144="","",IF(OR($Q144="Paid",$Q144="Cancelled",$Q144="Draft"),"—",IF($Q144="No lines yet","Add line items",IF($Q144="No date","Add invoice date",IF($D144-TODAY()&gt;7,"—",IF($D144-TODAY()&gt;=1,"Due soon",IF($D144=TODAY(),"Due today",IF(TODAY()-$D144&lt;IF('Start Here'!$C$16="",7,'Start Here'!$C$16),"Just overdue",IF(TODAY()-$D144&lt;IF('Start Here'!$C$17="",21,'Start Here'!$C$17),"First reminder",IF(TODAY()-$D144&lt;IF('Start Here'!$C$18="",45,'Start Here'!$C$18),"Second reminder","Last friendly reminder"))))))))))</f>
        <v/>
      </c>
      <c r="T144" s="31"/>
      <c r="U144" s="30"/>
      <c r="V144" s="37" t="str">
        <f t="shared" si="22"/>
        <v/>
      </c>
      <c r="W144" s="39"/>
      <c r="X144" s="37" t="str">
        <f>IF($A144="","",IFERROR(VALUE(IF('Start Here'!$C$13="",$A144,SUBSTITUTE($A144,'Start Here'!$C$13,""))),""))</f>
        <v/>
      </c>
      <c r="Y144" s="37" t="str">
        <f t="shared" si="23"/>
        <v/>
      </c>
      <c r="Z144" s="37" t="str">
        <f t="shared" ca="1" si="24"/>
        <v/>
      </c>
      <c r="AA144" s="37" t="str">
        <f t="shared" si="25"/>
        <v/>
      </c>
      <c r="AB144" s="37" t="str">
        <f t="shared" ca="1" si="26"/>
        <v/>
      </c>
    </row>
    <row r="145" spans="1:28" ht="16" x14ac:dyDescent="0.2">
      <c r="A145" s="30"/>
      <c r="B145" s="31"/>
      <c r="C145" s="32"/>
      <c r="D145" s="33" t="str">
        <f>IF($B145="","",$B145+IF($C145="",IF('Start Here'!$C$15="",14,'Start Here'!$C$15),$C145))</f>
        <v/>
      </c>
      <c r="E145" s="30"/>
      <c r="F145" s="30"/>
      <c r="G145" s="30"/>
      <c r="H145" s="30"/>
      <c r="I145" s="34" t="str">
        <f>IF($A145="","",ROUND(SUMIF('Line Items'!$A$8:$A$507,$A145,'Line Items'!$H$8:$H$507),2))</f>
        <v/>
      </c>
      <c r="J145" s="35"/>
      <c r="K145" s="34" t="str">
        <f>IF($A145="","",ROUND($I145*IFERROR(IF($J145="",IF('Start Here'!$C$22="",0,'Start Here'!$C$22),$J145),0)/100,2))</f>
        <v/>
      </c>
      <c r="L145" s="34" t="str">
        <f t="shared" si="18"/>
        <v/>
      </c>
      <c r="M145" s="36"/>
      <c r="N145" s="31"/>
      <c r="O145" s="34" t="str">
        <f t="shared" si="19"/>
        <v/>
      </c>
      <c r="P145" s="30"/>
      <c r="Q145" s="37" t="str">
        <f t="shared" ca="1" si="20"/>
        <v/>
      </c>
      <c r="R145" s="38" t="str">
        <f t="shared" ca="1" si="21"/>
        <v/>
      </c>
      <c r="S145" s="37" t="str">
        <f ca="1">IF($A145="","",IF(OR($Q145="Paid",$Q145="Cancelled",$Q145="Draft"),"—",IF($Q145="No lines yet","Add line items",IF($Q145="No date","Add invoice date",IF($D145-TODAY()&gt;7,"—",IF($D145-TODAY()&gt;=1,"Due soon",IF($D145=TODAY(),"Due today",IF(TODAY()-$D145&lt;IF('Start Here'!$C$16="",7,'Start Here'!$C$16),"Just overdue",IF(TODAY()-$D145&lt;IF('Start Here'!$C$17="",21,'Start Here'!$C$17),"First reminder",IF(TODAY()-$D145&lt;IF('Start Here'!$C$18="",45,'Start Here'!$C$18),"Second reminder","Last friendly reminder"))))))))))</f>
        <v/>
      </c>
      <c r="T145" s="31"/>
      <c r="U145" s="30"/>
      <c r="V145" s="37" t="str">
        <f t="shared" si="22"/>
        <v/>
      </c>
      <c r="W145" s="40"/>
      <c r="X145" s="37" t="str">
        <f>IF($A145="","",IFERROR(VALUE(IF('Start Here'!$C$13="",$A145,SUBSTITUTE($A145,'Start Here'!$C$13,""))),""))</f>
        <v/>
      </c>
      <c r="Y145" s="37" t="str">
        <f t="shared" si="23"/>
        <v/>
      </c>
      <c r="Z145" s="37" t="str">
        <f t="shared" ca="1" si="24"/>
        <v/>
      </c>
      <c r="AA145" s="37" t="str">
        <f t="shared" si="25"/>
        <v/>
      </c>
      <c r="AB145" s="37" t="str">
        <f t="shared" ca="1" si="26"/>
        <v/>
      </c>
    </row>
    <row r="146" spans="1:28" ht="16" x14ac:dyDescent="0.2">
      <c r="A146" s="30"/>
      <c r="B146" s="31"/>
      <c r="C146" s="32"/>
      <c r="D146" s="33" t="str">
        <f>IF($B146="","",$B146+IF($C146="",IF('Start Here'!$C$15="",14,'Start Here'!$C$15),$C146))</f>
        <v/>
      </c>
      <c r="E146" s="30"/>
      <c r="F146" s="30"/>
      <c r="G146" s="30"/>
      <c r="H146" s="30"/>
      <c r="I146" s="34" t="str">
        <f>IF($A146="","",ROUND(SUMIF('Line Items'!$A$8:$A$507,$A146,'Line Items'!$H$8:$H$507),2))</f>
        <v/>
      </c>
      <c r="J146" s="35"/>
      <c r="K146" s="34" t="str">
        <f>IF($A146="","",ROUND($I146*IFERROR(IF($J146="",IF('Start Here'!$C$22="",0,'Start Here'!$C$22),$J146),0)/100,2))</f>
        <v/>
      </c>
      <c r="L146" s="34" t="str">
        <f t="shared" si="18"/>
        <v/>
      </c>
      <c r="M146" s="36"/>
      <c r="N146" s="31"/>
      <c r="O146" s="34" t="str">
        <f t="shared" si="19"/>
        <v/>
      </c>
      <c r="P146" s="30"/>
      <c r="Q146" s="37" t="str">
        <f t="shared" ca="1" si="20"/>
        <v/>
      </c>
      <c r="R146" s="38" t="str">
        <f t="shared" ca="1" si="21"/>
        <v/>
      </c>
      <c r="S146" s="37" t="str">
        <f ca="1">IF($A146="","",IF(OR($Q146="Paid",$Q146="Cancelled",$Q146="Draft"),"—",IF($Q146="No lines yet","Add line items",IF($Q146="No date","Add invoice date",IF($D146-TODAY()&gt;7,"—",IF($D146-TODAY()&gt;=1,"Due soon",IF($D146=TODAY(),"Due today",IF(TODAY()-$D146&lt;IF('Start Here'!$C$16="",7,'Start Here'!$C$16),"Just overdue",IF(TODAY()-$D146&lt;IF('Start Here'!$C$17="",21,'Start Here'!$C$17),"First reminder",IF(TODAY()-$D146&lt;IF('Start Here'!$C$18="",45,'Start Here'!$C$18),"Second reminder","Last friendly reminder"))))))))))</f>
        <v/>
      </c>
      <c r="T146" s="31"/>
      <c r="U146" s="30"/>
      <c r="V146" s="37" t="str">
        <f t="shared" si="22"/>
        <v/>
      </c>
      <c r="W146" s="39"/>
      <c r="X146" s="37" t="str">
        <f>IF($A146="","",IFERROR(VALUE(IF('Start Here'!$C$13="",$A146,SUBSTITUTE($A146,'Start Here'!$C$13,""))),""))</f>
        <v/>
      </c>
      <c r="Y146" s="37" t="str">
        <f t="shared" si="23"/>
        <v/>
      </c>
      <c r="Z146" s="37" t="str">
        <f t="shared" ca="1" si="24"/>
        <v/>
      </c>
      <c r="AA146" s="37" t="str">
        <f t="shared" si="25"/>
        <v/>
      </c>
      <c r="AB146" s="37" t="str">
        <f t="shared" ca="1" si="26"/>
        <v/>
      </c>
    </row>
    <row r="147" spans="1:28" ht="16" x14ac:dyDescent="0.2">
      <c r="A147" s="30"/>
      <c r="B147" s="31"/>
      <c r="C147" s="32"/>
      <c r="D147" s="33" t="str">
        <f>IF($B147="","",$B147+IF($C147="",IF('Start Here'!$C$15="",14,'Start Here'!$C$15),$C147))</f>
        <v/>
      </c>
      <c r="E147" s="30"/>
      <c r="F147" s="30"/>
      <c r="G147" s="30"/>
      <c r="H147" s="30"/>
      <c r="I147" s="34" t="str">
        <f>IF($A147="","",ROUND(SUMIF('Line Items'!$A$8:$A$507,$A147,'Line Items'!$H$8:$H$507),2))</f>
        <v/>
      </c>
      <c r="J147" s="35"/>
      <c r="K147" s="34" t="str">
        <f>IF($A147="","",ROUND($I147*IFERROR(IF($J147="",IF('Start Here'!$C$22="",0,'Start Here'!$C$22),$J147),0)/100,2))</f>
        <v/>
      </c>
      <c r="L147" s="34" t="str">
        <f t="shared" si="18"/>
        <v/>
      </c>
      <c r="M147" s="36"/>
      <c r="N147" s="31"/>
      <c r="O147" s="34" t="str">
        <f t="shared" si="19"/>
        <v/>
      </c>
      <c r="P147" s="30"/>
      <c r="Q147" s="37" t="str">
        <f t="shared" ca="1" si="20"/>
        <v/>
      </c>
      <c r="R147" s="38" t="str">
        <f t="shared" ca="1" si="21"/>
        <v/>
      </c>
      <c r="S147" s="37" t="str">
        <f ca="1">IF($A147="","",IF(OR($Q147="Paid",$Q147="Cancelled",$Q147="Draft"),"—",IF($Q147="No lines yet","Add line items",IF($Q147="No date","Add invoice date",IF($D147-TODAY()&gt;7,"—",IF($D147-TODAY()&gt;=1,"Due soon",IF($D147=TODAY(),"Due today",IF(TODAY()-$D147&lt;IF('Start Here'!$C$16="",7,'Start Here'!$C$16),"Just overdue",IF(TODAY()-$D147&lt;IF('Start Here'!$C$17="",21,'Start Here'!$C$17),"First reminder",IF(TODAY()-$D147&lt;IF('Start Here'!$C$18="",45,'Start Here'!$C$18),"Second reminder","Last friendly reminder"))))))))))</f>
        <v/>
      </c>
      <c r="T147" s="31"/>
      <c r="U147" s="30"/>
      <c r="V147" s="37" t="str">
        <f t="shared" si="22"/>
        <v/>
      </c>
      <c r="W147" s="40"/>
      <c r="X147" s="37" t="str">
        <f>IF($A147="","",IFERROR(VALUE(IF('Start Here'!$C$13="",$A147,SUBSTITUTE($A147,'Start Here'!$C$13,""))),""))</f>
        <v/>
      </c>
      <c r="Y147" s="37" t="str">
        <f t="shared" si="23"/>
        <v/>
      </c>
      <c r="Z147" s="37" t="str">
        <f t="shared" ca="1" si="24"/>
        <v/>
      </c>
      <c r="AA147" s="37" t="str">
        <f t="shared" si="25"/>
        <v/>
      </c>
      <c r="AB147" s="37" t="str">
        <f t="shared" ca="1" si="26"/>
        <v/>
      </c>
    </row>
    <row r="148" spans="1:28" ht="16" x14ac:dyDescent="0.2">
      <c r="A148" s="30"/>
      <c r="B148" s="31"/>
      <c r="C148" s="32"/>
      <c r="D148" s="33" t="str">
        <f>IF($B148="","",$B148+IF($C148="",IF('Start Here'!$C$15="",14,'Start Here'!$C$15),$C148))</f>
        <v/>
      </c>
      <c r="E148" s="30"/>
      <c r="F148" s="30"/>
      <c r="G148" s="30"/>
      <c r="H148" s="30"/>
      <c r="I148" s="34" t="str">
        <f>IF($A148="","",ROUND(SUMIF('Line Items'!$A$8:$A$507,$A148,'Line Items'!$H$8:$H$507),2))</f>
        <v/>
      </c>
      <c r="J148" s="35"/>
      <c r="K148" s="34" t="str">
        <f>IF($A148="","",ROUND($I148*IFERROR(IF($J148="",IF('Start Here'!$C$22="",0,'Start Here'!$C$22),$J148),0)/100,2))</f>
        <v/>
      </c>
      <c r="L148" s="34" t="str">
        <f t="shared" si="18"/>
        <v/>
      </c>
      <c r="M148" s="36"/>
      <c r="N148" s="31"/>
      <c r="O148" s="34" t="str">
        <f t="shared" si="19"/>
        <v/>
      </c>
      <c r="P148" s="30"/>
      <c r="Q148" s="37" t="str">
        <f t="shared" ca="1" si="20"/>
        <v/>
      </c>
      <c r="R148" s="38" t="str">
        <f t="shared" ca="1" si="21"/>
        <v/>
      </c>
      <c r="S148" s="37" t="str">
        <f ca="1">IF($A148="","",IF(OR($Q148="Paid",$Q148="Cancelled",$Q148="Draft"),"—",IF($Q148="No lines yet","Add line items",IF($Q148="No date","Add invoice date",IF($D148-TODAY()&gt;7,"—",IF($D148-TODAY()&gt;=1,"Due soon",IF($D148=TODAY(),"Due today",IF(TODAY()-$D148&lt;IF('Start Here'!$C$16="",7,'Start Here'!$C$16),"Just overdue",IF(TODAY()-$D148&lt;IF('Start Here'!$C$17="",21,'Start Here'!$C$17),"First reminder",IF(TODAY()-$D148&lt;IF('Start Here'!$C$18="",45,'Start Here'!$C$18),"Second reminder","Last friendly reminder"))))))))))</f>
        <v/>
      </c>
      <c r="T148" s="31"/>
      <c r="U148" s="30"/>
      <c r="V148" s="37" t="str">
        <f t="shared" si="22"/>
        <v/>
      </c>
      <c r="W148" s="39"/>
      <c r="X148" s="37" t="str">
        <f>IF($A148="","",IFERROR(VALUE(IF('Start Here'!$C$13="",$A148,SUBSTITUTE($A148,'Start Here'!$C$13,""))),""))</f>
        <v/>
      </c>
      <c r="Y148" s="37" t="str">
        <f t="shared" si="23"/>
        <v/>
      </c>
      <c r="Z148" s="37" t="str">
        <f t="shared" ca="1" si="24"/>
        <v/>
      </c>
      <c r="AA148" s="37" t="str">
        <f t="shared" si="25"/>
        <v/>
      </c>
      <c r="AB148" s="37" t="str">
        <f t="shared" ca="1" si="26"/>
        <v/>
      </c>
    </row>
    <row r="149" spans="1:28" ht="16" x14ac:dyDescent="0.2">
      <c r="A149" s="30"/>
      <c r="B149" s="31"/>
      <c r="C149" s="32"/>
      <c r="D149" s="33" t="str">
        <f>IF($B149="","",$B149+IF($C149="",IF('Start Here'!$C$15="",14,'Start Here'!$C$15),$C149))</f>
        <v/>
      </c>
      <c r="E149" s="30"/>
      <c r="F149" s="30"/>
      <c r="G149" s="30"/>
      <c r="H149" s="30"/>
      <c r="I149" s="34" t="str">
        <f>IF($A149="","",ROUND(SUMIF('Line Items'!$A$8:$A$507,$A149,'Line Items'!$H$8:$H$507),2))</f>
        <v/>
      </c>
      <c r="J149" s="35"/>
      <c r="K149" s="34" t="str">
        <f>IF($A149="","",ROUND($I149*IFERROR(IF($J149="",IF('Start Here'!$C$22="",0,'Start Here'!$C$22),$J149),0)/100,2))</f>
        <v/>
      </c>
      <c r="L149" s="34" t="str">
        <f t="shared" si="18"/>
        <v/>
      </c>
      <c r="M149" s="36"/>
      <c r="N149" s="31"/>
      <c r="O149" s="34" t="str">
        <f t="shared" si="19"/>
        <v/>
      </c>
      <c r="P149" s="30"/>
      <c r="Q149" s="37" t="str">
        <f t="shared" ca="1" si="20"/>
        <v/>
      </c>
      <c r="R149" s="38" t="str">
        <f t="shared" ca="1" si="21"/>
        <v/>
      </c>
      <c r="S149" s="37" t="str">
        <f ca="1">IF($A149="","",IF(OR($Q149="Paid",$Q149="Cancelled",$Q149="Draft"),"—",IF($Q149="No lines yet","Add line items",IF($Q149="No date","Add invoice date",IF($D149-TODAY()&gt;7,"—",IF($D149-TODAY()&gt;=1,"Due soon",IF($D149=TODAY(),"Due today",IF(TODAY()-$D149&lt;IF('Start Here'!$C$16="",7,'Start Here'!$C$16),"Just overdue",IF(TODAY()-$D149&lt;IF('Start Here'!$C$17="",21,'Start Here'!$C$17),"First reminder",IF(TODAY()-$D149&lt;IF('Start Here'!$C$18="",45,'Start Here'!$C$18),"Second reminder","Last friendly reminder"))))))))))</f>
        <v/>
      </c>
      <c r="T149" s="31"/>
      <c r="U149" s="30"/>
      <c r="V149" s="37" t="str">
        <f t="shared" si="22"/>
        <v/>
      </c>
      <c r="W149" s="40"/>
      <c r="X149" s="37" t="str">
        <f>IF($A149="","",IFERROR(VALUE(IF('Start Here'!$C$13="",$A149,SUBSTITUTE($A149,'Start Here'!$C$13,""))),""))</f>
        <v/>
      </c>
      <c r="Y149" s="37" t="str">
        <f t="shared" si="23"/>
        <v/>
      </c>
      <c r="Z149" s="37" t="str">
        <f t="shared" ca="1" si="24"/>
        <v/>
      </c>
      <c r="AA149" s="37" t="str">
        <f t="shared" si="25"/>
        <v/>
      </c>
      <c r="AB149" s="37" t="str">
        <f t="shared" ca="1" si="26"/>
        <v/>
      </c>
    </row>
    <row r="150" spans="1:28" ht="16" x14ac:dyDescent="0.2">
      <c r="A150" s="30"/>
      <c r="B150" s="31"/>
      <c r="C150" s="32"/>
      <c r="D150" s="33" t="str">
        <f>IF($B150="","",$B150+IF($C150="",IF('Start Here'!$C$15="",14,'Start Here'!$C$15),$C150))</f>
        <v/>
      </c>
      <c r="E150" s="30"/>
      <c r="F150" s="30"/>
      <c r="G150" s="30"/>
      <c r="H150" s="30"/>
      <c r="I150" s="34" t="str">
        <f>IF($A150="","",ROUND(SUMIF('Line Items'!$A$8:$A$507,$A150,'Line Items'!$H$8:$H$507),2))</f>
        <v/>
      </c>
      <c r="J150" s="35"/>
      <c r="K150" s="34" t="str">
        <f>IF($A150="","",ROUND($I150*IFERROR(IF($J150="",IF('Start Here'!$C$22="",0,'Start Here'!$C$22),$J150),0)/100,2))</f>
        <v/>
      </c>
      <c r="L150" s="34" t="str">
        <f t="shared" si="18"/>
        <v/>
      </c>
      <c r="M150" s="36"/>
      <c r="N150" s="31"/>
      <c r="O150" s="34" t="str">
        <f t="shared" si="19"/>
        <v/>
      </c>
      <c r="P150" s="30"/>
      <c r="Q150" s="37" t="str">
        <f t="shared" ca="1" si="20"/>
        <v/>
      </c>
      <c r="R150" s="38" t="str">
        <f t="shared" ca="1" si="21"/>
        <v/>
      </c>
      <c r="S150" s="37" t="str">
        <f ca="1">IF($A150="","",IF(OR($Q150="Paid",$Q150="Cancelled",$Q150="Draft"),"—",IF($Q150="No lines yet","Add line items",IF($Q150="No date","Add invoice date",IF($D150-TODAY()&gt;7,"—",IF($D150-TODAY()&gt;=1,"Due soon",IF($D150=TODAY(),"Due today",IF(TODAY()-$D150&lt;IF('Start Here'!$C$16="",7,'Start Here'!$C$16),"Just overdue",IF(TODAY()-$D150&lt;IF('Start Here'!$C$17="",21,'Start Here'!$C$17),"First reminder",IF(TODAY()-$D150&lt;IF('Start Here'!$C$18="",45,'Start Here'!$C$18),"Second reminder","Last friendly reminder"))))))))))</f>
        <v/>
      </c>
      <c r="T150" s="31"/>
      <c r="U150" s="30"/>
      <c r="V150" s="37" t="str">
        <f t="shared" si="22"/>
        <v/>
      </c>
      <c r="W150" s="39"/>
      <c r="X150" s="37" t="str">
        <f>IF($A150="","",IFERROR(VALUE(IF('Start Here'!$C$13="",$A150,SUBSTITUTE($A150,'Start Here'!$C$13,""))),""))</f>
        <v/>
      </c>
      <c r="Y150" s="37" t="str">
        <f t="shared" si="23"/>
        <v/>
      </c>
      <c r="Z150" s="37" t="str">
        <f t="shared" ca="1" si="24"/>
        <v/>
      </c>
      <c r="AA150" s="37" t="str">
        <f t="shared" si="25"/>
        <v/>
      </c>
      <c r="AB150" s="37" t="str">
        <f t="shared" ca="1" si="26"/>
        <v/>
      </c>
    </row>
    <row r="151" spans="1:28" ht="16" x14ac:dyDescent="0.2">
      <c r="A151" s="30"/>
      <c r="B151" s="31"/>
      <c r="C151" s="32"/>
      <c r="D151" s="33" t="str">
        <f>IF($B151="","",$B151+IF($C151="",IF('Start Here'!$C$15="",14,'Start Here'!$C$15),$C151))</f>
        <v/>
      </c>
      <c r="E151" s="30"/>
      <c r="F151" s="30"/>
      <c r="G151" s="30"/>
      <c r="H151" s="30"/>
      <c r="I151" s="34" t="str">
        <f>IF($A151="","",ROUND(SUMIF('Line Items'!$A$8:$A$507,$A151,'Line Items'!$H$8:$H$507),2))</f>
        <v/>
      </c>
      <c r="J151" s="35"/>
      <c r="K151" s="34" t="str">
        <f>IF($A151="","",ROUND($I151*IFERROR(IF($J151="",IF('Start Here'!$C$22="",0,'Start Here'!$C$22),$J151),0)/100,2))</f>
        <v/>
      </c>
      <c r="L151" s="34" t="str">
        <f t="shared" si="18"/>
        <v/>
      </c>
      <c r="M151" s="36"/>
      <c r="N151" s="31"/>
      <c r="O151" s="34" t="str">
        <f t="shared" si="19"/>
        <v/>
      </c>
      <c r="P151" s="30"/>
      <c r="Q151" s="37" t="str">
        <f t="shared" ca="1" si="20"/>
        <v/>
      </c>
      <c r="R151" s="38" t="str">
        <f t="shared" ca="1" si="21"/>
        <v/>
      </c>
      <c r="S151" s="37" t="str">
        <f ca="1">IF($A151="","",IF(OR($Q151="Paid",$Q151="Cancelled",$Q151="Draft"),"—",IF($Q151="No lines yet","Add line items",IF($Q151="No date","Add invoice date",IF($D151-TODAY()&gt;7,"—",IF($D151-TODAY()&gt;=1,"Due soon",IF($D151=TODAY(),"Due today",IF(TODAY()-$D151&lt;IF('Start Here'!$C$16="",7,'Start Here'!$C$16),"Just overdue",IF(TODAY()-$D151&lt;IF('Start Here'!$C$17="",21,'Start Here'!$C$17),"First reminder",IF(TODAY()-$D151&lt;IF('Start Here'!$C$18="",45,'Start Here'!$C$18),"Second reminder","Last friendly reminder"))))))))))</f>
        <v/>
      </c>
      <c r="T151" s="31"/>
      <c r="U151" s="30"/>
      <c r="V151" s="37" t="str">
        <f t="shared" si="22"/>
        <v/>
      </c>
      <c r="W151" s="40"/>
      <c r="X151" s="37" t="str">
        <f>IF($A151="","",IFERROR(VALUE(IF('Start Here'!$C$13="",$A151,SUBSTITUTE($A151,'Start Here'!$C$13,""))),""))</f>
        <v/>
      </c>
      <c r="Y151" s="37" t="str">
        <f t="shared" si="23"/>
        <v/>
      </c>
      <c r="Z151" s="37" t="str">
        <f t="shared" ca="1" si="24"/>
        <v/>
      </c>
      <c r="AA151" s="37" t="str">
        <f t="shared" si="25"/>
        <v/>
      </c>
      <c r="AB151" s="37" t="str">
        <f t="shared" ca="1" si="26"/>
        <v/>
      </c>
    </row>
    <row r="152" spans="1:28" ht="16" x14ac:dyDescent="0.2">
      <c r="A152" s="30"/>
      <c r="B152" s="31"/>
      <c r="C152" s="32"/>
      <c r="D152" s="33" t="str">
        <f>IF($B152="","",$B152+IF($C152="",IF('Start Here'!$C$15="",14,'Start Here'!$C$15),$C152))</f>
        <v/>
      </c>
      <c r="E152" s="30"/>
      <c r="F152" s="30"/>
      <c r="G152" s="30"/>
      <c r="H152" s="30"/>
      <c r="I152" s="34" t="str">
        <f>IF($A152="","",ROUND(SUMIF('Line Items'!$A$8:$A$507,$A152,'Line Items'!$H$8:$H$507),2))</f>
        <v/>
      </c>
      <c r="J152" s="35"/>
      <c r="K152" s="34" t="str">
        <f>IF($A152="","",ROUND($I152*IFERROR(IF($J152="",IF('Start Here'!$C$22="",0,'Start Here'!$C$22),$J152),0)/100,2))</f>
        <v/>
      </c>
      <c r="L152" s="34" t="str">
        <f t="shared" si="18"/>
        <v/>
      </c>
      <c r="M152" s="36"/>
      <c r="N152" s="31"/>
      <c r="O152" s="34" t="str">
        <f t="shared" si="19"/>
        <v/>
      </c>
      <c r="P152" s="30"/>
      <c r="Q152" s="37" t="str">
        <f t="shared" ca="1" si="20"/>
        <v/>
      </c>
      <c r="R152" s="38" t="str">
        <f t="shared" ca="1" si="21"/>
        <v/>
      </c>
      <c r="S152" s="37" t="str">
        <f ca="1">IF($A152="","",IF(OR($Q152="Paid",$Q152="Cancelled",$Q152="Draft"),"—",IF($Q152="No lines yet","Add line items",IF($Q152="No date","Add invoice date",IF($D152-TODAY()&gt;7,"—",IF($D152-TODAY()&gt;=1,"Due soon",IF($D152=TODAY(),"Due today",IF(TODAY()-$D152&lt;IF('Start Here'!$C$16="",7,'Start Here'!$C$16),"Just overdue",IF(TODAY()-$D152&lt;IF('Start Here'!$C$17="",21,'Start Here'!$C$17),"First reminder",IF(TODAY()-$D152&lt;IF('Start Here'!$C$18="",45,'Start Here'!$C$18),"Second reminder","Last friendly reminder"))))))))))</f>
        <v/>
      </c>
      <c r="T152" s="31"/>
      <c r="U152" s="30"/>
      <c r="V152" s="37" t="str">
        <f t="shared" si="22"/>
        <v/>
      </c>
      <c r="W152" s="39"/>
      <c r="X152" s="37" t="str">
        <f>IF($A152="","",IFERROR(VALUE(IF('Start Here'!$C$13="",$A152,SUBSTITUTE($A152,'Start Here'!$C$13,""))),""))</f>
        <v/>
      </c>
      <c r="Y152" s="37" t="str">
        <f t="shared" si="23"/>
        <v/>
      </c>
      <c r="Z152" s="37" t="str">
        <f t="shared" ca="1" si="24"/>
        <v/>
      </c>
      <c r="AA152" s="37" t="str">
        <f t="shared" si="25"/>
        <v/>
      </c>
      <c r="AB152" s="37" t="str">
        <f t="shared" ca="1" si="26"/>
        <v/>
      </c>
    </row>
    <row r="153" spans="1:28" ht="16" x14ac:dyDescent="0.2">
      <c r="A153" s="30"/>
      <c r="B153" s="31"/>
      <c r="C153" s="32"/>
      <c r="D153" s="33" t="str">
        <f>IF($B153="","",$B153+IF($C153="",IF('Start Here'!$C$15="",14,'Start Here'!$C$15),$C153))</f>
        <v/>
      </c>
      <c r="E153" s="30"/>
      <c r="F153" s="30"/>
      <c r="G153" s="30"/>
      <c r="H153" s="30"/>
      <c r="I153" s="34" t="str">
        <f>IF($A153="","",ROUND(SUMIF('Line Items'!$A$8:$A$507,$A153,'Line Items'!$H$8:$H$507),2))</f>
        <v/>
      </c>
      <c r="J153" s="35"/>
      <c r="K153" s="34" t="str">
        <f>IF($A153="","",ROUND($I153*IFERROR(IF($J153="",IF('Start Here'!$C$22="",0,'Start Here'!$C$22),$J153),0)/100,2))</f>
        <v/>
      </c>
      <c r="L153" s="34" t="str">
        <f t="shared" si="18"/>
        <v/>
      </c>
      <c r="M153" s="36"/>
      <c r="N153" s="31"/>
      <c r="O153" s="34" t="str">
        <f t="shared" si="19"/>
        <v/>
      </c>
      <c r="P153" s="30"/>
      <c r="Q153" s="37" t="str">
        <f t="shared" ca="1" si="20"/>
        <v/>
      </c>
      <c r="R153" s="38" t="str">
        <f t="shared" ca="1" si="21"/>
        <v/>
      </c>
      <c r="S153" s="37" t="str">
        <f ca="1">IF($A153="","",IF(OR($Q153="Paid",$Q153="Cancelled",$Q153="Draft"),"—",IF($Q153="No lines yet","Add line items",IF($Q153="No date","Add invoice date",IF($D153-TODAY()&gt;7,"—",IF($D153-TODAY()&gt;=1,"Due soon",IF($D153=TODAY(),"Due today",IF(TODAY()-$D153&lt;IF('Start Here'!$C$16="",7,'Start Here'!$C$16),"Just overdue",IF(TODAY()-$D153&lt;IF('Start Here'!$C$17="",21,'Start Here'!$C$17),"First reminder",IF(TODAY()-$D153&lt;IF('Start Here'!$C$18="",45,'Start Here'!$C$18),"Second reminder","Last friendly reminder"))))))))))</f>
        <v/>
      </c>
      <c r="T153" s="31"/>
      <c r="U153" s="30"/>
      <c r="V153" s="37" t="str">
        <f t="shared" si="22"/>
        <v/>
      </c>
      <c r="W153" s="40"/>
      <c r="X153" s="37" t="str">
        <f>IF($A153="","",IFERROR(VALUE(IF('Start Here'!$C$13="",$A153,SUBSTITUTE($A153,'Start Here'!$C$13,""))),""))</f>
        <v/>
      </c>
      <c r="Y153" s="37" t="str">
        <f t="shared" si="23"/>
        <v/>
      </c>
      <c r="Z153" s="37" t="str">
        <f t="shared" ca="1" si="24"/>
        <v/>
      </c>
      <c r="AA153" s="37" t="str">
        <f t="shared" si="25"/>
        <v/>
      </c>
      <c r="AB153" s="37" t="str">
        <f t="shared" ca="1" si="26"/>
        <v/>
      </c>
    </row>
    <row r="154" spans="1:28" ht="16" x14ac:dyDescent="0.2">
      <c r="A154" s="30"/>
      <c r="B154" s="31"/>
      <c r="C154" s="32"/>
      <c r="D154" s="33" t="str">
        <f>IF($B154="","",$B154+IF($C154="",IF('Start Here'!$C$15="",14,'Start Here'!$C$15),$C154))</f>
        <v/>
      </c>
      <c r="E154" s="30"/>
      <c r="F154" s="30"/>
      <c r="G154" s="30"/>
      <c r="H154" s="30"/>
      <c r="I154" s="34" t="str">
        <f>IF($A154="","",ROUND(SUMIF('Line Items'!$A$8:$A$507,$A154,'Line Items'!$H$8:$H$507),2))</f>
        <v/>
      </c>
      <c r="J154" s="35"/>
      <c r="K154" s="34" t="str">
        <f>IF($A154="","",ROUND($I154*IFERROR(IF($J154="",IF('Start Here'!$C$22="",0,'Start Here'!$C$22),$J154),0)/100,2))</f>
        <v/>
      </c>
      <c r="L154" s="34" t="str">
        <f t="shared" si="18"/>
        <v/>
      </c>
      <c r="M154" s="36"/>
      <c r="N154" s="31"/>
      <c r="O154" s="34" t="str">
        <f t="shared" si="19"/>
        <v/>
      </c>
      <c r="P154" s="30"/>
      <c r="Q154" s="37" t="str">
        <f t="shared" ca="1" si="20"/>
        <v/>
      </c>
      <c r="R154" s="38" t="str">
        <f t="shared" ca="1" si="21"/>
        <v/>
      </c>
      <c r="S154" s="37" t="str">
        <f ca="1">IF($A154="","",IF(OR($Q154="Paid",$Q154="Cancelled",$Q154="Draft"),"—",IF($Q154="No lines yet","Add line items",IF($Q154="No date","Add invoice date",IF($D154-TODAY()&gt;7,"—",IF($D154-TODAY()&gt;=1,"Due soon",IF($D154=TODAY(),"Due today",IF(TODAY()-$D154&lt;IF('Start Here'!$C$16="",7,'Start Here'!$C$16),"Just overdue",IF(TODAY()-$D154&lt;IF('Start Here'!$C$17="",21,'Start Here'!$C$17),"First reminder",IF(TODAY()-$D154&lt;IF('Start Here'!$C$18="",45,'Start Here'!$C$18),"Second reminder","Last friendly reminder"))))))))))</f>
        <v/>
      </c>
      <c r="T154" s="31"/>
      <c r="U154" s="30"/>
      <c r="V154" s="37" t="str">
        <f t="shared" si="22"/>
        <v/>
      </c>
      <c r="W154" s="39"/>
      <c r="X154" s="37" t="str">
        <f>IF($A154="","",IFERROR(VALUE(IF('Start Here'!$C$13="",$A154,SUBSTITUTE($A154,'Start Here'!$C$13,""))),""))</f>
        <v/>
      </c>
      <c r="Y154" s="37" t="str">
        <f t="shared" si="23"/>
        <v/>
      </c>
      <c r="Z154" s="37" t="str">
        <f t="shared" ca="1" si="24"/>
        <v/>
      </c>
      <c r="AA154" s="37" t="str">
        <f t="shared" si="25"/>
        <v/>
      </c>
      <c r="AB154" s="37" t="str">
        <f t="shared" ca="1" si="26"/>
        <v/>
      </c>
    </row>
    <row r="155" spans="1:28" ht="16" x14ac:dyDescent="0.2">
      <c r="A155" s="30"/>
      <c r="B155" s="31"/>
      <c r="C155" s="32"/>
      <c r="D155" s="33" t="str">
        <f>IF($B155="","",$B155+IF($C155="",IF('Start Here'!$C$15="",14,'Start Here'!$C$15),$C155))</f>
        <v/>
      </c>
      <c r="E155" s="30"/>
      <c r="F155" s="30"/>
      <c r="G155" s="30"/>
      <c r="H155" s="30"/>
      <c r="I155" s="34" t="str">
        <f>IF($A155="","",ROUND(SUMIF('Line Items'!$A$8:$A$507,$A155,'Line Items'!$H$8:$H$507),2))</f>
        <v/>
      </c>
      <c r="J155" s="35"/>
      <c r="K155" s="34" t="str">
        <f>IF($A155="","",ROUND($I155*IFERROR(IF($J155="",IF('Start Here'!$C$22="",0,'Start Here'!$C$22),$J155),0)/100,2))</f>
        <v/>
      </c>
      <c r="L155" s="34" t="str">
        <f t="shared" si="18"/>
        <v/>
      </c>
      <c r="M155" s="36"/>
      <c r="N155" s="31"/>
      <c r="O155" s="34" t="str">
        <f t="shared" si="19"/>
        <v/>
      </c>
      <c r="P155" s="30"/>
      <c r="Q155" s="37" t="str">
        <f t="shared" ca="1" si="20"/>
        <v/>
      </c>
      <c r="R155" s="38" t="str">
        <f t="shared" ca="1" si="21"/>
        <v/>
      </c>
      <c r="S155" s="37" t="str">
        <f ca="1">IF($A155="","",IF(OR($Q155="Paid",$Q155="Cancelled",$Q155="Draft"),"—",IF($Q155="No lines yet","Add line items",IF($Q155="No date","Add invoice date",IF($D155-TODAY()&gt;7,"—",IF($D155-TODAY()&gt;=1,"Due soon",IF($D155=TODAY(),"Due today",IF(TODAY()-$D155&lt;IF('Start Here'!$C$16="",7,'Start Here'!$C$16),"Just overdue",IF(TODAY()-$D155&lt;IF('Start Here'!$C$17="",21,'Start Here'!$C$17),"First reminder",IF(TODAY()-$D155&lt;IF('Start Here'!$C$18="",45,'Start Here'!$C$18),"Second reminder","Last friendly reminder"))))))))))</f>
        <v/>
      </c>
      <c r="T155" s="31"/>
      <c r="U155" s="30"/>
      <c r="V155" s="37" t="str">
        <f t="shared" si="22"/>
        <v/>
      </c>
      <c r="W155" s="40"/>
      <c r="X155" s="37" t="str">
        <f>IF($A155="","",IFERROR(VALUE(IF('Start Here'!$C$13="",$A155,SUBSTITUTE($A155,'Start Here'!$C$13,""))),""))</f>
        <v/>
      </c>
      <c r="Y155" s="37" t="str">
        <f t="shared" si="23"/>
        <v/>
      </c>
      <c r="Z155" s="37" t="str">
        <f t="shared" ca="1" si="24"/>
        <v/>
      </c>
      <c r="AA155" s="37" t="str">
        <f t="shared" si="25"/>
        <v/>
      </c>
      <c r="AB155" s="37" t="str">
        <f t="shared" ca="1" si="26"/>
        <v/>
      </c>
    </row>
    <row r="156" spans="1:28" ht="16" x14ac:dyDescent="0.2">
      <c r="A156" s="30"/>
      <c r="B156" s="31"/>
      <c r="C156" s="32"/>
      <c r="D156" s="33" t="str">
        <f>IF($B156="","",$B156+IF($C156="",IF('Start Here'!$C$15="",14,'Start Here'!$C$15),$C156))</f>
        <v/>
      </c>
      <c r="E156" s="30"/>
      <c r="F156" s="30"/>
      <c r="G156" s="30"/>
      <c r="H156" s="30"/>
      <c r="I156" s="34" t="str">
        <f>IF($A156="","",ROUND(SUMIF('Line Items'!$A$8:$A$507,$A156,'Line Items'!$H$8:$H$507),2))</f>
        <v/>
      </c>
      <c r="J156" s="35"/>
      <c r="K156" s="34" t="str">
        <f>IF($A156="","",ROUND($I156*IFERROR(IF($J156="",IF('Start Here'!$C$22="",0,'Start Here'!$C$22),$J156),0)/100,2))</f>
        <v/>
      </c>
      <c r="L156" s="34" t="str">
        <f t="shared" si="18"/>
        <v/>
      </c>
      <c r="M156" s="36"/>
      <c r="N156" s="31"/>
      <c r="O156" s="34" t="str">
        <f t="shared" si="19"/>
        <v/>
      </c>
      <c r="P156" s="30"/>
      <c r="Q156" s="37" t="str">
        <f t="shared" ca="1" si="20"/>
        <v/>
      </c>
      <c r="R156" s="38" t="str">
        <f t="shared" ca="1" si="21"/>
        <v/>
      </c>
      <c r="S156" s="37" t="str">
        <f ca="1">IF($A156="","",IF(OR($Q156="Paid",$Q156="Cancelled",$Q156="Draft"),"—",IF($Q156="No lines yet","Add line items",IF($Q156="No date","Add invoice date",IF($D156-TODAY()&gt;7,"—",IF($D156-TODAY()&gt;=1,"Due soon",IF($D156=TODAY(),"Due today",IF(TODAY()-$D156&lt;IF('Start Here'!$C$16="",7,'Start Here'!$C$16),"Just overdue",IF(TODAY()-$D156&lt;IF('Start Here'!$C$17="",21,'Start Here'!$C$17),"First reminder",IF(TODAY()-$D156&lt;IF('Start Here'!$C$18="",45,'Start Here'!$C$18),"Second reminder","Last friendly reminder"))))))))))</f>
        <v/>
      </c>
      <c r="T156" s="31"/>
      <c r="U156" s="30"/>
      <c r="V156" s="37" t="str">
        <f t="shared" si="22"/>
        <v/>
      </c>
      <c r="W156" s="39"/>
      <c r="X156" s="37" t="str">
        <f>IF($A156="","",IFERROR(VALUE(IF('Start Here'!$C$13="",$A156,SUBSTITUTE($A156,'Start Here'!$C$13,""))),""))</f>
        <v/>
      </c>
      <c r="Y156" s="37" t="str">
        <f t="shared" si="23"/>
        <v/>
      </c>
      <c r="Z156" s="37" t="str">
        <f t="shared" ca="1" si="24"/>
        <v/>
      </c>
      <c r="AA156" s="37" t="str">
        <f t="shared" si="25"/>
        <v/>
      </c>
      <c r="AB156" s="37" t="str">
        <f t="shared" ca="1" si="26"/>
        <v/>
      </c>
    </row>
    <row r="157" spans="1:28" ht="16" x14ac:dyDescent="0.2">
      <c r="A157" s="30"/>
      <c r="B157" s="31"/>
      <c r="C157" s="32"/>
      <c r="D157" s="33" t="str">
        <f>IF($B157="","",$B157+IF($C157="",IF('Start Here'!$C$15="",14,'Start Here'!$C$15),$C157))</f>
        <v/>
      </c>
      <c r="E157" s="30"/>
      <c r="F157" s="30"/>
      <c r="G157" s="30"/>
      <c r="H157" s="30"/>
      <c r="I157" s="34" t="str">
        <f>IF($A157="","",ROUND(SUMIF('Line Items'!$A$8:$A$507,$A157,'Line Items'!$H$8:$H$507),2))</f>
        <v/>
      </c>
      <c r="J157" s="35"/>
      <c r="K157" s="34" t="str">
        <f>IF($A157="","",ROUND($I157*IFERROR(IF($J157="",IF('Start Here'!$C$22="",0,'Start Here'!$C$22),$J157),0)/100,2))</f>
        <v/>
      </c>
      <c r="L157" s="34" t="str">
        <f t="shared" si="18"/>
        <v/>
      </c>
      <c r="M157" s="36"/>
      <c r="N157" s="31"/>
      <c r="O157" s="34" t="str">
        <f t="shared" si="19"/>
        <v/>
      </c>
      <c r="P157" s="30"/>
      <c r="Q157" s="37" t="str">
        <f t="shared" ca="1" si="20"/>
        <v/>
      </c>
      <c r="R157" s="38" t="str">
        <f t="shared" ca="1" si="21"/>
        <v/>
      </c>
      <c r="S157" s="37" t="str">
        <f ca="1">IF($A157="","",IF(OR($Q157="Paid",$Q157="Cancelled",$Q157="Draft"),"—",IF($Q157="No lines yet","Add line items",IF($Q157="No date","Add invoice date",IF($D157-TODAY()&gt;7,"—",IF($D157-TODAY()&gt;=1,"Due soon",IF($D157=TODAY(),"Due today",IF(TODAY()-$D157&lt;IF('Start Here'!$C$16="",7,'Start Here'!$C$16),"Just overdue",IF(TODAY()-$D157&lt;IF('Start Here'!$C$17="",21,'Start Here'!$C$17),"First reminder",IF(TODAY()-$D157&lt;IF('Start Here'!$C$18="",45,'Start Here'!$C$18),"Second reminder","Last friendly reminder"))))))))))</f>
        <v/>
      </c>
      <c r="T157" s="31"/>
      <c r="U157" s="30"/>
      <c r="V157" s="37" t="str">
        <f t="shared" si="22"/>
        <v/>
      </c>
      <c r="W157" s="40"/>
      <c r="X157" s="37" t="str">
        <f>IF($A157="","",IFERROR(VALUE(IF('Start Here'!$C$13="",$A157,SUBSTITUTE($A157,'Start Here'!$C$13,""))),""))</f>
        <v/>
      </c>
      <c r="Y157" s="37" t="str">
        <f t="shared" si="23"/>
        <v/>
      </c>
      <c r="Z157" s="37" t="str">
        <f t="shared" ca="1" si="24"/>
        <v/>
      </c>
      <c r="AA157" s="37" t="str">
        <f t="shared" si="25"/>
        <v/>
      </c>
      <c r="AB157" s="37" t="str">
        <f t="shared" ca="1" si="26"/>
        <v/>
      </c>
    </row>
    <row r="158" spans="1:28" ht="16" x14ac:dyDescent="0.2">
      <c r="A158" s="30"/>
      <c r="B158" s="31"/>
      <c r="C158" s="32"/>
      <c r="D158" s="33" t="str">
        <f>IF($B158="","",$B158+IF($C158="",IF('Start Here'!$C$15="",14,'Start Here'!$C$15),$C158))</f>
        <v/>
      </c>
      <c r="E158" s="30"/>
      <c r="F158" s="30"/>
      <c r="G158" s="30"/>
      <c r="H158" s="30"/>
      <c r="I158" s="34" t="str">
        <f>IF($A158="","",ROUND(SUMIF('Line Items'!$A$8:$A$507,$A158,'Line Items'!$H$8:$H$507),2))</f>
        <v/>
      </c>
      <c r="J158" s="35"/>
      <c r="K158" s="34" t="str">
        <f>IF($A158="","",ROUND($I158*IFERROR(IF($J158="",IF('Start Here'!$C$22="",0,'Start Here'!$C$22),$J158),0)/100,2))</f>
        <v/>
      </c>
      <c r="L158" s="34" t="str">
        <f t="shared" si="18"/>
        <v/>
      </c>
      <c r="M158" s="36"/>
      <c r="N158" s="31"/>
      <c r="O158" s="34" t="str">
        <f t="shared" si="19"/>
        <v/>
      </c>
      <c r="P158" s="30"/>
      <c r="Q158" s="37" t="str">
        <f t="shared" ca="1" si="20"/>
        <v/>
      </c>
      <c r="R158" s="38" t="str">
        <f t="shared" ca="1" si="21"/>
        <v/>
      </c>
      <c r="S158" s="37" t="str">
        <f ca="1">IF($A158="","",IF(OR($Q158="Paid",$Q158="Cancelled",$Q158="Draft"),"—",IF($Q158="No lines yet","Add line items",IF($Q158="No date","Add invoice date",IF($D158-TODAY()&gt;7,"—",IF($D158-TODAY()&gt;=1,"Due soon",IF($D158=TODAY(),"Due today",IF(TODAY()-$D158&lt;IF('Start Here'!$C$16="",7,'Start Here'!$C$16),"Just overdue",IF(TODAY()-$D158&lt;IF('Start Here'!$C$17="",21,'Start Here'!$C$17),"First reminder",IF(TODAY()-$D158&lt;IF('Start Here'!$C$18="",45,'Start Here'!$C$18),"Second reminder","Last friendly reminder"))))))))))</f>
        <v/>
      </c>
      <c r="T158" s="31"/>
      <c r="U158" s="30"/>
      <c r="V158" s="37" t="str">
        <f t="shared" si="22"/>
        <v/>
      </c>
      <c r="W158" s="39"/>
      <c r="X158" s="37" t="str">
        <f>IF($A158="","",IFERROR(VALUE(IF('Start Here'!$C$13="",$A158,SUBSTITUTE($A158,'Start Here'!$C$13,""))),""))</f>
        <v/>
      </c>
      <c r="Y158" s="37" t="str">
        <f t="shared" si="23"/>
        <v/>
      </c>
      <c r="Z158" s="37" t="str">
        <f t="shared" ca="1" si="24"/>
        <v/>
      </c>
      <c r="AA158" s="37" t="str">
        <f t="shared" si="25"/>
        <v/>
      </c>
      <c r="AB158" s="37" t="str">
        <f t="shared" ca="1" si="26"/>
        <v/>
      </c>
    </row>
    <row r="159" spans="1:28" ht="16" x14ac:dyDescent="0.2">
      <c r="A159" s="30"/>
      <c r="B159" s="31"/>
      <c r="C159" s="32"/>
      <c r="D159" s="33" t="str">
        <f>IF($B159="","",$B159+IF($C159="",IF('Start Here'!$C$15="",14,'Start Here'!$C$15),$C159))</f>
        <v/>
      </c>
      <c r="E159" s="30"/>
      <c r="F159" s="30"/>
      <c r="G159" s="30"/>
      <c r="H159" s="30"/>
      <c r="I159" s="34" t="str">
        <f>IF($A159="","",ROUND(SUMIF('Line Items'!$A$8:$A$507,$A159,'Line Items'!$H$8:$H$507),2))</f>
        <v/>
      </c>
      <c r="J159" s="35"/>
      <c r="K159" s="34" t="str">
        <f>IF($A159="","",ROUND($I159*IFERROR(IF($J159="",IF('Start Here'!$C$22="",0,'Start Here'!$C$22),$J159),0)/100,2))</f>
        <v/>
      </c>
      <c r="L159" s="34" t="str">
        <f t="shared" si="18"/>
        <v/>
      </c>
      <c r="M159" s="36"/>
      <c r="N159" s="31"/>
      <c r="O159" s="34" t="str">
        <f t="shared" si="19"/>
        <v/>
      </c>
      <c r="P159" s="30"/>
      <c r="Q159" s="37" t="str">
        <f t="shared" ca="1" si="20"/>
        <v/>
      </c>
      <c r="R159" s="38" t="str">
        <f t="shared" ca="1" si="21"/>
        <v/>
      </c>
      <c r="S159" s="37" t="str">
        <f ca="1">IF($A159="","",IF(OR($Q159="Paid",$Q159="Cancelled",$Q159="Draft"),"—",IF($Q159="No lines yet","Add line items",IF($Q159="No date","Add invoice date",IF($D159-TODAY()&gt;7,"—",IF($D159-TODAY()&gt;=1,"Due soon",IF($D159=TODAY(),"Due today",IF(TODAY()-$D159&lt;IF('Start Here'!$C$16="",7,'Start Here'!$C$16),"Just overdue",IF(TODAY()-$D159&lt;IF('Start Here'!$C$17="",21,'Start Here'!$C$17),"First reminder",IF(TODAY()-$D159&lt;IF('Start Here'!$C$18="",45,'Start Here'!$C$18),"Second reminder","Last friendly reminder"))))))))))</f>
        <v/>
      </c>
      <c r="T159" s="31"/>
      <c r="U159" s="30"/>
      <c r="V159" s="37" t="str">
        <f t="shared" si="22"/>
        <v/>
      </c>
      <c r="W159" s="40"/>
      <c r="X159" s="37" t="str">
        <f>IF($A159="","",IFERROR(VALUE(IF('Start Here'!$C$13="",$A159,SUBSTITUTE($A159,'Start Here'!$C$13,""))),""))</f>
        <v/>
      </c>
      <c r="Y159" s="37" t="str">
        <f t="shared" si="23"/>
        <v/>
      </c>
      <c r="Z159" s="37" t="str">
        <f t="shared" ca="1" si="24"/>
        <v/>
      </c>
      <c r="AA159" s="37" t="str">
        <f t="shared" si="25"/>
        <v/>
      </c>
      <c r="AB159" s="37" t="str">
        <f t="shared" ca="1" si="26"/>
        <v/>
      </c>
    </row>
    <row r="160" spans="1:28" ht="16" x14ac:dyDescent="0.2">
      <c r="A160" s="30"/>
      <c r="B160" s="31"/>
      <c r="C160" s="32"/>
      <c r="D160" s="33" t="str">
        <f>IF($B160="","",$B160+IF($C160="",IF('Start Here'!$C$15="",14,'Start Here'!$C$15),$C160))</f>
        <v/>
      </c>
      <c r="E160" s="30"/>
      <c r="F160" s="30"/>
      <c r="G160" s="30"/>
      <c r="H160" s="30"/>
      <c r="I160" s="34" t="str">
        <f>IF($A160="","",ROUND(SUMIF('Line Items'!$A$8:$A$507,$A160,'Line Items'!$H$8:$H$507),2))</f>
        <v/>
      </c>
      <c r="J160" s="35"/>
      <c r="K160" s="34" t="str">
        <f>IF($A160="","",ROUND($I160*IFERROR(IF($J160="",IF('Start Here'!$C$22="",0,'Start Here'!$C$22),$J160),0)/100,2))</f>
        <v/>
      </c>
      <c r="L160" s="34" t="str">
        <f t="shared" si="18"/>
        <v/>
      </c>
      <c r="M160" s="36"/>
      <c r="N160" s="31"/>
      <c r="O160" s="34" t="str">
        <f t="shared" si="19"/>
        <v/>
      </c>
      <c r="P160" s="30"/>
      <c r="Q160" s="37" t="str">
        <f t="shared" ca="1" si="20"/>
        <v/>
      </c>
      <c r="R160" s="38" t="str">
        <f t="shared" ca="1" si="21"/>
        <v/>
      </c>
      <c r="S160" s="37" t="str">
        <f ca="1">IF($A160="","",IF(OR($Q160="Paid",$Q160="Cancelled",$Q160="Draft"),"—",IF($Q160="No lines yet","Add line items",IF($Q160="No date","Add invoice date",IF($D160-TODAY()&gt;7,"—",IF($D160-TODAY()&gt;=1,"Due soon",IF($D160=TODAY(),"Due today",IF(TODAY()-$D160&lt;IF('Start Here'!$C$16="",7,'Start Here'!$C$16),"Just overdue",IF(TODAY()-$D160&lt;IF('Start Here'!$C$17="",21,'Start Here'!$C$17),"First reminder",IF(TODAY()-$D160&lt;IF('Start Here'!$C$18="",45,'Start Here'!$C$18),"Second reminder","Last friendly reminder"))))))))))</f>
        <v/>
      </c>
      <c r="T160" s="31"/>
      <c r="U160" s="30"/>
      <c r="V160" s="37" t="str">
        <f t="shared" si="22"/>
        <v/>
      </c>
      <c r="W160" s="39"/>
      <c r="X160" s="37" t="str">
        <f>IF($A160="","",IFERROR(VALUE(IF('Start Here'!$C$13="",$A160,SUBSTITUTE($A160,'Start Here'!$C$13,""))),""))</f>
        <v/>
      </c>
      <c r="Y160" s="37" t="str">
        <f t="shared" si="23"/>
        <v/>
      </c>
      <c r="Z160" s="37" t="str">
        <f t="shared" ca="1" si="24"/>
        <v/>
      </c>
      <c r="AA160" s="37" t="str">
        <f t="shared" si="25"/>
        <v/>
      </c>
      <c r="AB160" s="37" t="str">
        <f t="shared" ca="1" si="26"/>
        <v/>
      </c>
    </row>
    <row r="161" spans="1:28" ht="16" x14ac:dyDescent="0.2">
      <c r="A161" s="30"/>
      <c r="B161" s="31"/>
      <c r="C161" s="32"/>
      <c r="D161" s="33" t="str">
        <f>IF($B161="","",$B161+IF($C161="",IF('Start Here'!$C$15="",14,'Start Here'!$C$15),$C161))</f>
        <v/>
      </c>
      <c r="E161" s="30"/>
      <c r="F161" s="30"/>
      <c r="G161" s="30"/>
      <c r="H161" s="30"/>
      <c r="I161" s="34" t="str">
        <f>IF($A161="","",ROUND(SUMIF('Line Items'!$A$8:$A$507,$A161,'Line Items'!$H$8:$H$507),2))</f>
        <v/>
      </c>
      <c r="J161" s="35"/>
      <c r="K161" s="34" t="str">
        <f>IF($A161="","",ROUND($I161*IFERROR(IF($J161="",IF('Start Here'!$C$22="",0,'Start Here'!$C$22),$J161),0)/100,2))</f>
        <v/>
      </c>
      <c r="L161" s="34" t="str">
        <f t="shared" si="18"/>
        <v/>
      </c>
      <c r="M161" s="36"/>
      <c r="N161" s="31"/>
      <c r="O161" s="34" t="str">
        <f t="shared" si="19"/>
        <v/>
      </c>
      <c r="P161" s="30"/>
      <c r="Q161" s="37" t="str">
        <f t="shared" ca="1" si="20"/>
        <v/>
      </c>
      <c r="R161" s="38" t="str">
        <f t="shared" ca="1" si="21"/>
        <v/>
      </c>
      <c r="S161" s="37" t="str">
        <f ca="1">IF($A161="","",IF(OR($Q161="Paid",$Q161="Cancelled",$Q161="Draft"),"—",IF($Q161="No lines yet","Add line items",IF($Q161="No date","Add invoice date",IF($D161-TODAY()&gt;7,"—",IF($D161-TODAY()&gt;=1,"Due soon",IF($D161=TODAY(),"Due today",IF(TODAY()-$D161&lt;IF('Start Here'!$C$16="",7,'Start Here'!$C$16),"Just overdue",IF(TODAY()-$D161&lt;IF('Start Here'!$C$17="",21,'Start Here'!$C$17),"First reminder",IF(TODAY()-$D161&lt;IF('Start Here'!$C$18="",45,'Start Here'!$C$18),"Second reminder","Last friendly reminder"))))))))))</f>
        <v/>
      </c>
      <c r="T161" s="31"/>
      <c r="U161" s="30"/>
      <c r="V161" s="37" t="str">
        <f t="shared" si="22"/>
        <v/>
      </c>
      <c r="W161" s="40"/>
      <c r="X161" s="37" t="str">
        <f>IF($A161="","",IFERROR(VALUE(IF('Start Here'!$C$13="",$A161,SUBSTITUTE($A161,'Start Here'!$C$13,""))),""))</f>
        <v/>
      </c>
      <c r="Y161" s="37" t="str">
        <f t="shared" si="23"/>
        <v/>
      </c>
      <c r="Z161" s="37" t="str">
        <f t="shared" ca="1" si="24"/>
        <v/>
      </c>
      <c r="AA161" s="37" t="str">
        <f t="shared" si="25"/>
        <v/>
      </c>
      <c r="AB161" s="37" t="str">
        <f t="shared" ca="1" si="26"/>
        <v/>
      </c>
    </row>
    <row r="162" spans="1:28" ht="16" x14ac:dyDescent="0.2">
      <c r="A162" s="30"/>
      <c r="B162" s="31"/>
      <c r="C162" s="32"/>
      <c r="D162" s="33" t="str">
        <f>IF($B162="","",$B162+IF($C162="",IF('Start Here'!$C$15="",14,'Start Here'!$C$15),$C162))</f>
        <v/>
      </c>
      <c r="E162" s="30"/>
      <c r="F162" s="30"/>
      <c r="G162" s="30"/>
      <c r="H162" s="30"/>
      <c r="I162" s="34" t="str">
        <f>IF($A162="","",ROUND(SUMIF('Line Items'!$A$8:$A$507,$A162,'Line Items'!$H$8:$H$507),2))</f>
        <v/>
      </c>
      <c r="J162" s="35"/>
      <c r="K162" s="34" t="str">
        <f>IF($A162="","",ROUND($I162*IFERROR(IF($J162="",IF('Start Here'!$C$22="",0,'Start Here'!$C$22),$J162),0)/100,2))</f>
        <v/>
      </c>
      <c r="L162" s="34" t="str">
        <f t="shared" si="18"/>
        <v/>
      </c>
      <c r="M162" s="36"/>
      <c r="N162" s="31"/>
      <c r="O162" s="34" t="str">
        <f t="shared" si="19"/>
        <v/>
      </c>
      <c r="P162" s="30"/>
      <c r="Q162" s="37" t="str">
        <f t="shared" ca="1" si="20"/>
        <v/>
      </c>
      <c r="R162" s="38" t="str">
        <f t="shared" ca="1" si="21"/>
        <v/>
      </c>
      <c r="S162" s="37" t="str">
        <f ca="1">IF($A162="","",IF(OR($Q162="Paid",$Q162="Cancelled",$Q162="Draft"),"—",IF($Q162="No lines yet","Add line items",IF($Q162="No date","Add invoice date",IF($D162-TODAY()&gt;7,"—",IF($D162-TODAY()&gt;=1,"Due soon",IF($D162=TODAY(),"Due today",IF(TODAY()-$D162&lt;IF('Start Here'!$C$16="",7,'Start Here'!$C$16),"Just overdue",IF(TODAY()-$D162&lt;IF('Start Here'!$C$17="",21,'Start Here'!$C$17),"First reminder",IF(TODAY()-$D162&lt;IF('Start Here'!$C$18="",45,'Start Here'!$C$18),"Second reminder","Last friendly reminder"))))))))))</f>
        <v/>
      </c>
      <c r="T162" s="31"/>
      <c r="U162" s="30"/>
      <c r="V162" s="37" t="str">
        <f t="shared" si="22"/>
        <v/>
      </c>
      <c r="W162" s="39"/>
      <c r="X162" s="37" t="str">
        <f>IF($A162="","",IFERROR(VALUE(IF('Start Here'!$C$13="",$A162,SUBSTITUTE($A162,'Start Here'!$C$13,""))),""))</f>
        <v/>
      </c>
      <c r="Y162" s="37" t="str">
        <f t="shared" si="23"/>
        <v/>
      </c>
      <c r="Z162" s="37" t="str">
        <f t="shared" ca="1" si="24"/>
        <v/>
      </c>
      <c r="AA162" s="37" t="str">
        <f t="shared" si="25"/>
        <v/>
      </c>
      <c r="AB162" s="37" t="str">
        <f t="shared" ca="1" si="26"/>
        <v/>
      </c>
    </row>
    <row r="163" spans="1:28" ht="16" x14ac:dyDescent="0.2">
      <c r="A163" s="30"/>
      <c r="B163" s="31"/>
      <c r="C163" s="32"/>
      <c r="D163" s="33" t="str">
        <f>IF($B163="","",$B163+IF($C163="",IF('Start Here'!$C$15="",14,'Start Here'!$C$15),$C163))</f>
        <v/>
      </c>
      <c r="E163" s="30"/>
      <c r="F163" s="30"/>
      <c r="G163" s="30"/>
      <c r="H163" s="30"/>
      <c r="I163" s="34" t="str">
        <f>IF($A163="","",ROUND(SUMIF('Line Items'!$A$8:$A$507,$A163,'Line Items'!$H$8:$H$507),2))</f>
        <v/>
      </c>
      <c r="J163" s="35"/>
      <c r="K163" s="34" t="str">
        <f>IF($A163="","",ROUND($I163*IFERROR(IF($J163="",IF('Start Here'!$C$22="",0,'Start Here'!$C$22),$J163),0)/100,2))</f>
        <v/>
      </c>
      <c r="L163" s="34" t="str">
        <f t="shared" si="18"/>
        <v/>
      </c>
      <c r="M163" s="36"/>
      <c r="N163" s="31"/>
      <c r="O163" s="34" t="str">
        <f t="shared" si="19"/>
        <v/>
      </c>
      <c r="P163" s="30"/>
      <c r="Q163" s="37" t="str">
        <f t="shared" ca="1" si="20"/>
        <v/>
      </c>
      <c r="R163" s="38" t="str">
        <f t="shared" ca="1" si="21"/>
        <v/>
      </c>
      <c r="S163" s="37" t="str">
        <f ca="1">IF($A163="","",IF(OR($Q163="Paid",$Q163="Cancelled",$Q163="Draft"),"—",IF($Q163="No lines yet","Add line items",IF($Q163="No date","Add invoice date",IF($D163-TODAY()&gt;7,"—",IF($D163-TODAY()&gt;=1,"Due soon",IF($D163=TODAY(),"Due today",IF(TODAY()-$D163&lt;IF('Start Here'!$C$16="",7,'Start Here'!$C$16),"Just overdue",IF(TODAY()-$D163&lt;IF('Start Here'!$C$17="",21,'Start Here'!$C$17),"First reminder",IF(TODAY()-$D163&lt;IF('Start Here'!$C$18="",45,'Start Here'!$C$18),"Second reminder","Last friendly reminder"))))))))))</f>
        <v/>
      </c>
      <c r="T163" s="31"/>
      <c r="U163" s="30"/>
      <c r="V163" s="37" t="str">
        <f t="shared" si="22"/>
        <v/>
      </c>
      <c r="W163" s="40"/>
      <c r="X163" s="37" t="str">
        <f>IF($A163="","",IFERROR(VALUE(IF('Start Here'!$C$13="",$A163,SUBSTITUTE($A163,'Start Here'!$C$13,""))),""))</f>
        <v/>
      </c>
      <c r="Y163" s="37" t="str">
        <f t="shared" si="23"/>
        <v/>
      </c>
      <c r="Z163" s="37" t="str">
        <f t="shared" ca="1" si="24"/>
        <v/>
      </c>
      <c r="AA163" s="37" t="str">
        <f t="shared" si="25"/>
        <v/>
      </c>
      <c r="AB163" s="37" t="str">
        <f t="shared" ca="1" si="26"/>
        <v/>
      </c>
    </row>
    <row r="164" spans="1:28" ht="16" x14ac:dyDescent="0.2">
      <c r="A164" s="30"/>
      <c r="B164" s="31"/>
      <c r="C164" s="32"/>
      <c r="D164" s="33" t="str">
        <f>IF($B164="","",$B164+IF($C164="",IF('Start Here'!$C$15="",14,'Start Here'!$C$15),$C164))</f>
        <v/>
      </c>
      <c r="E164" s="30"/>
      <c r="F164" s="30"/>
      <c r="G164" s="30"/>
      <c r="H164" s="30"/>
      <c r="I164" s="34" t="str">
        <f>IF($A164="","",ROUND(SUMIF('Line Items'!$A$8:$A$507,$A164,'Line Items'!$H$8:$H$507),2))</f>
        <v/>
      </c>
      <c r="J164" s="35"/>
      <c r="K164" s="34" t="str">
        <f>IF($A164="","",ROUND($I164*IFERROR(IF($J164="",IF('Start Here'!$C$22="",0,'Start Here'!$C$22),$J164),0)/100,2))</f>
        <v/>
      </c>
      <c r="L164" s="34" t="str">
        <f t="shared" si="18"/>
        <v/>
      </c>
      <c r="M164" s="36"/>
      <c r="N164" s="31"/>
      <c r="O164" s="34" t="str">
        <f t="shared" si="19"/>
        <v/>
      </c>
      <c r="P164" s="30"/>
      <c r="Q164" s="37" t="str">
        <f t="shared" ca="1" si="20"/>
        <v/>
      </c>
      <c r="R164" s="38" t="str">
        <f t="shared" ca="1" si="21"/>
        <v/>
      </c>
      <c r="S164" s="37" t="str">
        <f ca="1">IF($A164="","",IF(OR($Q164="Paid",$Q164="Cancelled",$Q164="Draft"),"—",IF($Q164="No lines yet","Add line items",IF($Q164="No date","Add invoice date",IF($D164-TODAY()&gt;7,"—",IF($D164-TODAY()&gt;=1,"Due soon",IF($D164=TODAY(),"Due today",IF(TODAY()-$D164&lt;IF('Start Here'!$C$16="",7,'Start Here'!$C$16),"Just overdue",IF(TODAY()-$D164&lt;IF('Start Here'!$C$17="",21,'Start Here'!$C$17),"First reminder",IF(TODAY()-$D164&lt;IF('Start Here'!$C$18="",45,'Start Here'!$C$18),"Second reminder","Last friendly reminder"))))))))))</f>
        <v/>
      </c>
      <c r="T164" s="31"/>
      <c r="U164" s="30"/>
      <c r="V164" s="37" t="str">
        <f t="shared" si="22"/>
        <v/>
      </c>
      <c r="W164" s="39"/>
      <c r="X164" s="37" t="str">
        <f>IF($A164="","",IFERROR(VALUE(IF('Start Here'!$C$13="",$A164,SUBSTITUTE($A164,'Start Here'!$C$13,""))),""))</f>
        <v/>
      </c>
      <c r="Y164" s="37" t="str">
        <f t="shared" si="23"/>
        <v/>
      </c>
      <c r="Z164" s="37" t="str">
        <f t="shared" ca="1" si="24"/>
        <v/>
      </c>
      <c r="AA164" s="37" t="str">
        <f t="shared" si="25"/>
        <v/>
      </c>
      <c r="AB164" s="37" t="str">
        <f t="shared" ca="1" si="26"/>
        <v/>
      </c>
    </row>
    <row r="165" spans="1:28" ht="16" x14ac:dyDescent="0.2">
      <c r="A165" s="30"/>
      <c r="B165" s="31"/>
      <c r="C165" s="32"/>
      <c r="D165" s="33" t="str">
        <f>IF($B165="","",$B165+IF($C165="",IF('Start Here'!$C$15="",14,'Start Here'!$C$15),$C165))</f>
        <v/>
      </c>
      <c r="E165" s="30"/>
      <c r="F165" s="30"/>
      <c r="G165" s="30"/>
      <c r="H165" s="30"/>
      <c r="I165" s="34" t="str">
        <f>IF($A165="","",ROUND(SUMIF('Line Items'!$A$8:$A$507,$A165,'Line Items'!$H$8:$H$507),2))</f>
        <v/>
      </c>
      <c r="J165" s="35"/>
      <c r="K165" s="34" t="str">
        <f>IF($A165="","",ROUND($I165*IFERROR(IF($J165="",IF('Start Here'!$C$22="",0,'Start Here'!$C$22),$J165),0)/100,2))</f>
        <v/>
      </c>
      <c r="L165" s="34" t="str">
        <f t="shared" si="18"/>
        <v/>
      </c>
      <c r="M165" s="36"/>
      <c r="N165" s="31"/>
      <c r="O165" s="34" t="str">
        <f t="shared" si="19"/>
        <v/>
      </c>
      <c r="P165" s="30"/>
      <c r="Q165" s="37" t="str">
        <f t="shared" ca="1" si="20"/>
        <v/>
      </c>
      <c r="R165" s="38" t="str">
        <f t="shared" ca="1" si="21"/>
        <v/>
      </c>
      <c r="S165" s="37" t="str">
        <f ca="1">IF($A165="","",IF(OR($Q165="Paid",$Q165="Cancelled",$Q165="Draft"),"—",IF($Q165="No lines yet","Add line items",IF($Q165="No date","Add invoice date",IF($D165-TODAY()&gt;7,"—",IF($D165-TODAY()&gt;=1,"Due soon",IF($D165=TODAY(),"Due today",IF(TODAY()-$D165&lt;IF('Start Here'!$C$16="",7,'Start Here'!$C$16),"Just overdue",IF(TODAY()-$D165&lt;IF('Start Here'!$C$17="",21,'Start Here'!$C$17),"First reminder",IF(TODAY()-$D165&lt;IF('Start Here'!$C$18="",45,'Start Here'!$C$18),"Second reminder","Last friendly reminder"))))))))))</f>
        <v/>
      </c>
      <c r="T165" s="31"/>
      <c r="U165" s="30"/>
      <c r="V165" s="37" t="str">
        <f t="shared" si="22"/>
        <v/>
      </c>
      <c r="W165" s="40"/>
      <c r="X165" s="37" t="str">
        <f>IF($A165="","",IFERROR(VALUE(IF('Start Here'!$C$13="",$A165,SUBSTITUTE($A165,'Start Here'!$C$13,""))),""))</f>
        <v/>
      </c>
      <c r="Y165" s="37" t="str">
        <f t="shared" si="23"/>
        <v/>
      </c>
      <c r="Z165" s="37" t="str">
        <f t="shared" ca="1" si="24"/>
        <v/>
      </c>
      <c r="AA165" s="37" t="str">
        <f t="shared" si="25"/>
        <v/>
      </c>
      <c r="AB165" s="37" t="str">
        <f t="shared" ca="1" si="26"/>
        <v/>
      </c>
    </row>
    <row r="166" spans="1:28" ht="16" x14ac:dyDescent="0.2">
      <c r="A166" s="30"/>
      <c r="B166" s="31"/>
      <c r="C166" s="32"/>
      <c r="D166" s="33" t="str">
        <f>IF($B166="","",$B166+IF($C166="",IF('Start Here'!$C$15="",14,'Start Here'!$C$15),$C166))</f>
        <v/>
      </c>
      <c r="E166" s="30"/>
      <c r="F166" s="30"/>
      <c r="G166" s="30"/>
      <c r="H166" s="30"/>
      <c r="I166" s="34" t="str">
        <f>IF($A166="","",ROUND(SUMIF('Line Items'!$A$8:$A$507,$A166,'Line Items'!$H$8:$H$507),2))</f>
        <v/>
      </c>
      <c r="J166" s="35"/>
      <c r="K166" s="34" t="str">
        <f>IF($A166="","",ROUND($I166*IFERROR(IF($J166="",IF('Start Here'!$C$22="",0,'Start Here'!$C$22),$J166),0)/100,2))</f>
        <v/>
      </c>
      <c r="L166" s="34" t="str">
        <f t="shared" si="18"/>
        <v/>
      </c>
      <c r="M166" s="36"/>
      <c r="N166" s="31"/>
      <c r="O166" s="34" t="str">
        <f t="shared" si="19"/>
        <v/>
      </c>
      <c r="P166" s="30"/>
      <c r="Q166" s="37" t="str">
        <f t="shared" ca="1" si="20"/>
        <v/>
      </c>
      <c r="R166" s="38" t="str">
        <f t="shared" ca="1" si="21"/>
        <v/>
      </c>
      <c r="S166" s="37" t="str">
        <f ca="1">IF($A166="","",IF(OR($Q166="Paid",$Q166="Cancelled",$Q166="Draft"),"—",IF($Q166="No lines yet","Add line items",IF($Q166="No date","Add invoice date",IF($D166-TODAY()&gt;7,"—",IF($D166-TODAY()&gt;=1,"Due soon",IF($D166=TODAY(),"Due today",IF(TODAY()-$D166&lt;IF('Start Here'!$C$16="",7,'Start Here'!$C$16),"Just overdue",IF(TODAY()-$D166&lt;IF('Start Here'!$C$17="",21,'Start Here'!$C$17),"First reminder",IF(TODAY()-$D166&lt;IF('Start Here'!$C$18="",45,'Start Here'!$C$18),"Second reminder","Last friendly reminder"))))))))))</f>
        <v/>
      </c>
      <c r="T166" s="31"/>
      <c r="U166" s="30"/>
      <c r="V166" s="37" t="str">
        <f t="shared" si="22"/>
        <v/>
      </c>
      <c r="W166" s="39"/>
      <c r="X166" s="37" t="str">
        <f>IF($A166="","",IFERROR(VALUE(IF('Start Here'!$C$13="",$A166,SUBSTITUTE($A166,'Start Here'!$C$13,""))),""))</f>
        <v/>
      </c>
      <c r="Y166" s="37" t="str">
        <f t="shared" si="23"/>
        <v/>
      </c>
      <c r="Z166" s="37" t="str">
        <f t="shared" ca="1" si="24"/>
        <v/>
      </c>
      <c r="AA166" s="37" t="str">
        <f t="shared" si="25"/>
        <v/>
      </c>
      <c r="AB166" s="37" t="str">
        <f t="shared" ca="1" si="26"/>
        <v/>
      </c>
    </row>
    <row r="167" spans="1:28" ht="16" x14ac:dyDescent="0.2">
      <c r="A167" s="30"/>
      <c r="B167" s="31"/>
      <c r="C167" s="32"/>
      <c r="D167" s="33" t="str">
        <f>IF($B167="","",$B167+IF($C167="",IF('Start Here'!$C$15="",14,'Start Here'!$C$15),$C167))</f>
        <v/>
      </c>
      <c r="E167" s="30"/>
      <c r="F167" s="30"/>
      <c r="G167" s="30"/>
      <c r="H167" s="30"/>
      <c r="I167" s="34" t="str">
        <f>IF($A167="","",ROUND(SUMIF('Line Items'!$A$8:$A$507,$A167,'Line Items'!$H$8:$H$507),2))</f>
        <v/>
      </c>
      <c r="J167" s="35"/>
      <c r="K167" s="34" t="str">
        <f>IF($A167="","",ROUND($I167*IFERROR(IF($J167="",IF('Start Here'!$C$22="",0,'Start Here'!$C$22),$J167),0)/100,2))</f>
        <v/>
      </c>
      <c r="L167" s="34" t="str">
        <f t="shared" si="18"/>
        <v/>
      </c>
      <c r="M167" s="36"/>
      <c r="N167" s="31"/>
      <c r="O167" s="34" t="str">
        <f t="shared" si="19"/>
        <v/>
      </c>
      <c r="P167" s="30"/>
      <c r="Q167" s="37" t="str">
        <f t="shared" ca="1" si="20"/>
        <v/>
      </c>
      <c r="R167" s="38" t="str">
        <f t="shared" ca="1" si="21"/>
        <v/>
      </c>
      <c r="S167" s="37" t="str">
        <f ca="1">IF($A167="","",IF(OR($Q167="Paid",$Q167="Cancelled",$Q167="Draft"),"—",IF($Q167="No lines yet","Add line items",IF($Q167="No date","Add invoice date",IF($D167-TODAY()&gt;7,"—",IF($D167-TODAY()&gt;=1,"Due soon",IF($D167=TODAY(),"Due today",IF(TODAY()-$D167&lt;IF('Start Here'!$C$16="",7,'Start Here'!$C$16),"Just overdue",IF(TODAY()-$D167&lt;IF('Start Here'!$C$17="",21,'Start Here'!$C$17),"First reminder",IF(TODAY()-$D167&lt;IF('Start Here'!$C$18="",45,'Start Here'!$C$18),"Second reminder","Last friendly reminder"))))))))))</f>
        <v/>
      </c>
      <c r="T167" s="31"/>
      <c r="U167" s="30"/>
      <c r="V167" s="37" t="str">
        <f t="shared" si="22"/>
        <v/>
      </c>
      <c r="W167" s="40"/>
      <c r="X167" s="37" t="str">
        <f>IF($A167="","",IFERROR(VALUE(IF('Start Here'!$C$13="",$A167,SUBSTITUTE($A167,'Start Here'!$C$13,""))),""))</f>
        <v/>
      </c>
      <c r="Y167" s="37" t="str">
        <f t="shared" si="23"/>
        <v/>
      </c>
      <c r="Z167" s="37" t="str">
        <f t="shared" ca="1" si="24"/>
        <v/>
      </c>
      <c r="AA167" s="37" t="str">
        <f t="shared" si="25"/>
        <v/>
      </c>
      <c r="AB167" s="37" t="str">
        <f t="shared" ca="1" si="26"/>
        <v/>
      </c>
    </row>
    <row r="168" spans="1:28" ht="16" x14ac:dyDescent="0.2">
      <c r="A168" s="30"/>
      <c r="B168" s="31"/>
      <c r="C168" s="32"/>
      <c r="D168" s="33" t="str">
        <f>IF($B168="","",$B168+IF($C168="",IF('Start Here'!$C$15="",14,'Start Here'!$C$15),$C168))</f>
        <v/>
      </c>
      <c r="E168" s="30"/>
      <c r="F168" s="30"/>
      <c r="G168" s="30"/>
      <c r="H168" s="30"/>
      <c r="I168" s="34" t="str">
        <f>IF($A168="","",ROUND(SUMIF('Line Items'!$A$8:$A$507,$A168,'Line Items'!$H$8:$H$507),2))</f>
        <v/>
      </c>
      <c r="J168" s="35"/>
      <c r="K168" s="34" t="str">
        <f>IF($A168="","",ROUND($I168*IFERROR(IF($J168="",IF('Start Here'!$C$22="",0,'Start Here'!$C$22),$J168),0)/100,2))</f>
        <v/>
      </c>
      <c r="L168" s="34" t="str">
        <f t="shared" si="18"/>
        <v/>
      </c>
      <c r="M168" s="36"/>
      <c r="N168" s="31"/>
      <c r="O168" s="34" t="str">
        <f t="shared" si="19"/>
        <v/>
      </c>
      <c r="P168" s="30"/>
      <c r="Q168" s="37" t="str">
        <f t="shared" ca="1" si="20"/>
        <v/>
      </c>
      <c r="R168" s="38" t="str">
        <f t="shared" ca="1" si="21"/>
        <v/>
      </c>
      <c r="S168" s="37" t="str">
        <f ca="1">IF($A168="","",IF(OR($Q168="Paid",$Q168="Cancelled",$Q168="Draft"),"—",IF($Q168="No lines yet","Add line items",IF($Q168="No date","Add invoice date",IF($D168-TODAY()&gt;7,"—",IF($D168-TODAY()&gt;=1,"Due soon",IF($D168=TODAY(),"Due today",IF(TODAY()-$D168&lt;IF('Start Here'!$C$16="",7,'Start Here'!$C$16),"Just overdue",IF(TODAY()-$D168&lt;IF('Start Here'!$C$17="",21,'Start Here'!$C$17),"First reminder",IF(TODAY()-$D168&lt;IF('Start Here'!$C$18="",45,'Start Here'!$C$18),"Second reminder","Last friendly reminder"))))))))))</f>
        <v/>
      </c>
      <c r="T168" s="31"/>
      <c r="U168" s="30"/>
      <c r="V168" s="37" t="str">
        <f t="shared" si="22"/>
        <v/>
      </c>
      <c r="W168" s="39"/>
      <c r="X168" s="37" t="str">
        <f>IF($A168="","",IFERROR(VALUE(IF('Start Here'!$C$13="",$A168,SUBSTITUTE($A168,'Start Here'!$C$13,""))),""))</f>
        <v/>
      </c>
      <c r="Y168" s="37" t="str">
        <f t="shared" si="23"/>
        <v/>
      </c>
      <c r="Z168" s="37" t="str">
        <f t="shared" ca="1" si="24"/>
        <v/>
      </c>
      <c r="AA168" s="37" t="str">
        <f t="shared" si="25"/>
        <v/>
      </c>
      <c r="AB168" s="37" t="str">
        <f t="shared" ca="1" si="26"/>
        <v/>
      </c>
    </row>
    <row r="169" spans="1:28" ht="16" x14ac:dyDescent="0.2">
      <c r="A169" s="30"/>
      <c r="B169" s="31"/>
      <c r="C169" s="32"/>
      <c r="D169" s="33" t="str">
        <f>IF($B169="","",$B169+IF($C169="",IF('Start Here'!$C$15="",14,'Start Here'!$C$15),$C169))</f>
        <v/>
      </c>
      <c r="E169" s="30"/>
      <c r="F169" s="30"/>
      <c r="G169" s="30"/>
      <c r="H169" s="30"/>
      <c r="I169" s="34" t="str">
        <f>IF($A169="","",ROUND(SUMIF('Line Items'!$A$8:$A$507,$A169,'Line Items'!$H$8:$H$507),2))</f>
        <v/>
      </c>
      <c r="J169" s="35"/>
      <c r="K169" s="34" t="str">
        <f>IF($A169="","",ROUND($I169*IFERROR(IF($J169="",IF('Start Here'!$C$22="",0,'Start Here'!$C$22),$J169),0)/100,2))</f>
        <v/>
      </c>
      <c r="L169" s="34" t="str">
        <f t="shared" si="18"/>
        <v/>
      </c>
      <c r="M169" s="36"/>
      <c r="N169" s="31"/>
      <c r="O169" s="34" t="str">
        <f t="shared" si="19"/>
        <v/>
      </c>
      <c r="P169" s="30"/>
      <c r="Q169" s="37" t="str">
        <f t="shared" ca="1" si="20"/>
        <v/>
      </c>
      <c r="R169" s="38" t="str">
        <f t="shared" ca="1" si="21"/>
        <v/>
      </c>
      <c r="S169" s="37" t="str">
        <f ca="1">IF($A169="","",IF(OR($Q169="Paid",$Q169="Cancelled",$Q169="Draft"),"—",IF($Q169="No lines yet","Add line items",IF($Q169="No date","Add invoice date",IF($D169-TODAY()&gt;7,"—",IF($D169-TODAY()&gt;=1,"Due soon",IF($D169=TODAY(),"Due today",IF(TODAY()-$D169&lt;IF('Start Here'!$C$16="",7,'Start Here'!$C$16),"Just overdue",IF(TODAY()-$D169&lt;IF('Start Here'!$C$17="",21,'Start Here'!$C$17),"First reminder",IF(TODAY()-$D169&lt;IF('Start Here'!$C$18="",45,'Start Here'!$C$18),"Second reminder","Last friendly reminder"))))))))))</f>
        <v/>
      </c>
      <c r="T169" s="31"/>
      <c r="U169" s="30"/>
      <c r="V169" s="37" t="str">
        <f t="shared" si="22"/>
        <v/>
      </c>
      <c r="W169" s="40"/>
      <c r="X169" s="37" t="str">
        <f>IF($A169="","",IFERROR(VALUE(IF('Start Here'!$C$13="",$A169,SUBSTITUTE($A169,'Start Here'!$C$13,""))),""))</f>
        <v/>
      </c>
      <c r="Y169" s="37" t="str">
        <f t="shared" si="23"/>
        <v/>
      </c>
      <c r="Z169" s="37" t="str">
        <f t="shared" ca="1" si="24"/>
        <v/>
      </c>
      <c r="AA169" s="37" t="str">
        <f t="shared" si="25"/>
        <v/>
      </c>
      <c r="AB169" s="37" t="str">
        <f t="shared" ca="1" si="26"/>
        <v/>
      </c>
    </row>
    <row r="170" spans="1:28" ht="16" x14ac:dyDescent="0.2">
      <c r="A170" s="30"/>
      <c r="B170" s="31"/>
      <c r="C170" s="32"/>
      <c r="D170" s="33" t="str">
        <f>IF($B170="","",$B170+IF($C170="",IF('Start Here'!$C$15="",14,'Start Here'!$C$15),$C170))</f>
        <v/>
      </c>
      <c r="E170" s="30"/>
      <c r="F170" s="30"/>
      <c r="G170" s="30"/>
      <c r="H170" s="30"/>
      <c r="I170" s="34" t="str">
        <f>IF($A170="","",ROUND(SUMIF('Line Items'!$A$8:$A$507,$A170,'Line Items'!$H$8:$H$507),2))</f>
        <v/>
      </c>
      <c r="J170" s="35"/>
      <c r="K170" s="34" t="str">
        <f>IF($A170="","",ROUND($I170*IFERROR(IF($J170="",IF('Start Here'!$C$22="",0,'Start Here'!$C$22),$J170),0)/100,2))</f>
        <v/>
      </c>
      <c r="L170" s="34" t="str">
        <f t="shared" si="18"/>
        <v/>
      </c>
      <c r="M170" s="36"/>
      <c r="N170" s="31"/>
      <c r="O170" s="34" t="str">
        <f t="shared" si="19"/>
        <v/>
      </c>
      <c r="P170" s="30"/>
      <c r="Q170" s="37" t="str">
        <f t="shared" ca="1" si="20"/>
        <v/>
      </c>
      <c r="R170" s="38" t="str">
        <f t="shared" ca="1" si="21"/>
        <v/>
      </c>
      <c r="S170" s="37" t="str">
        <f ca="1">IF($A170="","",IF(OR($Q170="Paid",$Q170="Cancelled",$Q170="Draft"),"—",IF($Q170="No lines yet","Add line items",IF($Q170="No date","Add invoice date",IF($D170-TODAY()&gt;7,"—",IF($D170-TODAY()&gt;=1,"Due soon",IF($D170=TODAY(),"Due today",IF(TODAY()-$D170&lt;IF('Start Here'!$C$16="",7,'Start Here'!$C$16),"Just overdue",IF(TODAY()-$D170&lt;IF('Start Here'!$C$17="",21,'Start Here'!$C$17),"First reminder",IF(TODAY()-$D170&lt;IF('Start Here'!$C$18="",45,'Start Here'!$C$18),"Second reminder","Last friendly reminder"))))))))))</f>
        <v/>
      </c>
      <c r="T170" s="31"/>
      <c r="U170" s="30"/>
      <c r="V170" s="37" t="str">
        <f t="shared" si="22"/>
        <v/>
      </c>
      <c r="W170" s="39"/>
      <c r="X170" s="37" t="str">
        <f>IF($A170="","",IFERROR(VALUE(IF('Start Here'!$C$13="",$A170,SUBSTITUTE($A170,'Start Here'!$C$13,""))),""))</f>
        <v/>
      </c>
      <c r="Y170" s="37" t="str">
        <f t="shared" si="23"/>
        <v/>
      </c>
      <c r="Z170" s="37" t="str">
        <f t="shared" ca="1" si="24"/>
        <v/>
      </c>
      <c r="AA170" s="37" t="str">
        <f t="shared" si="25"/>
        <v/>
      </c>
      <c r="AB170" s="37" t="str">
        <f t="shared" ca="1" si="26"/>
        <v/>
      </c>
    </row>
    <row r="171" spans="1:28" ht="16" x14ac:dyDescent="0.2">
      <c r="A171" s="30"/>
      <c r="B171" s="31"/>
      <c r="C171" s="32"/>
      <c r="D171" s="33" t="str">
        <f>IF($B171="","",$B171+IF($C171="",IF('Start Here'!$C$15="",14,'Start Here'!$C$15),$C171))</f>
        <v/>
      </c>
      <c r="E171" s="30"/>
      <c r="F171" s="30"/>
      <c r="G171" s="30"/>
      <c r="H171" s="30"/>
      <c r="I171" s="34" t="str">
        <f>IF($A171="","",ROUND(SUMIF('Line Items'!$A$8:$A$507,$A171,'Line Items'!$H$8:$H$507),2))</f>
        <v/>
      </c>
      <c r="J171" s="35"/>
      <c r="K171" s="34" t="str">
        <f>IF($A171="","",ROUND($I171*IFERROR(IF($J171="",IF('Start Here'!$C$22="",0,'Start Here'!$C$22),$J171),0)/100,2))</f>
        <v/>
      </c>
      <c r="L171" s="34" t="str">
        <f t="shared" si="18"/>
        <v/>
      </c>
      <c r="M171" s="36"/>
      <c r="N171" s="31"/>
      <c r="O171" s="34" t="str">
        <f t="shared" si="19"/>
        <v/>
      </c>
      <c r="P171" s="30"/>
      <c r="Q171" s="37" t="str">
        <f t="shared" ca="1" si="20"/>
        <v/>
      </c>
      <c r="R171" s="38" t="str">
        <f t="shared" ca="1" si="21"/>
        <v/>
      </c>
      <c r="S171" s="37" t="str">
        <f ca="1">IF($A171="","",IF(OR($Q171="Paid",$Q171="Cancelled",$Q171="Draft"),"—",IF($Q171="No lines yet","Add line items",IF($Q171="No date","Add invoice date",IF($D171-TODAY()&gt;7,"—",IF($D171-TODAY()&gt;=1,"Due soon",IF($D171=TODAY(),"Due today",IF(TODAY()-$D171&lt;IF('Start Here'!$C$16="",7,'Start Here'!$C$16),"Just overdue",IF(TODAY()-$D171&lt;IF('Start Here'!$C$17="",21,'Start Here'!$C$17),"First reminder",IF(TODAY()-$D171&lt;IF('Start Here'!$C$18="",45,'Start Here'!$C$18),"Second reminder","Last friendly reminder"))))))))))</f>
        <v/>
      </c>
      <c r="T171" s="31"/>
      <c r="U171" s="30"/>
      <c r="V171" s="37" t="str">
        <f t="shared" si="22"/>
        <v/>
      </c>
      <c r="W171" s="40"/>
      <c r="X171" s="37" t="str">
        <f>IF($A171="","",IFERROR(VALUE(IF('Start Here'!$C$13="",$A171,SUBSTITUTE($A171,'Start Here'!$C$13,""))),""))</f>
        <v/>
      </c>
      <c r="Y171" s="37" t="str">
        <f t="shared" si="23"/>
        <v/>
      </c>
      <c r="Z171" s="37" t="str">
        <f t="shared" ca="1" si="24"/>
        <v/>
      </c>
      <c r="AA171" s="37" t="str">
        <f t="shared" si="25"/>
        <v/>
      </c>
      <c r="AB171" s="37" t="str">
        <f t="shared" ca="1" si="26"/>
        <v/>
      </c>
    </row>
    <row r="172" spans="1:28" ht="16" x14ac:dyDescent="0.2">
      <c r="A172" s="30"/>
      <c r="B172" s="31"/>
      <c r="C172" s="32"/>
      <c r="D172" s="33" t="str">
        <f>IF($B172="","",$B172+IF($C172="",IF('Start Here'!$C$15="",14,'Start Here'!$C$15),$C172))</f>
        <v/>
      </c>
      <c r="E172" s="30"/>
      <c r="F172" s="30"/>
      <c r="G172" s="30"/>
      <c r="H172" s="30"/>
      <c r="I172" s="34" t="str">
        <f>IF($A172="","",ROUND(SUMIF('Line Items'!$A$8:$A$507,$A172,'Line Items'!$H$8:$H$507),2))</f>
        <v/>
      </c>
      <c r="J172" s="35"/>
      <c r="K172" s="34" t="str">
        <f>IF($A172="","",ROUND($I172*IFERROR(IF($J172="",IF('Start Here'!$C$22="",0,'Start Here'!$C$22),$J172),0)/100,2))</f>
        <v/>
      </c>
      <c r="L172" s="34" t="str">
        <f t="shared" si="18"/>
        <v/>
      </c>
      <c r="M172" s="36"/>
      <c r="N172" s="31"/>
      <c r="O172" s="34" t="str">
        <f t="shared" si="19"/>
        <v/>
      </c>
      <c r="P172" s="30"/>
      <c r="Q172" s="37" t="str">
        <f t="shared" ca="1" si="20"/>
        <v/>
      </c>
      <c r="R172" s="38" t="str">
        <f t="shared" ca="1" si="21"/>
        <v/>
      </c>
      <c r="S172" s="37" t="str">
        <f ca="1">IF($A172="","",IF(OR($Q172="Paid",$Q172="Cancelled",$Q172="Draft"),"—",IF($Q172="No lines yet","Add line items",IF($Q172="No date","Add invoice date",IF($D172-TODAY()&gt;7,"—",IF($D172-TODAY()&gt;=1,"Due soon",IF($D172=TODAY(),"Due today",IF(TODAY()-$D172&lt;IF('Start Here'!$C$16="",7,'Start Here'!$C$16),"Just overdue",IF(TODAY()-$D172&lt;IF('Start Here'!$C$17="",21,'Start Here'!$C$17),"First reminder",IF(TODAY()-$D172&lt;IF('Start Here'!$C$18="",45,'Start Here'!$C$18),"Second reminder","Last friendly reminder"))))))))))</f>
        <v/>
      </c>
      <c r="T172" s="31"/>
      <c r="U172" s="30"/>
      <c r="V172" s="37" t="str">
        <f t="shared" si="22"/>
        <v/>
      </c>
      <c r="W172" s="39"/>
      <c r="X172" s="37" t="str">
        <f>IF($A172="","",IFERROR(VALUE(IF('Start Here'!$C$13="",$A172,SUBSTITUTE($A172,'Start Here'!$C$13,""))),""))</f>
        <v/>
      </c>
      <c r="Y172" s="37" t="str">
        <f t="shared" si="23"/>
        <v/>
      </c>
      <c r="Z172" s="37" t="str">
        <f t="shared" ca="1" si="24"/>
        <v/>
      </c>
      <c r="AA172" s="37" t="str">
        <f t="shared" si="25"/>
        <v/>
      </c>
      <c r="AB172" s="37" t="str">
        <f t="shared" ca="1" si="26"/>
        <v/>
      </c>
    </row>
    <row r="173" spans="1:28" ht="16" x14ac:dyDescent="0.2">
      <c r="A173" s="30"/>
      <c r="B173" s="31"/>
      <c r="C173" s="32"/>
      <c r="D173" s="33" t="str">
        <f>IF($B173="","",$B173+IF($C173="",IF('Start Here'!$C$15="",14,'Start Here'!$C$15),$C173))</f>
        <v/>
      </c>
      <c r="E173" s="30"/>
      <c r="F173" s="30"/>
      <c r="G173" s="30"/>
      <c r="H173" s="30"/>
      <c r="I173" s="34" t="str">
        <f>IF($A173="","",ROUND(SUMIF('Line Items'!$A$8:$A$507,$A173,'Line Items'!$H$8:$H$507),2))</f>
        <v/>
      </c>
      <c r="J173" s="35"/>
      <c r="K173" s="34" t="str">
        <f>IF($A173="","",ROUND($I173*IFERROR(IF($J173="",IF('Start Here'!$C$22="",0,'Start Here'!$C$22),$J173),0)/100,2))</f>
        <v/>
      </c>
      <c r="L173" s="34" t="str">
        <f t="shared" si="18"/>
        <v/>
      </c>
      <c r="M173" s="36"/>
      <c r="N173" s="31"/>
      <c r="O173" s="34" t="str">
        <f t="shared" si="19"/>
        <v/>
      </c>
      <c r="P173" s="30"/>
      <c r="Q173" s="37" t="str">
        <f t="shared" ca="1" si="20"/>
        <v/>
      </c>
      <c r="R173" s="38" t="str">
        <f t="shared" ca="1" si="21"/>
        <v/>
      </c>
      <c r="S173" s="37" t="str">
        <f ca="1">IF($A173="","",IF(OR($Q173="Paid",$Q173="Cancelled",$Q173="Draft"),"—",IF($Q173="No lines yet","Add line items",IF($Q173="No date","Add invoice date",IF($D173-TODAY()&gt;7,"—",IF($D173-TODAY()&gt;=1,"Due soon",IF($D173=TODAY(),"Due today",IF(TODAY()-$D173&lt;IF('Start Here'!$C$16="",7,'Start Here'!$C$16),"Just overdue",IF(TODAY()-$D173&lt;IF('Start Here'!$C$17="",21,'Start Here'!$C$17),"First reminder",IF(TODAY()-$D173&lt;IF('Start Here'!$C$18="",45,'Start Here'!$C$18),"Second reminder","Last friendly reminder"))))))))))</f>
        <v/>
      </c>
      <c r="T173" s="31"/>
      <c r="U173" s="30"/>
      <c r="V173" s="37" t="str">
        <f t="shared" si="22"/>
        <v/>
      </c>
      <c r="W173" s="40"/>
      <c r="X173" s="37" t="str">
        <f>IF($A173="","",IFERROR(VALUE(IF('Start Here'!$C$13="",$A173,SUBSTITUTE($A173,'Start Here'!$C$13,""))),""))</f>
        <v/>
      </c>
      <c r="Y173" s="37" t="str">
        <f t="shared" si="23"/>
        <v/>
      </c>
      <c r="Z173" s="37" t="str">
        <f t="shared" ca="1" si="24"/>
        <v/>
      </c>
      <c r="AA173" s="37" t="str">
        <f t="shared" si="25"/>
        <v/>
      </c>
      <c r="AB173" s="37" t="str">
        <f t="shared" ca="1" si="26"/>
        <v/>
      </c>
    </row>
    <row r="174" spans="1:28" ht="16" x14ac:dyDescent="0.2">
      <c r="A174" s="30"/>
      <c r="B174" s="31"/>
      <c r="C174" s="32"/>
      <c r="D174" s="33" t="str">
        <f>IF($B174="","",$B174+IF($C174="",IF('Start Here'!$C$15="",14,'Start Here'!$C$15),$C174))</f>
        <v/>
      </c>
      <c r="E174" s="30"/>
      <c r="F174" s="30"/>
      <c r="G174" s="30"/>
      <c r="H174" s="30"/>
      <c r="I174" s="34" t="str">
        <f>IF($A174="","",ROUND(SUMIF('Line Items'!$A$8:$A$507,$A174,'Line Items'!$H$8:$H$507),2))</f>
        <v/>
      </c>
      <c r="J174" s="35"/>
      <c r="K174" s="34" t="str">
        <f>IF($A174="","",ROUND($I174*IFERROR(IF($J174="",IF('Start Here'!$C$22="",0,'Start Here'!$C$22),$J174),0)/100,2))</f>
        <v/>
      </c>
      <c r="L174" s="34" t="str">
        <f t="shared" si="18"/>
        <v/>
      </c>
      <c r="M174" s="36"/>
      <c r="N174" s="31"/>
      <c r="O174" s="34" t="str">
        <f t="shared" si="19"/>
        <v/>
      </c>
      <c r="P174" s="30"/>
      <c r="Q174" s="37" t="str">
        <f t="shared" ca="1" si="20"/>
        <v/>
      </c>
      <c r="R174" s="38" t="str">
        <f t="shared" ca="1" si="21"/>
        <v/>
      </c>
      <c r="S174" s="37" t="str">
        <f ca="1">IF($A174="","",IF(OR($Q174="Paid",$Q174="Cancelled",$Q174="Draft"),"—",IF($Q174="No lines yet","Add line items",IF($Q174="No date","Add invoice date",IF($D174-TODAY()&gt;7,"—",IF($D174-TODAY()&gt;=1,"Due soon",IF($D174=TODAY(),"Due today",IF(TODAY()-$D174&lt;IF('Start Here'!$C$16="",7,'Start Here'!$C$16),"Just overdue",IF(TODAY()-$D174&lt;IF('Start Here'!$C$17="",21,'Start Here'!$C$17),"First reminder",IF(TODAY()-$D174&lt;IF('Start Here'!$C$18="",45,'Start Here'!$C$18),"Second reminder","Last friendly reminder"))))))))))</f>
        <v/>
      </c>
      <c r="T174" s="31"/>
      <c r="U174" s="30"/>
      <c r="V174" s="37" t="str">
        <f t="shared" si="22"/>
        <v/>
      </c>
      <c r="W174" s="39"/>
      <c r="X174" s="37" t="str">
        <f>IF($A174="","",IFERROR(VALUE(IF('Start Here'!$C$13="",$A174,SUBSTITUTE($A174,'Start Here'!$C$13,""))),""))</f>
        <v/>
      </c>
      <c r="Y174" s="37" t="str">
        <f t="shared" si="23"/>
        <v/>
      </c>
      <c r="Z174" s="37" t="str">
        <f t="shared" ca="1" si="24"/>
        <v/>
      </c>
      <c r="AA174" s="37" t="str">
        <f t="shared" si="25"/>
        <v/>
      </c>
      <c r="AB174" s="37" t="str">
        <f t="shared" ca="1" si="26"/>
        <v/>
      </c>
    </row>
    <row r="175" spans="1:28" ht="16" x14ac:dyDescent="0.2">
      <c r="A175" s="30"/>
      <c r="B175" s="31"/>
      <c r="C175" s="32"/>
      <c r="D175" s="33" t="str">
        <f>IF($B175="","",$B175+IF($C175="",IF('Start Here'!$C$15="",14,'Start Here'!$C$15),$C175))</f>
        <v/>
      </c>
      <c r="E175" s="30"/>
      <c r="F175" s="30"/>
      <c r="G175" s="30"/>
      <c r="H175" s="30"/>
      <c r="I175" s="34" t="str">
        <f>IF($A175="","",ROUND(SUMIF('Line Items'!$A$8:$A$507,$A175,'Line Items'!$H$8:$H$507),2))</f>
        <v/>
      </c>
      <c r="J175" s="35"/>
      <c r="K175" s="34" t="str">
        <f>IF($A175="","",ROUND($I175*IFERROR(IF($J175="",IF('Start Here'!$C$22="",0,'Start Here'!$C$22),$J175),0)/100,2))</f>
        <v/>
      </c>
      <c r="L175" s="34" t="str">
        <f t="shared" si="18"/>
        <v/>
      </c>
      <c r="M175" s="36"/>
      <c r="N175" s="31"/>
      <c r="O175" s="34" t="str">
        <f t="shared" si="19"/>
        <v/>
      </c>
      <c r="P175" s="30"/>
      <c r="Q175" s="37" t="str">
        <f t="shared" ca="1" si="20"/>
        <v/>
      </c>
      <c r="R175" s="38" t="str">
        <f t="shared" ca="1" si="21"/>
        <v/>
      </c>
      <c r="S175" s="37" t="str">
        <f ca="1">IF($A175="","",IF(OR($Q175="Paid",$Q175="Cancelled",$Q175="Draft"),"—",IF($Q175="No lines yet","Add line items",IF($Q175="No date","Add invoice date",IF($D175-TODAY()&gt;7,"—",IF($D175-TODAY()&gt;=1,"Due soon",IF($D175=TODAY(),"Due today",IF(TODAY()-$D175&lt;IF('Start Here'!$C$16="",7,'Start Here'!$C$16),"Just overdue",IF(TODAY()-$D175&lt;IF('Start Here'!$C$17="",21,'Start Here'!$C$17),"First reminder",IF(TODAY()-$D175&lt;IF('Start Here'!$C$18="",45,'Start Here'!$C$18),"Second reminder","Last friendly reminder"))))))))))</f>
        <v/>
      </c>
      <c r="T175" s="31"/>
      <c r="U175" s="30"/>
      <c r="V175" s="37" t="str">
        <f t="shared" si="22"/>
        <v/>
      </c>
      <c r="W175" s="40"/>
      <c r="X175" s="37" t="str">
        <f>IF($A175="","",IFERROR(VALUE(IF('Start Here'!$C$13="",$A175,SUBSTITUTE($A175,'Start Here'!$C$13,""))),""))</f>
        <v/>
      </c>
      <c r="Y175" s="37" t="str">
        <f t="shared" si="23"/>
        <v/>
      </c>
      <c r="Z175" s="37" t="str">
        <f t="shared" ca="1" si="24"/>
        <v/>
      </c>
      <c r="AA175" s="37" t="str">
        <f t="shared" si="25"/>
        <v/>
      </c>
      <c r="AB175" s="37" t="str">
        <f t="shared" ca="1" si="26"/>
        <v/>
      </c>
    </row>
    <row r="176" spans="1:28" ht="16" x14ac:dyDescent="0.2">
      <c r="A176" s="30"/>
      <c r="B176" s="31"/>
      <c r="C176" s="32"/>
      <c r="D176" s="33" t="str">
        <f>IF($B176="","",$B176+IF($C176="",IF('Start Here'!$C$15="",14,'Start Here'!$C$15),$C176))</f>
        <v/>
      </c>
      <c r="E176" s="30"/>
      <c r="F176" s="30"/>
      <c r="G176" s="30"/>
      <c r="H176" s="30"/>
      <c r="I176" s="34" t="str">
        <f>IF($A176="","",ROUND(SUMIF('Line Items'!$A$8:$A$507,$A176,'Line Items'!$H$8:$H$507),2))</f>
        <v/>
      </c>
      <c r="J176" s="35"/>
      <c r="K176" s="34" t="str">
        <f>IF($A176="","",ROUND($I176*IFERROR(IF($J176="",IF('Start Here'!$C$22="",0,'Start Here'!$C$22),$J176),0)/100,2))</f>
        <v/>
      </c>
      <c r="L176" s="34" t="str">
        <f t="shared" si="18"/>
        <v/>
      </c>
      <c r="M176" s="36"/>
      <c r="N176" s="31"/>
      <c r="O176" s="34" t="str">
        <f t="shared" si="19"/>
        <v/>
      </c>
      <c r="P176" s="30"/>
      <c r="Q176" s="37" t="str">
        <f t="shared" ca="1" si="20"/>
        <v/>
      </c>
      <c r="R176" s="38" t="str">
        <f t="shared" ca="1" si="21"/>
        <v/>
      </c>
      <c r="S176" s="37" t="str">
        <f ca="1">IF($A176="","",IF(OR($Q176="Paid",$Q176="Cancelled",$Q176="Draft"),"—",IF($Q176="No lines yet","Add line items",IF($Q176="No date","Add invoice date",IF($D176-TODAY()&gt;7,"—",IF($D176-TODAY()&gt;=1,"Due soon",IF($D176=TODAY(),"Due today",IF(TODAY()-$D176&lt;IF('Start Here'!$C$16="",7,'Start Here'!$C$16),"Just overdue",IF(TODAY()-$D176&lt;IF('Start Here'!$C$17="",21,'Start Here'!$C$17),"First reminder",IF(TODAY()-$D176&lt;IF('Start Here'!$C$18="",45,'Start Here'!$C$18),"Second reminder","Last friendly reminder"))))))))))</f>
        <v/>
      </c>
      <c r="T176" s="31"/>
      <c r="U176" s="30"/>
      <c r="V176" s="37" t="str">
        <f t="shared" si="22"/>
        <v/>
      </c>
      <c r="W176" s="39"/>
      <c r="X176" s="37" t="str">
        <f>IF($A176="","",IFERROR(VALUE(IF('Start Here'!$C$13="",$A176,SUBSTITUTE($A176,'Start Here'!$C$13,""))),""))</f>
        <v/>
      </c>
      <c r="Y176" s="37" t="str">
        <f t="shared" si="23"/>
        <v/>
      </c>
      <c r="Z176" s="37" t="str">
        <f t="shared" ca="1" si="24"/>
        <v/>
      </c>
      <c r="AA176" s="37" t="str">
        <f t="shared" si="25"/>
        <v/>
      </c>
      <c r="AB176" s="37" t="str">
        <f t="shared" ca="1" si="26"/>
        <v/>
      </c>
    </row>
    <row r="177" spans="1:28" ht="16" x14ac:dyDescent="0.2">
      <c r="A177" s="30"/>
      <c r="B177" s="31"/>
      <c r="C177" s="32"/>
      <c r="D177" s="33" t="str">
        <f>IF($B177="","",$B177+IF($C177="",IF('Start Here'!$C$15="",14,'Start Here'!$C$15),$C177))</f>
        <v/>
      </c>
      <c r="E177" s="30"/>
      <c r="F177" s="30"/>
      <c r="G177" s="30"/>
      <c r="H177" s="30"/>
      <c r="I177" s="34" t="str">
        <f>IF($A177="","",ROUND(SUMIF('Line Items'!$A$8:$A$507,$A177,'Line Items'!$H$8:$H$507),2))</f>
        <v/>
      </c>
      <c r="J177" s="35"/>
      <c r="K177" s="34" t="str">
        <f>IF($A177="","",ROUND($I177*IFERROR(IF($J177="",IF('Start Here'!$C$22="",0,'Start Here'!$C$22),$J177),0)/100,2))</f>
        <v/>
      </c>
      <c r="L177" s="34" t="str">
        <f t="shared" si="18"/>
        <v/>
      </c>
      <c r="M177" s="36"/>
      <c r="N177" s="31"/>
      <c r="O177" s="34" t="str">
        <f t="shared" si="19"/>
        <v/>
      </c>
      <c r="P177" s="30"/>
      <c r="Q177" s="37" t="str">
        <f t="shared" ca="1" si="20"/>
        <v/>
      </c>
      <c r="R177" s="38" t="str">
        <f t="shared" ca="1" si="21"/>
        <v/>
      </c>
      <c r="S177" s="37" t="str">
        <f ca="1">IF($A177="","",IF(OR($Q177="Paid",$Q177="Cancelled",$Q177="Draft"),"—",IF($Q177="No lines yet","Add line items",IF($Q177="No date","Add invoice date",IF($D177-TODAY()&gt;7,"—",IF($D177-TODAY()&gt;=1,"Due soon",IF($D177=TODAY(),"Due today",IF(TODAY()-$D177&lt;IF('Start Here'!$C$16="",7,'Start Here'!$C$16),"Just overdue",IF(TODAY()-$D177&lt;IF('Start Here'!$C$17="",21,'Start Here'!$C$17),"First reminder",IF(TODAY()-$D177&lt;IF('Start Here'!$C$18="",45,'Start Here'!$C$18),"Second reminder","Last friendly reminder"))))))))))</f>
        <v/>
      </c>
      <c r="T177" s="31"/>
      <c r="U177" s="30"/>
      <c r="V177" s="37" t="str">
        <f t="shared" si="22"/>
        <v/>
      </c>
      <c r="W177" s="40"/>
      <c r="X177" s="37" t="str">
        <f>IF($A177="","",IFERROR(VALUE(IF('Start Here'!$C$13="",$A177,SUBSTITUTE($A177,'Start Here'!$C$13,""))),""))</f>
        <v/>
      </c>
      <c r="Y177" s="37" t="str">
        <f t="shared" si="23"/>
        <v/>
      </c>
      <c r="Z177" s="37" t="str">
        <f t="shared" ca="1" si="24"/>
        <v/>
      </c>
      <c r="AA177" s="37" t="str">
        <f t="shared" si="25"/>
        <v/>
      </c>
      <c r="AB177" s="37" t="str">
        <f t="shared" ca="1" si="26"/>
        <v/>
      </c>
    </row>
    <row r="178" spans="1:28" ht="16" x14ac:dyDescent="0.2">
      <c r="A178" s="30"/>
      <c r="B178" s="31"/>
      <c r="C178" s="32"/>
      <c r="D178" s="33" t="str">
        <f>IF($B178="","",$B178+IF($C178="",IF('Start Here'!$C$15="",14,'Start Here'!$C$15),$C178))</f>
        <v/>
      </c>
      <c r="E178" s="30"/>
      <c r="F178" s="30"/>
      <c r="G178" s="30"/>
      <c r="H178" s="30"/>
      <c r="I178" s="34" t="str">
        <f>IF($A178="","",ROUND(SUMIF('Line Items'!$A$8:$A$507,$A178,'Line Items'!$H$8:$H$507),2))</f>
        <v/>
      </c>
      <c r="J178" s="35"/>
      <c r="K178" s="34" t="str">
        <f>IF($A178="","",ROUND($I178*IFERROR(IF($J178="",IF('Start Here'!$C$22="",0,'Start Here'!$C$22),$J178),0)/100,2))</f>
        <v/>
      </c>
      <c r="L178" s="34" t="str">
        <f t="shared" si="18"/>
        <v/>
      </c>
      <c r="M178" s="36"/>
      <c r="N178" s="31"/>
      <c r="O178" s="34" t="str">
        <f t="shared" si="19"/>
        <v/>
      </c>
      <c r="P178" s="30"/>
      <c r="Q178" s="37" t="str">
        <f t="shared" ca="1" si="20"/>
        <v/>
      </c>
      <c r="R178" s="38" t="str">
        <f t="shared" ca="1" si="21"/>
        <v/>
      </c>
      <c r="S178" s="37" t="str">
        <f ca="1">IF($A178="","",IF(OR($Q178="Paid",$Q178="Cancelled",$Q178="Draft"),"—",IF($Q178="No lines yet","Add line items",IF($Q178="No date","Add invoice date",IF($D178-TODAY()&gt;7,"—",IF($D178-TODAY()&gt;=1,"Due soon",IF($D178=TODAY(),"Due today",IF(TODAY()-$D178&lt;IF('Start Here'!$C$16="",7,'Start Here'!$C$16),"Just overdue",IF(TODAY()-$D178&lt;IF('Start Here'!$C$17="",21,'Start Here'!$C$17),"First reminder",IF(TODAY()-$D178&lt;IF('Start Here'!$C$18="",45,'Start Here'!$C$18),"Second reminder","Last friendly reminder"))))))))))</f>
        <v/>
      </c>
      <c r="T178" s="31"/>
      <c r="U178" s="30"/>
      <c r="V178" s="37" t="str">
        <f t="shared" si="22"/>
        <v/>
      </c>
      <c r="W178" s="39"/>
      <c r="X178" s="37" t="str">
        <f>IF($A178="","",IFERROR(VALUE(IF('Start Here'!$C$13="",$A178,SUBSTITUTE($A178,'Start Here'!$C$13,""))),""))</f>
        <v/>
      </c>
      <c r="Y178" s="37" t="str">
        <f t="shared" si="23"/>
        <v/>
      </c>
      <c r="Z178" s="37" t="str">
        <f t="shared" ca="1" si="24"/>
        <v/>
      </c>
      <c r="AA178" s="37" t="str">
        <f t="shared" si="25"/>
        <v/>
      </c>
      <c r="AB178" s="37" t="str">
        <f t="shared" ca="1" si="26"/>
        <v/>
      </c>
    </row>
    <row r="179" spans="1:28" ht="16" x14ac:dyDescent="0.2">
      <c r="A179" s="30"/>
      <c r="B179" s="31"/>
      <c r="C179" s="32"/>
      <c r="D179" s="33" t="str">
        <f>IF($B179="","",$B179+IF($C179="",IF('Start Here'!$C$15="",14,'Start Here'!$C$15),$C179))</f>
        <v/>
      </c>
      <c r="E179" s="30"/>
      <c r="F179" s="30"/>
      <c r="G179" s="30"/>
      <c r="H179" s="30"/>
      <c r="I179" s="34" t="str">
        <f>IF($A179="","",ROUND(SUMIF('Line Items'!$A$8:$A$507,$A179,'Line Items'!$H$8:$H$507),2))</f>
        <v/>
      </c>
      <c r="J179" s="35"/>
      <c r="K179" s="34" t="str">
        <f>IF($A179="","",ROUND($I179*IFERROR(IF($J179="",IF('Start Here'!$C$22="",0,'Start Here'!$C$22),$J179),0)/100,2))</f>
        <v/>
      </c>
      <c r="L179" s="34" t="str">
        <f t="shared" si="18"/>
        <v/>
      </c>
      <c r="M179" s="36"/>
      <c r="N179" s="31"/>
      <c r="O179" s="34" t="str">
        <f t="shared" si="19"/>
        <v/>
      </c>
      <c r="P179" s="30"/>
      <c r="Q179" s="37" t="str">
        <f t="shared" ca="1" si="20"/>
        <v/>
      </c>
      <c r="R179" s="38" t="str">
        <f t="shared" ca="1" si="21"/>
        <v/>
      </c>
      <c r="S179" s="37" t="str">
        <f ca="1">IF($A179="","",IF(OR($Q179="Paid",$Q179="Cancelled",$Q179="Draft"),"—",IF($Q179="No lines yet","Add line items",IF($Q179="No date","Add invoice date",IF($D179-TODAY()&gt;7,"—",IF($D179-TODAY()&gt;=1,"Due soon",IF($D179=TODAY(),"Due today",IF(TODAY()-$D179&lt;IF('Start Here'!$C$16="",7,'Start Here'!$C$16),"Just overdue",IF(TODAY()-$D179&lt;IF('Start Here'!$C$17="",21,'Start Here'!$C$17),"First reminder",IF(TODAY()-$D179&lt;IF('Start Here'!$C$18="",45,'Start Here'!$C$18),"Second reminder","Last friendly reminder"))))))))))</f>
        <v/>
      </c>
      <c r="T179" s="31"/>
      <c r="U179" s="30"/>
      <c r="V179" s="37" t="str">
        <f t="shared" si="22"/>
        <v/>
      </c>
      <c r="W179" s="40"/>
      <c r="X179" s="37" t="str">
        <f>IF($A179="","",IFERROR(VALUE(IF('Start Here'!$C$13="",$A179,SUBSTITUTE($A179,'Start Here'!$C$13,""))),""))</f>
        <v/>
      </c>
      <c r="Y179" s="37" t="str">
        <f t="shared" si="23"/>
        <v/>
      </c>
      <c r="Z179" s="37" t="str">
        <f t="shared" ca="1" si="24"/>
        <v/>
      </c>
      <c r="AA179" s="37" t="str">
        <f t="shared" si="25"/>
        <v/>
      </c>
      <c r="AB179" s="37" t="str">
        <f t="shared" ca="1" si="26"/>
        <v/>
      </c>
    </row>
    <row r="180" spans="1:28" ht="16" x14ac:dyDescent="0.2">
      <c r="A180" s="30"/>
      <c r="B180" s="31"/>
      <c r="C180" s="32"/>
      <c r="D180" s="33" t="str">
        <f>IF($B180="","",$B180+IF($C180="",IF('Start Here'!$C$15="",14,'Start Here'!$C$15),$C180))</f>
        <v/>
      </c>
      <c r="E180" s="30"/>
      <c r="F180" s="30"/>
      <c r="G180" s="30"/>
      <c r="H180" s="30"/>
      <c r="I180" s="34" t="str">
        <f>IF($A180="","",ROUND(SUMIF('Line Items'!$A$8:$A$507,$A180,'Line Items'!$H$8:$H$507),2))</f>
        <v/>
      </c>
      <c r="J180" s="35"/>
      <c r="K180" s="34" t="str">
        <f>IF($A180="","",ROUND($I180*IFERROR(IF($J180="",IF('Start Here'!$C$22="",0,'Start Here'!$C$22),$J180),0)/100,2))</f>
        <v/>
      </c>
      <c r="L180" s="34" t="str">
        <f t="shared" si="18"/>
        <v/>
      </c>
      <c r="M180" s="36"/>
      <c r="N180" s="31"/>
      <c r="O180" s="34" t="str">
        <f t="shared" si="19"/>
        <v/>
      </c>
      <c r="P180" s="30"/>
      <c r="Q180" s="37" t="str">
        <f t="shared" ca="1" si="20"/>
        <v/>
      </c>
      <c r="R180" s="38" t="str">
        <f t="shared" ca="1" si="21"/>
        <v/>
      </c>
      <c r="S180" s="37" t="str">
        <f ca="1">IF($A180="","",IF(OR($Q180="Paid",$Q180="Cancelled",$Q180="Draft"),"—",IF($Q180="No lines yet","Add line items",IF($Q180="No date","Add invoice date",IF($D180-TODAY()&gt;7,"—",IF($D180-TODAY()&gt;=1,"Due soon",IF($D180=TODAY(),"Due today",IF(TODAY()-$D180&lt;IF('Start Here'!$C$16="",7,'Start Here'!$C$16),"Just overdue",IF(TODAY()-$D180&lt;IF('Start Here'!$C$17="",21,'Start Here'!$C$17),"First reminder",IF(TODAY()-$D180&lt;IF('Start Here'!$C$18="",45,'Start Here'!$C$18),"Second reminder","Last friendly reminder"))))))))))</f>
        <v/>
      </c>
      <c r="T180" s="31"/>
      <c r="U180" s="30"/>
      <c r="V180" s="37" t="str">
        <f t="shared" si="22"/>
        <v/>
      </c>
      <c r="W180" s="39"/>
      <c r="X180" s="37" t="str">
        <f>IF($A180="","",IFERROR(VALUE(IF('Start Here'!$C$13="",$A180,SUBSTITUTE($A180,'Start Here'!$C$13,""))),""))</f>
        <v/>
      </c>
      <c r="Y180" s="37" t="str">
        <f t="shared" si="23"/>
        <v/>
      </c>
      <c r="Z180" s="37" t="str">
        <f t="shared" ca="1" si="24"/>
        <v/>
      </c>
      <c r="AA180" s="37" t="str">
        <f t="shared" si="25"/>
        <v/>
      </c>
      <c r="AB180" s="37" t="str">
        <f t="shared" ca="1" si="26"/>
        <v/>
      </c>
    </row>
    <row r="181" spans="1:28" ht="16" x14ac:dyDescent="0.2">
      <c r="A181" s="30"/>
      <c r="B181" s="31"/>
      <c r="C181" s="32"/>
      <c r="D181" s="33" t="str">
        <f>IF($B181="","",$B181+IF($C181="",IF('Start Here'!$C$15="",14,'Start Here'!$C$15),$C181))</f>
        <v/>
      </c>
      <c r="E181" s="30"/>
      <c r="F181" s="30"/>
      <c r="G181" s="30"/>
      <c r="H181" s="30"/>
      <c r="I181" s="34" t="str">
        <f>IF($A181="","",ROUND(SUMIF('Line Items'!$A$8:$A$507,$A181,'Line Items'!$H$8:$H$507),2))</f>
        <v/>
      </c>
      <c r="J181" s="35"/>
      <c r="K181" s="34" t="str">
        <f>IF($A181="","",ROUND($I181*IFERROR(IF($J181="",IF('Start Here'!$C$22="",0,'Start Here'!$C$22),$J181),0)/100,2))</f>
        <v/>
      </c>
      <c r="L181" s="34" t="str">
        <f t="shared" si="18"/>
        <v/>
      </c>
      <c r="M181" s="36"/>
      <c r="N181" s="31"/>
      <c r="O181" s="34" t="str">
        <f t="shared" si="19"/>
        <v/>
      </c>
      <c r="P181" s="30"/>
      <c r="Q181" s="37" t="str">
        <f t="shared" ca="1" si="20"/>
        <v/>
      </c>
      <c r="R181" s="38" t="str">
        <f t="shared" ca="1" si="21"/>
        <v/>
      </c>
      <c r="S181" s="37" t="str">
        <f ca="1">IF($A181="","",IF(OR($Q181="Paid",$Q181="Cancelled",$Q181="Draft"),"—",IF($Q181="No lines yet","Add line items",IF($Q181="No date","Add invoice date",IF($D181-TODAY()&gt;7,"—",IF($D181-TODAY()&gt;=1,"Due soon",IF($D181=TODAY(),"Due today",IF(TODAY()-$D181&lt;IF('Start Here'!$C$16="",7,'Start Here'!$C$16),"Just overdue",IF(TODAY()-$D181&lt;IF('Start Here'!$C$17="",21,'Start Here'!$C$17),"First reminder",IF(TODAY()-$D181&lt;IF('Start Here'!$C$18="",45,'Start Here'!$C$18),"Second reminder","Last friendly reminder"))))))))))</f>
        <v/>
      </c>
      <c r="T181" s="31"/>
      <c r="U181" s="30"/>
      <c r="V181" s="37" t="str">
        <f t="shared" si="22"/>
        <v/>
      </c>
      <c r="W181" s="40"/>
      <c r="X181" s="37" t="str">
        <f>IF($A181="","",IFERROR(VALUE(IF('Start Here'!$C$13="",$A181,SUBSTITUTE($A181,'Start Here'!$C$13,""))),""))</f>
        <v/>
      </c>
      <c r="Y181" s="37" t="str">
        <f t="shared" si="23"/>
        <v/>
      </c>
      <c r="Z181" s="37" t="str">
        <f t="shared" ca="1" si="24"/>
        <v/>
      </c>
      <c r="AA181" s="37" t="str">
        <f t="shared" si="25"/>
        <v/>
      </c>
      <c r="AB181" s="37" t="str">
        <f t="shared" ca="1" si="26"/>
        <v/>
      </c>
    </row>
    <row r="182" spans="1:28" ht="16" x14ac:dyDescent="0.2">
      <c r="A182" s="30"/>
      <c r="B182" s="31"/>
      <c r="C182" s="32"/>
      <c r="D182" s="33" t="str">
        <f>IF($B182="","",$B182+IF($C182="",IF('Start Here'!$C$15="",14,'Start Here'!$C$15),$C182))</f>
        <v/>
      </c>
      <c r="E182" s="30"/>
      <c r="F182" s="30"/>
      <c r="G182" s="30"/>
      <c r="H182" s="30"/>
      <c r="I182" s="34" t="str">
        <f>IF($A182="","",ROUND(SUMIF('Line Items'!$A$8:$A$507,$A182,'Line Items'!$H$8:$H$507),2))</f>
        <v/>
      </c>
      <c r="J182" s="35"/>
      <c r="K182" s="34" t="str">
        <f>IF($A182="","",ROUND($I182*IFERROR(IF($J182="",IF('Start Here'!$C$22="",0,'Start Here'!$C$22),$J182),0)/100,2))</f>
        <v/>
      </c>
      <c r="L182" s="34" t="str">
        <f t="shared" si="18"/>
        <v/>
      </c>
      <c r="M182" s="36"/>
      <c r="N182" s="31"/>
      <c r="O182" s="34" t="str">
        <f t="shared" si="19"/>
        <v/>
      </c>
      <c r="P182" s="30"/>
      <c r="Q182" s="37" t="str">
        <f t="shared" ca="1" si="20"/>
        <v/>
      </c>
      <c r="R182" s="38" t="str">
        <f t="shared" ca="1" si="21"/>
        <v/>
      </c>
      <c r="S182" s="37" t="str">
        <f ca="1">IF($A182="","",IF(OR($Q182="Paid",$Q182="Cancelled",$Q182="Draft"),"—",IF($Q182="No lines yet","Add line items",IF($Q182="No date","Add invoice date",IF($D182-TODAY()&gt;7,"—",IF($D182-TODAY()&gt;=1,"Due soon",IF($D182=TODAY(),"Due today",IF(TODAY()-$D182&lt;IF('Start Here'!$C$16="",7,'Start Here'!$C$16),"Just overdue",IF(TODAY()-$D182&lt;IF('Start Here'!$C$17="",21,'Start Here'!$C$17),"First reminder",IF(TODAY()-$D182&lt;IF('Start Here'!$C$18="",45,'Start Here'!$C$18),"Second reminder","Last friendly reminder"))))))))))</f>
        <v/>
      </c>
      <c r="T182" s="31"/>
      <c r="U182" s="30"/>
      <c r="V182" s="37" t="str">
        <f t="shared" si="22"/>
        <v/>
      </c>
      <c r="W182" s="39"/>
      <c r="X182" s="37" t="str">
        <f>IF($A182="","",IFERROR(VALUE(IF('Start Here'!$C$13="",$A182,SUBSTITUTE($A182,'Start Here'!$C$13,""))),""))</f>
        <v/>
      </c>
      <c r="Y182" s="37" t="str">
        <f t="shared" si="23"/>
        <v/>
      </c>
      <c r="Z182" s="37" t="str">
        <f t="shared" ca="1" si="24"/>
        <v/>
      </c>
      <c r="AA182" s="37" t="str">
        <f t="shared" si="25"/>
        <v/>
      </c>
      <c r="AB182" s="37" t="str">
        <f t="shared" ca="1" si="26"/>
        <v/>
      </c>
    </row>
    <row r="183" spans="1:28" ht="16" x14ac:dyDescent="0.2">
      <c r="A183" s="30"/>
      <c r="B183" s="31"/>
      <c r="C183" s="32"/>
      <c r="D183" s="33" t="str">
        <f>IF($B183="","",$B183+IF($C183="",IF('Start Here'!$C$15="",14,'Start Here'!$C$15),$C183))</f>
        <v/>
      </c>
      <c r="E183" s="30"/>
      <c r="F183" s="30"/>
      <c r="G183" s="30"/>
      <c r="H183" s="30"/>
      <c r="I183" s="34" t="str">
        <f>IF($A183="","",ROUND(SUMIF('Line Items'!$A$8:$A$507,$A183,'Line Items'!$H$8:$H$507),2))</f>
        <v/>
      </c>
      <c r="J183" s="35"/>
      <c r="K183" s="34" t="str">
        <f>IF($A183="","",ROUND($I183*IFERROR(IF($J183="",IF('Start Here'!$C$22="",0,'Start Here'!$C$22),$J183),0)/100,2))</f>
        <v/>
      </c>
      <c r="L183" s="34" t="str">
        <f t="shared" si="18"/>
        <v/>
      </c>
      <c r="M183" s="36"/>
      <c r="N183" s="31"/>
      <c r="O183" s="34" t="str">
        <f t="shared" si="19"/>
        <v/>
      </c>
      <c r="P183" s="30"/>
      <c r="Q183" s="37" t="str">
        <f t="shared" ca="1" si="20"/>
        <v/>
      </c>
      <c r="R183" s="38" t="str">
        <f t="shared" ca="1" si="21"/>
        <v/>
      </c>
      <c r="S183" s="37" t="str">
        <f ca="1">IF($A183="","",IF(OR($Q183="Paid",$Q183="Cancelled",$Q183="Draft"),"—",IF($Q183="No lines yet","Add line items",IF($Q183="No date","Add invoice date",IF($D183-TODAY()&gt;7,"—",IF($D183-TODAY()&gt;=1,"Due soon",IF($D183=TODAY(),"Due today",IF(TODAY()-$D183&lt;IF('Start Here'!$C$16="",7,'Start Here'!$C$16),"Just overdue",IF(TODAY()-$D183&lt;IF('Start Here'!$C$17="",21,'Start Here'!$C$17),"First reminder",IF(TODAY()-$D183&lt;IF('Start Here'!$C$18="",45,'Start Here'!$C$18),"Second reminder","Last friendly reminder"))))))))))</f>
        <v/>
      </c>
      <c r="T183" s="31"/>
      <c r="U183" s="30"/>
      <c r="V183" s="37" t="str">
        <f t="shared" si="22"/>
        <v/>
      </c>
      <c r="W183" s="40"/>
      <c r="X183" s="37" t="str">
        <f>IF($A183="","",IFERROR(VALUE(IF('Start Here'!$C$13="",$A183,SUBSTITUTE($A183,'Start Here'!$C$13,""))),""))</f>
        <v/>
      </c>
      <c r="Y183" s="37" t="str">
        <f t="shared" si="23"/>
        <v/>
      </c>
      <c r="Z183" s="37" t="str">
        <f t="shared" ca="1" si="24"/>
        <v/>
      </c>
      <c r="AA183" s="37" t="str">
        <f t="shared" si="25"/>
        <v/>
      </c>
      <c r="AB183" s="37" t="str">
        <f t="shared" ca="1" si="26"/>
        <v/>
      </c>
    </row>
    <row r="184" spans="1:28" ht="16" x14ac:dyDescent="0.2">
      <c r="A184" s="30"/>
      <c r="B184" s="31"/>
      <c r="C184" s="32"/>
      <c r="D184" s="33" t="str">
        <f>IF($B184="","",$B184+IF($C184="",IF('Start Here'!$C$15="",14,'Start Here'!$C$15),$C184))</f>
        <v/>
      </c>
      <c r="E184" s="30"/>
      <c r="F184" s="30"/>
      <c r="G184" s="30"/>
      <c r="H184" s="30"/>
      <c r="I184" s="34" t="str">
        <f>IF($A184="","",ROUND(SUMIF('Line Items'!$A$8:$A$507,$A184,'Line Items'!$H$8:$H$507),2))</f>
        <v/>
      </c>
      <c r="J184" s="35"/>
      <c r="K184" s="34" t="str">
        <f>IF($A184="","",ROUND($I184*IFERROR(IF($J184="",IF('Start Here'!$C$22="",0,'Start Here'!$C$22),$J184),0)/100,2))</f>
        <v/>
      </c>
      <c r="L184" s="34" t="str">
        <f t="shared" si="18"/>
        <v/>
      </c>
      <c r="M184" s="36"/>
      <c r="N184" s="31"/>
      <c r="O184" s="34" t="str">
        <f t="shared" si="19"/>
        <v/>
      </c>
      <c r="P184" s="30"/>
      <c r="Q184" s="37" t="str">
        <f t="shared" ca="1" si="20"/>
        <v/>
      </c>
      <c r="R184" s="38" t="str">
        <f t="shared" ca="1" si="21"/>
        <v/>
      </c>
      <c r="S184" s="37" t="str">
        <f ca="1">IF($A184="","",IF(OR($Q184="Paid",$Q184="Cancelled",$Q184="Draft"),"—",IF($Q184="No lines yet","Add line items",IF($Q184="No date","Add invoice date",IF($D184-TODAY()&gt;7,"—",IF($D184-TODAY()&gt;=1,"Due soon",IF($D184=TODAY(),"Due today",IF(TODAY()-$D184&lt;IF('Start Here'!$C$16="",7,'Start Here'!$C$16),"Just overdue",IF(TODAY()-$D184&lt;IF('Start Here'!$C$17="",21,'Start Here'!$C$17),"First reminder",IF(TODAY()-$D184&lt;IF('Start Here'!$C$18="",45,'Start Here'!$C$18),"Second reminder","Last friendly reminder"))))))))))</f>
        <v/>
      </c>
      <c r="T184" s="31"/>
      <c r="U184" s="30"/>
      <c r="V184" s="37" t="str">
        <f t="shared" si="22"/>
        <v/>
      </c>
      <c r="W184" s="39"/>
      <c r="X184" s="37" t="str">
        <f>IF($A184="","",IFERROR(VALUE(IF('Start Here'!$C$13="",$A184,SUBSTITUTE($A184,'Start Here'!$C$13,""))),""))</f>
        <v/>
      </c>
      <c r="Y184" s="37" t="str">
        <f t="shared" si="23"/>
        <v/>
      </c>
      <c r="Z184" s="37" t="str">
        <f t="shared" ca="1" si="24"/>
        <v/>
      </c>
      <c r="AA184" s="37" t="str">
        <f t="shared" si="25"/>
        <v/>
      </c>
      <c r="AB184" s="37" t="str">
        <f t="shared" ca="1" si="26"/>
        <v/>
      </c>
    </row>
    <row r="185" spans="1:28" ht="16" x14ac:dyDescent="0.2">
      <c r="A185" s="30"/>
      <c r="B185" s="31"/>
      <c r="C185" s="32"/>
      <c r="D185" s="33" t="str">
        <f>IF($B185="","",$B185+IF($C185="",IF('Start Here'!$C$15="",14,'Start Here'!$C$15),$C185))</f>
        <v/>
      </c>
      <c r="E185" s="30"/>
      <c r="F185" s="30"/>
      <c r="G185" s="30"/>
      <c r="H185" s="30"/>
      <c r="I185" s="34" t="str">
        <f>IF($A185="","",ROUND(SUMIF('Line Items'!$A$8:$A$507,$A185,'Line Items'!$H$8:$H$507),2))</f>
        <v/>
      </c>
      <c r="J185" s="35"/>
      <c r="K185" s="34" t="str">
        <f>IF($A185="","",ROUND($I185*IFERROR(IF($J185="",IF('Start Here'!$C$22="",0,'Start Here'!$C$22),$J185),0)/100,2))</f>
        <v/>
      </c>
      <c r="L185" s="34" t="str">
        <f t="shared" si="18"/>
        <v/>
      </c>
      <c r="M185" s="36"/>
      <c r="N185" s="31"/>
      <c r="O185" s="34" t="str">
        <f t="shared" si="19"/>
        <v/>
      </c>
      <c r="P185" s="30"/>
      <c r="Q185" s="37" t="str">
        <f t="shared" ca="1" si="20"/>
        <v/>
      </c>
      <c r="R185" s="38" t="str">
        <f t="shared" ca="1" si="21"/>
        <v/>
      </c>
      <c r="S185" s="37" t="str">
        <f ca="1">IF($A185="","",IF(OR($Q185="Paid",$Q185="Cancelled",$Q185="Draft"),"—",IF($Q185="No lines yet","Add line items",IF($Q185="No date","Add invoice date",IF($D185-TODAY()&gt;7,"—",IF($D185-TODAY()&gt;=1,"Due soon",IF($D185=TODAY(),"Due today",IF(TODAY()-$D185&lt;IF('Start Here'!$C$16="",7,'Start Here'!$C$16),"Just overdue",IF(TODAY()-$D185&lt;IF('Start Here'!$C$17="",21,'Start Here'!$C$17),"First reminder",IF(TODAY()-$D185&lt;IF('Start Here'!$C$18="",45,'Start Here'!$C$18),"Second reminder","Last friendly reminder"))))))))))</f>
        <v/>
      </c>
      <c r="T185" s="31"/>
      <c r="U185" s="30"/>
      <c r="V185" s="37" t="str">
        <f t="shared" si="22"/>
        <v/>
      </c>
      <c r="W185" s="40"/>
      <c r="X185" s="37" t="str">
        <f>IF($A185="","",IFERROR(VALUE(IF('Start Here'!$C$13="",$A185,SUBSTITUTE($A185,'Start Here'!$C$13,""))),""))</f>
        <v/>
      </c>
      <c r="Y185" s="37" t="str">
        <f t="shared" si="23"/>
        <v/>
      </c>
      <c r="Z185" s="37" t="str">
        <f t="shared" ca="1" si="24"/>
        <v/>
      </c>
      <c r="AA185" s="37" t="str">
        <f t="shared" si="25"/>
        <v/>
      </c>
      <c r="AB185" s="37" t="str">
        <f t="shared" ca="1" si="26"/>
        <v/>
      </c>
    </row>
    <row r="186" spans="1:28" ht="16" x14ac:dyDescent="0.2">
      <c r="A186" s="30"/>
      <c r="B186" s="31"/>
      <c r="C186" s="32"/>
      <c r="D186" s="33" t="str">
        <f>IF($B186="","",$B186+IF($C186="",IF('Start Here'!$C$15="",14,'Start Here'!$C$15),$C186))</f>
        <v/>
      </c>
      <c r="E186" s="30"/>
      <c r="F186" s="30"/>
      <c r="G186" s="30"/>
      <c r="H186" s="30"/>
      <c r="I186" s="34" t="str">
        <f>IF($A186="","",ROUND(SUMIF('Line Items'!$A$8:$A$507,$A186,'Line Items'!$H$8:$H$507),2))</f>
        <v/>
      </c>
      <c r="J186" s="35"/>
      <c r="K186" s="34" t="str">
        <f>IF($A186="","",ROUND($I186*IFERROR(IF($J186="",IF('Start Here'!$C$22="",0,'Start Here'!$C$22),$J186),0)/100,2))</f>
        <v/>
      </c>
      <c r="L186" s="34" t="str">
        <f t="shared" si="18"/>
        <v/>
      </c>
      <c r="M186" s="36"/>
      <c r="N186" s="31"/>
      <c r="O186" s="34" t="str">
        <f t="shared" si="19"/>
        <v/>
      </c>
      <c r="P186" s="30"/>
      <c r="Q186" s="37" t="str">
        <f t="shared" ca="1" si="20"/>
        <v/>
      </c>
      <c r="R186" s="38" t="str">
        <f t="shared" ca="1" si="21"/>
        <v/>
      </c>
      <c r="S186" s="37" t="str">
        <f ca="1">IF($A186="","",IF(OR($Q186="Paid",$Q186="Cancelled",$Q186="Draft"),"—",IF($Q186="No lines yet","Add line items",IF($Q186="No date","Add invoice date",IF($D186-TODAY()&gt;7,"—",IF($D186-TODAY()&gt;=1,"Due soon",IF($D186=TODAY(),"Due today",IF(TODAY()-$D186&lt;IF('Start Here'!$C$16="",7,'Start Here'!$C$16),"Just overdue",IF(TODAY()-$D186&lt;IF('Start Here'!$C$17="",21,'Start Here'!$C$17),"First reminder",IF(TODAY()-$D186&lt;IF('Start Here'!$C$18="",45,'Start Here'!$C$18),"Second reminder","Last friendly reminder"))))))))))</f>
        <v/>
      </c>
      <c r="T186" s="31"/>
      <c r="U186" s="30"/>
      <c r="V186" s="37" t="str">
        <f t="shared" si="22"/>
        <v/>
      </c>
      <c r="W186" s="39"/>
      <c r="X186" s="37" t="str">
        <f>IF($A186="","",IFERROR(VALUE(IF('Start Here'!$C$13="",$A186,SUBSTITUTE($A186,'Start Here'!$C$13,""))),""))</f>
        <v/>
      </c>
      <c r="Y186" s="37" t="str">
        <f t="shared" si="23"/>
        <v/>
      </c>
      <c r="Z186" s="37" t="str">
        <f t="shared" ca="1" si="24"/>
        <v/>
      </c>
      <c r="AA186" s="37" t="str">
        <f t="shared" si="25"/>
        <v/>
      </c>
      <c r="AB186" s="37" t="str">
        <f t="shared" ca="1" si="26"/>
        <v/>
      </c>
    </row>
    <row r="187" spans="1:28" ht="16" x14ac:dyDescent="0.2">
      <c r="A187" s="30"/>
      <c r="B187" s="31"/>
      <c r="C187" s="32"/>
      <c r="D187" s="33" t="str">
        <f>IF($B187="","",$B187+IF($C187="",IF('Start Here'!$C$15="",14,'Start Here'!$C$15),$C187))</f>
        <v/>
      </c>
      <c r="E187" s="30"/>
      <c r="F187" s="30"/>
      <c r="G187" s="30"/>
      <c r="H187" s="30"/>
      <c r="I187" s="34" t="str">
        <f>IF($A187="","",ROUND(SUMIF('Line Items'!$A$8:$A$507,$A187,'Line Items'!$H$8:$H$507),2))</f>
        <v/>
      </c>
      <c r="J187" s="35"/>
      <c r="K187" s="34" t="str">
        <f>IF($A187="","",ROUND($I187*IFERROR(IF($J187="",IF('Start Here'!$C$22="",0,'Start Here'!$C$22),$J187),0)/100,2))</f>
        <v/>
      </c>
      <c r="L187" s="34" t="str">
        <f t="shared" si="18"/>
        <v/>
      </c>
      <c r="M187" s="36"/>
      <c r="N187" s="31"/>
      <c r="O187" s="34" t="str">
        <f t="shared" si="19"/>
        <v/>
      </c>
      <c r="P187" s="30"/>
      <c r="Q187" s="37" t="str">
        <f t="shared" ca="1" si="20"/>
        <v/>
      </c>
      <c r="R187" s="38" t="str">
        <f t="shared" ca="1" si="21"/>
        <v/>
      </c>
      <c r="S187" s="37" t="str">
        <f ca="1">IF($A187="","",IF(OR($Q187="Paid",$Q187="Cancelled",$Q187="Draft"),"—",IF($Q187="No lines yet","Add line items",IF($Q187="No date","Add invoice date",IF($D187-TODAY()&gt;7,"—",IF($D187-TODAY()&gt;=1,"Due soon",IF($D187=TODAY(),"Due today",IF(TODAY()-$D187&lt;IF('Start Here'!$C$16="",7,'Start Here'!$C$16),"Just overdue",IF(TODAY()-$D187&lt;IF('Start Here'!$C$17="",21,'Start Here'!$C$17),"First reminder",IF(TODAY()-$D187&lt;IF('Start Here'!$C$18="",45,'Start Here'!$C$18),"Second reminder","Last friendly reminder"))))))))))</f>
        <v/>
      </c>
      <c r="T187" s="31"/>
      <c r="U187" s="30"/>
      <c r="V187" s="37" t="str">
        <f t="shared" si="22"/>
        <v/>
      </c>
      <c r="W187" s="40"/>
      <c r="X187" s="37" t="str">
        <f>IF($A187="","",IFERROR(VALUE(IF('Start Here'!$C$13="",$A187,SUBSTITUTE($A187,'Start Here'!$C$13,""))),""))</f>
        <v/>
      </c>
      <c r="Y187" s="37" t="str">
        <f t="shared" si="23"/>
        <v/>
      </c>
      <c r="Z187" s="37" t="str">
        <f t="shared" ca="1" si="24"/>
        <v/>
      </c>
      <c r="AA187" s="37" t="str">
        <f t="shared" si="25"/>
        <v/>
      </c>
      <c r="AB187" s="37" t="str">
        <f t="shared" ca="1" si="26"/>
        <v/>
      </c>
    </row>
    <row r="188" spans="1:28" ht="16" x14ac:dyDescent="0.2">
      <c r="A188" s="30"/>
      <c r="B188" s="31"/>
      <c r="C188" s="32"/>
      <c r="D188" s="33" t="str">
        <f>IF($B188="","",$B188+IF($C188="",IF('Start Here'!$C$15="",14,'Start Here'!$C$15),$C188))</f>
        <v/>
      </c>
      <c r="E188" s="30"/>
      <c r="F188" s="30"/>
      <c r="G188" s="30"/>
      <c r="H188" s="30"/>
      <c r="I188" s="34" t="str">
        <f>IF($A188="","",ROUND(SUMIF('Line Items'!$A$8:$A$507,$A188,'Line Items'!$H$8:$H$507),2))</f>
        <v/>
      </c>
      <c r="J188" s="35"/>
      <c r="K188" s="34" t="str">
        <f>IF($A188="","",ROUND($I188*IFERROR(IF($J188="",IF('Start Here'!$C$22="",0,'Start Here'!$C$22),$J188),0)/100,2))</f>
        <v/>
      </c>
      <c r="L188" s="34" t="str">
        <f t="shared" si="18"/>
        <v/>
      </c>
      <c r="M188" s="36"/>
      <c r="N188" s="31"/>
      <c r="O188" s="34" t="str">
        <f t="shared" si="19"/>
        <v/>
      </c>
      <c r="P188" s="30"/>
      <c r="Q188" s="37" t="str">
        <f t="shared" ca="1" si="20"/>
        <v/>
      </c>
      <c r="R188" s="38" t="str">
        <f t="shared" ca="1" si="21"/>
        <v/>
      </c>
      <c r="S188" s="37" t="str">
        <f ca="1">IF($A188="","",IF(OR($Q188="Paid",$Q188="Cancelled",$Q188="Draft"),"—",IF($Q188="No lines yet","Add line items",IF($Q188="No date","Add invoice date",IF($D188-TODAY()&gt;7,"—",IF($D188-TODAY()&gt;=1,"Due soon",IF($D188=TODAY(),"Due today",IF(TODAY()-$D188&lt;IF('Start Here'!$C$16="",7,'Start Here'!$C$16),"Just overdue",IF(TODAY()-$D188&lt;IF('Start Here'!$C$17="",21,'Start Here'!$C$17),"First reminder",IF(TODAY()-$D188&lt;IF('Start Here'!$C$18="",45,'Start Here'!$C$18),"Second reminder","Last friendly reminder"))))))))))</f>
        <v/>
      </c>
      <c r="T188" s="31"/>
      <c r="U188" s="30"/>
      <c r="V188" s="37" t="str">
        <f t="shared" si="22"/>
        <v/>
      </c>
      <c r="W188" s="39"/>
      <c r="X188" s="37" t="str">
        <f>IF($A188="","",IFERROR(VALUE(IF('Start Here'!$C$13="",$A188,SUBSTITUTE($A188,'Start Here'!$C$13,""))),""))</f>
        <v/>
      </c>
      <c r="Y188" s="37" t="str">
        <f t="shared" si="23"/>
        <v/>
      </c>
      <c r="Z188" s="37" t="str">
        <f t="shared" ca="1" si="24"/>
        <v/>
      </c>
      <c r="AA188" s="37" t="str">
        <f t="shared" si="25"/>
        <v/>
      </c>
      <c r="AB188" s="37" t="str">
        <f t="shared" ca="1" si="26"/>
        <v/>
      </c>
    </row>
    <row r="189" spans="1:28" ht="16" x14ac:dyDescent="0.2">
      <c r="A189" s="30"/>
      <c r="B189" s="31"/>
      <c r="C189" s="32"/>
      <c r="D189" s="33" t="str">
        <f>IF($B189="","",$B189+IF($C189="",IF('Start Here'!$C$15="",14,'Start Here'!$C$15),$C189))</f>
        <v/>
      </c>
      <c r="E189" s="30"/>
      <c r="F189" s="30"/>
      <c r="G189" s="30"/>
      <c r="H189" s="30"/>
      <c r="I189" s="34" t="str">
        <f>IF($A189="","",ROUND(SUMIF('Line Items'!$A$8:$A$507,$A189,'Line Items'!$H$8:$H$507),2))</f>
        <v/>
      </c>
      <c r="J189" s="35"/>
      <c r="K189" s="34" t="str">
        <f>IF($A189="","",ROUND($I189*IFERROR(IF($J189="",IF('Start Here'!$C$22="",0,'Start Here'!$C$22),$J189),0)/100,2))</f>
        <v/>
      </c>
      <c r="L189" s="34" t="str">
        <f t="shared" si="18"/>
        <v/>
      </c>
      <c r="M189" s="36"/>
      <c r="N189" s="31"/>
      <c r="O189" s="34" t="str">
        <f t="shared" si="19"/>
        <v/>
      </c>
      <c r="P189" s="30"/>
      <c r="Q189" s="37" t="str">
        <f t="shared" ca="1" si="20"/>
        <v/>
      </c>
      <c r="R189" s="38" t="str">
        <f t="shared" ca="1" si="21"/>
        <v/>
      </c>
      <c r="S189" s="37" t="str">
        <f ca="1">IF($A189="","",IF(OR($Q189="Paid",$Q189="Cancelled",$Q189="Draft"),"—",IF($Q189="No lines yet","Add line items",IF($Q189="No date","Add invoice date",IF($D189-TODAY()&gt;7,"—",IF($D189-TODAY()&gt;=1,"Due soon",IF($D189=TODAY(),"Due today",IF(TODAY()-$D189&lt;IF('Start Here'!$C$16="",7,'Start Here'!$C$16),"Just overdue",IF(TODAY()-$D189&lt;IF('Start Here'!$C$17="",21,'Start Here'!$C$17),"First reminder",IF(TODAY()-$D189&lt;IF('Start Here'!$C$18="",45,'Start Here'!$C$18),"Second reminder","Last friendly reminder"))))))))))</f>
        <v/>
      </c>
      <c r="T189" s="31"/>
      <c r="U189" s="30"/>
      <c r="V189" s="37" t="str">
        <f t="shared" si="22"/>
        <v/>
      </c>
      <c r="W189" s="40"/>
      <c r="X189" s="37" t="str">
        <f>IF($A189="","",IFERROR(VALUE(IF('Start Here'!$C$13="",$A189,SUBSTITUTE($A189,'Start Here'!$C$13,""))),""))</f>
        <v/>
      </c>
      <c r="Y189" s="37" t="str">
        <f t="shared" si="23"/>
        <v/>
      </c>
      <c r="Z189" s="37" t="str">
        <f t="shared" ca="1" si="24"/>
        <v/>
      </c>
      <c r="AA189" s="37" t="str">
        <f t="shared" si="25"/>
        <v/>
      </c>
      <c r="AB189" s="37" t="str">
        <f t="shared" ca="1" si="26"/>
        <v/>
      </c>
    </row>
    <row r="190" spans="1:28" ht="16" x14ac:dyDescent="0.2">
      <c r="A190" s="30"/>
      <c r="B190" s="31"/>
      <c r="C190" s="32"/>
      <c r="D190" s="33" t="str">
        <f>IF($B190="","",$B190+IF($C190="",IF('Start Here'!$C$15="",14,'Start Here'!$C$15),$C190))</f>
        <v/>
      </c>
      <c r="E190" s="30"/>
      <c r="F190" s="30"/>
      <c r="G190" s="30"/>
      <c r="H190" s="30"/>
      <c r="I190" s="34" t="str">
        <f>IF($A190="","",ROUND(SUMIF('Line Items'!$A$8:$A$507,$A190,'Line Items'!$H$8:$H$507),2))</f>
        <v/>
      </c>
      <c r="J190" s="35"/>
      <c r="K190" s="34" t="str">
        <f>IF($A190="","",ROUND($I190*IFERROR(IF($J190="",IF('Start Here'!$C$22="",0,'Start Here'!$C$22),$J190),0)/100,2))</f>
        <v/>
      </c>
      <c r="L190" s="34" t="str">
        <f t="shared" si="18"/>
        <v/>
      </c>
      <c r="M190" s="36"/>
      <c r="N190" s="31"/>
      <c r="O190" s="34" t="str">
        <f t="shared" si="19"/>
        <v/>
      </c>
      <c r="P190" s="30"/>
      <c r="Q190" s="37" t="str">
        <f t="shared" ca="1" si="20"/>
        <v/>
      </c>
      <c r="R190" s="38" t="str">
        <f t="shared" ca="1" si="21"/>
        <v/>
      </c>
      <c r="S190" s="37" t="str">
        <f ca="1">IF($A190="","",IF(OR($Q190="Paid",$Q190="Cancelled",$Q190="Draft"),"—",IF($Q190="No lines yet","Add line items",IF($Q190="No date","Add invoice date",IF($D190-TODAY()&gt;7,"—",IF($D190-TODAY()&gt;=1,"Due soon",IF($D190=TODAY(),"Due today",IF(TODAY()-$D190&lt;IF('Start Here'!$C$16="",7,'Start Here'!$C$16),"Just overdue",IF(TODAY()-$D190&lt;IF('Start Here'!$C$17="",21,'Start Here'!$C$17),"First reminder",IF(TODAY()-$D190&lt;IF('Start Here'!$C$18="",45,'Start Here'!$C$18),"Second reminder","Last friendly reminder"))))))))))</f>
        <v/>
      </c>
      <c r="T190" s="31"/>
      <c r="U190" s="30"/>
      <c r="V190" s="37" t="str">
        <f t="shared" si="22"/>
        <v/>
      </c>
      <c r="W190" s="39"/>
      <c r="X190" s="37" t="str">
        <f>IF($A190="","",IFERROR(VALUE(IF('Start Here'!$C$13="",$A190,SUBSTITUTE($A190,'Start Here'!$C$13,""))),""))</f>
        <v/>
      </c>
      <c r="Y190" s="37" t="str">
        <f t="shared" si="23"/>
        <v/>
      </c>
      <c r="Z190" s="37" t="str">
        <f t="shared" ca="1" si="24"/>
        <v/>
      </c>
      <c r="AA190" s="37" t="str">
        <f t="shared" si="25"/>
        <v/>
      </c>
      <c r="AB190" s="37" t="str">
        <f t="shared" ca="1" si="26"/>
        <v/>
      </c>
    </row>
    <row r="191" spans="1:28" ht="16" x14ac:dyDescent="0.2">
      <c r="A191" s="30"/>
      <c r="B191" s="31"/>
      <c r="C191" s="32"/>
      <c r="D191" s="33" t="str">
        <f>IF($B191="","",$B191+IF($C191="",IF('Start Here'!$C$15="",14,'Start Here'!$C$15),$C191))</f>
        <v/>
      </c>
      <c r="E191" s="30"/>
      <c r="F191" s="30"/>
      <c r="G191" s="30"/>
      <c r="H191" s="30"/>
      <c r="I191" s="34" t="str">
        <f>IF($A191="","",ROUND(SUMIF('Line Items'!$A$8:$A$507,$A191,'Line Items'!$H$8:$H$507),2))</f>
        <v/>
      </c>
      <c r="J191" s="35"/>
      <c r="K191" s="34" t="str">
        <f>IF($A191="","",ROUND($I191*IFERROR(IF($J191="",IF('Start Here'!$C$22="",0,'Start Here'!$C$22),$J191),0)/100,2))</f>
        <v/>
      </c>
      <c r="L191" s="34" t="str">
        <f t="shared" si="18"/>
        <v/>
      </c>
      <c r="M191" s="36"/>
      <c r="N191" s="31"/>
      <c r="O191" s="34" t="str">
        <f t="shared" si="19"/>
        <v/>
      </c>
      <c r="P191" s="30"/>
      <c r="Q191" s="37" t="str">
        <f t="shared" ca="1" si="20"/>
        <v/>
      </c>
      <c r="R191" s="38" t="str">
        <f t="shared" ca="1" si="21"/>
        <v/>
      </c>
      <c r="S191" s="37" t="str">
        <f ca="1">IF($A191="","",IF(OR($Q191="Paid",$Q191="Cancelled",$Q191="Draft"),"—",IF($Q191="No lines yet","Add line items",IF($Q191="No date","Add invoice date",IF($D191-TODAY()&gt;7,"—",IF($D191-TODAY()&gt;=1,"Due soon",IF($D191=TODAY(),"Due today",IF(TODAY()-$D191&lt;IF('Start Here'!$C$16="",7,'Start Here'!$C$16),"Just overdue",IF(TODAY()-$D191&lt;IF('Start Here'!$C$17="",21,'Start Here'!$C$17),"First reminder",IF(TODAY()-$D191&lt;IF('Start Here'!$C$18="",45,'Start Here'!$C$18),"Second reminder","Last friendly reminder"))))))))))</f>
        <v/>
      </c>
      <c r="T191" s="31"/>
      <c r="U191" s="30"/>
      <c r="V191" s="37" t="str">
        <f t="shared" si="22"/>
        <v/>
      </c>
      <c r="W191" s="40"/>
      <c r="X191" s="37" t="str">
        <f>IF($A191="","",IFERROR(VALUE(IF('Start Here'!$C$13="",$A191,SUBSTITUTE($A191,'Start Here'!$C$13,""))),""))</f>
        <v/>
      </c>
      <c r="Y191" s="37" t="str">
        <f t="shared" si="23"/>
        <v/>
      </c>
      <c r="Z191" s="37" t="str">
        <f t="shared" ca="1" si="24"/>
        <v/>
      </c>
      <c r="AA191" s="37" t="str">
        <f t="shared" si="25"/>
        <v/>
      </c>
      <c r="AB191" s="37" t="str">
        <f t="shared" ca="1" si="26"/>
        <v/>
      </c>
    </row>
    <row r="192" spans="1:28" ht="16" x14ac:dyDescent="0.2">
      <c r="A192" s="30"/>
      <c r="B192" s="31"/>
      <c r="C192" s="32"/>
      <c r="D192" s="33" t="str">
        <f>IF($B192="","",$B192+IF($C192="",IF('Start Here'!$C$15="",14,'Start Here'!$C$15),$C192))</f>
        <v/>
      </c>
      <c r="E192" s="30"/>
      <c r="F192" s="30"/>
      <c r="G192" s="30"/>
      <c r="H192" s="30"/>
      <c r="I192" s="34" t="str">
        <f>IF($A192="","",ROUND(SUMIF('Line Items'!$A$8:$A$507,$A192,'Line Items'!$H$8:$H$507),2))</f>
        <v/>
      </c>
      <c r="J192" s="35"/>
      <c r="K192" s="34" t="str">
        <f>IF($A192="","",ROUND($I192*IFERROR(IF($J192="",IF('Start Here'!$C$22="",0,'Start Here'!$C$22),$J192),0)/100,2))</f>
        <v/>
      </c>
      <c r="L192" s="34" t="str">
        <f t="shared" si="18"/>
        <v/>
      </c>
      <c r="M192" s="36"/>
      <c r="N192" s="31"/>
      <c r="O192" s="34" t="str">
        <f t="shared" si="19"/>
        <v/>
      </c>
      <c r="P192" s="30"/>
      <c r="Q192" s="37" t="str">
        <f t="shared" ca="1" si="20"/>
        <v/>
      </c>
      <c r="R192" s="38" t="str">
        <f t="shared" ca="1" si="21"/>
        <v/>
      </c>
      <c r="S192" s="37" t="str">
        <f ca="1">IF($A192="","",IF(OR($Q192="Paid",$Q192="Cancelled",$Q192="Draft"),"—",IF($Q192="No lines yet","Add line items",IF($Q192="No date","Add invoice date",IF($D192-TODAY()&gt;7,"—",IF($D192-TODAY()&gt;=1,"Due soon",IF($D192=TODAY(),"Due today",IF(TODAY()-$D192&lt;IF('Start Here'!$C$16="",7,'Start Here'!$C$16),"Just overdue",IF(TODAY()-$D192&lt;IF('Start Here'!$C$17="",21,'Start Here'!$C$17),"First reminder",IF(TODAY()-$D192&lt;IF('Start Here'!$C$18="",45,'Start Here'!$C$18),"Second reminder","Last friendly reminder"))))))))))</f>
        <v/>
      </c>
      <c r="T192" s="31"/>
      <c r="U192" s="30"/>
      <c r="V192" s="37" t="str">
        <f t="shared" si="22"/>
        <v/>
      </c>
      <c r="W192" s="39"/>
      <c r="X192" s="37" t="str">
        <f>IF($A192="","",IFERROR(VALUE(IF('Start Here'!$C$13="",$A192,SUBSTITUTE($A192,'Start Here'!$C$13,""))),""))</f>
        <v/>
      </c>
      <c r="Y192" s="37" t="str">
        <f t="shared" si="23"/>
        <v/>
      </c>
      <c r="Z192" s="37" t="str">
        <f t="shared" ca="1" si="24"/>
        <v/>
      </c>
      <c r="AA192" s="37" t="str">
        <f t="shared" si="25"/>
        <v/>
      </c>
      <c r="AB192" s="37" t="str">
        <f t="shared" ca="1" si="26"/>
        <v/>
      </c>
    </row>
    <row r="193" spans="1:28" ht="16" x14ac:dyDescent="0.2">
      <c r="A193" s="30"/>
      <c r="B193" s="31"/>
      <c r="C193" s="32"/>
      <c r="D193" s="33" t="str">
        <f>IF($B193="","",$B193+IF($C193="",IF('Start Here'!$C$15="",14,'Start Here'!$C$15),$C193))</f>
        <v/>
      </c>
      <c r="E193" s="30"/>
      <c r="F193" s="30"/>
      <c r="G193" s="30"/>
      <c r="H193" s="30"/>
      <c r="I193" s="34" t="str">
        <f>IF($A193="","",ROUND(SUMIF('Line Items'!$A$8:$A$507,$A193,'Line Items'!$H$8:$H$507),2))</f>
        <v/>
      </c>
      <c r="J193" s="35"/>
      <c r="K193" s="34" t="str">
        <f>IF($A193="","",ROUND($I193*IFERROR(IF($J193="",IF('Start Here'!$C$22="",0,'Start Here'!$C$22),$J193),0)/100,2))</f>
        <v/>
      </c>
      <c r="L193" s="34" t="str">
        <f t="shared" si="18"/>
        <v/>
      </c>
      <c r="M193" s="36"/>
      <c r="N193" s="31"/>
      <c r="O193" s="34" t="str">
        <f t="shared" si="19"/>
        <v/>
      </c>
      <c r="P193" s="30"/>
      <c r="Q193" s="37" t="str">
        <f t="shared" ca="1" si="20"/>
        <v/>
      </c>
      <c r="R193" s="38" t="str">
        <f t="shared" ca="1" si="21"/>
        <v/>
      </c>
      <c r="S193" s="37" t="str">
        <f ca="1">IF($A193="","",IF(OR($Q193="Paid",$Q193="Cancelled",$Q193="Draft"),"—",IF($Q193="No lines yet","Add line items",IF($Q193="No date","Add invoice date",IF($D193-TODAY()&gt;7,"—",IF($D193-TODAY()&gt;=1,"Due soon",IF($D193=TODAY(),"Due today",IF(TODAY()-$D193&lt;IF('Start Here'!$C$16="",7,'Start Here'!$C$16),"Just overdue",IF(TODAY()-$D193&lt;IF('Start Here'!$C$17="",21,'Start Here'!$C$17),"First reminder",IF(TODAY()-$D193&lt;IF('Start Here'!$C$18="",45,'Start Here'!$C$18),"Second reminder","Last friendly reminder"))))))))))</f>
        <v/>
      </c>
      <c r="T193" s="31"/>
      <c r="U193" s="30"/>
      <c r="V193" s="37" t="str">
        <f t="shared" si="22"/>
        <v/>
      </c>
      <c r="W193" s="40"/>
      <c r="X193" s="37" t="str">
        <f>IF($A193="","",IFERROR(VALUE(IF('Start Here'!$C$13="",$A193,SUBSTITUTE($A193,'Start Here'!$C$13,""))),""))</f>
        <v/>
      </c>
      <c r="Y193" s="37" t="str">
        <f t="shared" si="23"/>
        <v/>
      </c>
      <c r="Z193" s="37" t="str">
        <f t="shared" ca="1" si="24"/>
        <v/>
      </c>
      <c r="AA193" s="37" t="str">
        <f t="shared" si="25"/>
        <v/>
      </c>
      <c r="AB193" s="37" t="str">
        <f t="shared" ca="1" si="26"/>
        <v/>
      </c>
    </row>
    <row r="194" spans="1:28" ht="16" x14ac:dyDescent="0.2">
      <c r="A194" s="30"/>
      <c r="B194" s="31"/>
      <c r="C194" s="32"/>
      <c r="D194" s="33" t="str">
        <f>IF($B194="","",$B194+IF($C194="",IF('Start Here'!$C$15="",14,'Start Here'!$C$15),$C194))</f>
        <v/>
      </c>
      <c r="E194" s="30"/>
      <c r="F194" s="30"/>
      <c r="G194" s="30"/>
      <c r="H194" s="30"/>
      <c r="I194" s="34" t="str">
        <f>IF($A194="","",ROUND(SUMIF('Line Items'!$A$8:$A$507,$A194,'Line Items'!$H$8:$H$507),2))</f>
        <v/>
      </c>
      <c r="J194" s="35"/>
      <c r="K194" s="34" t="str">
        <f>IF($A194="","",ROUND($I194*IFERROR(IF($J194="",IF('Start Here'!$C$22="",0,'Start Here'!$C$22),$J194),0)/100,2))</f>
        <v/>
      </c>
      <c r="L194" s="34" t="str">
        <f t="shared" si="18"/>
        <v/>
      </c>
      <c r="M194" s="36"/>
      <c r="N194" s="31"/>
      <c r="O194" s="34" t="str">
        <f t="shared" si="19"/>
        <v/>
      </c>
      <c r="P194" s="30"/>
      <c r="Q194" s="37" t="str">
        <f t="shared" ca="1" si="20"/>
        <v/>
      </c>
      <c r="R194" s="38" t="str">
        <f t="shared" ca="1" si="21"/>
        <v/>
      </c>
      <c r="S194" s="37" t="str">
        <f ca="1">IF($A194="","",IF(OR($Q194="Paid",$Q194="Cancelled",$Q194="Draft"),"—",IF($Q194="No lines yet","Add line items",IF($Q194="No date","Add invoice date",IF($D194-TODAY()&gt;7,"—",IF($D194-TODAY()&gt;=1,"Due soon",IF($D194=TODAY(),"Due today",IF(TODAY()-$D194&lt;IF('Start Here'!$C$16="",7,'Start Here'!$C$16),"Just overdue",IF(TODAY()-$D194&lt;IF('Start Here'!$C$17="",21,'Start Here'!$C$17),"First reminder",IF(TODAY()-$D194&lt;IF('Start Here'!$C$18="",45,'Start Here'!$C$18),"Second reminder","Last friendly reminder"))))))))))</f>
        <v/>
      </c>
      <c r="T194" s="31"/>
      <c r="U194" s="30"/>
      <c r="V194" s="37" t="str">
        <f t="shared" si="22"/>
        <v/>
      </c>
      <c r="W194" s="39"/>
      <c r="X194" s="37" t="str">
        <f>IF($A194="","",IFERROR(VALUE(IF('Start Here'!$C$13="",$A194,SUBSTITUTE($A194,'Start Here'!$C$13,""))),""))</f>
        <v/>
      </c>
      <c r="Y194" s="37" t="str">
        <f t="shared" si="23"/>
        <v/>
      </c>
      <c r="Z194" s="37" t="str">
        <f t="shared" ca="1" si="24"/>
        <v/>
      </c>
      <c r="AA194" s="37" t="str">
        <f t="shared" si="25"/>
        <v/>
      </c>
      <c r="AB194" s="37" t="str">
        <f t="shared" ca="1" si="26"/>
        <v/>
      </c>
    </row>
    <row r="195" spans="1:28" ht="16" x14ac:dyDescent="0.2">
      <c r="A195" s="30"/>
      <c r="B195" s="31"/>
      <c r="C195" s="32"/>
      <c r="D195" s="33" t="str">
        <f>IF($B195="","",$B195+IF($C195="",IF('Start Here'!$C$15="",14,'Start Here'!$C$15),$C195))</f>
        <v/>
      </c>
      <c r="E195" s="30"/>
      <c r="F195" s="30"/>
      <c r="G195" s="30"/>
      <c r="H195" s="30"/>
      <c r="I195" s="34" t="str">
        <f>IF($A195="","",ROUND(SUMIF('Line Items'!$A$8:$A$507,$A195,'Line Items'!$H$8:$H$507),2))</f>
        <v/>
      </c>
      <c r="J195" s="35"/>
      <c r="K195" s="34" t="str">
        <f>IF($A195="","",ROUND($I195*IFERROR(IF($J195="",IF('Start Here'!$C$22="",0,'Start Here'!$C$22),$J195),0)/100,2))</f>
        <v/>
      </c>
      <c r="L195" s="34" t="str">
        <f t="shared" si="18"/>
        <v/>
      </c>
      <c r="M195" s="36"/>
      <c r="N195" s="31"/>
      <c r="O195" s="34" t="str">
        <f t="shared" si="19"/>
        <v/>
      </c>
      <c r="P195" s="30"/>
      <c r="Q195" s="37" t="str">
        <f t="shared" ca="1" si="20"/>
        <v/>
      </c>
      <c r="R195" s="38" t="str">
        <f t="shared" ca="1" si="21"/>
        <v/>
      </c>
      <c r="S195" s="37" t="str">
        <f ca="1">IF($A195="","",IF(OR($Q195="Paid",$Q195="Cancelled",$Q195="Draft"),"—",IF($Q195="No lines yet","Add line items",IF($Q195="No date","Add invoice date",IF($D195-TODAY()&gt;7,"—",IF($D195-TODAY()&gt;=1,"Due soon",IF($D195=TODAY(),"Due today",IF(TODAY()-$D195&lt;IF('Start Here'!$C$16="",7,'Start Here'!$C$16),"Just overdue",IF(TODAY()-$D195&lt;IF('Start Here'!$C$17="",21,'Start Here'!$C$17),"First reminder",IF(TODAY()-$D195&lt;IF('Start Here'!$C$18="",45,'Start Here'!$C$18),"Second reminder","Last friendly reminder"))))))))))</f>
        <v/>
      </c>
      <c r="T195" s="31"/>
      <c r="U195" s="30"/>
      <c r="V195" s="37" t="str">
        <f t="shared" si="22"/>
        <v/>
      </c>
      <c r="W195" s="40"/>
      <c r="X195" s="37" t="str">
        <f>IF($A195="","",IFERROR(VALUE(IF('Start Here'!$C$13="",$A195,SUBSTITUTE($A195,'Start Here'!$C$13,""))),""))</f>
        <v/>
      </c>
      <c r="Y195" s="37" t="str">
        <f t="shared" si="23"/>
        <v/>
      </c>
      <c r="Z195" s="37" t="str">
        <f t="shared" ca="1" si="24"/>
        <v/>
      </c>
      <c r="AA195" s="37" t="str">
        <f t="shared" si="25"/>
        <v/>
      </c>
      <c r="AB195" s="37" t="str">
        <f t="shared" ca="1" si="26"/>
        <v/>
      </c>
    </row>
    <row r="196" spans="1:28" ht="16" x14ac:dyDescent="0.2">
      <c r="A196" s="30"/>
      <c r="B196" s="31"/>
      <c r="C196" s="32"/>
      <c r="D196" s="33" t="str">
        <f>IF($B196="","",$B196+IF($C196="",IF('Start Here'!$C$15="",14,'Start Here'!$C$15),$C196))</f>
        <v/>
      </c>
      <c r="E196" s="30"/>
      <c r="F196" s="30"/>
      <c r="G196" s="30"/>
      <c r="H196" s="30"/>
      <c r="I196" s="34" t="str">
        <f>IF($A196="","",ROUND(SUMIF('Line Items'!$A$8:$A$507,$A196,'Line Items'!$H$8:$H$507),2))</f>
        <v/>
      </c>
      <c r="J196" s="35"/>
      <c r="K196" s="34" t="str">
        <f>IF($A196="","",ROUND($I196*IFERROR(IF($J196="",IF('Start Here'!$C$22="",0,'Start Here'!$C$22),$J196),0)/100,2))</f>
        <v/>
      </c>
      <c r="L196" s="34" t="str">
        <f t="shared" si="18"/>
        <v/>
      </c>
      <c r="M196" s="36"/>
      <c r="N196" s="31"/>
      <c r="O196" s="34" t="str">
        <f t="shared" si="19"/>
        <v/>
      </c>
      <c r="P196" s="30"/>
      <c r="Q196" s="37" t="str">
        <f t="shared" ca="1" si="20"/>
        <v/>
      </c>
      <c r="R196" s="38" t="str">
        <f t="shared" ca="1" si="21"/>
        <v/>
      </c>
      <c r="S196" s="37" t="str">
        <f ca="1">IF($A196="","",IF(OR($Q196="Paid",$Q196="Cancelled",$Q196="Draft"),"—",IF($Q196="No lines yet","Add line items",IF($Q196="No date","Add invoice date",IF($D196-TODAY()&gt;7,"—",IF($D196-TODAY()&gt;=1,"Due soon",IF($D196=TODAY(),"Due today",IF(TODAY()-$D196&lt;IF('Start Here'!$C$16="",7,'Start Here'!$C$16),"Just overdue",IF(TODAY()-$D196&lt;IF('Start Here'!$C$17="",21,'Start Here'!$C$17),"First reminder",IF(TODAY()-$D196&lt;IF('Start Here'!$C$18="",45,'Start Here'!$C$18),"Second reminder","Last friendly reminder"))))))))))</f>
        <v/>
      </c>
      <c r="T196" s="31"/>
      <c r="U196" s="30"/>
      <c r="V196" s="37" t="str">
        <f t="shared" si="22"/>
        <v/>
      </c>
      <c r="W196" s="39"/>
      <c r="X196" s="37" t="str">
        <f>IF($A196="","",IFERROR(VALUE(IF('Start Here'!$C$13="",$A196,SUBSTITUTE($A196,'Start Here'!$C$13,""))),""))</f>
        <v/>
      </c>
      <c r="Y196" s="37" t="str">
        <f t="shared" si="23"/>
        <v/>
      </c>
      <c r="Z196" s="37" t="str">
        <f t="shared" ca="1" si="24"/>
        <v/>
      </c>
      <c r="AA196" s="37" t="str">
        <f t="shared" si="25"/>
        <v/>
      </c>
      <c r="AB196" s="37" t="str">
        <f t="shared" ca="1" si="26"/>
        <v/>
      </c>
    </row>
    <row r="197" spans="1:28" ht="16" x14ac:dyDescent="0.2">
      <c r="A197" s="30"/>
      <c r="B197" s="31"/>
      <c r="C197" s="32"/>
      <c r="D197" s="33" t="str">
        <f>IF($B197="","",$B197+IF($C197="",IF('Start Here'!$C$15="",14,'Start Here'!$C$15),$C197))</f>
        <v/>
      </c>
      <c r="E197" s="30"/>
      <c r="F197" s="30"/>
      <c r="G197" s="30"/>
      <c r="H197" s="30"/>
      <c r="I197" s="34" t="str">
        <f>IF($A197="","",ROUND(SUMIF('Line Items'!$A$8:$A$507,$A197,'Line Items'!$H$8:$H$507),2))</f>
        <v/>
      </c>
      <c r="J197" s="35"/>
      <c r="K197" s="34" t="str">
        <f>IF($A197="","",ROUND($I197*IFERROR(IF($J197="",IF('Start Here'!$C$22="",0,'Start Here'!$C$22),$J197),0)/100,2))</f>
        <v/>
      </c>
      <c r="L197" s="34" t="str">
        <f t="shared" si="18"/>
        <v/>
      </c>
      <c r="M197" s="36"/>
      <c r="N197" s="31"/>
      <c r="O197" s="34" t="str">
        <f t="shared" si="19"/>
        <v/>
      </c>
      <c r="P197" s="30"/>
      <c r="Q197" s="37" t="str">
        <f t="shared" ca="1" si="20"/>
        <v/>
      </c>
      <c r="R197" s="38" t="str">
        <f t="shared" ca="1" si="21"/>
        <v/>
      </c>
      <c r="S197" s="37" t="str">
        <f ca="1">IF($A197="","",IF(OR($Q197="Paid",$Q197="Cancelled",$Q197="Draft"),"—",IF($Q197="No lines yet","Add line items",IF($Q197="No date","Add invoice date",IF($D197-TODAY()&gt;7,"—",IF($D197-TODAY()&gt;=1,"Due soon",IF($D197=TODAY(),"Due today",IF(TODAY()-$D197&lt;IF('Start Here'!$C$16="",7,'Start Here'!$C$16),"Just overdue",IF(TODAY()-$D197&lt;IF('Start Here'!$C$17="",21,'Start Here'!$C$17),"First reminder",IF(TODAY()-$D197&lt;IF('Start Here'!$C$18="",45,'Start Here'!$C$18),"Second reminder","Last friendly reminder"))))))))))</f>
        <v/>
      </c>
      <c r="T197" s="31"/>
      <c r="U197" s="30"/>
      <c r="V197" s="37" t="str">
        <f t="shared" si="22"/>
        <v/>
      </c>
      <c r="W197" s="40"/>
      <c r="X197" s="37" t="str">
        <f>IF($A197="","",IFERROR(VALUE(IF('Start Here'!$C$13="",$A197,SUBSTITUTE($A197,'Start Here'!$C$13,""))),""))</f>
        <v/>
      </c>
      <c r="Y197" s="37" t="str">
        <f t="shared" si="23"/>
        <v/>
      </c>
      <c r="Z197" s="37" t="str">
        <f t="shared" ca="1" si="24"/>
        <v/>
      </c>
      <c r="AA197" s="37" t="str">
        <f t="shared" si="25"/>
        <v/>
      </c>
      <c r="AB197" s="37" t="str">
        <f t="shared" ca="1" si="26"/>
        <v/>
      </c>
    </row>
    <row r="198" spans="1:28" ht="16" x14ac:dyDescent="0.2">
      <c r="A198" s="30"/>
      <c r="B198" s="31"/>
      <c r="C198" s="32"/>
      <c r="D198" s="33" t="str">
        <f>IF($B198="","",$B198+IF($C198="",IF('Start Here'!$C$15="",14,'Start Here'!$C$15),$C198))</f>
        <v/>
      </c>
      <c r="E198" s="30"/>
      <c r="F198" s="30"/>
      <c r="G198" s="30"/>
      <c r="H198" s="30"/>
      <c r="I198" s="34" t="str">
        <f>IF($A198="","",ROUND(SUMIF('Line Items'!$A$8:$A$507,$A198,'Line Items'!$H$8:$H$507),2))</f>
        <v/>
      </c>
      <c r="J198" s="35"/>
      <c r="K198" s="34" t="str">
        <f>IF($A198="","",ROUND($I198*IFERROR(IF($J198="",IF('Start Here'!$C$22="",0,'Start Here'!$C$22),$J198),0)/100,2))</f>
        <v/>
      </c>
      <c r="L198" s="34" t="str">
        <f t="shared" si="18"/>
        <v/>
      </c>
      <c r="M198" s="36"/>
      <c r="N198" s="31"/>
      <c r="O198" s="34" t="str">
        <f t="shared" si="19"/>
        <v/>
      </c>
      <c r="P198" s="30"/>
      <c r="Q198" s="37" t="str">
        <f t="shared" ca="1" si="20"/>
        <v/>
      </c>
      <c r="R198" s="38" t="str">
        <f t="shared" ca="1" si="21"/>
        <v/>
      </c>
      <c r="S198" s="37" t="str">
        <f ca="1">IF($A198="","",IF(OR($Q198="Paid",$Q198="Cancelled",$Q198="Draft"),"—",IF($Q198="No lines yet","Add line items",IF($Q198="No date","Add invoice date",IF($D198-TODAY()&gt;7,"—",IF($D198-TODAY()&gt;=1,"Due soon",IF($D198=TODAY(),"Due today",IF(TODAY()-$D198&lt;IF('Start Here'!$C$16="",7,'Start Here'!$C$16),"Just overdue",IF(TODAY()-$D198&lt;IF('Start Here'!$C$17="",21,'Start Here'!$C$17),"First reminder",IF(TODAY()-$D198&lt;IF('Start Here'!$C$18="",45,'Start Here'!$C$18),"Second reminder","Last friendly reminder"))))))))))</f>
        <v/>
      </c>
      <c r="T198" s="31"/>
      <c r="U198" s="30"/>
      <c r="V198" s="37" t="str">
        <f t="shared" si="22"/>
        <v/>
      </c>
      <c r="W198" s="39"/>
      <c r="X198" s="37" t="str">
        <f>IF($A198="","",IFERROR(VALUE(IF('Start Here'!$C$13="",$A198,SUBSTITUTE($A198,'Start Here'!$C$13,""))),""))</f>
        <v/>
      </c>
      <c r="Y198" s="37" t="str">
        <f t="shared" si="23"/>
        <v/>
      </c>
      <c r="Z198" s="37" t="str">
        <f t="shared" ca="1" si="24"/>
        <v/>
      </c>
      <c r="AA198" s="37" t="str">
        <f t="shared" si="25"/>
        <v/>
      </c>
      <c r="AB198" s="37" t="str">
        <f t="shared" ca="1" si="26"/>
        <v/>
      </c>
    </row>
    <row r="199" spans="1:28" ht="16" x14ac:dyDescent="0.2">
      <c r="A199" s="30"/>
      <c r="B199" s="31"/>
      <c r="C199" s="32"/>
      <c r="D199" s="33" t="str">
        <f>IF($B199="","",$B199+IF($C199="",IF('Start Here'!$C$15="",14,'Start Here'!$C$15),$C199))</f>
        <v/>
      </c>
      <c r="E199" s="30"/>
      <c r="F199" s="30"/>
      <c r="G199" s="30"/>
      <c r="H199" s="30"/>
      <c r="I199" s="34" t="str">
        <f>IF($A199="","",ROUND(SUMIF('Line Items'!$A$8:$A$507,$A199,'Line Items'!$H$8:$H$507),2))</f>
        <v/>
      </c>
      <c r="J199" s="35"/>
      <c r="K199" s="34" t="str">
        <f>IF($A199="","",ROUND($I199*IFERROR(IF($J199="",IF('Start Here'!$C$22="",0,'Start Here'!$C$22),$J199),0)/100,2))</f>
        <v/>
      </c>
      <c r="L199" s="34" t="str">
        <f t="shared" si="18"/>
        <v/>
      </c>
      <c r="M199" s="36"/>
      <c r="N199" s="31"/>
      <c r="O199" s="34" t="str">
        <f t="shared" si="19"/>
        <v/>
      </c>
      <c r="P199" s="30"/>
      <c r="Q199" s="37" t="str">
        <f t="shared" ca="1" si="20"/>
        <v/>
      </c>
      <c r="R199" s="38" t="str">
        <f t="shared" ca="1" si="21"/>
        <v/>
      </c>
      <c r="S199" s="37" t="str">
        <f ca="1">IF($A199="","",IF(OR($Q199="Paid",$Q199="Cancelled",$Q199="Draft"),"—",IF($Q199="No lines yet","Add line items",IF($Q199="No date","Add invoice date",IF($D199-TODAY()&gt;7,"—",IF($D199-TODAY()&gt;=1,"Due soon",IF($D199=TODAY(),"Due today",IF(TODAY()-$D199&lt;IF('Start Here'!$C$16="",7,'Start Here'!$C$16),"Just overdue",IF(TODAY()-$D199&lt;IF('Start Here'!$C$17="",21,'Start Here'!$C$17),"First reminder",IF(TODAY()-$D199&lt;IF('Start Here'!$C$18="",45,'Start Here'!$C$18),"Second reminder","Last friendly reminder"))))))))))</f>
        <v/>
      </c>
      <c r="T199" s="31"/>
      <c r="U199" s="30"/>
      <c r="V199" s="37" t="str">
        <f t="shared" si="22"/>
        <v/>
      </c>
      <c r="W199" s="40"/>
      <c r="X199" s="37" t="str">
        <f>IF($A199="","",IFERROR(VALUE(IF('Start Here'!$C$13="",$A199,SUBSTITUTE($A199,'Start Here'!$C$13,""))),""))</f>
        <v/>
      </c>
      <c r="Y199" s="37" t="str">
        <f t="shared" si="23"/>
        <v/>
      </c>
      <c r="Z199" s="37" t="str">
        <f t="shared" ca="1" si="24"/>
        <v/>
      </c>
      <c r="AA199" s="37" t="str">
        <f t="shared" si="25"/>
        <v/>
      </c>
      <c r="AB199" s="37" t="str">
        <f t="shared" ca="1" si="26"/>
        <v/>
      </c>
    </row>
    <row r="200" spans="1:28" ht="16" x14ac:dyDescent="0.2">
      <c r="A200" s="30"/>
      <c r="B200" s="31"/>
      <c r="C200" s="32"/>
      <c r="D200" s="33" t="str">
        <f>IF($B200="","",$B200+IF($C200="",IF('Start Here'!$C$15="",14,'Start Here'!$C$15),$C200))</f>
        <v/>
      </c>
      <c r="E200" s="30"/>
      <c r="F200" s="30"/>
      <c r="G200" s="30"/>
      <c r="H200" s="30"/>
      <c r="I200" s="34" t="str">
        <f>IF($A200="","",ROUND(SUMIF('Line Items'!$A$8:$A$507,$A200,'Line Items'!$H$8:$H$507),2))</f>
        <v/>
      </c>
      <c r="J200" s="35"/>
      <c r="K200" s="34" t="str">
        <f>IF($A200="","",ROUND($I200*IFERROR(IF($J200="",IF('Start Here'!$C$22="",0,'Start Here'!$C$22),$J200),0)/100,2))</f>
        <v/>
      </c>
      <c r="L200" s="34" t="str">
        <f t="shared" ref="L200:L257" si="27">IF($A200="","",ROUND($I200+$K200,2))</f>
        <v/>
      </c>
      <c r="M200" s="36"/>
      <c r="N200" s="31"/>
      <c r="O200" s="34" t="str">
        <f t="shared" ref="O200:O257" si="28">IF($A200="","",ROUND($L200-IF($M200="",0,$M200),2))</f>
        <v/>
      </c>
      <c r="P200" s="30"/>
      <c r="Q200" s="37" t="str">
        <f t="shared" ref="Q200:Q257" ca="1" si="29">IF($A200="","",IF($P200="Cancelled","Cancelled",IF($P200="Draft","Draft",IF($L200=0,"No lines yet",IF($O200&lt;=0,"Paid",IF($D200="","No date",IF($D200&lt;TODAY(),"Overdue",IF(IF($M200="",0,$M200)&gt;0,"Part-paid","Open"))))))))</f>
        <v/>
      </c>
      <c r="R200" s="38" t="str">
        <f t="shared" ref="R200:R257" ca="1" si="30">IF($A200="","",IF($Q200&lt;&gt;"Overdue","—",TODAY()-$D200))</f>
        <v/>
      </c>
      <c r="S200" s="37" t="str">
        <f ca="1">IF($A200="","",IF(OR($Q200="Paid",$Q200="Cancelled",$Q200="Draft"),"—",IF($Q200="No lines yet","Add line items",IF($Q200="No date","Add invoice date",IF($D200-TODAY()&gt;7,"—",IF($D200-TODAY()&gt;=1,"Due soon",IF($D200=TODAY(),"Due today",IF(TODAY()-$D200&lt;IF('Start Here'!$C$16="",7,'Start Here'!$C$16),"Just overdue",IF(TODAY()-$D200&lt;IF('Start Here'!$C$17="",21,'Start Here'!$C$17),"First reminder",IF(TODAY()-$D200&lt;IF('Start Here'!$C$18="",45,'Start Here'!$C$18),"Second reminder","Last friendly reminder"))))))))))</f>
        <v/>
      </c>
      <c r="T200" s="31"/>
      <c r="U200" s="30"/>
      <c r="V200" s="37" t="str">
        <f t="shared" ref="V200:V257" si="31">IF($A200="","",TRIM(IF(COUNTIF($A$8:$A$257,$A200)&gt;1,"Duplicate no. ","")&amp;IF(ISNUMBER(FIND("*",$A200))+ISNUMBER(FIND("?",$A200))&gt;0,"Avoid * and ? in invoice numbers ","")&amp;IF($E200="","No client ","")&amp;IF($L200=0,"No amount ","")&amp;IF(AND($Q200="Overdue",$F200=""),"No client email ","")))</f>
        <v/>
      </c>
      <c r="W200" s="39"/>
      <c r="X200" s="37" t="str">
        <f>IF($A200="","",IFERROR(VALUE(IF('Start Here'!$C$13="",$A200,SUBSTITUTE($A200,'Start Here'!$C$13,""))),""))</f>
        <v/>
      </c>
      <c r="Y200" s="37" t="str">
        <f t="shared" ref="Y200:Y257" si="32">IF(AND($E200&lt;&gt;"",$G200&lt;&gt;""),$E200,"")</f>
        <v/>
      </c>
      <c r="Z200" s="37" t="str">
        <f t="shared" ref="Z200:Z257" ca="1" si="33">IF($A200="","",IF($Q200&lt;&gt;"Overdue","",(TODAY()-$D200)+ROW()/100000))</f>
        <v/>
      </c>
      <c r="AA200" s="37" t="str">
        <f t="shared" ref="AA200:AA257" si="34">IF($A200="","",IF(AND($Q200="Paid",ISNUMBER($N200),ISNUMBER($B200)),$N200-$B200,""))</f>
        <v/>
      </c>
      <c r="AB200" s="37" t="str">
        <f t="shared" ref="AB200:AB257" ca="1" si="35">IF($A200="","",IF(OR($Q200="Paid",$Q200="Draft",$Q200="Cancelled",$Q200="No lines yet",$Q200="No date"),"",IF($Q200&lt;&gt;"Overdue","Not due",IF(TODAY()-$D200&lt;=14,"1-14",IF(TODAY()-$D200&lt;=30,"15-30",IF(TODAY()-$D200&lt;=60,"31-60","61+"))))))</f>
        <v/>
      </c>
    </row>
    <row r="201" spans="1:28" ht="16" x14ac:dyDescent="0.2">
      <c r="A201" s="30"/>
      <c r="B201" s="31"/>
      <c r="C201" s="32"/>
      <c r="D201" s="33" t="str">
        <f>IF($B201="","",$B201+IF($C201="",IF('Start Here'!$C$15="",14,'Start Here'!$C$15),$C201))</f>
        <v/>
      </c>
      <c r="E201" s="30"/>
      <c r="F201" s="30"/>
      <c r="G201" s="30"/>
      <c r="H201" s="30"/>
      <c r="I201" s="34" t="str">
        <f>IF($A201="","",ROUND(SUMIF('Line Items'!$A$8:$A$507,$A201,'Line Items'!$H$8:$H$507),2))</f>
        <v/>
      </c>
      <c r="J201" s="35"/>
      <c r="K201" s="34" t="str">
        <f>IF($A201="","",ROUND($I201*IFERROR(IF($J201="",IF('Start Here'!$C$22="",0,'Start Here'!$C$22),$J201),0)/100,2))</f>
        <v/>
      </c>
      <c r="L201" s="34" t="str">
        <f t="shared" si="27"/>
        <v/>
      </c>
      <c r="M201" s="36"/>
      <c r="N201" s="31"/>
      <c r="O201" s="34" t="str">
        <f t="shared" si="28"/>
        <v/>
      </c>
      <c r="P201" s="30"/>
      <c r="Q201" s="37" t="str">
        <f t="shared" ca="1" si="29"/>
        <v/>
      </c>
      <c r="R201" s="38" t="str">
        <f t="shared" ca="1" si="30"/>
        <v/>
      </c>
      <c r="S201" s="37" t="str">
        <f ca="1">IF($A201="","",IF(OR($Q201="Paid",$Q201="Cancelled",$Q201="Draft"),"—",IF($Q201="No lines yet","Add line items",IF($Q201="No date","Add invoice date",IF($D201-TODAY()&gt;7,"—",IF($D201-TODAY()&gt;=1,"Due soon",IF($D201=TODAY(),"Due today",IF(TODAY()-$D201&lt;IF('Start Here'!$C$16="",7,'Start Here'!$C$16),"Just overdue",IF(TODAY()-$D201&lt;IF('Start Here'!$C$17="",21,'Start Here'!$C$17),"First reminder",IF(TODAY()-$D201&lt;IF('Start Here'!$C$18="",45,'Start Here'!$C$18),"Second reminder","Last friendly reminder"))))))))))</f>
        <v/>
      </c>
      <c r="T201" s="31"/>
      <c r="U201" s="30"/>
      <c r="V201" s="37" t="str">
        <f t="shared" si="31"/>
        <v/>
      </c>
      <c r="W201" s="40"/>
      <c r="X201" s="37" t="str">
        <f>IF($A201="","",IFERROR(VALUE(IF('Start Here'!$C$13="",$A201,SUBSTITUTE($A201,'Start Here'!$C$13,""))),""))</f>
        <v/>
      </c>
      <c r="Y201" s="37" t="str">
        <f t="shared" si="32"/>
        <v/>
      </c>
      <c r="Z201" s="37" t="str">
        <f t="shared" ca="1" si="33"/>
        <v/>
      </c>
      <c r="AA201" s="37" t="str">
        <f t="shared" si="34"/>
        <v/>
      </c>
      <c r="AB201" s="37" t="str">
        <f t="shared" ca="1" si="35"/>
        <v/>
      </c>
    </row>
    <row r="202" spans="1:28" ht="16" x14ac:dyDescent="0.2">
      <c r="A202" s="30"/>
      <c r="B202" s="31"/>
      <c r="C202" s="32"/>
      <c r="D202" s="33" t="str">
        <f>IF($B202="","",$B202+IF($C202="",IF('Start Here'!$C$15="",14,'Start Here'!$C$15),$C202))</f>
        <v/>
      </c>
      <c r="E202" s="30"/>
      <c r="F202" s="30"/>
      <c r="G202" s="30"/>
      <c r="H202" s="30"/>
      <c r="I202" s="34" t="str">
        <f>IF($A202="","",ROUND(SUMIF('Line Items'!$A$8:$A$507,$A202,'Line Items'!$H$8:$H$507),2))</f>
        <v/>
      </c>
      <c r="J202" s="35"/>
      <c r="K202" s="34" t="str">
        <f>IF($A202="","",ROUND($I202*IFERROR(IF($J202="",IF('Start Here'!$C$22="",0,'Start Here'!$C$22),$J202),0)/100,2))</f>
        <v/>
      </c>
      <c r="L202" s="34" t="str">
        <f t="shared" si="27"/>
        <v/>
      </c>
      <c r="M202" s="36"/>
      <c r="N202" s="31"/>
      <c r="O202" s="34" t="str">
        <f t="shared" si="28"/>
        <v/>
      </c>
      <c r="P202" s="30"/>
      <c r="Q202" s="37" t="str">
        <f t="shared" ca="1" si="29"/>
        <v/>
      </c>
      <c r="R202" s="38" t="str">
        <f t="shared" ca="1" si="30"/>
        <v/>
      </c>
      <c r="S202" s="37" t="str">
        <f ca="1">IF($A202="","",IF(OR($Q202="Paid",$Q202="Cancelled",$Q202="Draft"),"—",IF($Q202="No lines yet","Add line items",IF($Q202="No date","Add invoice date",IF($D202-TODAY()&gt;7,"—",IF($D202-TODAY()&gt;=1,"Due soon",IF($D202=TODAY(),"Due today",IF(TODAY()-$D202&lt;IF('Start Here'!$C$16="",7,'Start Here'!$C$16),"Just overdue",IF(TODAY()-$D202&lt;IF('Start Here'!$C$17="",21,'Start Here'!$C$17),"First reminder",IF(TODAY()-$D202&lt;IF('Start Here'!$C$18="",45,'Start Here'!$C$18),"Second reminder","Last friendly reminder"))))))))))</f>
        <v/>
      </c>
      <c r="T202" s="31"/>
      <c r="U202" s="30"/>
      <c r="V202" s="37" t="str">
        <f t="shared" si="31"/>
        <v/>
      </c>
      <c r="W202" s="39"/>
      <c r="X202" s="37" t="str">
        <f>IF($A202="","",IFERROR(VALUE(IF('Start Here'!$C$13="",$A202,SUBSTITUTE($A202,'Start Here'!$C$13,""))),""))</f>
        <v/>
      </c>
      <c r="Y202" s="37" t="str">
        <f t="shared" si="32"/>
        <v/>
      </c>
      <c r="Z202" s="37" t="str">
        <f t="shared" ca="1" si="33"/>
        <v/>
      </c>
      <c r="AA202" s="37" t="str">
        <f t="shared" si="34"/>
        <v/>
      </c>
      <c r="AB202" s="37" t="str">
        <f t="shared" ca="1" si="35"/>
        <v/>
      </c>
    </row>
    <row r="203" spans="1:28" ht="16" x14ac:dyDescent="0.2">
      <c r="A203" s="30"/>
      <c r="B203" s="31"/>
      <c r="C203" s="32"/>
      <c r="D203" s="33" t="str">
        <f>IF($B203="","",$B203+IF($C203="",IF('Start Here'!$C$15="",14,'Start Here'!$C$15),$C203))</f>
        <v/>
      </c>
      <c r="E203" s="30"/>
      <c r="F203" s="30"/>
      <c r="G203" s="30"/>
      <c r="H203" s="30"/>
      <c r="I203" s="34" t="str">
        <f>IF($A203="","",ROUND(SUMIF('Line Items'!$A$8:$A$507,$A203,'Line Items'!$H$8:$H$507),2))</f>
        <v/>
      </c>
      <c r="J203" s="35"/>
      <c r="K203" s="34" t="str">
        <f>IF($A203="","",ROUND($I203*IFERROR(IF($J203="",IF('Start Here'!$C$22="",0,'Start Here'!$C$22),$J203),0)/100,2))</f>
        <v/>
      </c>
      <c r="L203" s="34" t="str">
        <f t="shared" si="27"/>
        <v/>
      </c>
      <c r="M203" s="36"/>
      <c r="N203" s="31"/>
      <c r="O203" s="34" t="str">
        <f t="shared" si="28"/>
        <v/>
      </c>
      <c r="P203" s="30"/>
      <c r="Q203" s="37" t="str">
        <f t="shared" ca="1" si="29"/>
        <v/>
      </c>
      <c r="R203" s="38" t="str">
        <f t="shared" ca="1" si="30"/>
        <v/>
      </c>
      <c r="S203" s="37" t="str">
        <f ca="1">IF($A203="","",IF(OR($Q203="Paid",$Q203="Cancelled",$Q203="Draft"),"—",IF($Q203="No lines yet","Add line items",IF($Q203="No date","Add invoice date",IF($D203-TODAY()&gt;7,"—",IF($D203-TODAY()&gt;=1,"Due soon",IF($D203=TODAY(),"Due today",IF(TODAY()-$D203&lt;IF('Start Here'!$C$16="",7,'Start Here'!$C$16),"Just overdue",IF(TODAY()-$D203&lt;IF('Start Here'!$C$17="",21,'Start Here'!$C$17),"First reminder",IF(TODAY()-$D203&lt;IF('Start Here'!$C$18="",45,'Start Here'!$C$18),"Second reminder","Last friendly reminder"))))))))))</f>
        <v/>
      </c>
      <c r="T203" s="31"/>
      <c r="U203" s="30"/>
      <c r="V203" s="37" t="str">
        <f t="shared" si="31"/>
        <v/>
      </c>
      <c r="W203" s="40"/>
      <c r="X203" s="37" t="str">
        <f>IF($A203="","",IFERROR(VALUE(IF('Start Here'!$C$13="",$A203,SUBSTITUTE($A203,'Start Here'!$C$13,""))),""))</f>
        <v/>
      </c>
      <c r="Y203" s="37" t="str">
        <f t="shared" si="32"/>
        <v/>
      </c>
      <c r="Z203" s="37" t="str">
        <f t="shared" ca="1" si="33"/>
        <v/>
      </c>
      <c r="AA203" s="37" t="str">
        <f t="shared" si="34"/>
        <v/>
      </c>
      <c r="AB203" s="37" t="str">
        <f t="shared" ca="1" si="35"/>
        <v/>
      </c>
    </row>
    <row r="204" spans="1:28" ht="16" x14ac:dyDescent="0.2">
      <c r="A204" s="30"/>
      <c r="B204" s="31"/>
      <c r="C204" s="32"/>
      <c r="D204" s="33" t="str">
        <f>IF($B204="","",$B204+IF($C204="",IF('Start Here'!$C$15="",14,'Start Here'!$C$15),$C204))</f>
        <v/>
      </c>
      <c r="E204" s="30"/>
      <c r="F204" s="30"/>
      <c r="G204" s="30"/>
      <c r="H204" s="30"/>
      <c r="I204" s="34" t="str">
        <f>IF($A204="","",ROUND(SUMIF('Line Items'!$A$8:$A$507,$A204,'Line Items'!$H$8:$H$507),2))</f>
        <v/>
      </c>
      <c r="J204" s="35"/>
      <c r="K204" s="34" t="str">
        <f>IF($A204="","",ROUND($I204*IFERROR(IF($J204="",IF('Start Here'!$C$22="",0,'Start Here'!$C$22),$J204),0)/100,2))</f>
        <v/>
      </c>
      <c r="L204" s="34" t="str">
        <f t="shared" si="27"/>
        <v/>
      </c>
      <c r="M204" s="36"/>
      <c r="N204" s="31"/>
      <c r="O204" s="34" t="str">
        <f t="shared" si="28"/>
        <v/>
      </c>
      <c r="P204" s="30"/>
      <c r="Q204" s="37" t="str">
        <f t="shared" ca="1" si="29"/>
        <v/>
      </c>
      <c r="R204" s="38" t="str">
        <f t="shared" ca="1" si="30"/>
        <v/>
      </c>
      <c r="S204" s="37" t="str">
        <f ca="1">IF($A204="","",IF(OR($Q204="Paid",$Q204="Cancelled",$Q204="Draft"),"—",IF($Q204="No lines yet","Add line items",IF($Q204="No date","Add invoice date",IF($D204-TODAY()&gt;7,"—",IF($D204-TODAY()&gt;=1,"Due soon",IF($D204=TODAY(),"Due today",IF(TODAY()-$D204&lt;IF('Start Here'!$C$16="",7,'Start Here'!$C$16),"Just overdue",IF(TODAY()-$D204&lt;IF('Start Here'!$C$17="",21,'Start Here'!$C$17),"First reminder",IF(TODAY()-$D204&lt;IF('Start Here'!$C$18="",45,'Start Here'!$C$18),"Second reminder","Last friendly reminder"))))))))))</f>
        <v/>
      </c>
      <c r="T204" s="31"/>
      <c r="U204" s="30"/>
      <c r="V204" s="37" t="str">
        <f t="shared" si="31"/>
        <v/>
      </c>
      <c r="W204" s="39"/>
      <c r="X204" s="37" t="str">
        <f>IF($A204="","",IFERROR(VALUE(IF('Start Here'!$C$13="",$A204,SUBSTITUTE($A204,'Start Here'!$C$13,""))),""))</f>
        <v/>
      </c>
      <c r="Y204" s="37" t="str">
        <f t="shared" si="32"/>
        <v/>
      </c>
      <c r="Z204" s="37" t="str">
        <f t="shared" ca="1" si="33"/>
        <v/>
      </c>
      <c r="AA204" s="37" t="str">
        <f t="shared" si="34"/>
        <v/>
      </c>
      <c r="AB204" s="37" t="str">
        <f t="shared" ca="1" si="35"/>
        <v/>
      </c>
    </row>
    <row r="205" spans="1:28" ht="16" x14ac:dyDescent="0.2">
      <c r="A205" s="30"/>
      <c r="B205" s="31"/>
      <c r="C205" s="32"/>
      <c r="D205" s="33" t="str">
        <f>IF($B205="","",$B205+IF($C205="",IF('Start Here'!$C$15="",14,'Start Here'!$C$15),$C205))</f>
        <v/>
      </c>
      <c r="E205" s="30"/>
      <c r="F205" s="30"/>
      <c r="G205" s="30"/>
      <c r="H205" s="30"/>
      <c r="I205" s="34" t="str">
        <f>IF($A205="","",ROUND(SUMIF('Line Items'!$A$8:$A$507,$A205,'Line Items'!$H$8:$H$507),2))</f>
        <v/>
      </c>
      <c r="J205" s="35"/>
      <c r="K205" s="34" t="str">
        <f>IF($A205="","",ROUND($I205*IFERROR(IF($J205="",IF('Start Here'!$C$22="",0,'Start Here'!$C$22),$J205),0)/100,2))</f>
        <v/>
      </c>
      <c r="L205" s="34" t="str">
        <f t="shared" si="27"/>
        <v/>
      </c>
      <c r="M205" s="36"/>
      <c r="N205" s="31"/>
      <c r="O205" s="34" t="str">
        <f t="shared" si="28"/>
        <v/>
      </c>
      <c r="P205" s="30"/>
      <c r="Q205" s="37" t="str">
        <f t="shared" ca="1" si="29"/>
        <v/>
      </c>
      <c r="R205" s="38" t="str">
        <f t="shared" ca="1" si="30"/>
        <v/>
      </c>
      <c r="S205" s="37" t="str">
        <f ca="1">IF($A205="","",IF(OR($Q205="Paid",$Q205="Cancelled",$Q205="Draft"),"—",IF($Q205="No lines yet","Add line items",IF($Q205="No date","Add invoice date",IF($D205-TODAY()&gt;7,"—",IF($D205-TODAY()&gt;=1,"Due soon",IF($D205=TODAY(),"Due today",IF(TODAY()-$D205&lt;IF('Start Here'!$C$16="",7,'Start Here'!$C$16),"Just overdue",IF(TODAY()-$D205&lt;IF('Start Here'!$C$17="",21,'Start Here'!$C$17),"First reminder",IF(TODAY()-$D205&lt;IF('Start Here'!$C$18="",45,'Start Here'!$C$18),"Second reminder","Last friendly reminder"))))))))))</f>
        <v/>
      </c>
      <c r="T205" s="31"/>
      <c r="U205" s="30"/>
      <c r="V205" s="37" t="str">
        <f t="shared" si="31"/>
        <v/>
      </c>
      <c r="W205" s="40"/>
      <c r="X205" s="37" t="str">
        <f>IF($A205="","",IFERROR(VALUE(IF('Start Here'!$C$13="",$A205,SUBSTITUTE($A205,'Start Here'!$C$13,""))),""))</f>
        <v/>
      </c>
      <c r="Y205" s="37" t="str">
        <f t="shared" si="32"/>
        <v/>
      </c>
      <c r="Z205" s="37" t="str">
        <f t="shared" ca="1" si="33"/>
        <v/>
      </c>
      <c r="AA205" s="37" t="str">
        <f t="shared" si="34"/>
        <v/>
      </c>
      <c r="AB205" s="37" t="str">
        <f t="shared" ca="1" si="35"/>
        <v/>
      </c>
    </row>
    <row r="206" spans="1:28" ht="16" x14ac:dyDescent="0.2">
      <c r="A206" s="30"/>
      <c r="B206" s="31"/>
      <c r="C206" s="32"/>
      <c r="D206" s="33" t="str">
        <f>IF($B206="","",$B206+IF($C206="",IF('Start Here'!$C$15="",14,'Start Here'!$C$15),$C206))</f>
        <v/>
      </c>
      <c r="E206" s="30"/>
      <c r="F206" s="30"/>
      <c r="G206" s="30"/>
      <c r="H206" s="30"/>
      <c r="I206" s="34" t="str">
        <f>IF($A206="","",ROUND(SUMIF('Line Items'!$A$8:$A$507,$A206,'Line Items'!$H$8:$H$507),2))</f>
        <v/>
      </c>
      <c r="J206" s="35"/>
      <c r="K206" s="34" t="str">
        <f>IF($A206="","",ROUND($I206*IFERROR(IF($J206="",IF('Start Here'!$C$22="",0,'Start Here'!$C$22),$J206),0)/100,2))</f>
        <v/>
      </c>
      <c r="L206" s="34" t="str">
        <f t="shared" si="27"/>
        <v/>
      </c>
      <c r="M206" s="36"/>
      <c r="N206" s="31"/>
      <c r="O206" s="34" t="str">
        <f t="shared" si="28"/>
        <v/>
      </c>
      <c r="P206" s="30"/>
      <c r="Q206" s="37" t="str">
        <f t="shared" ca="1" si="29"/>
        <v/>
      </c>
      <c r="R206" s="38" t="str">
        <f t="shared" ca="1" si="30"/>
        <v/>
      </c>
      <c r="S206" s="37" t="str">
        <f ca="1">IF($A206="","",IF(OR($Q206="Paid",$Q206="Cancelled",$Q206="Draft"),"—",IF($Q206="No lines yet","Add line items",IF($Q206="No date","Add invoice date",IF($D206-TODAY()&gt;7,"—",IF($D206-TODAY()&gt;=1,"Due soon",IF($D206=TODAY(),"Due today",IF(TODAY()-$D206&lt;IF('Start Here'!$C$16="",7,'Start Here'!$C$16),"Just overdue",IF(TODAY()-$D206&lt;IF('Start Here'!$C$17="",21,'Start Here'!$C$17),"First reminder",IF(TODAY()-$D206&lt;IF('Start Here'!$C$18="",45,'Start Here'!$C$18),"Second reminder","Last friendly reminder"))))))))))</f>
        <v/>
      </c>
      <c r="T206" s="31"/>
      <c r="U206" s="30"/>
      <c r="V206" s="37" t="str">
        <f t="shared" si="31"/>
        <v/>
      </c>
      <c r="W206" s="39"/>
      <c r="X206" s="37" t="str">
        <f>IF($A206="","",IFERROR(VALUE(IF('Start Here'!$C$13="",$A206,SUBSTITUTE($A206,'Start Here'!$C$13,""))),""))</f>
        <v/>
      </c>
      <c r="Y206" s="37" t="str">
        <f t="shared" si="32"/>
        <v/>
      </c>
      <c r="Z206" s="37" t="str">
        <f t="shared" ca="1" si="33"/>
        <v/>
      </c>
      <c r="AA206" s="37" t="str">
        <f t="shared" si="34"/>
        <v/>
      </c>
      <c r="AB206" s="37" t="str">
        <f t="shared" ca="1" si="35"/>
        <v/>
      </c>
    </row>
    <row r="207" spans="1:28" ht="16" x14ac:dyDescent="0.2">
      <c r="A207" s="30"/>
      <c r="B207" s="31"/>
      <c r="C207" s="32"/>
      <c r="D207" s="33" t="str">
        <f>IF($B207="","",$B207+IF($C207="",IF('Start Here'!$C$15="",14,'Start Here'!$C$15),$C207))</f>
        <v/>
      </c>
      <c r="E207" s="30"/>
      <c r="F207" s="30"/>
      <c r="G207" s="30"/>
      <c r="H207" s="30"/>
      <c r="I207" s="34" t="str">
        <f>IF($A207="","",ROUND(SUMIF('Line Items'!$A$8:$A$507,$A207,'Line Items'!$H$8:$H$507),2))</f>
        <v/>
      </c>
      <c r="J207" s="35"/>
      <c r="K207" s="34" t="str">
        <f>IF($A207="","",ROUND($I207*IFERROR(IF($J207="",IF('Start Here'!$C$22="",0,'Start Here'!$C$22),$J207),0)/100,2))</f>
        <v/>
      </c>
      <c r="L207" s="34" t="str">
        <f t="shared" si="27"/>
        <v/>
      </c>
      <c r="M207" s="36"/>
      <c r="N207" s="31"/>
      <c r="O207" s="34" t="str">
        <f t="shared" si="28"/>
        <v/>
      </c>
      <c r="P207" s="30"/>
      <c r="Q207" s="37" t="str">
        <f t="shared" ca="1" si="29"/>
        <v/>
      </c>
      <c r="R207" s="38" t="str">
        <f t="shared" ca="1" si="30"/>
        <v/>
      </c>
      <c r="S207" s="37" t="str">
        <f ca="1">IF($A207="","",IF(OR($Q207="Paid",$Q207="Cancelled",$Q207="Draft"),"—",IF($Q207="No lines yet","Add line items",IF($Q207="No date","Add invoice date",IF($D207-TODAY()&gt;7,"—",IF($D207-TODAY()&gt;=1,"Due soon",IF($D207=TODAY(),"Due today",IF(TODAY()-$D207&lt;IF('Start Here'!$C$16="",7,'Start Here'!$C$16),"Just overdue",IF(TODAY()-$D207&lt;IF('Start Here'!$C$17="",21,'Start Here'!$C$17),"First reminder",IF(TODAY()-$D207&lt;IF('Start Here'!$C$18="",45,'Start Here'!$C$18),"Second reminder","Last friendly reminder"))))))))))</f>
        <v/>
      </c>
      <c r="T207" s="31"/>
      <c r="U207" s="30"/>
      <c r="V207" s="37" t="str">
        <f t="shared" si="31"/>
        <v/>
      </c>
      <c r="W207" s="40"/>
      <c r="X207" s="37" t="str">
        <f>IF($A207="","",IFERROR(VALUE(IF('Start Here'!$C$13="",$A207,SUBSTITUTE($A207,'Start Here'!$C$13,""))),""))</f>
        <v/>
      </c>
      <c r="Y207" s="37" t="str">
        <f t="shared" si="32"/>
        <v/>
      </c>
      <c r="Z207" s="37" t="str">
        <f t="shared" ca="1" si="33"/>
        <v/>
      </c>
      <c r="AA207" s="37" t="str">
        <f t="shared" si="34"/>
        <v/>
      </c>
      <c r="AB207" s="37" t="str">
        <f t="shared" ca="1" si="35"/>
        <v/>
      </c>
    </row>
    <row r="208" spans="1:28" ht="16" x14ac:dyDescent="0.2">
      <c r="A208" s="30"/>
      <c r="B208" s="31"/>
      <c r="C208" s="32"/>
      <c r="D208" s="33" t="str">
        <f>IF($B208="","",$B208+IF($C208="",IF('Start Here'!$C$15="",14,'Start Here'!$C$15),$C208))</f>
        <v/>
      </c>
      <c r="E208" s="30"/>
      <c r="F208" s="30"/>
      <c r="G208" s="30"/>
      <c r="H208" s="30"/>
      <c r="I208" s="34" t="str">
        <f>IF($A208="","",ROUND(SUMIF('Line Items'!$A$8:$A$507,$A208,'Line Items'!$H$8:$H$507),2))</f>
        <v/>
      </c>
      <c r="J208" s="35"/>
      <c r="K208" s="34" t="str">
        <f>IF($A208="","",ROUND($I208*IFERROR(IF($J208="",IF('Start Here'!$C$22="",0,'Start Here'!$C$22),$J208),0)/100,2))</f>
        <v/>
      </c>
      <c r="L208" s="34" t="str">
        <f t="shared" si="27"/>
        <v/>
      </c>
      <c r="M208" s="36"/>
      <c r="N208" s="31"/>
      <c r="O208" s="34" t="str">
        <f t="shared" si="28"/>
        <v/>
      </c>
      <c r="P208" s="30"/>
      <c r="Q208" s="37" t="str">
        <f t="shared" ca="1" si="29"/>
        <v/>
      </c>
      <c r="R208" s="38" t="str">
        <f t="shared" ca="1" si="30"/>
        <v/>
      </c>
      <c r="S208" s="37" t="str">
        <f ca="1">IF($A208="","",IF(OR($Q208="Paid",$Q208="Cancelled",$Q208="Draft"),"—",IF($Q208="No lines yet","Add line items",IF($Q208="No date","Add invoice date",IF($D208-TODAY()&gt;7,"—",IF($D208-TODAY()&gt;=1,"Due soon",IF($D208=TODAY(),"Due today",IF(TODAY()-$D208&lt;IF('Start Here'!$C$16="",7,'Start Here'!$C$16),"Just overdue",IF(TODAY()-$D208&lt;IF('Start Here'!$C$17="",21,'Start Here'!$C$17),"First reminder",IF(TODAY()-$D208&lt;IF('Start Here'!$C$18="",45,'Start Here'!$C$18),"Second reminder","Last friendly reminder"))))))))))</f>
        <v/>
      </c>
      <c r="T208" s="31"/>
      <c r="U208" s="30"/>
      <c r="V208" s="37" t="str">
        <f t="shared" si="31"/>
        <v/>
      </c>
      <c r="W208" s="39"/>
      <c r="X208" s="37" t="str">
        <f>IF($A208="","",IFERROR(VALUE(IF('Start Here'!$C$13="",$A208,SUBSTITUTE($A208,'Start Here'!$C$13,""))),""))</f>
        <v/>
      </c>
      <c r="Y208" s="37" t="str">
        <f t="shared" si="32"/>
        <v/>
      </c>
      <c r="Z208" s="37" t="str">
        <f t="shared" ca="1" si="33"/>
        <v/>
      </c>
      <c r="AA208" s="37" t="str">
        <f t="shared" si="34"/>
        <v/>
      </c>
      <c r="AB208" s="37" t="str">
        <f t="shared" ca="1" si="35"/>
        <v/>
      </c>
    </row>
    <row r="209" spans="1:28" ht="16" x14ac:dyDescent="0.2">
      <c r="A209" s="30"/>
      <c r="B209" s="31"/>
      <c r="C209" s="32"/>
      <c r="D209" s="33" t="str">
        <f>IF($B209="","",$B209+IF($C209="",IF('Start Here'!$C$15="",14,'Start Here'!$C$15),$C209))</f>
        <v/>
      </c>
      <c r="E209" s="30"/>
      <c r="F209" s="30"/>
      <c r="G209" s="30"/>
      <c r="H209" s="30"/>
      <c r="I209" s="34" t="str">
        <f>IF($A209="","",ROUND(SUMIF('Line Items'!$A$8:$A$507,$A209,'Line Items'!$H$8:$H$507),2))</f>
        <v/>
      </c>
      <c r="J209" s="35"/>
      <c r="K209" s="34" t="str">
        <f>IF($A209="","",ROUND($I209*IFERROR(IF($J209="",IF('Start Here'!$C$22="",0,'Start Here'!$C$22),$J209),0)/100,2))</f>
        <v/>
      </c>
      <c r="L209" s="34" t="str">
        <f t="shared" si="27"/>
        <v/>
      </c>
      <c r="M209" s="36"/>
      <c r="N209" s="31"/>
      <c r="O209" s="34" t="str">
        <f t="shared" si="28"/>
        <v/>
      </c>
      <c r="P209" s="30"/>
      <c r="Q209" s="37" t="str">
        <f t="shared" ca="1" si="29"/>
        <v/>
      </c>
      <c r="R209" s="38" t="str">
        <f t="shared" ca="1" si="30"/>
        <v/>
      </c>
      <c r="S209" s="37" t="str">
        <f ca="1">IF($A209="","",IF(OR($Q209="Paid",$Q209="Cancelled",$Q209="Draft"),"—",IF($Q209="No lines yet","Add line items",IF($Q209="No date","Add invoice date",IF($D209-TODAY()&gt;7,"—",IF($D209-TODAY()&gt;=1,"Due soon",IF($D209=TODAY(),"Due today",IF(TODAY()-$D209&lt;IF('Start Here'!$C$16="",7,'Start Here'!$C$16),"Just overdue",IF(TODAY()-$D209&lt;IF('Start Here'!$C$17="",21,'Start Here'!$C$17),"First reminder",IF(TODAY()-$D209&lt;IF('Start Here'!$C$18="",45,'Start Here'!$C$18),"Second reminder","Last friendly reminder"))))))))))</f>
        <v/>
      </c>
      <c r="T209" s="31"/>
      <c r="U209" s="30"/>
      <c r="V209" s="37" t="str">
        <f t="shared" si="31"/>
        <v/>
      </c>
      <c r="W209" s="40"/>
      <c r="X209" s="37" t="str">
        <f>IF($A209="","",IFERROR(VALUE(IF('Start Here'!$C$13="",$A209,SUBSTITUTE($A209,'Start Here'!$C$13,""))),""))</f>
        <v/>
      </c>
      <c r="Y209" s="37" t="str">
        <f t="shared" si="32"/>
        <v/>
      </c>
      <c r="Z209" s="37" t="str">
        <f t="shared" ca="1" si="33"/>
        <v/>
      </c>
      <c r="AA209" s="37" t="str">
        <f t="shared" si="34"/>
        <v/>
      </c>
      <c r="AB209" s="37" t="str">
        <f t="shared" ca="1" si="35"/>
        <v/>
      </c>
    </row>
    <row r="210" spans="1:28" ht="16" x14ac:dyDescent="0.2">
      <c r="A210" s="30"/>
      <c r="B210" s="31"/>
      <c r="C210" s="32"/>
      <c r="D210" s="33" t="str">
        <f>IF($B210="","",$B210+IF($C210="",IF('Start Here'!$C$15="",14,'Start Here'!$C$15),$C210))</f>
        <v/>
      </c>
      <c r="E210" s="30"/>
      <c r="F210" s="30"/>
      <c r="G210" s="30"/>
      <c r="H210" s="30"/>
      <c r="I210" s="34" t="str">
        <f>IF($A210="","",ROUND(SUMIF('Line Items'!$A$8:$A$507,$A210,'Line Items'!$H$8:$H$507),2))</f>
        <v/>
      </c>
      <c r="J210" s="35"/>
      <c r="K210" s="34" t="str">
        <f>IF($A210="","",ROUND($I210*IFERROR(IF($J210="",IF('Start Here'!$C$22="",0,'Start Here'!$C$22),$J210),0)/100,2))</f>
        <v/>
      </c>
      <c r="L210" s="34" t="str">
        <f t="shared" si="27"/>
        <v/>
      </c>
      <c r="M210" s="36"/>
      <c r="N210" s="31"/>
      <c r="O210" s="34" t="str">
        <f t="shared" si="28"/>
        <v/>
      </c>
      <c r="P210" s="30"/>
      <c r="Q210" s="37" t="str">
        <f t="shared" ca="1" si="29"/>
        <v/>
      </c>
      <c r="R210" s="38" t="str">
        <f t="shared" ca="1" si="30"/>
        <v/>
      </c>
      <c r="S210" s="37" t="str">
        <f ca="1">IF($A210="","",IF(OR($Q210="Paid",$Q210="Cancelled",$Q210="Draft"),"—",IF($Q210="No lines yet","Add line items",IF($Q210="No date","Add invoice date",IF($D210-TODAY()&gt;7,"—",IF($D210-TODAY()&gt;=1,"Due soon",IF($D210=TODAY(),"Due today",IF(TODAY()-$D210&lt;IF('Start Here'!$C$16="",7,'Start Here'!$C$16),"Just overdue",IF(TODAY()-$D210&lt;IF('Start Here'!$C$17="",21,'Start Here'!$C$17),"First reminder",IF(TODAY()-$D210&lt;IF('Start Here'!$C$18="",45,'Start Here'!$C$18),"Second reminder","Last friendly reminder"))))))))))</f>
        <v/>
      </c>
      <c r="T210" s="31"/>
      <c r="U210" s="30"/>
      <c r="V210" s="37" t="str">
        <f t="shared" si="31"/>
        <v/>
      </c>
      <c r="W210" s="39"/>
      <c r="X210" s="37" t="str">
        <f>IF($A210="","",IFERROR(VALUE(IF('Start Here'!$C$13="",$A210,SUBSTITUTE($A210,'Start Here'!$C$13,""))),""))</f>
        <v/>
      </c>
      <c r="Y210" s="37" t="str">
        <f t="shared" si="32"/>
        <v/>
      </c>
      <c r="Z210" s="37" t="str">
        <f t="shared" ca="1" si="33"/>
        <v/>
      </c>
      <c r="AA210" s="37" t="str">
        <f t="shared" si="34"/>
        <v/>
      </c>
      <c r="AB210" s="37" t="str">
        <f t="shared" ca="1" si="35"/>
        <v/>
      </c>
    </row>
    <row r="211" spans="1:28" ht="16" x14ac:dyDescent="0.2">
      <c r="A211" s="30"/>
      <c r="B211" s="31"/>
      <c r="C211" s="32"/>
      <c r="D211" s="33" t="str">
        <f>IF($B211="","",$B211+IF($C211="",IF('Start Here'!$C$15="",14,'Start Here'!$C$15),$C211))</f>
        <v/>
      </c>
      <c r="E211" s="30"/>
      <c r="F211" s="30"/>
      <c r="G211" s="30"/>
      <c r="H211" s="30"/>
      <c r="I211" s="34" t="str">
        <f>IF($A211="","",ROUND(SUMIF('Line Items'!$A$8:$A$507,$A211,'Line Items'!$H$8:$H$507),2))</f>
        <v/>
      </c>
      <c r="J211" s="35"/>
      <c r="K211" s="34" t="str">
        <f>IF($A211="","",ROUND($I211*IFERROR(IF($J211="",IF('Start Here'!$C$22="",0,'Start Here'!$C$22),$J211),0)/100,2))</f>
        <v/>
      </c>
      <c r="L211" s="34" t="str">
        <f t="shared" si="27"/>
        <v/>
      </c>
      <c r="M211" s="36"/>
      <c r="N211" s="31"/>
      <c r="O211" s="34" t="str">
        <f t="shared" si="28"/>
        <v/>
      </c>
      <c r="P211" s="30"/>
      <c r="Q211" s="37" t="str">
        <f t="shared" ca="1" si="29"/>
        <v/>
      </c>
      <c r="R211" s="38" t="str">
        <f t="shared" ca="1" si="30"/>
        <v/>
      </c>
      <c r="S211" s="37" t="str">
        <f ca="1">IF($A211="","",IF(OR($Q211="Paid",$Q211="Cancelled",$Q211="Draft"),"—",IF($Q211="No lines yet","Add line items",IF($Q211="No date","Add invoice date",IF($D211-TODAY()&gt;7,"—",IF($D211-TODAY()&gt;=1,"Due soon",IF($D211=TODAY(),"Due today",IF(TODAY()-$D211&lt;IF('Start Here'!$C$16="",7,'Start Here'!$C$16),"Just overdue",IF(TODAY()-$D211&lt;IF('Start Here'!$C$17="",21,'Start Here'!$C$17),"First reminder",IF(TODAY()-$D211&lt;IF('Start Here'!$C$18="",45,'Start Here'!$C$18),"Second reminder","Last friendly reminder"))))))))))</f>
        <v/>
      </c>
      <c r="T211" s="31"/>
      <c r="U211" s="30"/>
      <c r="V211" s="37" t="str">
        <f t="shared" si="31"/>
        <v/>
      </c>
      <c r="W211" s="40"/>
      <c r="X211" s="37" t="str">
        <f>IF($A211="","",IFERROR(VALUE(IF('Start Here'!$C$13="",$A211,SUBSTITUTE($A211,'Start Here'!$C$13,""))),""))</f>
        <v/>
      </c>
      <c r="Y211" s="37" t="str">
        <f t="shared" si="32"/>
        <v/>
      </c>
      <c r="Z211" s="37" t="str">
        <f t="shared" ca="1" si="33"/>
        <v/>
      </c>
      <c r="AA211" s="37" t="str">
        <f t="shared" si="34"/>
        <v/>
      </c>
      <c r="AB211" s="37" t="str">
        <f t="shared" ca="1" si="35"/>
        <v/>
      </c>
    </row>
    <row r="212" spans="1:28" ht="16" x14ac:dyDescent="0.2">
      <c r="A212" s="30"/>
      <c r="B212" s="31"/>
      <c r="C212" s="32"/>
      <c r="D212" s="33" t="str">
        <f>IF($B212="","",$B212+IF($C212="",IF('Start Here'!$C$15="",14,'Start Here'!$C$15),$C212))</f>
        <v/>
      </c>
      <c r="E212" s="30"/>
      <c r="F212" s="30"/>
      <c r="G212" s="30"/>
      <c r="H212" s="30"/>
      <c r="I212" s="34" t="str">
        <f>IF($A212="","",ROUND(SUMIF('Line Items'!$A$8:$A$507,$A212,'Line Items'!$H$8:$H$507),2))</f>
        <v/>
      </c>
      <c r="J212" s="35"/>
      <c r="K212" s="34" t="str">
        <f>IF($A212="","",ROUND($I212*IFERROR(IF($J212="",IF('Start Here'!$C$22="",0,'Start Here'!$C$22),$J212),0)/100,2))</f>
        <v/>
      </c>
      <c r="L212" s="34" t="str">
        <f t="shared" si="27"/>
        <v/>
      </c>
      <c r="M212" s="36"/>
      <c r="N212" s="31"/>
      <c r="O212" s="34" t="str">
        <f t="shared" si="28"/>
        <v/>
      </c>
      <c r="P212" s="30"/>
      <c r="Q212" s="37" t="str">
        <f t="shared" ca="1" si="29"/>
        <v/>
      </c>
      <c r="R212" s="38" t="str">
        <f t="shared" ca="1" si="30"/>
        <v/>
      </c>
      <c r="S212" s="37" t="str">
        <f ca="1">IF($A212="","",IF(OR($Q212="Paid",$Q212="Cancelled",$Q212="Draft"),"—",IF($Q212="No lines yet","Add line items",IF($Q212="No date","Add invoice date",IF($D212-TODAY()&gt;7,"—",IF($D212-TODAY()&gt;=1,"Due soon",IF($D212=TODAY(),"Due today",IF(TODAY()-$D212&lt;IF('Start Here'!$C$16="",7,'Start Here'!$C$16),"Just overdue",IF(TODAY()-$D212&lt;IF('Start Here'!$C$17="",21,'Start Here'!$C$17),"First reminder",IF(TODAY()-$D212&lt;IF('Start Here'!$C$18="",45,'Start Here'!$C$18),"Second reminder","Last friendly reminder"))))))))))</f>
        <v/>
      </c>
      <c r="T212" s="31"/>
      <c r="U212" s="30"/>
      <c r="V212" s="37" t="str">
        <f t="shared" si="31"/>
        <v/>
      </c>
      <c r="W212" s="39"/>
      <c r="X212" s="37" t="str">
        <f>IF($A212="","",IFERROR(VALUE(IF('Start Here'!$C$13="",$A212,SUBSTITUTE($A212,'Start Here'!$C$13,""))),""))</f>
        <v/>
      </c>
      <c r="Y212" s="37" t="str">
        <f t="shared" si="32"/>
        <v/>
      </c>
      <c r="Z212" s="37" t="str">
        <f t="shared" ca="1" si="33"/>
        <v/>
      </c>
      <c r="AA212" s="37" t="str">
        <f t="shared" si="34"/>
        <v/>
      </c>
      <c r="AB212" s="37" t="str">
        <f t="shared" ca="1" si="35"/>
        <v/>
      </c>
    </row>
    <row r="213" spans="1:28" ht="16" x14ac:dyDescent="0.2">
      <c r="A213" s="30"/>
      <c r="B213" s="31"/>
      <c r="C213" s="32"/>
      <c r="D213" s="33" t="str">
        <f>IF($B213="","",$B213+IF($C213="",IF('Start Here'!$C$15="",14,'Start Here'!$C$15),$C213))</f>
        <v/>
      </c>
      <c r="E213" s="30"/>
      <c r="F213" s="30"/>
      <c r="G213" s="30"/>
      <c r="H213" s="30"/>
      <c r="I213" s="34" t="str">
        <f>IF($A213="","",ROUND(SUMIF('Line Items'!$A$8:$A$507,$A213,'Line Items'!$H$8:$H$507),2))</f>
        <v/>
      </c>
      <c r="J213" s="35"/>
      <c r="K213" s="34" t="str">
        <f>IF($A213="","",ROUND($I213*IFERROR(IF($J213="",IF('Start Here'!$C$22="",0,'Start Here'!$C$22),$J213),0)/100,2))</f>
        <v/>
      </c>
      <c r="L213" s="34" t="str">
        <f t="shared" si="27"/>
        <v/>
      </c>
      <c r="M213" s="36"/>
      <c r="N213" s="31"/>
      <c r="O213" s="34" t="str">
        <f t="shared" si="28"/>
        <v/>
      </c>
      <c r="P213" s="30"/>
      <c r="Q213" s="37" t="str">
        <f t="shared" ca="1" si="29"/>
        <v/>
      </c>
      <c r="R213" s="38" t="str">
        <f t="shared" ca="1" si="30"/>
        <v/>
      </c>
      <c r="S213" s="37" t="str">
        <f ca="1">IF($A213="","",IF(OR($Q213="Paid",$Q213="Cancelled",$Q213="Draft"),"—",IF($Q213="No lines yet","Add line items",IF($Q213="No date","Add invoice date",IF($D213-TODAY()&gt;7,"—",IF($D213-TODAY()&gt;=1,"Due soon",IF($D213=TODAY(),"Due today",IF(TODAY()-$D213&lt;IF('Start Here'!$C$16="",7,'Start Here'!$C$16),"Just overdue",IF(TODAY()-$D213&lt;IF('Start Here'!$C$17="",21,'Start Here'!$C$17),"First reminder",IF(TODAY()-$D213&lt;IF('Start Here'!$C$18="",45,'Start Here'!$C$18),"Second reminder","Last friendly reminder"))))))))))</f>
        <v/>
      </c>
      <c r="T213" s="31"/>
      <c r="U213" s="30"/>
      <c r="V213" s="37" t="str">
        <f t="shared" si="31"/>
        <v/>
      </c>
      <c r="W213" s="40"/>
      <c r="X213" s="37" t="str">
        <f>IF($A213="","",IFERROR(VALUE(IF('Start Here'!$C$13="",$A213,SUBSTITUTE($A213,'Start Here'!$C$13,""))),""))</f>
        <v/>
      </c>
      <c r="Y213" s="37" t="str">
        <f t="shared" si="32"/>
        <v/>
      </c>
      <c r="Z213" s="37" t="str">
        <f t="shared" ca="1" si="33"/>
        <v/>
      </c>
      <c r="AA213" s="37" t="str">
        <f t="shared" si="34"/>
        <v/>
      </c>
      <c r="AB213" s="37" t="str">
        <f t="shared" ca="1" si="35"/>
        <v/>
      </c>
    </row>
    <row r="214" spans="1:28" ht="16" x14ac:dyDescent="0.2">
      <c r="A214" s="30"/>
      <c r="B214" s="31"/>
      <c r="C214" s="32"/>
      <c r="D214" s="33" t="str">
        <f>IF($B214="","",$B214+IF($C214="",IF('Start Here'!$C$15="",14,'Start Here'!$C$15),$C214))</f>
        <v/>
      </c>
      <c r="E214" s="30"/>
      <c r="F214" s="30"/>
      <c r="G214" s="30"/>
      <c r="H214" s="30"/>
      <c r="I214" s="34" t="str">
        <f>IF($A214="","",ROUND(SUMIF('Line Items'!$A$8:$A$507,$A214,'Line Items'!$H$8:$H$507),2))</f>
        <v/>
      </c>
      <c r="J214" s="35"/>
      <c r="K214" s="34" t="str">
        <f>IF($A214="","",ROUND($I214*IFERROR(IF($J214="",IF('Start Here'!$C$22="",0,'Start Here'!$C$22),$J214),0)/100,2))</f>
        <v/>
      </c>
      <c r="L214" s="34" t="str">
        <f t="shared" si="27"/>
        <v/>
      </c>
      <c r="M214" s="36"/>
      <c r="N214" s="31"/>
      <c r="O214" s="34" t="str">
        <f t="shared" si="28"/>
        <v/>
      </c>
      <c r="P214" s="30"/>
      <c r="Q214" s="37" t="str">
        <f t="shared" ca="1" si="29"/>
        <v/>
      </c>
      <c r="R214" s="38" t="str">
        <f t="shared" ca="1" si="30"/>
        <v/>
      </c>
      <c r="S214" s="37" t="str">
        <f ca="1">IF($A214="","",IF(OR($Q214="Paid",$Q214="Cancelled",$Q214="Draft"),"—",IF($Q214="No lines yet","Add line items",IF($Q214="No date","Add invoice date",IF($D214-TODAY()&gt;7,"—",IF($D214-TODAY()&gt;=1,"Due soon",IF($D214=TODAY(),"Due today",IF(TODAY()-$D214&lt;IF('Start Here'!$C$16="",7,'Start Here'!$C$16),"Just overdue",IF(TODAY()-$D214&lt;IF('Start Here'!$C$17="",21,'Start Here'!$C$17),"First reminder",IF(TODAY()-$D214&lt;IF('Start Here'!$C$18="",45,'Start Here'!$C$18),"Second reminder","Last friendly reminder"))))))))))</f>
        <v/>
      </c>
      <c r="T214" s="31"/>
      <c r="U214" s="30"/>
      <c r="V214" s="37" t="str">
        <f t="shared" si="31"/>
        <v/>
      </c>
      <c r="W214" s="39"/>
      <c r="X214" s="37" t="str">
        <f>IF($A214="","",IFERROR(VALUE(IF('Start Here'!$C$13="",$A214,SUBSTITUTE($A214,'Start Here'!$C$13,""))),""))</f>
        <v/>
      </c>
      <c r="Y214" s="37" t="str">
        <f t="shared" si="32"/>
        <v/>
      </c>
      <c r="Z214" s="37" t="str">
        <f t="shared" ca="1" si="33"/>
        <v/>
      </c>
      <c r="AA214" s="37" t="str">
        <f t="shared" si="34"/>
        <v/>
      </c>
      <c r="AB214" s="37" t="str">
        <f t="shared" ca="1" si="35"/>
        <v/>
      </c>
    </row>
    <row r="215" spans="1:28" ht="16" x14ac:dyDescent="0.2">
      <c r="A215" s="30"/>
      <c r="B215" s="31"/>
      <c r="C215" s="32"/>
      <c r="D215" s="33" t="str">
        <f>IF($B215="","",$B215+IF($C215="",IF('Start Here'!$C$15="",14,'Start Here'!$C$15),$C215))</f>
        <v/>
      </c>
      <c r="E215" s="30"/>
      <c r="F215" s="30"/>
      <c r="G215" s="30"/>
      <c r="H215" s="30"/>
      <c r="I215" s="34" t="str">
        <f>IF($A215="","",ROUND(SUMIF('Line Items'!$A$8:$A$507,$A215,'Line Items'!$H$8:$H$507),2))</f>
        <v/>
      </c>
      <c r="J215" s="35"/>
      <c r="K215" s="34" t="str">
        <f>IF($A215="","",ROUND($I215*IFERROR(IF($J215="",IF('Start Here'!$C$22="",0,'Start Here'!$C$22),$J215),0)/100,2))</f>
        <v/>
      </c>
      <c r="L215" s="34" t="str">
        <f t="shared" si="27"/>
        <v/>
      </c>
      <c r="M215" s="36"/>
      <c r="N215" s="31"/>
      <c r="O215" s="34" t="str">
        <f t="shared" si="28"/>
        <v/>
      </c>
      <c r="P215" s="30"/>
      <c r="Q215" s="37" t="str">
        <f t="shared" ca="1" si="29"/>
        <v/>
      </c>
      <c r="R215" s="38" t="str">
        <f t="shared" ca="1" si="30"/>
        <v/>
      </c>
      <c r="S215" s="37" t="str">
        <f ca="1">IF($A215="","",IF(OR($Q215="Paid",$Q215="Cancelled",$Q215="Draft"),"—",IF($Q215="No lines yet","Add line items",IF($Q215="No date","Add invoice date",IF($D215-TODAY()&gt;7,"—",IF($D215-TODAY()&gt;=1,"Due soon",IF($D215=TODAY(),"Due today",IF(TODAY()-$D215&lt;IF('Start Here'!$C$16="",7,'Start Here'!$C$16),"Just overdue",IF(TODAY()-$D215&lt;IF('Start Here'!$C$17="",21,'Start Here'!$C$17),"First reminder",IF(TODAY()-$D215&lt;IF('Start Here'!$C$18="",45,'Start Here'!$C$18),"Second reminder","Last friendly reminder"))))))))))</f>
        <v/>
      </c>
      <c r="T215" s="31"/>
      <c r="U215" s="30"/>
      <c r="V215" s="37" t="str">
        <f t="shared" si="31"/>
        <v/>
      </c>
      <c r="W215" s="40"/>
      <c r="X215" s="37" t="str">
        <f>IF($A215="","",IFERROR(VALUE(IF('Start Here'!$C$13="",$A215,SUBSTITUTE($A215,'Start Here'!$C$13,""))),""))</f>
        <v/>
      </c>
      <c r="Y215" s="37" t="str">
        <f t="shared" si="32"/>
        <v/>
      </c>
      <c r="Z215" s="37" t="str">
        <f t="shared" ca="1" si="33"/>
        <v/>
      </c>
      <c r="AA215" s="37" t="str">
        <f t="shared" si="34"/>
        <v/>
      </c>
      <c r="AB215" s="37" t="str">
        <f t="shared" ca="1" si="35"/>
        <v/>
      </c>
    </row>
    <row r="216" spans="1:28" ht="16" x14ac:dyDescent="0.2">
      <c r="A216" s="30"/>
      <c r="B216" s="31"/>
      <c r="C216" s="32"/>
      <c r="D216" s="33" t="str">
        <f>IF($B216="","",$B216+IF($C216="",IF('Start Here'!$C$15="",14,'Start Here'!$C$15),$C216))</f>
        <v/>
      </c>
      <c r="E216" s="30"/>
      <c r="F216" s="30"/>
      <c r="G216" s="30"/>
      <c r="H216" s="30"/>
      <c r="I216" s="34" t="str">
        <f>IF($A216="","",ROUND(SUMIF('Line Items'!$A$8:$A$507,$A216,'Line Items'!$H$8:$H$507),2))</f>
        <v/>
      </c>
      <c r="J216" s="35"/>
      <c r="K216" s="34" t="str">
        <f>IF($A216="","",ROUND($I216*IFERROR(IF($J216="",IF('Start Here'!$C$22="",0,'Start Here'!$C$22),$J216),0)/100,2))</f>
        <v/>
      </c>
      <c r="L216" s="34" t="str">
        <f t="shared" si="27"/>
        <v/>
      </c>
      <c r="M216" s="36"/>
      <c r="N216" s="31"/>
      <c r="O216" s="34" t="str">
        <f t="shared" si="28"/>
        <v/>
      </c>
      <c r="P216" s="30"/>
      <c r="Q216" s="37" t="str">
        <f t="shared" ca="1" si="29"/>
        <v/>
      </c>
      <c r="R216" s="38" t="str">
        <f t="shared" ca="1" si="30"/>
        <v/>
      </c>
      <c r="S216" s="37" t="str">
        <f ca="1">IF($A216="","",IF(OR($Q216="Paid",$Q216="Cancelled",$Q216="Draft"),"—",IF($Q216="No lines yet","Add line items",IF($Q216="No date","Add invoice date",IF($D216-TODAY()&gt;7,"—",IF($D216-TODAY()&gt;=1,"Due soon",IF($D216=TODAY(),"Due today",IF(TODAY()-$D216&lt;IF('Start Here'!$C$16="",7,'Start Here'!$C$16),"Just overdue",IF(TODAY()-$D216&lt;IF('Start Here'!$C$17="",21,'Start Here'!$C$17),"First reminder",IF(TODAY()-$D216&lt;IF('Start Here'!$C$18="",45,'Start Here'!$C$18),"Second reminder","Last friendly reminder"))))))))))</f>
        <v/>
      </c>
      <c r="T216" s="31"/>
      <c r="U216" s="30"/>
      <c r="V216" s="37" t="str">
        <f t="shared" si="31"/>
        <v/>
      </c>
      <c r="W216" s="39"/>
      <c r="X216" s="37" t="str">
        <f>IF($A216="","",IFERROR(VALUE(IF('Start Here'!$C$13="",$A216,SUBSTITUTE($A216,'Start Here'!$C$13,""))),""))</f>
        <v/>
      </c>
      <c r="Y216" s="37" t="str">
        <f t="shared" si="32"/>
        <v/>
      </c>
      <c r="Z216" s="37" t="str">
        <f t="shared" ca="1" si="33"/>
        <v/>
      </c>
      <c r="AA216" s="37" t="str">
        <f t="shared" si="34"/>
        <v/>
      </c>
      <c r="AB216" s="37" t="str">
        <f t="shared" ca="1" si="35"/>
        <v/>
      </c>
    </row>
    <row r="217" spans="1:28" ht="16" x14ac:dyDescent="0.2">
      <c r="A217" s="30"/>
      <c r="B217" s="31"/>
      <c r="C217" s="32"/>
      <c r="D217" s="33" t="str">
        <f>IF($B217="","",$B217+IF($C217="",IF('Start Here'!$C$15="",14,'Start Here'!$C$15),$C217))</f>
        <v/>
      </c>
      <c r="E217" s="30"/>
      <c r="F217" s="30"/>
      <c r="G217" s="30"/>
      <c r="H217" s="30"/>
      <c r="I217" s="34" t="str">
        <f>IF($A217="","",ROUND(SUMIF('Line Items'!$A$8:$A$507,$A217,'Line Items'!$H$8:$H$507),2))</f>
        <v/>
      </c>
      <c r="J217" s="35"/>
      <c r="K217" s="34" t="str">
        <f>IF($A217="","",ROUND($I217*IFERROR(IF($J217="",IF('Start Here'!$C$22="",0,'Start Here'!$C$22),$J217),0)/100,2))</f>
        <v/>
      </c>
      <c r="L217" s="34" t="str">
        <f t="shared" si="27"/>
        <v/>
      </c>
      <c r="M217" s="36"/>
      <c r="N217" s="31"/>
      <c r="O217" s="34" t="str">
        <f t="shared" si="28"/>
        <v/>
      </c>
      <c r="P217" s="30"/>
      <c r="Q217" s="37" t="str">
        <f t="shared" ca="1" si="29"/>
        <v/>
      </c>
      <c r="R217" s="38" t="str">
        <f t="shared" ca="1" si="30"/>
        <v/>
      </c>
      <c r="S217" s="37" t="str">
        <f ca="1">IF($A217="","",IF(OR($Q217="Paid",$Q217="Cancelled",$Q217="Draft"),"—",IF($Q217="No lines yet","Add line items",IF($Q217="No date","Add invoice date",IF($D217-TODAY()&gt;7,"—",IF($D217-TODAY()&gt;=1,"Due soon",IF($D217=TODAY(),"Due today",IF(TODAY()-$D217&lt;IF('Start Here'!$C$16="",7,'Start Here'!$C$16),"Just overdue",IF(TODAY()-$D217&lt;IF('Start Here'!$C$17="",21,'Start Here'!$C$17),"First reminder",IF(TODAY()-$D217&lt;IF('Start Here'!$C$18="",45,'Start Here'!$C$18),"Second reminder","Last friendly reminder"))))))))))</f>
        <v/>
      </c>
      <c r="T217" s="31"/>
      <c r="U217" s="30"/>
      <c r="V217" s="37" t="str">
        <f t="shared" si="31"/>
        <v/>
      </c>
      <c r="W217" s="40"/>
      <c r="X217" s="37" t="str">
        <f>IF($A217="","",IFERROR(VALUE(IF('Start Here'!$C$13="",$A217,SUBSTITUTE($A217,'Start Here'!$C$13,""))),""))</f>
        <v/>
      </c>
      <c r="Y217" s="37" t="str">
        <f t="shared" si="32"/>
        <v/>
      </c>
      <c r="Z217" s="37" t="str">
        <f t="shared" ca="1" si="33"/>
        <v/>
      </c>
      <c r="AA217" s="37" t="str">
        <f t="shared" si="34"/>
        <v/>
      </c>
      <c r="AB217" s="37" t="str">
        <f t="shared" ca="1" si="35"/>
        <v/>
      </c>
    </row>
    <row r="218" spans="1:28" ht="16" x14ac:dyDescent="0.2">
      <c r="A218" s="30"/>
      <c r="B218" s="31"/>
      <c r="C218" s="32"/>
      <c r="D218" s="33" t="str">
        <f>IF($B218="","",$B218+IF($C218="",IF('Start Here'!$C$15="",14,'Start Here'!$C$15),$C218))</f>
        <v/>
      </c>
      <c r="E218" s="30"/>
      <c r="F218" s="30"/>
      <c r="G218" s="30"/>
      <c r="H218" s="30"/>
      <c r="I218" s="34" t="str">
        <f>IF($A218="","",ROUND(SUMIF('Line Items'!$A$8:$A$507,$A218,'Line Items'!$H$8:$H$507),2))</f>
        <v/>
      </c>
      <c r="J218" s="35"/>
      <c r="K218" s="34" t="str">
        <f>IF($A218="","",ROUND($I218*IFERROR(IF($J218="",IF('Start Here'!$C$22="",0,'Start Here'!$C$22),$J218),0)/100,2))</f>
        <v/>
      </c>
      <c r="L218" s="34" t="str">
        <f t="shared" si="27"/>
        <v/>
      </c>
      <c r="M218" s="36"/>
      <c r="N218" s="31"/>
      <c r="O218" s="34" t="str">
        <f t="shared" si="28"/>
        <v/>
      </c>
      <c r="P218" s="30"/>
      <c r="Q218" s="37" t="str">
        <f t="shared" ca="1" si="29"/>
        <v/>
      </c>
      <c r="R218" s="38" t="str">
        <f t="shared" ca="1" si="30"/>
        <v/>
      </c>
      <c r="S218" s="37" t="str">
        <f ca="1">IF($A218="","",IF(OR($Q218="Paid",$Q218="Cancelled",$Q218="Draft"),"—",IF($Q218="No lines yet","Add line items",IF($Q218="No date","Add invoice date",IF($D218-TODAY()&gt;7,"—",IF($D218-TODAY()&gt;=1,"Due soon",IF($D218=TODAY(),"Due today",IF(TODAY()-$D218&lt;IF('Start Here'!$C$16="",7,'Start Here'!$C$16),"Just overdue",IF(TODAY()-$D218&lt;IF('Start Here'!$C$17="",21,'Start Here'!$C$17),"First reminder",IF(TODAY()-$D218&lt;IF('Start Here'!$C$18="",45,'Start Here'!$C$18),"Second reminder","Last friendly reminder"))))))))))</f>
        <v/>
      </c>
      <c r="T218" s="31"/>
      <c r="U218" s="30"/>
      <c r="V218" s="37" t="str">
        <f t="shared" si="31"/>
        <v/>
      </c>
      <c r="W218" s="39"/>
      <c r="X218" s="37" t="str">
        <f>IF($A218="","",IFERROR(VALUE(IF('Start Here'!$C$13="",$A218,SUBSTITUTE($A218,'Start Here'!$C$13,""))),""))</f>
        <v/>
      </c>
      <c r="Y218" s="37" t="str">
        <f t="shared" si="32"/>
        <v/>
      </c>
      <c r="Z218" s="37" t="str">
        <f t="shared" ca="1" si="33"/>
        <v/>
      </c>
      <c r="AA218" s="37" t="str">
        <f t="shared" si="34"/>
        <v/>
      </c>
      <c r="AB218" s="37" t="str">
        <f t="shared" ca="1" si="35"/>
        <v/>
      </c>
    </row>
    <row r="219" spans="1:28" ht="16" x14ac:dyDescent="0.2">
      <c r="A219" s="30"/>
      <c r="B219" s="31"/>
      <c r="C219" s="32"/>
      <c r="D219" s="33" t="str">
        <f>IF($B219="","",$B219+IF($C219="",IF('Start Here'!$C$15="",14,'Start Here'!$C$15),$C219))</f>
        <v/>
      </c>
      <c r="E219" s="30"/>
      <c r="F219" s="30"/>
      <c r="G219" s="30"/>
      <c r="H219" s="30"/>
      <c r="I219" s="34" t="str">
        <f>IF($A219="","",ROUND(SUMIF('Line Items'!$A$8:$A$507,$A219,'Line Items'!$H$8:$H$507),2))</f>
        <v/>
      </c>
      <c r="J219" s="35"/>
      <c r="K219" s="34" t="str">
        <f>IF($A219="","",ROUND($I219*IFERROR(IF($J219="",IF('Start Here'!$C$22="",0,'Start Here'!$C$22),$J219),0)/100,2))</f>
        <v/>
      </c>
      <c r="L219" s="34" t="str">
        <f t="shared" si="27"/>
        <v/>
      </c>
      <c r="M219" s="36"/>
      <c r="N219" s="31"/>
      <c r="O219" s="34" t="str">
        <f t="shared" si="28"/>
        <v/>
      </c>
      <c r="P219" s="30"/>
      <c r="Q219" s="37" t="str">
        <f t="shared" ca="1" si="29"/>
        <v/>
      </c>
      <c r="R219" s="38" t="str">
        <f t="shared" ca="1" si="30"/>
        <v/>
      </c>
      <c r="S219" s="37" t="str">
        <f ca="1">IF($A219="","",IF(OR($Q219="Paid",$Q219="Cancelled",$Q219="Draft"),"—",IF($Q219="No lines yet","Add line items",IF($Q219="No date","Add invoice date",IF($D219-TODAY()&gt;7,"—",IF($D219-TODAY()&gt;=1,"Due soon",IF($D219=TODAY(),"Due today",IF(TODAY()-$D219&lt;IF('Start Here'!$C$16="",7,'Start Here'!$C$16),"Just overdue",IF(TODAY()-$D219&lt;IF('Start Here'!$C$17="",21,'Start Here'!$C$17),"First reminder",IF(TODAY()-$D219&lt;IF('Start Here'!$C$18="",45,'Start Here'!$C$18),"Second reminder","Last friendly reminder"))))))))))</f>
        <v/>
      </c>
      <c r="T219" s="31"/>
      <c r="U219" s="30"/>
      <c r="V219" s="37" t="str">
        <f t="shared" si="31"/>
        <v/>
      </c>
      <c r="W219" s="40"/>
      <c r="X219" s="37" t="str">
        <f>IF($A219="","",IFERROR(VALUE(IF('Start Here'!$C$13="",$A219,SUBSTITUTE($A219,'Start Here'!$C$13,""))),""))</f>
        <v/>
      </c>
      <c r="Y219" s="37" t="str">
        <f t="shared" si="32"/>
        <v/>
      </c>
      <c r="Z219" s="37" t="str">
        <f t="shared" ca="1" si="33"/>
        <v/>
      </c>
      <c r="AA219" s="37" t="str">
        <f t="shared" si="34"/>
        <v/>
      </c>
      <c r="AB219" s="37" t="str">
        <f t="shared" ca="1" si="35"/>
        <v/>
      </c>
    </row>
    <row r="220" spans="1:28" ht="16" x14ac:dyDescent="0.2">
      <c r="A220" s="30"/>
      <c r="B220" s="31"/>
      <c r="C220" s="32"/>
      <c r="D220" s="33" t="str">
        <f>IF($B220="","",$B220+IF($C220="",IF('Start Here'!$C$15="",14,'Start Here'!$C$15),$C220))</f>
        <v/>
      </c>
      <c r="E220" s="30"/>
      <c r="F220" s="30"/>
      <c r="G220" s="30"/>
      <c r="H220" s="30"/>
      <c r="I220" s="34" t="str">
        <f>IF($A220="","",ROUND(SUMIF('Line Items'!$A$8:$A$507,$A220,'Line Items'!$H$8:$H$507),2))</f>
        <v/>
      </c>
      <c r="J220" s="35"/>
      <c r="K220" s="34" t="str">
        <f>IF($A220="","",ROUND($I220*IFERROR(IF($J220="",IF('Start Here'!$C$22="",0,'Start Here'!$C$22),$J220),0)/100,2))</f>
        <v/>
      </c>
      <c r="L220" s="34" t="str">
        <f t="shared" si="27"/>
        <v/>
      </c>
      <c r="M220" s="36"/>
      <c r="N220" s="31"/>
      <c r="O220" s="34" t="str">
        <f t="shared" si="28"/>
        <v/>
      </c>
      <c r="P220" s="30"/>
      <c r="Q220" s="37" t="str">
        <f t="shared" ca="1" si="29"/>
        <v/>
      </c>
      <c r="R220" s="38" t="str">
        <f t="shared" ca="1" si="30"/>
        <v/>
      </c>
      <c r="S220" s="37" t="str">
        <f ca="1">IF($A220="","",IF(OR($Q220="Paid",$Q220="Cancelled",$Q220="Draft"),"—",IF($Q220="No lines yet","Add line items",IF($Q220="No date","Add invoice date",IF($D220-TODAY()&gt;7,"—",IF($D220-TODAY()&gt;=1,"Due soon",IF($D220=TODAY(),"Due today",IF(TODAY()-$D220&lt;IF('Start Here'!$C$16="",7,'Start Here'!$C$16),"Just overdue",IF(TODAY()-$D220&lt;IF('Start Here'!$C$17="",21,'Start Here'!$C$17),"First reminder",IF(TODAY()-$D220&lt;IF('Start Here'!$C$18="",45,'Start Here'!$C$18),"Second reminder","Last friendly reminder"))))))))))</f>
        <v/>
      </c>
      <c r="T220" s="31"/>
      <c r="U220" s="30"/>
      <c r="V220" s="37" t="str">
        <f t="shared" si="31"/>
        <v/>
      </c>
      <c r="W220" s="39"/>
      <c r="X220" s="37" t="str">
        <f>IF($A220="","",IFERROR(VALUE(IF('Start Here'!$C$13="",$A220,SUBSTITUTE($A220,'Start Here'!$C$13,""))),""))</f>
        <v/>
      </c>
      <c r="Y220" s="37" t="str">
        <f t="shared" si="32"/>
        <v/>
      </c>
      <c r="Z220" s="37" t="str">
        <f t="shared" ca="1" si="33"/>
        <v/>
      </c>
      <c r="AA220" s="37" t="str">
        <f t="shared" si="34"/>
        <v/>
      </c>
      <c r="AB220" s="37" t="str">
        <f t="shared" ca="1" si="35"/>
        <v/>
      </c>
    </row>
    <row r="221" spans="1:28" ht="16" x14ac:dyDescent="0.2">
      <c r="A221" s="30"/>
      <c r="B221" s="31"/>
      <c r="C221" s="32"/>
      <c r="D221" s="33" t="str">
        <f>IF($B221="","",$B221+IF($C221="",IF('Start Here'!$C$15="",14,'Start Here'!$C$15),$C221))</f>
        <v/>
      </c>
      <c r="E221" s="30"/>
      <c r="F221" s="30"/>
      <c r="G221" s="30"/>
      <c r="H221" s="30"/>
      <c r="I221" s="34" t="str">
        <f>IF($A221="","",ROUND(SUMIF('Line Items'!$A$8:$A$507,$A221,'Line Items'!$H$8:$H$507),2))</f>
        <v/>
      </c>
      <c r="J221" s="35"/>
      <c r="K221" s="34" t="str">
        <f>IF($A221="","",ROUND($I221*IFERROR(IF($J221="",IF('Start Here'!$C$22="",0,'Start Here'!$C$22),$J221),0)/100,2))</f>
        <v/>
      </c>
      <c r="L221" s="34" t="str">
        <f t="shared" si="27"/>
        <v/>
      </c>
      <c r="M221" s="36"/>
      <c r="N221" s="31"/>
      <c r="O221" s="34" t="str">
        <f t="shared" si="28"/>
        <v/>
      </c>
      <c r="P221" s="30"/>
      <c r="Q221" s="37" t="str">
        <f t="shared" ca="1" si="29"/>
        <v/>
      </c>
      <c r="R221" s="38" t="str">
        <f t="shared" ca="1" si="30"/>
        <v/>
      </c>
      <c r="S221" s="37" t="str">
        <f ca="1">IF($A221="","",IF(OR($Q221="Paid",$Q221="Cancelled",$Q221="Draft"),"—",IF($Q221="No lines yet","Add line items",IF($Q221="No date","Add invoice date",IF($D221-TODAY()&gt;7,"—",IF($D221-TODAY()&gt;=1,"Due soon",IF($D221=TODAY(),"Due today",IF(TODAY()-$D221&lt;IF('Start Here'!$C$16="",7,'Start Here'!$C$16),"Just overdue",IF(TODAY()-$D221&lt;IF('Start Here'!$C$17="",21,'Start Here'!$C$17),"First reminder",IF(TODAY()-$D221&lt;IF('Start Here'!$C$18="",45,'Start Here'!$C$18),"Second reminder","Last friendly reminder"))))))))))</f>
        <v/>
      </c>
      <c r="T221" s="31"/>
      <c r="U221" s="30"/>
      <c r="V221" s="37" t="str">
        <f t="shared" si="31"/>
        <v/>
      </c>
      <c r="W221" s="40"/>
      <c r="X221" s="37" t="str">
        <f>IF($A221="","",IFERROR(VALUE(IF('Start Here'!$C$13="",$A221,SUBSTITUTE($A221,'Start Here'!$C$13,""))),""))</f>
        <v/>
      </c>
      <c r="Y221" s="37" t="str">
        <f t="shared" si="32"/>
        <v/>
      </c>
      <c r="Z221" s="37" t="str">
        <f t="shared" ca="1" si="33"/>
        <v/>
      </c>
      <c r="AA221" s="37" t="str">
        <f t="shared" si="34"/>
        <v/>
      </c>
      <c r="AB221" s="37" t="str">
        <f t="shared" ca="1" si="35"/>
        <v/>
      </c>
    </row>
    <row r="222" spans="1:28" ht="16" x14ac:dyDescent="0.2">
      <c r="A222" s="30"/>
      <c r="B222" s="31"/>
      <c r="C222" s="32"/>
      <c r="D222" s="33" t="str">
        <f>IF($B222="","",$B222+IF($C222="",IF('Start Here'!$C$15="",14,'Start Here'!$C$15),$C222))</f>
        <v/>
      </c>
      <c r="E222" s="30"/>
      <c r="F222" s="30"/>
      <c r="G222" s="30"/>
      <c r="H222" s="30"/>
      <c r="I222" s="34" t="str">
        <f>IF($A222="","",ROUND(SUMIF('Line Items'!$A$8:$A$507,$A222,'Line Items'!$H$8:$H$507),2))</f>
        <v/>
      </c>
      <c r="J222" s="35"/>
      <c r="K222" s="34" t="str">
        <f>IF($A222="","",ROUND($I222*IFERROR(IF($J222="",IF('Start Here'!$C$22="",0,'Start Here'!$C$22),$J222),0)/100,2))</f>
        <v/>
      </c>
      <c r="L222" s="34" t="str">
        <f t="shared" si="27"/>
        <v/>
      </c>
      <c r="M222" s="36"/>
      <c r="N222" s="31"/>
      <c r="O222" s="34" t="str">
        <f t="shared" si="28"/>
        <v/>
      </c>
      <c r="P222" s="30"/>
      <c r="Q222" s="37" t="str">
        <f t="shared" ca="1" si="29"/>
        <v/>
      </c>
      <c r="R222" s="38" t="str">
        <f t="shared" ca="1" si="30"/>
        <v/>
      </c>
      <c r="S222" s="37" t="str">
        <f ca="1">IF($A222="","",IF(OR($Q222="Paid",$Q222="Cancelled",$Q222="Draft"),"—",IF($Q222="No lines yet","Add line items",IF($Q222="No date","Add invoice date",IF($D222-TODAY()&gt;7,"—",IF($D222-TODAY()&gt;=1,"Due soon",IF($D222=TODAY(),"Due today",IF(TODAY()-$D222&lt;IF('Start Here'!$C$16="",7,'Start Here'!$C$16),"Just overdue",IF(TODAY()-$D222&lt;IF('Start Here'!$C$17="",21,'Start Here'!$C$17),"First reminder",IF(TODAY()-$D222&lt;IF('Start Here'!$C$18="",45,'Start Here'!$C$18),"Second reminder","Last friendly reminder"))))))))))</f>
        <v/>
      </c>
      <c r="T222" s="31"/>
      <c r="U222" s="30"/>
      <c r="V222" s="37" t="str">
        <f t="shared" si="31"/>
        <v/>
      </c>
      <c r="W222" s="39"/>
      <c r="X222" s="37" t="str">
        <f>IF($A222="","",IFERROR(VALUE(IF('Start Here'!$C$13="",$A222,SUBSTITUTE($A222,'Start Here'!$C$13,""))),""))</f>
        <v/>
      </c>
      <c r="Y222" s="37" t="str">
        <f t="shared" si="32"/>
        <v/>
      </c>
      <c r="Z222" s="37" t="str">
        <f t="shared" ca="1" si="33"/>
        <v/>
      </c>
      <c r="AA222" s="37" t="str">
        <f t="shared" si="34"/>
        <v/>
      </c>
      <c r="AB222" s="37" t="str">
        <f t="shared" ca="1" si="35"/>
        <v/>
      </c>
    </row>
    <row r="223" spans="1:28" ht="16" x14ac:dyDescent="0.2">
      <c r="A223" s="30"/>
      <c r="B223" s="31"/>
      <c r="C223" s="32"/>
      <c r="D223" s="33" t="str">
        <f>IF($B223="","",$B223+IF($C223="",IF('Start Here'!$C$15="",14,'Start Here'!$C$15),$C223))</f>
        <v/>
      </c>
      <c r="E223" s="30"/>
      <c r="F223" s="30"/>
      <c r="G223" s="30"/>
      <c r="H223" s="30"/>
      <c r="I223" s="34" t="str">
        <f>IF($A223="","",ROUND(SUMIF('Line Items'!$A$8:$A$507,$A223,'Line Items'!$H$8:$H$507),2))</f>
        <v/>
      </c>
      <c r="J223" s="35"/>
      <c r="K223" s="34" t="str">
        <f>IF($A223="","",ROUND($I223*IFERROR(IF($J223="",IF('Start Here'!$C$22="",0,'Start Here'!$C$22),$J223),0)/100,2))</f>
        <v/>
      </c>
      <c r="L223" s="34" t="str">
        <f t="shared" si="27"/>
        <v/>
      </c>
      <c r="M223" s="36"/>
      <c r="N223" s="31"/>
      <c r="O223" s="34" t="str">
        <f t="shared" si="28"/>
        <v/>
      </c>
      <c r="P223" s="30"/>
      <c r="Q223" s="37" t="str">
        <f t="shared" ca="1" si="29"/>
        <v/>
      </c>
      <c r="R223" s="38" t="str">
        <f t="shared" ca="1" si="30"/>
        <v/>
      </c>
      <c r="S223" s="37" t="str">
        <f ca="1">IF($A223="","",IF(OR($Q223="Paid",$Q223="Cancelled",$Q223="Draft"),"—",IF($Q223="No lines yet","Add line items",IF($Q223="No date","Add invoice date",IF($D223-TODAY()&gt;7,"—",IF($D223-TODAY()&gt;=1,"Due soon",IF($D223=TODAY(),"Due today",IF(TODAY()-$D223&lt;IF('Start Here'!$C$16="",7,'Start Here'!$C$16),"Just overdue",IF(TODAY()-$D223&lt;IF('Start Here'!$C$17="",21,'Start Here'!$C$17),"First reminder",IF(TODAY()-$D223&lt;IF('Start Here'!$C$18="",45,'Start Here'!$C$18),"Second reminder","Last friendly reminder"))))))))))</f>
        <v/>
      </c>
      <c r="T223" s="31"/>
      <c r="U223" s="30"/>
      <c r="V223" s="37" t="str">
        <f t="shared" si="31"/>
        <v/>
      </c>
      <c r="W223" s="40"/>
      <c r="X223" s="37" t="str">
        <f>IF($A223="","",IFERROR(VALUE(IF('Start Here'!$C$13="",$A223,SUBSTITUTE($A223,'Start Here'!$C$13,""))),""))</f>
        <v/>
      </c>
      <c r="Y223" s="37" t="str">
        <f t="shared" si="32"/>
        <v/>
      </c>
      <c r="Z223" s="37" t="str">
        <f t="shared" ca="1" si="33"/>
        <v/>
      </c>
      <c r="AA223" s="37" t="str">
        <f t="shared" si="34"/>
        <v/>
      </c>
      <c r="AB223" s="37" t="str">
        <f t="shared" ca="1" si="35"/>
        <v/>
      </c>
    </row>
    <row r="224" spans="1:28" ht="16" x14ac:dyDescent="0.2">
      <c r="A224" s="30"/>
      <c r="B224" s="31"/>
      <c r="C224" s="32"/>
      <c r="D224" s="33" t="str">
        <f>IF($B224="","",$B224+IF($C224="",IF('Start Here'!$C$15="",14,'Start Here'!$C$15),$C224))</f>
        <v/>
      </c>
      <c r="E224" s="30"/>
      <c r="F224" s="30"/>
      <c r="G224" s="30"/>
      <c r="H224" s="30"/>
      <c r="I224" s="34" t="str">
        <f>IF($A224="","",ROUND(SUMIF('Line Items'!$A$8:$A$507,$A224,'Line Items'!$H$8:$H$507),2))</f>
        <v/>
      </c>
      <c r="J224" s="35"/>
      <c r="K224" s="34" t="str">
        <f>IF($A224="","",ROUND($I224*IFERROR(IF($J224="",IF('Start Here'!$C$22="",0,'Start Here'!$C$22),$J224),0)/100,2))</f>
        <v/>
      </c>
      <c r="L224" s="34" t="str">
        <f t="shared" si="27"/>
        <v/>
      </c>
      <c r="M224" s="36"/>
      <c r="N224" s="31"/>
      <c r="O224" s="34" t="str">
        <f t="shared" si="28"/>
        <v/>
      </c>
      <c r="P224" s="30"/>
      <c r="Q224" s="37" t="str">
        <f t="shared" ca="1" si="29"/>
        <v/>
      </c>
      <c r="R224" s="38" t="str">
        <f t="shared" ca="1" si="30"/>
        <v/>
      </c>
      <c r="S224" s="37" t="str">
        <f ca="1">IF($A224="","",IF(OR($Q224="Paid",$Q224="Cancelled",$Q224="Draft"),"—",IF($Q224="No lines yet","Add line items",IF($Q224="No date","Add invoice date",IF($D224-TODAY()&gt;7,"—",IF($D224-TODAY()&gt;=1,"Due soon",IF($D224=TODAY(),"Due today",IF(TODAY()-$D224&lt;IF('Start Here'!$C$16="",7,'Start Here'!$C$16),"Just overdue",IF(TODAY()-$D224&lt;IF('Start Here'!$C$17="",21,'Start Here'!$C$17),"First reminder",IF(TODAY()-$D224&lt;IF('Start Here'!$C$18="",45,'Start Here'!$C$18),"Second reminder","Last friendly reminder"))))))))))</f>
        <v/>
      </c>
      <c r="T224" s="31"/>
      <c r="U224" s="30"/>
      <c r="V224" s="37" t="str">
        <f t="shared" si="31"/>
        <v/>
      </c>
      <c r="W224" s="39"/>
      <c r="X224" s="37" t="str">
        <f>IF($A224="","",IFERROR(VALUE(IF('Start Here'!$C$13="",$A224,SUBSTITUTE($A224,'Start Here'!$C$13,""))),""))</f>
        <v/>
      </c>
      <c r="Y224" s="37" t="str">
        <f t="shared" si="32"/>
        <v/>
      </c>
      <c r="Z224" s="37" t="str">
        <f t="shared" ca="1" si="33"/>
        <v/>
      </c>
      <c r="AA224" s="37" t="str">
        <f t="shared" si="34"/>
        <v/>
      </c>
      <c r="AB224" s="37" t="str">
        <f t="shared" ca="1" si="35"/>
        <v/>
      </c>
    </row>
    <row r="225" spans="1:28" ht="16" x14ac:dyDescent="0.2">
      <c r="A225" s="30"/>
      <c r="B225" s="31"/>
      <c r="C225" s="32"/>
      <c r="D225" s="33" t="str">
        <f>IF($B225="","",$B225+IF($C225="",IF('Start Here'!$C$15="",14,'Start Here'!$C$15),$C225))</f>
        <v/>
      </c>
      <c r="E225" s="30"/>
      <c r="F225" s="30"/>
      <c r="G225" s="30"/>
      <c r="H225" s="30"/>
      <c r="I225" s="34" t="str">
        <f>IF($A225="","",ROUND(SUMIF('Line Items'!$A$8:$A$507,$A225,'Line Items'!$H$8:$H$507),2))</f>
        <v/>
      </c>
      <c r="J225" s="35"/>
      <c r="K225" s="34" t="str">
        <f>IF($A225="","",ROUND($I225*IFERROR(IF($J225="",IF('Start Here'!$C$22="",0,'Start Here'!$C$22),$J225),0)/100,2))</f>
        <v/>
      </c>
      <c r="L225" s="34" t="str">
        <f t="shared" si="27"/>
        <v/>
      </c>
      <c r="M225" s="36"/>
      <c r="N225" s="31"/>
      <c r="O225" s="34" t="str">
        <f t="shared" si="28"/>
        <v/>
      </c>
      <c r="P225" s="30"/>
      <c r="Q225" s="37" t="str">
        <f t="shared" ca="1" si="29"/>
        <v/>
      </c>
      <c r="R225" s="38" t="str">
        <f t="shared" ca="1" si="30"/>
        <v/>
      </c>
      <c r="S225" s="37" t="str">
        <f ca="1">IF($A225="","",IF(OR($Q225="Paid",$Q225="Cancelled",$Q225="Draft"),"—",IF($Q225="No lines yet","Add line items",IF($Q225="No date","Add invoice date",IF($D225-TODAY()&gt;7,"—",IF($D225-TODAY()&gt;=1,"Due soon",IF($D225=TODAY(),"Due today",IF(TODAY()-$D225&lt;IF('Start Here'!$C$16="",7,'Start Here'!$C$16),"Just overdue",IF(TODAY()-$D225&lt;IF('Start Here'!$C$17="",21,'Start Here'!$C$17),"First reminder",IF(TODAY()-$D225&lt;IF('Start Here'!$C$18="",45,'Start Here'!$C$18),"Second reminder","Last friendly reminder"))))))))))</f>
        <v/>
      </c>
      <c r="T225" s="31"/>
      <c r="U225" s="30"/>
      <c r="V225" s="37" t="str">
        <f t="shared" si="31"/>
        <v/>
      </c>
      <c r="W225" s="40"/>
      <c r="X225" s="37" t="str">
        <f>IF($A225="","",IFERROR(VALUE(IF('Start Here'!$C$13="",$A225,SUBSTITUTE($A225,'Start Here'!$C$13,""))),""))</f>
        <v/>
      </c>
      <c r="Y225" s="37" t="str">
        <f t="shared" si="32"/>
        <v/>
      </c>
      <c r="Z225" s="37" t="str">
        <f t="shared" ca="1" si="33"/>
        <v/>
      </c>
      <c r="AA225" s="37" t="str">
        <f t="shared" si="34"/>
        <v/>
      </c>
      <c r="AB225" s="37" t="str">
        <f t="shared" ca="1" si="35"/>
        <v/>
      </c>
    </row>
    <row r="226" spans="1:28" ht="16" x14ac:dyDescent="0.2">
      <c r="A226" s="30"/>
      <c r="B226" s="31"/>
      <c r="C226" s="32"/>
      <c r="D226" s="33" t="str">
        <f>IF($B226="","",$B226+IF($C226="",IF('Start Here'!$C$15="",14,'Start Here'!$C$15),$C226))</f>
        <v/>
      </c>
      <c r="E226" s="30"/>
      <c r="F226" s="30"/>
      <c r="G226" s="30"/>
      <c r="H226" s="30"/>
      <c r="I226" s="34" t="str">
        <f>IF($A226="","",ROUND(SUMIF('Line Items'!$A$8:$A$507,$A226,'Line Items'!$H$8:$H$507),2))</f>
        <v/>
      </c>
      <c r="J226" s="35"/>
      <c r="K226" s="34" t="str">
        <f>IF($A226="","",ROUND($I226*IFERROR(IF($J226="",IF('Start Here'!$C$22="",0,'Start Here'!$C$22),$J226),0)/100,2))</f>
        <v/>
      </c>
      <c r="L226" s="34" t="str">
        <f t="shared" si="27"/>
        <v/>
      </c>
      <c r="M226" s="36"/>
      <c r="N226" s="31"/>
      <c r="O226" s="34" t="str">
        <f t="shared" si="28"/>
        <v/>
      </c>
      <c r="P226" s="30"/>
      <c r="Q226" s="37" t="str">
        <f t="shared" ca="1" si="29"/>
        <v/>
      </c>
      <c r="R226" s="38" t="str">
        <f t="shared" ca="1" si="30"/>
        <v/>
      </c>
      <c r="S226" s="37" t="str">
        <f ca="1">IF($A226="","",IF(OR($Q226="Paid",$Q226="Cancelled",$Q226="Draft"),"—",IF($Q226="No lines yet","Add line items",IF($Q226="No date","Add invoice date",IF($D226-TODAY()&gt;7,"—",IF($D226-TODAY()&gt;=1,"Due soon",IF($D226=TODAY(),"Due today",IF(TODAY()-$D226&lt;IF('Start Here'!$C$16="",7,'Start Here'!$C$16),"Just overdue",IF(TODAY()-$D226&lt;IF('Start Here'!$C$17="",21,'Start Here'!$C$17),"First reminder",IF(TODAY()-$D226&lt;IF('Start Here'!$C$18="",45,'Start Here'!$C$18),"Second reminder","Last friendly reminder"))))))))))</f>
        <v/>
      </c>
      <c r="T226" s="31"/>
      <c r="U226" s="30"/>
      <c r="V226" s="37" t="str">
        <f t="shared" si="31"/>
        <v/>
      </c>
      <c r="W226" s="39"/>
      <c r="X226" s="37" t="str">
        <f>IF($A226="","",IFERROR(VALUE(IF('Start Here'!$C$13="",$A226,SUBSTITUTE($A226,'Start Here'!$C$13,""))),""))</f>
        <v/>
      </c>
      <c r="Y226" s="37" t="str">
        <f t="shared" si="32"/>
        <v/>
      </c>
      <c r="Z226" s="37" t="str">
        <f t="shared" ca="1" si="33"/>
        <v/>
      </c>
      <c r="AA226" s="37" t="str">
        <f t="shared" si="34"/>
        <v/>
      </c>
      <c r="AB226" s="37" t="str">
        <f t="shared" ca="1" si="35"/>
        <v/>
      </c>
    </row>
    <row r="227" spans="1:28" ht="16" x14ac:dyDescent="0.2">
      <c r="A227" s="30"/>
      <c r="B227" s="31"/>
      <c r="C227" s="32"/>
      <c r="D227" s="33" t="str">
        <f>IF($B227="","",$B227+IF($C227="",IF('Start Here'!$C$15="",14,'Start Here'!$C$15),$C227))</f>
        <v/>
      </c>
      <c r="E227" s="30"/>
      <c r="F227" s="30"/>
      <c r="G227" s="30"/>
      <c r="H227" s="30"/>
      <c r="I227" s="34" t="str">
        <f>IF($A227="","",ROUND(SUMIF('Line Items'!$A$8:$A$507,$A227,'Line Items'!$H$8:$H$507),2))</f>
        <v/>
      </c>
      <c r="J227" s="35"/>
      <c r="K227" s="34" t="str">
        <f>IF($A227="","",ROUND($I227*IFERROR(IF($J227="",IF('Start Here'!$C$22="",0,'Start Here'!$C$22),$J227),0)/100,2))</f>
        <v/>
      </c>
      <c r="L227" s="34" t="str">
        <f t="shared" si="27"/>
        <v/>
      </c>
      <c r="M227" s="36"/>
      <c r="N227" s="31"/>
      <c r="O227" s="34" t="str">
        <f t="shared" si="28"/>
        <v/>
      </c>
      <c r="P227" s="30"/>
      <c r="Q227" s="37" t="str">
        <f t="shared" ca="1" si="29"/>
        <v/>
      </c>
      <c r="R227" s="38" t="str">
        <f t="shared" ca="1" si="30"/>
        <v/>
      </c>
      <c r="S227" s="37" t="str">
        <f ca="1">IF($A227="","",IF(OR($Q227="Paid",$Q227="Cancelled",$Q227="Draft"),"—",IF($Q227="No lines yet","Add line items",IF($Q227="No date","Add invoice date",IF($D227-TODAY()&gt;7,"—",IF($D227-TODAY()&gt;=1,"Due soon",IF($D227=TODAY(),"Due today",IF(TODAY()-$D227&lt;IF('Start Here'!$C$16="",7,'Start Here'!$C$16),"Just overdue",IF(TODAY()-$D227&lt;IF('Start Here'!$C$17="",21,'Start Here'!$C$17),"First reminder",IF(TODAY()-$D227&lt;IF('Start Here'!$C$18="",45,'Start Here'!$C$18),"Second reminder","Last friendly reminder"))))))))))</f>
        <v/>
      </c>
      <c r="T227" s="31"/>
      <c r="U227" s="30"/>
      <c r="V227" s="37" t="str">
        <f t="shared" si="31"/>
        <v/>
      </c>
      <c r="W227" s="40"/>
      <c r="X227" s="37" t="str">
        <f>IF($A227="","",IFERROR(VALUE(IF('Start Here'!$C$13="",$A227,SUBSTITUTE($A227,'Start Here'!$C$13,""))),""))</f>
        <v/>
      </c>
      <c r="Y227" s="37" t="str">
        <f t="shared" si="32"/>
        <v/>
      </c>
      <c r="Z227" s="37" t="str">
        <f t="shared" ca="1" si="33"/>
        <v/>
      </c>
      <c r="AA227" s="37" t="str">
        <f t="shared" si="34"/>
        <v/>
      </c>
      <c r="AB227" s="37" t="str">
        <f t="shared" ca="1" si="35"/>
        <v/>
      </c>
    </row>
    <row r="228" spans="1:28" ht="16" x14ac:dyDescent="0.2">
      <c r="A228" s="30"/>
      <c r="B228" s="31"/>
      <c r="C228" s="32"/>
      <c r="D228" s="33" t="str">
        <f>IF($B228="","",$B228+IF($C228="",IF('Start Here'!$C$15="",14,'Start Here'!$C$15),$C228))</f>
        <v/>
      </c>
      <c r="E228" s="30"/>
      <c r="F228" s="30"/>
      <c r="G228" s="30"/>
      <c r="H228" s="30"/>
      <c r="I228" s="34" t="str">
        <f>IF($A228="","",ROUND(SUMIF('Line Items'!$A$8:$A$507,$A228,'Line Items'!$H$8:$H$507),2))</f>
        <v/>
      </c>
      <c r="J228" s="35"/>
      <c r="K228" s="34" t="str">
        <f>IF($A228="","",ROUND($I228*IFERROR(IF($J228="",IF('Start Here'!$C$22="",0,'Start Here'!$C$22),$J228),0)/100,2))</f>
        <v/>
      </c>
      <c r="L228" s="34" t="str">
        <f t="shared" si="27"/>
        <v/>
      </c>
      <c r="M228" s="36"/>
      <c r="N228" s="31"/>
      <c r="O228" s="34" t="str">
        <f t="shared" si="28"/>
        <v/>
      </c>
      <c r="P228" s="30"/>
      <c r="Q228" s="37" t="str">
        <f t="shared" ca="1" si="29"/>
        <v/>
      </c>
      <c r="R228" s="38" t="str">
        <f t="shared" ca="1" si="30"/>
        <v/>
      </c>
      <c r="S228" s="37" t="str">
        <f ca="1">IF($A228="","",IF(OR($Q228="Paid",$Q228="Cancelled",$Q228="Draft"),"—",IF($Q228="No lines yet","Add line items",IF($Q228="No date","Add invoice date",IF($D228-TODAY()&gt;7,"—",IF($D228-TODAY()&gt;=1,"Due soon",IF($D228=TODAY(),"Due today",IF(TODAY()-$D228&lt;IF('Start Here'!$C$16="",7,'Start Here'!$C$16),"Just overdue",IF(TODAY()-$D228&lt;IF('Start Here'!$C$17="",21,'Start Here'!$C$17),"First reminder",IF(TODAY()-$D228&lt;IF('Start Here'!$C$18="",45,'Start Here'!$C$18),"Second reminder","Last friendly reminder"))))))))))</f>
        <v/>
      </c>
      <c r="T228" s="31"/>
      <c r="U228" s="30"/>
      <c r="V228" s="37" t="str">
        <f t="shared" si="31"/>
        <v/>
      </c>
      <c r="W228" s="39"/>
      <c r="X228" s="37" t="str">
        <f>IF($A228="","",IFERROR(VALUE(IF('Start Here'!$C$13="",$A228,SUBSTITUTE($A228,'Start Here'!$C$13,""))),""))</f>
        <v/>
      </c>
      <c r="Y228" s="37" t="str">
        <f t="shared" si="32"/>
        <v/>
      </c>
      <c r="Z228" s="37" t="str">
        <f t="shared" ca="1" si="33"/>
        <v/>
      </c>
      <c r="AA228" s="37" t="str">
        <f t="shared" si="34"/>
        <v/>
      </c>
      <c r="AB228" s="37" t="str">
        <f t="shared" ca="1" si="35"/>
        <v/>
      </c>
    </row>
    <row r="229" spans="1:28" ht="16" x14ac:dyDescent="0.2">
      <c r="A229" s="30"/>
      <c r="B229" s="31"/>
      <c r="C229" s="32"/>
      <c r="D229" s="33" t="str">
        <f>IF($B229="","",$B229+IF($C229="",IF('Start Here'!$C$15="",14,'Start Here'!$C$15),$C229))</f>
        <v/>
      </c>
      <c r="E229" s="30"/>
      <c r="F229" s="30"/>
      <c r="G229" s="30"/>
      <c r="H229" s="30"/>
      <c r="I229" s="34" t="str">
        <f>IF($A229="","",ROUND(SUMIF('Line Items'!$A$8:$A$507,$A229,'Line Items'!$H$8:$H$507),2))</f>
        <v/>
      </c>
      <c r="J229" s="35"/>
      <c r="K229" s="34" t="str">
        <f>IF($A229="","",ROUND($I229*IFERROR(IF($J229="",IF('Start Here'!$C$22="",0,'Start Here'!$C$22),$J229),0)/100,2))</f>
        <v/>
      </c>
      <c r="L229" s="34" t="str">
        <f t="shared" si="27"/>
        <v/>
      </c>
      <c r="M229" s="36"/>
      <c r="N229" s="31"/>
      <c r="O229" s="34" t="str">
        <f t="shared" si="28"/>
        <v/>
      </c>
      <c r="P229" s="30"/>
      <c r="Q229" s="37" t="str">
        <f t="shared" ca="1" si="29"/>
        <v/>
      </c>
      <c r="R229" s="38" t="str">
        <f t="shared" ca="1" si="30"/>
        <v/>
      </c>
      <c r="S229" s="37" t="str">
        <f ca="1">IF($A229="","",IF(OR($Q229="Paid",$Q229="Cancelled",$Q229="Draft"),"—",IF($Q229="No lines yet","Add line items",IF($Q229="No date","Add invoice date",IF($D229-TODAY()&gt;7,"—",IF($D229-TODAY()&gt;=1,"Due soon",IF($D229=TODAY(),"Due today",IF(TODAY()-$D229&lt;IF('Start Here'!$C$16="",7,'Start Here'!$C$16),"Just overdue",IF(TODAY()-$D229&lt;IF('Start Here'!$C$17="",21,'Start Here'!$C$17),"First reminder",IF(TODAY()-$D229&lt;IF('Start Here'!$C$18="",45,'Start Here'!$C$18),"Second reminder","Last friendly reminder"))))))))))</f>
        <v/>
      </c>
      <c r="T229" s="31"/>
      <c r="U229" s="30"/>
      <c r="V229" s="37" t="str">
        <f t="shared" si="31"/>
        <v/>
      </c>
      <c r="W229" s="40"/>
      <c r="X229" s="37" t="str">
        <f>IF($A229="","",IFERROR(VALUE(IF('Start Here'!$C$13="",$A229,SUBSTITUTE($A229,'Start Here'!$C$13,""))),""))</f>
        <v/>
      </c>
      <c r="Y229" s="37" t="str">
        <f t="shared" si="32"/>
        <v/>
      </c>
      <c r="Z229" s="37" t="str">
        <f t="shared" ca="1" si="33"/>
        <v/>
      </c>
      <c r="AA229" s="37" t="str">
        <f t="shared" si="34"/>
        <v/>
      </c>
      <c r="AB229" s="37" t="str">
        <f t="shared" ca="1" si="35"/>
        <v/>
      </c>
    </row>
    <row r="230" spans="1:28" ht="16" x14ac:dyDescent="0.2">
      <c r="A230" s="30"/>
      <c r="B230" s="31"/>
      <c r="C230" s="32"/>
      <c r="D230" s="33" t="str">
        <f>IF($B230="","",$B230+IF($C230="",IF('Start Here'!$C$15="",14,'Start Here'!$C$15),$C230))</f>
        <v/>
      </c>
      <c r="E230" s="30"/>
      <c r="F230" s="30"/>
      <c r="G230" s="30"/>
      <c r="H230" s="30"/>
      <c r="I230" s="34" t="str">
        <f>IF($A230="","",ROUND(SUMIF('Line Items'!$A$8:$A$507,$A230,'Line Items'!$H$8:$H$507),2))</f>
        <v/>
      </c>
      <c r="J230" s="35"/>
      <c r="K230" s="34" t="str">
        <f>IF($A230="","",ROUND($I230*IFERROR(IF($J230="",IF('Start Here'!$C$22="",0,'Start Here'!$C$22),$J230),0)/100,2))</f>
        <v/>
      </c>
      <c r="L230" s="34" t="str">
        <f t="shared" si="27"/>
        <v/>
      </c>
      <c r="M230" s="36"/>
      <c r="N230" s="31"/>
      <c r="O230" s="34" t="str">
        <f t="shared" si="28"/>
        <v/>
      </c>
      <c r="P230" s="30"/>
      <c r="Q230" s="37" t="str">
        <f t="shared" ca="1" si="29"/>
        <v/>
      </c>
      <c r="R230" s="38" t="str">
        <f t="shared" ca="1" si="30"/>
        <v/>
      </c>
      <c r="S230" s="37" t="str">
        <f ca="1">IF($A230="","",IF(OR($Q230="Paid",$Q230="Cancelled",$Q230="Draft"),"—",IF($Q230="No lines yet","Add line items",IF($Q230="No date","Add invoice date",IF($D230-TODAY()&gt;7,"—",IF($D230-TODAY()&gt;=1,"Due soon",IF($D230=TODAY(),"Due today",IF(TODAY()-$D230&lt;IF('Start Here'!$C$16="",7,'Start Here'!$C$16),"Just overdue",IF(TODAY()-$D230&lt;IF('Start Here'!$C$17="",21,'Start Here'!$C$17),"First reminder",IF(TODAY()-$D230&lt;IF('Start Here'!$C$18="",45,'Start Here'!$C$18),"Second reminder","Last friendly reminder"))))))))))</f>
        <v/>
      </c>
      <c r="T230" s="31"/>
      <c r="U230" s="30"/>
      <c r="V230" s="37" t="str">
        <f t="shared" si="31"/>
        <v/>
      </c>
      <c r="W230" s="39"/>
      <c r="X230" s="37" t="str">
        <f>IF($A230="","",IFERROR(VALUE(IF('Start Here'!$C$13="",$A230,SUBSTITUTE($A230,'Start Here'!$C$13,""))),""))</f>
        <v/>
      </c>
      <c r="Y230" s="37" t="str">
        <f t="shared" si="32"/>
        <v/>
      </c>
      <c r="Z230" s="37" t="str">
        <f t="shared" ca="1" si="33"/>
        <v/>
      </c>
      <c r="AA230" s="37" t="str">
        <f t="shared" si="34"/>
        <v/>
      </c>
      <c r="AB230" s="37" t="str">
        <f t="shared" ca="1" si="35"/>
        <v/>
      </c>
    </row>
    <row r="231" spans="1:28" ht="16" x14ac:dyDescent="0.2">
      <c r="A231" s="30"/>
      <c r="B231" s="31"/>
      <c r="C231" s="32"/>
      <c r="D231" s="33" t="str">
        <f>IF($B231="","",$B231+IF($C231="",IF('Start Here'!$C$15="",14,'Start Here'!$C$15),$C231))</f>
        <v/>
      </c>
      <c r="E231" s="30"/>
      <c r="F231" s="30"/>
      <c r="G231" s="30"/>
      <c r="H231" s="30"/>
      <c r="I231" s="34" t="str">
        <f>IF($A231="","",ROUND(SUMIF('Line Items'!$A$8:$A$507,$A231,'Line Items'!$H$8:$H$507),2))</f>
        <v/>
      </c>
      <c r="J231" s="35"/>
      <c r="K231" s="34" t="str">
        <f>IF($A231="","",ROUND($I231*IFERROR(IF($J231="",IF('Start Here'!$C$22="",0,'Start Here'!$C$22),$J231),0)/100,2))</f>
        <v/>
      </c>
      <c r="L231" s="34" t="str">
        <f t="shared" si="27"/>
        <v/>
      </c>
      <c r="M231" s="36"/>
      <c r="N231" s="31"/>
      <c r="O231" s="34" t="str">
        <f t="shared" si="28"/>
        <v/>
      </c>
      <c r="P231" s="30"/>
      <c r="Q231" s="37" t="str">
        <f t="shared" ca="1" si="29"/>
        <v/>
      </c>
      <c r="R231" s="38" t="str">
        <f t="shared" ca="1" si="30"/>
        <v/>
      </c>
      <c r="S231" s="37" t="str">
        <f ca="1">IF($A231="","",IF(OR($Q231="Paid",$Q231="Cancelled",$Q231="Draft"),"—",IF($Q231="No lines yet","Add line items",IF($Q231="No date","Add invoice date",IF($D231-TODAY()&gt;7,"—",IF($D231-TODAY()&gt;=1,"Due soon",IF($D231=TODAY(),"Due today",IF(TODAY()-$D231&lt;IF('Start Here'!$C$16="",7,'Start Here'!$C$16),"Just overdue",IF(TODAY()-$D231&lt;IF('Start Here'!$C$17="",21,'Start Here'!$C$17),"First reminder",IF(TODAY()-$D231&lt;IF('Start Here'!$C$18="",45,'Start Here'!$C$18),"Second reminder","Last friendly reminder"))))))))))</f>
        <v/>
      </c>
      <c r="T231" s="31"/>
      <c r="U231" s="30"/>
      <c r="V231" s="37" t="str">
        <f t="shared" si="31"/>
        <v/>
      </c>
      <c r="W231" s="40"/>
      <c r="X231" s="37" t="str">
        <f>IF($A231="","",IFERROR(VALUE(IF('Start Here'!$C$13="",$A231,SUBSTITUTE($A231,'Start Here'!$C$13,""))),""))</f>
        <v/>
      </c>
      <c r="Y231" s="37" t="str">
        <f t="shared" si="32"/>
        <v/>
      </c>
      <c r="Z231" s="37" t="str">
        <f t="shared" ca="1" si="33"/>
        <v/>
      </c>
      <c r="AA231" s="37" t="str">
        <f t="shared" si="34"/>
        <v/>
      </c>
      <c r="AB231" s="37" t="str">
        <f t="shared" ca="1" si="35"/>
        <v/>
      </c>
    </row>
    <row r="232" spans="1:28" ht="16" x14ac:dyDescent="0.2">
      <c r="A232" s="30"/>
      <c r="B232" s="31"/>
      <c r="C232" s="32"/>
      <c r="D232" s="33" t="str">
        <f>IF($B232="","",$B232+IF($C232="",IF('Start Here'!$C$15="",14,'Start Here'!$C$15),$C232))</f>
        <v/>
      </c>
      <c r="E232" s="30"/>
      <c r="F232" s="30"/>
      <c r="G232" s="30"/>
      <c r="H232" s="30"/>
      <c r="I232" s="34" t="str">
        <f>IF($A232="","",ROUND(SUMIF('Line Items'!$A$8:$A$507,$A232,'Line Items'!$H$8:$H$507),2))</f>
        <v/>
      </c>
      <c r="J232" s="35"/>
      <c r="K232" s="34" t="str">
        <f>IF($A232="","",ROUND($I232*IFERROR(IF($J232="",IF('Start Here'!$C$22="",0,'Start Here'!$C$22),$J232),0)/100,2))</f>
        <v/>
      </c>
      <c r="L232" s="34" t="str">
        <f t="shared" si="27"/>
        <v/>
      </c>
      <c r="M232" s="36"/>
      <c r="N232" s="31"/>
      <c r="O232" s="34" t="str">
        <f t="shared" si="28"/>
        <v/>
      </c>
      <c r="P232" s="30"/>
      <c r="Q232" s="37" t="str">
        <f t="shared" ca="1" si="29"/>
        <v/>
      </c>
      <c r="R232" s="38" t="str">
        <f t="shared" ca="1" si="30"/>
        <v/>
      </c>
      <c r="S232" s="37" t="str">
        <f ca="1">IF($A232="","",IF(OR($Q232="Paid",$Q232="Cancelled",$Q232="Draft"),"—",IF($Q232="No lines yet","Add line items",IF($Q232="No date","Add invoice date",IF($D232-TODAY()&gt;7,"—",IF($D232-TODAY()&gt;=1,"Due soon",IF($D232=TODAY(),"Due today",IF(TODAY()-$D232&lt;IF('Start Here'!$C$16="",7,'Start Here'!$C$16),"Just overdue",IF(TODAY()-$D232&lt;IF('Start Here'!$C$17="",21,'Start Here'!$C$17),"First reminder",IF(TODAY()-$D232&lt;IF('Start Here'!$C$18="",45,'Start Here'!$C$18),"Second reminder","Last friendly reminder"))))))))))</f>
        <v/>
      </c>
      <c r="T232" s="31"/>
      <c r="U232" s="30"/>
      <c r="V232" s="37" t="str">
        <f t="shared" si="31"/>
        <v/>
      </c>
      <c r="W232" s="39"/>
      <c r="X232" s="37" t="str">
        <f>IF($A232="","",IFERROR(VALUE(IF('Start Here'!$C$13="",$A232,SUBSTITUTE($A232,'Start Here'!$C$13,""))),""))</f>
        <v/>
      </c>
      <c r="Y232" s="37" t="str">
        <f t="shared" si="32"/>
        <v/>
      </c>
      <c r="Z232" s="37" t="str">
        <f t="shared" ca="1" si="33"/>
        <v/>
      </c>
      <c r="AA232" s="37" t="str">
        <f t="shared" si="34"/>
        <v/>
      </c>
      <c r="AB232" s="37" t="str">
        <f t="shared" ca="1" si="35"/>
        <v/>
      </c>
    </row>
    <row r="233" spans="1:28" ht="16" x14ac:dyDescent="0.2">
      <c r="A233" s="30"/>
      <c r="B233" s="31"/>
      <c r="C233" s="32"/>
      <c r="D233" s="33" t="str">
        <f>IF($B233="","",$B233+IF($C233="",IF('Start Here'!$C$15="",14,'Start Here'!$C$15),$C233))</f>
        <v/>
      </c>
      <c r="E233" s="30"/>
      <c r="F233" s="30"/>
      <c r="G233" s="30"/>
      <c r="H233" s="30"/>
      <c r="I233" s="34" t="str">
        <f>IF($A233="","",ROUND(SUMIF('Line Items'!$A$8:$A$507,$A233,'Line Items'!$H$8:$H$507),2))</f>
        <v/>
      </c>
      <c r="J233" s="35"/>
      <c r="K233" s="34" t="str">
        <f>IF($A233="","",ROUND($I233*IFERROR(IF($J233="",IF('Start Here'!$C$22="",0,'Start Here'!$C$22),$J233),0)/100,2))</f>
        <v/>
      </c>
      <c r="L233" s="34" t="str">
        <f t="shared" si="27"/>
        <v/>
      </c>
      <c r="M233" s="36"/>
      <c r="N233" s="31"/>
      <c r="O233" s="34" t="str">
        <f t="shared" si="28"/>
        <v/>
      </c>
      <c r="P233" s="30"/>
      <c r="Q233" s="37" t="str">
        <f t="shared" ca="1" si="29"/>
        <v/>
      </c>
      <c r="R233" s="38" t="str">
        <f t="shared" ca="1" si="30"/>
        <v/>
      </c>
      <c r="S233" s="37" t="str">
        <f ca="1">IF($A233="","",IF(OR($Q233="Paid",$Q233="Cancelled",$Q233="Draft"),"—",IF($Q233="No lines yet","Add line items",IF($Q233="No date","Add invoice date",IF($D233-TODAY()&gt;7,"—",IF($D233-TODAY()&gt;=1,"Due soon",IF($D233=TODAY(),"Due today",IF(TODAY()-$D233&lt;IF('Start Here'!$C$16="",7,'Start Here'!$C$16),"Just overdue",IF(TODAY()-$D233&lt;IF('Start Here'!$C$17="",21,'Start Here'!$C$17),"First reminder",IF(TODAY()-$D233&lt;IF('Start Here'!$C$18="",45,'Start Here'!$C$18),"Second reminder","Last friendly reminder"))))))))))</f>
        <v/>
      </c>
      <c r="T233" s="31"/>
      <c r="U233" s="30"/>
      <c r="V233" s="37" t="str">
        <f t="shared" si="31"/>
        <v/>
      </c>
      <c r="W233" s="40"/>
      <c r="X233" s="37" t="str">
        <f>IF($A233="","",IFERROR(VALUE(IF('Start Here'!$C$13="",$A233,SUBSTITUTE($A233,'Start Here'!$C$13,""))),""))</f>
        <v/>
      </c>
      <c r="Y233" s="37" t="str">
        <f t="shared" si="32"/>
        <v/>
      </c>
      <c r="Z233" s="37" t="str">
        <f t="shared" ca="1" si="33"/>
        <v/>
      </c>
      <c r="AA233" s="37" t="str">
        <f t="shared" si="34"/>
        <v/>
      </c>
      <c r="AB233" s="37" t="str">
        <f t="shared" ca="1" si="35"/>
        <v/>
      </c>
    </row>
    <row r="234" spans="1:28" ht="16" x14ac:dyDescent="0.2">
      <c r="A234" s="30"/>
      <c r="B234" s="31"/>
      <c r="C234" s="32"/>
      <c r="D234" s="33" t="str">
        <f>IF($B234="","",$B234+IF($C234="",IF('Start Here'!$C$15="",14,'Start Here'!$C$15),$C234))</f>
        <v/>
      </c>
      <c r="E234" s="30"/>
      <c r="F234" s="30"/>
      <c r="G234" s="30"/>
      <c r="H234" s="30"/>
      <c r="I234" s="34" t="str">
        <f>IF($A234="","",ROUND(SUMIF('Line Items'!$A$8:$A$507,$A234,'Line Items'!$H$8:$H$507),2))</f>
        <v/>
      </c>
      <c r="J234" s="35"/>
      <c r="K234" s="34" t="str">
        <f>IF($A234="","",ROUND($I234*IFERROR(IF($J234="",IF('Start Here'!$C$22="",0,'Start Here'!$C$22),$J234),0)/100,2))</f>
        <v/>
      </c>
      <c r="L234" s="34" t="str">
        <f t="shared" si="27"/>
        <v/>
      </c>
      <c r="M234" s="36"/>
      <c r="N234" s="31"/>
      <c r="O234" s="34" t="str">
        <f t="shared" si="28"/>
        <v/>
      </c>
      <c r="P234" s="30"/>
      <c r="Q234" s="37" t="str">
        <f t="shared" ca="1" si="29"/>
        <v/>
      </c>
      <c r="R234" s="38" t="str">
        <f t="shared" ca="1" si="30"/>
        <v/>
      </c>
      <c r="S234" s="37" t="str">
        <f ca="1">IF($A234="","",IF(OR($Q234="Paid",$Q234="Cancelled",$Q234="Draft"),"—",IF($Q234="No lines yet","Add line items",IF($Q234="No date","Add invoice date",IF($D234-TODAY()&gt;7,"—",IF($D234-TODAY()&gt;=1,"Due soon",IF($D234=TODAY(),"Due today",IF(TODAY()-$D234&lt;IF('Start Here'!$C$16="",7,'Start Here'!$C$16),"Just overdue",IF(TODAY()-$D234&lt;IF('Start Here'!$C$17="",21,'Start Here'!$C$17),"First reminder",IF(TODAY()-$D234&lt;IF('Start Here'!$C$18="",45,'Start Here'!$C$18),"Second reminder","Last friendly reminder"))))))))))</f>
        <v/>
      </c>
      <c r="T234" s="31"/>
      <c r="U234" s="30"/>
      <c r="V234" s="37" t="str">
        <f t="shared" si="31"/>
        <v/>
      </c>
      <c r="W234" s="39"/>
      <c r="X234" s="37" t="str">
        <f>IF($A234="","",IFERROR(VALUE(IF('Start Here'!$C$13="",$A234,SUBSTITUTE($A234,'Start Here'!$C$13,""))),""))</f>
        <v/>
      </c>
      <c r="Y234" s="37" t="str">
        <f t="shared" si="32"/>
        <v/>
      </c>
      <c r="Z234" s="37" t="str">
        <f t="shared" ca="1" si="33"/>
        <v/>
      </c>
      <c r="AA234" s="37" t="str">
        <f t="shared" si="34"/>
        <v/>
      </c>
      <c r="AB234" s="37" t="str">
        <f t="shared" ca="1" si="35"/>
        <v/>
      </c>
    </row>
    <row r="235" spans="1:28" ht="16" x14ac:dyDescent="0.2">
      <c r="A235" s="30"/>
      <c r="B235" s="31"/>
      <c r="C235" s="32"/>
      <c r="D235" s="33" t="str">
        <f>IF($B235="","",$B235+IF($C235="",IF('Start Here'!$C$15="",14,'Start Here'!$C$15),$C235))</f>
        <v/>
      </c>
      <c r="E235" s="30"/>
      <c r="F235" s="30"/>
      <c r="G235" s="30"/>
      <c r="H235" s="30"/>
      <c r="I235" s="34" t="str">
        <f>IF($A235="","",ROUND(SUMIF('Line Items'!$A$8:$A$507,$A235,'Line Items'!$H$8:$H$507),2))</f>
        <v/>
      </c>
      <c r="J235" s="35"/>
      <c r="K235" s="34" t="str">
        <f>IF($A235="","",ROUND($I235*IFERROR(IF($J235="",IF('Start Here'!$C$22="",0,'Start Here'!$C$22),$J235),0)/100,2))</f>
        <v/>
      </c>
      <c r="L235" s="34" t="str">
        <f t="shared" si="27"/>
        <v/>
      </c>
      <c r="M235" s="36"/>
      <c r="N235" s="31"/>
      <c r="O235" s="34" t="str">
        <f t="shared" si="28"/>
        <v/>
      </c>
      <c r="P235" s="30"/>
      <c r="Q235" s="37" t="str">
        <f t="shared" ca="1" si="29"/>
        <v/>
      </c>
      <c r="R235" s="38" t="str">
        <f t="shared" ca="1" si="30"/>
        <v/>
      </c>
      <c r="S235" s="37" t="str">
        <f ca="1">IF($A235="","",IF(OR($Q235="Paid",$Q235="Cancelled",$Q235="Draft"),"—",IF($Q235="No lines yet","Add line items",IF($Q235="No date","Add invoice date",IF($D235-TODAY()&gt;7,"—",IF($D235-TODAY()&gt;=1,"Due soon",IF($D235=TODAY(),"Due today",IF(TODAY()-$D235&lt;IF('Start Here'!$C$16="",7,'Start Here'!$C$16),"Just overdue",IF(TODAY()-$D235&lt;IF('Start Here'!$C$17="",21,'Start Here'!$C$17),"First reminder",IF(TODAY()-$D235&lt;IF('Start Here'!$C$18="",45,'Start Here'!$C$18),"Second reminder","Last friendly reminder"))))))))))</f>
        <v/>
      </c>
      <c r="T235" s="31"/>
      <c r="U235" s="30"/>
      <c r="V235" s="37" t="str">
        <f t="shared" si="31"/>
        <v/>
      </c>
      <c r="W235" s="40"/>
      <c r="X235" s="37" t="str">
        <f>IF($A235="","",IFERROR(VALUE(IF('Start Here'!$C$13="",$A235,SUBSTITUTE($A235,'Start Here'!$C$13,""))),""))</f>
        <v/>
      </c>
      <c r="Y235" s="37" t="str">
        <f t="shared" si="32"/>
        <v/>
      </c>
      <c r="Z235" s="37" t="str">
        <f t="shared" ca="1" si="33"/>
        <v/>
      </c>
      <c r="AA235" s="37" t="str">
        <f t="shared" si="34"/>
        <v/>
      </c>
      <c r="AB235" s="37" t="str">
        <f t="shared" ca="1" si="35"/>
        <v/>
      </c>
    </row>
    <row r="236" spans="1:28" ht="16" x14ac:dyDescent="0.2">
      <c r="A236" s="30"/>
      <c r="B236" s="31"/>
      <c r="C236" s="32"/>
      <c r="D236" s="33" t="str">
        <f>IF($B236="","",$B236+IF($C236="",IF('Start Here'!$C$15="",14,'Start Here'!$C$15),$C236))</f>
        <v/>
      </c>
      <c r="E236" s="30"/>
      <c r="F236" s="30"/>
      <c r="G236" s="30"/>
      <c r="H236" s="30"/>
      <c r="I236" s="34" t="str">
        <f>IF($A236="","",ROUND(SUMIF('Line Items'!$A$8:$A$507,$A236,'Line Items'!$H$8:$H$507),2))</f>
        <v/>
      </c>
      <c r="J236" s="35"/>
      <c r="K236" s="34" t="str">
        <f>IF($A236="","",ROUND($I236*IFERROR(IF($J236="",IF('Start Here'!$C$22="",0,'Start Here'!$C$22),$J236),0)/100,2))</f>
        <v/>
      </c>
      <c r="L236" s="34" t="str">
        <f t="shared" si="27"/>
        <v/>
      </c>
      <c r="M236" s="36"/>
      <c r="N236" s="31"/>
      <c r="O236" s="34" t="str">
        <f t="shared" si="28"/>
        <v/>
      </c>
      <c r="P236" s="30"/>
      <c r="Q236" s="37" t="str">
        <f t="shared" ca="1" si="29"/>
        <v/>
      </c>
      <c r="R236" s="38" t="str">
        <f t="shared" ca="1" si="30"/>
        <v/>
      </c>
      <c r="S236" s="37" t="str">
        <f ca="1">IF($A236="","",IF(OR($Q236="Paid",$Q236="Cancelled",$Q236="Draft"),"—",IF($Q236="No lines yet","Add line items",IF($Q236="No date","Add invoice date",IF($D236-TODAY()&gt;7,"—",IF($D236-TODAY()&gt;=1,"Due soon",IF($D236=TODAY(),"Due today",IF(TODAY()-$D236&lt;IF('Start Here'!$C$16="",7,'Start Here'!$C$16),"Just overdue",IF(TODAY()-$D236&lt;IF('Start Here'!$C$17="",21,'Start Here'!$C$17),"First reminder",IF(TODAY()-$D236&lt;IF('Start Here'!$C$18="",45,'Start Here'!$C$18),"Second reminder","Last friendly reminder"))))))))))</f>
        <v/>
      </c>
      <c r="T236" s="31"/>
      <c r="U236" s="30"/>
      <c r="V236" s="37" t="str">
        <f t="shared" si="31"/>
        <v/>
      </c>
      <c r="W236" s="39"/>
      <c r="X236" s="37" t="str">
        <f>IF($A236="","",IFERROR(VALUE(IF('Start Here'!$C$13="",$A236,SUBSTITUTE($A236,'Start Here'!$C$13,""))),""))</f>
        <v/>
      </c>
      <c r="Y236" s="37" t="str">
        <f t="shared" si="32"/>
        <v/>
      </c>
      <c r="Z236" s="37" t="str">
        <f t="shared" ca="1" si="33"/>
        <v/>
      </c>
      <c r="AA236" s="37" t="str">
        <f t="shared" si="34"/>
        <v/>
      </c>
      <c r="AB236" s="37" t="str">
        <f t="shared" ca="1" si="35"/>
        <v/>
      </c>
    </row>
    <row r="237" spans="1:28" ht="16" x14ac:dyDescent="0.2">
      <c r="A237" s="30"/>
      <c r="B237" s="31"/>
      <c r="C237" s="32"/>
      <c r="D237" s="33" t="str">
        <f>IF($B237="","",$B237+IF($C237="",IF('Start Here'!$C$15="",14,'Start Here'!$C$15),$C237))</f>
        <v/>
      </c>
      <c r="E237" s="30"/>
      <c r="F237" s="30"/>
      <c r="G237" s="30"/>
      <c r="H237" s="30"/>
      <c r="I237" s="34" t="str">
        <f>IF($A237="","",ROUND(SUMIF('Line Items'!$A$8:$A$507,$A237,'Line Items'!$H$8:$H$507),2))</f>
        <v/>
      </c>
      <c r="J237" s="35"/>
      <c r="K237" s="34" t="str">
        <f>IF($A237="","",ROUND($I237*IFERROR(IF($J237="",IF('Start Here'!$C$22="",0,'Start Here'!$C$22),$J237),0)/100,2))</f>
        <v/>
      </c>
      <c r="L237" s="34" t="str">
        <f t="shared" si="27"/>
        <v/>
      </c>
      <c r="M237" s="36"/>
      <c r="N237" s="31"/>
      <c r="O237" s="34" t="str">
        <f t="shared" si="28"/>
        <v/>
      </c>
      <c r="P237" s="30"/>
      <c r="Q237" s="37" t="str">
        <f t="shared" ca="1" si="29"/>
        <v/>
      </c>
      <c r="R237" s="38" t="str">
        <f t="shared" ca="1" si="30"/>
        <v/>
      </c>
      <c r="S237" s="37" t="str">
        <f ca="1">IF($A237="","",IF(OR($Q237="Paid",$Q237="Cancelled",$Q237="Draft"),"—",IF($Q237="No lines yet","Add line items",IF($Q237="No date","Add invoice date",IF($D237-TODAY()&gt;7,"—",IF($D237-TODAY()&gt;=1,"Due soon",IF($D237=TODAY(),"Due today",IF(TODAY()-$D237&lt;IF('Start Here'!$C$16="",7,'Start Here'!$C$16),"Just overdue",IF(TODAY()-$D237&lt;IF('Start Here'!$C$17="",21,'Start Here'!$C$17),"First reminder",IF(TODAY()-$D237&lt;IF('Start Here'!$C$18="",45,'Start Here'!$C$18),"Second reminder","Last friendly reminder"))))))))))</f>
        <v/>
      </c>
      <c r="T237" s="31"/>
      <c r="U237" s="30"/>
      <c r="V237" s="37" t="str">
        <f t="shared" si="31"/>
        <v/>
      </c>
      <c r="W237" s="40"/>
      <c r="X237" s="37" t="str">
        <f>IF($A237="","",IFERROR(VALUE(IF('Start Here'!$C$13="",$A237,SUBSTITUTE($A237,'Start Here'!$C$13,""))),""))</f>
        <v/>
      </c>
      <c r="Y237" s="37" t="str">
        <f t="shared" si="32"/>
        <v/>
      </c>
      <c r="Z237" s="37" t="str">
        <f t="shared" ca="1" si="33"/>
        <v/>
      </c>
      <c r="AA237" s="37" t="str">
        <f t="shared" si="34"/>
        <v/>
      </c>
      <c r="AB237" s="37" t="str">
        <f t="shared" ca="1" si="35"/>
        <v/>
      </c>
    </row>
    <row r="238" spans="1:28" ht="16" x14ac:dyDescent="0.2">
      <c r="A238" s="30"/>
      <c r="B238" s="31"/>
      <c r="C238" s="32"/>
      <c r="D238" s="33" t="str">
        <f>IF($B238="","",$B238+IF($C238="",IF('Start Here'!$C$15="",14,'Start Here'!$C$15),$C238))</f>
        <v/>
      </c>
      <c r="E238" s="30"/>
      <c r="F238" s="30"/>
      <c r="G238" s="30"/>
      <c r="H238" s="30"/>
      <c r="I238" s="34" t="str">
        <f>IF($A238="","",ROUND(SUMIF('Line Items'!$A$8:$A$507,$A238,'Line Items'!$H$8:$H$507),2))</f>
        <v/>
      </c>
      <c r="J238" s="35"/>
      <c r="K238" s="34" t="str">
        <f>IF($A238="","",ROUND($I238*IFERROR(IF($J238="",IF('Start Here'!$C$22="",0,'Start Here'!$C$22),$J238),0)/100,2))</f>
        <v/>
      </c>
      <c r="L238" s="34" t="str">
        <f t="shared" si="27"/>
        <v/>
      </c>
      <c r="M238" s="36"/>
      <c r="N238" s="31"/>
      <c r="O238" s="34" t="str">
        <f t="shared" si="28"/>
        <v/>
      </c>
      <c r="P238" s="30"/>
      <c r="Q238" s="37" t="str">
        <f t="shared" ca="1" si="29"/>
        <v/>
      </c>
      <c r="R238" s="38" t="str">
        <f t="shared" ca="1" si="30"/>
        <v/>
      </c>
      <c r="S238" s="37" t="str">
        <f ca="1">IF($A238="","",IF(OR($Q238="Paid",$Q238="Cancelled",$Q238="Draft"),"—",IF($Q238="No lines yet","Add line items",IF($Q238="No date","Add invoice date",IF($D238-TODAY()&gt;7,"—",IF($D238-TODAY()&gt;=1,"Due soon",IF($D238=TODAY(),"Due today",IF(TODAY()-$D238&lt;IF('Start Here'!$C$16="",7,'Start Here'!$C$16),"Just overdue",IF(TODAY()-$D238&lt;IF('Start Here'!$C$17="",21,'Start Here'!$C$17),"First reminder",IF(TODAY()-$D238&lt;IF('Start Here'!$C$18="",45,'Start Here'!$C$18),"Second reminder","Last friendly reminder"))))))))))</f>
        <v/>
      </c>
      <c r="T238" s="31"/>
      <c r="U238" s="30"/>
      <c r="V238" s="37" t="str">
        <f t="shared" si="31"/>
        <v/>
      </c>
      <c r="W238" s="39"/>
      <c r="X238" s="37" t="str">
        <f>IF($A238="","",IFERROR(VALUE(IF('Start Here'!$C$13="",$A238,SUBSTITUTE($A238,'Start Here'!$C$13,""))),""))</f>
        <v/>
      </c>
      <c r="Y238" s="37" t="str">
        <f t="shared" si="32"/>
        <v/>
      </c>
      <c r="Z238" s="37" t="str">
        <f t="shared" ca="1" si="33"/>
        <v/>
      </c>
      <c r="AA238" s="37" t="str">
        <f t="shared" si="34"/>
        <v/>
      </c>
      <c r="AB238" s="37" t="str">
        <f t="shared" ca="1" si="35"/>
        <v/>
      </c>
    </row>
    <row r="239" spans="1:28" ht="16" x14ac:dyDescent="0.2">
      <c r="A239" s="30"/>
      <c r="B239" s="31"/>
      <c r="C239" s="32"/>
      <c r="D239" s="33" t="str">
        <f>IF($B239="","",$B239+IF($C239="",IF('Start Here'!$C$15="",14,'Start Here'!$C$15),$C239))</f>
        <v/>
      </c>
      <c r="E239" s="30"/>
      <c r="F239" s="30"/>
      <c r="G239" s="30"/>
      <c r="H239" s="30"/>
      <c r="I239" s="34" t="str">
        <f>IF($A239="","",ROUND(SUMIF('Line Items'!$A$8:$A$507,$A239,'Line Items'!$H$8:$H$507),2))</f>
        <v/>
      </c>
      <c r="J239" s="35"/>
      <c r="K239" s="34" t="str">
        <f>IF($A239="","",ROUND($I239*IFERROR(IF($J239="",IF('Start Here'!$C$22="",0,'Start Here'!$C$22),$J239),0)/100,2))</f>
        <v/>
      </c>
      <c r="L239" s="34" t="str">
        <f t="shared" si="27"/>
        <v/>
      </c>
      <c r="M239" s="36"/>
      <c r="N239" s="31"/>
      <c r="O239" s="34" t="str">
        <f t="shared" si="28"/>
        <v/>
      </c>
      <c r="P239" s="30"/>
      <c r="Q239" s="37" t="str">
        <f t="shared" ca="1" si="29"/>
        <v/>
      </c>
      <c r="R239" s="38" t="str">
        <f t="shared" ca="1" si="30"/>
        <v/>
      </c>
      <c r="S239" s="37" t="str">
        <f ca="1">IF($A239="","",IF(OR($Q239="Paid",$Q239="Cancelled",$Q239="Draft"),"—",IF($Q239="No lines yet","Add line items",IF($Q239="No date","Add invoice date",IF($D239-TODAY()&gt;7,"—",IF($D239-TODAY()&gt;=1,"Due soon",IF($D239=TODAY(),"Due today",IF(TODAY()-$D239&lt;IF('Start Here'!$C$16="",7,'Start Here'!$C$16),"Just overdue",IF(TODAY()-$D239&lt;IF('Start Here'!$C$17="",21,'Start Here'!$C$17),"First reminder",IF(TODAY()-$D239&lt;IF('Start Here'!$C$18="",45,'Start Here'!$C$18),"Second reminder","Last friendly reminder"))))))))))</f>
        <v/>
      </c>
      <c r="T239" s="31"/>
      <c r="U239" s="30"/>
      <c r="V239" s="37" t="str">
        <f t="shared" si="31"/>
        <v/>
      </c>
      <c r="W239" s="40"/>
      <c r="X239" s="37" t="str">
        <f>IF($A239="","",IFERROR(VALUE(IF('Start Here'!$C$13="",$A239,SUBSTITUTE($A239,'Start Here'!$C$13,""))),""))</f>
        <v/>
      </c>
      <c r="Y239" s="37" t="str">
        <f t="shared" si="32"/>
        <v/>
      </c>
      <c r="Z239" s="37" t="str">
        <f t="shared" ca="1" si="33"/>
        <v/>
      </c>
      <c r="AA239" s="37" t="str">
        <f t="shared" si="34"/>
        <v/>
      </c>
      <c r="AB239" s="37" t="str">
        <f t="shared" ca="1" si="35"/>
        <v/>
      </c>
    </row>
    <row r="240" spans="1:28" ht="16" x14ac:dyDescent="0.2">
      <c r="A240" s="30"/>
      <c r="B240" s="31"/>
      <c r="C240" s="32"/>
      <c r="D240" s="33" t="str">
        <f>IF($B240="","",$B240+IF($C240="",IF('Start Here'!$C$15="",14,'Start Here'!$C$15),$C240))</f>
        <v/>
      </c>
      <c r="E240" s="30"/>
      <c r="F240" s="30"/>
      <c r="G240" s="30"/>
      <c r="H240" s="30"/>
      <c r="I240" s="34" t="str">
        <f>IF($A240="","",ROUND(SUMIF('Line Items'!$A$8:$A$507,$A240,'Line Items'!$H$8:$H$507),2))</f>
        <v/>
      </c>
      <c r="J240" s="35"/>
      <c r="K240" s="34" t="str">
        <f>IF($A240="","",ROUND($I240*IFERROR(IF($J240="",IF('Start Here'!$C$22="",0,'Start Here'!$C$22),$J240),0)/100,2))</f>
        <v/>
      </c>
      <c r="L240" s="34" t="str">
        <f t="shared" si="27"/>
        <v/>
      </c>
      <c r="M240" s="36"/>
      <c r="N240" s="31"/>
      <c r="O240" s="34" t="str">
        <f t="shared" si="28"/>
        <v/>
      </c>
      <c r="P240" s="30"/>
      <c r="Q240" s="37" t="str">
        <f t="shared" ca="1" si="29"/>
        <v/>
      </c>
      <c r="R240" s="38" t="str">
        <f t="shared" ca="1" si="30"/>
        <v/>
      </c>
      <c r="S240" s="37" t="str">
        <f ca="1">IF($A240="","",IF(OR($Q240="Paid",$Q240="Cancelled",$Q240="Draft"),"—",IF($Q240="No lines yet","Add line items",IF($Q240="No date","Add invoice date",IF($D240-TODAY()&gt;7,"—",IF($D240-TODAY()&gt;=1,"Due soon",IF($D240=TODAY(),"Due today",IF(TODAY()-$D240&lt;IF('Start Here'!$C$16="",7,'Start Here'!$C$16),"Just overdue",IF(TODAY()-$D240&lt;IF('Start Here'!$C$17="",21,'Start Here'!$C$17),"First reminder",IF(TODAY()-$D240&lt;IF('Start Here'!$C$18="",45,'Start Here'!$C$18),"Second reminder","Last friendly reminder"))))))))))</f>
        <v/>
      </c>
      <c r="T240" s="31"/>
      <c r="U240" s="30"/>
      <c r="V240" s="37" t="str">
        <f t="shared" si="31"/>
        <v/>
      </c>
      <c r="W240" s="39"/>
      <c r="X240" s="37" t="str">
        <f>IF($A240="","",IFERROR(VALUE(IF('Start Here'!$C$13="",$A240,SUBSTITUTE($A240,'Start Here'!$C$13,""))),""))</f>
        <v/>
      </c>
      <c r="Y240" s="37" t="str">
        <f t="shared" si="32"/>
        <v/>
      </c>
      <c r="Z240" s="37" t="str">
        <f t="shared" ca="1" si="33"/>
        <v/>
      </c>
      <c r="AA240" s="37" t="str">
        <f t="shared" si="34"/>
        <v/>
      </c>
      <c r="AB240" s="37" t="str">
        <f t="shared" ca="1" si="35"/>
        <v/>
      </c>
    </row>
    <row r="241" spans="1:28" ht="16" x14ac:dyDescent="0.2">
      <c r="A241" s="30"/>
      <c r="B241" s="31"/>
      <c r="C241" s="32"/>
      <c r="D241" s="33" t="str">
        <f>IF($B241="","",$B241+IF($C241="",IF('Start Here'!$C$15="",14,'Start Here'!$C$15),$C241))</f>
        <v/>
      </c>
      <c r="E241" s="30"/>
      <c r="F241" s="30"/>
      <c r="G241" s="30"/>
      <c r="H241" s="30"/>
      <c r="I241" s="34" t="str">
        <f>IF($A241="","",ROUND(SUMIF('Line Items'!$A$8:$A$507,$A241,'Line Items'!$H$8:$H$507),2))</f>
        <v/>
      </c>
      <c r="J241" s="35"/>
      <c r="K241" s="34" t="str">
        <f>IF($A241="","",ROUND($I241*IFERROR(IF($J241="",IF('Start Here'!$C$22="",0,'Start Here'!$C$22),$J241),0)/100,2))</f>
        <v/>
      </c>
      <c r="L241" s="34" t="str">
        <f t="shared" si="27"/>
        <v/>
      </c>
      <c r="M241" s="36"/>
      <c r="N241" s="31"/>
      <c r="O241" s="34" t="str">
        <f t="shared" si="28"/>
        <v/>
      </c>
      <c r="P241" s="30"/>
      <c r="Q241" s="37" t="str">
        <f t="shared" ca="1" si="29"/>
        <v/>
      </c>
      <c r="R241" s="38" t="str">
        <f t="shared" ca="1" si="30"/>
        <v/>
      </c>
      <c r="S241" s="37" t="str">
        <f ca="1">IF($A241="","",IF(OR($Q241="Paid",$Q241="Cancelled",$Q241="Draft"),"—",IF($Q241="No lines yet","Add line items",IF($Q241="No date","Add invoice date",IF($D241-TODAY()&gt;7,"—",IF($D241-TODAY()&gt;=1,"Due soon",IF($D241=TODAY(),"Due today",IF(TODAY()-$D241&lt;IF('Start Here'!$C$16="",7,'Start Here'!$C$16),"Just overdue",IF(TODAY()-$D241&lt;IF('Start Here'!$C$17="",21,'Start Here'!$C$17),"First reminder",IF(TODAY()-$D241&lt;IF('Start Here'!$C$18="",45,'Start Here'!$C$18),"Second reminder","Last friendly reminder"))))))))))</f>
        <v/>
      </c>
      <c r="T241" s="31"/>
      <c r="U241" s="30"/>
      <c r="V241" s="37" t="str">
        <f t="shared" si="31"/>
        <v/>
      </c>
      <c r="W241" s="40"/>
      <c r="X241" s="37" t="str">
        <f>IF($A241="","",IFERROR(VALUE(IF('Start Here'!$C$13="",$A241,SUBSTITUTE($A241,'Start Here'!$C$13,""))),""))</f>
        <v/>
      </c>
      <c r="Y241" s="37" t="str">
        <f t="shared" si="32"/>
        <v/>
      </c>
      <c r="Z241" s="37" t="str">
        <f t="shared" ca="1" si="33"/>
        <v/>
      </c>
      <c r="AA241" s="37" t="str">
        <f t="shared" si="34"/>
        <v/>
      </c>
      <c r="AB241" s="37" t="str">
        <f t="shared" ca="1" si="35"/>
        <v/>
      </c>
    </row>
    <row r="242" spans="1:28" ht="16" x14ac:dyDescent="0.2">
      <c r="A242" s="30"/>
      <c r="B242" s="31"/>
      <c r="C242" s="32"/>
      <c r="D242" s="33" t="str">
        <f>IF($B242="","",$B242+IF($C242="",IF('Start Here'!$C$15="",14,'Start Here'!$C$15),$C242))</f>
        <v/>
      </c>
      <c r="E242" s="30"/>
      <c r="F242" s="30"/>
      <c r="G242" s="30"/>
      <c r="H242" s="30"/>
      <c r="I242" s="34" t="str">
        <f>IF($A242="","",ROUND(SUMIF('Line Items'!$A$8:$A$507,$A242,'Line Items'!$H$8:$H$507),2))</f>
        <v/>
      </c>
      <c r="J242" s="35"/>
      <c r="K242" s="34" t="str">
        <f>IF($A242="","",ROUND($I242*IFERROR(IF($J242="",IF('Start Here'!$C$22="",0,'Start Here'!$C$22),$J242),0)/100,2))</f>
        <v/>
      </c>
      <c r="L242" s="34" t="str">
        <f t="shared" si="27"/>
        <v/>
      </c>
      <c r="M242" s="36"/>
      <c r="N242" s="31"/>
      <c r="O242" s="34" t="str">
        <f t="shared" si="28"/>
        <v/>
      </c>
      <c r="P242" s="30"/>
      <c r="Q242" s="37" t="str">
        <f t="shared" ca="1" si="29"/>
        <v/>
      </c>
      <c r="R242" s="38" t="str">
        <f t="shared" ca="1" si="30"/>
        <v/>
      </c>
      <c r="S242" s="37" t="str">
        <f ca="1">IF($A242="","",IF(OR($Q242="Paid",$Q242="Cancelled",$Q242="Draft"),"—",IF($Q242="No lines yet","Add line items",IF($Q242="No date","Add invoice date",IF($D242-TODAY()&gt;7,"—",IF($D242-TODAY()&gt;=1,"Due soon",IF($D242=TODAY(),"Due today",IF(TODAY()-$D242&lt;IF('Start Here'!$C$16="",7,'Start Here'!$C$16),"Just overdue",IF(TODAY()-$D242&lt;IF('Start Here'!$C$17="",21,'Start Here'!$C$17),"First reminder",IF(TODAY()-$D242&lt;IF('Start Here'!$C$18="",45,'Start Here'!$C$18),"Second reminder","Last friendly reminder"))))))))))</f>
        <v/>
      </c>
      <c r="T242" s="31"/>
      <c r="U242" s="30"/>
      <c r="V242" s="37" t="str">
        <f t="shared" si="31"/>
        <v/>
      </c>
      <c r="W242" s="39"/>
      <c r="X242" s="37" t="str">
        <f>IF($A242="","",IFERROR(VALUE(IF('Start Here'!$C$13="",$A242,SUBSTITUTE($A242,'Start Here'!$C$13,""))),""))</f>
        <v/>
      </c>
      <c r="Y242" s="37" t="str">
        <f t="shared" si="32"/>
        <v/>
      </c>
      <c r="Z242" s="37" t="str">
        <f t="shared" ca="1" si="33"/>
        <v/>
      </c>
      <c r="AA242" s="37" t="str">
        <f t="shared" si="34"/>
        <v/>
      </c>
      <c r="AB242" s="37" t="str">
        <f t="shared" ca="1" si="35"/>
        <v/>
      </c>
    </row>
    <row r="243" spans="1:28" ht="16" x14ac:dyDescent="0.2">
      <c r="A243" s="30"/>
      <c r="B243" s="31"/>
      <c r="C243" s="32"/>
      <c r="D243" s="33" t="str">
        <f>IF($B243="","",$B243+IF($C243="",IF('Start Here'!$C$15="",14,'Start Here'!$C$15),$C243))</f>
        <v/>
      </c>
      <c r="E243" s="30"/>
      <c r="F243" s="30"/>
      <c r="G243" s="30"/>
      <c r="H243" s="30"/>
      <c r="I243" s="34" t="str">
        <f>IF($A243="","",ROUND(SUMIF('Line Items'!$A$8:$A$507,$A243,'Line Items'!$H$8:$H$507),2))</f>
        <v/>
      </c>
      <c r="J243" s="35"/>
      <c r="K243" s="34" t="str">
        <f>IF($A243="","",ROUND($I243*IFERROR(IF($J243="",IF('Start Here'!$C$22="",0,'Start Here'!$C$22),$J243),0)/100,2))</f>
        <v/>
      </c>
      <c r="L243" s="34" t="str">
        <f t="shared" si="27"/>
        <v/>
      </c>
      <c r="M243" s="36"/>
      <c r="N243" s="31"/>
      <c r="O243" s="34" t="str">
        <f t="shared" si="28"/>
        <v/>
      </c>
      <c r="P243" s="30"/>
      <c r="Q243" s="37" t="str">
        <f t="shared" ca="1" si="29"/>
        <v/>
      </c>
      <c r="R243" s="38" t="str">
        <f t="shared" ca="1" si="30"/>
        <v/>
      </c>
      <c r="S243" s="37" t="str">
        <f ca="1">IF($A243="","",IF(OR($Q243="Paid",$Q243="Cancelled",$Q243="Draft"),"—",IF($Q243="No lines yet","Add line items",IF($Q243="No date","Add invoice date",IF($D243-TODAY()&gt;7,"—",IF($D243-TODAY()&gt;=1,"Due soon",IF($D243=TODAY(),"Due today",IF(TODAY()-$D243&lt;IF('Start Here'!$C$16="",7,'Start Here'!$C$16),"Just overdue",IF(TODAY()-$D243&lt;IF('Start Here'!$C$17="",21,'Start Here'!$C$17),"First reminder",IF(TODAY()-$D243&lt;IF('Start Here'!$C$18="",45,'Start Here'!$C$18),"Second reminder","Last friendly reminder"))))))))))</f>
        <v/>
      </c>
      <c r="T243" s="31"/>
      <c r="U243" s="30"/>
      <c r="V243" s="37" t="str">
        <f t="shared" si="31"/>
        <v/>
      </c>
      <c r="W243" s="40"/>
      <c r="X243" s="37" t="str">
        <f>IF($A243="","",IFERROR(VALUE(IF('Start Here'!$C$13="",$A243,SUBSTITUTE($A243,'Start Here'!$C$13,""))),""))</f>
        <v/>
      </c>
      <c r="Y243" s="37" t="str">
        <f t="shared" si="32"/>
        <v/>
      </c>
      <c r="Z243" s="37" t="str">
        <f t="shared" ca="1" si="33"/>
        <v/>
      </c>
      <c r="AA243" s="37" t="str">
        <f t="shared" si="34"/>
        <v/>
      </c>
      <c r="AB243" s="37" t="str">
        <f t="shared" ca="1" si="35"/>
        <v/>
      </c>
    </row>
    <row r="244" spans="1:28" ht="16" x14ac:dyDescent="0.2">
      <c r="A244" s="30"/>
      <c r="B244" s="31"/>
      <c r="C244" s="32"/>
      <c r="D244" s="33" t="str">
        <f>IF($B244="","",$B244+IF($C244="",IF('Start Here'!$C$15="",14,'Start Here'!$C$15),$C244))</f>
        <v/>
      </c>
      <c r="E244" s="30"/>
      <c r="F244" s="30"/>
      <c r="G244" s="30"/>
      <c r="H244" s="30"/>
      <c r="I244" s="34" t="str">
        <f>IF($A244="","",ROUND(SUMIF('Line Items'!$A$8:$A$507,$A244,'Line Items'!$H$8:$H$507),2))</f>
        <v/>
      </c>
      <c r="J244" s="35"/>
      <c r="K244" s="34" t="str">
        <f>IF($A244="","",ROUND($I244*IFERROR(IF($J244="",IF('Start Here'!$C$22="",0,'Start Here'!$C$22),$J244),0)/100,2))</f>
        <v/>
      </c>
      <c r="L244" s="34" t="str">
        <f t="shared" si="27"/>
        <v/>
      </c>
      <c r="M244" s="36"/>
      <c r="N244" s="31"/>
      <c r="O244" s="34" t="str">
        <f t="shared" si="28"/>
        <v/>
      </c>
      <c r="P244" s="30"/>
      <c r="Q244" s="37" t="str">
        <f t="shared" ca="1" si="29"/>
        <v/>
      </c>
      <c r="R244" s="38" t="str">
        <f t="shared" ca="1" si="30"/>
        <v/>
      </c>
      <c r="S244" s="37" t="str">
        <f ca="1">IF($A244="","",IF(OR($Q244="Paid",$Q244="Cancelled",$Q244="Draft"),"—",IF($Q244="No lines yet","Add line items",IF($Q244="No date","Add invoice date",IF($D244-TODAY()&gt;7,"—",IF($D244-TODAY()&gt;=1,"Due soon",IF($D244=TODAY(),"Due today",IF(TODAY()-$D244&lt;IF('Start Here'!$C$16="",7,'Start Here'!$C$16),"Just overdue",IF(TODAY()-$D244&lt;IF('Start Here'!$C$17="",21,'Start Here'!$C$17),"First reminder",IF(TODAY()-$D244&lt;IF('Start Here'!$C$18="",45,'Start Here'!$C$18),"Second reminder","Last friendly reminder"))))))))))</f>
        <v/>
      </c>
      <c r="T244" s="31"/>
      <c r="U244" s="30"/>
      <c r="V244" s="37" t="str">
        <f t="shared" si="31"/>
        <v/>
      </c>
      <c r="W244" s="39"/>
      <c r="X244" s="37" t="str">
        <f>IF($A244="","",IFERROR(VALUE(IF('Start Here'!$C$13="",$A244,SUBSTITUTE($A244,'Start Here'!$C$13,""))),""))</f>
        <v/>
      </c>
      <c r="Y244" s="37" t="str">
        <f t="shared" si="32"/>
        <v/>
      </c>
      <c r="Z244" s="37" t="str">
        <f t="shared" ca="1" si="33"/>
        <v/>
      </c>
      <c r="AA244" s="37" t="str">
        <f t="shared" si="34"/>
        <v/>
      </c>
      <c r="AB244" s="37" t="str">
        <f t="shared" ca="1" si="35"/>
        <v/>
      </c>
    </row>
    <row r="245" spans="1:28" ht="16" x14ac:dyDescent="0.2">
      <c r="A245" s="30"/>
      <c r="B245" s="31"/>
      <c r="C245" s="32"/>
      <c r="D245" s="33" t="str">
        <f>IF($B245="","",$B245+IF($C245="",IF('Start Here'!$C$15="",14,'Start Here'!$C$15),$C245))</f>
        <v/>
      </c>
      <c r="E245" s="30"/>
      <c r="F245" s="30"/>
      <c r="G245" s="30"/>
      <c r="H245" s="30"/>
      <c r="I245" s="34" t="str">
        <f>IF($A245="","",ROUND(SUMIF('Line Items'!$A$8:$A$507,$A245,'Line Items'!$H$8:$H$507),2))</f>
        <v/>
      </c>
      <c r="J245" s="35"/>
      <c r="K245" s="34" t="str">
        <f>IF($A245="","",ROUND($I245*IFERROR(IF($J245="",IF('Start Here'!$C$22="",0,'Start Here'!$C$22),$J245),0)/100,2))</f>
        <v/>
      </c>
      <c r="L245" s="34" t="str">
        <f t="shared" si="27"/>
        <v/>
      </c>
      <c r="M245" s="36"/>
      <c r="N245" s="31"/>
      <c r="O245" s="34" t="str">
        <f t="shared" si="28"/>
        <v/>
      </c>
      <c r="P245" s="30"/>
      <c r="Q245" s="37" t="str">
        <f t="shared" ca="1" si="29"/>
        <v/>
      </c>
      <c r="R245" s="38" t="str">
        <f t="shared" ca="1" si="30"/>
        <v/>
      </c>
      <c r="S245" s="37" t="str">
        <f ca="1">IF($A245="","",IF(OR($Q245="Paid",$Q245="Cancelled",$Q245="Draft"),"—",IF($Q245="No lines yet","Add line items",IF($Q245="No date","Add invoice date",IF($D245-TODAY()&gt;7,"—",IF($D245-TODAY()&gt;=1,"Due soon",IF($D245=TODAY(),"Due today",IF(TODAY()-$D245&lt;IF('Start Here'!$C$16="",7,'Start Here'!$C$16),"Just overdue",IF(TODAY()-$D245&lt;IF('Start Here'!$C$17="",21,'Start Here'!$C$17),"First reminder",IF(TODAY()-$D245&lt;IF('Start Here'!$C$18="",45,'Start Here'!$C$18),"Second reminder","Last friendly reminder"))))))))))</f>
        <v/>
      </c>
      <c r="T245" s="31"/>
      <c r="U245" s="30"/>
      <c r="V245" s="37" t="str">
        <f t="shared" si="31"/>
        <v/>
      </c>
      <c r="W245" s="40"/>
      <c r="X245" s="37" t="str">
        <f>IF($A245="","",IFERROR(VALUE(IF('Start Here'!$C$13="",$A245,SUBSTITUTE($A245,'Start Here'!$C$13,""))),""))</f>
        <v/>
      </c>
      <c r="Y245" s="37" t="str">
        <f t="shared" si="32"/>
        <v/>
      </c>
      <c r="Z245" s="37" t="str">
        <f t="shared" ca="1" si="33"/>
        <v/>
      </c>
      <c r="AA245" s="37" t="str">
        <f t="shared" si="34"/>
        <v/>
      </c>
      <c r="AB245" s="37" t="str">
        <f t="shared" ca="1" si="35"/>
        <v/>
      </c>
    </row>
    <row r="246" spans="1:28" ht="16" x14ac:dyDescent="0.2">
      <c r="A246" s="30"/>
      <c r="B246" s="31"/>
      <c r="C246" s="32"/>
      <c r="D246" s="33" t="str">
        <f>IF($B246="","",$B246+IF($C246="",IF('Start Here'!$C$15="",14,'Start Here'!$C$15),$C246))</f>
        <v/>
      </c>
      <c r="E246" s="30"/>
      <c r="F246" s="30"/>
      <c r="G246" s="30"/>
      <c r="H246" s="30"/>
      <c r="I246" s="34" t="str">
        <f>IF($A246="","",ROUND(SUMIF('Line Items'!$A$8:$A$507,$A246,'Line Items'!$H$8:$H$507),2))</f>
        <v/>
      </c>
      <c r="J246" s="35"/>
      <c r="K246" s="34" t="str">
        <f>IF($A246="","",ROUND($I246*IFERROR(IF($J246="",IF('Start Here'!$C$22="",0,'Start Here'!$C$22),$J246),0)/100,2))</f>
        <v/>
      </c>
      <c r="L246" s="34" t="str">
        <f t="shared" si="27"/>
        <v/>
      </c>
      <c r="M246" s="36"/>
      <c r="N246" s="31"/>
      <c r="O246" s="34" t="str">
        <f t="shared" si="28"/>
        <v/>
      </c>
      <c r="P246" s="30"/>
      <c r="Q246" s="37" t="str">
        <f t="shared" ca="1" si="29"/>
        <v/>
      </c>
      <c r="R246" s="38" t="str">
        <f t="shared" ca="1" si="30"/>
        <v/>
      </c>
      <c r="S246" s="37" t="str">
        <f ca="1">IF($A246="","",IF(OR($Q246="Paid",$Q246="Cancelled",$Q246="Draft"),"—",IF($Q246="No lines yet","Add line items",IF($Q246="No date","Add invoice date",IF($D246-TODAY()&gt;7,"—",IF($D246-TODAY()&gt;=1,"Due soon",IF($D246=TODAY(),"Due today",IF(TODAY()-$D246&lt;IF('Start Here'!$C$16="",7,'Start Here'!$C$16),"Just overdue",IF(TODAY()-$D246&lt;IF('Start Here'!$C$17="",21,'Start Here'!$C$17),"First reminder",IF(TODAY()-$D246&lt;IF('Start Here'!$C$18="",45,'Start Here'!$C$18),"Second reminder","Last friendly reminder"))))))))))</f>
        <v/>
      </c>
      <c r="T246" s="31"/>
      <c r="U246" s="30"/>
      <c r="V246" s="37" t="str">
        <f t="shared" si="31"/>
        <v/>
      </c>
      <c r="W246" s="39"/>
      <c r="X246" s="37" t="str">
        <f>IF($A246="","",IFERROR(VALUE(IF('Start Here'!$C$13="",$A246,SUBSTITUTE($A246,'Start Here'!$C$13,""))),""))</f>
        <v/>
      </c>
      <c r="Y246" s="37" t="str">
        <f t="shared" si="32"/>
        <v/>
      </c>
      <c r="Z246" s="37" t="str">
        <f t="shared" ca="1" si="33"/>
        <v/>
      </c>
      <c r="AA246" s="37" t="str">
        <f t="shared" si="34"/>
        <v/>
      </c>
      <c r="AB246" s="37" t="str">
        <f t="shared" ca="1" si="35"/>
        <v/>
      </c>
    </row>
    <row r="247" spans="1:28" ht="16" x14ac:dyDescent="0.2">
      <c r="A247" s="30"/>
      <c r="B247" s="31"/>
      <c r="C247" s="32"/>
      <c r="D247" s="33" t="str">
        <f>IF($B247="","",$B247+IF($C247="",IF('Start Here'!$C$15="",14,'Start Here'!$C$15),$C247))</f>
        <v/>
      </c>
      <c r="E247" s="30"/>
      <c r="F247" s="30"/>
      <c r="G247" s="30"/>
      <c r="H247" s="30"/>
      <c r="I247" s="34" t="str">
        <f>IF($A247="","",ROUND(SUMIF('Line Items'!$A$8:$A$507,$A247,'Line Items'!$H$8:$H$507),2))</f>
        <v/>
      </c>
      <c r="J247" s="35"/>
      <c r="K247" s="34" t="str">
        <f>IF($A247="","",ROUND($I247*IFERROR(IF($J247="",IF('Start Here'!$C$22="",0,'Start Here'!$C$22),$J247),0)/100,2))</f>
        <v/>
      </c>
      <c r="L247" s="34" t="str">
        <f t="shared" si="27"/>
        <v/>
      </c>
      <c r="M247" s="36"/>
      <c r="N247" s="31"/>
      <c r="O247" s="34" t="str">
        <f t="shared" si="28"/>
        <v/>
      </c>
      <c r="P247" s="30"/>
      <c r="Q247" s="37" t="str">
        <f t="shared" ca="1" si="29"/>
        <v/>
      </c>
      <c r="R247" s="38" t="str">
        <f t="shared" ca="1" si="30"/>
        <v/>
      </c>
      <c r="S247" s="37" t="str">
        <f ca="1">IF($A247="","",IF(OR($Q247="Paid",$Q247="Cancelled",$Q247="Draft"),"—",IF($Q247="No lines yet","Add line items",IF($Q247="No date","Add invoice date",IF($D247-TODAY()&gt;7,"—",IF($D247-TODAY()&gt;=1,"Due soon",IF($D247=TODAY(),"Due today",IF(TODAY()-$D247&lt;IF('Start Here'!$C$16="",7,'Start Here'!$C$16),"Just overdue",IF(TODAY()-$D247&lt;IF('Start Here'!$C$17="",21,'Start Here'!$C$17),"First reminder",IF(TODAY()-$D247&lt;IF('Start Here'!$C$18="",45,'Start Here'!$C$18),"Second reminder","Last friendly reminder"))))))))))</f>
        <v/>
      </c>
      <c r="T247" s="31"/>
      <c r="U247" s="30"/>
      <c r="V247" s="37" t="str">
        <f t="shared" si="31"/>
        <v/>
      </c>
      <c r="W247" s="40"/>
      <c r="X247" s="37" t="str">
        <f>IF($A247="","",IFERROR(VALUE(IF('Start Here'!$C$13="",$A247,SUBSTITUTE($A247,'Start Here'!$C$13,""))),""))</f>
        <v/>
      </c>
      <c r="Y247" s="37" t="str">
        <f t="shared" si="32"/>
        <v/>
      </c>
      <c r="Z247" s="37" t="str">
        <f t="shared" ca="1" si="33"/>
        <v/>
      </c>
      <c r="AA247" s="37" t="str">
        <f t="shared" si="34"/>
        <v/>
      </c>
      <c r="AB247" s="37" t="str">
        <f t="shared" ca="1" si="35"/>
        <v/>
      </c>
    </row>
    <row r="248" spans="1:28" ht="16" x14ac:dyDescent="0.2">
      <c r="A248" s="30"/>
      <c r="B248" s="31"/>
      <c r="C248" s="32"/>
      <c r="D248" s="33" t="str">
        <f>IF($B248="","",$B248+IF($C248="",IF('Start Here'!$C$15="",14,'Start Here'!$C$15),$C248))</f>
        <v/>
      </c>
      <c r="E248" s="30"/>
      <c r="F248" s="30"/>
      <c r="G248" s="30"/>
      <c r="H248" s="30"/>
      <c r="I248" s="34" t="str">
        <f>IF($A248="","",ROUND(SUMIF('Line Items'!$A$8:$A$507,$A248,'Line Items'!$H$8:$H$507),2))</f>
        <v/>
      </c>
      <c r="J248" s="35"/>
      <c r="K248" s="34" t="str">
        <f>IF($A248="","",ROUND($I248*IFERROR(IF($J248="",IF('Start Here'!$C$22="",0,'Start Here'!$C$22),$J248),0)/100,2))</f>
        <v/>
      </c>
      <c r="L248" s="34" t="str">
        <f t="shared" si="27"/>
        <v/>
      </c>
      <c r="M248" s="36"/>
      <c r="N248" s="31"/>
      <c r="O248" s="34" t="str">
        <f t="shared" si="28"/>
        <v/>
      </c>
      <c r="P248" s="30"/>
      <c r="Q248" s="37" t="str">
        <f t="shared" ca="1" si="29"/>
        <v/>
      </c>
      <c r="R248" s="38" t="str">
        <f t="shared" ca="1" si="30"/>
        <v/>
      </c>
      <c r="S248" s="37" t="str">
        <f ca="1">IF($A248="","",IF(OR($Q248="Paid",$Q248="Cancelled",$Q248="Draft"),"—",IF($Q248="No lines yet","Add line items",IF($Q248="No date","Add invoice date",IF($D248-TODAY()&gt;7,"—",IF($D248-TODAY()&gt;=1,"Due soon",IF($D248=TODAY(),"Due today",IF(TODAY()-$D248&lt;IF('Start Here'!$C$16="",7,'Start Here'!$C$16),"Just overdue",IF(TODAY()-$D248&lt;IF('Start Here'!$C$17="",21,'Start Here'!$C$17),"First reminder",IF(TODAY()-$D248&lt;IF('Start Here'!$C$18="",45,'Start Here'!$C$18),"Second reminder","Last friendly reminder"))))))))))</f>
        <v/>
      </c>
      <c r="T248" s="31"/>
      <c r="U248" s="30"/>
      <c r="V248" s="37" t="str">
        <f t="shared" si="31"/>
        <v/>
      </c>
      <c r="W248" s="39"/>
      <c r="X248" s="37" t="str">
        <f>IF($A248="","",IFERROR(VALUE(IF('Start Here'!$C$13="",$A248,SUBSTITUTE($A248,'Start Here'!$C$13,""))),""))</f>
        <v/>
      </c>
      <c r="Y248" s="37" t="str">
        <f t="shared" si="32"/>
        <v/>
      </c>
      <c r="Z248" s="37" t="str">
        <f t="shared" ca="1" si="33"/>
        <v/>
      </c>
      <c r="AA248" s="37" t="str">
        <f t="shared" si="34"/>
        <v/>
      </c>
      <c r="AB248" s="37" t="str">
        <f t="shared" ca="1" si="35"/>
        <v/>
      </c>
    </row>
    <row r="249" spans="1:28" ht="16" x14ac:dyDescent="0.2">
      <c r="A249" s="30"/>
      <c r="B249" s="31"/>
      <c r="C249" s="32"/>
      <c r="D249" s="33" t="str">
        <f>IF($B249="","",$B249+IF($C249="",IF('Start Here'!$C$15="",14,'Start Here'!$C$15),$C249))</f>
        <v/>
      </c>
      <c r="E249" s="30"/>
      <c r="F249" s="30"/>
      <c r="G249" s="30"/>
      <c r="H249" s="30"/>
      <c r="I249" s="34" t="str">
        <f>IF($A249="","",ROUND(SUMIF('Line Items'!$A$8:$A$507,$A249,'Line Items'!$H$8:$H$507),2))</f>
        <v/>
      </c>
      <c r="J249" s="35"/>
      <c r="K249" s="34" t="str">
        <f>IF($A249="","",ROUND($I249*IFERROR(IF($J249="",IF('Start Here'!$C$22="",0,'Start Here'!$C$22),$J249),0)/100,2))</f>
        <v/>
      </c>
      <c r="L249" s="34" t="str">
        <f t="shared" si="27"/>
        <v/>
      </c>
      <c r="M249" s="36"/>
      <c r="N249" s="31"/>
      <c r="O249" s="34" t="str">
        <f t="shared" si="28"/>
        <v/>
      </c>
      <c r="P249" s="30"/>
      <c r="Q249" s="37" t="str">
        <f t="shared" ca="1" si="29"/>
        <v/>
      </c>
      <c r="R249" s="38" t="str">
        <f t="shared" ca="1" si="30"/>
        <v/>
      </c>
      <c r="S249" s="37" t="str">
        <f ca="1">IF($A249="","",IF(OR($Q249="Paid",$Q249="Cancelled",$Q249="Draft"),"—",IF($Q249="No lines yet","Add line items",IF($Q249="No date","Add invoice date",IF($D249-TODAY()&gt;7,"—",IF($D249-TODAY()&gt;=1,"Due soon",IF($D249=TODAY(),"Due today",IF(TODAY()-$D249&lt;IF('Start Here'!$C$16="",7,'Start Here'!$C$16),"Just overdue",IF(TODAY()-$D249&lt;IF('Start Here'!$C$17="",21,'Start Here'!$C$17),"First reminder",IF(TODAY()-$D249&lt;IF('Start Here'!$C$18="",45,'Start Here'!$C$18),"Second reminder","Last friendly reminder"))))))))))</f>
        <v/>
      </c>
      <c r="T249" s="31"/>
      <c r="U249" s="30"/>
      <c r="V249" s="37" t="str">
        <f t="shared" si="31"/>
        <v/>
      </c>
      <c r="W249" s="40"/>
      <c r="X249" s="37" t="str">
        <f>IF($A249="","",IFERROR(VALUE(IF('Start Here'!$C$13="",$A249,SUBSTITUTE($A249,'Start Here'!$C$13,""))),""))</f>
        <v/>
      </c>
      <c r="Y249" s="37" t="str">
        <f t="shared" si="32"/>
        <v/>
      </c>
      <c r="Z249" s="37" t="str">
        <f t="shared" ca="1" si="33"/>
        <v/>
      </c>
      <c r="AA249" s="37" t="str">
        <f t="shared" si="34"/>
        <v/>
      </c>
      <c r="AB249" s="37" t="str">
        <f t="shared" ca="1" si="35"/>
        <v/>
      </c>
    </row>
    <row r="250" spans="1:28" ht="16" x14ac:dyDescent="0.2">
      <c r="A250" s="30"/>
      <c r="B250" s="31"/>
      <c r="C250" s="32"/>
      <c r="D250" s="33" t="str">
        <f>IF($B250="","",$B250+IF($C250="",IF('Start Here'!$C$15="",14,'Start Here'!$C$15),$C250))</f>
        <v/>
      </c>
      <c r="E250" s="30"/>
      <c r="F250" s="30"/>
      <c r="G250" s="30"/>
      <c r="H250" s="30"/>
      <c r="I250" s="34" t="str">
        <f>IF($A250="","",ROUND(SUMIF('Line Items'!$A$8:$A$507,$A250,'Line Items'!$H$8:$H$507),2))</f>
        <v/>
      </c>
      <c r="J250" s="35"/>
      <c r="K250" s="34" t="str">
        <f>IF($A250="","",ROUND($I250*IFERROR(IF($J250="",IF('Start Here'!$C$22="",0,'Start Here'!$C$22),$J250),0)/100,2))</f>
        <v/>
      </c>
      <c r="L250" s="34" t="str">
        <f t="shared" si="27"/>
        <v/>
      </c>
      <c r="M250" s="36"/>
      <c r="N250" s="31"/>
      <c r="O250" s="34" t="str">
        <f t="shared" si="28"/>
        <v/>
      </c>
      <c r="P250" s="30"/>
      <c r="Q250" s="37" t="str">
        <f t="shared" ca="1" si="29"/>
        <v/>
      </c>
      <c r="R250" s="38" t="str">
        <f t="shared" ca="1" si="30"/>
        <v/>
      </c>
      <c r="S250" s="37" t="str">
        <f ca="1">IF($A250="","",IF(OR($Q250="Paid",$Q250="Cancelled",$Q250="Draft"),"—",IF($Q250="No lines yet","Add line items",IF($Q250="No date","Add invoice date",IF($D250-TODAY()&gt;7,"—",IF($D250-TODAY()&gt;=1,"Due soon",IF($D250=TODAY(),"Due today",IF(TODAY()-$D250&lt;IF('Start Here'!$C$16="",7,'Start Here'!$C$16),"Just overdue",IF(TODAY()-$D250&lt;IF('Start Here'!$C$17="",21,'Start Here'!$C$17),"First reminder",IF(TODAY()-$D250&lt;IF('Start Here'!$C$18="",45,'Start Here'!$C$18),"Second reminder","Last friendly reminder"))))))))))</f>
        <v/>
      </c>
      <c r="T250" s="31"/>
      <c r="U250" s="30"/>
      <c r="V250" s="37" t="str">
        <f t="shared" si="31"/>
        <v/>
      </c>
      <c r="W250" s="39"/>
      <c r="X250" s="37" t="str">
        <f>IF($A250="","",IFERROR(VALUE(IF('Start Here'!$C$13="",$A250,SUBSTITUTE($A250,'Start Here'!$C$13,""))),""))</f>
        <v/>
      </c>
      <c r="Y250" s="37" t="str">
        <f t="shared" si="32"/>
        <v/>
      </c>
      <c r="Z250" s="37" t="str">
        <f t="shared" ca="1" si="33"/>
        <v/>
      </c>
      <c r="AA250" s="37" t="str">
        <f t="shared" si="34"/>
        <v/>
      </c>
      <c r="AB250" s="37" t="str">
        <f t="shared" ca="1" si="35"/>
        <v/>
      </c>
    </row>
    <row r="251" spans="1:28" ht="16" x14ac:dyDescent="0.2">
      <c r="A251" s="30"/>
      <c r="B251" s="31"/>
      <c r="C251" s="32"/>
      <c r="D251" s="33" t="str">
        <f>IF($B251="","",$B251+IF($C251="",IF('Start Here'!$C$15="",14,'Start Here'!$C$15),$C251))</f>
        <v/>
      </c>
      <c r="E251" s="30"/>
      <c r="F251" s="30"/>
      <c r="G251" s="30"/>
      <c r="H251" s="30"/>
      <c r="I251" s="34" t="str">
        <f>IF($A251="","",ROUND(SUMIF('Line Items'!$A$8:$A$507,$A251,'Line Items'!$H$8:$H$507),2))</f>
        <v/>
      </c>
      <c r="J251" s="35"/>
      <c r="K251" s="34" t="str">
        <f>IF($A251="","",ROUND($I251*IFERROR(IF($J251="",IF('Start Here'!$C$22="",0,'Start Here'!$C$22),$J251),0)/100,2))</f>
        <v/>
      </c>
      <c r="L251" s="34" t="str">
        <f t="shared" si="27"/>
        <v/>
      </c>
      <c r="M251" s="36"/>
      <c r="N251" s="31"/>
      <c r="O251" s="34" t="str">
        <f t="shared" si="28"/>
        <v/>
      </c>
      <c r="P251" s="30"/>
      <c r="Q251" s="37" t="str">
        <f t="shared" ca="1" si="29"/>
        <v/>
      </c>
      <c r="R251" s="38" t="str">
        <f t="shared" ca="1" si="30"/>
        <v/>
      </c>
      <c r="S251" s="37" t="str">
        <f ca="1">IF($A251="","",IF(OR($Q251="Paid",$Q251="Cancelled",$Q251="Draft"),"—",IF($Q251="No lines yet","Add line items",IF($Q251="No date","Add invoice date",IF($D251-TODAY()&gt;7,"—",IF($D251-TODAY()&gt;=1,"Due soon",IF($D251=TODAY(),"Due today",IF(TODAY()-$D251&lt;IF('Start Here'!$C$16="",7,'Start Here'!$C$16),"Just overdue",IF(TODAY()-$D251&lt;IF('Start Here'!$C$17="",21,'Start Here'!$C$17),"First reminder",IF(TODAY()-$D251&lt;IF('Start Here'!$C$18="",45,'Start Here'!$C$18),"Second reminder","Last friendly reminder"))))))))))</f>
        <v/>
      </c>
      <c r="T251" s="31"/>
      <c r="U251" s="30"/>
      <c r="V251" s="37" t="str">
        <f t="shared" si="31"/>
        <v/>
      </c>
      <c r="W251" s="40"/>
      <c r="X251" s="37" t="str">
        <f>IF($A251="","",IFERROR(VALUE(IF('Start Here'!$C$13="",$A251,SUBSTITUTE($A251,'Start Here'!$C$13,""))),""))</f>
        <v/>
      </c>
      <c r="Y251" s="37" t="str">
        <f t="shared" si="32"/>
        <v/>
      </c>
      <c r="Z251" s="37" t="str">
        <f t="shared" ca="1" si="33"/>
        <v/>
      </c>
      <c r="AA251" s="37" t="str">
        <f t="shared" si="34"/>
        <v/>
      </c>
      <c r="AB251" s="37" t="str">
        <f t="shared" ca="1" si="35"/>
        <v/>
      </c>
    </row>
    <row r="252" spans="1:28" ht="16" x14ac:dyDescent="0.2">
      <c r="A252" s="30"/>
      <c r="B252" s="31"/>
      <c r="C252" s="32"/>
      <c r="D252" s="33" t="str">
        <f>IF($B252="","",$B252+IF($C252="",IF('Start Here'!$C$15="",14,'Start Here'!$C$15),$C252))</f>
        <v/>
      </c>
      <c r="E252" s="30"/>
      <c r="F252" s="30"/>
      <c r="G252" s="30"/>
      <c r="H252" s="30"/>
      <c r="I252" s="34" t="str">
        <f>IF($A252="","",ROUND(SUMIF('Line Items'!$A$8:$A$507,$A252,'Line Items'!$H$8:$H$507),2))</f>
        <v/>
      </c>
      <c r="J252" s="35"/>
      <c r="K252" s="34" t="str">
        <f>IF($A252="","",ROUND($I252*IFERROR(IF($J252="",IF('Start Here'!$C$22="",0,'Start Here'!$C$22),$J252),0)/100,2))</f>
        <v/>
      </c>
      <c r="L252" s="34" t="str">
        <f t="shared" si="27"/>
        <v/>
      </c>
      <c r="M252" s="36"/>
      <c r="N252" s="31"/>
      <c r="O252" s="34" t="str">
        <f t="shared" si="28"/>
        <v/>
      </c>
      <c r="P252" s="30"/>
      <c r="Q252" s="37" t="str">
        <f t="shared" ca="1" si="29"/>
        <v/>
      </c>
      <c r="R252" s="38" t="str">
        <f t="shared" ca="1" si="30"/>
        <v/>
      </c>
      <c r="S252" s="37" t="str">
        <f ca="1">IF($A252="","",IF(OR($Q252="Paid",$Q252="Cancelled",$Q252="Draft"),"—",IF($Q252="No lines yet","Add line items",IF($Q252="No date","Add invoice date",IF($D252-TODAY()&gt;7,"—",IF($D252-TODAY()&gt;=1,"Due soon",IF($D252=TODAY(),"Due today",IF(TODAY()-$D252&lt;IF('Start Here'!$C$16="",7,'Start Here'!$C$16),"Just overdue",IF(TODAY()-$D252&lt;IF('Start Here'!$C$17="",21,'Start Here'!$C$17),"First reminder",IF(TODAY()-$D252&lt;IF('Start Here'!$C$18="",45,'Start Here'!$C$18),"Second reminder","Last friendly reminder"))))))))))</f>
        <v/>
      </c>
      <c r="T252" s="31"/>
      <c r="U252" s="30"/>
      <c r="V252" s="37" t="str">
        <f t="shared" si="31"/>
        <v/>
      </c>
      <c r="W252" s="39"/>
      <c r="X252" s="37" t="str">
        <f>IF($A252="","",IFERROR(VALUE(IF('Start Here'!$C$13="",$A252,SUBSTITUTE($A252,'Start Here'!$C$13,""))),""))</f>
        <v/>
      </c>
      <c r="Y252" s="37" t="str">
        <f t="shared" si="32"/>
        <v/>
      </c>
      <c r="Z252" s="37" t="str">
        <f t="shared" ca="1" si="33"/>
        <v/>
      </c>
      <c r="AA252" s="37" t="str">
        <f t="shared" si="34"/>
        <v/>
      </c>
      <c r="AB252" s="37" t="str">
        <f t="shared" ca="1" si="35"/>
        <v/>
      </c>
    </row>
    <row r="253" spans="1:28" ht="16" x14ac:dyDescent="0.2">
      <c r="A253" s="30"/>
      <c r="B253" s="31"/>
      <c r="C253" s="32"/>
      <c r="D253" s="33" t="str">
        <f>IF($B253="","",$B253+IF($C253="",IF('Start Here'!$C$15="",14,'Start Here'!$C$15),$C253))</f>
        <v/>
      </c>
      <c r="E253" s="30"/>
      <c r="F253" s="30"/>
      <c r="G253" s="30"/>
      <c r="H253" s="30"/>
      <c r="I253" s="34" t="str">
        <f>IF($A253="","",ROUND(SUMIF('Line Items'!$A$8:$A$507,$A253,'Line Items'!$H$8:$H$507),2))</f>
        <v/>
      </c>
      <c r="J253" s="35"/>
      <c r="K253" s="34" t="str">
        <f>IF($A253="","",ROUND($I253*IFERROR(IF($J253="",IF('Start Here'!$C$22="",0,'Start Here'!$C$22),$J253),0)/100,2))</f>
        <v/>
      </c>
      <c r="L253" s="34" t="str">
        <f t="shared" si="27"/>
        <v/>
      </c>
      <c r="M253" s="36"/>
      <c r="N253" s="31"/>
      <c r="O253" s="34" t="str">
        <f t="shared" si="28"/>
        <v/>
      </c>
      <c r="P253" s="30"/>
      <c r="Q253" s="37" t="str">
        <f t="shared" ca="1" si="29"/>
        <v/>
      </c>
      <c r="R253" s="38" t="str">
        <f t="shared" ca="1" si="30"/>
        <v/>
      </c>
      <c r="S253" s="37" t="str">
        <f ca="1">IF($A253="","",IF(OR($Q253="Paid",$Q253="Cancelled",$Q253="Draft"),"—",IF($Q253="No lines yet","Add line items",IF($Q253="No date","Add invoice date",IF($D253-TODAY()&gt;7,"—",IF($D253-TODAY()&gt;=1,"Due soon",IF($D253=TODAY(),"Due today",IF(TODAY()-$D253&lt;IF('Start Here'!$C$16="",7,'Start Here'!$C$16),"Just overdue",IF(TODAY()-$D253&lt;IF('Start Here'!$C$17="",21,'Start Here'!$C$17),"First reminder",IF(TODAY()-$D253&lt;IF('Start Here'!$C$18="",45,'Start Here'!$C$18),"Second reminder","Last friendly reminder"))))))))))</f>
        <v/>
      </c>
      <c r="T253" s="31"/>
      <c r="U253" s="30"/>
      <c r="V253" s="37" t="str">
        <f t="shared" si="31"/>
        <v/>
      </c>
      <c r="W253" s="40"/>
      <c r="X253" s="37" t="str">
        <f>IF($A253="","",IFERROR(VALUE(IF('Start Here'!$C$13="",$A253,SUBSTITUTE($A253,'Start Here'!$C$13,""))),""))</f>
        <v/>
      </c>
      <c r="Y253" s="37" t="str">
        <f t="shared" si="32"/>
        <v/>
      </c>
      <c r="Z253" s="37" t="str">
        <f t="shared" ca="1" si="33"/>
        <v/>
      </c>
      <c r="AA253" s="37" t="str">
        <f t="shared" si="34"/>
        <v/>
      </c>
      <c r="AB253" s="37" t="str">
        <f t="shared" ca="1" si="35"/>
        <v/>
      </c>
    </row>
    <row r="254" spans="1:28" ht="16" x14ac:dyDescent="0.2">
      <c r="A254" s="30"/>
      <c r="B254" s="31"/>
      <c r="C254" s="32"/>
      <c r="D254" s="33" t="str">
        <f>IF($B254="","",$B254+IF($C254="",IF('Start Here'!$C$15="",14,'Start Here'!$C$15),$C254))</f>
        <v/>
      </c>
      <c r="E254" s="30"/>
      <c r="F254" s="30"/>
      <c r="G254" s="30"/>
      <c r="H254" s="30"/>
      <c r="I254" s="34" t="str">
        <f>IF($A254="","",ROUND(SUMIF('Line Items'!$A$8:$A$507,$A254,'Line Items'!$H$8:$H$507),2))</f>
        <v/>
      </c>
      <c r="J254" s="35"/>
      <c r="K254" s="34" t="str">
        <f>IF($A254="","",ROUND($I254*IFERROR(IF($J254="",IF('Start Here'!$C$22="",0,'Start Here'!$C$22),$J254),0)/100,2))</f>
        <v/>
      </c>
      <c r="L254" s="34" t="str">
        <f t="shared" si="27"/>
        <v/>
      </c>
      <c r="M254" s="36"/>
      <c r="N254" s="31"/>
      <c r="O254" s="34" t="str">
        <f t="shared" si="28"/>
        <v/>
      </c>
      <c r="P254" s="30"/>
      <c r="Q254" s="37" t="str">
        <f t="shared" ca="1" si="29"/>
        <v/>
      </c>
      <c r="R254" s="38" t="str">
        <f t="shared" ca="1" si="30"/>
        <v/>
      </c>
      <c r="S254" s="37" t="str">
        <f ca="1">IF($A254="","",IF(OR($Q254="Paid",$Q254="Cancelled",$Q254="Draft"),"—",IF($Q254="No lines yet","Add line items",IF($Q254="No date","Add invoice date",IF($D254-TODAY()&gt;7,"—",IF($D254-TODAY()&gt;=1,"Due soon",IF($D254=TODAY(),"Due today",IF(TODAY()-$D254&lt;IF('Start Here'!$C$16="",7,'Start Here'!$C$16),"Just overdue",IF(TODAY()-$D254&lt;IF('Start Here'!$C$17="",21,'Start Here'!$C$17),"First reminder",IF(TODAY()-$D254&lt;IF('Start Here'!$C$18="",45,'Start Here'!$C$18),"Second reminder","Last friendly reminder"))))))))))</f>
        <v/>
      </c>
      <c r="T254" s="31"/>
      <c r="U254" s="30"/>
      <c r="V254" s="37" t="str">
        <f t="shared" si="31"/>
        <v/>
      </c>
      <c r="W254" s="39"/>
      <c r="X254" s="37" t="str">
        <f>IF($A254="","",IFERROR(VALUE(IF('Start Here'!$C$13="",$A254,SUBSTITUTE($A254,'Start Here'!$C$13,""))),""))</f>
        <v/>
      </c>
      <c r="Y254" s="37" t="str">
        <f t="shared" si="32"/>
        <v/>
      </c>
      <c r="Z254" s="37" t="str">
        <f t="shared" ca="1" si="33"/>
        <v/>
      </c>
      <c r="AA254" s="37" t="str">
        <f t="shared" si="34"/>
        <v/>
      </c>
      <c r="AB254" s="37" t="str">
        <f t="shared" ca="1" si="35"/>
        <v/>
      </c>
    </row>
    <row r="255" spans="1:28" ht="16" x14ac:dyDescent="0.2">
      <c r="A255" s="30"/>
      <c r="B255" s="31"/>
      <c r="C255" s="32"/>
      <c r="D255" s="33" t="str">
        <f>IF($B255="","",$B255+IF($C255="",IF('Start Here'!$C$15="",14,'Start Here'!$C$15),$C255))</f>
        <v/>
      </c>
      <c r="E255" s="30"/>
      <c r="F255" s="30"/>
      <c r="G255" s="30"/>
      <c r="H255" s="30"/>
      <c r="I255" s="34" t="str">
        <f>IF($A255="","",ROUND(SUMIF('Line Items'!$A$8:$A$507,$A255,'Line Items'!$H$8:$H$507),2))</f>
        <v/>
      </c>
      <c r="J255" s="35"/>
      <c r="K255" s="34" t="str">
        <f>IF($A255="","",ROUND($I255*IFERROR(IF($J255="",IF('Start Here'!$C$22="",0,'Start Here'!$C$22),$J255),0)/100,2))</f>
        <v/>
      </c>
      <c r="L255" s="34" t="str">
        <f t="shared" si="27"/>
        <v/>
      </c>
      <c r="M255" s="36"/>
      <c r="N255" s="31"/>
      <c r="O255" s="34" t="str">
        <f t="shared" si="28"/>
        <v/>
      </c>
      <c r="P255" s="30"/>
      <c r="Q255" s="37" t="str">
        <f t="shared" ca="1" si="29"/>
        <v/>
      </c>
      <c r="R255" s="38" t="str">
        <f t="shared" ca="1" si="30"/>
        <v/>
      </c>
      <c r="S255" s="37" t="str">
        <f ca="1">IF($A255="","",IF(OR($Q255="Paid",$Q255="Cancelled",$Q255="Draft"),"—",IF($Q255="No lines yet","Add line items",IF($Q255="No date","Add invoice date",IF($D255-TODAY()&gt;7,"—",IF($D255-TODAY()&gt;=1,"Due soon",IF($D255=TODAY(),"Due today",IF(TODAY()-$D255&lt;IF('Start Here'!$C$16="",7,'Start Here'!$C$16),"Just overdue",IF(TODAY()-$D255&lt;IF('Start Here'!$C$17="",21,'Start Here'!$C$17),"First reminder",IF(TODAY()-$D255&lt;IF('Start Here'!$C$18="",45,'Start Here'!$C$18),"Second reminder","Last friendly reminder"))))))))))</f>
        <v/>
      </c>
      <c r="T255" s="31"/>
      <c r="U255" s="30"/>
      <c r="V255" s="37" t="str">
        <f t="shared" si="31"/>
        <v/>
      </c>
      <c r="W255" s="40"/>
      <c r="X255" s="37" t="str">
        <f>IF($A255="","",IFERROR(VALUE(IF('Start Here'!$C$13="",$A255,SUBSTITUTE($A255,'Start Here'!$C$13,""))),""))</f>
        <v/>
      </c>
      <c r="Y255" s="37" t="str">
        <f t="shared" si="32"/>
        <v/>
      </c>
      <c r="Z255" s="37" t="str">
        <f t="shared" ca="1" si="33"/>
        <v/>
      </c>
      <c r="AA255" s="37" t="str">
        <f t="shared" si="34"/>
        <v/>
      </c>
      <c r="AB255" s="37" t="str">
        <f t="shared" ca="1" si="35"/>
        <v/>
      </c>
    </row>
    <row r="256" spans="1:28" ht="16" x14ac:dyDescent="0.2">
      <c r="A256" s="30"/>
      <c r="B256" s="31"/>
      <c r="C256" s="32"/>
      <c r="D256" s="33" t="str">
        <f>IF($B256="","",$B256+IF($C256="",IF('Start Here'!$C$15="",14,'Start Here'!$C$15),$C256))</f>
        <v/>
      </c>
      <c r="E256" s="30"/>
      <c r="F256" s="30"/>
      <c r="G256" s="30"/>
      <c r="H256" s="30"/>
      <c r="I256" s="34" t="str">
        <f>IF($A256="","",ROUND(SUMIF('Line Items'!$A$8:$A$507,$A256,'Line Items'!$H$8:$H$507),2))</f>
        <v/>
      </c>
      <c r="J256" s="35"/>
      <c r="K256" s="34" t="str">
        <f>IF($A256="","",ROUND($I256*IFERROR(IF($J256="",IF('Start Here'!$C$22="",0,'Start Here'!$C$22),$J256),0)/100,2))</f>
        <v/>
      </c>
      <c r="L256" s="34" t="str">
        <f t="shared" si="27"/>
        <v/>
      </c>
      <c r="M256" s="36"/>
      <c r="N256" s="31"/>
      <c r="O256" s="34" t="str">
        <f t="shared" si="28"/>
        <v/>
      </c>
      <c r="P256" s="30"/>
      <c r="Q256" s="37" t="str">
        <f t="shared" ca="1" si="29"/>
        <v/>
      </c>
      <c r="R256" s="38" t="str">
        <f t="shared" ca="1" si="30"/>
        <v/>
      </c>
      <c r="S256" s="37" t="str">
        <f ca="1">IF($A256="","",IF(OR($Q256="Paid",$Q256="Cancelled",$Q256="Draft"),"—",IF($Q256="No lines yet","Add line items",IF($Q256="No date","Add invoice date",IF($D256-TODAY()&gt;7,"—",IF($D256-TODAY()&gt;=1,"Due soon",IF($D256=TODAY(),"Due today",IF(TODAY()-$D256&lt;IF('Start Here'!$C$16="",7,'Start Here'!$C$16),"Just overdue",IF(TODAY()-$D256&lt;IF('Start Here'!$C$17="",21,'Start Here'!$C$17),"First reminder",IF(TODAY()-$D256&lt;IF('Start Here'!$C$18="",45,'Start Here'!$C$18),"Second reminder","Last friendly reminder"))))))))))</f>
        <v/>
      </c>
      <c r="T256" s="31"/>
      <c r="U256" s="30"/>
      <c r="V256" s="37" t="str">
        <f t="shared" si="31"/>
        <v/>
      </c>
      <c r="W256" s="39"/>
      <c r="X256" s="37" t="str">
        <f>IF($A256="","",IFERROR(VALUE(IF('Start Here'!$C$13="",$A256,SUBSTITUTE($A256,'Start Here'!$C$13,""))),""))</f>
        <v/>
      </c>
      <c r="Y256" s="37" t="str">
        <f t="shared" si="32"/>
        <v/>
      </c>
      <c r="Z256" s="37" t="str">
        <f t="shared" ca="1" si="33"/>
        <v/>
      </c>
      <c r="AA256" s="37" t="str">
        <f t="shared" si="34"/>
        <v/>
      </c>
      <c r="AB256" s="37" t="str">
        <f t="shared" ca="1" si="35"/>
        <v/>
      </c>
    </row>
    <row r="257" spans="1:28" ht="16" x14ac:dyDescent="0.2">
      <c r="A257" s="30"/>
      <c r="B257" s="31"/>
      <c r="C257" s="32"/>
      <c r="D257" s="33" t="str">
        <f>IF($B257="","",$B257+IF($C257="",IF('Start Here'!$C$15="",14,'Start Here'!$C$15),$C257))</f>
        <v/>
      </c>
      <c r="E257" s="30"/>
      <c r="F257" s="30"/>
      <c r="G257" s="30"/>
      <c r="H257" s="30"/>
      <c r="I257" s="34" t="str">
        <f>IF($A257="","",ROUND(SUMIF('Line Items'!$A$8:$A$507,$A257,'Line Items'!$H$8:$H$507),2))</f>
        <v/>
      </c>
      <c r="J257" s="35"/>
      <c r="K257" s="34" t="str">
        <f>IF($A257="","",ROUND($I257*IFERROR(IF($J257="",IF('Start Here'!$C$22="",0,'Start Here'!$C$22),$J257),0)/100,2))</f>
        <v/>
      </c>
      <c r="L257" s="34" t="str">
        <f t="shared" si="27"/>
        <v/>
      </c>
      <c r="M257" s="36"/>
      <c r="N257" s="31"/>
      <c r="O257" s="34" t="str">
        <f t="shared" si="28"/>
        <v/>
      </c>
      <c r="P257" s="30"/>
      <c r="Q257" s="37" t="str">
        <f t="shared" ca="1" si="29"/>
        <v/>
      </c>
      <c r="R257" s="38" t="str">
        <f t="shared" ca="1" si="30"/>
        <v/>
      </c>
      <c r="S257" s="37" t="str">
        <f ca="1">IF($A257="","",IF(OR($Q257="Paid",$Q257="Cancelled",$Q257="Draft"),"—",IF($Q257="No lines yet","Add line items",IF($Q257="No date","Add invoice date",IF($D257-TODAY()&gt;7,"—",IF($D257-TODAY()&gt;=1,"Due soon",IF($D257=TODAY(),"Due today",IF(TODAY()-$D257&lt;IF('Start Here'!$C$16="",7,'Start Here'!$C$16),"Just overdue",IF(TODAY()-$D257&lt;IF('Start Here'!$C$17="",21,'Start Here'!$C$17),"First reminder",IF(TODAY()-$D257&lt;IF('Start Here'!$C$18="",45,'Start Here'!$C$18),"Second reminder","Last friendly reminder"))))))))))</f>
        <v/>
      </c>
      <c r="T257" s="31"/>
      <c r="U257" s="30"/>
      <c r="V257" s="37" t="str">
        <f t="shared" si="31"/>
        <v/>
      </c>
      <c r="W257" s="40"/>
      <c r="X257" s="37" t="str">
        <f>IF($A257="","",IFERROR(VALUE(IF('Start Here'!$C$13="",$A257,SUBSTITUTE($A257,'Start Here'!$C$13,""))),""))</f>
        <v/>
      </c>
      <c r="Y257" s="37" t="str">
        <f t="shared" si="32"/>
        <v/>
      </c>
      <c r="Z257" s="37" t="str">
        <f t="shared" ca="1" si="33"/>
        <v/>
      </c>
      <c r="AA257" s="37" t="str">
        <f t="shared" si="34"/>
        <v/>
      </c>
      <c r="AB257" s="37" t="str">
        <f t="shared" ca="1" si="35"/>
        <v/>
      </c>
    </row>
  </sheetData>
  <autoFilter ref="A7:V257" xr:uid="{00000000-0009-0000-0000-000002000000}"/>
  <mergeCells count="5">
    <mergeCell ref="A2:V2"/>
    <mergeCell ref="A5:V5"/>
    <mergeCell ref="A1:V1"/>
    <mergeCell ref="J4:V4"/>
    <mergeCell ref="A4:I4"/>
  </mergeCells>
  <conditionalFormatting sqref="A8:V257">
    <cfRule type="expression" dxfId="6" priority="2" stopIfTrue="1">
      <formula>$Q8="Overdue"</formula>
    </cfRule>
    <cfRule type="expression" dxfId="5" priority="3" stopIfTrue="1">
      <formula>$Q8="Paid"</formula>
    </cfRule>
  </conditionalFormatting>
  <conditionalFormatting sqref="V8:V257">
    <cfRule type="expression" dxfId="4" priority="1" stopIfTrue="1">
      <formula>LEN($V8)&gt;0</formula>
    </cfRule>
  </conditionalFormatting>
  <dataValidations count="3">
    <dataValidation type="decimal" errorStyle="warning" allowBlank="1" showErrorMessage="1" errorTitle="Plain number, please" error="Type a plain number: 10 means 10 %. This workbook has no tax rules of its own and gives no tax advice — leave it at 0 if that is right for you." sqref="J8:J257" xr:uid="{00000000-0002-0000-0200-000002000000}">
      <formula1>0</formula1>
      <formula2>100</formula2>
    </dataValidation>
    <dataValidation type="date" errorStyle="warning" operator="greaterThan" allowBlank="1" showErrorMessage="1" errorTitle="Date, please" error="Please enter a real date (yyyy-mm-dd)." sqref="B8:B257 T8:T257 N8:N257" xr:uid="{00000000-0002-0000-0200-000003000000}">
      <formula1>DATE(2000,1,1)</formula1>
    </dataValidation>
    <dataValidation type="decimal" errorStyle="warning" operator="greaterThanOrEqual" allowBlank="1" showErrorMessage="1" errorTitle="Never negative" error="Payments are never negative. For a credit note, create a separate invoice with negative line items." sqref="M8:M257" xr:uid="{00000000-0002-0000-0200-000006000000}">
      <formula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200-000000000000}">
          <x14:formula1>
            <xm:f>Lists!$A$1:$A$20</xm:f>
          </x14:formula1>
          <xm:sqref>P8:P257</xm:sqref>
        </x14:dataValidation>
        <x14:dataValidation type="list" allowBlank="1" xr:uid="{00000000-0002-0000-0200-000001000000}">
          <x14:formula1>
            <xm:f>Lists!$D$1:$D$20</xm:f>
          </x14:formula1>
          <xm:sqref>C8:C257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07"/>
  <sheetViews>
    <sheetView workbookViewId="0">
      <pane ySplit="7" topLeftCell="A8" activePane="bottomLeft" state="frozen"/>
      <selection pane="bottomLeft" activeCell="A8" sqref="A8"/>
    </sheetView>
  </sheetViews>
  <sheetFormatPr baseColWidth="10" defaultColWidth="8.83203125" defaultRowHeight="15" x14ac:dyDescent="0.2"/>
  <cols>
    <col min="1" max="1" width="14" customWidth="1"/>
    <col min="2" max="2" width="12" customWidth="1"/>
    <col min="3" max="3" width="52" customWidth="1"/>
    <col min="4" max="5" width="11" customWidth="1"/>
    <col min="6" max="6" width="13" customWidth="1"/>
    <col min="7" max="7" width="11" customWidth="1"/>
    <col min="8" max="8" width="14" customWidth="1"/>
    <col min="9" max="9" width="14" hidden="1" customWidth="1"/>
    <col min="10" max="10" width="26" customWidth="1"/>
  </cols>
  <sheetData>
    <row r="1" spans="1:10" ht="26" customHeight="1" x14ac:dyDescent="0.25">
      <c r="A1" s="80" t="s">
        <v>140</v>
      </c>
      <c r="B1" s="73"/>
      <c r="C1" s="73"/>
      <c r="D1" s="73"/>
      <c r="E1" s="73"/>
      <c r="F1" s="73"/>
      <c r="G1" s="73"/>
      <c r="H1" s="73"/>
      <c r="I1" s="73"/>
      <c r="J1" s="73"/>
    </row>
    <row r="2" spans="1:10" x14ac:dyDescent="0.2">
      <c r="A2" s="74" t="s">
        <v>141</v>
      </c>
      <c r="B2" s="73"/>
      <c r="C2" s="73"/>
      <c r="D2" s="73"/>
      <c r="E2" s="73"/>
      <c r="F2" s="73"/>
      <c r="G2" s="73"/>
      <c r="H2" s="73"/>
      <c r="I2" s="73"/>
      <c r="J2" s="73"/>
    </row>
    <row r="4" spans="1:10" x14ac:dyDescent="0.2">
      <c r="A4" s="85" t="s">
        <v>48</v>
      </c>
      <c r="B4" s="73"/>
      <c r="C4" s="73"/>
      <c r="D4" s="73"/>
      <c r="E4" s="73"/>
      <c r="F4" s="73"/>
      <c r="G4" s="73"/>
      <c r="H4" s="73"/>
      <c r="I4" s="73"/>
      <c r="J4" s="73"/>
    </row>
    <row r="5" spans="1:10" ht="16" customHeight="1" x14ac:dyDescent="0.2">
      <c r="A5" s="86" t="s">
        <v>142</v>
      </c>
      <c r="B5" s="73"/>
      <c r="C5" s="73"/>
      <c r="D5" s="73"/>
      <c r="E5" s="73"/>
      <c r="F5" s="73"/>
      <c r="G5" s="73"/>
      <c r="H5" s="73"/>
      <c r="I5" s="73"/>
      <c r="J5" s="73"/>
    </row>
    <row r="7" spans="1:10" ht="30" customHeight="1" x14ac:dyDescent="0.2">
      <c r="A7" s="26" t="s">
        <v>69</v>
      </c>
      <c r="B7" s="26" t="s">
        <v>143</v>
      </c>
      <c r="C7" s="26" t="s">
        <v>144</v>
      </c>
      <c r="D7" s="26" t="s">
        <v>145</v>
      </c>
      <c r="E7" s="26" t="s">
        <v>146</v>
      </c>
      <c r="F7" s="26" t="str">
        <f>IF('Start Here'!$C$12="","Unit price","Unit price ("&amp;'Start Here'!$C$12&amp;")")</f>
        <v>Unit price (€)</v>
      </c>
      <c r="G7" s="26" t="s">
        <v>147</v>
      </c>
      <c r="H7" s="26" t="str">
        <f>IF('Start Here'!$C$12="","Amount","Amount ("&amp;'Start Here'!$C$12&amp;")")</f>
        <v>Amount (€)</v>
      </c>
      <c r="I7" s="26" t="s">
        <v>148</v>
      </c>
      <c r="J7" s="26" t="s">
        <v>149</v>
      </c>
    </row>
    <row r="8" spans="1:10" ht="16" x14ac:dyDescent="0.2">
      <c r="A8" s="30" t="s">
        <v>96</v>
      </c>
      <c r="B8" s="31">
        <f ca="1">TODAY()-54</f>
        <v>46178</v>
      </c>
      <c r="C8" s="30" t="s">
        <v>150</v>
      </c>
      <c r="D8" s="41">
        <v>6</v>
      </c>
      <c r="E8" s="30" t="s">
        <v>151</v>
      </c>
      <c r="F8" s="36">
        <v>85</v>
      </c>
      <c r="G8" s="42"/>
      <c r="H8" s="34">
        <f t="shared" ref="H8:H71" si="0">IF($A8="","",ROUND(IF($D8="",0,$D8)*IF($F8="",0,$F8)*(1-IF($G8="",0,$G8)/100),2))</f>
        <v>510</v>
      </c>
      <c r="I8" s="37" t="str">
        <f>IF($A8="","",IF($A8&lt;&gt;'Invoice (print)'!$C$1,"",COUNTIF($A$8:$A8,$A8)))</f>
        <v/>
      </c>
      <c r="J8" s="37" t="str">
        <f>IF($A8="","",IF(COUNTIF(Invoices!$A$8:$A$257,$A8)=0,"Unknown invoice no.",IF($C8="","No description",IF($H8=0,"Amount is 0","OK"))))</f>
        <v>OK</v>
      </c>
    </row>
    <row r="9" spans="1:10" ht="16" x14ac:dyDescent="0.2">
      <c r="A9" s="30" t="s">
        <v>96</v>
      </c>
      <c r="B9" s="31">
        <f ca="1">TODAY()-54</f>
        <v>46178</v>
      </c>
      <c r="C9" s="30" t="s">
        <v>152</v>
      </c>
      <c r="D9" s="41">
        <v>1</v>
      </c>
      <c r="E9" s="30" t="s">
        <v>153</v>
      </c>
      <c r="F9" s="36">
        <v>640</v>
      </c>
      <c r="G9" s="42"/>
      <c r="H9" s="34">
        <f t="shared" si="0"/>
        <v>640</v>
      </c>
      <c r="I9" s="37" t="str">
        <f>IF($A9="","",IF($A9&lt;&gt;'Invoice (print)'!$C$1,"",COUNTIF($A$8:$A9,$A9)))</f>
        <v/>
      </c>
      <c r="J9" s="37" t="str">
        <f>IF($A9="","",IF(COUNTIF(Invoices!$A$8:$A$257,$A9)=0,"Unknown invoice no.",IF($C9="","No description",IF($H9=0,"Amount is 0","OK"))))</f>
        <v>OK</v>
      </c>
    </row>
    <row r="10" spans="1:10" ht="16" x14ac:dyDescent="0.2">
      <c r="A10" s="30" t="s">
        <v>96</v>
      </c>
      <c r="B10" s="31">
        <f ca="1">TODAY()-54</f>
        <v>46178</v>
      </c>
      <c r="C10" s="30" t="s">
        <v>154</v>
      </c>
      <c r="D10" s="41">
        <v>1</v>
      </c>
      <c r="E10" s="30" t="s">
        <v>155</v>
      </c>
      <c r="F10" s="36">
        <v>45</v>
      </c>
      <c r="G10" s="42"/>
      <c r="H10" s="34">
        <f t="shared" si="0"/>
        <v>45</v>
      </c>
      <c r="I10" s="37" t="str">
        <f>IF($A10="","",IF($A10&lt;&gt;'Invoice (print)'!$C$1,"",COUNTIF($A$8:$A10,$A10)))</f>
        <v/>
      </c>
      <c r="J10" s="37" t="str">
        <f>IF($A10="","",IF(COUNTIF(Invoices!$A$8:$A$257,$A10)=0,"Unknown invoice no.",IF($C10="","No description",IF($H10=0,"Amount is 0","OK"))))</f>
        <v>OK</v>
      </c>
    </row>
    <row r="11" spans="1:10" ht="16" x14ac:dyDescent="0.2">
      <c r="A11" s="30" t="s">
        <v>102</v>
      </c>
      <c r="B11" s="31">
        <f ca="1">TODAY()-70</f>
        <v>46162</v>
      </c>
      <c r="C11" s="30" t="s">
        <v>156</v>
      </c>
      <c r="D11" s="41">
        <v>1</v>
      </c>
      <c r="E11" s="30" t="s">
        <v>157</v>
      </c>
      <c r="F11" s="36">
        <v>2400</v>
      </c>
      <c r="G11" s="42"/>
      <c r="H11" s="34">
        <f t="shared" si="0"/>
        <v>2400</v>
      </c>
      <c r="I11" s="37" t="str">
        <f>IF($A11="","",IF($A11&lt;&gt;'Invoice (print)'!$C$1,"",COUNTIF($A$8:$A11,$A11)))</f>
        <v/>
      </c>
      <c r="J11" s="37" t="str">
        <f>IF($A11="","",IF(COUNTIF(Invoices!$A$8:$A$257,$A11)=0,"Unknown invoice no.",IF($C11="","No description",IF($H11=0,"Amount is 0","OK"))))</f>
        <v>OK</v>
      </c>
    </row>
    <row r="12" spans="1:10" ht="16" x14ac:dyDescent="0.2">
      <c r="A12" s="30" t="s">
        <v>102</v>
      </c>
      <c r="B12" s="31">
        <f ca="1">TODAY()-68</f>
        <v>46164</v>
      </c>
      <c r="C12" s="30" t="s">
        <v>158</v>
      </c>
      <c r="D12" s="41">
        <v>4.5</v>
      </c>
      <c r="E12" s="30" t="s">
        <v>151</v>
      </c>
      <c r="F12" s="36">
        <v>85</v>
      </c>
      <c r="G12" s="42"/>
      <c r="H12" s="34">
        <f t="shared" si="0"/>
        <v>382.5</v>
      </c>
      <c r="I12" s="37" t="str">
        <f>IF($A12="","",IF($A12&lt;&gt;'Invoice (print)'!$C$1,"",COUNTIF($A$8:$A12,$A12)))</f>
        <v/>
      </c>
      <c r="J12" s="37" t="str">
        <f>IF($A12="","",IF(COUNTIF(Invoices!$A$8:$A$257,$A12)=0,"Unknown invoice no.",IF($C12="","No description",IF($H12=0,"Amount is 0","OK"))))</f>
        <v>OK</v>
      </c>
    </row>
    <row r="13" spans="1:10" ht="16" x14ac:dyDescent="0.2">
      <c r="A13" s="30" t="s">
        <v>102</v>
      </c>
      <c r="B13" s="31">
        <f ca="1">TODAY()-68</f>
        <v>46164</v>
      </c>
      <c r="C13" s="30" t="s">
        <v>159</v>
      </c>
      <c r="D13" s="41">
        <v>120</v>
      </c>
      <c r="E13" s="30" t="s">
        <v>160</v>
      </c>
      <c r="F13" s="36">
        <v>0.3</v>
      </c>
      <c r="G13" s="42"/>
      <c r="H13" s="34">
        <f t="shared" si="0"/>
        <v>36</v>
      </c>
      <c r="I13" s="37" t="str">
        <f>IF($A13="","",IF($A13&lt;&gt;'Invoice (print)'!$C$1,"",COUNTIF($A$8:$A13,$A13)))</f>
        <v/>
      </c>
      <c r="J13" s="37" t="str">
        <f>IF($A13="","",IF(COUNTIF(Invoices!$A$8:$A$257,$A13)=0,"Unknown invoice no.",IF($C13="","No description",IF($H13=0,"Amount is 0","OK"))))</f>
        <v>OK</v>
      </c>
    </row>
    <row r="14" spans="1:10" ht="16" x14ac:dyDescent="0.2">
      <c r="A14" s="30" t="s">
        <v>108</v>
      </c>
      <c r="B14" s="31">
        <f ca="1">TODAY()-26</f>
        <v>46206</v>
      </c>
      <c r="C14" s="30" t="s">
        <v>161</v>
      </c>
      <c r="D14" s="41">
        <v>8</v>
      </c>
      <c r="E14" s="30" t="s">
        <v>162</v>
      </c>
      <c r="F14" s="36">
        <v>120</v>
      </c>
      <c r="G14" s="42"/>
      <c r="H14" s="34">
        <f t="shared" si="0"/>
        <v>960</v>
      </c>
      <c r="I14" s="37" t="str">
        <f>IF($A14="","",IF($A14&lt;&gt;'Invoice (print)'!$C$1,"",COUNTIF($A$8:$A14,$A14)))</f>
        <v/>
      </c>
      <c r="J14" s="37" t="str">
        <f>IF($A14="","",IF(COUNTIF(Invoices!$A$8:$A$257,$A14)=0,"Unknown invoice no.",IF($C14="","No description",IF($H14=0,"Amount is 0","OK"))))</f>
        <v>OK</v>
      </c>
    </row>
    <row r="15" spans="1:10" ht="16" x14ac:dyDescent="0.2">
      <c r="A15" s="30" t="s">
        <v>108</v>
      </c>
      <c r="B15" s="31">
        <f ca="1">TODAY()-26</f>
        <v>46206</v>
      </c>
      <c r="C15" s="30" t="s">
        <v>163</v>
      </c>
      <c r="D15" s="41">
        <v>8</v>
      </c>
      <c r="E15" s="30" t="s">
        <v>162</v>
      </c>
      <c r="F15" s="36">
        <v>35</v>
      </c>
      <c r="G15" s="42"/>
      <c r="H15" s="34">
        <f t="shared" si="0"/>
        <v>280</v>
      </c>
      <c r="I15" s="37" t="str">
        <f>IF($A15="","",IF($A15&lt;&gt;'Invoice (print)'!$C$1,"",COUNTIF($A$8:$A15,$A15)))</f>
        <v/>
      </c>
      <c r="J15" s="37" t="str">
        <f>IF($A15="","",IF(COUNTIF(Invoices!$A$8:$A$257,$A15)=0,"Unknown invoice no.",IF($C15="","No description",IF($H15=0,"Amount is 0","OK"))))</f>
        <v>OK</v>
      </c>
    </row>
    <row r="16" spans="1:10" ht="16" x14ac:dyDescent="0.2">
      <c r="A16" s="30" t="s">
        <v>115</v>
      </c>
      <c r="B16" s="31">
        <f ca="1">TODAY()-52</f>
        <v>46180</v>
      </c>
      <c r="C16" s="30" t="s">
        <v>164</v>
      </c>
      <c r="D16" s="41">
        <v>12</v>
      </c>
      <c r="E16" s="30" t="s">
        <v>151</v>
      </c>
      <c r="F16" s="36">
        <v>85</v>
      </c>
      <c r="G16" s="42"/>
      <c r="H16" s="34">
        <f t="shared" si="0"/>
        <v>1020</v>
      </c>
      <c r="I16" s="37">
        <f>IF($A16="","",IF($A16&lt;&gt;'Invoice (print)'!$C$1,"",COUNTIF($A$8:$A16,$A16)))</f>
        <v>1</v>
      </c>
      <c r="J16" s="37" t="str">
        <f>IF($A16="","",IF(COUNTIF(Invoices!$A$8:$A$257,$A16)=0,"Unknown invoice no.",IF($C16="","No description",IF($H16=0,"Amount is 0","OK"))))</f>
        <v>OK</v>
      </c>
    </row>
    <row r="17" spans="1:10" ht="16" x14ac:dyDescent="0.2">
      <c r="A17" s="30" t="s">
        <v>115</v>
      </c>
      <c r="B17" s="31">
        <f ca="1">TODAY()-52</f>
        <v>46180</v>
      </c>
      <c r="C17" s="30" t="s">
        <v>165</v>
      </c>
      <c r="D17" s="41">
        <v>9</v>
      </c>
      <c r="E17" s="30" t="s">
        <v>166</v>
      </c>
      <c r="F17" s="36">
        <v>90</v>
      </c>
      <c r="G17" s="42">
        <v>10</v>
      </c>
      <c r="H17" s="34">
        <f t="shared" si="0"/>
        <v>729</v>
      </c>
      <c r="I17" s="37">
        <f>IF($A17="","",IF($A17&lt;&gt;'Invoice (print)'!$C$1,"",COUNTIF($A$8:$A17,$A17)))</f>
        <v>2</v>
      </c>
      <c r="J17" s="37" t="str">
        <f>IF($A17="","",IF(COUNTIF(Invoices!$A$8:$A$257,$A17)=0,"Unknown invoice no.",IF($C17="","No description",IF($H17=0,"Amount is 0","OK"))))</f>
        <v>OK</v>
      </c>
    </row>
    <row r="18" spans="1:10" ht="16" x14ac:dyDescent="0.2">
      <c r="A18" s="30" t="s">
        <v>115</v>
      </c>
      <c r="B18" s="31">
        <f ca="1">TODAY()-50</f>
        <v>46182</v>
      </c>
      <c r="C18" s="30" t="s">
        <v>167</v>
      </c>
      <c r="D18" s="41">
        <v>2</v>
      </c>
      <c r="E18" s="30" t="s">
        <v>153</v>
      </c>
      <c r="F18" s="36">
        <v>640</v>
      </c>
      <c r="G18" s="42"/>
      <c r="H18" s="34">
        <f t="shared" si="0"/>
        <v>1280</v>
      </c>
      <c r="I18" s="37">
        <f>IF($A18="","",IF($A18&lt;&gt;'Invoice (print)'!$C$1,"",COUNTIF($A$8:$A18,$A18)))</f>
        <v>3</v>
      </c>
      <c r="J18" s="37" t="str">
        <f>IF($A18="","",IF(COUNTIF(Invoices!$A$8:$A$257,$A18)=0,"Unknown invoice no.",IF($C18="","No description",IF($H18=0,"Amount is 0","OK"))))</f>
        <v>OK</v>
      </c>
    </row>
    <row r="19" spans="1:10" ht="16" x14ac:dyDescent="0.2">
      <c r="A19" s="30" t="s">
        <v>115</v>
      </c>
      <c r="B19" s="31">
        <f ca="1">TODAY()-48</f>
        <v>46184</v>
      </c>
      <c r="C19" s="30" t="s">
        <v>168</v>
      </c>
      <c r="D19" s="41">
        <v>1</v>
      </c>
      <c r="E19" s="30" t="s">
        <v>162</v>
      </c>
      <c r="F19" s="36">
        <v>180</v>
      </c>
      <c r="G19" s="42"/>
      <c r="H19" s="34">
        <f t="shared" si="0"/>
        <v>180</v>
      </c>
      <c r="I19" s="37">
        <f>IF($A19="","",IF($A19&lt;&gt;'Invoice (print)'!$C$1,"",COUNTIF($A$8:$A19,$A19)))</f>
        <v>4</v>
      </c>
      <c r="J19" s="37" t="str">
        <f>IF($A19="","",IF(COUNTIF(Invoices!$A$8:$A$257,$A19)=0,"Unknown invoice no.",IF($C19="","No description",IF($H19=0,"Amount is 0","OK"))))</f>
        <v>OK</v>
      </c>
    </row>
    <row r="20" spans="1:10" ht="16" x14ac:dyDescent="0.2">
      <c r="A20" s="30" t="s">
        <v>118</v>
      </c>
      <c r="B20" s="31">
        <f ca="1">TODAY()-82</f>
        <v>46150</v>
      </c>
      <c r="C20" s="30" t="s">
        <v>169</v>
      </c>
      <c r="D20" s="41">
        <v>6</v>
      </c>
      <c r="E20" s="30" t="s">
        <v>162</v>
      </c>
      <c r="F20" s="36">
        <v>180</v>
      </c>
      <c r="G20" s="42"/>
      <c r="H20" s="34">
        <f t="shared" si="0"/>
        <v>1080</v>
      </c>
      <c r="I20" s="37" t="str">
        <f>IF($A20="","",IF($A20&lt;&gt;'Invoice (print)'!$C$1,"",COUNTIF($A$8:$A20,$A20)))</f>
        <v/>
      </c>
      <c r="J20" s="37" t="str">
        <f>IF($A20="","",IF(COUNTIF(Invoices!$A$8:$A$257,$A20)=0,"Unknown invoice no.",IF($C20="","No description",IF($H20=0,"Amount is 0","OK"))))</f>
        <v>OK</v>
      </c>
    </row>
    <row r="21" spans="1:10" ht="16" x14ac:dyDescent="0.2">
      <c r="A21" s="30" t="s">
        <v>118</v>
      </c>
      <c r="B21" s="31">
        <f ca="1">TODAY()-82</f>
        <v>46150</v>
      </c>
      <c r="C21" s="30" t="s">
        <v>170</v>
      </c>
      <c r="D21" s="41">
        <v>1</v>
      </c>
      <c r="E21" s="30" t="s">
        <v>157</v>
      </c>
      <c r="F21" s="36">
        <v>240</v>
      </c>
      <c r="G21" s="42"/>
      <c r="H21" s="34">
        <f t="shared" si="0"/>
        <v>240</v>
      </c>
      <c r="I21" s="37" t="str">
        <f>IF($A21="","",IF($A21&lt;&gt;'Invoice (print)'!$C$1,"",COUNTIF($A$8:$A21,$A21)))</f>
        <v/>
      </c>
      <c r="J21" s="37" t="str">
        <f>IF($A21="","",IF(COUNTIF(Invoices!$A$8:$A$257,$A21)=0,"Unknown invoice no.",IF($C21="","No description",IF($H21=0,"Amount is 0","OK"))))</f>
        <v>OK</v>
      </c>
    </row>
    <row r="22" spans="1:10" ht="16" x14ac:dyDescent="0.2">
      <c r="A22" s="30" t="s">
        <v>124</v>
      </c>
      <c r="B22" s="31">
        <f ca="1">TODAY()-3</f>
        <v>46229</v>
      </c>
      <c r="C22" s="30" t="s">
        <v>171</v>
      </c>
      <c r="D22" s="41">
        <v>1</v>
      </c>
      <c r="E22" s="30" t="s">
        <v>172</v>
      </c>
      <c r="F22" s="36">
        <v>1800</v>
      </c>
      <c r="G22" s="42"/>
      <c r="H22" s="34">
        <f t="shared" si="0"/>
        <v>1800</v>
      </c>
      <c r="I22" s="37" t="str">
        <f>IF($A22="","",IF($A22&lt;&gt;'Invoice (print)'!$C$1,"",COUNTIF($A$8:$A22,$A22)))</f>
        <v/>
      </c>
      <c r="J22" s="37" t="str">
        <f>IF($A22="","",IF(COUNTIF(Invoices!$A$8:$A$257,$A22)=0,"Unknown invoice no.",IF($C22="","No description",IF($H22=0,"Amount is 0","OK"))))</f>
        <v>OK</v>
      </c>
    </row>
    <row r="23" spans="1:10" ht="16" x14ac:dyDescent="0.2">
      <c r="A23" s="30" t="s">
        <v>130</v>
      </c>
      <c r="B23" s="31">
        <f ca="1">TODAY()</f>
        <v>46232</v>
      </c>
      <c r="C23" s="30" t="s">
        <v>161</v>
      </c>
      <c r="D23" s="41">
        <v>6</v>
      </c>
      <c r="E23" s="30" t="s">
        <v>162</v>
      </c>
      <c r="F23" s="36">
        <v>120</v>
      </c>
      <c r="G23" s="42"/>
      <c r="H23" s="34">
        <f t="shared" si="0"/>
        <v>720</v>
      </c>
      <c r="I23" s="37" t="str">
        <f>IF($A23="","",IF($A23&lt;&gt;'Invoice (print)'!$C$1,"",COUNTIF($A$8:$A23,$A23)))</f>
        <v/>
      </c>
      <c r="J23" s="37" t="str">
        <f>IF($A23="","",IF(COUNTIF(Invoices!$A$8:$A$257,$A23)=0,"Unknown invoice no.",IF($C23="","No description",IF($H23=0,"Amount is 0","OK"))))</f>
        <v>OK</v>
      </c>
    </row>
    <row r="24" spans="1:10" ht="16" x14ac:dyDescent="0.2">
      <c r="A24" s="30" t="s">
        <v>130</v>
      </c>
      <c r="B24" s="31">
        <f ca="1">TODAY()</f>
        <v>46232</v>
      </c>
      <c r="C24" s="30" t="s">
        <v>163</v>
      </c>
      <c r="D24" s="41">
        <v>6</v>
      </c>
      <c r="E24" s="30" t="s">
        <v>162</v>
      </c>
      <c r="F24" s="36">
        <v>35</v>
      </c>
      <c r="G24" s="42"/>
      <c r="H24" s="34">
        <f t="shared" si="0"/>
        <v>210</v>
      </c>
      <c r="I24" s="37" t="str">
        <f>IF($A24="","",IF($A24&lt;&gt;'Invoice (print)'!$C$1,"",COUNTIF($A$8:$A24,$A24)))</f>
        <v/>
      </c>
      <c r="J24" s="37" t="str">
        <f>IF($A24="","",IF(COUNTIF(Invoices!$A$8:$A$257,$A24)=0,"Unknown invoice no.",IF($C24="","No description",IF($H24=0,"Amount is 0","OK"))))</f>
        <v>OK</v>
      </c>
    </row>
    <row r="25" spans="1:10" ht="16" x14ac:dyDescent="0.2">
      <c r="A25" s="30" t="s">
        <v>130</v>
      </c>
      <c r="B25" s="31">
        <f ca="1">TODAY()</f>
        <v>46232</v>
      </c>
      <c r="C25" s="30" t="s">
        <v>173</v>
      </c>
      <c r="D25" s="41">
        <v>1</v>
      </c>
      <c r="E25" s="30" t="s">
        <v>162</v>
      </c>
      <c r="F25" s="36">
        <v>90</v>
      </c>
      <c r="G25" s="42"/>
      <c r="H25" s="34">
        <f t="shared" si="0"/>
        <v>90</v>
      </c>
      <c r="I25" s="37" t="str">
        <f>IF($A25="","",IF($A25&lt;&gt;'Invoice (print)'!$C$1,"",COUNTIF($A$8:$A25,$A25)))</f>
        <v/>
      </c>
      <c r="J25" s="37" t="str">
        <f>IF($A25="","",IF(COUNTIF(Invoices!$A$8:$A$257,$A25)=0,"Unknown invoice no.",IF($C25="","No description",IF($H25=0,"Amount is 0","OK"))))</f>
        <v>OK</v>
      </c>
    </row>
    <row r="26" spans="1:10" ht="16" x14ac:dyDescent="0.2">
      <c r="A26" s="30" t="s">
        <v>133</v>
      </c>
      <c r="B26" s="31">
        <f ca="1">TODAY()-1</f>
        <v>46231</v>
      </c>
      <c r="C26" s="30" t="s">
        <v>174</v>
      </c>
      <c r="D26" s="41">
        <v>1</v>
      </c>
      <c r="E26" s="30" t="s">
        <v>151</v>
      </c>
      <c r="F26" s="36">
        <v>85</v>
      </c>
      <c r="G26" s="42"/>
      <c r="H26" s="34">
        <f t="shared" si="0"/>
        <v>85</v>
      </c>
      <c r="I26" s="37" t="str">
        <f>IF($A26="","",IF($A26&lt;&gt;'Invoice (print)'!$C$1,"",COUNTIF($A$8:$A26,$A26)))</f>
        <v/>
      </c>
      <c r="J26" s="37" t="str">
        <f>IF($A26="","",IF(COUNTIF(Invoices!$A$8:$A$257,$A26)=0,"Unknown invoice no.",IF($C26="","No description",IF($H26=0,"Amount is 0","OK"))))</f>
        <v>OK</v>
      </c>
    </row>
    <row r="27" spans="1:10" ht="16" x14ac:dyDescent="0.2">
      <c r="A27" s="30" t="s">
        <v>133</v>
      </c>
      <c r="B27" s="31">
        <f ca="1">TODAY()-1</f>
        <v>46231</v>
      </c>
      <c r="C27" s="30" t="s">
        <v>175</v>
      </c>
      <c r="D27" s="41">
        <v>1</v>
      </c>
      <c r="E27" s="30" t="s">
        <v>157</v>
      </c>
      <c r="F27" s="36">
        <v>450</v>
      </c>
      <c r="G27" s="42"/>
      <c r="H27" s="34">
        <f t="shared" si="0"/>
        <v>450</v>
      </c>
      <c r="I27" s="37" t="str">
        <f>IF($A27="","",IF($A27&lt;&gt;'Invoice (print)'!$C$1,"",COUNTIF($A$8:$A27,$A27)))</f>
        <v/>
      </c>
      <c r="J27" s="37" t="str">
        <f>IF($A27="","",IF(COUNTIF(Invoices!$A$8:$A$257,$A27)=0,"Unknown invoice no.",IF($C27="","No description",IF($H27=0,"Amount is 0","OK"))))</f>
        <v>OK</v>
      </c>
    </row>
    <row r="28" spans="1:10" ht="16" x14ac:dyDescent="0.2">
      <c r="A28" s="30"/>
      <c r="B28" s="31"/>
      <c r="C28" s="30"/>
      <c r="D28" s="41"/>
      <c r="E28" s="30"/>
      <c r="F28" s="36"/>
      <c r="G28" s="42"/>
      <c r="H28" s="34" t="str">
        <f t="shared" si="0"/>
        <v/>
      </c>
      <c r="I28" s="37" t="str">
        <f>IF($A28="","",IF($A28&lt;&gt;'Invoice (print)'!$C$1,"",COUNTIF($A$8:$A28,$A28)))</f>
        <v/>
      </c>
      <c r="J28" s="37" t="str">
        <f>IF($A28="","",IF(COUNTIF(Invoices!$A$8:$A$257,$A28)=0,"Unknown invoice no.",IF($C28="","No description",IF($H28=0,"Amount is 0","OK"))))</f>
        <v/>
      </c>
    </row>
    <row r="29" spans="1:10" ht="16" x14ac:dyDescent="0.2">
      <c r="A29" s="30"/>
      <c r="B29" s="31"/>
      <c r="C29" s="30"/>
      <c r="D29" s="41"/>
      <c r="E29" s="30"/>
      <c r="F29" s="36"/>
      <c r="G29" s="42"/>
      <c r="H29" s="34" t="str">
        <f t="shared" si="0"/>
        <v/>
      </c>
      <c r="I29" s="37" t="str">
        <f>IF($A29="","",IF($A29&lt;&gt;'Invoice (print)'!$C$1,"",COUNTIF($A$8:$A29,$A29)))</f>
        <v/>
      </c>
      <c r="J29" s="37" t="str">
        <f>IF($A29="","",IF(COUNTIF(Invoices!$A$8:$A$257,$A29)=0,"Unknown invoice no.",IF($C29="","No description",IF($H29=0,"Amount is 0","OK"))))</f>
        <v/>
      </c>
    </row>
    <row r="30" spans="1:10" ht="16" x14ac:dyDescent="0.2">
      <c r="A30" s="30"/>
      <c r="B30" s="31"/>
      <c r="C30" s="30"/>
      <c r="D30" s="41"/>
      <c r="E30" s="30"/>
      <c r="F30" s="36"/>
      <c r="G30" s="42"/>
      <c r="H30" s="34" t="str">
        <f t="shared" si="0"/>
        <v/>
      </c>
      <c r="I30" s="37" t="str">
        <f>IF($A30="","",IF($A30&lt;&gt;'Invoice (print)'!$C$1,"",COUNTIF($A$8:$A30,$A30)))</f>
        <v/>
      </c>
      <c r="J30" s="37" t="str">
        <f>IF($A30="","",IF(COUNTIF(Invoices!$A$8:$A$257,$A30)=0,"Unknown invoice no.",IF($C30="","No description",IF($H30=0,"Amount is 0","OK"))))</f>
        <v/>
      </c>
    </row>
    <row r="31" spans="1:10" ht="16" x14ac:dyDescent="0.2">
      <c r="A31" s="30"/>
      <c r="B31" s="31"/>
      <c r="C31" s="30"/>
      <c r="D31" s="41"/>
      <c r="E31" s="30"/>
      <c r="F31" s="36"/>
      <c r="G31" s="42"/>
      <c r="H31" s="34" t="str">
        <f t="shared" si="0"/>
        <v/>
      </c>
      <c r="I31" s="37" t="str">
        <f>IF($A31="","",IF($A31&lt;&gt;'Invoice (print)'!$C$1,"",COUNTIF($A$8:$A31,$A31)))</f>
        <v/>
      </c>
      <c r="J31" s="37" t="str">
        <f>IF($A31="","",IF(COUNTIF(Invoices!$A$8:$A$257,$A31)=0,"Unknown invoice no.",IF($C31="","No description",IF($H31=0,"Amount is 0","OK"))))</f>
        <v/>
      </c>
    </row>
    <row r="32" spans="1:10" ht="16" x14ac:dyDescent="0.2">
      <c r="A32" s="30"/>
      <c r="B32" s="31"/>
      <c r="C32" s="30"/>
      <c r="D32" s="41"/>
      <c r="E32" s="30"/>
      <c r="F32" s="36"/>
      <c r="G32" s="42"/>
      <c r="H32" s="34" t="str">
        <f t="shared" si="0"/>
        <v/>
      </c>
      <c r="I32" s="37" t="str">
        <f>IF($A32="","",IF($A32&lt;&gt;'Invoice (print)'!$C$1,"",COUNTIF($A$8:$A32,$A32)))</f>
        <v/>
      </c>
      <c r="J32" s="37" t="str">
        <f>IF($A32="","",IF(COUNTIF(Invoices!$A$8:$A$257,$A32)=0,"Unknown invoice no.",IF($C32="","No description",IF($H32=0,"Amount is 0","OK"))))</f>
        <v/>
      </c>
    </row>
    <row r="33" spans="1:10" ht="16" x14ac:dyDescent="0.2">
      <c r="A33" s="30"/>
      <c r="B33" s="31"/>
      <c r="C33" s="30"/>
      <c r="D33" s="41"/>
      <c r="E33" s="30"/>
      <c r="F33" s="36"/>
      <c r="G33" s="42"/>
      <c r="H33" s="34" t="str">
        <f t="shared" si="0"/>
        <v/>
      </c>
      <c r="I33" s="37" t="str">
        <f>IF($A33="","",IF($A33&lt;&gt;'Invoice (print)'!$C$1,"",COUNTIF($A$8:$A33,$A33)))</f>
        <v/>
      </c>
      <c r="J33" s="37" t="str">
        <f>IF($A33="","",IF(COUNTIF(Invoices!$A$8:$A$257,$A33)=0,"Unknown invoice no.",IF($C33="","No description",IF($H33=0,"Amount is 0","OK"))))</f>
        <v/>
      </c>
    </row>
    <row r="34" spans="1:10" ht="16" x14ac:dyDescent="0.2">
      <c r="A34" s="30"/>
      <c r="B34" s="31"/>
      <c r="C34" s="30"/>
      <c r="D34" s="41"/>
      <c r="E34" s="30"/>
      <c r="F34" s="36"/>
      <c r="G34" s="42"/>
      <c r="H34" s="34" t="str">
        <f t="shared" si="0"/>
        <v/>
      </c>
      <c r="I34" s="37" t="str">
        <f>IF($A34="","",IF($A34&lt;&gt;'Invoice (print)'!$C$1,"",COUNTIF($A$8:$A34,$A34)))</f>
        <v/>
      </c>
      <c r="J34" s="37" t="str">
        <f>IF($A34="","",IF(COUNTIF(Invoices!$A$8:$A$257,$A34)=0,"Unknown invoice no.",IF($C34="","No description",IF($H34=0,"Amount is 0","OK"))))</f>
        <v/>
      </c>
    </row>
    <row r="35" spans="1:10" ht="16" x14ac:dyDescent="0.2">
      <c r="A35" s="30"/>
      <c r="B35" s="31"/>
      <c r="C35" s="30"/>
      <c r="D35" s="41"/>
      <c r="E35" s="30"/>
      <c r="F35" s="36"/>
      <c r="G35" s="42"/>
      <c r="H35" s="34" t="str">
        <f t="shared" si="0"/>
        <v/>
      </c>
      <c r="I35" s="37" t="str">
        <f>IF($A35="","",IF($A35&lt;&gt;'Invoice (print)'!$C$1,"",COUNTIF($A$8:$A35,$A35)))</f>
        <v/>
      </c>
      <c r="J35" s="37" t="str">
        <f>IF($A35="","",IF(COUNTIF(Invoices!$A$8:$A$257,$A35)=0,"Unknown invoice no.",IF($C35="","No description",IF($H35=0,"Amount is 0","OK"))))</f>
        <v/>
      </c>
    </row>
    <row r="36" spans="1:10" ht="16" x14ac:dyDescent="0.2">
      <c r="A36" s="30"/>
      <c r="B36" s="31"/>
      <c r="C36" s="30"/>
      <c r="D36" s="41"/>
      <c r="E36" s="30"/>
      <c r="F36" s="36"/>
      <c r="G36" s="42"/>
      <c r="H36" s="34" t="str">
        <f t="shared" si="0"/>
        <v/>
      </c>
      <c r="I36" s="37" t="str">
        <f>IF($A36="","",IF($A36&lt;&gt;'Invoice (print)'!$C$1,"",COUNTIF($A$8:$A36,$A36)))</f>
        <v/>
      </c>
      <c r="J36" s="37" t="str">
        <f>IF($A36="","",IF(COUNTIF(Invoices!$A$8:$A$257,$A36)=0,"Unknown invoice no.",IF($C36="","No description",IF($H36=0,"Amount is 0","OK"))))</f>
        <v/>
      </c>
    </row>
    <row r="37" spans="1:10" ht="16" x14ac:dyDescent="0.2">
      <c r="A37" s="30"/>
      <c r="B37" s="31"/>
      <c r="C37" s="30"/>
      <c r="D37" s="41"/>
      <c r="E37" s="30"/>
      <c r="F37" s="36"/>
      <c r="G37" s="42"/>
      <c r="H37" s="34" t="str">
        <f t="shared" si="0"/>
        <v/>
      </c>
      <c r="I37" s="37" t="str">
        <f>IF($A37="","",IF($A37&lt;&gt;'Invoice (print)'!$C$1,"",COUNTIF($A$8:$A37,$A37)))</f>
        <v/>
      </c>
      <c r="J37" s="37" t="str">
        <f>IF($A37="","",IF(COUNTIF(Invoices!$A$8:$A$257,$A37)=0,"Unknown invoice no.",IF($C37="","No description",IF($H37=0,"Amount is 0","OK"))))</f>
        <v/>
      </c>
    </row>
    <row r="38" spans="1:10" ht="16" x14ac:dyDescent="0.2">
      <c r="A38" s="30"/>
      <c r="B38" s="31"/>
      <c r="C38" s="30"/>
      <c r="D38" s="41"/>
      <c r="E38" s="30"/>
      <c r="F38" s="36"/>
      <c r="G38" s="42"/>
      <c r="H38" s="34" t="str">
        <f t="shared" si="0"/>
        <v/>
      </c>
      <c r="I38" s="37" t="str">
        <f>IF($A38="","",IF($A38&lt;&gt;'Invoice (print)'!$C$1,"",COUNTIF($A$8:$A38,$A38)))</f>
        <v/>
      </c>
      <c r="J38" s="37" t="str">
        <f>IF($A38="","",IF(COUNTIF(Invoices!$A$8:$A$257,$A38)=0,"Unknown invoice no.",IF($C38="","No description",IF($H38=0,"Amount is 0","OK"))))</f>
        <v/>
      </c>
    </row>
    <row r="39" spans="1:10" ht="16" x14ac:dyDescent="0.2">
      <c r="A39" s="30"/>
      <c r="B39" s="31"/>
      <c r="C39" s="30"/>
      <c r="D39" s="41"/>
      <c r="E39" s="30"/>
      <c r="F39" s="36"/>
      <c r="G39" s="42"/>
      <c r="H39" s="34" t="str">
        <f t="shared" si="0"/>
        <v/>
      </c>
      <c r="I39" s="37" t="str">
        <f>IF($A39="","",IF($A39&lt;&gt;'Invoice (print)'!$C$1,"",COUNTIF($A$8:$A39,$A39)))</f>
        <v/>
      </c>
      <c r="J39" s="37" t="str">
        <f>IF($A39="","",IF(COUNTIF(Invoices!$A$8:$A$257,$A39)=0,"Unknown invoice no.",IF($C39="","No description",IF($H39=0,"Amount is 0","OK"))))</f>
        <v/>
      </c>
    </row>
    <row r="40" spans="1:10" ht="16" x14ac:dyDescent="0.2">
      <c r="A40" s="30"/>
      <c r="B40" s="31"/>
      <c r="C40" s="30"/>
      <c r="D40" s="41"/>
      <c r="E40" s="30"/>
      <c r="F40" s="36"/>
      <c r="G40" s="42"/>
      <c r="H40" s="34" t="str">
        <f t="shared" si="0"/>
        <v/>
      </c>
      <c r="I40" s="37" t="str">
        <f>IF($A40="","",IF($A40&lt;&gt;'Invoice (print)'!$C$1,"",COUNTIF($A$8:$A40,$A40)))</f>
        <v/>
      </c>
      <c r="J40" s="37" t="str">
        <f>IF($A40="","",IF(COUNTIF(Invoices!$A$8:$A$257,$A40)=0,"Unknown invoice no.",IF($C40="","No description",IF($H40=0,"Amount is 0","OK"))))</f>
        <v/>
      </c>
    </row>
    <row r="41" spans="1:10" ht="16" x14ac:dyDescent="0.2">
      <c r="A41" s="30"/>
      <c r="B41" s="31"/>
      <c r="C41" s="30"/>
      <c r="D41" s="41"/>
      <c r="E41" s="30"/>
      <c r="F41" s="36"/>
      <c r="G41" s="42"/>
      <c r="H41" s="34" t="str">
        <f t="shared" si="0"/>
        <v/>
      </c>
      <c r="I41" s="37" t="str">
        <f>IF($A41="","",IF($A41&lt;&gt;'Invoice (print)'!$C$1,"",COUNTIF($A$8:$A41,$A41)))</f>
        <v/>
      </c>
      <c r="J41" s="37" t="str">
        <f>IF($A41="","",IF(COUNTIF(Invoices!$A$8:$A$257,$A41)=0,"Unknown invoice no.",IF($C41="","No description",IF($H41=0,"Amount is 0","OK"))))</f>
        <v/>
      </c>
    </row>
    <row r="42" spans="1:10" ht="16" x14ac:dyDescent="0.2">
      <c r="A42" s="30"/>
      <c r="B42" s="31"/>
      <c r="C42" s="30"/>
      <c r="D42" s="41"/>
      <c r="E42" s="30"/>
      <c r="F42" s="36"/>
      <c r="G42" s="42"/>
      <c r="H42" s="34" t="str">
        <f t="shared" si="0"/>
        <v/>
      </c>
      <c r="I42" s="37" t="str">
        <f>IF($A42="","",IF($A42&lt;&gt;'Invoice (print)'!$C$1,"",COUNTIF($A$8:$A42,$A42)))</f>
        <v/>
      </c>
      <c r="J42" s="37" t="str">
        <f>IF($A42="","",IF(COUNTIF(Invoices!$A$8:$A$257,$A42)=0,"Unknown invoice no.",IF($C42="","No description",IF($H42=0,"Amount is 0","OK"))))</f>
        <v/>
      </c>
    </row>
    <row r="43" spans="1:10" ht="16" x14ac:dyDescent="0.2">
      <c r="A43" s="30"/>
      <c r="B43" s="31"/>
      <c r="C43" s="30"/>
      <c r="D43" s="41"/>
      <c r="E43" s="30"/>
      <c r="F43" s="36"/>
      <c r="G43" s="42"/>
      <c r="H43" s="34" t="str">
        <f t="shared" si="0"/>
        <v/>
      </c>
      <c r="I43" s="37" t="str">
        <f>IF($A43="","",IF($A43&lt;&gt;'Invoice (print)'!$C$1,"",COUNTIF($A$8:$A43,$A43)))</f>
        <v/>
      </c>
      <c r="J43" s="37" t="str">
        <f>IF($A43="","",IF(COUNTIF(Invoices!$A$8:$A$257,$A43)=0,"Unknown invoice no.",IF($C43="","No description",IF($H43=0,"Amount is 0","OK"))))</f>
        <v/>
      </c>
    </row>
    <row r="44" spans="1:10" ht="16" x14ac:dyDescent="0.2">
      <c r="A44" s="30"/>
      <c r="B44" s="31"/>
      <c r="C44" s="30"/>
      <c r="D44" s="41"/>
      <c r="E44" s="30"/>
      <c r="F44" s="36"/>
      <c r="G44" s="42"/>
      <c r="H44" s="34" t="str">
        <f t="shared" si="0"/>
        <v/>
      </c>
      <c r="I44" s="37" t="str">
        <f>IF($A44="","",IF($A44&lt;&gt;'Invoice (print)'!$C$1,"",COUNTIF($A$8:$A44,$A44)))</f>
        <v/>
      </c>
      <c r="J44" s="37" t="str">
        <f>IF($A44="","",IF(COUNTIF(Invoices!$A$8:$A$257,$A44)=0,"Unknown invoice no.",IF($C44="","No description",IF($H44=0,"Amount is 0","OK"))))</f>
        <v/>
      </c>
    </row>
    <row r="45" spans="1:10" ht="16" x14ac:dyDescent="0.2">
      <c r="A45" s="30"/>
      <c r="B45" s="31"/>
      <c r="C45" s="30"/>
      <c r="D45" s="41"/>
      <c r="E45" s="30"/>
      <c r="F45" s="36"/>
      <c r="G45" s="42"/>
      <c r="H45" s="34" t="str">
        <f t="shared" si="0"/>
        <v/>
      </c>
      <c r="I45" s="37" t="str">
        <f>IF($A45="","",IF($A45&lt;&gt;'Invoice (print)'!$C$1,"",COUNTIF($A$8:$A45,$A45)))</f>
        <v/>
      </c>
      <c r="J45" s="37" t="str">
        <f>IF($A45="","",IF(COUNTIF(Invoices!$A$8:$A$257,$A45)=0,"Unknown invoice no.",IF($C45="","No description",IF($H45=0,"Amount is 0","OK"))))</f>
        <v/>
      </c>
    </row>
    <row r="46" spans="1:10" ht="16" x14ac:dyDescent="0.2">
      <c r="A46" s="30"/>
      <c r="B46" s="31"/>
      <c r="C46" s="30"/>
      <c r="D46" s="41"/>
      <c r="E46" s="30"/>
      <c r="F46" s="36"/>
      <c r="G46" s="42"/>
      <c r="H46" s="34" t="str">
        <f t="shared" si="0"/>
        <v/>
      </c>
      <c r="I46" s="37" t="str">
        <f>IF($A46="","",IF($A46&lt;&gt;'Invoice (print)'!$C$1,"",COUNTIF($A$8:$A46,$A46)))</f>
        <v/>
      </c>
      <c r="J46" s="37" t="str">
        <f>IF($A46="","",IF(COUNTIF(Invoices!$A$8:$A$257,$A46)=0,"Unknown invoice no.",IF($C46="","No description",IF($H46=0,"Amount is 0","OK"))))</f>
        <v/>
      </c>
    </row>
    <row r="47" spans="1:10" ht="16" x14ac:dyDescent="0.2">
      <c r="A47" s="30"/>
      <c r="B47" s="31"/>
      <c r="C47" s="30"/>
      <c r="D47" s="41"/>
      <c r="E47" s="30"/>
      <c r="F47" s="36"/>
      <c r="G47" s="42"/>
      <c r="H47" s="34" t="str">
        <f t="shared" si="0"/>
        <v/>
      </c>
      <c r="I47" s="37" t="str">
        <f>IF($A47="","",IF($A47&lt;&gt;'Invoice (print)'!$C$1,"",COUNTIF($A$8:$A47,$A47)))</f>
        <v/>
      </c>
      <c r="J47" s="37" t="str">
        <f>IF($A47="","",IF(COUNTIF(Invoices!$A$8:$A$257,$A47)=0,"Unknown invoice no.",IF($C47="","No description",IF($H47=0,"Amount is 0","OK"))))</f>
        <v/>
      </c>
    </row>
    <row r="48" spans="1:10" ht="16" x14ac:dyDescent="0.2">
      <c r="A48" s="30"/>
      <c r="B48" s="31"/>
      <c r="C48" s="30"/>
      <c r="D48" s="41"/>
      <c r="E48" s="30"/>
      <c r="F48" s="36"/>
      <c r="G48" s="42"/>
      <c r="H48" s="34" t="str">
        <f t="shared" si="0"/>
        <v/>
      </c>
      <c r="I48" s="37" t="str">
        <f>IF($A48="","",IF($A48&lt;&gt;'Invoice (print)'!$C$1,"",COUNTIF($A$8:$A48,$A48)))</f>
        <v/>
      </c>
      <c r="J48" s="37" t="str">
        <f>IF($A48="","",IF(COUNTIF(Invoices!$A$8:$A$257,$A48)=0,"Unknown invoice no.",IF($C48="","No description",IF($H48=0,"Amount is 0","OK"))))</f>
        <v/>
      </c>
    </row>
    <row r="49" spans="1:10" ht="16" x14ac:dyDescent="0.2">
      <c r="A49" s="30"/>
      <c r="B49" s="31"/>
      <c r="C49" s="30"/>
      <c r="D49" s="41"/>
      <c r="E49" s="30"/>
      <c r="F49" s="36"/>
      <c r="G49" s="42"/>
      <c r="H49" s="34" t="str">
        <f t="shared" si="0"/>
        <v/>
      </c>
      <c r="I49" s="37" t="str">
        <f>IF($A49="","",IF($A49&lt;&gt;'Invoice (print)'!$C$1,"",COUNTIF($A$8:$A49,$A49)))</f>
        <v/>
      </c>
      <c r="J49" s="37" t="str">
        <f>IF($A49="","",IF(COUNTIF(Invoices!$A$8:$A$257,$A49)=0,"Unknown invoice no.",IF($C49="","No description",IF($H49=0,"Amount is 0","OK"))))</f>
        <v/>
      </c>
    </row>
    <row r="50" spans="1:10" ht="16" x14ac:dyDescent="0.2">
      <c r="A50" s="30"/>
      <c r="B50" s="31"/>
      <c r="C50" s="30"/>
      <c r="D50" s="41"/>
      <c r="E50" s="30"/>
      <c r="F50" s="36"/>
      <c r="G50" s="42"/>
      <c r="H50" s="34" t="str">
        <f t="shared" si="0"/>
        <v/>
      </c>
      <c r="I50" s="37" t="str">
        <f>IF($A50="","",IF($A50&lt;&gt;'Invoice (print)'!$C$1,"",COUNTIF($A$8:$A50,$A50)))</f>
        <v/>
      </c>
      <c r="J50" s="37" t="str">
        <f>IF($A50="","",IF(COUNTIF(Invoices!$A$8:$A$257,$A50)=0,"Unknown invoice no.",IF($C50="","No description",IF($H50=0,"Amount is 0","OK"))))</f>
        <v/>
      </c>
    </row>
    <row r="51" spans="1:10" ht="16" x14ac:dyDescent="0.2">
      <c r="A51" s="30"/>
      <c r="B51" s="31"/>
      <c r="C51" s="30"/>
      <c r="D51" s="41"/>
      <c r="E51" s="30"/>
      <c r="F51" s="36"/>
      <c r="G51" s="42"/>
      <c r="H51" s="34" t="str">
        <f t="shared" si="0"/>
        <v/>
      </c>
      <c r="I51" s="37" t="str">
        <f>IF($A51="","",IF($A51&lt;&gt;'Invoice (print)'!$C$1,"",COUNTIF($A$8:$A51,$A51)))</f>
        <v/>
      </c>
      <c r="J51" s="37" t="str">
        <f>IF($A51="","",IF(COUNTIF(Invoices!$A$8:$A$257,$A51)=0,"Unknown invoice no.",IF($C51="","No description",IF($H51=0,"Amount is 0","OK"))))</f>
        <v/>
      </c>
    </row>
    <row r="52" spans="1:10" ht="16" x14ac:dyDescent="0.2">
      <c r="A52" s="30"/>
      <c r="B52" s="31"/>
      <c r="C52" s="30"/>
      <c r="D52" s="41"/>
      <c r="E52" s="30"/>
      <c r="F52" s="36"/>
      <c r="G52" s="42"/>
      <c r="H52" s="34" t="str">
        <f t="shared" si="0"/>
        <v/>
      </c>
      <c r="I52" s="37" t="str">
        <f>IF($A52="","",IF($A52&lt;&gt;'Invoice (print)'!$C$1,"",COUNTIF($A$8:$A52,$A52)))</f>
        <v/>
      </c>
      <c r="J52" s="37" t="str">
        <f>IF($A52="","",IF(COUNTIF(Invoices!$A$8:$A$257,$A52)=0,"Unknown invoice no.",IF($C52="","No description",IF($H52=0,"Amount is 0","OK"))))</f>
        <v/>
      </c>
    </row>
    <row r="53" spans="1:10" ht="16" x14ac:dyDescent="0.2">
      <c r="A53" s="30"/>
      <c r="B53" s="31"/>
      <c r="C53" s="30"/>
      <c r="D53" s="41"/>
      <c r="E53" s="30"/>
      <c r="F53" s="36"/>
      <c r="G53" s="42"/>
      <c r="H53" s="34" t="str">
        <f t="shared" si="0"/>
        <v/>
      </c>
      <c r="I53" s="37" t="str">
        <f>IF($A53="","",IF($A53&lt;&gt;'Invoice (print)'!$C$1,"",COUNTIF($A$8:$A53,$A53)))</f>
        <v/>
      </c>
      <c r="J53" s="37" t="str">
        <f>IF($A53="","",IF(COUNTIF(Invoices!$A$8:$A$257,$A53)=0,"Unknown invoice no.",IF($C53="","No description",IF($H53=0,"Amount is 0","OK"))))</f>
        <v/>
      </c>
    </row>
    <row r="54" spans="1:10" ht="16" x14ac:dyDescent="0.2">
      <c r="A54" s="30"/>
      <c r="B54" s="31"/>
      <c r="C54" s="30"/>
      <c r="D54" s="41"/>
      <c r="E54" s="30"/>
      <c r="F54" s="36"/>
      <c r="G54" s="42"/>
      <c r="H54" s="34" t="str">
        <f t="shared" si="0"/>
        <v/>
      </c>
      <c r="I54" s="37" t="str">
        <f>IF($A54="","",IF($A54&lt;&gt;'Invoice (print)'!$C$1,"",COUNTIF($A$8:$A54,$A54)))</f>
        <v/>
      </c>
      <c r="J54" s="37" t="str">
        <f>IF($A54="","",IF(COUNTIF(Invoices!$A$8:$A$257,$A54)=0,"Unknown invoice no.",IF($C54="","No description",IF($H54=0,"Amount is 0","OK"))))</f>
        <v/>
      </c>
    </row>
    <row r="55" spans="1:10" ht="16" x14ac:dyDescent="0.2">
      <c r="A55" s="30"/>
      <c r="B55" s="31"/>
      <c r="C55" s="30"/>
      <c r="D55" s="41"/>
      <c r="E55" s="30"/>
      <c r="F55" s="36"/>
      <c r="G55" s="42"/>
      <c r="H55" s="34" t="str">
        <f t="shared" si="0"/>
        <v/>
      </c>
      <c r="I55" s="37" t="str">
        <f>IF($A55="","",IF($A55&lt;&gt;'Invoice (print)'!$C$1,"",COUNTIF($A$8:$A55,$A55)))</f>
        <v/>
      </c>
      <c r="J55" s="37" t="str">
        <f>IF($A55="","",IF(COUNTIF(Invoices!$A$8:$A$257,$A55)=0,"Unknown invoice no.",IF($C55="","No description",IF($H55=0,"Amount is 0","OK"))))</f>
        <v/>
      </c>
    </row>
    <row r="56" spans="1:10" ht="16" x14ac:dyDescent="0.2">
      <c r="A56" s="30"/>
      <c r="B56" s="31"/>
      <c r="C56" s="30"/>
      <c r="D56" s="41"/>
      <c r="E56" s="30"/>
      <c r="F56" s="36"/>
      <c r="G56" s="42"/>
      <c r="H56" s="34" t="str">
        <f t="shared" si="0"/>
        <v/>
      </c>
      <c r="I56" s="37" t="str">
        <f>IF($A56="","",IF($A56&lt;&gt;'Invoice (print)'!$C$1,"",COUNTIF($A$8:$A56,$A56)))</f>
        <v/>
      </c>
      <c r="J56" s="37" t="str">
        <f>IF($A56="","",IF(COUNTIF(Invoices!$A$8:$A$257,$A56)=0,"Unknown invoice no.",IF($C56="","No description",IF($H56=0,"Amount is 0","OK"))))</f>
        <v/>
      </c>
    </row>
    <row r="57" spans="1:10" ht="16" x14ac:dyDescent="0.2">
      <c r="A57" s="30"/>
      <c r="B57" s="31"/>
      <c r="C57" s="30"/>
      <c r="D57" s="41"/>
      <c r="E57" s="30"/>
      <c r="F57" s="36"/>
      <c r="G57" s="42"/>
      <c r="H57" s="34" t="str">
        <f t="shared" si="0"/>
        <v/>
      </c>
      <c r="I57" s="37" t="str">
        <f>IF($A57="","",IF($A57&lt;&gt;'Invoice (print)'!$C$1,"",COUNTIF($A$8:$A57,$A57)))</f>
        <v/>
      </c>
      <c r="J57" s="37" t="str">
        <f>IF($A57="","",IF(COUNTIF(Invoices!$A$8:$A$257,$A57)=0,"Unknown invoice no.",IF($C57="","No description",IF($H57=0,"Amount is 0","OK"))))</f>
        <v/>
      </c>
    </row>
    <row r="58" spans="1:10" ht="16" x14ac:dyDescent="0.2">
      <c r="A58" s="30"/>
      <c r="B58" s="31"/>
      <c r="C58" s="30"/>
      <c r="D58" s="41"/>
      <c r="E58" s="30"/>
      <c r="F58" s="36"/>
      <c r="G58" s="42"/>
      <c r="H58" s="34" t="str">
        <f t="shared" si="0"/>
        <v/>
      </c>
      <c r="I58" s="37" t="str">
        <f>IF($A58="","",IF($A58&lt;&gt;'Invoice (print)'!$C$1,"",COUNTIF($A$8:$A58,$A58)))</f>
        <v/>
      </c>
      <c r="J58" s="37" t="str">
        <f>IF($A58="","",IF(COUNTIF(Invoices!$A$8:$A$257,$A58)=0,"Unknown invoice no.",IF($C58="","No description",IF($H58=0,"Amount is 0","OK"))))</f>
        <v/>
      </c>
    </row>
    <row r="59" spans="1:10" ht="16" x14ac:dyDescent="0.2">
      <c r="A59" s="30"/>
      <c r="B59" s="31"/>
      <c r="C59" s="30"/>
      <c r="D59" s="41"/>
      <c r="E59" s="30"/>
      <c r="F59" s="36"/>
      <c r="G59" s="42"/>
      <c r="H59" s="34" t="str">
        <f t="shared" si="0"/>
        <v/>
      </c>
      <c r="I59" s="37" t="str">
        <f>IF($A59="","",IF($A59&lt;&gt;'Invoice (print)'!$C$1,"",COUNTIF($A$8:$A59,$A59)))</f>
        <v/>
      </c>
      <c r="J59" s="37" t="str">
        <f>IF($A59="","",IF(COUNTIF(Invoices!$A$8:$A$257,$A59)=0,"Unknown invoice no.",IF($C59="","No description",IF($H59=0,"Amount is 0","OK"))))</f>
        <v/>
      </c>
    </row>
    <row r="60" spans="1:10" ht="16" x14ac:dyDescent="0.2">
      <c r="A60" s="30"/>
      <c r="B60" s="31"/>
      <c r="C60" s="30"/>
      <c r="D60" s="41"/>
      <c r="E60" s="30"/>
      <c r="F60" s="36"/>
      <c r="G60" s="42"/>
      <c r="H60" s="34" t="str">
        <f t="shared" si="0"/>
        <v/>
      </c>
      <c r="I60" s="37" t="str">
        <f>IF($A60="","",IF($A60&lt;&gt;'Invoice (print)'!$C$1,"",COUNTIF($A$8:$A60,$A60)))</f>
        <v/>
      </c>
      <c r="J60" s="37" t="str">
        <f>IF($A60="","",IF(COUNTIF(Invoices!$A$8:$A$257,$A60)=0,"Unknown invoice no.",IF($C60="","No description",IF($H60=0,"Amount is 0","OK"))))</f>
        <v/>
      </c>
    </row>
    <row r="61" spans="1:10" ht="16" x14ac:dyDescent="0.2">
      <c r="A61" s="30"/>
      <c r="B61" s="31"/>
      <c r="C61" s="30"/>
      <c r="D61" s="41"/>
      <c r="E61" s="30"/>
      <c r="F61" s="36"/>
      <c r="G61" s="42"/>
      <c r="H61" s="34" t="str">
        <f t="shared" si="0"/>
        <v/>
      </c>
      <c r="I61" s="37" t="str">
        <f>IF($A61="","",IF($A61&lt;&gt;'Invoice (print)'!$C$1,"",COUNTIF($A$8:$A61,$A61)))</f>
        <v/>
      </c>
      <c r="J61" s="37" t="str">
        <f>IF($A61="","",IF(COUNTIF(Invoices!$A$8:$A$257,$A61)=0,"Unknown invoice no.",IF($C61="","No description",IF($H61=0,"Amount is 0","OK"))))</f>
        <v/>
      </c>
    </row>
    <row r="62" spans="1:10" ht="16" x14ac:dyDescent="0.2">
      <c r="A62" s="30"/>
      <c r="B62" s="31"/>
      <c r="C62" s="30"/>
      <c r="D62" s="41"/>
      <c r="E62" s="30"/>
      <c r="F62" s="36"/>
      <c r="G62" s="42"/>
      <c r="H62" s="34" t="str">
        <f t="shared" si="0"/>
        <v/>
      </c>
      <c r="I62" s="37" t="str">
        <f>IF($A62="","",IF($A62&lt;&gt;'Invoice (print)'!$C$1,"",COUNTIF($A$8:$A62,$A62)))</f>
        <v/>
      </c>
      <c r="J62" s="37" t="str">
        <f>IF($A62="","",IF(COUNTIF(Invoices!$A$8:$A$257,$A62)=0,"Unknown invoice no.",IF($C62="","No description",IF($H62=0,"Amount is 0","OK"))))</f>
        <v/>
      </c>
    </row>
    <row r="63" spans="1:10" ht="16" x14ac:dyDescent="0.2">
      <c r="A63" s="30"/>
      <c r="B63" s="31"/>
      <c r="C63" s="30"/>
      <c r="D63" s="41"/>
      <c r="E63" s="30"/>
      <c r="F63" s="36"/>
      <c r="G63" s="42"/>
      <c r="H63" s="34" t="str">
        <f t="shared" si="0"/>
        <v/>
      </c>
      <c r="I63" s="37" t="str">
        <f>IF($A63="","",IF($A63&lt;&gt;'Invoice (print)'!$C$1,"",COUNTIF($A$8:$A63,$A63)))</f>
        <v/>
      </c>
      <c r="J63" s="37" t="str">
        <f>IF($A63="","",IF(COUNTIF(Invoices!$A$8:$A$257,$A63)=0,"Unknown invoice no.",IF($C63="","No description",IF($H63=0,"Amount is 0","OK"))))</f>
        <v/>
      </c>
    </row>
    <row r="64" spans="1:10" ht="16" x14ac:dyDescent="0.2">
      <c r="A64" s="30"/>
      <c r="B64" s="31"/>
      <c r="C64" s="30"/>
      <c r="D64" s="41"/>
      <c r="E64" s="30"/>
      <c r="F64" s="36"/>
      <c r="G64" s="42"/>
      <c r="H64" s="34" t="str">
        <f t="shared" si="0"/>
        <v/>
      </c>
      <c r="I64" s="37" t="str">
        <f>IF($A64="","",IF($A64&lt;&gt;'Invoice (print)'!$C$1,"",COUNTIF($A$8:$A64,$A64)))</f>
        <v/>
      </c>
      <c r="J64" s="37" t="str">
        <f>IF($A64="","",IF(COUNTIF(Invoices!$A$8:$A$257,$A64)=0,"Unknown invoice no.",IF($C64="","No description",IF($H64=0,"Amount is 0","OK"))))</f>
        <v/>
      </c>
    </row>
    <row r="65" spans="1:10" ht="16" x14ac:dyDescent="0.2">
      <c r="A65" s="30"/>
      <c r="B65" s="31"/>
      <c r="C65" s="30"/>
      <c r="D65" s="41"/>
      <c r="E65" s="30"/>
      <c r="F65" s="36"/>
      <c r="G65" s="42"/>
      <c r="H65" s="34" t="str">
        <f t="shared" si="0"/>
        <v/>
      </c>
      <c r="I65" s="37" t="str">
        <f>IF($A65="","",IF($A65&lt;&gt;'Invoice (print)'!$C$1,"",COUNTIF($A$8:$A65,$A65)))</f>
        <v/>
      </c>
      <c r="J65" s="37" t="str">
        <f>IF($A65="","",IF(COUNTIF(Invoices!$A$8:$A$257,$A65)=0,"Unknown invoice no.",IF($C65="","No description",IF($H65=0,"Amount is 0","OK"))))</f>
        <v/>
      </c>
    </row>
    <row r="66" spans="1:10" ht="16" x14ac:dyDescent="0.2">
      <c r="A66" s="30"/>
      <c r="B66" s="31"/>
      <c r="C66" s="30"/>
      <c r="D66" s="41"/>
      <c r="E66" s="30"/>
      <c r="F66" s="36"/>
      <c r="G66" s="42"/>
      <c r="H66" s="34" t="str">
        <f t="shared" si="0"/>
        <v/>
      </c>
      <c r="I66" s="37" t="str">
        <f>IF($A66="","",IF($A66&lt;&gt;'Invoice (print)'!$C$1,"",COUNTIF($A$8:$A66,$A66)))</f>
        <v/>
      </c>
      <c r="J66" s="37" t="str">
        <f>IF($A66="","",IF(COUNTIF(Invoices!$A$8:$A$257,$A66)=0,"Unknown invoice no.",IF($C66="","No description",IF($H66=0,"Amount is 0","OK"))))</f>
        <v/>
      </c>
    </row>
    <row r="67" spans="1:10" ht="16" x14ac:dyDescent="0.2">
      <c r="A67" s="30"/>
      <c r="B67" s="31"/>
      <c r="C67" s="30"/>
      <c r="D67" s="41"/>
      <c r="E67" s="30"/>
      <c r="F67" s="36"/>
      <c r="G67" s="42"/>
      <c r="H67" s="34" t="str">
        <f t="shared" si="0"/>
        <v/>
      </c>
      <c r="I67" s="37" t="str">
        <f>IF($A67="","",IF($A67&lt;&gt;'Invoice (print)'!$C$1,"",COUNTIF($A$8:$A67,$A67)))</f>
        <v/>
      </c>
      <c r="J67" s="37" t="str">
        <f>IF($A67="","",IF(COUNTIF(Invoices!$A$8:$A$257,$A67)=0,"Unknown invoice no.",IF($C67="","No description",IF($H67=0,"Amount is 0","OK"))))</f>
        <v/>
      </c>
    </row>
    <row r="68" spans="1:10" ht="16" x14ac:dyDescent="0.2">
      <c r="A68" s="30"/>
      <c r="B68" s="31"/>
      <c r="C68" s="30"/>
      <c r="D68" s="41"/>
      <c r="E68" s="30"/>
      <c r="F68" s="36"/>
      <c r="G68" s="42"/>
      <c r="H68" s="34" t="str">
        <f t="shared" si="0"/>
        <v/>
      </c>
      <c r="I68" s="37" t="str">
        <f>IF($A68="","",IF($A68&lt;&gt;'Invoice (print)'!$C$1,"",COUNTIF($A$8:$A68,$A68)))</f>
        <v/>
      </c>
      <c r="J68" s="37" t="str">
        <f>IF($A68="","",IF(COUNTIF(Invoices!$A$8:$A$257,$A68)=0,"Unknown invoice no.",IF($C68="","No description",IF($H68=0,"Amount is 0","OK"))))</f>
        <v/>
      </c>
    </row>
    <row r="69" spans="1:10" ht="16" x14ac:dyDescent="0.2">
      <c r="A69" s="30"/>
      <c r="B69" s="31"/>
      <c r="C69" s="30"/>
      <c r="D69" s="41"/>
      <c r="E69" s="30"/>
      <c r="F69" s="36"/>
      <c r="G69" s="42"/>
      <c r="H69" s="34" t="str">
        <f t="shared" si="0"/>
        <v/>
      </c>
      <c r="I69" s="37" t="str">
        <f>IF($A69="","",IF($A69&lt;&gt;'Invoice (print)'!$C$1,"",COUNTIF($A$8:$A69,$A69)))</f>
        <v/>
      </c>
      <c r="J69" s="37" t="str">
        <f>IF($A69="","",IF(COUNTIF(Invoices!$A$8:$A$257,$A69)=0,"Unknown invoice no.",IF($C69="","No description",IF($H69=0,"Amount is 0","OK"))))</f>
        <v/>
      </c>
    </row>
    <row r="70" spans="1:10" ht="16" x14ac:dyDescent="0.2">
      <c r="A70" s="30"/>
      <c r="B70" s="31"/>
      <c r="C70" s="30"/>
      <c r="D70" s="41"/>
      <c r="E70" s="30"/>
      <c r="F70" s="36"/>
      <c r="G70" s="42"/>
      <c r="H70" s="34" t="str">
        <f t="shared" si="0"/>
        <v/>
      </c>
      <c r="I70" s="37" t="str">
        <f>IF($A70="","",IF($A70&lt;&gt;'Invoice (print)'!$C$1,"",COUNTIF($A$8:$A70,$A70)))</f>
        <v/>
      </c>
      <c r="J70" s="37" t="str">
        <f>IF($A70="","",IF(COUNTIF(Invoices!$A$8:$A$257,$A70)=0,"Unknown invoice no.",IF($C70="","No description",IF($H70=0,"Amount is 0","OK"))))</f>
        <v/>
      </c>
    </row>
    <row r="71" spans="1:10" ht="16" x14ac:dyDescent="0.2">
      <c r="A71" s="30"/>
      <c r="B71" s="31"/>
      <c r="C71" s="30"/>
      <c r="D71" s="41"/>
      <c r="E71" s="30"/>
      <c r="F71" s="36"/>
      <c r="G71" s="42"/>
      <c r="H71" s="34" t="str">
        <f t="shared" si="0"/>
        <v/>
      </c>
      <c r="I71" s="37" t="str">
        <f>IF($A71="","",IF($A71&lt;&gt;'Invoice (print)'!$C$1,"",COUNTIF($A$8:$A71,$A71)))</f>
        <v/>
      </c>
      <c r="J71" s="37" t="str">
        <f>IF($A71="","",IF(COUNTIF(Invoices!$A$8:$A$257,$A71)=0,"Unknown invoice no.",IF($C71="","No description",IF($H71=0,"Amount is 0","OK"))))</f>
        <v/>
      </c>
    </row>
    <row r="72" spans="1:10" ht="16" x14ac:dyDescent="0.2">
      <c r="A72" s="30"/>
      <c r="B72" s="31"/>
      <c r="C72" s="30"/>
      <c r="D72" s="41"/>
      <c r="E72" s="30"/>
      <c r="F72" s="36"/>
      <c r="G72" s="42"/>
      <c r="H72" s="34" t="str">
        <f t="shared" ref="H72:H135" si="1">IF($A72="","",ROUND(IF($D72="",0,$D72)*IF($F72="",0,$F72)*(1-IF($G72="",0,$G72)/100),2))</f>
        <v/>
      </c>
      <c r="I72" s="37" t="str">
        <f>IF($A72="","",IF($A72&lt;&gt;'Invoice (print)'!$C$1,"",COUNTIF($A$8:$A72,$A72)))</f>
        <v/>
      </c>
      <c r="J72" s="37" t="str">
        <f>IF($A72="","",IF(COUNTIF(Invoices!$A$8:$A$257,$A72)=0,"Unknown invoice no.",IF($C72="","No description",IF($H72=0,"Amount is 0","OK"))))</f>
        <v/>
      </c>
    </row>
    <row r="73" spans="1:10" ht="16" x14ac:dyDescent="0.2">
      <c r="A73" s="30"/>
      <c r="B73" s="31"/>
      <c r="C73" s="30"/>
      <c r="D73" s="41"/>
      <c r="E73" s="30"/>
      <c r="F73" s="36"/>
      <c r="G73" s="42"/>
      <c r="H73" s="34" t="str">
        <f t="shared" si="1"/>
        <v/>
      </c>
      <c r="I73" s="37" t="str">
        <f>IF($A73="","",IF($A73&lt;&gt;'Invoice (print)'!$C$1,"",COUNTIF($A$8:$A73,$A73)))</f>
        <v/>
      </c>
      <c r="J73" s="37" t="str">
        <f>IF($A73="","",IF(COUNTIF(Invoices!$A$8:$A$257,$A73)=0,"Unknown invoice no.",IF($C73="","No description",IF($H73=0,"Amount is 0","OK"))))</f>
        <v/>
      </c>
    </row>
    <row r="74" spans="1:10" ht="16" x14ac:dyDescent="0.2">
      <c r="A74" s="30"/>
      <c r="B74" s="31"/>
      <c r="C74" s="30"/>
      <c r="D74" s="41"/>
      <c r="E74" s="30"/>
      <c r="F74" s="36"/>
      <c r="G74" s="42"/>
      <c r="H74" s="34" t="str">
        <f t="shared" si="1"/>
        <v/>
      </c>
      <c r="I74" s="37" t="str">
        <f>IF($A74="","",IF($A74&lt;&gt;'Invoice (print)'!$C$1,"",COUNTIF($A$8:$A74,$A74)))</f>
        <v/>
      </c>
      <c r="J74" s="37" t="str">
        <f>IF($A74="","",IF(COUNTIF(Invoices!$A$8:$A$257,$A74)=0,"Unknown invoice no.",IF($C74="","No description",IF($H74=0,"Amount is 0","OK"))))</f>
        <v/>
      </c>
    </row>
    <row r="75" spans="1:10" ht="16" x14ac:dyDescent="0.2">
      <c r="A75" s="30"/>
      <c r="B75" s="31"/>
      <c r="C75" s="30"/>
      <c r="D75" s="41"/>
      <c r="E75" s="30"/>
      <c r="F75" s="36"/>
      <c r="G75" s="42"/>
      <c r="H75" s="34" t="str">
        <f t="shared" si="1"/>
        <v/>
      </c>
      <c r="I75" s="37" t="str">
        <f>IF($A75="","",IF($A75&lt;&gt;'Invoice (print)'!$C$1,"",COUNTIF($A$8:$A75,$A75)))</f>
        <v/>
      </c>
      <c r="J75" s="37" t="str">
        <f>IF($A75="","",IF(COUNTIF(Invoices!$A$8:$A$257,$A75)=0,"Unknown invoice no.",IF($C75="","No description",IF($H75=0,"Amount is 0","OK"))))</f>
        <v/>
      </c>
    </row>
    <row r="76" spans="1:10" ht="16" x14ac:dyDescent="0.2">
      <c r="A76" s="30"/>
      <c r="B76" s="31"/>
      <c r="C76" s="30"/>
      <c r="D76" s="41"/>
      <c r="E76" s="30"/>
      <c r="F76" s="36"/>
      <c r="G76" s="42"/>
      <c r="H76" s="34" t="str">
        <f t="shared" si="1"/>
        <v/>
      </c>
      <c r="I76" s="37" t="str">
        <f>IF($A76="","",IF($A76&lt;&gt;'Invoice (print)'!$C$1,"",COUNTIF($A$8:$A76,$A76)))</f>
        <v/>
      </c>
      <c r="J76" s="37" t="str">
        <f>IF($A76="","",IF(COUNTIF(Invoices!$A$8:$A$257,$A76)=0,"Unknown invoice no.",IF($C76="","No description",IF($H76=0,"Amount is 0","OK"))))</f>
        <v/>
      </c>
    </row>
    <row r="77" spans="1:10" ht="16" x14ac:dyDescent="0.2">
      <c r="A77" s="30"/>
      <c r="B77" s="31"/>
      <c r="C77" s="30"/>
      <c r="D77" s="41"/>
      <c r="E77" s="30"/>
      <c r="F77" s="36"/>
      <c r="G77" s="42"/>
      <c r="H77" s="34" t="str">
        <f t="shared" si="1"/>
        <v/>
      </c>
      <c r="I77" s="37" t="str">
        <f>IF($A77="","",IF($A77&lt;&gt;'Invoice (print)'!$C$1,"",COUNTIF($A$8:$A77,$A77)))</f>
        <v/>
      </c>
      <c r="J77" s="37" t="str">
        <f>IF($A77="","",IF(COUNTIF(Invoices!$A$8:$A$257,$A77)=0,"Unknown invoice no.",IF($C77="","No description",IF($H77=0,"Amount is 0","OK"))))</f>
        <v/>
      </c>
    </row>
    <row r="78" spans="1:10" ht="16" x14ac:dyDescent="0.2">
      <c r="A78" s="30"/>
      <c r="B78" s="31"/>
      <c r="C78" s="30"/>
      <c r="D78" s="41"/>
      <c r="E78" s="30"/>
      <c r="F78" s="36"/>
      <c r="G78" s="42"/>
      <c r="H78" s="34" t="str">
        <f t="shared" si="1"/>
        <v/>
      </c>
      <c r="I78" s="37" t="str">
        <f>IF($A78="","",IF($A78&lt;&gt;'Invoice (print)'!$C$1,"",COUNTIF($A$8:$A78,$A78)))</f>
        <v/>
      </c>
      <c r="J78" s="37" t="str">
        <f>IF($A78="","",IF(COUNTIF(Invoices!$A$8:$A$257,$A78)=0,"Unknown invoice no.",IF($C78="","No description",IF($H78=0,"Amount is 0","OK"))))</f>
        <v/>
      </c>
    </row>
    <row r="79" spans="1:10" ht="16" x14ac:dyDescent="0.2">
      <c r="A79" s="30"/>
      <c r="B79" s="31"/>
      <c r="C79" s="30"/>
      <c r="D79" s="41"/>
      <c r="E79" s="30"/>
      <c r="F79" s="36"/>
      <c r="G79" s="42"/>
      <c r="H79" s="34" t="str">
        <f t="shared" si="1"/>
        <v/>
      </c>
      <c r="I79" s="37" t="str">
        <f>IF($A79="","",IF($A79&lt;&gt;'Invoice (print)'!$C$1,"",COUNTIF($A$8:$A79,$A79)))</f>
        <v/>
      </c>
      <c r="J79" s="37" t="str">
        <f>IF($A79="","",IF(COUNTIF(Invoices!$A$8:$A$257,$A79)=0,"Unknown invoice no.",IF($C79="","No description",IF($H79=0,"Amount is 0","OK"))))</f>
        <v/>
      </c>
    </row>
    <row r="80" spans="1:10" ht="16" x14ac:dyDescent="0.2">
      <c r="A80" s="30"/>
      <c r="B80" s="31"/>
      <c r="C80" s="30"/>
      <c r="D80" s="41"/>
      <c r="E80" s="30"/>
      <c r="F80" s="36"/>
      <c r="G80" s="42"/>
      <c r="H80" s="34" t="str">
        <f t="shared" si="1"/>
        <v/>
      </c>
      <c r="I80" s="37" t="str">
        <f>IF($A80="","",IF($A80&lt;&gt;'Invoice (print)'!$C$1,"",COUNTIF($A$8:$A80,$A80)))</f>
        <v/>
      </c>
      <c r="J80" s="37" t="str">
        <f>IF($A80="","",IF(COUNTIF(Invoices!$A$8:$A$257,$A80)=0,"Unknown invoice no.",IF($C80="","No description",IF($H80=0,"Amount is 0","OK"))))</f>
        <v/>
      </c>
    </row>
    <row r="81" spans="1:10" ht="16" x14ac:dyDescent="0.2">
      <c r="A81" s="30"/>
      <c r="B81" s="31"/>
      <c r="C81" s="30"/>
      <c r="D81" s="41"/>
      <c r="E81" s="30"/>
      <c r="F81" s="36"/>
      <c r="G81" s="42"/>
      <c r="H81" s="34" t="str">
        <f t="shared" si="1"/>
        <v/>
      </c>
      <c r="I81" s="37" t="str">
        <f>IF($A81="","",IF($A81&lt;&gt;'Invoice (print)'!$C$1,"",COUNTIF($A$8:$A81,$A81)))</f>
        <v/>
      </c>
      <c r="J81" s="37" t="str">
        <f>IF($A81="","",IF(COUNTIF(Invoices!$A$8:$A$257,$A81)=0,"Unknown invoice no.",IF($C81="","No description",IF($H81=0,"Amount is 0","OK"))))</f>
        <v/>
      </c>
    </row>
    <row r="82" spans="1:10" ht="16" x14ac:dyDescent="0.2">
      <c r="A82" s="30"/>
      <c r="B82" s="31"/>
      <c r="C82" s="30"/>
      <c r="D82" s="41"/>
      <c r="E82" s="30"/>
      <c r="F82" s="36"/>
      <c r="G82" s="42"/>
      <c r="H82" s="34" t="str">
        <f t="shared" si="1"/>
        <v/>
      </c>
      <c r="I82" s="37" t="str">
        <f>IF($A82="","",IF($A82&lt;&gt;'Invoice (print)'!$C$1,"",COUNTIF($A$8:$A82,$A82)))</f>
        <v/>
      </c>
      <c r="J82" s="37" t="str">
        <f>IF($A82="","",IF(COUNTIF(Invoices!$A$8:$A$257,$A82)=0,"Unknown invoice no.",IF($C82="","No description",IF($H82=0,"Amount is 0","OK"))))</f>
        <v/>
      </c>
    </row>
    <row r="83" spans="1:10" ht="16" x14ac:dyDescent="0.2">
      <c r="A83" s="30"/>
      <c r="B83" s="31"/>
      <c r="C83" s="30"/>
      <c r="D83" s="41"/>
      <c r="E83" s="30"/>
      <c r="F83" s="36"/>
      <c r="G83" s="42"/>
      <c r="H83" s="34" t="str">
        <f t="shared" si="1"/>
        <v/>
      </c>
      <c r="I83" s="37" t="str">
        <f>IF($A83="","",IF($A83&lt;&gt;'Invoice (print)'!$C$1,"",COUNTIF($A$8:$A83,$A83)))</f>
        <v/>
      </c>
      <c r="J83" s="37" t="str">
        <f>IF($A83="","",IF(COUNTIF(Invoices!$A$8:$A$257,$A83)=0,"Unknown invoice no.",IF($C83="","No description",IF($H83=0,"Amount is 0","OK"))))</f>
        <v/>
      </c>
    </row>
    <row r="84" spans="1:10" ht="16" x14ac:dyDescent="0.2">
      <c r="A84" s="30"/>
      <c r="B84" s="31"/>
      <c r="C84" s="30"/>
      <c r="D84" s="41"/>
      <c r="E84" s="30"/>
      <c r="F84" s="36"/>
      <c r="G84" s="42"/>
      <c r="H84" s="34" t="str">
        <f t="shared" si="1"/>
        <v/>
      </c>
      <c r="I84" s="37" t="str">
        <f>IF($A84="","",IF($A84&lt;&gt;'Invoice (print)'!$C$1,"",COUNTIF($A$8:$A84,$A84)))</f>
        <v/>
      </c>
      <c r="J84" s="37" t="str">
        <f>IF($A84="","",IF(COUNTIF(Invoices!$A$8:$A$257,$A84)=0,"Unknown invoice no.",IF($C84="","No description",IF($H84=0,"Amount is 0","OK"))))</f>
        <v/>
      </c>
    </row>
    <row r="85" spans="1:10" ht="16" x14ac:dyDescent="0.2">
      <c r="A85" s="30"/>
      <c r="B85" s="31"/>
      <c r="C85" s="30"/>
      <c r="D85" s="41"/>
      <c r="E85" s="30"/>
      <c r="F85" s="36"/>
      <c r="G85" s="42"/>
      <c r="H85" s="34" t="str">
        <f t="shared" si="1"/>
        <v/>
      </c>
      <c r="I85" s="37" t="str">
        <f>IF($A85="","",IF($A85&lt;&gt;'Invoice (print)'!$C$1,"",COUNTIF($A$8:$A85,$A85)))</f>
        <v/>
      </c>
      <c r="J85" s="37" t="str">
        <f>IF($A85="","",IF(COUNTIF(Invoices!$A$8:$A$257,$A85)=0,"Unknown invoice no.",IF($C85="","No description",IF($H85=0,"Amount is 0","OK"))))</f>
        <v/>
      </c>
    </row>
    <row r="86" spans="1:10" ht="16" x14ac:dyDescent="0.2">
      <c r="A86" s="30"/>
      <c r="B86" s="31"/>
      <c r="C86" s="30"/>
      <c r="D86" s="41"/>
      <c r="E86" s="30"/>
      <c r="F86" s="36"/>
      <c r="G86" s="42"/>
      <c r="H86" s="34" t="str">
        <f t="shared" si="1"/>
        <v/>
      </c>
      <c r="I86" s="37" t="str">
        <f>IF($A86="","",IF($A86&lt;&gt;'Invoice (print)'!$C$1,"",COUNTIF($A$8:$A86,$A86)))</f>
        <v/>
      </c>
      <c r="J86" s="37" t="str">
        <f>IF($A86="","",IF(COUNTIF(Invoices!$A$8:$A$257,$A86)=0,"Unknown invoice no.",IF($C86="","No description",IF($H86=0,"Amount is 0","OK"))))</f>
        <v/>
      </c>
    </row>
    <row r="87" spans="1:10" ht="16" x14ac:dyDescent="0.2">
      <c r="A87" s="30"/>
      <c r="B87" s="31"/>
      <c r="C87" s="30"/>
      <c r="D87" s="41"/>
      <c r="E87" s="30"/>
      <c r="F87" s="36"/>
      <c r="G87" s="42"/>
      <c r="H87" s="34" t="str">
        <f t="shared" si="1"/>
        <v/>
      </c>
      <c r="I87" s="37" t="str">
        <f>IF($A87="","",IF($A87&lt;&gt;'Invoice (print)'!$C$1,"",COUNTIF($A$8:$A87,$A87)))</f>
        <v/>
      </c>
      <c r="J87" s="37" t="str">
        <f>IF($A87="","",IF(COUNTIF(Invoices!$A$8:$A$257,$A87)=0,"Unknown invoice no.",IF($C87="","No description",IF($H87=0,"Amount is 0","OK"))))</f>
        <v/>
      </c>
    </row>
    <row r="88" spans="1:10" ht="16" x14ac:dyDescent="0.2">
      <c r="A88" s="30"/>
      <c r="B88" s="31"/>
      <c r="C88" s="30"/>
      <c r="D88" s="41"/>
      <c r="E88" s="30"/>
      <c r="F88" s="36"/>
      <c r="G88" s="42"/>
      <c r="H88" s="34" t="str">
        <f t="shared" si="1"/>
        <v/>
      </c>
      <c r="I88" s="37" t="str">
        <f>IF($A88="","",IF($A88&lt;&gt;'Invoice (print)'!$C$1,"",COUNTIF($A$8:$A88,$A88)))</f>
        <v/>
      </c>
      <c r="J88" s="37" t="str">
        <f>IF($A88="","",IF(COUNTIF(Invoices!$A$8:$A$257,$A88)=0,"Unknown invoice no.",IF($C88="","No description",IF($H88=0,"Amount is 0","OK"))))</f>
        <v/>
      </c>
    </row>
    <row r="89" spans="1:10" ht="16" x14ac:dyDescent="0.2">
      <c r="A89" s="30"/>
      <c r="B89" s="31"/>
      <c r="C89" s="30"/>
      <c r="D89" s="41"/>
      <c r="E89" s="30"/>
      <c r="F89" s="36"/>
      <c r="G89" s="42"/>
      <c r="H89" s="34" t="str">
        <f t="shared" si="1"/>
        <v/>
      </c>
      <c r="I89" s="37" t="str">
        <f>IF($A89="","",IF($A89&lt;&gt;'Invoice (print)'!$C$1,"",COUNTIF($A$8:$A89,$A89)))</f>
        <v/>
      </c>
      <c r="J89" s="37" t="str">
        <f>IF($A89="","",IF(COUNTIF(Invoices!$A$8:$A$257,$A89)=0,"Unknown invoice no.",IF($C89="","No description",IF($H89=0,"Amount is 0","OK"))))</f>
        <v/>
      </c>
    </row>
    <row r="90" spans="1:10" ht="16" x14ac:dyDescent="0.2">
      <c r="A90" s="30"/>
      <c r="B90" s="31"/>
      <c r="C90" s="30"/>
      <c r="D90" s="41"/>
      <c r="E90" s="30"/>
      <c r="F90" s="36"/>
      <c r="G90" s="42"/>
      <c r="H90" s="34" t="str">
        <f t="shared" si="1"/>
        <v/>
      </c>
      <c r="I90" s="37" t="str">
        <f>IF($A90="","",IF($A90&lt;&gt;'Invoice (print)'!$C$1,"",COUNTIF($A$8:$A90,$A90)))</f>
        <v/>
      </c>
      <c r="J90" s="37" t="str">
        <f>IF($A90="","",IF(COUNTIF(Invoices!$A$8:$A$257,$A90)=0,"Unknown invoice no.",IF($C90="","No description",IF($H90=0,"Amount is 0","OK"))))</f>
        <v/>
      </c>
    </row>
    <row r="91" spans="1:10" ht="16" x14ac:dyDescent="0.2">
      <c r="A91" s="30"/>
      <c r="B91" s="31"/>
      <c r="C91" s="30"/>
      <c r="D91" s="41"/>
      <c r="E91" s="30"/>
      <c r="F91" s="36"/>
      <c r="G91" s="42"/>
      <c r="H91" s="34" t="str">
        <f t="shared" si="1"/>
        <v/>
      </c>
      <c r="I91" s="37" t="str">
        <f>IF($A91="","",IF($A91&lt;&gt;'Invoice (print)'!$C$1,"",COUNTIF($A$8:$A91,$A91)))</f>
        <v/>
      </c>
      <c r="J91" s="37" t="str">
        <f>IF($A91="","",IF(COUNTIF(Invoices!$A$8:$A$257,$A91)=0,"Unknown invoice no.",IF($C91="","No description",IF($H91=0,"Amount is 0","OK"))))</f>
        <v/>
      </c>
    </row>
    <row r="92" spans="1:10" ht="16" x14ac:dyDescent="0.2">
      <c r="A92" s="30"/>
      <c r="B92" s="31"/>
      <c r="C92" s="30"/>
      <c r="D92" s="41"/>
      <c r="E92" s="30"/>
      <c r="F92" s="36"/>
      <c r="G92" s="42"/>
      <c r="H92" s="34" t="str">
        <f t="shared" si="1"/>
        <v/>
      </c>
      <c r="I92" s="37" t="str">
        <f>IF($A92="","",IF($A92&lt;&gt;'Invoice (print)'!$C$1,"",COUNTIF($A$8:$A92,$A92)))</f>
        <v/>
      </c>
      <c r="J92" s="37" t="str">
        <f>IF($A92="","",IF(COUNTIF(Invoices!$A$8:$A$257,$A92)=0,"Unknown invoice no.",IF($C92="","No description",IF($H92=0,"Amount is 0","OK"))))</f>
        <v/>
      </c>
    </row>
    <row r="93" spans="1:10" ht="16" x14ac:dyDescent="0.2">
      <c r="A93" s="30"/>
      <c r="B93" s="31"/>
      <c r="C93" s="30"/>
      <c r="D93" s="41"/>
      <c r="E93" s="30"/>
      <c r="F93" s="36"/>
      <c r="G93" s="42"/>
      <c r="H93" s="34" t="str">
        <f t="shared" si="1"/>
        <v/>
      </c>
      <c r="I93" s="37" t="str">
        <f>IF($A93="","",IF($A93&lt;&gt;'Invoice (print)'!$C$1,"",COUNTIF($A$8:$A93,$A93)))</f>
        <v/>
      </c>
      <c r="J93" s="37" t="str">
        <f>IF($A93="","",IF(COUNTIF(Invoices!$A$8:$A$257,$A93)=0,"Unknown invoice no.",IF($C93="","No description",IF($H93=0,"Amount is 0","OK"))))</f>
        <v/>
      </c>
    </row>
    <row r="94" spans="1:10" ht="16" x14ac:dyDescent="0.2">
      <c r="A94" s="30"/>
      <c r="B94" s="31"/>
      <c r="C94" s="30"/>
      <c r="D94" s="41"/>
      <c r="E94" s="30"/>
      <c r="F94" s="36"/>
      <c r="G94" s="42"/>
      <c r="H94" s="34" t="str">
        <f t="shared" si="1"/>
        <v/>
      </c>
      <c r="I94" s="37" t="str">
        <f>IF($A94="","",IF($A94&lt;&gt;'Invoice (print)'!$C$1,"",COUNTIF($A$8:$A94,$A94)))</f>
        <v/>
      </c>
      <c r="J94" s="37" t="str">
        <f>IF($A94="","",IF(COUNTIF(Invoices!$A$8:$A$257,$A94)=0,"Unknown invoice no.",IF($C94="","No description",IF($H94=0,"Amount is 0","OK"))))</f>
        <v/>
      </c>
    </row>
    <row r="95" spans="1:10" ht="16" x14ac:dyDescent="0.2">
      <c r="A95" s="30"/>
      <c r="B95" s="31"/>
      <c r="C95" s="30"/>
      <c r="D95" s="41"/>
      <c r="E95" s="30"/>
      <c r="F95" s="36"/>
      <c r="G95" s="42"/>
      <c r="H95" s="34" t="str">
        <f t="shared" si="1"/>
        <v/>
      </c>
      <c r="I95" s="37" t="str">
        <f>IF($A95="","",IF($A95&lt;&gt;'Invoice (print)'!$C$1,"",COUNTIF($A$8:$A95,$A95)))</f>
        <v/>
      </c>
      <c r="J95" s="37" t="str">
        <f>IF($A95="","",IF(COUNTIF(Invoices!$A$8:$A$257,$A95)=0,"Unknown invoice no.",IF($C95="","No description",IF($H95=0,"Amount is 0","OK"))))</f>
        <v/>
      </c>
    </row>
    <row r="96" spans="1:10" ht="16" x14ac:dyDescent="0.2">
      <c r="A96" s="30"/>
      <c r="B96" s="31"/>
      <c r="C96" s="30"/>
      <c r="D96" s="41"/>
      <c r="E96" s="30"/>
      <c r="F96" s="36"/>
      <c r="G96" s="42"/>
      <c r="H96" s="34" t="str">
        <f t="shared" si="1"/>
        <v/>
      </c>
      <c r="I96" s="37" t="str">
        <f>IF($A96="","",IF($A96&lt;&gt;'Invoice (print)'!$C$1,"",COUNTIF($A$8:$A96,$A96)))</f>
        <v/>
      </c>
      <c r="J96" s="37" t="str">
        <f>IF($A96="","",IF(COUNTIF(Invoices!$A$8:$A$257,$A96)=0,"Unknown invoice no.",IF($C96="","No description",IF($H96=0,"Amount is 0","OK"))))</f>
        <v/>
      </c>
    </row>
    <row r="97" spans="1:10" ht="16" x14ac:dyDescent="0.2">
      <c r="A97" s="30"/>
      <c r="B97" s="31"/>
      <c r="C97" s="30"/>
      <c r="D97" s="41"/>
      <c r="E97" s="30"/>
      <c r="F97" s="36"/>
      <c r="G97" s="42"/>
      <c r="H97" s="34" t="str">
        <f t="shared" si="1"/>
        <v/>
      </c>
      <c r="I97" s="37" t="str">
        <f>IF($A97="","",IF($A97&lt;&gt;'Invoice (print)'!$C$1,"",COUNTIF($A$8:$A97,$A97)))</f>
        <v/>
      </c>
      <c r="J97" s="37" t="str">
        <f>IF($A97="","",IF(COUNTIF(Invoices!$A$8:$A$257,$A97)=0,"Unknown invoice no.",IF($C97="","No description",IF($H97=0,"Amount is 0","OK"))))</f>
        <v/>
      </c>
    </row>
    <row r="98" spans="1:10" ht="16" x14ac:dyDescent="0.2">
      <c r="A98" s="30"/>
      <c r="B98" s="31"/>
      <c r="C98" s="30"/>
      <c r="D98" s="41"/>
      <c r="E98" s="30"/>
      <c r="F98" s="36"/>
      <c r="G98" s="42"/>
      <c r="H98" s="34" t="str">
        <f t="shared" si="1"/>
        <v/>
      </c>
      <c r="I98" s="37" t="str">
        <f>IF($A98="","",IF($A98&lt;&gt;'Invoice (print)'!$C$1,"",COUNTIF($A$8:$A98,$A98)))</f>
        <v/>
      </c>
      <c r="J98" s="37" t="str">
        <f>IF($A98="","",IF(COUNTIF(Invoices!$A$8:$A$257,$A98)=0,"Unknown invoice no.",IF($C98="","No description",IF($H98=0,"Amount is 0","OK"))))</f>
        <v/>
      </c>
    </row>
    <row r="99" spans="1:10" ht="16" x14ac:dyDescent="0.2">
      <c r="A99" s="30"/>
      <c r="B99" s="31"/>
      <c r="C99" s="30"/>
      <c r="D99" s="41"/>
      <c r="E99" s="30"/>
      <c r="F99" s="36"/>
      <c r="G99" s="42"/>
      <c r="H99" s="34" t="str">
        <f t="shared" si="1"/>
        <v/>
      </c>
      <c r="I99" s="37" t="str">
        <f>IF($A99="","",IF($A99&lt;&gt;'Invoice (print)'!$C$1,"",COUNTIF($A$8:$A99,$A99)))</f>
        <v/>
      </c>
      <c r="J99" s="37" t="str">
        <f>IF($A99="","",IF(COUNTIF(Invoices!$A$8:$A$257,$A99)=0,"Unknown invoice no.",IF($C99="","No description",IF($H99=0,"Amount is 0","OK"))))</f>
        <v/>
      </c>
    </row>
    <row r="100" spans="1:10" ht="16" x14ac:dyDescent="0.2">
      <c r="A100" s="30"/>
      <c r="B100" s="31"/>
      <c r="C100" s="30"/>
      <c r="D100" s="41"/>
      <c r="E100" s="30"/>
      <c r="F100" s="36"/>
      <c r="G100" s="42"/>
      <c r="H100" s="34" t="str">
        <f t="shared" si="1"/>
        <v/>
      </c>
      <c r="I100" s="37" t="str">
        <f>IF($A100="","",IF($A100&lt;&gt;'Invoice (print)'!$C$1,"",COUNTIF($A$8:$A100,$A100)))</f>
        <v/>
      </c>
      <c r="J100" s="37" t="str">
        <f>IF($A100="","",IF(COUNTIF(Invoices!$A$8:$A$257,$A100)=0,"Unknown invoice no.",IF($C100="","No description",IF($H100=0,"Amount is 0","OK"))))</f>
        <v/>
      </c>
    </row>
    <row r="101" spans="1:10" ht="16" x14ac:dyDescent="0.2">
      <c r="A101" s="30"/>
      <c r="B101" s="31"/>
      <c r="C101" s="30"/>
      <c r="D101" s="41"/>
      <c r="E101" s="30"/>
      <c r="F101" s="36"/>
      <c r="G101" s="42"/>
      <c r="H101" s="34" t="str">
        <f t="shared" si="1"/>
        <v/>
      </c>
      <c r="I101" s="37" t="str">
        <f>IF($A101="","",IF($A101&lt;&gt;'Invoice (print)'!$C$1,"",COUNTIF($A$8:$A101,$A101)))</f>
        <v/>
      </c>
      <c r="J101" s="37" t="str">
        <f>IF($A101="","",IF(COUNTIF(Invoices!$A$8:$A$257,$A101)=0,"Unknown invoice no.",IF($C101="","No description",IF($H101=0,"Amount is 0","OK"))))</f>
        <v/>
      </c>
    </row>
    <row r="102" spans="1:10" ht="16" x14ac:dyDescent="0.2">
      <c r="A102" s="30"/>
      <c r="B102" s="31"/>
      <c r="C102" s="30"/>
      <c r="D102" s="41"/>
      <c r="E102" s="30"/>
      <c r="F102" s="36"/>
      <c r="G102" s="42"/>
      <c r="H102" s="34" t="str">
        <f t="shared" si="1"/>
        <v/>
      </c>
      <c r="I102" s="37" t="str">
        <f>IF($A102="","",IF($A102&lt;&gt;'Invoice (print)'!$C$1,"",COUNTIF($A$8:$A102,$A102)))</f>
        <v/>
      </c>
      <c r="J102" s="37" t="str">
        <f>IF($A102="","",IF(COUNTIF(Invoices!$A$8:$A$257,$A102)=0,"Unknown invoice no.",IF($C102="","No description",IF($H102=0,"Amount is 0","OK"))))</f>
        <v/>
      </c>
    </row>
    <row r="103" spans="1:10" ht="16" x14ac:dyDescent="0.2">
      <c r="A103" s="30"/>
      <c r="B103" s="31"/>
      <c r="C103" s="30"/>
      <c r="D103" s="41"/>
      <c r="E103" s="30"/>
      <c r="F103" s="36"/>
      <c r="G103" s="42"/>
      <c r="H103" s="34" t="str">
        <f t="shared" si="1"/>
        <v/>
      </c>
      <c r="I103" s="37" t="str">
        <f>IF($A103="","",IF($A103&lt;&gt;'Invoice (print)'!$C$1,"",COUNTIF($A$8:$A103,$A103)))</f>
        <v/>
      </c>
      <c r="J103" s="37" t="str">
        <f>IF($A103="","",IF(COUNTIF(Invoices!$A$8:$A$257,$A103)=0,"Unknown invoice no.",IF($C103="","No description",IF($H103=0,"Amount is 0","OK"))))</f>
        <v/>
      </c>
    </row>
    <row r="104" spans="1:10" ht="16" x14ac:dyDescent="0.2">
      <c r="A104" s="30"/>
      <c r="B104" s="31"/>
      <c r="C104" s="30"/>
      <c r="D104" s="41"/>
      <c r="E104" s="30"/>
      <c r="F104" s="36"/>
      <c r="G104" s="42"/>
      <c r="H104" s="34" t="str">
        <f t="shared" si="1"/>
        <v/>
      </c>
      <c r="I104" s="37" t="str">
        <f>IF($A104="","",IF($A104&lt;&gt;'Invoice (print)'!$C$1,"",COUNTIF($A$8:$A104,$A104)))</f>
        <v/>
      </c>
      <c r="J104" s="37" t="str">
        <f>IF($A104="","",IF(COUNTIF(Invoices!$A$8:$A$257,$A104)=0,"Unknown invoice no.",IF($C104="","No description",IF($H104=0,"Amount is 0","OK"))))</f>
        <v/>
      </c>
    </row>
    <row r="105" spans="1:10" ht="16" x14ac:dyDescent="0.2">
      <c r="A105" s="30"/>
      <c r="B105" s="31"/>
      <c r="C105" s="30"/>
      <c r="D105" s="41"/>
      <c r="E105" s="30"/>
      <c r="F105" s="36"/>
      <c r="G105" s="42"/>
      <c r="H105" s="34" t="str">
        <f t="shared" si="1"/>
        <v/>
      </c>
      <c r="I105" s="37" t="str">
        <f>IF($A105="","",IF($A105&lt;&gt;'Invoice (print)'!$C$1,"",COUNTIF($A$8:$A105,$A105)))</f>
        <v/>
      </c>
      <c r="J105" s="37" t="str">
        <f>IF($A105="","",IF(COUNTIF(Invoices!$A$8:$A$257,$A105)=0,"Unknown invoice no.",IF($C105="","No description",IF($H105=0,"Amount is 0","OK"))))</f>
        <v/>
      </c>
    </row>
    <row r="106" spans="1:10" ht="16" x14ac:dyDescent="0.2">
      <c r="A106" s="30"/>
      <c r="B106" s="31"/>
      <c r="C106" s="30"/>
      <c r="D106" s="41"/>
      <c r="E106" s="30"/>
      <c r="F106" s="36"/>
      <c r="G106" s="42"/>
      <c r="H106" s="34" t="str">
        <f t="shared" si="1"/>
        <v/>
      </c>
      <c r="I106" s="37" t="str">
        <f>IF($A106="","",IF($A106&lt;&gt;'Invoice (print)'!$C$1,"",COUNTIF($A$8:$A106,$A106)))</f>
        <v/>
      </c>
      <c r="J106" s="37" t="str">
        <f>IF($A106="","",IF(COUNTIF(Invoices!$A$8:$A$257,$A106)=0,"Unknown invoice no.",IF($C106="","No description",IF($H106=0,"Amount is 0","OK"))))</f>
        <v/>
      </c>
    </row>
    <row r="107" spans="1:10" ht="16" x14ac:dyDescent="0.2">
      <c r="A107" s="30"/>
      <c r="B107" s="31"/>
      <c r="C107" s="30"/>
      <c r="D107" s="41"/>
      <c r="E107" s="30"/>
      <c r="F107" s="36"/>
      <c r="G107" s="42"/>
      <c r="H107" s="34" t="str">
        <f t="shared" si="1"/>
        <v/>
      </c>
      <c r="I107" s="37" t="str">
        <f>IF($A107="","",IF($A107&lt;&gt;'Invoice (print)'!$C$1,"",COUNTIF($A$8:$A107,$A107)))</f>
        <v/>
      </c>
      <c r="J107" s="37" t="str">
        <f>IF($A107="","",IF(COUNTIF(Invoices!$A$8:$A$257,$A107)=0,"Unknown invoice no.",IF($C107="","No description",IF($H107=0,"Amount is 0","OK"))))</f>
        <v/>
      </c>
    </row>
    <row r="108" spans="1:10" ht="16" x14ac:dyDescent="0.2">
      <c r="A108" s="30"/>
      <c r="B108" s="31"/>
      <c r="C108" s="30"/>
      <c r="D108" s="41"/>
      <c r="E108" s="30"/>
      <c r="F108" s="36"/>
      <c r="G108" s="42"/>
      <c r="H108" s="34" t="str">
        <f t="shared" si="1"/>
        <v/>
      </c>
      <c r="I108" s="37" t="str">
        <f>IF($A108="","",IF($A108&lt;&gt;'Invoice (print)'!$C$1,"",COUNTIF($A$8:$A108,$A108)))</f>
        <v/>
      </c>
      <c r="J108" s="37" t="str">
        <f>IF($A108="","",IF(COUNTIF(Invoices!$A$8:$A$257,$A108)=0,"Unknown invoice no.",IF($C108="","No description",IF($H108=0,"Amount is 0","OK"))))</f>
        <v/>
      </c>
    </row>
    <row r="109" spans="1:10" ht="16" x14ac:dyDescent="0.2">
      <c r="A109" s="30"/>
      <c r="B109" s="31"/>
      <c r="C109" s="30"/>
      <c r="D109" s="41"/>
      <c r="E109" s="30"/>
      <c r="F109" s="36"/>
      <c r="G109" s="42"/>
      <c r="H109" s="34" t="str">
        <f t="shared" si="1"/>
        <v/>
      </c>
      <c r="I109" s="37" t="str">
        <f>IF($A109="","",IF($A109&lt;&gt;'Invoice (print)'!$C$1,"",COUNTIF($A$8:$A109,$A109)))</f>
        <v/>
      </c>
      <c r="J109" s="37" t="str">
        <f>IF($A109="","",IF(COUNTIF(Invoices!$A$8:$A$257,$A109)=0,"Unknown invoice no.",IF($C109="","No description",IF($H109=0,"Amount is 0","OK"))))</f>
        <v/>
      </c>
    </row>
    <row r="110" spans="1:10" ht="16" x14ac:dyDescent="0.2">
      <c r="A110" s="30"/>
      <c r="B110" s="31"/>
      <c r="C110" s="30"/>
      <c r="D110" s="41"/>
      <c r="E110" s="30"/>
      <c r="F110" s="36"/>
      <c r="G110" s="42"/>
      <c r="H110" s="34" t="str">
        <f t="shared" si="1"/>
        <v/>
      </c>
      <c r="I110" s="37" t="str">
        <f>IF($A110="","",IF($A110&lt;&gt;'Invoice (print)'!$C$1,"",COUNTIF($A$8:$A110,$A110)))</f>
        <v/>
      </c>
      <c r="J110" s="37" t="str">
        <f>IF($A110="","",IF(COUNTIF(Invoices!$A$8:$A$257,$A110)=0,"Unknown invoice no.",IF($C110="","No description",IF($H110=0,"Amount is 0","OK"))))</f>
        <v/>
      </c>
    </row>
    <row r="111" spans="1:10" ht="16" x14ac:dyDescent="0.2">
      <c r="A111" s="30"/>
      <c r="B111" s="31"/>
      <c r="C111" s="30"/>
      <c r="D111" s="41"/>
      <c r="E111" s="30"/>
      <c r="F111" s="36"/>
      <c r="G111" s="42"/>
      <c r="H111" s="34" t="str">
        <f t="shared" si="1"/>
        <v/>
      </c>
      <c r="I111" s="37" t="str">
        <f>IF($A111="","",IF($A111&lt;&gt;'Invoice (print)'!$C$1,"",COUNTIF($A$8:$A111,$A111)))</f>
        <v/>
      </c>
      <c r="J111" s="37" t="str">
        <f>IF($A111="","",IF(COUNTIF(Invoices!$A$8:$A$257,$A111)=0,"Unknown invoice no.",IF($C111="","No description",IF($H111=0,"Amount is 0","OK"))))</f>
        <v/>
      </c>
    </row>
    <row r="112" spans="1:10" ht="16" x14ac:dyDescent="0.2">
      <c r="A112" s="30"/>
      <c r="B112" s="31"/>
      <c r="C112" s="30"/>
      <c r="D112" s="41"/>
      <c r="E112" s="30"/>
      <c r="F112" s="36"/>
      <c r="G112" s="42"/>
      <c r="H112" s="34" t="str">
        <f t="shared" si="1"/>
        <v/>
      </c>
      <c r="I112" s="37" t="str">
        <f>IF($A112="","",IF($A112&lt;&gt;'Invoice (print)'!$C$1,"",COUNTIF($A$8:$A112,$A112)))</f>
        <v/>
      </c>
      <c r="J112" s="37" t="str">
        <f>IF($A112="","",IF(COUNTIF(Invoices!$A$8:$A$257,$A112)=0,"Unknown invoice no.",IF($C112="","No description",IF($H112=0,"Amount is 0","OK"))))</f>
        <v/>
      </c>
    </row>
    <row r="113" spans="1:10" ht="16" x14ac:dyDescent="0.2">
      <c r="A113" s="30"/>
      <c r="B113" s="31"/>
      <c r="C113" s="30"/>
      <c r="D113" s="41"/>
      <c r="E113" s="30"/>
      <c r="F113" s="36"/>
      <c r="G113" s="42"/>
      <c r="H113" s="34" t="str">
        <f t="shared" si="1"/>
        <v/>
      </c>
      <c r="I113" s="37" t="str">
        <f>IF($A113="","",IF($A113&lt;&gt;'Invoice (print)'!$C$1,"",COUNTIF($A$8:$A113,$A113)))</f>
        <v/>
      </c>
      <c r="J113" s="37" t="str">
        <f>IF($A113="","",IF(COUNTIF(Invoices!$A$8:$A$257,$A113)=0,"Unknown invoice no.",IF($C113="","No description",IF($H113=0,"Amount is 0","OK"))))</f>
        <v/>
      </c>
    </row>
    <row r="114" spans="1:10" ht="16" x14ac:dyDescent="0.2">
      <c r="A114" s="30"/>
      <c r="B114" s="31"/>
      <c r="C114" s="30"/>
      <c r="D114" s="41"/>
      <c r="E114" s="30"/>
      <c r="F114" s="36"/>
      <c r="G114" s="42"/>
      <c r="H114" s="34" t="str">
        <f t="shared" si="1"/>
        <v/>
      </c>
      <c r="I114" s="37" t="str">
        <f>IF($A114="","",IF($A114&lt;&gt;'Invoice (print)'!$C$1,"",COUNTIF($A$8:$A114,$A114)))</f>
        <v/>
      </c>
      <c r="J114" s="37" t="str">
        <f>IF($A114="","",IF(COUNTIF(Invoices!$A$8:$A$257,$A114)=0,"Unknown invoice no.",IF($C114="","No description",IF($H114=0,"Amount is 0","OK"))))</f>
        <v/>
      </c>
    </row>
    <row r="115" spans="1:10" ht="16" x14ac:dyDescent="0.2">
      <c r="A115" s="30"/>
      <c r="B115" s="31"/>
      <c r="C115" s="30"/>
      <c r="D115" s="41"/>
      <c r="E115" s="30"/>
      <c r="F115" s="36"/>
      <c r="G115" s="42"/>
      <c r="H115" s="34" t="str">
        <f t="shared" si="1"/>
        <v/>
      </c>
      <c r="I115" s="37" t="str">
        <f>IF($A115="","",IF($A115&lt;&gt;'Invoice (print)'!$C$1,"",COUNTIF($A$8:$A115,$A115)))</f>
        <v/>
      </c>
      <c r="J115" s="37" t="str">
        <f>IF($A115="","",IF(COUNTIF(Invoices!$A$8:$A$257,$A115)=0,"Unknown invoice no.",IF($C115="","No description",IF($H115=0,"Amount is 0","OK"))))</f>
        <v/>
      </c>
    </row>
    <row r="116" spans="1:10" ht="16" x14ac:dyDescent="0.2">
      <c r="A116" s="30"/>
      <c r="B116" s="31"/>
      <c r="C116" s="30"/>
      <c r="D116" s="41"/>
      <c r="E116" s="30"/>
      <c r="F116" s="36"/>
      <c r="G116" s="42"/>
      <c r="H116" s="34" t="str">
        <f t="shared" si="1"/>
        <v/>
      </c>
      <c r="I116" s="37" t="str">
        <f>IF($A116="","",IF($A116&lt;&gt;'Invoice (print)'!$C$1,"",COUNTIF($A$8:$A116,$A116)))</f>
        <v/>
      </c>
      <c r="J116" s="37" t="str">
        <f>IF($A116="","",IF(COUNTIF(Invoices!$A$8:$A$257,$A116)=0,"Unknown invoice no.",IF($C116="","No description",IF($H116=0,"Amount is 0","OK"))))</f>
        <v/>
      </c>
    </row>
    <row r="117" spans="1:10" ht="16" x14ac:dyDescent="0.2">
      <c r="A117" s="30"/>
      <c r="B117" s="31"/>
      <c r="C117" s="30"/>
      <c r="D117" s="41"/>
      <c r="E117" s="30"/>
      <c r="F117" s="36"/>
      <c r="G117" s="42"/>
      <c r="H117" s="34" t="str">
        <f t="shared" si="1"/>
        <v/>
      </c>
      <c r="I117" s="37" t="str">
        <f>IF($A117="","",IF($A117&lt;&gt;'Invoice (print)'!$C$1,"",COUNTIF($A$8:$A117,$A117)))</f>
        <v/>
      </c>
      <c r="J117" s="37" t="str">
        <f>IF($A117="","",IF(COUNTIF(Invoices!$A$8:$A$257,$A117)=0,"Unknown invoice no.",IF($C117="","No description",IF($H117=0,"Amount is 0","OK"))))</f>
        <v/>
      </c>
    </row>
    <row r="118" spans="1:10" ht="16" x14ac:dyDescent="0.2">
      <c r="A118" s="30"/>
      <c r="B118" s="31"/>
      <c r="C118" s="30"/>
      <c r="D118" s="41"/>
      <c r="E118" s="30"/>
      <c r="F118" s="36"/>
      <c r="G118" s="42"/>
      <c r="H118" s="34" t="str">
        <f t="shared" si="1"/>
        <v/>
      </c>
      <c r="I118" s="37" t="str">
        <f>IF($A118="","",IF($A118&lt;&gt;'Invoice (print)'!$C$1,"",COUNTIF($A$8:$A118,$A118)))</f>
        <v/>
      </c>
      <c r="J118" s="37" t="str">
        <f>IF($A118="","",IF(COUNTIF(Invoices!$A$8:$A$257,$A118)=0,"Unknown invoice no.",IF($C118="","No description",IF($H118=0,"Amount is 0","OK"))))</f>
        <v/>
      </c>
    </row>
    <row r="119" spans="1:10" ht="16" x14ac:dyDescent="0.2">
      <c r="A119" s="30"/>
      <c r="B119" s="31"/>
      <c r="C119" s="30"/>
      <c r="D119" s="41"/>
      <c r="E119" s="30"/>
      <c r="F119" s="36"/>
      <c r="G119" s="42"/>
      <c r="H119" s="34" t="str">
        <f t="shared" si="1"/>
        <v/>
      </c>
      <c r="I119" s="37" t="str">
        <f>IF($A119="","",IF($A119&lt;&gt;'Invoice (print)'!$C$1,"",COUNTIF($A$8:$A119,$A119)))</f>
        <v/>
      </c>
      <c r="J119" s="37" t="str">
        <f>IF($A119="","",IF(COUNTIF(Invoices!$A$8:$A$257,$A119)=0,"Unknown invoice no.",IF($C119="","No description",IF($H119=0,"Amount is 0","OK"))))</f>
        <v/>
      </c>
    </row>
    <row r="120" spans="1:10" ht="16" x14ac:dyDescent="0.2">
      <c r="A120" s="30"/>
      <c r="B120" s="31"/>
      <c r="C120" s="30"/>
      <c r="D120" s="41"/>
      <c r="E120" s="30"/>
      <c r="F120" s="36"/>
      <c r="G120" s="42"/>
      <c r="H120" s="34" t="str">
        <f t="shared" si="1"/>
        <v/>
      </c>
      <c r="I120" s="37" t="str">
        <f>IF($A120="","",IF($A120&lt;&gt;'Invoice (print)'!$C$1,"",COUNTIF($A$8:$A120,$A120)))</f>
        <v/>
      </c>
      <c r="J120" s="37" t="str">
        <f>IF($A120="","",IF(COUNTIF(Invoices!$A$8:$A$257,$A120)=0,"Unknown invoice no.",IF($C120="","No description",IF($H120=0,"Amount is 0","OK"))))</f>
        <v/>
      </c>
    </row>
    <row r="121" spans="1:10" ht="16" x14ac:dyDescent="0.2">
      <c r="A121" s="30"/>
      <c r="B121" s="31"/>
      <c r="C121" s="30"/>
      <c r="D121" s="41"/>
      <c r="E121" s="30"/>
      <c r="F121" s="36"/>
      <c r="G121" s="42"/>
      <c r="H121" s="34" t="str">
        <f t="shared" si="1"/>
        <v/>
      </c>
      <c r="I121" s="37" t="str">
        <f>IF($A121="","",IF($A121&lt;&gt;'Invoice (print)'!$C$1,"",COUNTIF($A$8:$A121,$A121)))</f>
        <v/>
      </c>
      <c r="J121" s="37" t="str">
        <f>IF($A121="","",IF(COUNTIF(Invoices!$A$8:$A$257,$A121)=0,"Unknown invoice no.",IF($C121="","No description",IF($H121=0,"Amount is 0","OK"))))</f>
        <v/>
      </c>
    </row>
    <row r="122" spans="1:10" ht="16" x14ac:dyDescent="0.2">
      <c r="A122" s="30"/>
      <c r="B122" s="31"/>
      <c r="C122" s="30"/>
      <c r="D122" s="41"/>
      <c r="E122" s="30"/>
      <c r="F122" s="36"/>
      <c r="G122" s="42"/>
      <c r="H122" s="34" t="str">
        <f t="shared" si="1"/>
        <v/>
      </c>
      <c r="I122" s="37" t="str">
        <f>IF($A122="","",IF($A122&lt;&gt;'Invoice (print)'!$C$1,"",COUNTIF($A$8:$A122,$A122)))</f>
        <v/>
      </c>
      <c r="J122" s="37" t="str">
        <f>IF($A122="","",IF(COUNTIF(Invoices!$A$8:$A$257,$A122)=0,"Unknown invoice no.",IF($C122="","No description",IF($H122=0,"Amount is 0","OK"))))</f>
        <v/>
      </c>
    </row>
    <row r="123" spans="1:10" ht="16" x14ac:dyDescent="0.2">
      <c r="A123" s="30"/>
      <c r="B123" s="31"/>
      <c r="C123" s="30"/>
      <c r="D123" s="41"/>
      <c r="E123" s="30"/>
      <c r="F123" s="36"/>
      <c r="G123" s="42"/>
      <c r="H123" s="34" t="str">
        <f t="shared" si="1"/>
        <v/>
      </c>
      <c r="I123" s="37" t="str">
        <f>IF($A123="","",IF($A123&lt;&gt;'Invoice (print)'!$C$1,"",COUNTIF($A$8:$A123,$A123)))</f>
        <v/>
      </c>
      <c r="J123" s="37" t="str">
        <f>IF($A123="","",IF(COUNTIF(Invoices!$A$8:$A$257,$A123)=0,"Unknown invoice no.",IF($C123="","No description",IF($H123=0,"Amount is 0","OK"))))</f>
        <v/>
      </c>
    </row>
    <row r="124" spans="1:10" ht="16" x14ac:dyDescent="0.2">
      <c r="A124" s="30"/>
      <c r="B124" s="31"/>
      <c r="C124" s="30"/>
      <c r="D124" s="41"/>
      <c r="E124" s="30"/>
      <c r="F124" s="36"/>
      <c r="G124" s="42"/>
      <c r="H124" s="34" t="str">
        <f t="shared" si="1"/>
        <v/>
      </c>
      <c r="I124" s="37" t="str">
        <f>IF($A124="","",IF($A124&lt;&gt;'Invoice (print)'!$C$1,"",COUNTIF($A$8:$A124,$A124)))</f>
        <v/>
      </c>
      <c r="J124" s="37" t="str">
        <f>IF($A124="","",IF(COUNTIF(Invoices!$A$8:$A$257,$A124)=0,"Unknown invoice no.",IF($C124="","No description",IF($H124=0,"Amount is 0","OK"))))</f>
        <v/>
      </c>
    </row>
    <row r="125" spans="1:10" ht="16" x14ac:dyDescent="0.2">
      <c r="A125" s="30"/>
      <c r="B125" s="31"/>
      <c r="C125" s="30"/>
      <c r="D125" s="41"/>
      <c r="E125" s="30"/>
      <c r="F125" s="36"/>
      <c r="G125" s="42"/>
      <c r="H125" s="34" t="str">
        <f t="shared" si="1"/>
        <v/>
      </c>
      <c r="I125" s="37" t="str">
        <f>IF($A125="","",IF($A125&lt;&gt;'Invoice (print)'!$C$1,"",COUNTIF($A$8:$A125,$A125)))</f>
        <v/>
      </c>
      <c r="J125" s="37" t="str">
        <f>IF($A125="","",IF(COUNTIF(Invoices!$A$8:$A$257,$A125)=0,"Unknown invoice no.",IF($C125="","No description",IF($H125=0,"Amount is 0","OK"))))</f>
        <v/>
      </c>
    </row>
    <row r="126" spans="1:10" ht="16" x14ac:dyDescent="0.2">
      <c r="A126" s="30"/>
      <c r="B126" s="31"/>
      <c r="C126" s="30"/>
      <c r="D126" s="41"/>
      <c r="E126" s="30"/>
      <c r="F126" s="36"/>
      <c r="G126" s="42"/>
      <c r="H126" s="34" t="str">
        <f t="shared" si="1"/>
        <v/>
      </c>
      <c r="I126" s="37" t="str">
        <f>IF($A126="","",IF($A126&lt;&gt;'Invoice (print)'!$C$1,"",COUNTIF($A$8:$A126,$A126)))</f>
        <v/>
      </c>
      <c r="J126" s="37" t="str">
        <f>IF($A126="","",IF(COUNTIF(Invoices!$A$8:$A$257,$A126)=0,"Unknown invoice no.",IF($C126="","No description",IF($H126=0,"Amount is 0","OK"))))</f>
        <v/>
      </c>
    </row>
    <row r="127" spans="1:10" ht="16" x14ac:dyDescent="0.2">
      <c r="A127" s="30"/>
      <c r="B127" s="31"/>
      <c r="C127" s="30"/>
      <c r="D127" s="41"/>
      <c r="E127" s="30"/>
      <c r="F127" s="36"/>
      <c r="G127" s="42"/>
      <c r="H127" s="34" t="str">
        <f t="shared" si="1"/>
        <v/>
      </c>
      <c r="I127" s="37" t="str">
        <f>IF($A127="","",IF($A127&lt;&gt;'Invoice (print)'!$C$1,"",COUNTIF($A$8:$A127,$A127)))</f>
        <v/>
      </c>
      <c r="J127" s="37" t="str">
        <f>IF($A127="","",IF(COUNTIF(Invoices!$A$8:$A$257,$A127)=0,"Unknown invoice no.",IF($C127="","No description",IF($H127=0,"Amount is 0","OK"))))</f>
        <v/>
      </c>
    </row>
    <row r="128" spans="1:10" ht="16" x14ac:dyDescent="0.2">
      <c r="A128" s="30"/>
      <c r="B128" s="31"/>
      <c r="C128" s="30"/>
      <c r="D128" s="41"/>
      <c r="E128" s="30"/>
      <c r="F128" s="36"/>
      <c r="G128" s="42"/>
      <c r="H128" s="34" t="str">
        <f t="shared" si="1"/>
        <v/>
      </c>
      <c r="I128" s="37" t="str">
        <f>IF($A128="","",IF($A128&lt;&gt;'Invoice (print)'!$C$1,"",COUNTIF($A$8:$A128,$A128)))</f>
        <v/>
      </c>
      <c r="J128" s="37" t="str">
        <f>IF($A128="","",IF(COUNTIF(Invoices!$A$8:$A$257,$A128)=0,"Unknown invoice no.",IF($C128="","No description",IF($H128=0,"Amount is 0","OK"))))</f>
        <v/>
      </c>
    </row>
    <row r="129" spans="1:10" ht="16" x14ac:dyDescent="0.2">
      <c r="A129" s="30"/>
      <c r="B129" s="31"/>
      <c r="C129" s="30"/>
      <c r="D129" s="41"/>
      <c r="E129" s="30"/>
      <c r="F129" s="36"/>
      <c r="G129" s="42"/>
      <c r="H129" s="34" t="str">
        <f t="shared" si="1"/>
        <v/>
      </c>
      <c r="I129" s="37" t="str">
        <f>IF($A129="","",IF($A129&lt;&gt;'Invoice (print)'!$C$1,"",COUNTIF($A$8:$A129,$A129)))</f>
        <v/>
      </c>
      <c r="J129" s="37" t="str">
        <f>IF($A129="","",IF(COUNTIF(Invoices!$A$8:$A$257,$A129)=0,"Unknown invoice no.",IF($C129="","No description",IF($H129=0,"Amount is 0","OK"))))</f>
        <v/>
      </c>
    </row>
    <row r="130" spans="1:10" ht="16" x14ac:dyDescent="0.2">
      <c r="A130" s="30"/>
      <c r="B130" s="31"/>
      <c r="C130" s="30"/>
      <c r="D130" s="41"/>
      <c r="E130" s="30"/>
      <c r="F130" s="36"/>
      <c r="G130" s="42"/>
      <c r="H130" s="34" t="str">
        <f t="shared" si="1"/>
        <v/>
      </c>
      <c r="I130" s="37" t="str">
        <f>IF($A130="","",IF($A130&lt;&gt;'Invoice (print)'!$C$1,"",COUNTIF($A$8:$A130,$A130)))</f>
        <v/>
      </c>
      <c r="J130" s="37" t="str">
        <f>IF($A130="","",IF(COUNTIF(Invoices!$A$8:$A$257,$A130)=0,"Unknown invoice no.",IF($C130="","No description",IF($H130=0,"Amount is 0","OK"))))</f>
        <v/>
      </c>
    </row>
    <row r="131" spans="1:10" ht="16" x14ac:dyDescent="0.2">
      <c r="A131" s="30"/>
      <c r="B131" s="31"/>
      <c r="C131" s="30"/>
      <c r="D131" s="41"/>
      <c r="E131" s="30"/>
      <c r="F131" s="36"/>
      <c r="G131" s="42"/>
      <c r="H131" s="34" t="str">
        <f t="shared" si="1"/>
        <v/>
      </c>
      <c r="I131" s="37" t="str">
        <f>IF($A131="","",IF($A131&lt;&gt;'Invoice (print)'!$C$1,"",COUNTIF($A$8:$A131,$A131)))</f>
        <v/>
      </c>
      <c r="J131" s="37" t="str">
        <f>IF($A131="","",IF(COUNTIF(Invoices!$A$8:$A$257,$A131)=0,"Unknown invoice no.",IF($C131="","No description",IF($H131=0,"Amount is 0","OK"))))</f>
        <v/>
      </c>
    </row>
    <row r="132" spans="1:10" ht="16" x14ac:dyDescent="0.2">
      <c r="A132" s="30"/>
      <c r="B132" s="31"/>
      <c r="C132" s="30"/>
      <c r="D132" s="41"/>
      <c r="E132" s="30"/>
      <c r="F132" s="36"/>
      <c r="G132" s="42"/>
      <c r="H132" s="34" t="str">
        <f t="shared" si="1"/>
        <v/>
      </c>
      <c r="I132" s="37" t="str">
        <f>IF($A132="","",IF($A132&lt;&gt;'Invoice (print)'!$C$1,"",COUNTIF($A$8:$A132,$A132)))</f>
        <v/>
      </c>
      <c r="J132" s="37" t="str">
        <f>IF($A132="","",IF(COUNTIF(Invoices!$A$8:$A$257,$A132)=0,"Unknown invoice no.",IF($C132="","No description",IF($H132=0,"Amount is 0","OK"))))</f>
        <v/>
      </c>
    </row>
    <row r="133" spans="1:10" ht="16" x14ac:dyDescent="0.2">
      <c r="A133" s="30"/>
      <c r="B133" s="31"/>
      <c r="C133" s="30"/>
      <c r="D133" s="41"/>
      <c r="E133" s="30"/>
      <c r="F133" s="36"/>
      <c r="G133" s="42"/>
      <c r="H133" s="34" t="str">
        <f t="shared" si="1"/>
        <v/>
      </c>
      <c r="I133" s="37" t="str">
        <f>IF($A133="","",IF($A133&lt;&gt;'Invoice (print)'!$C$1,"",COUNTIF($A$8:$A133,$A133)))</f>
        <v/>
      </c>
      <c r="J133" s="37" t="str">
        <f>IF($A133="","",IF(COUNTIF(Invoices!$A$8:$A$257,$A133)=0,"Unknown invoice no.",IF($C133="","No description",IF($H133=0,"Amount is 0","OK"))))</f>
        <v/>
      </c>
    </row>
    <row r="134" spans="1:10" ht="16" x14ac:dyDescent="0.2">
      <c r="A134" s="30"/>
      <c r="B134" s="31"/>
      <c r="C134" s="30"/>
      <c r="D134" s="41"/>
      <c r="E134" s="30"/>
      <c r="F134" s="36"/>
      <c r="G134" s="42"/>
      <c r="H134" s="34" t="str">
        <f t="shared" si="1"/>
        <v/>
      </c>
      <c r="I134" s="37" t="str">
        <f>IF($A134="","",IF($A134&lt;&gt;'Invoice (print)'!$C$1,"",COUNTIF($A$8:$A134,$A134)))</f>
        <v/>
      </c>
      <c r="J134" s="37" t="str">
        <f>IF($A134="","",IF(COUNTIF(Invoices!$A$8:$A$257,$A134)=0,"Unknown invoice no.",IF($C134="","No description",IF($H134=0,"Amount is 0","OK"))))</f>
        <v/>
      </c>
    </row>
    <row r="135" spans="1:10" ht="16" x14ac:dyDescent="0.2">
      <c r="A135" s="30"/>
      <c r="B135" s="31"/>
      <c r="C135" s="30"/>
      <c r="D135" s="41"/>
      <c r="E135" s="30"/>
      <c r="F135" s="36"/>
      <c r="G135" s="42"/>
      <c r="H135" s="34" t="str">
        <f t="shared" si="1"/>
        <v/>
      </c>
      <c r="I135" s="37" t="str">
        <f>IF($A135="","",IF($A135&lt;&gt;'Invoice (print)'!$C$1,"",COUNTIF($A$8:$A135,$A135)))</f>
        <v/>
      </c>
      <c r="J135" s="37" t="str">
        <f>IF($A135="","",IF(COUNTIF(Invoices!$A$8:$A$257,$A135)=0,"Unknown invoice no.",IF($C135="","No description",IF($H135=0,"Amount is 0","OK"))))</f>
        <v/>
      </c>
    </row>
    <row r="136" spans="1:10" ht="16" x14ac:dyDescent="0.2">
      <c r="A136" s="30"/>
      <c r="B136" s="31"/>
      <c r="C136" s="30"/>
      <c r="D136" s="41"/>
      <c r="E136" s="30"/>
      <c r="F136" s="36"/>
      <c r="G136" s="42"/>
      <c r="H136" s="34" t="str">
        <f t="shared" ref="H136:H199" si="2">IF($A136="","",ROUND(IF($D136="",0,$D136)*IF($F136="",0,$F136)*(1-IF($G136="",0,$G136)/100),2))</f>
        <v/>
      </c>
      <c r="I136" s="37" t="str">
        <f>IF($A136="","",IF($A136&lt;&gt;'Invoice (print)'!$C$1,"",COUNTIF($A$8:$A136,$A136)))</f>
        <v/>
      </c>
      <c r="J136" s="37" t="str">
        <f>IF($A136="","",IF(COUNTIF(Invoices!$A$8:$A$257,$A136)=0,"Unknown invoice no.",IF($C136="","No description",IF($H136=0,"Amount is 0","OK"))))</f>
        <v/>
      </c>
    </row>
    <row r="137" spans="1:10" ht="16" x14ac:dyDescent="0.2">
      <c r="A137" s="30"/>
      <c r="B137" s="31"/>
      <c r="C137" s="30"/>
      <c r="D137" s="41"/>
      <c r="E137" s="30"/>
      <c r="F137" s="36"/>
      <c r="G137" s="42"/>
      <c r="H137" s="34" t="str">
        <f t="shared" si="2"/>
        <v/>
      </c>
      <c r="I137" s="37" t="str">
        <f>IF($A137="","",IF($A137&lt;&gt;'Invoice (print)'!$C$1,"",COUNTIF($A$8:$A137,$A137)))</f>
        <v/>
      </c>
      <c r="J137" s="37" t="str">
        <f>IF($A137="","",IF(COUNTIF(Invoices!$A$8:$A$257,$A137)=0,"Unknown invoice no.",IF($C137="","No description",IF($H137=0,"Amount is 0","OK"))))</f>
        <v/>
      </c>
    </row>
    <row r="138" spans="1:10" ht="16" x14ac:dyDescent="0.2">
      <c r="A138" s="30"/>
      <c r="B138" s="31"/>
      <c r="C138" s="30"/>
      <c r="D138" s="41"/>
      <c r="E138" s="30"/>
      <c r="F138" s="36"/>
      <c r="G138" s="42"/>
      <c r="H138" s="34" t="str">
        <f t="shared" si="2"/>
        <v/>
      </c>
      <c r="I138" s="37" t="str">
        <f>IF($A138="","",IF($A138&lt;&gt;'Invoice (print)'!$C$1,"",COUNTIF($A$8:$A138,$A138)))</f>
        <v/>
      </c>
      <c r="J138" s="37" t="str">
        <f>IF($A138="","",IF(COUNTIF(Invoices!$A$8:$A$257,$A138)=0,"Unknown invoice no.",IF($C138="","No description",IF($H138=0,"Amount is 0","OK"))))</f>
        <v/>
      </c>
    </row>
    <row r="139" spans="1:10" ht="16" x14ac:dyDescent="0.2">
      <c r="A139" s="30"/>
      <c r="B139" s="31"/>
      <c r="C139" s="30"/>
      <c r="D139" s="41"/>
      <c r="E139" s="30"/>
      <c r="F139" s="36"/>
      <c r="G139" s="42"/>
      <c r="H139" s="34" t="str">
        <f t="shared" si="2"/>
        <v/>
      </c>
      <c r="I139" s="37" t="str">
        <f>IF($A139="","",IF($A139&lt;&gt;'Invoice (print)'!$C$1,"",COUNTIF($A$8:$A139,$A139)))</f>
        <v/>
      </c>
      <c r="J139" s="37" t="str">
        <f>IF($A139="","",IF(COUNTIF(Invoices!$A$8:$A$257,$A139)=0,"Unknown invoice no.",IF($C139="","No description",IF($H139=0,"Amount is 0","OK"))))</f>
        <v/>
      </c>
    </row>
    <row r="140" spans="1:10" ht="16" x14ac:dyDescent="0.2">
      <c r="A140" s="30"/>
      <c r="B140" s="31"/>
      <c r="C140" s="30"/>
      <c r="D140" s="41"/>
      <c r="E140" s="30"/>
      <c r="F140" s="36"/>
      <c r="G140" s="42"/>
      <c r="H140" s="34" t="str">
        <f t="shared" si="2"/>
        <v/>
      </c>
      <c r="I140" s="37" t="str">
        <f>IF($A140="","",IF($A140&lt;&gt;'Invoice (print)'!$C$1,"",COUNTIF($A$8:$A140,$A140)))</f>
        <v/>
      </c>
      <c r="J140" s="37" t="str">
        <f>IF($A140="","",IF(COUNTIF(Invoices!$A$8:$A$257,$A140)=0,"Unknown invoice no.",IF($C140="","No description",IF($H140=0,"Amount is 0","OK"))))</f>
        <v/>
      </c>
    </row>
    <row r="141" spans="1:10" ht="16" x14ac:dyDescent="0.2">
      <c r="A141" s="30"/>
      <c r="B141" s="31"/>
      <c r="C141" s="30"/>
      <c r="D141" s="41"/>
      <c r="E141" s="30"/>
      <c r="F141" s="36"/>
      <c r="G141" s="42"/>
      <c r="H141" s="34" t="str">
        <f t="shared" si="2"/>
        <v/>
      </c>
      <c r="I141" s="37" t="str">
        <f>IF($A141="","",IF($A141&lt;&gt;'Invoice (print)'!$C$1,"",COUNTIF($A$8:$A141,$A141)))</f>
        <v/>
      </c>
      <c r="J141" s="37" t="str">
        <f>IF($A141="","",IF(COUNTIF(Invoices!$A$8:$A$257,$A141)=0,"Unknown invoice no.",IF($C141="","No description",IF($H141=0,"Amount is 0","OK"))))</f>
        <v/>
      </c>
    </row>
    <row r="142" spans="1:10" ht="16" x14ac:dyDescent="0.2">
      <c r="A142" s="30"/>
      <c r="B142" s="31"/>
      <c r="C142" s="30"/>
      <c r="D142" s="41"/>
      <c r="E142" s="30"/>
      <c r="F142" s="36"/>
      <c r="G142" s="42"/>
      <c r="H142" s="34" t="str">
        <f t="shared" si="2"/>
        <v/>
      </c>
      <c r="I142" s="37" t="str">
        <f>IF($A142="","",IF($A142&lt;&gt;'Invoice (print)'!$C$1,"",COUNTIF($A$8:$A142,$A142)))</f>
        <v/>
      </c>
      <c r="J142" s="37" t="str">
        <f>IF($A142="","",IF(COUNTIF(Invoices!$A$8:$A$257,$A142)=0,"Unknown invoice no.",IF($C142="","No description",IF($H142=0,"Amount is 0","OK"))))</f>
        <v/>
      </c>
    </row>
    <row r="143" spans="1:10" ht="16" x14ac:dyDescent="0.2">
      <c r="A143" s="30"/>
      <c r="B143" s="31"/>
      <c r="C143" s="30"/>
      <c r="D143" s="41"/>
      <c r="E143" s="30"/>
      <c r="F143" s="36"/>
      <c r="G143" s="42"/>
      <c r="H143" s="34" t="str">
        <f t="shared" si="2"/>
        <v/>
      </c>
      <c r="I143" s="37" t="str">
        <f>IF($A143="","",IF($A143&lt;&gt;'Invoice (print)'!$C$1,"",COUNTIF($A$8:$A143,$A143)))</f>
        <v/>
      </c>
      <c r="J143" s="37" t="str">
        <f>IF($A143="","",IF(COUNTIF(Invoices!$A$8:$A$257,$A143)=0,"Unknown invoice no.",IF($C143="","No description",IF($H143=0,"Amount is 0","OK"))))</f>
        <v/>
      </c>
    </row>
    <row r="144" spans="1:10" ht="16" x14ac:dyDescent="0.2">
      <c r="A144" s="30"/>
      <c r="B144" s="31"/>
      <c r="C144" s="30"/>
      <c r="D144" s="41"/>
      <c r="E144" s="30"/>
      <c r="F144" s="36"/>
      <c r="G144" s="42"/>
      <c r="H144" s="34" t="str">
        <f t="shared" si="2"/>
        <v/>
      </c>
      <c r="I144" s="37" t="str">
        <f>IF($A144="","",IF($A144&lt;&gt;'Invoice (print)'!$C$1,"",COUNTIF($A$8:$A144,$A144)))</f>
        <v/>
      </c>
      <c r="J144" s="37" t="str">
        <f>IF($A144="","",IF(COUNTIF(Invoices!$A$8:$A$257,$A144)=0,"Unknown invoice no.",IF($C144="","No description",IF($H144=0,"Amount is 0","OK"))))</f>
        <v/>
      </c>
    </row>
    <row r="145" spans="1:10" ht="16" x14ac:dyDescent="0.2">
      <c r="A145" s="30"/>
      <c r="B145" s="31"/>
      <c r="C145" s="30"/>
      <c r="D145" s="41"/>
      <c r="E145" s="30"/>
      <c r="F145" s="36"/>
      <c r="G145" s="42"/>
      <c r="H145" s="34" t="str">
        <f t="shared" si="2"/>
        <v/>
      </c>
      <c r="I145" s="37" t="str">
        <f>IF($A145="","",IF($A145&lt;&gt;'Invoice (print)'!$C$1,"",COUNTIF($A$8:$A145,$A145)))</f>
        <v/>
      </c>
      <c r="J145" s="37" t="str">
        <f>IF($A145="","",IF(COUNTIF(Invoices!$A$8:$A$257,$A145)=0,"Unknown invoice no.",IF($C145="","No description",IF($H145=0,"Amount is 0","OK"))))</f>
        <v/>
      </c>
    </row>
    <row r="146" spans="1:10" ht="16" x14ac:dyDescent="0.2">
      <c r="A146" s="30"/>
      <c r="B146" s="31"/>
      <c r="C146" s="30"/>
      <c r="D146" s="41"/>
      <c r="E146" s="30"/>
      <c r="F146" s="36"/>
      <c r="G146" s="42"/>
      <c r="H146" s="34" t="str">
        <f t="shared" si="2"/>
        <v/>
      </c>
      <c r="I146" s="37" t="str">
        <f>IF($A146="","",IF($A146&lt;&gt;'Invoice (print)'!$C$1,"",COUNTIF($A$8:$A146,$A146)))</f>
        <v/>
      </c>
      <c r="J146" s="37" t="str">
        <f>IF($A146="","",IF(COUNTIF(Invoices!$A$8:$A$257,$A146)=0,"Unknown invoice no.",IF($C146="","No description",IF($H146=0,"Amount is 0","OK"))))</f>
        <v/>
      </c>
    </row>
    <row r="147" spans="1:10" ht="16" x14ac:dyDescent="0.2">
      <c r="A147" s="30"/>
      <c r="B147" s="31"/>
      <c r="C147" s="30"/>
      <c r="D147" s="41"/>
      <c r="E147" s="30"/>
      <c r="F147" s="36"/>
      <c r="G147" s="42"/>
      <c r="H147" s="34" t="str">
        <f t="shared" si="2"/>
        <v/>
      </c>
      <c r="I147" s="37" t="str">
        <f>IF($A147="","",IF($A147&lt;&gt;'Invoice (print)'!$C$1,"",COUNTIF($A$8:$A147,$A147)))</f>
        <v/>
      </c>
      <c r="J147" s="37" t="str">
        <f>IF($A147="","",IF(COUNTIF(Invoices!$A$8:$A$257,$A147)=0,"Unknown invoice no.",IF($C147="","No description",IF($H147=0,"Amount is 0","OK"))))</f>
        <v/>
      </c>
    </row>
    <row r="148" spans="1:10" ht="16" x14ac:dyDescent="0.2">
      <c r="A148" s="30"/>
      <c r="B148" s="31"/>
      <c r="C148" s="30"/>
      <c r="D148" s="41"/>
      <c r="E148" s="30"/>
      <c r="F148" s="36"/>
      <c r="G148" s="42"/>
      <c r="H148" s="34" t="str">
        <f t="shared" si="2"/>
        <v/>
      </c>
      <c r="I148" s="37" t="str">
        <f>IF($A148="","",IF($A148&lt;&gt;'Invoice (print)'!$C$1,"",COUNTIF($A$8:$A148,$A148)))</f>
        <v/>
      </c>
      <c r="J148" s="37" t="str">
        <f>IF($A148="","",IF(COUNTIF(Invoices!$A$8:$A$257,$A148)=0,"Unknown invoice no.",IF($C148="","No description",IF($H148=0,"Amount is 0","OK"))))</f>
        <v/>
      </c>
    </row>
    <row r="149" spans="1:10" ht="16" x14ac:dyDescent="0.2">
      <c r="A149" s="30"/>
      <c r="B149" s="31"/>
      <c r="C149" s="30"/>
      <c r="D149" s="41"/>
      <c r="E149" s="30"/>
      <c r="F149" s="36"/>
      <c r="G149" s="42"/>
      <c r="H149" s="34" t="str">
        <f t="shared" si="2"/>
        <v/>
      </c>
      <c r="I149" s="37" t="str">
        <f>IF($A149="","",IF($A149&lt;&gt;'Invoice (print)'!$C$1,"",COUNTIF($A$8:$A149,$A149)))</f>
        <v/>
      </c>
      <c r="J149" s="37" t="str">
        <f>IF($A149="","",IF(COUNTIF(Invoices!$A$8:$A$257,$A149)=0,"Unknown invoice no.",IF($C149="","No description",IF($H149=0,"Amount is 0","OK"))))</f>
        <v/>
      </c>
    </row>
    <row r="150" spans="1:10" ht="16" x14ac:dyDescent="0.2">
      <c r="A150" s="30"/>
      <c r="B150" s="31"/>
      <c r="C150" s="30"/>
      <c r="D150" s="41"/>
      <c r="E150" s="30"/>
      <c r="F150" s="36"/>
      <c r="G150" s="42"/>
      <c r="H150" s="34" t="str">
        <f t="shared" si="2"/>
        <v/>
      </c>
      <c r="I150" s="37" t="str">
        <f>IF($A150="","",IF($A150&lt;&gt;'Invoice (print)'!$C$1,"",COUNTIF($A$8:$A150,$A150)))</f>
        <v/>
      </c>
      <c r="J150" s="37" t="str">
        <f>IF($A150="","",IF(COUNTIF(Invoices!$A$8:$A$257,$A150)=0,"Unknown invoice no.",IF($C150="","No description",IF($H150=0,"Amount is 0","OK"))))</f>
        <v/>
      </c>
    </row>
    <row r="151" spans="1:10" ht="16" x14ac:dyDescent="0.2">
      <c r="A151" s="30"/>
      <c r="B151" s="31"/>
      <c r="C151" s="30"/>
      <c r="D151" s="41"/>
      <c r="E151" s="30"/>
      <c r="F151" s="36"/>
      <c r="G151" s="42"/>
      <c r="H151" s="34" t="str">
        <f t="shared" si="2"/>
        <v/>
      </c>
      <c r="I151" s="37" t="str">
        <f>IF($A151="","",IF($A151&lt;&gt;'Invoice (print)'!$C$1,"",COUNTIF($A$8:$A151,$A151)))</f>
        <v/>
      </c>
      <c r="J151" s="37" t="str">
        <f>IF($A151="","",IF(COUNTIF(Invoices!$A$8:$A$257,$A151)=0,"Unknown invoice no.",IF($C151="","No description",IF($H151=0,"Amount is 0","OK"))))</f>
        <v/>
      </c>
    </row>
    <row r="152" spans="1:10" ht="16" x14ac:dyDescent="0.2">
      <c r="A152" s="30"/>
      <c r="B152" s="31"/>
      <c r="C152" s="30"/>
      <c r="D152" s="41"/>
      <c r="E152" s="30"/>
      <c r="F152" s="36"/>
      <c r="G152" s="42"/>
      <c r="H152" s="34" t="str">
        <f t="shared" si="2"/>
        <v/>
      </c>
      <c r="I152" s="37" t="str">
        <f>IF($A152="","",IF($A152&lt;&gt;'Invoice (print)'!$C$1,"",COUNTIF($A$8:$A152,$A152)))</f>
        <v/>
      </c>
      <c r="J152" s="37" t="str">
        <f>IF($A152="","",IF(COUNTIF(Invoices!$A$8:$A$257,$A152)=0,"Unknown invoice no.",IF($C152="","No description",IF($H152=0,"Amount is 0","OK"))))</f>
        <v/>
      </c>
    </row>
    <row r="153" spans="1:10" ht="16" x14ac:dyDescent="0.2">
      <c r="A153" s="30"/>
      <c r="B153" s="31"/>
      <c r="C153" s="30"/>
      <c r="D153" s="41"/>
      <c r="E153" s="30"/>
      <c r="F153" s="36"/>
      <c r="G153" s="42"/>
      <c r="H153" s="34" t="str">
        <f t="shared" si="2"/>
        <v/>
      </c>
      <c r="I153" s="37" t="str">
        <f>IF($A153="","",IF($A153&lt;&gt;'Invoice (print)'!$C$1,"",COUNTIF($A$8:$A153,$A153)))</f>
        <v/>
      </c>
      <c r="J153" s="37" t="str">
        <f>IF($A153="","",IF(COUNTIF(Invoices!$A$8:$A$257,$A153)=0,"Unknown invoice no.",IF($C153="","No description",IF($H153=0,"Amount is 0","OK"))))</f>
        <v/>
      </c>
    </row>
    <row r="154" spans="1:10" ht="16" x14ac:dyDescent="0.2">
      <c r="A154" s="30"/>
      <c r="B154" s="31"/>
      <c r="C154" s="30"/>
      <c r="D154" s="41"/>
      <c r="E154" s="30"/>
      <c r="F154" s="36"/>
      <c r="G154" s="42"/>
      <c r="H154" s="34" t="str">
        <f t="shared" si="2"/>
        <v/>
      </c>
      <c r="I154" s="37" t="str">
        <f>IF($A154="","",IF($A154&lt;&gt;'Invoice (print)'!$C$1,"",COUNTIF($A$8:$A154,$A154)))</f>
        <v/>
      </c>
      <c r="J154" s="37" t="str">
        <f>IF($A154="","",IF(COUNTIF(Invoices!$A$8:$A$257,$A154)=0,"Unknown invoice no.",IF($C154="","No description",IF($H154=0,"Amount is 0","OK"))))</f>
        <v/>
      </c>
    </row>
    <row r="155" spans="1:10" ht="16" x14ac:dyDescent="0.2">
      <c r="A155" s="30"/>
      <c r="B155" s="31"/>
      <c r="C155" s="30"/>
      <c r="D155" s="41"/>
      <c r="E155" s="30"/>
      <c r="F155" s="36"/>
      <c r="G155" s="42"/>
      <c r="H155" s="34" t="str">
        <f t="shared" si="2"/>
        <v/>
      </c>
      <c r="I155" s="37" t="str">
        <f>IF($A155="","",IF($A155&lt;&gt;'Invoice (print)'!$C$1,"",COUNTIF($A$8:$A155,$A155)))</f>
        <v/>
      </c>
      <c r="J155" s="37" t="str">
        <f>IF($A155="","",IF(COUNTIF(Invoices!$A$8:$A$257,$A155)=0,"Unknown invoice no.",IF($C155="","No description",IF($H155=0,"Amount is 0","OK"))))</f>
        <v/>
      </c>
    </row>
    <row r="156" spans="1:10" ht="16" x14ac:dyDescent="0.2">
      <c r="A156" s="30"/>
      <c r="B156" s="31"/>
      <c r="C156" s="30"/>
      <c r="D156" s="41"/>
      <c r="E156" s="30"/>
      <c r="F156" s="36"/>
      <c r="G156" s="42"/>
      <c r="H156" s="34" t="str">
        <f t="shared" si="2"/>
        <v/>
      </c>
      <c r="I156" s="37" t="str">
        <f>IF($A156="","",IF($A156&lt;&gt;'Invoice (print)'!$C$1,"",COUNTIF($A$8:$A156,$A156)))</f>
        <v/>
      </c>
      <c r="J156" s="37" t="str">
        <f>IF($A156="","",IF(COUNTIF(Invoices!$A$8:$A$257,$A156)=0,"Unknown invoice no.",IF($C156="","No description",IF($H156=0,"Amount is 0","OK"))))</f>
        <v/>
      </c>
    </row>
    <row r="157" spans="1:10" ht="16" x14ac:dyDescent="0.2">
      <c r="A157" s="30"/>
      <c r="B157" s="31"/>
      <c r="C157" s="30"/>
      <c r="D157" s="41"/>
      <c r="E157" s="30"/>
      <c r="F157" s="36"/>
      <c r="G157" s="42"/>
      <c r="H157" s="34" t="str">
        <f t="shared" si="2"/>
        <v/>
      </c>
      <c r="I157" s="37" t="str">
        <f>IF($A157="","",IF($A157&lt;&gt;'Invoice (print)'!$C$1,"",COUNTIF($A$8:$A157,$A157)))</f>
        <v/>
      </c>
      <c r="J157" s="37" t="str">
        <f>IF($A157="","",IF(COUNTIF(Invoices!$A$8:$A$257,$A157)=0,"Unknown invoice no.",IF($C157="","No description",IF($H157=0,"Amount is 0","OK"))))</f>
        <v/>
      </c>
    </row>
    <row r="158" spans="1:10" ht="16" x14ac:dyDescent="0.2">
      <c r="A158" s="30"/>
      <c r="B158" s="31"/>
      <c r="C158" s="30"/>
      <c r="D158" s="41"/>
      <c r="E158" s="30"/>
      <c r="F158" s="36"/>
      <c r="G158" s="42"/>
      <c r="H158" s="34" t="str">
        <f t="shared" si="2"/>
        <v/>
      </c>
      <c r="I158" s="37" t="str">
        <f>IF($A158="","",IF($A158&lt;&gt;'Invoice (print)'!$C$1,"",COUNTIF($A$8:$A158,$A158)))</f>
        <v/>
      </c>
      <c r="J158" s="37" t="str">
        <f>IF($A158="","",IF(COUNTIF(Invoices!$A$8:$A$257,$A158)=0,"Unknown invoice no.",IF($C158="","No description",IF($H158=0,"Amount is 0","OK"))))</f>
        <v/>
      </c>
    </row>
    <row r="159" spans="1:10" ht="16" x14ac:dyDescent="0.2">
      <c r="A159" s="30"/>
      <c r="B159" s="31"/>
      <c r="C159" s="30"/>
      <c r="D159" s="41"/>
      <c r="E159" s="30"/>
      <c r="F159" s="36"/>
      <c r="G159" s="42"/>
      <c r="H159" s="34" t="str">
        <f t="shared" si="2"/>
        <v/>
      </c>
      <c r="I159" s="37" t="str">
        <f>IF($A159="","",IF($A159&lt;&gt;'Invoice (print)'!$C$1,"",COUNTIF($A$8:$A159,$A159)))</f>
        <v/>
      </c>
      <c r="J159" s="37" t="str">
        <f>IF($A159="","",IF(COUNTIF(Invoices!$A$8:$A$257,$A159)=0,"Unknown invoice no.",IF($C159="","No description",IF($H159=0,"Amount is 0","OK"))))</f>
        <v/>
      </c>
    </row>
    <row r="160" spans="1:10" ht="16" x14ac:dyDescent="0.2">
      <c r="A160" s="30"/>
      <c r="B160" s="31"/>
      <c r="C160" s="30"/>
      <c r="D160" s="41"/>
      <c r="E160" s="30"/>
      <c r="F160" s="36"/>
      <c r="G160" s="42"/>
      <c r="H160" s="34" t="str">
        <f t="shared" si="2"/>
        <v/>
      </c>
      <c r="I160" s="37" t="str">
        <f>IF($A160="","",IF($A160&lt;&gt;'Invoice (print)'!$C$1,"",COUNTIF($A$8:$A160,$A160)))</f>
        <v/>
      </c>
      <c r="J160" s="37" t="str">
        <f>IF($A160="","",IF(COUNTIF(Invoices!$A$8:$A$257,$A160)=0,"Unknown invoice no.",IF($C160="","No description",IF($H160=0,"Amount is 0","OK"))))</f>
        <v/>
      </c>
    </row>
    <row r="161" spans="1:10" ht="16" x14ac:dyDescent="0.2">
      <c r="A161" s="30"/>
      <c r="B161" s="31"/>
      <c r="C161" s="30"/>
      <c r="D161" s="41"/>
      <c r="E161" s="30"/>
      <c r="F161" s="36"/>
      <c r="G161" s="42"/>
      <c r="H161" s="34" t="str">
        <f t="shared" si="2"/>
        <v/>
      </c>
      <c r="I161" s="37" t="str">
        <f>IF($A161="","",IF($A161&lt;&gt;'Invoice (print)'!$C$1,"",COUNTIF($A$8:$A161,$A161)))</f>
        <v/>
      </c>
      <c r="J161" s="37" t="str">
        <f>IF($A161="","",IF(COUNTIF(Invoices!$A$8:$A$257,$A161)=0,"Unknown invoice no.",IF($C161="","No description",IF($H161=0,"Amount is 0","OK"))))</f>
        <v/>
      </c>
    </row>
    <row r="162" spans="1:10" ht="16" x14ac:dyDescent="0.2">
      <c r="A162" s="30"/>
      <c r="B162" s="31"/>
      <c r="C162" s="30"/>
      <c r="D162" s="41"/>
      <c r="E162" s="30"/>
      <c r="F162" s="36"/>
      <c r="G162" s="42"/>
      <c r="H162" s="34" t="str">
        <f t="shared" si="2"/>
        <v/>
      </c>
      <c r="I162" s="37" t="str">
        <f>IF($A162="","",IF($A162&lt;&gt;'Invoice (print)'!$C$1,"",COUNTIF($A$8:$A162,$A162)))</f>
        <v/>
      </c>
      <c r="J162" s="37" t="str">
        <f>IF($A162="","",IF(COUNTIF(Invoices!$A$8:$A$257,$A162)=0,"Unknown invoice no.",IF($C162="","No description",IF($H162=0,"Amount is 0","OK"))))</f>
        <v/>
      </c>
    </row>
    <row r="163" spans="1:10" ht="16" x14ac:dyDescent="0.2">
      <c r="A163" s="30"/>
      <c r="B163" s="31"/>
      <c r="C163" s="30"/>
      <c r="D163" s="41"/>
      <c r="E163" s="30"/>
      <c r="F163" s="36"/>
      <c r="G163" s="42"/>
      <c r="H163" s="34" t="str">
        <f t="shared" si="2"/>
        <v/>
      </c>
      <c r="I163" s="37" t="str">
        <f>IF($A163="","",IF($A163&lt;&gt;'Invoice (print)'!$C$1,"",COUNTIF($A$8:$A163,$A163)))</f>
        <v/>
      </c>
      <c r="J163" s="37" t="str">
        <f>IF($A163="","",IF(COUNTIF(Invoices!$A$8:$A$257,$A163)=0,"Unknown invoice no.",IF($C163="","No description",IF($H163=0,"Amount is 0","OK"))))</f>
        <v/>
      </c>
    </row>
    <row r="164" spans="1:10" ht="16" x14ac:dyDescent="0.2">
      <c r="A164" s="30"/>
      <c r="B164" s="31"/>
      <c r="C164" s="30"/>
      <c r="D164" s="41"/>
      <c r="E164" s="30"/>
      <c r="F164" s="36"/>
      <c r="G164" s="42"/>
      <c r="H164" s="34" t="str">
        <f t="shared" si="2"/>
        <v/>
      </c>
      <c r="I164" s="37" t="str">
        <f>IF($A164="","",IF($A164&lt;&gt;'Invoice (print)'!$C$1,"",COUNTIF($A$8:$A164,$A164)))</f>
        <v/>
      </c>
      <c r="J164" s="37" t="str">
        <f>IF($A164="","",IF(COUNTIF(Invoices!$A$8:$A$257,$A164)=0,"Unknown invoice no.",IF($C164="","No description",IF($H164=0,"Amount is 0","OK"))))</f>
        <v/>
      </c>
    </row>
    <row r="165" spans="1:10" ht="16" x14ac:dyDescent="0.2">
      <c r="A165" s="30"/>
      <c r="B165" s="31"/>
      <c r="C165" s="30"/>
      <c r="D165" s="41"/>
      <c r="E165" s="30"/>
      <c r="F165" s="36"/>
      <c r="G165" s="42"/>
      <c r="H165" s="34" t="str">
        <f t="shared" si="2"/>
        <v/>
      </c>
      <c r="I165" s="37" t="str">
        <f>IF($A165="","",IF($A165&lt;&gt;'Invoice (print)'!$C$1,"",COUNTIF($A$8:$A165,$A165)))</f>
        <v/>
      </c>
      <c r="J165" s="37" t="str">
        <f>IF($A165="","",IF(COUNTIF(Invoices!$A$8:$A$257,$A165)=0,"Unknown invoice no.",IF($C165="","No description",IF($H165=0,"Amount is 0","OK"))))</f>
        <v/>
      </c>
    </row>
    <row r="166" spans="1:10" ht="16" x14ac:dyDescent="0.2">
      <c r="A166" s="30"/>
      <c r="B166" s="31"/>
      <c r="C166" s="30"/>
      <c r="D166" s="41"/>
      <c r="E166" s="30"/>
      <c r="F166" s="36"/>
      <c r="G166" s="42"/>
      <c r="H166" s="34" t="str">
        <f t="shared" si="2"/>
        <v/>
      </c>
      <c r="I166" s="37" t="str">
        <f>IF($A166="","",IF($A166&lt;&gt;'Invoice (print)'!$C$1,"",COUNTIF($A$8:$A166,$A166)))</f>
        <v/>
      </c>
      <c r="J166" s="37" t="str">
        <f>IF($A166="","",IF(COUNTIF(Invoices!$A$8:$A$257,$A166)=0,"Unknown invoice no.",IF($C166="","No description",IF($H166=0,"Amount is 0","OK"))))</f>
        <v/>
      </c>
    </row>
    <row r="167" spans="1:10" ht="16" x14ac:dyDescent="0.2">
      <c r="A167" s="30"/>
      <c r="B167" s="31"/>
      <c r="C167" s="30"/>
      <c r="D167" s="41"/>
      <c r="E167" s="30"/>
      <c r="F167" s="36"/>
      <c r="G167" s="42"/>
      <c r="H167" s="34" t="str">
        <f t="shared" si="2"/>
        <v/>
      </c>
      <c r="I167" s="37" t="str">
        <f>IF($A167="","",IF($A167&lt;&gt;'Invoice (print)'!$C$1,"",COUNTIF($A$8:$A167,$A167)))</f>
        <v/>
      </c>
      <c r="J167" s="37" t="str">
        <f>IF($A167="","",IF(COUNTIF(Invoices!$A$8:$A$257,$A167)=0,"Unknown invoice no.",IF($C167="","No description",IF($H167=0,"Amount is 0","OK"))))</f>
        <v/>
      </c>
    </row>
    <row r="168" spans="1:10" ht="16" x14ac:dyDescent="0.2">
      <c r="A168" s="30"/>
      <c r="B168" s="31"/>
      <c r="C168" s="30"/>
      <c r="D168" s="41"/>
      <c r="E168" s="30"/>
      <c r="F168" s="36"/>
      <c r="G168" s="42"/>
      <c r="H168" s="34" t="str">
        <f t="shared" si="2"/>
        <v/>
      </c>
      <c r="I168" s="37" t="str">
        <f>IF($A168="","",IF($A168&lt;&gt;'Invoice (print)'!$C$1,"",COUNTIF($A$8:$A168,$A168)))</f>
        <v/>
      </c>
      <c r="J168" s="37" t="str">
        <f>IF($A168="","",IF(COUNTIF(Invoices!$A$8:$A$257,$A168)=0,"Unknown invoice no.",IF($C168="","No description",IF($H168=0,"Amount is 0","OK"))))</f>
        <v/>
      </c>
    </row>
    <row r="169" spans="1:10" ht="16" x14ac:dyDescent="0.2">
      <c r="A169" s="30"/>
      <c r="B169" s="31"/>
      <c r="C169" s="30"/>
      <c r="D169" s="41"/>
      <c r="E169" s="30"/>
      <c r="F169" s="36"/>
      <c r="G169" s="42"/>
      <c r="H169" s="34" t="str">
        <f t="shared" si="2"/>
        <v/>
      </c>
      <c r="I169" s="37" t="str">
        <f>IF($A169="","",IF($A169&lt;&gt;'Invoice (print)'!$C$1,"",COUNTIF($A$8:$A169,$A169)))</f>
        <v/>
      </c>
      <c r="J169" s="37" t="str">
        <f>IF($A169="","",IF(COUNTIF(Invoices!$A$8:$A$257,$A169)=0,"Unknown invoice no.",IF($C169="","No description",IF($H169=0,"Amount is 0","OK"))))</f>
        <v/>
      </c>
    </row>
    <row r="170" spans="1:10" ht="16" x14ac:dyDescent="0.2">
      <c r="A170" s="30"/>
      <c r="B170" s="31"/>
      <c r="C170" s="30"/>
      <c r="D170" s="41"/>
      <c r="E170" s="30"/>
      <c r="F170" s="36"/>
      <c r="G170" s="42"/>
      <c r="H170" s="34" t="str">
        <f t="shared" si="2"/>
        <v/>
      </c>
      <c r="I170" s="37" t="str">
        <f>IF($A170="","",IF($A170&lt;&gt;'Invoice (print)'!$C$1,"",COUNTIF($A$8:$A170,$A170)))</f>
        <v/>
      </c>
      <c r="J170" s="37" t="str">
        <f>IF($A170="","",IF(COUNTIF(Invoices!$A$8:$A$257,$A170)=0,"Unknown invoice no.",IF($C170="","No description",IF($H170=0,"Amount is 0","OK"))))</f>
        <v/>
      </c>
    </row>
    <row r="171" spans="1:10" ht="16" x14ac:dyDescent="0.2">
      <c r="A171" s="30"/>
      <c r="B171" s="31"/>
      <c r="C171" s="30"/>
      <c r="D171" s="41"/>
      <c r="E171" s="30"/>
      <c r="F171" s="36"/>
      <c r="G171" s="42"/>
      <c r="H171" s="34" t="str">
        <f t="shared" si="2"/>
        <v/>
      </c>
      <c r="I171" s="37" t="str">
        <f>IF($A171="","",IF($A171&lt;&gt;'Invoice (print)'!$C$1,"",COUNTIF($A$8:$A171,$A171)))</f>
        <v/>
      </c>
      <c r="J171" s="37" t="str">
        <f>IF($A171="","",IF(COUNTIF(Invoices!$A$8:$A$257,$A171)=0,"Unknown invoice no.",IF($C171="","No description",IF($H171=0,"Amount is 0","OK"))))</f>
        <v/>
      </c>
    </row>
    <row r="172" spans="1:10" ht="16" x14ac:dyDescent="0.2">
      <c r="A172" s="30"/>
      <c r="B172" s="31"/>
      <c r="C172" s="30"/>
      <c r="D172" s="41"/>
      <c r="E172" s="30"/>
      <c r="F172" s="36"/>
      <c r="G172" s="42"/>
      <c r="H172" s="34" t="str">
        <f t="shared" si="2"/>
        <v/>
      </c>
      <c r="I172" s="37" t="str">
        <f>IF($A172="","",IF($A172&lt;&gt;'Invoice (print)'!$C$1,"",COUNTIF($A$8:$A172,$A172)))</f>
        <v/>
      </c>
      <c r="J172" s="37" t="str">
        <f>IF($A172="","",IF(COUNTIF(Invoices!$A$8:$A$257,$A172)=0,"Unknown invoice no.",IF($C172="","No description",IF($H172=0,"Amount is 0","OK"))))</f>
        <v/>
      </c>
    </row>
    <row r="173" spans="1:10" ht="16" x14ac:dyDescent="0.2">
      <c r="A173" s="30"/>
      <c r="B173" s="31"/>
      <c r="C173" s="30"/>
      <c r="D173" s="41"/>
      <c r="E173" s="30"/>
      <c r="F173" s="36"/>
      <c r="G173" s="42"/>
      <c r="H173" s="34" t="str">
        <f t="shared" si="2"/>
        <v/>
      </c>
      <c r="I173" s="37" t="str">
        <f>IF($A173="","",IF($A173&lt;&gt;'Invoice (print)'!$C$1,"",COUNTIF($A$8:$A173,$A173)))</f>
        <v/>
      </c>
      <c r="J173" s="37" t="str">
        <f>IF($A173="","",IF(COUNTIF(Invoices!$A$8:$A$257,$A173)=0,"Unknown invoice no.",IF($C173="","No description",IF($H173=0,"Amount is 0","OK"))))</f>
        <v/>
      </c>
    </row>
    <row r="174" spans="1:10" ht="16" x14ac:dyDescent="0.2">
      <c r="A174" s="30"/>
      <c r="B174" s="31"/>
      <c r="C174" s="30"/>
      <c r="D174" s="41"/>
      <c r="E174" s="30"/>
      <c r="F174" s="36"/>
      <c r="G174" s="42"/>
      <c r="H174" s="34" t="str">
        <f t="shared" si="2"/>
        <v/>
      </c>
      <c r="I174" s="37" t="str">
        <f>IF($A174="","",IF($A174&lt;&gt;'Invoice (print)'!$C$1,"",COUNTIF($A$8:$A174,$A174)))</f>
        <v/>
      </c>
      <c r="J174" s="37" t="str">
        <f>IF($A174="","",IF(COUNTIF(Invoices!$A$8:$A$257,$A174)=0,"Unknown invoice no.",IF($C174="","No description",IF($H174=0,"Amount is 0","OK"))))</f>
        <v/>
      </c>
    </row>
    <row r="175" spans="1:10" ht="16" x14ac:dyDescent="0.2">
      <c r="A175" s="30"/>
      <c r="B175" s="31"/>
      <c r="C175" s="30"/>
      <c r="D175" s="41"/>
      <c r="E175" s="30"/>
      <c r="F175" s="36"/>
      <c r="G175" s="42"/>
      <c r="H175" s="34" t="str">
        <f t="shared" si="2"/>
        <v/>
      </c>
      <c r="I175" s="37" t="str">
        <f>IF($A175="","",IF($A175&lt;&gt;'Invoice (print)'!$C$1,"",COUNTIF($A$8:$A175,$A175)))</f>
        <v/>
      </c>
      <c r="J175" s="37" t="str">
        <f>IF($A175="","",IF(COUNTIF(Invoices!$A$8:$A$257,$A175)=0,"Unknown invoice no.",IF($C175="","No description",IF($H175=0,"Amount is 0","OK"))))</f>
        <v/>
      </c>
    </row>
    <row r="176" spans="1:10" ht="16" x14ac:dyDescent="0.2">
      <c r="A176" s="30"/>
      <c r="B176" s="31"/>
      <c r="C176" s="30"/>
      <c r="D176" s="41"/>
      <c r="E176" s="30"/>
      <c r="F176" s="36"/>
      <c r="G176" s="42"/>
      <c r="H176" s="34" t="str">
        <f t="shared" si="2"/>
        <v/>
      </c>
      <c r="I176" s="37" t="str">
        <f>IF($A176="","",IF($A176&lt;&gt;'Invoice (print)'!$C$1,"",COUNTIF($A$8:$A176,$A176)))</f>
        <v/>
      </c>
      <c r="J176" s="37" t="str">
        <f>IF($A176="","",IF(COUNTIF(Invoices!$A$8:$A$257,$A176)=0,"Unknown invoice no.",IF($C176="","No description",IF($H176=0,"Amount is 0","OK"))))</f>
        <v/>
      </c>
    </row>
    <row r="177" spans="1:10" ht="16" x14ac:dyDescent="0.2">
      <c r="A177" s="30"/>
      <c r="B177" s="31"/>
      <c r="C177" s="30"/>
      <c r="D177" s="41"/>
      <c r="E177" s="30"/>
      <c r="F177" s="36"/>
      <c r="G177" s="42"/>
      <c r="H177" s="34" t="str">
        <f t="shared" si="2"/>
        <v/>
      </c>
      <c r="I177" s="37" t="str">
        <f>IF($A177="","",IF($A177&lt;&gt;'Invoice (print)'!$C$1,"",COUNTIF($A$8:$A177,$A177)))</f>
        <v/>
      </c>
      <c r="J177" s="37" t="str">
        <f>IF($A177="","",IF(COUNTIF(Invoices!$A$8:$A$257,$A177)=0,"Unknown invoice no.",IF($C177="","No description",IF($H177=0,"Amount is 0","OK"))))</f>
        <v/>
      </c>
    </row>
    <row r="178" spans="1:10" ht="16" x14ac:dyDescent="0.2">
      <c r="A178" s="30"/>
      <c r="B178" s="31"/>
      <c r="C178" s="30"/>
      <c r="D178" s="41"/>
      <c r="E178" s="30"/>
      <c r="F178" s="36"/>
      <c r="G178" s="42"/>
      <c r="H178" s="34" t="str">
        <f t="shared" si="2"/>
        <v/>
      </c>
      <c r="I178" s="37" t="str">
        <f>IF($A178="","",IF($A178&lt;&gt;'Invoice (print)'!$C$1,"",COUNTIF($A$8:$A178,$A178)))</f>
        <v/>
      </c>
      <c r="J178" s="37" t="str">
        <f>IF($A178="","",IF(COUNTIF(Invoices!$A$8:$A$257,$A178)=0,"Unknown invoice no.",IF($C178="","No description",IF($H178=0,"Amount is 0","OK"))))</f>
        <v/>
      </c>
    </row>
    <row r="179" spans="1:10" ht="16" x14ac:dyDescent="0.2">
      <c r="A179" s="30"/>
      <c r="B179" s="31"/>
      <c r="C179" s="30"/>
      <c r="D179" s="41"/>
      <c r="E179" s="30"/>
      <c r="F179" s="36"/>
      <c r="G179" s="42"/>
      <c r="H179" s="34" t="str">
        <f t="shared" si="2"/>
        <v/>
      </c>
      <c r="I179" s="37" t="str">
        <f>IF($A179="","",IF($A179&lt;&gt;'Invoice (print)'!$C$1,"",COUNTIF($A$8:$A179,$A179)))</f>
        <v/>
      </c>
      <c r="J179" s="37" t="str">
        <f>IF($A179="","",IF(COUNTIF(Invoices!$A$8:$A$257,$A179)=0,"Unknown invoice no.",IF($C179="","No description",IF($H179=0,"Amount is 0","OK"))))</f>
        <v/>
      </c>
    </row>
    <row r="180" spans="1:10" ht="16" x14ac:dyDescent="0.2">
      <c r="A180" s="30"/>
      <c r="B180" s="31"/>
      <c r="C180" s="30"/>
      <c r="D180" s="41"/>
      <c r="E180" s="30"/>
      <c r="F180" s="36"/>
      <c r="G180" s="42"/>
      <c r="H180" s="34" t="str">
        <f t="shared" si="2"/>
        <v/>
      </c>
      <c r="I180" s="37" t="str">
        <f>IF($A180="","",IF($A180&lt;&gt;'Invoice (print)'!$C$1,"",COUNTIF($A$8:$A180,$A180)))</f>
        <v/>
      </c>
      <c r="J180" s="37" t="str">
        <f>IF($A180="","",IF(COUNTIF(Invoices!$A$8:$A$257,$A180)=0,"Unknown invoice no.",IF($C180="","No description",IF($H180=0,"Amount is 0","OK"))))</f>
        <v/>
      </c>
    </row>
    <row r="181" spans="1:10" ht="16" x14ac:dyDescent="0.2">
      <c r="A181" s="30"/>
      <c r="B181" s="31"/>
      <c r="C181" s="30"/>
      <c r="D181" s="41"/>
      <c r="E181" s="30"/>
      <c r="F181" s="36"/>
      <c r="G181" s="42"/>
      <c r="H181" s="34" t="str">
        <f t="shared" si="2"/>
        <v/>
      </c>
      <c r="I181" s="37" t="str">
        <f>IF($A181="","",IF($A181&lt;&gt;'Invoice (print)'!$C$1,"",COUNTIF($A$8:$A181,$A181)))</f>
        <v/>
      </c>
      <c r="J181" s="37" t="str">
        <f>IF($A181="","",IF(COUNTIF(Invoices!$A$8:$A$257,$A181)=0,"Unknown invoice no.",IF($C181="","No description",IF($H181=0,"Amount is 0","OK"))))</f>
        <v/>
      </c>
    </row>
    <row r="182" spans="1:10" ht="16" x14ac:dyDescent="0.2">
      <c r="A182" s="30"/>
      <c r="B182" s="31"/>
      <c r="C182" s="30"/>
      <c r="D182" s="41"/>
      <c r="E182" s="30"/>
      <c r="F182" s="36"/>
      <c r="G182" s="42"/>
      <c r="H182" s="34" t="str">
        <f t="shared" si="2"/>
        <v/>
      </c>
      <c r="I182" s="37" t="str">
        <f>IF($A182="","",IF($A182&lt;&gt;'Invoice (print)'!$C$1,"",COUNTIF($A$8:$A182,$A182)))</f>
        <v/>
      </c>
      <c r="J182" s="37" t="str">
        <f>IF($A182="","",IF(COUNTIF(Invoices!$A$8:$A$257,$A182)=0,"Unknown invoice no.",IF($C182="","No description",IF($H182=0,"Amount is 0","OK"))))</f>
        <v/>
      </c>
    </row>
    <row r="183" spans="1:10" ht="16" x14ac:dyDescent="0.2">
      <c r="A183" s="30"/>
      <c r="B183" s="31"/>
      <c r="C183" s="30"/>
      <c r="D183" s="41"/>
      <c r="E183" s="30"/>
      <c r="F183" s="36"/>
      <c r="G183" s="42"/>
      <c r="H183" s="34" t="str">
        <f t="shared" si="2"/>
        <v/>
      </c>
      <c r="I183" s="37" t="str">
        <f>IF($A183="","",IF($A183&lt;&gt;'Invoice (print)'!$C$1,"",COUNTIF($A$8:$A183,$A183)))</f>
        <v/>
      </c>
      <c r="J183" s="37" t="str">
        <f>IF($A183="","",IF(COUNTIF(Invoices!$A$8:$A$257,$A183)=0,"Unknown invoice no.",IF($C183="","No description",IF($H183=0,"Amount is 0","OK"))))</f>
        <v/>
      </c>
    </row>
    <row r="184" spans="1:10" ht="16" x14ac:dyDescent="0.2">
      <c r="A184" s="30"/>
      <c r="B184" s="31"/>
      <c r="C184" s="30"/>
      <c r="D184" s="41"/>
      <c r="E184" s="30"/>
      <c r="F184" s="36"/>
      <c r="G184" s="42"/>
      <c r="H184" s="34" t="str">
        <f t="shared" si="2"/>
        <v/>
      </c>
      <c r="I184" s="37" t="str">
        <f>IF($A184="","",IF($A184&lt;&gt;'Invoice (print)'!$C$1,"",COUNTIF($A$8:$A184,$A184)))</f>
        <v/>
      </c>
      <c r="J184" s="37" t="str">
        <f>IF($A184="","",IF(COUNTIF(Invoices!$A$8:$A$257,$A184)=0,"Unknown invoice no.",IF($C184="","No description",IF($H184=0,"Amount is 0","OK"))))</f>
        <v/>
      </c>
    </row>
    <row r="185" spans="1:10" ht="16" x14ac:dyDescent="0.2">
      <c r="A185" s="30"/>
      <c r="B185" s="31"/>
      <c r="C185" s="30"/>
      <c r="D185" s="41"/>
      <c r="E185" s="30"/>
      <c r="F185" s="36"/>
      <c r="G185" s="42"/>
      <c r="H185" s="34" t="str">
        <f t="shared" si="2"/>
        <v/>
      </c>
      <c r="I185" s="37" t="str">
        <f>IF($A185="","",IF($A185&lt;&gt;'Invoice (print)'!$C$1,"",COUNTIF($A$8:$A185,$A185)))</f>
        <v/>
      </c>
      <c r="J185" s="37" t="str">
        <f>IF($A185="","",IF(COUNTIF(Invoices!$A$8:$A$257,$A185)=0,"Unknown invoice no.",IF($C185="","No description",IF($H185=0,"Amount is 0","OK"))))</f>
        <v/>
      </c>
    </row>
    <row r="186" spans="1:10" ht="16" x14ac:dyDescent="0.2">
      <c r="A186" s="30"/>
      <c r="B186" s="31"/>
      <c r="C186" s="30"/>
      <c r="D186" s="41"/>
      <c r="E186" s="30"/>
      <c r="F186" s="36"/>
      <c r="G186" s="42"/>
      <c r="H186" s="34" t="str">
        <f t="shared" si="2"/>
        <v/>
      </c>
      <c r="I186" s="37" t="str">
        <f>IF($A186="","",IF($A186&lt;&gt;'Invoice (print)'!$C$1,"",COUNTIF($A$8:$A186,$A186)))</f>
        <v/>
      </c>
      <c r="J186" s="37" t="str">
        <f>IF($A186="","",IF(COUNTIF(Invoices!$A$8:$A$257,$A186)=0,"Unknown invoice no.",IF($C186="","No description",IF($H186=0,"Amount is 0","OK"))))</f>
        <v/>
      </c>
    </row>
    <row r="187" spans="1:10" ht="16" x14ac:dyDescent="0.2">
      <c r="A187" s="30"/>
      <c r="B187" s="31"/>
      <c r="C187" s="30"/>
      <c r="D187" s="41"/>
      <c r="E187" s="30"/>
      <c r="F187" s="36"/>
      <c r="G187" s="42"/>
      <c r="H187" s="34" t="str">
        <f t="shared" si="2"/>
        <v/>
      </c>
      <c r="I187" s="37" t="str">
        <f>IF($A187="","",IF($A187&lt;&gt;'Invoice (print)'!$C$1,"",COUNTIF($A$8:$A187,$A187)))</f>
        <v/>
      </c>
      <c r="J187" s="37" t="str">
        <f>IF($A187="","",IF(COUNTIF(Invoices!$A$8:$A$257,$A187)=0,"Unknown invoice no.",IF($C187="","No description",IF($H187=0,"Amount is 0","OK"))))</f>
        <v/>
      </c>
    </row>
    <row r="188" spans="1:10" ht="16" x14ac:dyDescent="0.2">
      <c r="A188" s="30"/>
      <c r="B188" s="31"/>
      <c r="C188" s="30"/>
      <c r="D188" s="41"/>
      <c r="E188" s="30"/>
      <c r="F188" s="36"/>
      <c r="G188" s="42"/>
      <c r="H188" s="34" t="str">
        <f t="shared" si="2"/>
        <v/>
      </c>
      <c r="I188" s="37" t="str">
        <f>IF($A188="","",IF($A188&lt;&gt;'Invoice (print)'!$C$1,"",COUNTIF($A$8:$A188,$A188)))</f>
        <v/>
      </c>
      <c r="J188" s="37" t="str">
        <f>IF($A188="","",IF(COUNTIF(Invoices!$A$8:$A$257,$A188)=0,"Unknown invoice no.",IF($C188="","No description",IF($H188=0,"Amount is 0","OK"))))</f>
        <v/>
      </c>
    </row>
    <row r="189" spans="1:10" ht="16" x14ac:dyDescent="0.2">
      <c r="A189" s="30"/>
      <c r="B189" s="31"/>
      <c r="C189" s="30"/>
      <c r="D189" s="41"/>
      <c r="E189" s="30"/>
      <c r="F189" s="36"/>
      <c r="G189" s="42"/>
      <c r="H189" s="34" t="str">
        <f t="shared" si="2"/>
        <v/>
      </c>
      <c r="I189" s="37" t="str">
        <f>IF($A189="","",IF($A189&lt;&gt;'Invoice (print)'!$C$1,"",COUNTIF($A$8:$A189,$A189)))</f>
        <v/>
      </c>
      <c r="J189" s="37" t="str">
        <f>IF($A189="","",IF(COUNTIF(Invoices!$A$8:$A$257,$A189)=0,"Unknown invoice no.",IF($C189="","No description",IF($H189=0,"Amount is 0","OK"))))</f>
        <v/>
      </c>
    </row>
    <row r="190" spans="1:10" ht="16" x14ac:dyDescent="0.2">
      <c r="A190" s="30"/>
      <c r="B190" s="31"/>
      <c r="C190" s="30"/>
      <c r="D190" s="41"/>
      <c r="E190" s="30"/>
      <c r="F190" s="36"/>
      <c r="G190" s="42"/>
      <c r="H190" s="34" t="str">
        <f t="shared" si="2"/>
        <v/>
      </c>
      <c r="I190" s="37" t="str">
        <f>IF($A190="","",IF($A190&lt;&gt;'Invoice (print)'!$C$1,"",COUNTIF($A$8:$A190,$A190)))</f>
        <v/>
      </c>
      <c r="J190" s="37" t="str">
        <f>IF($A190="","",IF(COUNTIF(Invoices!$A$8:$A$257,$A190)=0,"Unknown invoice no.",IF($C190="","No description",IF($H190=0,"Amount is 0","OK"))))</f>
        <v/>
      </c>
    </row>
    <row r="191" spans="1:10" ht="16" x14ac:dyDescent="0.2">
      <c r="A191" s="30"/>
      <c r="B191" s="31"/>
      <c r="C191" s="30"/>
      <c r="D191" s="41"/>
      <c r="E191" s="30"/>
      <c r="F191" s="36"/>
      <c r="G191" s="42"/>
      <c r="H191" s="34" t="str">
        <f t="shared" si="2"/>
        <v/>
      </c>
      <c r="I191" s="37" t="str">
        <f>IF($A191="","",IF($A191&lt;&gt;'Invoice (print)'!$C$1,"",COUNTIF($A$8:$A191,$A191)))</f>
        <v/>
      </c>
      <c r="J191" s="37" t="str">
        <f>IF($A191="","",IF(COUNTIF(Invoices!$A$8:$A$257,$A191)=0,"Unknown invoice no.",IF($C191="","No description",IF($H191=0,"Amount is 0","OK"))))</f>
        <v/>
      </c>
    </row>
    <row r="192" spans="1:10" ht="16" x14ac:dyDescent="0.2">
      <c r="A192" s="30"/>
      <c r="B192" s="31"/>
      <c r="C192" s="30"/>
      <c r="D192" s="41"/>
      <c r="E192" s="30"/>
      <c r="F192" s="36"/>
      <c r="G192" s="42"/>
      <c r="H192" s="34" t="str">
        <f t="shared" si="2"/>
        <v/>
      </c>
      <c r="I192" s="37" t="str">
        <f>IF($A192="","",IF($A192&lt;&gt;'Invoice (print)'!$C$1,"",COUNTIF($A$8:$A192,$A192)))</f>
        <v/>
      </c>
      <c r="J192" s="37" t="str">
        <f>IF($A192="","",IF(COUNTIF(Invoices!$A$8:$A$257,$A192)=0,"Unknown invoice no.",IF($C192="","No description",IF($H192=0,"Amount is 0","OK"))))</f>
        <v/>
      </c>
    </row>
    <row r="193" spans="1:10" ht="16" x14ac:dyDescent="0.2">
      <c r="A193" s="30"/>
      <c r="B193" s="31"/>
      <c r="C193" s="30"/>
      <c r="D193" s="41"/>
      <c r="E193" s="30"/>
      <c r="F193" s="36"/>
      <c r="G193" s="42"/>
      <c r="H193" s="34" t="str">
        <f t="shared" si="2"/>
        <v/>
      </c>
      <c r="I193" s="37" t="str">
        <f>IF($A193="","",IF($A193&lt;&gt;'Invoice (print)'!$C$1,"",COUNTIF($A$8:$A193,$A193)))</f>
        <v/>
      </c>
      <c r="J193" s="37" t="str">
        <f>IF($A193="","",IF(COUNTIF(Invoices!$A$8:$A$257,$A193)=0,"Unknown invoice no.",IF($C193="","No description",IF($H193=0,"Amount is 0","OK"))))</f>
        <v/>
      </c>
    </row>
    <row r="194" spans="1:10" ht="16" x14ac:dyDescent="0.2">
      <c r="A194" s="30"/>
      <c r="B194" s="31"/>
      <c r="C194" s="30"/>
      <c r="D194" s="41"/>
      <c r="E194" s="30"/>
      <c r="F194" s="36"/>
      <c r="G194" s="42"/>
      <c r="H194" s="34" t="str">
        <f t="shared" si="2"/>
        <v/>
      </c>
      <c r="I194" s="37" t="str">
        <f>IF($A194="","",IF($A194&lt;&gt;'Invoice (print)'!$C$1,"",COUNTIF($A$8:$A194,$A194)))</f>
        <v/>
      </c>
      <c r="J194" s="37" t="str">
        <f>IF($A194="","",IF(COUNTIF(Invoices!$A$8:$A$257,$A194)=0,"Unknown invoice no.",IF($C194="","No description",IF($H194=0,"Amount is 0","OK"))))</f>
        <v/>
      </c>
    </row>
    <row r="195" spans="1:10" ht="16" x14ac:dyDescent="0.2">
      <c r="A195" s="30"/>
      <c r="B195" s="31"/>
      <c r="C195" s="30"/>
      <c r="D195" s="41"/>
      <c r="E195" s="30"/>
      <c r="F195" s="36"/>
      <c r="G195" s="42"/>
      <c r="H195" s="34" t="str">
        <f t="shared" si="2"/>
        <v/>
      </c>
      <c r="I195" s="37" t="str">
        <f>IF($A195="","",IF($A195&lt;&gt;'Invoice (print)'!$C$1,"",COUNTIF($A$8:$A195,$A195)))</f>
        <v/>
      </c>
      <c r="J195" s="37" t="str">
        <f>IF($A195="","",IF(COUNTIF(Invoices!$A$8:$A$257,$A195)=0,"Unknown invoice no.",IF($C195="","No description",IF($H195=0,"Amount is 0","OK"))))</f>
        <v/>
      </c>
    </row>
    <row r="196" spans="1:10" ht="16" x14ac:dyDescent="0.2">
      <c r="A196" s="30"/>
      <c r="B196" s="31"/>
      <c r="C196" s="30"/>
      <c r="D196" s="41"/>
      <c r="E196" s="30"/>
      <c r="F196" s="36"/>
      <c r="G196" s="42"/>
      <c r="H196" s="34" t="str">
        <f t="shared" si="2"/>
        <v/>
      </c>
      <c r="I196" s="37" t="str">
        <f>IF($A196="","",IF($A196&lt;&gt;'Invoice (print)'!$C$1,"",COUNTIF($A$8:$A196,$A196)))</f>
        <v/>
      </c>
      <c r="J196" s="37" t="str">
        <f>IF($A196="","",IF(COUNTIF(Invoices!$A$8:$A$257,$A196)=0,"Unknown invoice no.",IF($C196="","No description",IF($H196=0,"Amount is 0","OK"))))</f>
        <v/>
      </c>
    </row>
    <row r="197" spans="1:10" ht="16" x14ac:dyDescent="0.2">
      <c r="A197" s="30"/>
      <c r="B197" s="31"/>
      <c r="C197" s="30"/>
      <c r="D197" s="41"/>
      <c r="E197" s="30"/>
      <c r="F197" s="36"/>
      <c r="G197" s="42"/>
      <c r="H197" s="34" t="str">
        <f t="shared" si="2"/>
        <v/>
      </c>
      <c r="I197" s="37" t="str">
        <f>IF($A197="","",IF($A197&lt;&gt;'Invoice (print)'!$C$1,"",COUNTIF($A$8:$A197,$A197)))</f>
        <v/>
      </c>
      <c r="J197" s="37" t="str">
        <f>IF($A197="","",IF(COUNTIF(Invoices!$A$8:$A$257,$A197)=0,"Unknown invoice no.",IF($C197="","No description",IF($H197=0,"Amount is 0","OK"))))</f>
        <v/>
      </c>
    </row>
    <row r="198" spans="1:10" ht="16" x14ac:dyDescent="0.2">
      <c r="A198" s="30"/>
      <c r="B198" s="31"/>
      <c r="C198" s="30"/>
      <c r="D198" s="41"/>
      <c r="E198" s="30"/>
      <c r="F198" s="36"/>
      <c r="G198" s="42"/>
      <c r="H198" s="34" t="str">
        <f t="shared" si="2"/>
        <v/>
      </c>
      <c r="I198" s="37" t="str">
        <f>IF($A198="","",IF($A198&lt;&gt;'Invoice (print)'!$C$1,"",COUNTIF($A$8:$A198,$A198)))</f>
        <v/>
      </c>
      <c r="J198" s="37" t="str">
        <f>IF($A198="","",IF(COUNTIF(Invoices!$A$8:$A$257,$A198)=0,"Unknown invoice no.",IF($C198="","No description",IF($H198=0,"Amount is 0","OK"))))</f>
        <v/>
      </c>
    </row>
    <row r="199" spans="1:10" ht="16" x14ac:dyDescent="0.2">
      <c r="A199" s="30"/>
      <c r="B199" s="31"/>
      <c r="C199" s="30"/>
      <c r="D199" s="41"/>
      <c r="E199" s="30"/>
      <c r="F199" s="36"/>
      <c r="G199" s="42"/>
      <c r="H199" s="34" t="str">
        <f t="shared" si="2"/>
        <v/>
      </c>
      <c r="I199" s="37" t="str">
        <f>IF($A199="","",IF($A199&lt;&gt;'Invoice (print)'!$C$1,"",COUNTIF($A$8:$A199,$A199)))</f>
        <v/>
      </c>
      <c r="J199" s="37" t="str">
        <f>IF($A199="","",IF(COUNTIF(Invoices!$A$8:$A$257,$A199)=0,"Unknown invoice no.",IF($C199="","No description",IF($H199=0,"Amount is 0","OK"))))</f>
        <v/>
      </c>
    </row>
    <row r="200" spans="1:10" ht="16" x14ac:dyDescent="0.2">
      <c r="A200" s="30"/>
      <c r="B200" s="31"/>
      <c r="C200" s="30"/>
      <c r="D200" s="41"/>
      <c r="E200" s="30"/>
      <c r="F200" s="36"/>
      <c r="G200" s="42"/>
      <c r="H200" s="34" t="str">
        <f t="shared" ref="H200:H263" si="3">IF($A200="","",ROUND(IF($D200="",0,$D200)*IF($F200="",0,$F200)*(1-IF($G200="",0,$G200)/100),2))</f>
        <v/>
      </c>
      <c r="I200" s="37" t="str">
        <f>IF($A200="","",IF($A200&lt;&gt;'Invoice (print)'!$C$1,"",COUNTIF($A$8:$A200,$A200)))</f>
        <v/>
      </c>
      <c r="J200" s="37" t="str">
        <f>IF($A200="","",IF(COUNTIF(Invoices!$A$8:$A$257,$A200)=0,"Unknown invoice no.",IF($C200="","No description",IF($H200=0,"Amount is 0","OK"))))</f>
        <v/>
      </c>
    </row>
    <row r="201" spans="1:10" ht="16" x14ac:dyDescent="0.2">
      <c r="A201" s="30"/>
      <c r="B201" s="31"/>
      <c r="C201" s="30"/>
      <c r="D201" s="41"/>
      <c r="E201" s="30"/>
      <c r="F201" s="36"/>
      <c r="G201" s="42"/>
      <c r="H201" s="34" t="str">
        <f t="shared" si="3"/>
        <v/>
      </c>
      <c r="I201" s="37" t="str">
        <f>IF($A201="","",IF($A201&lt;&gt;'Invoice (print)'!$C$1,"",COUNTIF($A$8:$A201,$A201)))</f>
        <v/>
      </c>
      <c r="J201" s="37" t="str">
        <f>IF($A201="","",IF(COUNTIF(Invoices!$A$8:$A$257,$A201)=0,"Unknown invoice no.",IF($C201="","No description",IF($H201=0,"Amount is 0","OK"))))</f>
        <v/>
      </c>
    </row>
    <row r="202" spans="1:10" ht="16" x14ac:dyDescent="0.2">
      <c r="A202" s="30"/>
      <c r="B202" s="31"/>
      <c r="C202" s="30"/>
      <c r="D202" s="41"/>
      <c r="E202" s="30"/>
      <c r="F202" s="36"/>
      <c r="G202" s="42"/>
      <c r="H202" s="34" t="str">
        <f t="shared" si="3"/>
        <v/>
      </c>
      <c r="I202" s="37" t="str">
        <f>IF($A202="","",IF($A202&lt;&gt;'Invoice (print)'!$C$1,"",COUNTIF($A$8:$A202,$A202)))</f>
        <v/>
      </c>
      <c r="J202" s="37" t="str">
        <f>IF($A202="","",IF(COUNTIF(Invoices!$A$8:$A$257,$A202)=0,"Unknown invoice no.",IF($C202="","No description",IF($H202=0,"Amount is 0","OK"))))</f>
        <v/>
      </c>
    </row>
    <row r="203" spans="1:10" ht="16" x14ac:dyDescent="0.2">
      <c r="A203" s="30"/>
      <c r="B203" s="31"/>
      <c r="C203" s="30"/>
      <c r="D203" s="41"/>
      <c r="E203" s="30"/>
      <c r="F203" s="36"/>
      <c r="G203" s="42"/>
      <c r="H203" s="34" t="str">
        <f t="shared" si="3"/>
        <v/>
      </c>
      <c r="I203" s="37" t="str">
        <f>IF($A203="","",IF($A203&lt;&gt;'Invoice (print)'!$C$1,"",COUNTIF($A$8:$A203,$A203)))</f>
        <v/>
      </c>
      <c r="J203" s="37" t="str">
        <f>IF($A203="","",IF(COUNTIF(Invoices!$A$8:$A$257,$A203)=0,"Unknown invoice no.",IF($C203="","No description",IF($H203=0,"Amount is 0","OK"))))</f>
        <v/>
      </c>
    </row>
    <row r="204" spans="1:10" ht="16" x14ac:dyDescent="0.2">
      <c r="A204" s="30"/>
      <c r="B204" s="31"/>
      <c r="C204" s="30"/>
      <c r="D204" s="41"/>
      <c r="E204" s="30"/>
      <c r="F204" s="36"/>
      <c r="G204" s="42"/>
      <c r="H204" s="34" t="str">
        <f t="shared" si="3"/>
        <v/>
      </c>
      <c r="I204" s="37" t="str">
        <f>IF($A204="","",IF($A204&lt;&gt;'Invoice (print)'!$C$1,"",COUNTIF($A$8:$A204,$A204)))</f>
        <v/>
      </c>
      <c r="J204" s="37" t="str">
        <f>IF($A204="","",IF(COUNTIF(Invoices!$A$8:$A$257,$A204)=0,"Unknown invoice no.",IF($C204="","No description",IF($H204=0,"Amount is 0","OK"))))</f>
        <v/>
      </c>
    </row>
    <row r="205" spans="1:10" ht="16" x14ac:dyDescent="0.2">
      <c r="A205" s="30"/>
      <c r="B205" s="31"/>
      <c r="C205" s="30"/>
      <c r="D205" s="41"/>
      <c r="E205" s="30"/>
      <c r="F205" s="36"/>
      <c r="G205" s="42"/>
      <c r="H205" s="34" t="str">
        <f t="shared" si="3"/>
        <v/>
      </c>
      <c r="I205" s="37" t="str">
        <f>IF($A205="","",IF($A205&lt;&gt;'Invoice (print)'!$C$1,"",COUNTIF($A$8:$A205,$A205)))</f>
        <v/>
      </c>
      <c r="J205" s="37" t="str">
        <f>IF($A205="","",IF(COUNTIF(Invoices!$A$8:$A$257,$A205)=0,"Unknown invoice no.",IF($C205="","No description",IF($H205=0,"Amount is 0","OK"))))</f>
        <v/>
      </c>
    </row>
    <row r="206" spans="1:10" ht="16" x14ac:dyDescent="0.2">
      <c r="A206" s="30"/>
      <c r="B206" s="31"/>
      <c r="C206" s="30"/>
      <c r="D206" s="41"/>
      <c r="E206" s="30"/>
      <c r="F206" s="36"/>
      <c r="G206" s="42"/>
      <c r="H206" s="34" t="str">
        <f t="shared" si="3"/>
        <v/>
      </c>
      <c r="I206" s="37" t="str">
        <f>IF($A206="","",IF($A206&lt;&gt;'Invoice (print)'!$C$1,"",COUNTIF($A$8:$A206,$A206)))</f>
        <v/>
      </c>
      <c r="J206" s="37" t="str">
        <f>IF($A206="","",IF(COUNTIF(Invoices!$A$8:$A$257,$A206)=0,"Unknown invoice no.",IF($C206="","No description",IF($H206=0,"Amount is 0","OK"))))</f>
        <v/>
      </c>
    </row>
    <row r="207" spans="1:10" ht="16" x14ac:dyDescent="0.2">
      <c r="A207" s="30"/>
      <c r="B207" s="31"/>
      <c r="C207" s="30"/>
      <c r="D207" s="41"/>
      <c r="E207" s="30"/>
      <c r="F207" s="36"/>
      <c r="G207" s="42"/>
      <c r="H207" s="34" t="str">
        <f t="shared" si="3"/>
        <v/>
      </c>
      <c r="I207" s="37" t="str">
        <f>IF($A207="","",IF($A207&lt;&gt;'Invoice (print)'!$C$1,"",COUNTIF($A$8:$A207,$A207)))</f>
        <v/>
      </c>
      <c r="J207" s="37" t="str">
        <f>IF($A207="","",IF(COUNTIF(Invoices!$A$8:$A$257,$A207)=0,"Unknown invoice no.",IF($C207="","No description",IF($H207=0,"Amount is 0","OK"))))</f>
        <v/>
      </c>
    </row>
    <row r="208" spans="1:10" ht="16" x14ac:dyDescent="0.2">
      <c r="A208" s="30"/>
      <c r="B208" s="31"/>
      <c r="C208" s="30"/>
      <c r="D208" s="41"/>
      <c r="E208" s="30"/>
      <c r="F208" s="36"/>
      <c r="G208" s="42"/>
      <c r="H208" s="34" t="str">
        <f t="shared" si="3"/>
        <v/>
      </c>
      <c r="I208" s="37" t="str">
        <f>IF($A208="","",IF($A208&lt;&gt;'Invoice (print)'!$C$1,"",COUNTIF($A$8:$A208,$A208)))</f>
        <v/>
      </c>
      <c r="J208" s="37" t="str">
        <f>IF($A208="","",IF(COUNTIF(Invoices!$A$8:$A$257,$A208)=0,"Unknown invoice no.",IF($C208="","No description",IF($H208=0,"Amount is 0","OK"))))</f>
        <v/>
      </c>
    </row>
    <row r="209" spans="1:10" ht="16" x14ac:dyDescent="0.2">
      <c r="A209" s="30"/>
      <c r="B209" s="31"/>
      <c r="C209" s="30"/>
      <c r="D209" s="41"/>
      <c r="E209" s="30"/>
      <c r="F209" s="36"/>
      <c r="G209" s="42"/>
      <c r="H209" s="34" t="str">
        <f t="shared" si="3"/>
        <v/>
      </c>
      <c r="I209" s="37" t="str">
        <f>IF($A209="","",IF($A209&lt;&gt;'Invoice (print)'!$C$1,"",COUNTIF($A$8:$A209,$A209)))</f>
        <v/>
      </c>
      <c r="J209" s="37" t="str">
        <f>IF($A209="","",IF(COUNTIF(Invoices!$A$8:$A$257,$A209)=0,"Unknown invoice no.",IF($C209="","No description",IF($H209=0,"Amount is 0","OK"))))</f>
        <v/>
      </c>
    </row>
    <row r="210" spans="1:10" ht="16" x14ac:dyDescent="0.2">
      <c r="A210" s="30"/>
      <c r="B210" s="31"/>
      <c r="C210" s="30"/>
      <c r="D210" s="41"/>
      <c r="E210" s="30"/>
      <c r="F210" s="36"/>
      <c r="G210" s="42"/>
      <c r="H210" s="34" t="str">
        <f t="shared" si="3"/>
        <v/>
      </c>
      <c r="I210" s="37" t="str">
        <f>IF($A210="","",IF($A210&lt;&gt;'Invoice (print)'!$C$1,"",COUNTIF($A$8:$A210,$A210)))</f>
        <v/>
      </c>
      <c r="J210" s="37" t="str">
        <f>IF($A210="","",IF(COUNTIF(Invoices!$A$8:$A$257,$A210)=0,"Unknown invoice no.",IF($C210="","No description",IF($H210=0,"Amount is 0","OK"))))</f>
        <v/>
      </c>
    </row>
    <row r="211" spans="1:10" ht="16" x14ac:dyDescent="0.2">
      <c r="A211" s="30"/>
      <c r="B211" s="31"/>
      <c r="C211" s="30"/>
      <c r="D211" s="41"/>
      <c r="E211" s="30"/>
      <c r="F211" s="36"/>
      <c r="G211" s="42"/>
      <c r="H211" s="34" t="str">
        <f t="shared" si="3"/>
        <v/>
      </c>
      <c r="I211" s="37" t="str">
        <f>IF($A211="","",IF($A211&lt;&gt;'Invoice (print)'!$C$1,"",COUNTIF($A$8:$A211,$A211)))</f>
        <v/>
      </c>
      <c r="J211" s="37" t="str">
        <f>IF($A211="","",IF(COUNTIF(Invoices!$A$8:$A$257,$A211)=0,"Unknown invoice no.",IF($C211="","No description",IF($H211=0,"Amount is 0","OK"))))</f>
        <v/>
      </c>
    </row>
    <row r="212" spans="1:10" ht="16" x14ac:dyDescent="0.2">
      <c r="A212" s="30"/>
      <c r="B212" s="31"/>
      <c r="C212" s="30"/>
      <c r="D212" s="41"/>
      <c r="E212" s="30"/>
      <c r="F212" s="36"/>
      <c r="G212" s="42"/>
      <c r="H212" s="34" t="str">
        <f t="shared" si="3"/>
        <v/>
      </c>
      <c r="I212" s="37" t="str">
        <f>IF($A212="","",IF($A212&lt;&gt;'Invoice (print)'!$C$1,"",COUNTIF($A$8:$A212,$A212)))</f>
        <v/>
      </c>
      <c r="J212" s="37" t="str">
        <f>IF($A212="","",IF(COUNTIF(Invoices!$A$8:$A$257,$A212)=0,"Unknown invoice no.",IF($C212="","No description",IF($H212=0,"Amount is 0","OK"))))</f>
        <v/>
      </c>
    </row>
    <row r="213" spans="1:10" ht="16" x14ac:dyDescent="0.2">
      <c r="A213" s="30"/>
      <c r="B213" s="31"/>
      <c r="C213" s="30"/>
      <c r="D213" s="41"/>
      <c r="E213" s="30"/>
      <c r="F213" s="36"/>
      <c r="G213" s="42"/>
      <c r="H213" s="34" t="str">
        <f t="shared" si="3"/>
        <v/>
      </c>
      <c r="I213" s="37" t="str">
        <f>IF($A213="","",IF($A213&lt;&gt;'Invoice (print)'!$C$1,"",COUNTIF($A$8:$A213,$A213)))</f>
        <v/>
      </c>
      <c r="J213" s="37" t="str">
        <f>IF($A213="","",IF(COUNTIF(Invoices!$A$8:$A$257,$A213)=0,"Unknown invoice no.",IF($C213="","No description",IF($H213=0,"Amount is 0","OK"))))</f>
        <v/>
      </c>
    </row>
    <row r="214" spans="1:10" ht="16" x14ac:dyDescent="0.2">
      <c r="A214" s="30"/>
      <c r="B214" s="31"/>
      <c r="C214" s="30"/>
      <c r="D214" s="41"/>
      <c r="E214" s="30"/>
      <c r="F214" s="36"/>
      <c r="G214" s="42"/>
      <c r="H214" s="34" t="str">
        <f t="shared" si="3"/>
        <v/>
      </c>
      <c r="I214" s="37" t="str">
        <f>IF($A214="","",IF($A214&lt;&gt;'Invoice (print)'!$C$1,"",COUNTIF($A$8:$A214,$A214)))</f>
        <v/>
      </c>
      <c r="J214" s="37" t="str">
        <f>IF($A214="","",IF(COUNTIF(Invoices!$A$8:$A$257,$A214)=0,"Unknown invoice no.",IF($C214="","No description",IF($H214=0,"Amount is 0","OK"))))</f>
        <v/>
      </c>
    </row>
    <row r="215" spans="1:10" ht="16" x14ac:dyDescent="0.2">
      <c r="A215" s="30"/>
      <c r="B215" s="31"/>
      <c r="C215" s="30"/>
      <c r="D215" s="41"/>
      <c r="E215" s="30"/>
      <c r="F215" s="36"/>
      <c r="G215" s="42"/>
      <c r="H215" s="34" t="str">
        <f t="shared" si="3"/>
        <v/>
      </c>
      <c r="I215" s="37" t="str">
        <f>IF($A215="","",IF($A215&lt;&gt;'Invoice (print)'!$C$1,"",COUNTIF($A$8:$A215,$A215)))</f>
        <v/>
      </c>
      <c r="J215" s="37" t="str">
        <f>IF($A215="","",IF(COUNTIF(Invoices!$A$8:$A$257,$A215)=0,"Unknown invoice no.",IF($C215="","No description",IF($H215=0,"Amount is 0","OK"))))</f>
        <v/>
      </c>
    </row>
    <row r="216" spans="1:10" ht="16" x14ac:dyDescent="0.2">
      <c r="A216" s="30"/>
      <c r="B216" s="31"/>
      <c r="C216" s="30"/>
      <c r="D216" s="41"/>
      <c r="E216" s="30"/>
      <c r="F216" s="36"/>
      <c r="G216" s="42"/>
      <c r="H216" s="34" t="str">
        <f t="shared" si="3"/>
        <v/>
      </c>
      <c r="I216" s="37" t="str">
        <f>IF($A216="","",IF($A216&lt;&gt;'Invoice (print)'!$C$1,"",COUNTIF($A$8:$A216,$A216)))</f>
        <v/>
      </c>
      <c r="J216" s="37" t="str">
        <f>IF($A216="","",IF(COUNTIF(Invoices!$A$8:$A$257,$A216)=0,"Unknown invoice no.",IF($C216="","No description",IF($H216=0,"Amount is 0","OK"))))</f>
        <v/>
      </c>
    </row>
    <row r="217" spans="1:10" ht="16" x14ac:dyDescent="0.2">
      <c r="A217" s="30"/>
      <c r="B217" s="31"/>
      <c r="C217" s="30"/>
      <c r="D217" s="41"/>
      <c r="E217" s="30"/>
      <c r="F217" s="36"/>
      <c r="G217" s="42"/>
      <c r="H217" s="34" t="str">
        <f t="shared" si="3"/>
        <v/>
      </c>
      <c r="I217" s="37" t="str">
        <f>IF($A217="","",IF($A217&lt;&gt;'Invoice (print)'!$C$1,"",COUNTIF($A$8:$A217,$A217)))</f>
        <v/>
      </c>
      <c r="J217" s="37" t="str">
        <f>IF($A217="","",IF(COUNTIF(Invoices!$A$8:$A$257,$A217)=0,"Unknown invoice no.",IF($C217="","No description",IF($H217=0,"Amount is 0","OK"))))</f>
        <v/>
      </c>
    </row>
    <row r="218" spans="1:10" ht="16" x14ac:dyDescent="0.2">
      <c r="A218" s="30"/>
      <c r="B218" s="31"/>
      <c r="C218" s="30"/>
      <c r="D218" s="41"/>
      <c r="E218" s="30"/>
      <c r="F218" s="36"/>
      <c r="G218" s="42"/>
      <c r="H218" s="34" t="str">
        <f t="shared" si="3"/>
        <v/>
      </c>
      <c r="I218" s="37" t="str">
        <f>IF($A218="","",IF($A218&lt;&gt;'Invoice (print)'!$C$1,"",COUNTIF($A$8:$A218,$A218)))</f>
        <v/>
      </c>
      <c r="J218" s="37" t="str">
        <f>IF($A218="","",IF(COUNTIF(Invoices!$A$8:$A$257,$A218)=0,"Unknown invoice no.",IF($C218="","No description",IF($H218=0,"Amount is 0","OK"))))</f>
        <v/>
      </c>
    </row>
    <row r="219" spans="1:10" ht="16" x14ac:dyDescent="0.2">
      <c r="A219" s="30"/>
      <c r="B219" s="31"/>
      <c r="C219" s="30"/>
      <c r="D219" s="41"/>
      <c r="E219" s="30"/>
      <c r="F219" s="36"/>
      <c r="G219" s="42"/>
      <c r="H219" s="34" t="str">
        <f t="shared" si="3"/>
        <v/>
      </c>
      <c r="I219" s="37" t="str">
        <f>IF($A219="","",IF($A219&lt;&gt;'Invoice (print)'!$C$1,"",COUNTIF($A$8:$A219,$A219)))</f>
        <v/>
      </c>
      <c r="J219" s="37" t="str">
        <f>IF($A219="","",IF(COUNTIF(Invoices!$A$8:$A$257,$A219)=0,"Unknown invoice no.",IF($C219="","No description",IF($H219=0,"Amount is 0","OK"))))</f>
        <v/>
      </c>
    </row>
    <row r="220" spans="1:10" ht="16" x14ac:dyDescent="0.2">
      <c r="A220" s="30"/>
      <c r="B220" s="31"/>
      <c r="C220" s="30"/>
      <c r="D220" s="41"/>
      <c r="E220" s="30"/>
      <c r="F220" s="36"/>
      <c r="G220" s="42"/>
      <c r="H220" s="34" t="str">
        <f t="shared" si="3"/>
        <v/>
      </c>
      <c r="I220" s="37" t="str">
        <f>IF($A220="","",IF($A220&lt;&gt;'Invoice (print)'!$C$1,"",COUNTIF($A$8:$A220,$A220)))</f>
        <v/>
      </c>
      <c r="J220" s="37" t="str">
        <f>IF($A220="","",IF(COUNTIF(Invoices!$A$8:$A$257,$A220)=0,"Unknown invoice no.",IF($C220="","No description",IF($H220=0,"Amount is 0","OK"))))</f>
        <v/>
      </c>
    </row>
    <row r="221" spans="1:10" ht="16" x14ac:dyDescent="0.2">
      <c r="A221" s="30"/>
      <c r="B221" s="31"/>
      <c r="C221" s="30"/>
      <c r="D221" s="41"/>
      <c r="E221" s="30"/>
      <c r="F221" s="36"/>
      <c r="G221" s="42"/>
      <c r="H221" s="34" t="str">
        <f t="shared" si="3"/>
        <v/>
      </c>
      <c r="I221" s="37" t="str">
        <f>IF($A221="","",IF($A221&lt;&gt;'Invoice (print)'!$C$1,"",COUNTIF($A$8:$A221,$A221)))</f>
        <v/>
      </c>
      <c r="J221" s="37" t="str">
        <f>IF($A221="","",IF(COUNTIF(Invoices!$A$8:$A$257,$A221)=0,"Unknown invoice no.",IF($C221="","No description",IF($H221=0,"Amount is 0","OK"))))</f>
        <v/>
      </c>
    </row>
    <row r="222" spans="1:10" ht="16" x14ac:dyDescent="0.2">
      <c r="A222" s="30"/>
      <c r="B222" s="31"/>
      <c r="C222" s="30"/>
      <c r="D222" s="41"/>
      <c r="E222" s="30"/>
      <c r="F222" s="36"/>
      <c r="G222" s="42"/>
      <c r="H222" s="34" t="str">
        <f t="shared" si="3"/>
        <v/>
      </c>
      <c r="I222" s="37" t="str">
        <f>IF($A222="","",IF($A222&lt;&gt;'Invoice (print)'!$C$1,"",COUNTIF($A$8:$A222,$A222)))</f>
        <v/>
      </c>
      <c r="J222" s="37" t="str">
        <f>IF($A222="","",IF(COUNTIF(Invoices!$A$8:$A$257,$A222)=0,"Unknown invoice no.",IF($C222="","No description",IF($H222=0,"Amount is 0","OK"))))</f>
        <v/>
      </c>
    </row>
    <row r="223" spans="1:10" ht="16" x14ac:dyDescent="0.2">
      <c r="A223" s="30"/>
      <c r="B223" s="31"/>
      <c r="C223" s="30"/>
      <c r="D223" s="41"/>
      <c r="E223" s="30"/>
      <c r="F223" s="36"/>
      <c r="G223" s="42"/>
      <c r="H223" s="34" t="str">
        <f t="shared" si="3"/>
        <v/>
      </c>
      <c r="I223" s="37" t="str">
        <f>IF($A223="","",IF($A223&lt;&gt;'Invoice (print)'!$C$1,"",COUNTIF($A$8:$A223,$A223)))</f>
        <v/>
      </c>
      <c r="J223" s="37" t="str">
        <f>IF($A223="","",IF(COUNTIF(Invoices!$A$8:$A$257,$A223)=0,"Unknown invoice no.",IF($C223="","No description",IF($H223=0,"Amount is 0","OK"))))</f>
        <v/>
      </c>
    </row>
    <row r="224" spans="1:10" ht="16" x14ac:dyDescent="0.2">
      <c r="A224" s="30"/>
      <c r="B224" s="31"/>
      <c r="C224" s="30"/>
      <c r="D224" s="41"/>
      <c r="E224" s="30"/>
      <c r="F224" s="36"/>
      <c r="G224" s="42"/>
      <c r="H224" s="34" t="str">
        <f t="shared" si="3"/>
        <v/>
      </c>
      <c r="I224" s="37" t="str">
        <f>IF($A224="","",IF($A224&lt;&gt;'Invoice (print)'!$C$1,"",COUNTIF($A$8:$A224,$A224)))</f>
        <v/>
      </c>
      <c r="J224" s="37" t="str">
        <f>IF($A224="","",IF(COUNTIF(Invoices!$A$8:$A$257,$A224)=0,"Unknown invoice no.",IF($C224="","No description",IF($H224=0,"Amount is 0","OK"))))</f>
        <v/>
      </c>
    </row>
    <row r="225" spans="1:10" ht="16" x14ac:dyDescent="0.2">
      <c r="A225" s="30"/>
      <c r="B225" s="31"/>
      <c r="C225" s="30"/>
      <c r="D225" s="41"/>
      <c r="E225" s="30"/>
      <c r="F225" s="36"/>
      <c r="G225" s="42"/>
      <c r="H225" s="34" t="str">
        <f t="shared" si="3"/>
        <v/>
      </c>
      <c r="I225" s="37" t="str">
        <f>IF($A225="","",IF($A225&lt;&gt;'Invoice (print)'!$C$1,"",COUNTIF($A$8:$A225,$A225)))</f>
        <v/>
      </c>
      <c r="J225" s="37" t="str">
        <f>IF($A225="","",IF(COUNTIF(Invoices!$A$8:$A$257,$A225)=0,"Unknown invoice no.",IF($C225="","No description",IF($H225=0,"Amount is 0","OK"))))</f>
        <v/>
      </c>
    </row>
    <row r="226" spans="1:10" ht="16" x14ac:dyDescent="0.2">
      <c r="A226" s="30"/>
      <c r="B226" s="31"/>
      <c r="C226" s="30"/>
      <c r="D226" s="41"/>
      <c r="E226" s="30"/>
      <c r="F226" s="36"/>
      <c r="G226" s="42"/>
      <c r="H226" s="34" t="str">
        <f t="shared" si="3"/>
        <v/>
      </c>
      <c r="I226" s="37" t="str">
        <f>IF($A226="","",IF($A226&lt;&gt;'Invoice (print)'!$C$1,"",COUNTIF($A$8:$A226,$A226)))</f>
        <v/>
      </c>
      <c r="J226" s="37" t="str">
        <f>IF($A226="","",IF(COUNTIF(Invoices!$A$8:$A$257,$A226)=0,"Unknown invoice no.",IF($C226="","No description",IF($H226=0,"Amount is 0","OK"))))</f>
        <v/>
      </c>
    </row>
    <row r="227" spans="1:10" ht="16" x14ac:dyDescent="0.2">
      <c r="A227" s="30"/>
      <c r="B227" s="31"/>
      <c r="C227" s="30"/>
      <c r="D227" s="41"/>
      <c r="E227" s="30"/>
      <c r="F227" s="36"/>
      <c r="G227" s="42"/>
      <c r="H227" s="34" t="str">
        <f t="shared" si="3"/>
        <v/>
      </c>
      <c r="I227" s="37" t="str">
        <f>IF($A227="","",IF($A227&lt;&gt;'Invoice (print)'!$C$1,"",COUNTIF($A$8:$A227,$A227)))</f>
        <v/>
      </c>
      <c r="J227" s="37" t="str">
        <f>IF($A227="","",IF(COUNTIF(Invoices!$A$8:$A$257,$A227)=0,"Unknown invoice no.",IF($C227="","No description",IF($H227=0,"Amount is 0","OK"))))</f>
        <v/>
      </c>
    </row>
    <row r="228" spans="1:10" ht="16" x14ac:dyDescent="0.2">
      <c r="A228" s="30"/>
      <c r="B228" s="31"/>
      <c r="C228" s="30"/>
      <c r="D228" s="41"/>
      <c r="E228" s="30"/>
      <c r="F228" s="36"/>
      <c r="G228" s="42"/>
      <c r="H228" s="34" t="str">
        <f t="shared" si="3"/>
        <v/>
      </c>
      <c r="I228" s="37" t="str">
        <f>IF($A228="","",IF($A228&lt;&gt;'Invoice (print)'!$C$1,"",COUNTIF($A$8:$A228,$A228)))</f>
        <v/>
      </c>
      <c r="J228" s="37" t="str">
        <f>IF($A228="","",IF(COUNTIF(Invoices!$A$8:$A$257,$A228)=0,"Unknown invoice no.",IF($C228="","No description",IF($H228=0,"Amount is 0","OK"))))</f>
        <v/>
      </c>
    </row>
    <row r="229" spans="1:10" ht="16" x14ac:dyDescent="0.2">
      <c r="A229" s="30"/>
      <c r="B229" s="31"/>
      <c r="C229" s="30"/>
      <c r="D229" s="41"/>
      <c r="E229" s="30"/>
      <c r="F229" s="36"/>
      <c r="G229" s="42"/>
      <c r="H229" s="34" t="str">
        <f t="shared" si="3"/>
        <v/>
      </c>
      <c r="I229" s="37" t="str">
        <f>IF($A229="","",IF($A229&lt;&gt;'Invoice (print)'!$C$1,"",COUNTIF($A$8:$A229,$A229)))</f>
        <v/>
      </c>
      <c r="J229" s="37" t="str">
        <f>IF($A229="","",IF(COUNTIF(Invoices!$A$8:$A$257,$A229)=0,"Unknown invoice no.",IF($C229="","No description",IF($H229=0,"Amount is 0","OK"))))</f>
        <v/>
      </c>
    </row>
    <row r="230" spans="1:10" ht="16" x14ac:dyDescent="0.2">
      <c r="A230" s="30"/>
      <c r="B230" s="31"/>
      <c r="C230" s="30"/>
      <c r="D230" s="41"/>
      <c r="E230" s="30"/>
      <c r="F230" s="36"/>
      <c r="G230" s="42"/>
      <c r="H230" s="34" t="str">
        <f t="shared" si="3"/>
        <v/>
      </c>
      <c r="I230" s="37" t="str">
        <f>IF($A230="","",IF($A230&lt;&gt;'Invoice (print)'!$C$1,"",COUNTIF($A$8:$A230,$A230)))</f>
        <v/>
      </c>
      <c r="J230" s="37" t="str">
        <f>IF($A230="","",IF(COUNTIF(Invoices!$A$8:$A$257,$A230)=0,"Unknown invoice no.",IF($C230="","No description",IF($H230=0,"Amount is 0","OK"))))</f>
        <v/>
      </c>
    </row>
    <row r="231" spans="1:10" ht="16" x14ac:dyDescent="0.2">
      <c r="A231" s="30"/>
      <c r="B231" s="31"/>
      <c r="C231" s="30"/>
      <c r="D231" s="41"/>
      <c r="E231" s="30"/>
      <c r="F231" s="36"/>
      <c r="G231" s="42"/>
      <c r="H231" s="34" t="str">
        <f t="shared" si="3"/>
        <v/>
      </c>
      <c r="I231" s="37" t="str">
        <f>IF($A231="","",IF($A231&lt;&gt;'Invoice (print)'!$C$1,"",COUNTIF($A$8:$A231,$A231)))</f>
        <v/>
      </c>
      <c r="J231" s="37" t="str">
        <f>IF($A231="","",IF(COUNTIF(Invoices!$A$8:$A$257,$A231)=0,"Unknown invoice no.",IF($C231="","No description",IF($H231=0,"Amount is 0","OK"))))</f>
        <v/>
      </c>
    </row>
    <row r="232" spans="1:10" ht="16" x14ac:dyDescent="0.2">
      <c r="A232" s="30"/>
      <c r="B232" s="31"/>
      <c r="C232" s="30"/>
      <c r="D232" s="41"/>
      <c r="E232" s="30"/>
      <c r="F232" s="36"/>
      <c r="G232" s="42"/>
      <c r="H232" s="34" t="str">
        <f t="shared" si="3"/>
        <v/>
      </c>
      <c r="I232" s="37" t="str">
        <f>IF($A232="","",IF($A232&lt;&gt;'Invoice (print)'!$C$1,"",COUNTIF($A$8:$A232,$A232)))</f>
        <v/>
      </c>
      <c r="J232" s="37" t="str">
        <f>IF($A232="","",IF(COUNTIF(Invoices!$A$8:$A$257,$A232)=0,"Unknown invoice no.",IF($C232="","No description",IF($H232=0,"Amount is 0","OK"))))</f>
        <v/>
      </c>
    </row>
    <row r="233" spans="1:10" ht="16" x14ac:dyDescent="0.2">
      <c r="A233" s="30"/>
      <c r="B233" s="31"/>
      <c r="C233" s="30"/>
      <c r="D233" s="41"/>
      <c r="E233" s="30"/>
      <c r="F233" s="36"/>
      <c r="G233" s="42"/>
      <c r="H233" s="34" t="str">
        <f t="shared" si="3"/>
        <v/>
      </c>
      <c r="I233" s="37" t="str">
        <f>IF($A233="","",IF($A233&lt;&gt;'Invoice (print)'!$C$1,"",COUNTIF($A$8:$A233,$A233)))</f>
        <v/>
      </c>
      <c r="J233" s="37" t="str">
        <f>IF($A233="","",IF(COUNTIF(Invoices!$A$8:$A$257,$A233)=0,"Unknown invoice no.",IF($C233="","No description",IF($H233=0,"Amount is 0","OK"))))</f>
        <v/>
      </c>
    </row>
    <row r="234" spans="1:10" ht="16" x14ac:dyDescent="0.2">
      <c r="A234" s="30"/>
      <c r="B234" s="31"/>
      <c r="C234" s="30"/>
      <c r="D234" s="41"/>
      <c r="E234" s="30"/>
      <c r="F234" s="36"/>
      <c r="G234" s="42"/>
      <c r="H234" s="34" t="str">
        <f t="shared" si="3"/>
        <v/>
      </c>
      <c r="I234" s="37" t="str">
        <f>IF($A234="","",IF($A234&lt;&gt;'Invoice (print)'!$C$1,"",COUNTIF($A$8:$A234,$A234)))</f>
        <v/>
      </c>
      <c r="J234" s="37" t="str">
        <f>IF($A234="","",IF(COUNTIF(Invoices!$A$8:$A$257,$A234)=0,"Unknown invoice no.",IF($C234="","No description",IF($H234=0,"Amount is 0","OK"))))</f>
        <v/>
      </c>
    </row>
    <row r="235" spans="1:10" ht="16" x14ac:dyDescent="0.2">
      <c r="A235" s="30"/>
      <c r="B235" s="31"/>
      <c r="C235" s="30"/>
      <c r="D235" s="41"/>
      <c r="E235" s="30"/>
      <c r="F235" s="36"/>
      <c r="G235" s="42"/>
      <c r="H235" s="34" t="str">
        <f t="shared" si="3"/>
        <v/>
      </c>
      <c r="I235" s="37" t="str">
        <f>IF($A235="","",IF($A235&lt;&gt;'Invoice (print)'!$C$1,"",COUNTIF($A$8:$A235,$A235)))</f>
        <v/>
      </c>
      <c r="J235" s="37" t="str">
        <f>IF($A235="","",IF(COUNTIF(Invoices!$A$8:$A$257,$A235)=0,"Unknown invoice no.",IF($C235="","No description",IF($H235=0,"Amount is 0","OK"))))</f>
        <v/>
      </c>
    </row>
    <row r="236" spans="1:10" ht="16" x14ac:dyDescent="0.2">
      <c r="A236" s="30"/>
      <c r="B236" s="31"/>
      <c r="C236" s="30"/>
      <c r="D236" s="41"/>
      <c r="E236" s="30"/>
      <c r="F236" s="36"/>
      <c r="G236" s="42"/>
      <c r="H236" s="34" t="str">
        <f t="shared" si="3"/>
        <v/>
      </c>
      <c r="I236" s="37" t="str">
        <f>IF($A236="","",IF($A236&lt;&gt;'Invoice (print)'!$C$1,"",COUNTIF($A$8:$A236,$A236)))</f>
        <v/>
      </c>
      <c r="J236" s="37" t="str">
        <f>IF($A236="","",IF(COUNTIF(Invoices!$A$8:$A$257,$A236)=0,"Unknown invoice no.",IF($C236="","No description",IF($H236=0,"Amount is 0","OK"))))</f>
        <v/>
      </c>
    </row>
    <row r="237" spans="1:10" ht="16" x14ac:dyDescent="0.2">
      <c r="A237" s="30"/>
      <c r="B237" s="31"/>
      <c r="C237" s="30"/>
      <c r="D237" s="41"/>
      <c r="E237" s="30"/>
      <c r="F237" s="36"/>
      <c r="G237" s="42"/>
      <c r="H237" s="34" t="str">
        <f t="shared" si="3"/>
        <v/>
      </c>
      <c r="I237" s="37" t="str">
        <f>IF($A237="","",IF($A237&lt;&gt;'Invoice (print)'!$C$1,"",COUNTIF($A$8:$A237,$A237)))</f>
        <v/>
      </c>
      <c r="J237" s="37" t="str">
        <f>IF($A237="","",IF(COUNTIF(Invoices!$A$8:$A$257,$A237)=0,"Unknown invoice no.",IF($C237="","No description",IF($H237=0,"Amount is 0","OK"))))</f>
        <v/>
      </c>
    </row>
    <row r="238" spans="1:10" ht="16" x14ac:dyDescent="0.2">
      <c r="A238" s="30"/>
      <c r="B238" s="31"/>
      <c r="C238" s="30"/>
      <c r="D238" s="41"/>
      <c r="E238" s="30"/>
      <c r="F238" s="36"/>
      <c r="G238" s="42"/>
      <c r="H238" s="34" t="str">
        <f t="shared" si="3"/>
        <v/>
      </c>
      <c r="I238" s="37" t="str">
        <f>IF($A238="","",IF($A238&lt;&gt;'Invoice (print)'!$C$1,"",COUNTIF($A$8:$A238,$A238)))</f>
        <v/>
      </c>
      <c r="J238" s="37" t="str">
        <f>IF($A238="","",IF(COUNTIF(Invoices!$A$8:$A$257,$A238)=0,"Unknown invoice no.",IF($C238="","No description",IF($H238=0,"Amount is 0","OK"))))</f>
        <v/>
      </c>
    </row>
    <row r="239" spans="1:10" ht="16" x14ac:dyDescent="0.2">
      <c r="A239" s="30"/>
      <c r="B239" s="31"/>
      <c r="C239" s="30"/>
      <c r="D239" s="41"/>
      <c r="E239" s="30"/>
      <c r="F239" s="36"/>
      <c r="G239" s="42"/>
      <c r="H239" s="34" t="str">
        <f t="shared" si="3"/>
        <v/>
      </c>
      <c r="I239" s="37" t="str">
        <f>IF($A239="","",IF($A239&lt;&gt;'Invoice (print)'!$C$1,"",COUNTIF($A$8:$A239,$A239)))</f>
        <v/>
      </c>
      <c r="J239" s="37" t="str">
        <f>IF($A239="","",IF(COUNTIF(Invoices!$A$8:$A$257,$A239)=0,"Unknown invoice no.",IF($C239="","No description",IF($H239=0,"Amount is 0","OK"))))</f>
        <v/>
      </c>
    </row>
    <row r="240" spans="1:10" ht="16" x14ac:dyDescent="0.2">
      <c r="A240" s="30"/>
      <c r="B240" s="31"/>
      <c r="C240" s="30"/>
      <c r="D240" s="41"/>
      <c r="E240" s="30"/>
      <c r="F240" s="36"/>
      <c r="G240" s="42"/>
      <c r="H240" s="34" t="str">
        <f t="shared" si="3"/>
        <v/>
      </c>
      <c r="I240" s="37" t="str">
        <f>IF($A240="","",IF($A240&lt;&gt;'Invoice (print)'!$C$1,"",COUNTIF($A$8:$A240,$A240)))</f>
        <v/>
      </c>
      <c r="J240" s="37" t="str">
        <f>IF($A240="","",IF(COUNTIF(Invoices!$A$8:$A$257,$A240)=0,"Unknown invoice no.",IF($C240="","No description",IF($H240=0,"Amount is 0","OK"))))</f>
        <v/>
      </c>
    </row>
    <row r="241" spans="1:10" ht="16" x14ac:dyDescent="0.2">
      <c r="A241" s="30"/>
      <c r="B241" s="31"/>
      <c r="C241" s="30"/>
      <c r="D241" s="41"/>
      <c r="E241" s="30"/>
      <c r="F241" s="36"/>
      <c r="G241" s="42"/>
      <c r="H241" s="34" t="str">
        <f t="shared" si="3"/>
        <v/>
      </c>
      <c r="I241" s="37" t="str">
        <f>IF($A241="","",IF($A241&lt;&gt;'Invoice (print)'!$C$1,"",COUNTIF($A$8:$A241,$A241)))</f>
        <v/>
      </c>
      <c r="J241" s="37" t="str">
        <f>IF($A241="","",IF(COUNTIF(Invoices!$A$8:$A$257,$A241)=0,"Unknown invoice no.",IF($C241="","No description",IF($H241=0,"Amount is 0","OK"))))</f>
        <v/>
      </c>
    </row>
    <row r="242" spans="1:10" ht="16" x14ac:dyDescent="0.2">
      <c r="A242" s="30"/>
      <c r="B242" s="31"/>
      <c r="C242" s="30"/>
      <c r="D242" s="41"/>
      <c r="E242" s="30"/>
      <c r="F242" s="36"/>
      <c r="G242" s="42"/>
      <c r="H242" s="34" t="str">
        <f t="shared" si="3"/>
        <v/>
      </c>
      <c r="I242" s="37" t="str">
        <f>IF($A242="","",IF($A242&lt;&gt;'Invoice (print)'!$C$1,"",COUNTIF($A$8:$A242,$A242)))</f>
        <v/>
      </c>
      <c r="J242" s="37" t="str">
        <f>IF($A242="","",IF(COUNTIF(Invoices!$A$8:$A$257,$A242)=0,"Unknown invoice no.",IF($C242="","No description",IF($H242=0,"Amount is 0","OK"))))</f>
        <v/>
      </c>
    </row>
    <row r="243" spans="1:10" ht="16" x14ac:dyDescent="0.2">
      <c r="A243" s="30"/>
      <c r="B243" s="31"/>
      <c r="C243" s="30"/>
      <c r="D243" s="41"/>
      <c r="E243" s="30"/>
      <c r="F243" s="36"/>
      <c r="G243" s="42"/>
      <c r="H243" s="34" t="str">
        <f t="shared" si="3"/>
        <v/>
      </c>
      <c r="I243" s="37" t="str">
        <f>IF($A243="","",IF($A243&lt;&gt;'Invoice (print)'!$C$1,"",COUNTIF($A$8:$A243,$A243)))</f>
        <v/>
      </c>
      <c r="J243" s="37" t="str">
        <f>IF($A243="","",IF(COUNTIF(Invoices!$A$8:$A$257,$A243)=0,"Unknown invoice no.",IF($C243="","No description",IF($H243=0,"Amount is 0","OK"))))</f>
        <v/>
      </c>
    </row>
    <row r="244" spans="1:10" ht="16" x14ac:dyDescent="0.2">
      <c r="A244" s="30"/>
      <c r="B244" s="31"/>
      <c r="C244" s="30"/>
      <c r="D244" s="41"/>
      <c r="E244" s="30"/>
      <c r="F244" s="36"/>
      <c r="G244" s="42"/>
      <c r="H244" s="34" t="str">
        <f t="shared" si="3"/>
        <v/>
      </c>
      <c r="I244" s="37" t="str">
        <f>IF($A244="","",IF($A244&lt;&gt;'Invoice (print)'!$C$1,"",COUNTIF($A$8:$A244,$A244)))</f>
        <v/>
      </c>
      <c r="J244" s="37" t="str">
        <f>IF($A244="","",IF(COUNTIF(Invoices!$A$8:$A$257,$A244)=0,"Unknown invoice no.",IF($C244="","No description",IF($H244=0,"Amount is 0","OK"))))</f>
        <v/>
      </c>
    </row>
    <row r="245" spans="1:10" ht="16" x14ac:dyDescent="0.2">
      <c r="A245" s="30"/>
      <c r="B245" s="31"/>
      <c r="C245" s="30"/>
      <c r="D245" s="41"/>
      <c r="E245" s="30"/>
      <c r="F245" s="36"/>
      <c r="G245" s="42"/>
      <c r="H245" s="34" t="str">
        <f t="shared" si="3"/>
        <v/>
      </c>
      <c r="I245" s="37" t="str">
        <f>IF($A245="","",IF($A245&lt;&gt;'Invoice (print)'!$C$1,"",COUNTIF($A$8:$A245,$A245)))</f>
        <v/>
      </c>
      <c r="J245" s="37" t="str">
        <f>IF($A245="","",IF(COUNTIF(Invoices!$A$8:$A$257,$A245)=0,"Unknown invoice no.",IF($C245="","No description",IF($H245=0,"Amount is 0","OK"))))</f>
        <v/>
      </c>
    </row>
    <row r="246" spans="1:10" ht="16" x14ac:dyDescent="0.2">
      <c r="A246" s="30"/>
      <c r="B246" s="31"/>
      <c r="C246" s="30"/>
      <c r="D246" s="41"/>
      <c r="E246" s="30"/>
      <c r="F246" s="36"/>
      <c r="G246" s="42"/>
      <c r="H246" s="34" t="str">
        <f t="shared" si="3"/>
        <v/>
      </c>
      <c r="I246" s="37" t="str">
        <f>IF($A246="","",IF($A246&lt;&gt;'Invoice (print)'!$C$1,"",COUNTIF($A$8:$A246,$A246)))</f>
        <v/>
      </c>
      <c r="J246" s="37" t="str">
        <f>IF($A246="","",IF(COUNTIF(Invoices!$A$8:$A$257,$A246)=0,"Unknown invoice no.",IF($C246="","No description",IF($H246=0,"Amount is 0","OK"))))</f>
        <v/>
      </c>
    </row>
    <row r="247" spans="1:10" ht="16" x14ac:dyDescent="0.2">
      <c r="A247" s="30"/>
      <c r="B247" s="31"/>
      <c r="C247" s="30"/>
      <c r="D247" s="41"/>
      <c r="E247" s="30"/>
      <c r="F247" s="36"/>
      <c r="G247" s="42"/>
      <c r="H247" s="34" t="str">
        <f t="shared" si="3"/>
        <v/>
      </c>
      <c r="I247" s="37" t="str">
        <f>IF($A247="","",IF($A247&lt;&gt;'Invoice (print)'!$C$1,"",COUNTIF($A$8:$A247,$A247)))</f>
        <v/>
      </c>
      <c r="J247" s="37" t="str">
        <f>IF($A247="","",IF(COUNTIF(Invoices!$A$8:$A$257,$A247)=0,"Unknown invoice no.",IF($C247="","No description",IF($H247=0,"Amount is 0","OK"))))</f>
        <v/>
      </c>
    </row>
    <row r="248" spans="1:10" ht="16" x14ac:dyDescent="0.2">
      <c r="A248" s="30"/>
      <c r="B248" s="31"/>
      <c r="C248" s="30"/>
      <c r="D248" s="41"/>
      <c r="E248" s="30"/>
      <c r="F248" s="36"/>
      <c r="G248" s="42"/>
      <c r="H248" s="34" t="str">
        <f t="shared" si="3"/>
        <v/>
      </c>
      <c r="I248" s="37" t="str">
        <f>IF($A248="","",IF($A248&lt;&gt;'Invoice (print)'!$C$1,"",COUNTIF($A$8:$A248,$A248)))</f>
        <v/>
      </c>
      <c r="J248" s="37" t="str">
        <f>IF($A248="","",IF(COUNTIF(Invoices!$A$8:$A$257,$A248)=0,"Unknown invoice no.",IF($C248="","No description",IF($H248=0,"Amount is 0","OK"))))</f>
        <v/>
      </c>
    </row>
    <row r="249" spans="1:10" ht="16" x14ac:dyDescent="0.2">
      <c r="A249" s="30"/>
      <c r="B249" s="31"/>
      <c r="C249" s="30"/>
      <c r="D249" s="41"/>
      <c r="E249" s="30"/>
      <c r="F249" s="36"/>
      <c r="G249" s="42"/>
      <c r="H249" s="34" t="str">
        <f t="shared" si="3"/>
        <v/>
      </c>
      <c r="I249" s="37" t="str">
        <f>IF($A249="","",IF($A249&lt;&gt;'Invoice (print)'!$C$1,"",COUNTIF($A$8:$A249,$A249)))</f>
        <v/>
      </c>
      <c r="J249" s="37" t="str">
        <f>IF($A249="","",IF(COUNTIF(Invoices!$A$8:$A$257,$A249)=0,"Unknown invoice no.",IF($C249="","No description",IF($H249=0,"Amount is 0","OK"))))</f>
        <v/>
      </c>
    </row>
    <row r="250" spans="1:10" ht="16" x14ac:dyDescent="0.2">
      <c r="A250" s="30"/>
      <c r="B250" s="31"/>
      <c r="C250" s="30"/>
      <c r="D250" s="41"/>
      <c r="E250" s="30"/>
      <c r="F250" s="36"/>
      <c r="G250" s="42"/>
      <c r="H250" s="34" t="str">
        <f t="shared" si="3"/>
        <v/>
      </c>
      <c r="I250" s="37" t="str">
        <f>IF($A250="","",IF($A250&lt;&gt;'Invoice (print)'!$C$1,"",COUNTIF($A$8:$A250,$A250)))</f>
        <v/>
      </c>
      <c r="J250" s="37" t="str">
        <f>IF($A250="","",IF(COUNTIF(Invoices!$A$8:$A$257,$A250)=0,"Unknown invoice no.",IF($C250="","No description",IF($H250=0,"Amount is 0","OK"))))</f>
        <v/>
      </c>
    </row>
    <row r="251" spans="1:10" ht="16" x14ac:dyDescent="0.2">
      <c r="A251" s="30"/>
      <c r="B251" s="31"/>
      <c r="C251" s="30"/>
      <c r="D251" s="41"/>
      <c r="E251" s="30"/>
      <c r="F251" s="36"/>
      <c r="G251" s="42"/>
      <c r="H251" s="34" t="str">
        <f t="shared" si="3"/>
        <v/>
      </c>
      <c r="I251" s="37" t="str">
        <f>IF($A251="","",IF($A251&lt;&gt;'Invoice (print)'!$C$1,"",COUNTIF($A$8:$A251,$A251)))</f>
        <v/>
      </c>
      <c r="J251" s="37" t="str">
        <f>IF($A251="","",IF(COUNTIF(Invoices!$A$8:$A$257,$A251)=0,"Unknown invoice no.",IF($C251="","No description",IF($H251=0,"Amount is 0","OK"))))</f>
        <v/>
      </c>
    </row>
    <row r="252" spans="1:10" ht="16" x14ac:dyDescent="0.2">
      <c r="A252" s="30"/>
      <c r="B252" s="31"/>
      <c r="C252" s="30"/>
      <c r="D252" s="41"/>
      <c r="E252" s="30"/>
      <c r="F252" s="36"/>
      <c r="G252" s="42"/>
      <c r="H252" s="34" t="str">
        <f t="shared" si="3"/>
        <v/>
      </c>
      <c r="I252" s="37" t="str">
        <f>IF($A252="","",IF($A252&lt;&gt;'Invoice (print)'!$C$1,"",COUNTIF($A$8:$A252,$A252)))</f>
        <v/>
      </c>
      <c r="J252" s="37" t="str">
        <f>IF($A252="","",IF(COUNTIF(Invoices!$A$8:$A$257,$A252)=0,"Unknown invoice no.",IF($C252="","No description",IF($H252=0,"Amount is 0","OK"))))</f>
        <v/>
      </c>
    </row>
    <row r="253" spans="1:10" ht="16" x14ac:dyDescent="0.2">
      <c r="A253" s="30"/>
      <c r="B253" s="31"/>
      <c r="C253" s="30"/>
      <c r="D253" s="41"/>
      <c r="E253" s="30"/>
      <c r="F253" s="36"/>
      <c r="G253" s="42"/>
      <c r="H253" s="34" t="str">
        <f t="shared" si="3"/>
        <v/>
      </c>
      <c r="I253" s="37" t="str">
        <f>IF($A253="","",IF($A253&lt;&gt;'Invoice (print)'!$C$1,"",COUNTIF($A$8:$A253,$A253)))</f>
        <v/>
      </c>
      <c r="J253" s="37" t="str">
        <f>IF($A253="","",IF(COUNTIF(Invoices!$A$8:$A$257,$A253)=0,"Unknown invoice no.",IF($C253="","No description",IF($H253=0,"Amount is 0","OK"))))</f>
        <v/>
      </c>
    </row>
    <row r="254" spans="1:10" ht="16" x14ac:dyDescent="0.2">
      <c r="A254" s="30"/>
      <c r="B254" s="31"/>
      <c r="C254" s="30"/>
      <c r="D254" s="41"/>
      <c r="E254" s="30"/>
      <c r="F254" s="36"/>
      <c r="G254" s="42"/>
      <c r="H254" s="34" t="str">
        <f t="shared" si="3"/>
        <v/>
      </c>
      <c r="I254" s="37" t="str">
        <f>IF($A254="","",IF($A254&lt;&gt;'Invoice (print)'!$C$1,"",COUNTIF($A$8:$A254,$A254)))</f>
        <v/>
      </c>
      <c r="J254" s="37" t="str">
        <f>IF($A254="","",IF(COUNTIF(Invoices!$A$8:$A$257,$A254)=0,"Unknown invoice no.",IF($C254="","No description",IF($H254=0,"Amount is 0","OK"))))</f>
        <v/>
      </c>
    </row>
    <row r="255" spans="1:10" ht="16" x14ac:dyDescent="0.2">
      <c r="A255" s="30"/>
      <c r="B255" s="31"/>
      <c r="C255" s="30"/>
      <c r="D255" s="41"/>
      <c r="E255" s="30"/>
      <c r="F255" s="36"/>
      <c r="G255" s="42"/>
      <c r="H255" s="34" t="str">
        <f t="shared" si="3"/>
        <v/>
      </c>
      <c r="I255" s="37" t="str">
        <f>IF($A255="","",IF($A255&lt;&gt;'Invoice (print)'!$C$1,"",COUNTIF($A$8:$A255,$A255)))</f>
        <v/>
      </c>
      <c r="J255" s="37" t="str">
        <f>IF($A255="","",IF(COUNTIF(Invoices!$A$8:$A$257,$A255)=0,"Unknown invoice no.",IF($C255="","No description",IF($H255=0,"Amount is 0","OK"))))</f>
        <v/>
      </c>
    </row>
    <row r="256" spans="1:10" ht="16" x14ac:dyDescent="0.2">
      <c r="A256" s="30"/>
      <c r="B256" s="31"/>
      <c r="C256" s="30"/>
      <c r="D256" s="41"/>
      <c r="E256" s="30"/>
      <c r="F256" s="36"/>
      <c r="G256" s="42"/>
      <c r="H256" s="34" t="str">
        <f t="shared" si="3"/>
        <v/>
      </c>
      <c r="I256" s="37" t="str">
        <f>IF($A256="","",IF($A256&lt;&gt;'Invoice (print)'!$C$1,"",COUNTIF($A$8:$A256,$A256)))</f>
        <v/>
      </c>
      <c r="J256" s="37" t="str">
        <f>IF($A256="","",IF(COUNTIF(Invoices!$A$8:$A$257,$A256)=0,"Unknown invoice no.",IF($C256="","No description",IF($H256=0,"Amount is 0","OK"))))</f>
        <v/>
      </c>
    </row>
    <row r="257" spans="1:10" ht="16" x14ac:dyDescent="0.2">
      <c r="A257" s="30"/>
      <c r="B257" s="31"/>
      <c r="C257" s="30"/>
      <c r="D257" s="41"/>
      <c r="E257" s="30"/>
      <c r="F257" s="36"/>
      <c r="G257" s="42"/>
      <c r="H257" s="34" t="str">
        <f t="shared" si="3"/>
        <v/>
      </c>
      <c r="I257" s="37" t="str">
        <f>IF($A257="","",IF($A257&lt;&gt;'Invoice (print)'!$C$1,"",COUNTIF($A$8:$A257,$A257)))</f>
        <v/>
      </c>
      <c r="J257" s="37" t="str">
        <f>IF($A257="","",IF(COUNTIF(Invoices!$A$8:$A$257,$A257)=0,"Unknown invoice no.",IF($C257="","No description",IF($H257=0,"Amount is 0","OK"))))</f>
        <v/>
      </c>
    </row>
    <row r="258" spans="1:10" ht="16" x14ac:dyDescent="0.2">
      <c r="A258" s="30"/>
      <c r="B258" s="31"/>
      <c r="C258" s="30"/>
      <c r="D258" s="41"/>
      <c r="E258" s="30"/>
      <c r="F258" s="36"/>
      <c r="G258" s="42"/>
      <c r="H258" s="34" t="str">
        <f t="shared" si="3"/>
        <v/>
      </c>
      <c r="I258" s="37" t="str">
        <f>IF($A258="","",IF($A258&lt;&gt;'Invoice (print)'!$C$1,"",COUNTIF($A$8:$A258,$A258)))</f>
        <v/>
      </c>
      <c r="J258" s="37" t="str">
        <f>IF($A258="","",IF(COUNTIF(Invoices!$A$8:$A$257,$A258)=0,"Unknown invoice no.",IF($C258="","No description",IF($H258=0,"Amount is 0","OK"))))</f>
        <v/>
      </c>
    </row>
    <row r="259" spans="1:10" ht="16" x14ac:dyDescent="0.2">
      <c r="A259" s="30"/>
      <c r="B259" s="31"/>
      <c r="C259" s="30"/>
      <c r="D259" s="41"/>
      <c r="E259" s="30"/>
      <c r="F259" s="36"/>
      <c r="G259" s="42"/>
      <c r="H259" s="34" t="str">
        <f t="shared" si="3"/>
        <v/>
      </c>
      <c r="I259" s="37" t="str">
        <f>IF($A259="","",IF($A259&lt;&gt;'Invoice (print)'!$C$1,"",COUNTIF($A$8:$A259,$A259)))</f>
        <v/>
      </c>
      <c r="J259" s="37" t="str">
        <f>IF($A259="","",IF(COUNTIF(Invoices!$A$8:$A$257,$A259)=0,"Unknown invoice no.",IF($C259="","No description",IF($H259=0,"Amount is 0","OK"))))</f>
        <v/>
      </c>
    </row>
    <row r="260" spans="1:10" ht="16" x14ac:dyDescent="0.2">
      <c r="A260" s="30"/>
      <c r="B260" s="31"/>
      <c r="C260" s="30"/>
      <c r="D260" s="41"/>
      <c r="E260" s="30"/>
      <c r="F260" s="36"/>
      <c r="G260" s="42"/>
      <c r="H260" s="34" t="str">
        <f t="shared" si="3"/>
        <v/>
      </c>
      <c r="I260" s="37" t="str">
        <f>IF($A260="","",IF($A260&lt;&gt;'Invoice (print)'!$C$1,"",COUNTIF($A$8:$A260,$A260)))</f>
        <v/>
      </c>
      <c r="J260" s="37" t="str">
        <f>IF($A260="","",IF(COUNTIF(Invoices!$A$8:$A$257,$A260)=0,"Unknown invoice no.",IF($C260="","No description",IF($H260=0,"Amount is 0","OK"))))</f>
        <v/>
      </c>
    </row>
    <row r="261" spans="1:10" ht="16" x14ac:dyDescent="0.2">
      <c r="A261" s="30"/>
      <c r="B261" s="31"/>
      <c r="C261" s="30"/>
      <c r="D261" s="41"/>
      <c r="E261" s="30"/>
      <c r="F261" s="36"/>
      <c r="G261" s="42"/>
      <c r="H261" s="34" t="str">
        <f t="shared" si="3"/>
        <v/>
      </c>
      <c r="I261" s="37" t="str">
        <f>IF($A261="","",IF($A261&lt;&gt;'Invoice (print)'!$C$1,"",COUNTIF($A$8:$A261,$A261)))</f>
        <v/>
      </c>
      <c r="J261" s="37" t="str">
        <f>IF($A261="","",IF(COUNTIF(Invoices!$A$8:$A$257,$A261)=0,"Unknown invoice no.",IF($C261="","No description",IF($H261=0,"Amount is 0","OK"))))</f>
        <v/>
      </c>
    </row>
    <row r="262" spans="1:10" ht="16" x14ac:dyDescent="0.2">
      <c r="A262" s="30"/>
      <c r="B262" s="31"/>
      <c r="C262" s="30"/>
      <c r="D262" s="41"/>
      <c r="E262" s="30"/>
      <c r="F262" s="36"/>
      <c r="G262" s="42"/>
      <c r="H262" s="34" t="str">
        <f t="shared" si="3"/>
        <v/>
      </c>
      <c r="I262" s="37" t="str">
        <f>IF($A262="","",IF($A262&lt;&gt;'Invoice (print)'!$C$1,"",COUNTIF($A$8:$A262,$A262)))</f>
        <v/>
      </c>
      <c r="J262" s="37" t="str">
        <f>IF($A262="","",IF(COUNTIF(Invoices!$A$8:$A$257,$A262)=0,"Unknown invoice no.",IF($C262="","No description",IF($H262=0,"Amount is 0","OK"))))</f>
        <v/>
      </c>
    </row>
    <row r="263" spans="1:10" ht="16" x14ac:dyDescent="0.2">
      <c r="A263" s="30"/>
      <c r="B263" s="31"/>
      <c r="C263" s="30"/>
      <c r="D263" s="41"/>
      <c r="E263" s="30"/>
      <c r="F263" s="36"/>
      <c r="G263" s="42"/>
      <c r="H263" s="34" t="str">
        <f t="shared" si="3"/>
        <v/>
      </c>
      <c r="I263" s="37" t="str">
        <f>IF($A263="","",IF($A263&lt;&gt;'Invoice (print)'!$C$1,"",COUNTIF($A$8:$A263,$A263)))</f>
        <v/>
      </c>
      <c r="J263" s="37" t="str">
        <f>IF($A263="","",IF(COUNTIF(Invoices!$A$8:$A$257,$A263)=0,"Unknown invoice no.",IF($C263="","No description",IF($H263=0,"Amount is 0","OK"))))</f>
        <v/>
      </c>
    </row>
    <row r="264" spans="1:10" ht="16" x14ac:dyDescent="0.2">
      <c r="A264" s="30"/>
      <c r="B264" s="31"/>
      <c r="C264" s="30"/>
      <c r="D264" s="41"/>
      <c r="E264" s="30"/>
      <c r="F264" s="36"/>
      <c r="G264" s="42"/>
      <c r="H264" s="34" t="str">
        <f t="shared" ref="H264:H327" si="4">IF($A264="","",ROUND(IF($D264="",0,$D264)*IF($F264="",0,$F264)*(1-IF($G264="",0,$G264)/100),2))</f>
        <v/>
      </c>
      <c r="I264" s="37" t="str">
        <f>IF($A264="","",IF($A264&lt;&gt;'Invoice (print)'!$C$1,"",COUNTIF($A$8:$A264,$A264)))</f>
        <v/>
      </c>
      <c r="J264" s="37" t="str">
        <f>IF($A264="","",IF(COUNTIF(Invoices!$A$8:$A$257,$A264)=0,"Unknown invoice no.",IF($C264="","No description",IF($H264=0,"Amount is 0","OK"))))</f>
        <v/>
      </c>
    </row>
    <row r="265" spans="1:10" ht="16" x14ac:dyDescent="0.2">
      <c r="A265" s="30"/>
      <c r="B265" s="31"/>
      <c r="C265" s="30"/>
      <c r="D265" s="41"/>
      <c r="E265" s="30"/>
      <c r="F265" s="36"/>
      <c r="G265" s="42"/>
      <c r="H265" s="34" t="str">
        <f t="shared" si="4"/>
        <v/>
      </c>
      <c r="I265" s="37" t="str">
        <f>IF($A265="","",IF($A265&lt;&gt;'Invoice (print)'!$C$1,"",COUNTIF($A$8:$A265,$A265)))</f>
        <v/>
      </c>
      <c r="J265" s="37" t="str">
        <f>IF($A265="","",IF(COUNTIF(Invoices!$A$8:$A$257,$A265)=0,"Unknown invoice no.",IF($C265="","No description",IF($H265=0,"Amount is 0","OK"))))</f>
        <v/>
      </c>
    </row>
    <row r="266" spans="1:10" ht="16" x14ac:dyDescent="0.2">
      <c r="A266" s="30"/>
      <c r="B266" s="31"/>
      <c r="C266" s="30"/>
      <c r="D266" s="41"/>
      <c r="E266" s="30"/>
      <c r="F266" s="36"/>
      <c r="G266" s="42"/>
      <c r="H266" s="34" t="str">
        <f t="shared" si="4"/>
        <v/>
      </c>
      <c r="I266" s="37" t="str">
        <f>IF($A266="","",IF($A266&lt;&gt;'Invoice (print)'!$C$1,"",COUNTIF($A$8:$A266,$A266)))</f>
        <v/>
      </c>
      <c r="J266" s="37" t="str">
        <f>IF($A266="","",IF(COUNTIF(Invoices!$A$8:$A$257,$A266)=0,"Unknown invoice no.",IF($C266="","No description",IF($H266=0,"Amount is 0","OK"))))</f>
        <v/>
      </c>
    </row>
    <row r="267" spans="1:10" ht="16" x14ac:dyDescent="0.2">
      <c r="A267" s="30"/>
      <c r="B267" s="31"/>
      <c r="C267" s="30"/>
      <c r="D267" s="41"/>
      <c r="E267" s="30"/>
      <c r="F267" s="36"/>
      <c r="G267" s="42"/>
      <c r="H267" s="34" t="str">
        <f t="shared" si="4"/>
        <v/>
      </c>
      <c r="I267" s="37" t="str">
        <f>IF($A267="","",IF($A267&lt;&gt;'Invoice (print)'!$C$1,"",COUNTIF($A$8:$A267,$A267)))</f>
        <v/>
      </c>
      <c r="J267" s="37" t="str">
        <f>IF($A267="","",IF(COUNTIF(Invoices!$A$8:$A$257,$A267)=0,"Unknown invoice no.",IF($C267="","No description",IF($H267=0,"Amount is 0","OK"))))</f>
        <v/>
      </c>
    </row>
    <row r="268" spans="1:10" ht="16" x14ac:dyDescent="0.2">
      <c r="A268" s="30"/>
      <c r="B268" s="31"/>
      <c r="C268" s="30"/>
      <c r="D268" s="41"/>
      <c r="E268" s="30"/>
      <c r="F268" s="36"/>
      <c r="G268" s="42"/>
      <c r="H268" s="34" t="str">
        <f t="shared" si="4"/>
        <v/>
      </c>
      <c r="I268" s="37" t="str">
        <f>IF($A268="","",IF($A268&lt;&gt;'Invoice (print)'!$C$1,"",COUNTIF($A$8:$A268,$A268)))</f>
        <v/>
      </c>
      <c r="J268" s="37" t="str">
        <f>IF($A268="","",IF(COUNTIF(Invoices!$A$8:$A$257,$A268)=0,"Unknown invoice no.",IF($C268="","No description",IF($H268=0,"Amount is 0","OK"))))</f>
        <v/>
      </c>
    </row>
    <row r="269" spans="1:10" ht="16" x14ac:dyDescent="0.2">
      <c r="A269" s="30"/>
      <c r="B269" s="31"/>
      <c r="C269" s="30"/>
      <c r="D269" s="41"/>
      <c r="E269" s="30"/>
      <c r="F269" s="36"/>
      <c r="G269" s="42"/>
      <c r="H269" s="34" t="str">
        <f t="shared" si="4"/>
        <v/>
      </c>
      <c r="I269" s="37" t="str">
        <f>IF($A269="","",IF($A269&lt;&gt;'Invoice (print)'!$C$1,"",COUNTIF($A$8:$A269,$A269)))</f>
        <v/>
      </c>
      <c r="J269" s="37" t="str">
        <f>IF($A269="","",IF(COUNTIF(Invoices!$A$8:$A$257,$A269)=0,"Unknown invoice no.",IF($C269="","No description",IF($H269=0,"Amount is 0","OK"))))</f>
        <v/>
      </c>
    </row>
    <row r="270" spans="1:10" ht="16" x14ac:dyDescent="0.2">
      <c r="A270" s="30"/>
      <c r="B270" s="31"/>
      <c r="C270" s="30"/>
      <c r="D270" s="41"/>
      <c r="E270" s="30"/>
      <c r="F270" s="36"/>
      <c r="G270" s="42"/>
      <c r="H270" s="34" t="str">
        <f t="shared" si="4"/>
        <v/>
      </c>
      <c r="I270" s="37" t="str">
        <f>IF($A270="","",IF($A270&lt;&gt;'Invoice (print)'!$C$1,"",COUNTIF($A$8:$A270,$A270)))</f>
        <v/>
      </c>
      <c r="J270" s="37" t="str">
        <f>IF($A270="","",IF(COUNTIF(Invoices!$A$8:$A$257,$A270)=0,"Unknown invoice no.",IF($C270="","No description",IF($H270=0,"Amount is 0","OK"))))</f>
        <v/>
      </c>
    </row>
    <row r="271" spans="1:10" ht="16" x14ac:dyDescent="0.2">
      <c r="A271" s="30"/>
      <c r="B271" s="31"/>
      <c r="C271" s="30"/>
      <c r="D271" s="41"/>
      <c r="E271" s="30"/>
      <c r="F271" s="36"/>
      <c r="G271" s="42"/>
      <c r="H271" s="34" t="str">
        <f t="shared" si="4"/>
        <v/>
      </c>
      <c r="I271" s="37" t="str">
        <f>IF($A271="","",IF($A271&lt;&gt;'Invoice (print)'!$C$1,"",COUNTIF($A$8:$A271,$A271)))</f>
        <v/>
      </c>
      <c r="J271" s="37" t="str">
        <f>IF($A271="","",IF(COUNTIF(Invoices!$A$8:$A$257,$A271)=0,"Unknown invoice no.",IF($C271="","No description",IF($H271=0,"Amount is 0","OK"))))</f>
        <v/>
      </c>
    </row>
    <row r="272" spans="1:10" ht="16" x14ac:dyDescent="0.2">
      <c r="A272" s="30"/>
      <c r="B272" s="31"/>
      <c r="C272" s="30"/>
      <c r="D272" s="41"/>
      <c r="E272" s="30"/>
      <c r="F272" s="36"/>
      <c r="G272" s="42"/>
      <c r="H272" s="34" t="str">
        <f t="shared" si="4"/>
        <v/>
      </c>
      <c r="I272" s="37" t="str">
        <f>IF($A272="","",IF($A272&lt;&gt;'Invoice (print)'!$C$1,"",COUNTIF($A$8:$A272,$A272)))</f>
        <v/>
      </c>
      <c r="J272" s="37" t="str">
        <f>IF($A272="","",IF(COUNTIF(Invoices!$A$8:$A$257,$A272)=0,"Unknown invoice no.",IF($C272="","No description",IF($H272=0,"Amount is 0","OK"))))</f>
        <v/>
      </c>
    </row>
    <row r="273" spans="1:10" ht="16" x14ac:dyDescent="0.2">
      <c r="A273" s="30"/>
      <c r="B273" s="31"/>
      <c r="C273" s="30"/>
      <c r="D273" s="41"/>
      <c r="E273" s="30"/>
      <c r="F273" s="36"/>
      <c r="G273" s="42"/>
      <c r="H273" s="34" t="str">
        <f t="shared" si="4"/>
        <v/>
      </c>
      <c r="I273" s="37" t="str">
        <f>IF($A273="","",IF($A273&lt;&gt;'Invoice (print)'!$C$1,"",COUNTIF($A$8:$A273,$A273)))</f>
        <v/>
      </c>
      <c r="J273" s="37" t="str">
        <f>IF($A273="","",IF(COUNTIF(Invoices!$A$8:$A$257,$A273)=0,"Unknown invoice no.",IF($C273="","No description",IF($H273=0,"Amount is 0","OK"))))</f>
        <v/>
      </c>
    </row>
    <row r="274" spans="1:10" ht="16" x14ac:dyDescent="0.2">
      <c r="A274" s="30"/>
      <c r="B274" s="31"/>
      <c r="C274" s="30"/>
      <c r="D274" s="41"/>
      <c r="E274" s="30"/>
      <c r="F274" s="36"/>
      <c r="G274" s="42"/>
      <c r="H274" s="34" t="str">
        <f t="shared" si="4"/>
        <v/>
      </c>
      <c r="I274" s="37" t="str">
        <f>IF($A274="","",IF($A274&lt;&gt;'Invoice (print)'!$C$1,"",COUNTIF($A$8:$A274,$A274)))</f>
        <v/>
      </c>
      <c r="J274" s="37" t="str">
        <f>IF($A274="","",IF(COUNTIF(Invoices!$A$8:$A$257,$A274)=0,"Unknown invoice no.",IF($C274="","No description",IF($H274=0,"Amount is 0","OK"))))</f>
        <v/>
      </c>
    </row>
    <row r="275" spans="1:10" ht="16" x14ac:dyDescent="0.2">
      <c r="A275" s="30"/>
      <c r="B275" s="31"/>
      <c r="C275" s="30"/>
      <c r="D275" s="41"/>
      <c r="E275" s="30"/>
      <c r="F275" s="36"/>
      <c r="G275" s="42"/>
      <c r="H275" s="34" t="str">
        <f t="shared" si="4"/>
        <v/>
      </c>
      <c r="I275" s="37" t="str">
        <f>IF($A275="","",IF($A275&lt;&gt;'Invoice (print)'!$C$1,"",COUNTIF($A$8:$A275,$A275)))</f>
        <v/>
      </c>
      <c r="J275" s="37" t="str">
        <f>IF($A275="","",IF(COUNTIF(Invoices!$A$8:$A$257,$A275)=0,"Unknown invoice no.",IF($C275="","No description",IF($H275=0,"Amount is 0","OK"))))</f>
        <v/>
      </c>
    </row>
    <row r="276" spans="1:10" ht="16" x14ac:dyDescent="0.2">
      <c r="A276" s="30"/>
      <c r="B276" s="31"/>
      <c r="C276" s="30"/>
      <c r="D276" s="41"/>
      <c r="E276" s="30"/>
      <c r="F276" s="36"/>
      <c r="G276" s="42"/>
      <c r="H276" s="34" t="str">
        <f t="shared" si="4"/>
        <v/>
      </c>
      <c r="I276" s="37" t="str">
        <f>IF($A276="","",IF($A276&lt;&gt;'Invoice (print)'!$C$1,"",COUNTIF($A$8:$A276,$A276)))</f>
        <v/>
      </c>
      <c r="J276" s="37" t="str">
        <f>IF($A276="","",IF(COUNTIF(Invoices!$A$8:$A$257,$A276)=0,"Unknown invoice no.",IF($C276="","No description",IF($H276=0,"Amount is 0","OK"))))</f>
        <v/>
      </c>
    </row>
    <row r="277" spans="1:10" ht="16" x14ac:dyDescent="0.2">
      <c r="A277" s="30"/>
      <c r="B277" s="31"/>
      <c r="C277" s="30"/>
      <c r="D277" s="41"/>
      <c r="E277" s="30"/>
      <c r="F277" s="36"/>
      <c r="G277" s="42"/>
      <c r="H277" s="34" t="str">
        <f t="shared" si="4"/>
        <v/>
      </c>
      <c r="I277" s="37" t="str">
        <f>IF($A277="","",IF($A277&lt;&gt;'Invoice (print)'!$C$1,"",COUNTIF($A$8:$A277,$A277)))</f>
        <v/>
      </c>
      <c r="J277" s="37" t="str">
        <f>IF($A277="","",IF(COUNTIF(Invoices!$A$8:$A$257,$A277)=0,"Unknown invoice no.",IF($C277="","No description",IF($H277=0,"Amount is 0","OK"))))</f>
        <v/>
      </c>
    </row>
    <row r="278" spans="1:10" ht="16" x14ac:dyDescent="0.2">
      <c r="A278" s="30"/>
      <c r="B278" s="31"/>
      <c r="C278" s="30"/>
      <c r="D278" s="41"/>
      <c r="E278" s="30"/>
      <c r="F278" s="36"/>
      <c r="G278" s="42"/>
      <c r="H278" s="34" t="str">
        <f t="shared" si="4"/>
        <v/>
      </c>
      <c r="I278" s="37" t="str">
        <f>IF($A278="","",IF($A278&lt;&gt;'Invoice (print)'!$C$1,"",COUNTIF($A$8:$A278,$A278)))</f>
        <v/>
      </c>
      <c r="J278" s="37" t="str">
        <f>IF($A278="","",IF(COUNTIF(Invoices!$A$8:$A$257,$A278)=0,"Unknown invoice no.",IF($C278="","No description",IF($H278=0,"Amount is 0","OK"))))</f>
        <v/>
      </c>
    </row>
    <row r="279" spans="1:10" ht="16" x14ac:dyDescent="0.2">
      <c r="A279" s="30"/>
      <c r="B279" s="31"/>
      <c r="C279" s="30"/>
      <c r="D279" s="41"/>
      <c r="E279" s="30"/>
      <c r="F279" s="36"/>
      <c r="G279" s="42"/>
      <c r="H279" s="34" t="str">
        <f t="shared" si="4"/>
        <v/>
      </c>
      <c r="I279" s="37" t="str">
        <f>IF($A279="","",IF($A279&lt;&gt;'Invoice (print)'!$C$1,"",COUNTIF($A$8:$A279,$A279)))</f>
        <v/>
      </c>
      <c r="J279" s="37" t="str">
        <f>IF($A279="","",IF(COUNTIF(Invoices!$A$8:$A$257,$A279)=0,"Unknown invoice no.",IF($C279="","No description",IF($H279=0,"Amount is 0","OK"))))</f>
        <v/>
      </c>
    </row>
    <row r="280" spans="1:10" ht="16" x14ac:dyDescent="0.2">
      <c r="A280" s="30"/>
      <c r="B280" s="31"/>
      <c r="C280" s="30"/>
      <c r="D280" s="41"/>
      <c r="E280" s="30"/>
      <c r="F280" s="36"/>
      <c r="G280" s="42"/>
      <c r="H280" s="34" t="str">
        <f t="shared" si="4"/>
        <v/>
      </c>
      <c r="I280" s="37" t="str">
        <f>IF($A280="","",IF($A280&lt;&gt;'Invoice (print)'!$C$1,"",COUNTIF($A$8:$A280,$A280)))</f>
        <v/>
      </c>
      <c r="J280" s="37" t="str">
        <f>IF($A280="","",IF(COUNTIF(Invoices!$A$8:$A$257,$A280)=0,"Unknown invoice no.",IF($C280="","No description",IF($H280=0,"Amount is 0","OK"))))</f>
        <v/>
      </c>
    </row>
    <row r="281" spans="1:10" ht="16" x14ac:dyDescent="0.2">
      <c r="A281" s="30"/>
      <c r="B281" s="31"/>
      <c r="C281" s="30"/>
      <c r="D281" s="41"/>
      <c r="E281" s="30"/>
      <c r="F281" s="36"/>
      <c r="G281" s="42"/>
      <c r="H281" s="34" t="str">
        <f t="shared" si="4"/>
        <v/>
      </c>
      <c r="I281" s="37" t="str">
        <f>IF($A281="","",IF($A281&lt;&gt;'Invoice (print)'!$C$1,"",COUNTIF($A$8:$A281,$A281)))</f>
        <v/>
      </c>
      <c r="J281" s="37" t="str">
        <f>IF($A281="","",IF(COUNTIF(Invoices!$A$8:$A$257,$A281)=0,"Unknown invoice no.",IF($C281="","No description",IF($H281=0,"Amount is 0","OK"))))</f>
        <v/>
      </c>
    </row>
    <row r="282" spans="1:10" ht="16" x14ac:dyDescent="0.2">
      <c r="A282" s="30"/>
      <c r="B282" s="31"/>
      <c r="C282" s="30"/>
      <c r="D282" s="41"/>
      <c r="E282" s="30"/>
      <c r="F282" s="36"/>
      <c r="G282" s="42"/>
      <c r="H282" s="34" t="str">
        <f t="shared" si="4"/>
        <v/>
      </c>
      <c r="I282" s="37" t="str">
        <f>IF($A282="","",IF($A282&lt;&gt;'Invoice (print)'!$C$1,"",COUNTIF($A$8:$A282,$A282)))</f>
        <v/>
      </c>
      <c r="J282" s="37" t="str">
        <f>IF($A282="","",IF(COUNTIF(Invoices!$A$8:$A$257,$A282)=0,"Unknown invoice no.",IF($C282="","No description",IF($H282=0,"Amount is 0","OK"))))</f>
        <v/>
      </c>
    </row>
    <row r="283" spans="1:10" ht="16" x14ac:dyDescent="0.2">
      <c r="A283" s="30"/>
      <c r="B283" s="31"/>
      <c r="C283" s="30"/>
      <c r="D283" s="41"/>
      <c r="E283" s="30"/>
      <c r="F283" s="36"/>
      <c r="G283" s="42"/>
      <c r="H283" s="34" t="str">
        <f t="shared" si="4"/>
        <v/>
      </c>
      <c r="I283" s="37" t="str">
        <f>IF($A283="","",IF($A283&lt;&gt;'Invoice (print)'!$C$1,"",COUNTIF($A$8:$A283,$A283)))</f>
        <v/>
      </c>
      <c r="J283" s="37" t="str">
        <f>IF($A283="","",IF(COUNTIF(Invoices!$A$8:$A$257,$A283)=0,"Unknown invoice no.",IF($C283="","No description",IF($H283=0,"Amount is 0","OK"))))</f>
        <v/>
      </c>
    </row>
    <row r="284" spans="1:10" ht="16" x14ac:dyDescent="0.2">
      <c r="A284" s="30"/>
      <c r="B284" s="31"/>
      <c r="C284" s="30"/>
      <c r="D284" s="41"/>
      <c r="E284" s="30"/>
      <c r="F284" s="36"/>
      <c r="G284" s="42"/>
      <c r="H284" s="34" t="str">
        <f t="shared" si="4"/>
        <v/>
      </c>
      <c r="I284" s="37" t="str">
        <f>IF($A284="","",IF($A284&lt;&gt;'Invoice (print)'!$C$1,"",COUNTIF($A$8:$A284,$A284)))</f>
        <v/>
      </c>
      <c r="J284" s="37" t="str">
        <f>IF($A284="","",IF(COUNTIF(Invoices!$A$8:$A$257,$A284)=0,"Unknown invoice no.",IF($C284="","No description",IF($H284=0,"Amount is 0","OK"))))</f>
        <v/>
      </c>
    </row>
    <row r="285" spans="1:10" ht="16" x14ac:dyDescent="0.2">
      <c r="A285" s="30"/>
      <c r="B285" s="31"/>
      <c r="C285" s="30"/>
      <c r="D285" s="41"/>
      <c r="E285" s="30"/>
      <c r="F285" s="36"/>
      <c r="G285" s="42"/>
      <c r="H285" s="34" t="str">
        <f t="shared" si="4"/>
        <v/>
      </c>
      <c r="I285" s="37" t="str">
        <f>IF($A285="","",IF($A285&lt;&gt;'Invoice (print)'!$C$1,"",COUNTIF($A$8:$A285,$A285)))</f>
        <v/>
      </c>
      <c r="J285" s="37" t="str">
        <f>IF($A285="","",IF(COUNTIF(Invoices!$A$8:$A$257,$A285)=0,"Unknown invoice no.",IF($C285="","No description",IF($H285=0,"Amount is 0","OK"))))</f>
        <v/>
      </c>
    </row>
    <row r="286" spans="1:10" ht="16" x14ac:dyDescent="0.2">
      <c r="A286" s="30"/>
      <c r="B286" s="31"/>
      <c r="C286" s="30"/>
      <c r="D286" s="41"/>
      <c r="E286" s="30"/>
      <c r="F286" s="36"/>
      <c r="G286" s="42"/>
      <c r="H286" s="34" t="str">
        <f t="shared" si="4"/>
        <v/>
      </c>
      <c r="I286" s="37" t="str">
        <f>IF($A286="","",IF($A286&lt;&gt;'Invoice (print)'!$C$1,"",COUNTIF($A$8:$A286,$A286)))</f>
        <v/>
      </c>
      <c r="J286" s="37" t="str">
        <f>IF($A286="","",IF(COUNTIF(Invoices!$A$8:$A$257,$A286)=0,"Unknown invoice no.",IF($C286="","No description",IF($H286=0,"Amount is 0","OK"))))</f>
        <v/>
      </c>
    </row>
    <row r="287" spans="1:10" ht="16" x14ac:dyDescent="0.2">
      <c r="A287" s="30"/>
      <c r="B287" s="31"/>
      <c r="C287" s="30"/>
      <c r="D287" s="41"/>
      <c r="E287" s="30"/>
      <c r="F287" s="36"/>
      <c r="G287" s="42"/>
      <c r="H287" s="34" t="str">
        <f t="shared" si="4"/>
        <v/>
      </c>
      <c r="I287" s="37" t="str">
        <f>IF($A287="","",IF($A287&lt;&gt;'Invoice (print)'!$C$1,"",COUNTIF($A$8:$A287,$A287)))</f>
        <v/>
      </c>
      <c r="J287" s="37" t="str">
        <f>IF($A287="","",IF(COUNTIF(Invoices!$A$8:$A$257,$A287)=0,"Unknown invoice no.",IF($C287="","No description",IF($H287=0,"Amount is 0","OK"))))</f>
        <v/>
      </c>
    </row>
    <row r="288" spans="1:10" ht="16" x14ac:dyDescent="0.2">
      <c r="A288" s="30"/>
      <c r="B288" s="31"/>
      <c r="C288" s="30"/>
      <c r="D288" s="41"/>
      <c r="E288" s="30"/>
      <c r="F288" s="36"/>
      <c r="G288" s="42"/>
      <c r="H288" s="34" t="str">
        <f t="shared" si="4"/>
        <v/>
      </c>
      <c r="I288" s="37" t="str">
        <f>IF($A288="","",IF($A288&lt;&gt;'Invoice (print)'!$C$1,"",COUNTIF($A$8:$A288,$A288)))</f>
        <v/>
      </c>
      <c r="J288" s="37" t="str">
        <f>IF($A288="","",IF(COUNTIF(Invoices!$A$8:$A$257,$A288)=0,"Unknown invoice no.",IF($C288="","No description",IF($H288=0,"Amount is 0","OK"))))</f>
        <v/>
      </c>
    </row>
    <row r="289" spans="1:10" ht="16" x14ac:dyDescent="0.2">
      <c r="A289" s="30"/>
      <c r="B289" s="31"/>
      <c r="C289" s="30"/>
      <c r="D289" s="41"/>
      <c r="E289" s="30"/>
      <c r="F289" s="36"/>
      <c r="G289" s="42"/>
      <c r="H289" s="34" t="str">
        <f t="shared" si="4"/>
        <v/>
      </c>
      <c r="I289" s="37" t="str">
        <f>IF($A289="","",IF($A289&lt;&gt;'Invoice (print)'!$C$1,"",COUNTIF($A$8:$A289,$A289)))</f>
        <v/>
      </c>
      <c r="J289" s="37" t="str">
        <f>IF($A289="","",IF(COUNTIF(Invoices!$A$8:$A$257,$A289)=0,"Unknown invoice no.",IF($C289="","No description",IF($H289=0,"Amount is 0","OK"))))</f>
        <v/>
      </c>
    </row>
    <row r="290" spans="1:10" ht="16" x14ac:dyDescent="0.2">
      <c r="A290" s="30"/>
      <c r="B290" s="31"/>
      <c r="C290" s="30"/>
      <c r="D290" s="41"/>
      <c r="E290" s="30"/>
      <c r="F290" s="36"/>
      <c r="G290" s="42"/>
      <c r="H290" s="34" t="str">
        <f t="shared" si="4"/>
        <v/>
      </c>
      <c r="I290" s="37" t="str">
        <f>IF($A290="","",IF($A290&lt;&gt;'Invoice (print)'!$C$1,"",COUNTIF($A$8:$A290,$A290)))</f>
        <v/>
      </c>
      <c r="J290" s="37" t="str">
        <f>IF($A290="","",IF(COUNTIF(Invoices!$A$8:$A$257,$A290)=0,"Unknown invoice no.",IF($C290="","No description",IF($H290=0,"Amount is 0","OK"))))</f>
        <v/>
      </c>
    </row>
    <row r="291" spans="1:10" ht="16" x14ac:dyDescent="0.2">
      <c r="A291" s="30"/>
      <c r="B291" s="31"/>
      <c r="C291" s="30"/>
      <c r="D291" s="41"/>
      <c r="E291" s="30"/>
      <c r="F291" s="36"/>
      <c r="G291" s="42"/>
      <c r="H291" s="34" t="str">
        <f t="shared" si="4"/>
        <v/>
      </c>
      <c r="I291" s="37" t="str">
        <f>IF($A291="","",IF($A291&lt;&gt;'Invoice (print)'!$C$1,"",COUNTIF($A$8:$A291,$A291)))</f>
        <v/>
      </c>
      <c r="J291" s="37" t="str">
        <f>IF($A291="","",IF(COUNTIF(Invoices!$A$8:$A$257,$A291)=0,"Unknown invoice no.",IF($C291="","No description",IF($H291=0,"Amount is 0","OK"))))</f>
        <v/>
      </c>
    </row>
    <row r="292" spans="1:10" ht="16" x14ac:dyDescent="0.2">
      <c r="A292" s="30"/>
      <c r="B292" s="31"/>
      <c r="C292" s="30"/>
      <c r="D292" s="41"/>
      <c r="E292" s="30"/>
      <c r="F292" s="36"/>
      <c r="G292" s="42"/>
      <c r="H292" s="34" t="str">
        <f t="shared" si="4"/>
        <v/>
      </c>
      <c r="I292" s="37" t="str">
        <f>IF($A292="","",IF($A292&lt;&gt;'Invoice (print)'!$C$1,"",COUNTIF($A$8:$A292,$A292)))</f>
        <v/>
      </c>
      <c r="J292" s="37" t="str">
        <f>IF($A292="","",IF(COUNTIF(Invoices!$A$8:$A$257,$A292)=0,"Unknown invoice no.",IF($C292="","No description",IF($H292=0,"Amount is 0","OK"))))</f>
        <v/>
      </c>
    </row>
    <row r="293" spans="1:10" ht="16" x14ac:dyDescent="0.2">
      <c r="A293" s="30"/>
      <c r="B293" s="31"/>
      <c r="C293" s="30"/>
      <c r="D293" s="41"/>
      <c r="E293" s="30"/>
      <c r="F293" s="36"/>
      <c r="G293" s="42"/>
      <c r="H293" s="34" t="str">
        <f t="shared" si="4"/>
        <v/>
      </c>
      <c r="I293" s="37" t="str">
        <f>IF($A293="","",IF($A293&lt;&gt;'Invoice (print)'!$C$1,"",COUNTIF($A$8:$A293,$A293)))</f>
        <v/>
      </c>
      <c r="J293" s="37" t="str">
        <f>IF($A293="","",IF(COUNTIF(Invoices!$A$8:$A$257,$A293)=0,"Unknown invoice no.",IF($C293="","No description",IF($H293=0,"Amount is 0","OK"))))</f>
        <v/>
      </c>
    </row>
    <row r="294" spans="1:10" ht="16" x14ac:dyDescent="0.2">
      <c r="A294" s="30"/>
      <c r="B294" s="31"/>
      <c r="C294" s="30"/>
      <c r="D294" s="41"/>
      <c r="E294" s="30"/>
      <c r="F294" s="36"/>
      <c r="G294" s="42"/>
      <c r="H294" s="34" t="str">
        <f t="shared" si="4"/>
        <v/>
      </c>
      <c r="I294" s="37" t="str">
        <f>IF($A294="","",IF($A294&lt;&gt;'Invoice (print)'!$C$1,"",COUNTIF($A$8:$A294,$A294)))</f>
        <v/>
      </c>
      <c r="J294" s="37" t="str">
        <f>IF($A294="","",IF(COUNTIF(Invoices!$A$8:$A$257,$A294)=0,"Unknown invoice no.",IF($C294="","No description",IF($H294=0,"Amount is 0","OK"))))</f>
        <v/>
      </c>
    </row>
    <row r="295" spans="1:10" ht="16" x14ac:dyDescent="0.2">
      <c r="A295" s="30"/>
      <c r="B295" s="31"/>
      <c r="C295" s="30"/>
      <c r="D295" s="41"/>
      <c r="E295" s="30"/>
      <c r="F295" s="36"/>
      <c r="G295" s="42"/>
      <c r="H295" s="34" t="str">
        <f t="shared" si="4"/>
        <v/>
      </c>
      <c r="I295" s="37" t="str">
        <f>IF($A295="","",IF($A295&lt;&gt;'Invoice (print)'!$C$1,"",COUNTIF($A$8:$A295,$A295)))</f>
        <v/>
      </c>
      <c r="J295" s="37" t="str">
        <f>IF($A295="","",IF(COUNTIF(Invoices!$A$8:$A$257,$A295)=0,"Unknown invoice no.",IF($C295="","No description",IF($H295=0,"Amount is 0","OK"))))</f>
        <v/>
      </c>
    </row>
    <row r="296" spans="1:10" ht="16" x14ac:dyDescent="0.2">
      <c r="A296" s="30"/>
      <c r="B296" s="31"/>
      <c r="C296" s="30"/>
      <c r="D296" s="41"/>
      <c r="E296" s="30"/>
      <c r="F296" s="36"/>
      <c r="G296" s="42"/>
      <c r="H296" s="34" t="str">
        <f t="shared" si="4"/>
        <v/>
      </c>
      <c r="I296" s="37" t="str">
        <f>IF($A296="","",IF($A296&lt;&gt;'Invoice (print)'!$C$1,"",COUNTIF($A$8:$A296,$A296)))</f>
        <v/>
      </c>
      <c r="J296" s="37" t="str">
        <f>IF($A296="","",IF(COUNTIF(Invoices!$A$8:$A$257,$A296)=0,"Unknown invoice no.",IF($C296="","No description",IF($H296=0,"Amount is 0","OK"))))</f>
        <v/>
      </c>
    </row>
    <row r="297" spans="1:10" ht="16" x14ac:dyDescent="0.2">
      <c r="A297" s="30"/>
      <c r="B297" s="31"/>
      <c r="C297" s="30"/>
      <c r="D297" s="41"/>
      <c r="E297" s="30"/>
      <c r="F297" s="36"/>
      <c r="G297" s="42"/>
      <c r="H297" s="34" t="str">
        <f t="shared" si="4"/>
        <v/>
      </c>
      <c r="I297" s="37" t="str">
        <f>IF($A297="","",IF($A297&lt;&gt;'Invoice (print)'!$C$1,"",COUNTIF($A$8:$A297,$A297)))</f>
        <v/>
      </c>
      <c r="J297" s="37" t="str">
        <f>IF($A297="","",IF(COUNTIF(Invoices!$A$8:$A$257,$A297)=0,"Unknown invoice no.",IF($C297="","No description",IF($H297=0,"Amount is 0","OK"))))</f>
        <v/>
      </c>
    </row>
    <row r="298" spans="1:10" ht="16" x14ac:dyDescent="0.2">
      <c r="A298" s="30"/>
      <c r="B298" s="31"/>
      <c r="C298" s="30"/>
      <c r="D298" s="41"/>
      <c r="E298" s="30"/>
      <c r="F298" s="36"/>
      <c r="G298" s="42"/>
      <c r="H298" s="34" t="str">
        <f t="shared" si="4"/>
        <v/>
      </c>
      <c r="I298" s="37" t="str">
        <f>IF($A298="","",IF($A298&lt;&gt;'Invoice (print)'!$C$1,"",COUNTIF($A$8:$A298,$A298)))</f>
        <v/>
      </c>
      <c r="J298" s="37" t="str">
        <f>IF($A298="","",IF(COUNTIF(Invoices!$A$8:$A$257,$A298)=0,"Unknown invoice no.",IF($C298="","No description",IF($H298=0,"Amount is 0","OK"))))</f>
        <v/>
      </c>
    </row>
    <row r="299" spans="1:10" ht="16" x14ac:dyDescent="0.2">
      <c r="A299" s="30"/>
      <c r="B299" s="31"/>
      <c r="C299" s="30"/>
      <c r="D299" s="41"/>
      <c r="E299" s="30"/>
      <c r="F299" s="36"/>
      <c r="G299" s="42"/>
      <c r="H299" s="34" t="str">
        <f t="shared" si="4"/>
        <v/>
      </c>
      <c r="I299" s="37" t="str">
        <f>IF($A299="","",IF($A299&lt;&gt;'Invoice (print)'!$C$1,"",COUNTIF($A$8:$A299,$A299)))</f>
        <v/>
      </c>
      <c r="J299" s="37" t="str">
        <f>IF($A299="","",IF(COUNTIF(Invoices!$A$8:$A$257,$A299)=0,"Unknown invoice no.",IF($C299="","No description",IF($H299=0,"Amount is 0","OK"))))</f>
        <v/>
      </c>
    </row>
    <row r="300" spans="1:10" ht="16" x14ac:dyDescent="0.2">
      <c r="A300" s="30"/>
      <c r="B300" s="31"/>
      <c r="C300" s="30"/>
      <c r="D300" s="41"/>
      <c r="E300" s="30"/>
      <c r="F300" s="36"/>
      <c r="G300" s="42"/>
      <c r="H300" s="34" t="str">
        <f t="shared" si="4"/>
        <v/>
      </c>
      <c r="I300" s="37" t="str">
        <f>IF($A300="","",IF($A300&lt;&gt;'Invoice (print)'!$C$1,"",COUNTIF($A$8:$A300,$A300)))</f>
        <v/>
      </c>
      <c r="J300" s="37" t="str">
        <f>IF($A300="","",IF(COUNTIF(Invoices!$A$8:$A$257,$A300)=0,"Unknown invoice no.",IF($C300="","No description",IF($H300=0,"Amount is 0","OK"))))</f>
        <v/>
      </c>
    </row>
    <row r="301" spans="1:10" ht="16" x14ac:dyDescent="0.2">
      <c r="A301" s="30"/>
      <c r="B301" s="31"/>
      <c r="C301" s="30"/>
      <c r="D301" s="41"/>
      <c r="E301" s="30"/>
      <c r="F301" s="36"/>
      <c r="G301" s="42"/>
      <c r="H301" s="34" t="str">
        <f t="shared" si="4"/>
        <v/>
      </c>
      <c r="I301" s="37" t="str">
        <f>IF($A301="","",IF($A301&lt;&gt;'Invoice (print)'!$C$1,"",COUNTIF($A$8:$A301,$A301)))</f>
        <v/>
      </c>
      <c r="J301" s="37" t="str">
        <f>IF($A301="","",IF(COUNTIF(Invoices!$A$8:$A$257,$A301)=0,"Unknown invoice no.",IF($C301="","No description",IF($H301=0,"Amount is 0","OK"))))</f>
        <v/>
      </c>
    </row>
    <row r="302" spans="1:10" ht="16" x14ac:dyDescent="0.2">
      <c r="A302" s="30"/>
      <c r="B302" s="31"/>
      <c r="C302" s="30"/>
      <c r="D302" s="41"/>
      <c r="E302" s="30"/>
      <c r="F302" s="36"/>
      <c r="G302" s="42"/>
      <c r="H302" s="34" t="str">
        <f t="shared" si="4"/>
        <v/>
      </c>
      <c r="I302" s="37" t="str">
        <f>IF($A302="","",IF($A302&lt;&gt;'Invoice (print)'!$C$1,"",COUNTIF($A$8:$A302,$A302)))</f>
        <v/>
      </c>
      <c r="J302" s="37" t="str">
        <f>IF($A302="","",IF(COUNTIF(Invoices!$A$8:$A$257,$A302)=0,"Unknown invoice no.",IF($C302="","No description",IF($H302=0,"Amount is 0","OK"))))</f>
        <v/>
      </c>
    </row>
    <row r="303" spans="1:10" ht="16" x14ac:dyDescent="0.2">
      <c r="A303" s="30"/>
      <c r="B303" s="31"/>
      <c r="C303" s="30"/>
      <c r="D303" s="41"/>
      <c r="E303" s="30"/>
      <c r="F303" s="36"/>
      <c r="G303" s="42"/>
      <c r="H303" s="34" t="str">
        <f t="shared" si="4"/>
        <v/>
      </c>
      <c r="I303" s="37" t="str">
        <f>IF($A303="","",IF($A303&lt;&gt;'Invoice (print)'!$C$1,"",COUNTIF($A$8:$A303,$A303)))</f>
        <v/>
      </c>
      <c r="J303" s="37" t="str">
        <f>IF($A303="","",IF(COUNTIF(Invoices!$A$8:$A$257,$A303)=0,"Unknown invoice no.",IF($C303="","No description",IF($H303=0,"Amount is 0","OK"))))</f>
        <v/>
      </c>
    </row>
    <row r="304" spans="1:10" ht="16" x14ac:dyDescent="0.2">
      <c r="A304" s="30"/>
      <c r="B304" s="31"/>
      <c r="C304" s="30"/>
      <c r="D304" s="41"/>
      <c r="E304" s="30"/>
      <c r="F304" s="36"/>
      <c r="G304" s="42"/>
      <c r="H304" s="34" t="str">
        <f t="shared" si="4"/>
        <v/>
      </c>
      <c r="I304" s="37" t="str">
        <f>IF($A304="","",IF($A304&lt;&gt;'Invoice (print)'!$C$1,"",COUNTIF($A$8:$A304,$A304)))</f>
        <v/>
      </c>
      <c r="J304" s="37" t="str">
        <f>IF($A304="","",IF(COUNTIF(Invoices!$A$8:$A$257,$A304)=0,"Unknown invoice no.",IF($C304="","No description",IF($H304=0,"Amount is 0","OK"))))</f>
        <v/>
      </c>
    </row>
    <row r="305" spans="1:10" ht="16" x14ac:dyDescent="0.2">
      <c r="A305" s="30"/>
      <c r="B305" s="31"/>
      <c r="C305" s="30"/>
      <c r="D305" s="41"/>
      <c r="E305" s="30"/>
      <c r="F305" s="36"/>
      <c r="G305" s="42"/>
      <c r="H305" s="34" t="str">
        <f t="shared" si="4"/>
        <v/>
      </c>
      <c r="I305" s="37" t="str">
        <f>IF($A305="","",IF($A305&lt;&gt;'Invoice (print)'!$C$1,"",COUNTIF($A$8:$A305,$A305)))</f>
        <v/>
      </c>
      <c r="J305" s="37" t="str">
        <f>IF($A305="","",IF(COUNTIF(Invoices!$A$8:$A$257,$A305)=0,"Unknown invoice no.",IF($C305="","No description",IF($H305=0,"Amount is 0","OK"))))</f>
        <v/>
      </c>
    </row>
    <row r="306" spans="1:10" ht="16" x14ac:dyDescent="0.2">
      <c r="A306" s="30"/>
      <c r="B306" s="31"/>
      <c r="C306" s="30"/>
      <c r="D306" s="41"/>
      <c r="E306" s="30"/>
      <c r="F306" s="36"/>
      <c r="G306" s="42"/>
      <c r="H306" s="34" t="str">
        <f t="shared" si="4"/>
        <v/>
      </c>
      <c r="I306" s="37" t="str">
        <f>IF($A306="","",IF($A306&lt;&gt;'Invoice (print)'!$C$1,"",COUNTIF($A$8:$A306,$A306)))</f>
        <v/>
      </c>
      <c r="J306" s="37" t="str">
        <f>IF($A306="","",IF(COUNTIF(Invoices!$A$8:$A$257,$A306)=0,"Unknown invoice no.",IF($C306="","No description",IF($H306=0,"Amount is 0","OK"))))</f>
        <v/>
      </c>
    </row>
    <row r="307" spans="1:10" ht="16" x14ac:dyDescent="0.2">
      <c r="A307" s="30"/>
      <c r="B307" s="31"/>
      <c r="C307" s="30"/>
      <c r="D307" s="41"/>
      <c r="E307" s="30"/>
      <c r="F307" s="36"/>
      <c r="G307" s="42"/>
      <c r="H307" s="34" t="str">
        <f t="shared" si="4"/>
        <v/>
      </c>
      <c r="I307" s="37" t="str">
        <f>IF($A307="","",IF($A307&lt;&gt;'Invoice (print)'!$C$1,"",COUNTIF($A$8:$A307,$A307)))</f>
        <v/>
      </c>
      <c r="J307" s="37" t="str">
        <f>IF($A307="","",IF(COUNTIF(Invoices!$A$8:$A$257,$A307)=0,"Unknown invoice no.",IF($C307="","No description",IF($H307=0,"Amount is 0","OK"))))</f>
        <v/>
      </c>
    </row>
    <row r="308" spans="1:10" ht="16" x14ac:dyDescent="0.2">
      <c r="A308" s="30"/>
      <c r="B308" s="31"/>
      <c r="C308" s="30"/>
      <c r="D308" s="41"/>
      <c r="E308" s="30"/>
      <c r="F308" s="36"/>
      <c r="G308" s="42"/>
      <c r="H308" s="34" t="str">
        <f t="shared" si="4"/>
        <v/>
      </c>
      <c r="I308" s="37" t="str">
        <f>IF($A308="","",IF($A308&lt;&gt;'Invoice (print)'!$C$1,"",COUNTIF($A$8:$A308,$A308)))</f>
        <v/>
      </c>
      <c r="J308" s="37" t="str">
        <f>IF($A308="","",IF(COUNTIF(Invoices!$A$8:$A$257,$A308)=0,"Unknown invoice no.",IF($C308="","No description",IF($H308=0,"Amount is 0","OK"))))</f>
        <v/>
      </c>
    </row>
    <row r="309" spans="1:10" ht="16" x14ac:dyDescent="0.2">
      <c r="A309" s="30"/>
      <c r="B309" s="31"/>
      <c r="C309" s="30"/>
      <c r="D309" s="41"/>
      <c r="E309" s="30"/>
      <c r="F309" s="36"/>
      <c r="G309" s="42"/>
      <c r="H309" s="34" t="str">
        <f t="shared" si="4"/>
        <v/>
      </c>
      <c r="I309" s="37" t="str">
        <f>IF($A309="","",IF($A309&lt;&gt;'Invoice (print)'!$C$1,"",COUNTIF($A$8:$A309,$A309)))</f>
        <v/>
      </c>
      <c r="J309" s="37" t="str">
        <f>IF($A309="","",IF(COUNTIF(Invoices!$A$8:$A$257,$A309)=0,"Unknown invoice no.",IF($C309="","No description",IF($H309=0,"Amount is 0","OK"))))</f>
        <v/>
      </c>
    </row>
    <row r="310" spans="1:10" ht="16" x14ac:dyDescent="0.2">
      <c r="A310" s="30"/>
      <c r="B310" s="31"/>
      <c r="C310" s="30"/>
      <c r="D310" s="41"/>
      <c r="E310" s="30"/>
      <c r="F310" s="36"/>
      <c r="G310" s="42"/>
      <c r="H310" s="34" t="str">
        <f t="shared" si="4"/>
        <v/>
      </c>
      <c r="I310" s="37" t="str">
        <f>IF($A310="","",IF($A310&lt;&gt;'Invoice (print)'!$C$1,"",COUNTIF($A$8:$A310,$A310)))</f>
        <v/>
      </c>
      <c r="J310" s="37" t="str">
        <f>IF($A310="","",IF(COUNTIF(Invoices!$A$8:$A$257,$A310)=0,"Unknown invoice no.",IF($C310="","No description",IF($H310=0,"Amount is 0","OK"))))</f>
        <v/>
      </c>
    </row>
    <row r="311" spans="1:10" ht="16" x14ac:dyDescent="0.2">
      <c r="A311" s="30"/>
      <c r="B311" s="31"/>
      <c r="C311" s="30"/>
      <c r="D311" s="41"/>
      <c r="E311" s="30"/>
      <c r="F311" s="36"/>
      <c r="G311" s="42"/>
      <c r="H311" s="34" t="str">
        <f t="shared" si="4"/>
        <v/>
      </c>
      <c r="I311" s="37" t="str">
        <f>IF($A311="","",IF($A311&lt;&gt;'Invoice (print)'!$C$1,"",COUNTIF($A$8:$A311,$A311)))</f>
        <v/>
      </c>
      <c r="J311" s="37" t="str">
        <f>IF($A311="","",IF(COUNTIF(Invoices!$A$8:$A$257,$A311)=0,"Unknown invoice no.",IF($C311="","No description",IF($H311=0,"Amount is 0","OK"))))</f>
        <v/>
      </c>
    </row>
    <row r="312" spans="1:10" ht="16" x14ac:dyDescent="0.2">
      <c r="A312" s="30"/>
      <c r="B312" s="31"/>
      <c r="C312" s="30"/>
      <c r="D312" s="41"/>
      <c r="E312" s="30"/>
      <c r="F312" s="36"/>
      <c r="G312" s="42"/>
      <c r="H312" s="34" t="str">
        <f t="shared" si="4"/>
        <v/>
      </c>
      <c r="I312" s="37" t="str">
        <f>IF($A312="","",IF($A312&lt;&gt;'Invoice (print)'!$C$1,"",COUNTIF($A$8:$A312,$A312)))</f>
        <v/>
      </c>
      <c r="J312" s="37" t="str">
        <f>IF($A312="","",IF(COUNTIF(Invoices!$A$8:$A$257,$A312)=0,"Unknown invoice no.",IF($C312="","No description",IF($H312=0,"Amount is 0","OK"))))</f>
        <v/>
      </c>
    </row>
    <row r="313" spans="1:10" ht="16" x14ac:dyDescent="0.2">
      <c r="A313" s="30"/>
      <c r="B313" s="31"/>
      <c r="C313" s="30"/>
      <c r="D313" s="41"/>
      <c r="E313" s="30"/>
      <c r="F313" s="36"/>
      <c r="G313" s="42"/>
      <c r="H313" s="34" t="str">
        <f t="shared" si="4"/>
        <v/>
      </c>
      <c r="I313" s="37" t="str">
        <f>IF($A313="","",IF($A313&lt;&gt;'Invoice (print)'!$C$1,"",COUNTIF($A$8:$A313,$A313)))</f>
        <v/>
      </c>
      <c r="J313" s="37" t="str">
        <f>IF($A313="","",IF(COUNTIF(Invoices!$A$8:$A$257,$A313)=0,"Unknown invoice no.",IF($C313="","No description",IF($H313=0,"Amount is 0","OK"))))</f>
        <v/>
      </c>
    </row>
    <row r="314" spans="1:10" ht="16" x14ac:dyDescent="0.2">
      <c r="A314" s="30"/>
      <c r="B314" s="31"/>
      <c r="C314" s="30"/>
      <c r="D314" s="41"/>
      <c r="E314" s="30"/>
      <c r="F314" s="36"/>
      <c r="G314" s="42"/>
      <c r="H314" s="34" t="str">
        <f t="shared" si="4"/>
        <v/>
      </c>
      <c r="I314" s="37" t="str">
        <f>IF($A314="","",IF($A314&lt;&gt;'Invoice (print)'!$C$1,"",COUNTIF($A$8:$A314,$A314)))</f>
        <v/>
      </c>
      <c r="J314" s="37" t="str">
        <f>IF($A314="","",IF(COUNTIF(Invoices!$A$8:$A$257,$A314)=0,"Unknown invoice no.",IF($C314="","No description",IF($H314=0,"Amount is 0","OK"))))</f>
        <v/>
      </c>
    </row>
    <row r="315" spans="1:10" ht="16" x14ac:dyDescent="0.2">
      <c r="A315" s="30"/>
      <c r="B315" s="31"/>
      <c r="C315" s="30"/>
      <c r="D315" s="41"/>
      <c r="E315" s="30"/>
      <c r="F315" s="36"/>
      <c r="G315" s="42"/>
      <c r="H315" s="34" t="str">
        <f t="shared" si="4"/>
        <v/>
      </c>
      <c r="I315" s="37" t="str">
        <f>IF($A315="","",IF($A315&lt;&gt;'Invoice (print)'!$C$1,"",COUNTIF($A$8:$A315,$A315)))</f>
        <v/>
      </c>
      <c r="J315" s="37" t="str">
        <f>IF($A315="","",IF(COUNTIF(Invoices!$A$8:$A$257,$A315)=0,"Unknown invoice no.",IF($C315="","No description",IF($H315=0,"Amount is 0","OK"))))</f>
        <v/>
      </c>
    </row>
    <row r="316" spans="1:10" ht="16" x14ac:dyDescent="0.2">
      <c r="A316" s="30"/>
      <c r="B316" s="31"/>
      <c r="C316" s="30"/>
      <c r="D316" s="41"/>
      <c r="E316" s="30"/>
      <c r="F316" s="36"/>
      <c r="G316" s="42"/>
      <c r="H316" s="34" t="str">
        <f t="shared" si="4"/>
        <v/>
      </c>
      <c r="I316" s="37" t="str">
        <f>IF($A316="","",IF($A316&lt;&gt;'Invoice (print)'!$C$1,"",COUNTIF($A$8:$A316,$A316)))</f>
        <v/>
      </c>
      <c r="J316" s="37" t="str">
        <f>IF($A316="","",IF(COUNTIF(Invoices!$A$8:$A$257,$A316)=0,"Unknown invoice no.",IF($C316="","No description",IF($H316=0,"Amount is 0","OK"))))</f>
        <v/>
      </c>
    </row>
    <row r="317" spans="1:10" ht="16" x14ac:dyDescent="0.2">
      <c r="A317" s="30"/>
      <c r="B317" s="31"/>
      <c r="C317" s="30"/>
      <c r="D317" s="41"/>
      <c r="E317" s="30"/>
      <c r="F317" s="36"/>
      <c r="G317" s="42"/>
      <c r="H317" s="34" t="str">
        <f t="shared" si="4"/>
        <v/>
      </c>
      <c r="I317" s="37" t="str">
        <f>IF($A317="","",IF($A317&lt;&gt;'Invoice (print)'!$C$1,"",COUNTIF($A$8:$A317,$A317)))</f>
        <v/>
      </c>
      <c r="J317" s="37" t="str">
        <f>IF($A317="","",IF(COUNTIF(Invoices!$A$8:$A$257,$A317)=0,"Unknown invoice no.",IF($C317="","No description",IF($H317=0,"Amount is 0","OK"))))</f>
        <v/>
      </c>
    </row>
    <row r="318" spans="1:10" ht="16" x14ac:dyDescent="0.2">
      <c r="A318" s="30"/>
      <c r="B318" s="31"/>
      <c r="C318" s="30"/>
      <c r="D318" s="41"/>
      <c r="E318" s="30"/>
      <c r="F318" s="36"/>
      <c r="G318" s="42"/>
      <c r="H318" s="34" t="str">
        <f t="shared" si="4"/>
        <v/>
      </c>
      <c r="I318" s="37" t="str">
        <f>IF($A318="","",IF($A318&lt;&gt;'Invoice (print)'!$C$1,"",COUNTIF($A$8:$A318,$A318)))</f>
        <v/>
      </c>
      <c r="J318" s="37" t="str">
        <f>IF($A318="","",IF(COUNTIF(Invoices!$A$8:$A$257,$A318)=0,"Unknown invoice no.",IF($C318="","No description",IF($H318=0,"Amount is 0","OK"))))</f>
        <v/>
      </c>
    </row>
    <row r="319" spans="1:10" ht="16" x14ac:dyDescent="0.2">
      <c r="A319" s="30"/>
      <c r="B319" s="31"/>
      <c r="C319" s="30"/>
      <c r="D319" s="41"/>
      <c r="E319" s="30"/>
      <c r="F319" s="36"/>
      <c r="G319" s="42"/>
      <c r="H319" s="34" t="str">
        <f t="shared" si="4"/>
        <v/>
      </c>
      <c r="I319" s="37" t="str">
        <f>IF($A319="","",IF($A319&lt;&gt;'Invoice (print)'!$C$1,"",COUNTIF($A$8:$A319,$A319)))</f>
        <v/>
      </c>
      <c r="J319" s="37" t="str">
        <f>IF($A319="","",IF(COUNTIF(Invoices!$A$8:$A$257,$A319)=0,"Unknown invoice no.",IF($C319="","No description",IF($H319=0,"Amount is 0","OK"))))</f>
        <v/>
      </c>
    </row>
    <row r="320" spans="1:10" ht="16" x14ac:dyDescent="0.2">
      <c r="A320" s="30"/>
      <c r="B320" s="31"/>
      <c r="C320" s="30"/>
      <c r="D320" s="41"/>
      <c r="E320" s="30"/>
      <c r="F320" s="36"/>
      <c r="G320" s="42"/>
      <c r="H320" s="34" t="str">
        <f t="shared" si="4"/>
        <v/>
      </c>
      <c r="I320" s="37" t="str">
        <f>IF($A320="","",IF($A320&lt;&gt;'Invoice (print)'!$C$1,"",COUNTIF($A$8:$A320,$A320)))</f>
        <v/>
      </c>
      <c r="J320" s="37" t="str">
        <f>IF($A320="","",IF(COUNTIF(Invoices!$A$8:$A$257,$A320)=0,"Unknown invoice no.",IF($C320="","No description",IF($H320=0,"Amount is 0","OK"))))</f>
        <v/>
      </c>
    </row>
    <row r="321" spans="1:10" ht="16" x14ac:dyDescent="0.2">
      <c r="A321" s="30"/>
      <c r="B321" s="31"/>
      <c r="C321" s="30"/>
      <c r="D321" s="41"/>
      <c r="E321" s="30"/>
      <c r="F321" s="36"/>
      <c r="G321" s="42"/>
      <c r="H321" s="34" t="str">
        <f t="shared" si="4"/>
        <v/>
      </c>
      <c r="I321" s="37" t="str">
        <f>IF($A321="","",IF($A321&lt;&gt;'Invoice (print)'!$C$1,"",COUNTIF($A$8:$A321,$A321)))</f>
        <v/>
      </c>
      <c r="J321" s="37" t="str">
        <f>IF($A321="","",IF(COUNTIF(Invoices!$A$8:$A$257,$A321)=0,"Unknown invoice no.",IF($C321="","No description",IF($H321=0,"Amount is 0","OK"))))</f>
        <v/>
      </c>
    </row>
    <row r="322" spans="1:10" ht="16" x14ac:dyDescent="0.2">
      <c r="A322" s="30"/>
      <c r="B322" s="31"/>
      <c r="C322" s="30"/>
      <c r="D322" s="41"/>
      <c r="E322" s="30"/>
      <c r="F322" s="36"/>
      <c r="G322" s="42"/>
      <c r="H322" s="34" t="str">
        <f t="shared" si="4"/>
        <v/>
      </c>
      <c r="I322" s="37" t="str">
        <f>IF($A322="","",IF($A322&lt;&gt;'Invoice (print)'!$C$1,"",COUNTIF($A$8:$A322,$A322)))</f>
        <v/>
      </c>
      <c r="J322" s="37" t="str">
        <f>IF($A322="","",IF(COUNTIF(Invoices!$A$8:$A$257,$A322)=0,"Unknown invoice no.",IF($C322="","No description",IF($H322=0,"Amount is 0","OK"))))</f>
        <v/>
      </c>
    </row>
    <row r="323" spans="1:10" ht="16" x14ac:dyDescent="0.2">
      <c r="A323" s="30"/>
      <c r="B323" s="31"/>
      <c r="C323" s="30"/>
      <c r="D323" s="41"/>
      <c r="E323" s="30"/>
      <c r="F323" s="36"/>
      <c r="G323" s="42"/>
      <c r="H323" s="34" t="str">
        <f t="shared" si="4"/>
        <v/>
      </c>
      <c r="I323" s="37" t="str">
        <f>IF($A323="","",IF($A323&lt;&gt;'Invoice (print)'!$C$1,"",COUNTIF($A$8:$A323,$A323)))</f>
        <v/>
      </c>
      <c r="J323" s="37" t="str">
        <f>IF($A323="","",IF(COUNTIF(Invoices!$A$8:$A$257,$A323)=0,"Unknown invoice no.",IF($C323="","No description",IF($H323=0,"Amount is 0","OK"))))</f>
        <v/>
      </c>
    </row>
    <row r="324" spans="1:10" ht="16" x14ac:dyDescent="0.2">
      <c r="A324" s="30"/>
      <c r="B324" s="31"/>
      <c r="C324" s="30"/>
      <c r="D324" s="41"/>
      <c r="E324" s="30"/>
      <c r="F324" s="36"/>
      <c r="G324" s="42"/>
      <c r="H324" s="34" t="str">
        <f t="shared" si="4"/>
        <v/>
      </c>
      <c r="I324" s="37" t="str">
        <f>IF($A324="","",IF($A324&lt;&gt;'Invoice (print)'!$C$1,"",COUNTIF($A$8:$A324,$A324)))</f>
        <v/>
      </c>
      <c r="J324" s="37" t="str">
        <f>IF($A324="","",IF(COUNTIF(Invoices!$A$8:$A$257,$A324)=0,"Unknown invoice no.",IF($C324="","No description",IF($H324=0,"Amount is 0","OK"))))</f>
        <v/>
      </c>
    </row>
    <row r="325" spans="1:10" ht="16" x14ac:dyDescent="0.2">
      <c r="A325" s="30"/>
      <c r="B325" s="31"/>
      <c r="C325" s="30"/>
      <c r="D325" s="41"/>
      <c r="E325" s="30"/>
      <c r="F325" s="36"/>
      <c r="G325" s="42"/>
      <c r="H325" s="34" t="str">
        <f t="shared" si="4"/>
        <v/>
      </c>
      <c r="I325" s="37" t="str">
        <f>IF($A325="","",IF($A325&lt;&gt;'Invoice (print)'!$C$1,"",COUNTIF($A$8:$A325,$A325)))</f>
        <v/>
      </c>
      <c r="J325" s="37" t="str">
        <f>IF($A325="","",IF(COUNTIF(Invoices!$A$8:$A$257,$A325)=0,"Unknown invoice no.",IF($C325="","No description",IF($H325=0,"Amount is 0","OK"))))</f>
        <v/>
      </c>
    </row>
    <row r="326" spans="1:10" ht="16" x14ac:dyDescent="0.2">
      <c r="A326" s="30"/>
      <c r="B326" s="31"/>
      <c r="C326" s="30"/>
      <c r="D326" s="41"/>
      <c r="E326" s="30"/>
      <c r="F326" s="36"/>
      <c r="G326" s="42"/>
      <c r="H326" s="34" t="str">
        <f t="shared" si="4"/>
        <v/>
      </c>
      <c r="I326" s="37" t="str">
        <f>IF($A326="","",IF($A326&lt;&gt;'Invoice (print)'!$C$1,"",COUNTIF($A$8:$A326,$A326)))</f>
        <v/>
      </c>
      <c r="J326" s="37" t="str">
        <f>IF($A326="","",IF(COUNTIF(Invoices!$A$8:$A$257,$A326)=0,"Unknown invoice no.",IF($C326="","No description",IF($H326=0,"Amount is 0","OK"))))</f>
        <v/>
      </c>
    </row>
    <row r="327" spans="1:10" ht="16" x14ac:dyDescent="0.2">
      <c r="A327" s="30"/>
      <c r="B327" s="31"/>
      <c r="C327" s="30"/>
      <c r="D327" s="41"/>
      <c r="E327" s="30"/>
      <c r="F327" s="36"/>
      <c r="G327" s="42"/>
      <c r="H327" s="34" t="str">
        <f t="shared" si="4"/>
        <v/>
      </c>
      <c r="I327" s="37" t="str">
        <f>IF($A327="","",IF($A327&lt;&gt;'Invoice (print)'!$C$1,"",COUNTIF($A$8:$A327,$A327)))</f>
        <v/>
      </c>
      <c r="J327" s="37" t="str">
        <f>IF($A327="","",IF(COUNTIF(Invoices!$A$8:$A$257,$A327)=0,"Unknown invoice no.",IF($C327="","No description",IF($H327=0,"Amount is 0","OK"))))</f>
        <v/>
      </c>
    </row>
    <row r="328" spans="1:10" ht="16" x14ac:dyDescent="0.2">
      <c r="A328" s="30"/>
      <c r="B328" s="31"/>
      <c r="C328" s="30"/>
      <c r="D328" s="41"/>
      <c r="E328" s="30"/>
      <c r="F328" s="36"/>
      <c r="G328" s="42"/>
      <c r="H328" s="34" t="str">
        <f t="shared" ref="H328:H391" si="5">IF($A328="","",ROUND(IF($D328="",0,$D328)*IF($F328="",0,$F328)*(1-IF($G328="",0,$G328)/100),2))</f>
        <v/>
      </c>
      <c r="I328" s="37" t="str">
        <f>IF($A328="","",IF($A328&lt;&gt;'Invoice (print)'!$C$1,"",COUNTIF($A$8:$A328,$A328)))</f>
        <v/>
      </c>
      <c r="J328" s="37" t="str">
        <f>IF($A328="","",IF(COUNTIF(Invoices!$A$8:$A$257,$A328)=0,"Unknown invoice no.",IF($C328="","No description",IF($H328=0,"Amount is 0","OK"))))</f>
        <v/>
      </c>
    </row>
    <row r="329" spans="1:10" ht="16" x14ac:dyDescent="0.2">
      <c r="A329" s="30"/>
      <c r="B329" s="31"/>
      <c r="C329" s="30"/>
      <c r="D329" s="41"/>
      <c r="E329" s="30"/>
      <c r="F329" s="36"/>
      <c r="G329" s="42"/>
      <c r="H329" s="34" t="str">
        <f t="shared" si="5"/>
        <v/>
      </c>
      <c r="I329" s="37" t="str">
        <f>IF($A329="","",IF($A329&lt;&gt;'Invoice (print)'!$C$1,"",COUNTIF($A$8:$A329,$A329)))</f>
        <v/>
      </c>
      <c r="J329" s="37" t="str">
        <f>IF($A329="","",IF(COUNTIF(Invoices!$A$8:$A$257,$A329)=0,"Unknown invoice no.",IF($C329="","No description",IF($H329=0,"Amount is 0","OK"))))</f>
        <v/>
      </c>
    </row>
    <row r="330" spans="1:10" ht="16" x14ac:dyDescent="0.2">
      <c r="A330" s="30"/>
      <c r="B330" s="31"/>
      <c r="C330" s="30"/>
      <c r="D330" s="41"/>
      <c r="E330" s="30"/>
      <c r="F330" s="36"/>
      <c r="G330" s="42"/>
      <c r="H330" s="34" t="str">
        <f t="shared" si="5"/>
        <v/>
      </c>
      <c r="I330" s="37" t="str">
        <f>IF($A330="","",IF($A330&lt;&gt;'Invoice (print)'!$C$1,"",COUNTIF($A$8:$A330,$A330)))</f>
        <v/>
      </c>
      <c r="J330" s="37" t="str">
        <f>IF($A330="","",IF(COUNTIF(Invoices!$A$8:$A$257,$A330)=0,"Unknown invoice no.",IF($C330="","No description",IF($H330=0,"Amount is 0","OK"))))</f>
        <v/>
      </c>
    </row>
    <row r="331" spans="1:10" ht="16" x14ac:dyDescent="0.2">
      <c r="A331" s="30"/>
      <c r="B331" s="31"/>
      <c r="C331" s="30"/>
      <c r="D331" s="41"/>
      <c r="E331" s="30"/>
      <c r="F331" s="36"/>
      <c r="G331" s="42"/>
      <c r="H331" s="34" t="str">
        <f t="shared" si="5"/>
        <v/>
      </c>
      <c r="I331" s="37" t="str">
        <f>IF($A331="","",IF($A331&lt;&gt;'Invoice (print)'!$C$1,"",COUNTIF($A$8:$A331,$A331)))</f>
        <v/>
      </c>
      <c r="J331" s="37" t="str">
        <f>IF($A331="","",IF(COUNTIF(Invoices!$A$8:$A$257,$A331)=0,"Unknown invoice no.",IF($C331="","No description",IF($H331=0,"Amount is 0","OK"))))</f>
        <v/>
      </c>
    </row>
    <row r="332" spans="1:10" ht="16" x14ac:dyDescent="0.2">
      <c r="A332" s="30"/>
      <c r="B332" s="31"/>
      <c r="C332" s="30"/>
      <c r="D332" s="41"/>
      <c r="E332" s="30"/>
      <c r="F332" s="36"/>
      <c r="G332" s="42"/>
      <c r="H332" s="34" t="str">
        <f t="shared" si="5"/>
        <v/>
      </c>
      <c r="I332" s="37" t="str">
        <f>IF($A332="","",IF($A332&lt;&gt;'Invoice (print)'!$C$1,"",COUNTIF($A$8:$A332,$A332)))</f>
        <v/>
      </c>
      <c r="J332" s="37" t="str">
        <f>IF($A332="","",IF(COUNTIF(Invoices!$A$8:$A$257,$A332)=0,"Unknown invoice no.",IF($C332="","No description",IF($H332=0,"Amount is 0","OK"))))</f>
        <v/>
      </c>
    </row>
    <row r="333" spans="1:10" ht="16" x14ac:dyDescent="0.2">
      <c r="A333" s="30"/>
      <c r="B333" s="31"/>
      <c r="C333" s="30"/>
      <c r="D333" s="41"/>
      <c r="E333" s="30"/>
      <c r="F333" s="36"/>
      <c r="G333" s="42"/>
      <c r="H333" s="34" t="str">
        <f t="shared" si="5"/>
        <v/>
      </c>
      <c r="I333" s="37" t="str">
        <f>IF($A333="","",IF($A333&lt;&gt;'Invoice (print)'!$C$1,"",COUNTIF($A$8:$A333,$A333)))</f>
        <v/>
      </c>
      <c r="J333" s="37" t="str">
        <f>IF($A333="","",IF(COUNTIF(Invoices!$A$8:$A$257,$A333)=0,"Unknown invoice no.",IF($C333="","No description",IF($H333=0,"Amount is 0","OK"))))</f>
        <v/>
      </c>
    </row>
    <row r="334" spans="1:10" ht="16" x14ac:dyDescent="0.2">
      <c r="A334" s="30"/>
      <c r="B334" s="31"/>
      <c r="C334" s="30"/>
      <c r="D334" s="41"/>
      <c r="E334" s="30"/>
      <c r="F334" s="36"/>
      <c r="G334" s="42"/>
      <c r="H334" s="34" t="str">
        <f t="shared" si="5"/>
        <v/>
      </c>
      <c r="I334" s="37" t="str">
        <f>IF($A334="","",IF($A334&lt;&gt;'Invoice (print)'!$C$1,"",COUNTIF($A$8:$A334,$A334)))</f>
        <v/>
      </c>
      <c r="J334" s="37" t="str">
        <f>IF($A334="","",IF(COUNTIF(Invoices!$A$8:$A$257,$A334)=0,"Unknown invoice no.",IF($C334="","No description",IF($H334=0,"Amount is 0","OK"))))</f>
        <v/>
      </c>
    </row>
    <row r="335" spans="1:10" ht="16" x14ac:dyDescent="0.2">
      <c r="A335" s="30"/>
      <c r="B335" s="31"/>
      <c r="C335" s="30"/>
      <c r="D335" s="41"/>
      <c r="E335" s="30"/>
      <c r="F335" s="36"/>
      <c r="G335" s="42"/>
      <c r="H335" s="34" t="str">
        <f t="shared" si="5"/>
        <v/>
      </c>
      <c r="I335" s="37" t="str">
        <f>IF($A335="","",IF($A335&lt;&gt;'Invoice (print)'!$C$1,"",COUNTIF($A$8:$A335,$A335)))</f>
        <v/>
      </c>
      <c r="J335" s="37" t="str">
        <f>IF($A335="","",IF(COUNTIF(Invoices!$A$8:$A$257,$A335)=0,"Unknown invoice no.",IF($C335="","No description",IF($H335=0,"Amount is 0","OK"))))</f>
        <v/>
      </c>
    </row>
    <row r="336" spans="1:10" ht="16" x14ac:dyDescent="0.2">
      <c r="A336" s="30"/>
      <c r="B336" s="31"/>
      <c r="C336" s="30"/>
      <c r="D336" s="41"/>
      <c r="E336" s="30"/>
      <c r="F336" s="36"/>
      <c r="G336" s="42"/>
      <c r="H336" s="34" t="str">
        <f t="shared" si="5"/>
        <v/>
      </c>
      <c r="I336" s="37" t="str">
        <f>IF($A336="","",IF($A336&lt;&gt;'Invoice (print)'!$C$1,"",COUNTIF($A$8:$A336,$A336)))</f>
        <v/>
      </c>
      <c r="J336" s="37" t="str">
        <f>IF($A336="","",IF(COUNTIF(Invoices!$A$8:$A$257,$A336)=0,"Unknown invoice no.",IF($C336="","No description",IF($H336=0,"Amount is 0","OK"))))</f>
        <v/>
      </c>
    </row>
    <row r="337" spans="1:10" ht="16" x14ac:dyDescent="0.2">
      <c r="A337" s="30"/>
      <c r="B337" s="31"/>
      <c r="C337" s="30"/>
      <c r="D337" s="41"/>
      <c r="E337" s="30"/>
      <c r="F337" s="36"/>
      <c r="G337" s="42"/>
      <c r="H337" s="34" t="str">
        <f t="shared" si="5"/>
        <v/>
      </c>
      <c r="I337" s="37" t="str">
        <f>IF($A337="","",IF($A337&lt;&gt;'Invoice (print)'!$C$1,"",COUNTIF($A$8:$A337,$A337)))</f>
        <v/>
      </c>
      <c r="J337" s="37" t="str">
        <f>IF($A337="","",IF(COUNTIF(Invoices!$A$8:$A$257,$A337)=0,"Unknown invoice no.",IF($C337="","No description",IF($H337=0,"Amount is 0","OK"))))</f>
        <v/>
      </c>
    </row>
    <row r="338" spans="1:10" ht="16" x14ac:dyDescent="0.2">
      <c r="A338" s="30"/>
      <c r="B338" s="31"/>
      <c r="C338" s="30"/>
      <c r="D338" s="41"/>
      <c r="E338" s="30"/>
      <c r="F338" s="36"/>
      <c r="G338" s="42"/>
      <c r="H338" s="34" t="str">
        <f t="shared" si="5"/>
        <v/>
      </c>
      <c r="I338" s="37" t="str">
        <f>IF($A338="","",IF($A338&lt;&gt;'Invoice (print)'!$C$1,"",COUNTIF($A$8:$A338,$A338)))</f>
        <v/>
      </c>
      <c r="J338" s="37" t="str">
        <f>IF($A338="","",IF(COUNTIF(Invoices!$A$8:$A$257,$A338)=0,"Unknown invoice no.",IF($C338="","No description",IF($H338=0,"Amount is 0","OK"))))</f>
        <v/>
      </c>
    </row>
    <row r="339" spans="1:10" ht="16" x14ac:dyDescent="0.2">
      <c r="A339" s="30"/>
      <c r="B339" s="31"/>
      <c r="C339" s="30"/>
      <c r="D339" s="41"/>
      <c r="E339" s="30"/>
      <c r="F339" s="36"/>
      <c r="G339" s="42"/>
      <c r="H339" s="34" t="str">
        <f t="shared" si="5"/>
        <v/>
      </c>
      <c r="I339" s="37" t="str">
        <f>IF($A339="","",IF($A339&lt;&gt;'Invoice (print)'!$C$1,"",COUNTIF($A$8:$A339,$A339)))</f>
        <v/>
      </c>
      <c r="J339" s="37" t="str">
        <f>IF($A339="","",IF(COUNTIF(Invoices!$A$8:$A$257,$A339)=0,"Unknown invoice no.",IF($C339="","No description",IF($H339=0,"Amount is 0","OK"))))</f>
        <v/>
      </c>
    </row>
    <row r="340" spans="1:10" ht="16" x14ac:dyDescent="0.2">
      <c r="A340" s="30"/>
      <c r="B340" s="31"/>
      <c r="C340" s="30"/>
      <c r="D340" s="41"/>
      <c r="E340" s="30"/>
      <c r="F340" s="36"/>
      <c r="G340" s="42"/>
      <c r="H340" s="34" t="str">
        <f t="shared" si="5"/>
        <v/>
      </c>
      <c r="I340" s="37" t="str">
        <f>IF($A340="","",IF($A340&lt;&gt;'Invoice (print)'!$C$1,"",COUNTIF($A$8:$A340,$A340)))</f>
        <v/>
      </c>
      <c r="J340" s="37" t="str">
        <f>IF($A340="","",IF(COUNTIF(Invoices!$A$8:$A$257,$A340)=0,"Unknown invoice no.",IF($C340="","No description",IF($H340=0,"Amount is 0","OK"))))</f>
        <v/>
      </c>
    </row>
    <row r="341" spans="1:10" ht="16" x14ac:dyDescent="0.2">
      <c r="A341" s="30"/>
      <c r="B341" s="31"/>
      <c r="C341" s="30"/>
      <c r="D341" s="41"/>
      <c r="E341" s="30"/>
      <c r="F341" s="36"/>
      <c r="G341" s="42"/>
      <c r="H341" s="34" t="str">
        <f t="shared" si="5"/>
        <v/>
      </c>
      <c r="I341" s="37" t="str">
        <f>IF($A341="","",IF($A341&lt;&gt;'Invoice (print)'!$C$1,"",COUNTIF($A$8:$A341,$A341)))</f>
        <v/>
      </c>
      <c r="J341" s="37" t="str">
        <f>IF($A341="","",IF(COUNTIF(Invoices!$A$8:$A$257,$A341)=0,"Unknown invoice no.",IF($C341="","No description",IF($H341=0,"Amount is 0","OK"))))</f>
        <v/>
      </c>
    </row>
    <row r="342" spans="1:10" ht="16" x14ac:dyDescent="0.2">
      <c r="A342" s="30"/>
      <c r="B342" s="31"/>
      <c r="C342" s="30"/>
      <c r="D342" s="41"/>
      <c r="E342" s="30"/>
      <c r="F342" s="36"/>
      <c r="G342" s="42"/>
      <c r="H342" s="34" t="str">
        <f t="shared" si="5"/>
        <v/>
      </c>
      <c r="I342" s="37" t="str">
        <f>IF($A342="","",IF($A342&lt;&gt;'Invoice (print)'!$C$1,"",COUNTIF($A$8:$A342,$A342)))</f>
        <v/>
      </c>
      <c r="J342" s="37" t="str">
        <f>IF($A342="","",IF(COUNTIF(Invoices!$A$8:$A$257,$A342)=0,"Unknown invoice no.",IF($C342="","No description",IF($H342=0,"Amount is 0","OK"))))</f>
        <v/>
      </c>
    </row>
    <row r="343" spans="1:10" ht="16" x14ac:dyDescent="0.2">
      <c r="A343" s="30"/>
      <c r="B343" s="31"/>
      <c r="C343" s="30"/>
      <c r="D343" s="41"/>
      <c r="E343" s="30"/>
      <c r="F343" s="36"/>
      <c r="G343" s="42"/>
      <c r="H343" s="34" t="str">
        <f t="shared" si="5"/>
        <v/>
      </c>
      <c r="I343" s="37" t="str">
        <f>IF($A343="","",IF($A343&lt;&gt;'Invoice (print)'!$C$1,"",COUNTIF($A$8:$A343,$A343)))</f>
        <v/>
      </c>
      <c r="J343" s="37" t="str">
        <f>IF($A343="","",IF(COUNTIF(Invoices!$A$8:$A$257,$A343)=0,"Unknown invoice no.",IF($C343="","No description",IF($H343=0,"Amount is 0","OK"))))</f>
        <v/>
      </c>
    </row>
    <row r="344" spans="1:10" ht="16" x14ac:dyDescent="0.2">
      <c r="A344" s="30"/>
      <c r="B344" s="31"/>
      <c r="C344" s="30"/>
      <c r="D344" s="41"/>
      <c r="E344" s="30"/>
      <c r="F344" s="36"/>
      <c r="G344" s="42"/>
      <c r="H344" s="34" t="str">
        <f t="shared" si="5"/>
        <v/>
      </c>
      <c r="I344" s="37" t="str">
        <f>IF($A344="","",IF($A344&lt;&gt;'Invoice (print)'!$C$1,"",COUNTIF($A$8:$A344,$A344)))</f>
        <v/>
      </c>
      <c r="J344" s="37" t="str">
        <f>IF($A344="","",IF(COUNTIF(Invoices!$A$8:$A$257,$A344)=0,"Unknown invoice no.",IF($C344="","No description",IF($H344=0,"Amount is 0","OK"))))</f>
        <v/>
      </c>
    </row>
    <row r="345" spans="1:10" ht="16" x14ac:dyDescent="0.2">
      <c r="A345" s="30"/>
      <c r="B345" s="31"/>
      <c r="C345" s="30"/>
      <c r="D345" s="41"/>
      <c r="E345" s="30"/>
      <c r="F345" s="36"/>
      <c r="G345" s="42"/>
      <c r="H345" s="34" t="str">
        <f t="shared" si="5"/>
        <v/>
      </c>
      <c r="I345" s="37" t="str">
        <f>IF($A345="","",IF($A345&lt;&gt;'Invoice (print)'!$C$1,"",COUNTIF($A$8:$A345,$A345)))</f>
        <v/>
      </c>
      <c r="J345" s="37" t="str">
        <f>IF($A345="","",IF(COUNTIF(Invoices!$A$8:$A$257,$A345)=0,"Unknown invoice no.",IF($C345="","No description",IF($H345=0,"Amount is 0","OK"))))</f>
        <v/>
      </c>
    </row>
    <row r="346" spans="1:10" ht="16" x14ac:dyDescent="0.2">
      <c r="A346" s="30"/>
      <c r="B346" s="31"/>
      <c r="C346" s="30"/>
      <c r="D346" s="41"/>
      <c r="E346" s="30"/>
      <c r="F346" s="36"/>
      <c r="G346" s="42"/>
      <c r="H346" s="34" t="str">
        <f t="shared" si="5"/>
        <v/>
      </c>
      <c r="I346" s="37" t="str">
        <f>IF($A346="","",IF($A346&lt;&gt;'Invoice (print)'!$C$1,"",COUNTIF($A$8:$A346,$A346)))</f>
        <v/>
      </c>
      <c r="J346" s="37" t="str">
        <f>IF($A346="","",IF(COUNTIF(Invoices!$A$8:$A$257,$A346)=0,"Unknown invoice no.",IF($C346="","No description",IF($H346=0,"Amount is 0","OK"))))</f>
        <v/>
      </c>
    </row>
    <row r="347" spans="1:10" ht="16" x14ac:dyDescent="0.2">
      <c r="A347" s="30"/>
      <c r="B347" s="31"/>
      <c r="C347" s="30"/>
      <c r="D347" s="41"/>
      <c r="E347" s="30"/>
      <c r="F347" s="36"/>
      <c r="G347" s="42"/>
      <c r="H347" s="34" t="str">
        <f t="shared" si="5"/>
        <v/>
      </c>
      <c r="I347" s="37" t="str">
        <f>IF($A347="","",IF($A347&lt;&gt;'Invoice (print)'!$C$1,"",COUNTIF($A$8:$A347,$A347)))</f>
        <v/>
      </c>
      <c r="J347" s="37" t="str">
        <f>IF($A347="","",IF(COUNTIF(Invoices!$A$8:$A$257,$A347)=0,"Unknown invoice no.",IF($C347="","No description",IF($H347=0,"Amount is 0","OK"))))</f>
        <v/>
      </c>
    </row>
    <row r="348" spans="1:10" ht="16" x14ac:dyDescent="0.2">
      <c r="A348" s="30"/>
      <c r="B348" s="31"/>
      <c r="C348" s="30"/>
      <c r="D348" s="41"/>
      <c r="E348" s="30"/>
      <c r="F348" s="36"/>
      <c r="G348" s="42"/>
      <c r="H348" s="34" t="str">
        <f t="shared" si="5"/>
        <v/>
      </c>
      <c r="I348" s="37" t="str">
        <f>IF($A348="","",IF($A348&lt;&gt;'Invoice (print)'!$C$1,"",COUNTIF($A$8:$A348,$A348)))</f>
        <v/>
      </c>
      <c r="J348" s="37" t="str">
        <f>IF($A348="","",IF(COUNTIF(Invoices!$A$8:$A$257,$A348)=0,"Unknown invoice no.",IF($C348="","No description",IF($H348=0,"Amount is 0","OK"))))</f>
        <v/>
      </c>
    </row>
    <row r="349" spans="1:10" ht="16" x14ac:dyDescent="0.2">
      <c r="A349" s="30"/>
      <c r="B349" s="31"/>
      <c r="C349" s="30"/>
      <c r="D349" s="41"/>
      <c r="E349" s="30"/>
      <c r="F349" s="36"/>
      <c r="G349" s="42"/>
      <c r="H349" s="34" t="str">
        <f t="shared" si="5"/>
        <v/>
      </c>
      <c r="I349" s="37" t="str">
        <f>IF($A349="","",IF($A349&lt;&gt;'Invoice (print)'!$C$1,"",COUNTIF($A$8:$A349,$A349)))</f>
        <v/>
      </c>
      <c r="J349" s="37" t="str">
        <f>IF($A349="","",IF(COUNTIF(Invoices!$A$8:$A$257,$A349)=0,"Unknown invoice no.",IF($C349="","No description",IF($H349=0,"Amount is 0","OK"))))</f>
        <v/>
      </c>
    </row>
    <row r="350" spans="1:10" ht="16" x14ac:dyDescent="0.2">
      <c r="A350" s="30"/>
      <c r="B350" s="31"/>
      <c r="C350" s="30"/>
      <c r="D350" s="41"/>
      <c r="E350" s="30"/>
      <c r="F350" s="36"/>
      <c r="G350" s="42"/>
      <c r="H350" s="34" t="str">
        <f t="shared" si="5"/>
        <v/>
      </c>
      <c r="I350" s="37" t="str">
        <f>IF($A350="","",IF($A350&lt;&gt;'Invoice (print)'!$C$1,"",COUNTIF($A$8:$A350,$A350)))</f>
        <v/>
      </c>
      <c r="J350" s="37" t="str">
        <f>IF($A350="","",IF(COUNTIF(Invoices!$A$8:$A$257,$A350)=0,"Unknown invoice no.",IF($C350="","No description",IF($H350=0,"Amount is 0","OK"))))</f>
        <v/>
      </c>
    </row>
    <row r="351" spans="1:10" ht="16" x14ac:dyDescent="0.2">
      <c r="A351" s="30"/>
      <c r="B351" s="31"/>
      <c r="C351" s="30"/>
      <c r="D351" s="41"/>
      <c r="E351" s="30"/>
      <c r="F351" s="36"/>
      <c r="G351" s="42"/>
      <c r="H351" s="34" t="str">
        <f t="shared" si="5"/>
        <v/>
      </c>
      <c r="I351" s="37" t="str">
        <f>IF($A351="","",IF($A351&lt;&gt;'Invoice (print)'!$C$1,"",COUNTIF($A$8:$A351,$A351)))</f>
        <v/>
      </c>
      <c r="J351" s="37" t="str">
        <f>IF($A351="","",IF(COUNTIF(Invoices!$A$8:$A$257,$A351)=0,"Unknown invoice no.",IF($C351="","No description",IF($H351=0,"Amount is 0","OK"))))</f>
        <v/>
      </c>
    </row>
    <row r="352" spans="1:10" ht="16" x14ac:dyDescent="0.2">
      <c r="A352" s="30"/>
      <c r="B352" s="31"/>
      <c r="C352" s="30"/>
      <c r="D352" s="41"/>
      <c r="E352" s="30"/>
      <c r="F352" s="36"/>
      <c r="G352" s="42"/>
      <c r="H352" s="34" t="str">
        <f t="shared" si="5"/>
        <v/>
      </c>
      <c r="I352" s="37" t="str">
        <f>IF($A352="","",IF($A352&lt;&gt;'Invoice (print)'!$C$1,"",COUNTIF($A$8:$A352,$A352)))</f>
        <v/>
      </c>
      <c r="J352" s="37" t="str">
        <f>IF($A352="","",IF(COUNTIF(Invoices!$A$8:$A$257,$A352)=0,"Unknown invoice no.",IF($C352="","No description",IF($H352=0,"Amount is 0","OK"))))</f>
        <v/>
      </c>
    </row>
    <row r="353" spans="1:10" ht="16" x14ac:dyDescent="0.2">
      <c r="A353" s="30"/>
      <c r="B353" s="31"/>
      <c r="C353" s="30"/>
      <c r="D353" s="41"/>
      <c r="E353" s="30"/>
      <c r="F353" s="36"/>
      <c r="G353" s="42"/>
      <c r="H353" s="34" t="str">
        <f t="shared" si="5"/>
        <v/>
      </c>
      <c r="I353" s="37" t="str">
        <f>IF($A353="","",IF($A353&lt;&gt;'Invoice (print)'!$C$1,"",COUNTIF($A$8:$A353,$A353)))</f>
        <v/>
      </c>
      <c r="J353" s="37" t="str">
        <f>IF($A353="","",IF(COUNTIF(Invoices!$A$8:$A$257,$A353)=0,"Unknown invoice no.",IF($C353="","No description",IF($H353=0,"Amount is 0","OK"))))</f>
        <v/>
      </c>
    </row>
    <row r="354" spans="1:10" ht="16" x14ac:dyDescent="0.2">
      <c r="A354" s="30"/>
      <c r="B354" s="31"/>
      <c r="C354" s="30"/>
      <c r="D354" s="41"/>
      <c r="E354" s="30"/>
      <c r="F354" s="36"/>
      <c r="G354" s="42"/>
      <c r="H354" s="34" t="str">
        <f t="shared" si="5"/>
        <v/>
      </c>
      <c r="I354" s="37" t="str">
        <f>IF($A354="","",IF($A354&lt;&gt;'Invoice (print)'!$C$1,"",COUNTIF($A$8:$A354,$A354)))</f>
        <v/>
      </c>
      <c r="J354" s="37" t="str">
        <f>IF($A354="","",IF(COUNTIF(Invoices!$A$8:$A$257,$A354)=0,"Unknown invoice no.",IF($C354="","No description",IF($H354=0,"Amount is 0","OK"))))</f>
        <v/>
      </c>
    </row>
    <row r="355" spans="1:10" ht="16" x14ac:dyDescent="0.2">
      <c r="A355" s="30"/>
      <c r="B355" s="31"/>
      <c r="C355" s="30"/>
      <c r="D355" s="41"/>
      <c r="E355" s="30"/>
      <c r="F355" s="36"/>
      <c r="G355" s="42"/>
      <c r="H355" s="34" t="str">
        <f t="shared" si="5"/>
        <v/>
      </c>
      <c r="I355" s="37" t="str">
        <f>IF($A355="","",IF($A355&lt;&gt;'Invoice (print)'!$C$1,"",COUNTIF($A$8:$A355,$A355)))</f>
        <v/>
      </c>
      <c r="J355" s="37" t="str">
        <f>IF($A355="","",IF(COUNTIF(Invoices!$A$8:$A$257,$A355)=0,"Unknown invoice no.",IF($C355="","No description",IF($H355=0,"Amount is 0","OK"))))</f>
        <v/>
      </c>
    </row>
    <row r="356" spans="1:10" ht="16" x14ac:dyDescent="0.2">
      <c r="A356" s="30"/>
      <c r="B356" s="31"/>
      <c r="C356" s="30"/>
      <c r="D356" s="41"/>
      <c r="E356" s="30"/>
      <c r="F356" s="36"/>
      <c r="G356" s="42"/>
      <c r="H356" s="34" t="str">
        <f t="shared" si="5"/>
        <v/>
      </c>
      <c r="I356" s="37" t="str">
        <f>IF($A356="","",IF($A356&lt;&gt;'Invoice (print)'!$C$1,"",COUNTIF($A$8:$A356,$A356)))</f>
        <v/>
      </c>
      <c r="J356" s="37" t="str">
        <f>IF($A356="","",IF(COUNTIF(Invoices!$A$8:$A$257,$A356)=0,"Unknown invoice no.",IF($C356="","No description",IF($H356=0,"Amount is 0","OK"))))</f>
        <v/>
      </c>
    </row>
    <row r="357" spans="1:10" ht="16" x14ac:dyDescent="0.2">
      <c r="A357" s="30"/>
      <c r="B357" s="31"/>
      <c r="C357" s="30"/>
      <c r="D357" s="41"/>
      <c r="E357" s="30"/>
      <c r="F357" s="36"/>
      <c r="G357" s="42"/>
      <c r="H357" s="34" t="str">
        <f t="shared" si="5"/>
        <v/>
      </c>
      <c r="I357" s="37" t="str">
        <f>IF($A357="","",IF($A357&lt;&gt;'Invoice (print)'!$C$1,"",COUNTIF($A$8:$A357,$A357)))</f>
        <v/>
      </c>
      <c r="J357" s="37" t="str">
        <f>IF($A357="","",IF(COUNTIF(Invoices!$A$8:$A$257,$A357)=0,"Unknown invoice no.",IF($C357="","No description",IF($H357=0,"Amount is 0","OK"))))</f>
        <v/>
      </c>
    </row>
    <row r="358" spans="1:10" ht="16" x14ac:dyDescent="0.2">
      <c r="A358" s="30"/>
      <c r="B358" s="31"/>
      <c r="C358" s="30"/>
      <c r="D358" s="41"/>
      <c r="E358" s="30"/>
      <c r="F358" s="36"/>
      <c r="G358" s="42"/>
      <c r="H358" s="34" t="str">
        <f t="shared" si="5"/>
        <v/>
      </c>
      <c r="I358" s="37" t="str">
        <f>IF($A358="","",IF($A358&lt;&gt;'Invoice (print)'!$C$1,"",COUNTIF($A$8:$A358,$A358)))</f>
        <v/>
      </c>
      <c r="J358" s="37" t="str">
        <f>IF($A358="","",IF(COUNTIF(Invoices!$A$8:$A$257,$A358)=0,"Unknown invoice no.",IF($C358="","No description",IF($H358=0,"Amount is 0","OK"))))</f>
        <v/>
      </c>
    </row>
    <row r="359" spans="1:10" ht="16" x14ac:dyDescent="0.2">
      <c r="A359" s="30"/>
      <c r="B359" s="31"/>
      <c r="C359" s="30"/>
      <c r="D359" s="41"/>
      <c r="E359" s="30"/>
      <c r="F359" s="36"/>
      <c r="G359" s="42"/>
      <c r="H359" s="34" t="str">
        <f t="shared" si="5"/>
        <v/>
      </c>
      <c r="I359" s="37" t="str">
        <f>IF($A359="","",IF($A359&lt;&gt;'Invoice (print)'!$C$1,"",COUNTIF($A$8:$A359,$A359)))</f>
        <v/>
      </c>
      <c r="J359" s="37" t="str">
        <f>IF($A359="","",IF(COUNTIF(Invoices!$A$8:$A$257,$A359)=0,"Unknown invoice no.",IF($C359="","No description",IF($H359=0,"Amount is 0","OK"))))</f>
        <v/>
      </c>
    </row>
    <row r="360" spans="1:10" ht="16" x14ac:dyDescent="0.2">
      <c r="A360" s="30"/>
      <c r="B360" s="31"/>
      <c r="C360" s="30"/>
      <c r="D360" s="41"/>
      <c r="E360" s="30"/>
      <c r="F360" s="36"/>
      <c r="G360" s="42"/>
      <c r="H360" s="34" t="str">
        <f t="shared" si="5"/>
        <v/>
      </c>
      <c r="I360" s="37" t="str">
        <f>IF($A360="","",IF($A360&lt;&gt;'Invoice (print)'!$C$1,"",COUNTIF($A$8:$A360,$A360)))</f>
        <v/>
      </c>
      <c r="J360" s="37" t="str">
        <f>IF($A360="","",IF(COUNTIF(Invoices!$A$8:$A$257,$A360)=0,"Unknown invoice no.",IF($C360="","No description",IF($H360=0,"Amount is 0","OK"))))</f>
        <v/>
      </c>
    </row>
    <row r="361" spans="1:10" ht="16" x14ac:dyDescent="0.2">
      <c r="A361" s="30"/>
      <c r="B361" s="31"/>
      <c r="C361" s="30"/>
      <c r="D361" s="41"/>
      <c r="E361" s="30"/>
      <c r="F361" s="36"/>
      <c r="G361" s="42"/>
      <c r="H361" s="34" t="str">
        <f t="shared" si="5"/>
        <v/>
      </c>
      <c r="I361" s="37" t="str">
        <f>IF($A361="","",IF($A361&lt;&gt;'Invoice (print)'!$C$1,"",COUNTIF($A$8:$A361,$A361)))</f>
        <v/>
      </c>
      <c r="J361" s="37" t="str">
        <f>IF($A361="","",IF(COUNTIF(Invoices!$A$8:$A$257,$A361)=0,"Unknown invoice no.",IF($C361="","No description",IF($H361=0,"Amount is 0","OK"))))</f>
        <v/>
      </c>
    </row>
    <row r="362" spans="1:10" ht="16" x14ac:dyDescent="0.2">
      <c r="A362" s="30"/>
      <c r="B362" s="31"/>
      <c r="C362" s="30"/>
      <c r="D362" s="41"/>
      <c r="E362" s="30"/>
      <c r="F362" s="36"/>
      <c r="G362" s="42"/>
      <c r="H362" s="34" t="str">
        <f t="shared" si="5"/>
        <v/>
      </c>
      <c r="I362" s="37" t="str">
        <f>IF($A362="","",IF($A362&lt;&gt;'Invoice (print)'!$C$1,"",COUNTIF($A$8:$A362,$A362)))</f>
        <v/>
      </c>
      <c r="J362" s="37" t="str">
        <f>IF($A362="","",IF(COUNTIF(Invoices!$A$8:$A$257,$A362)=0,"Unknown invoice no.",IF($C362="","No description",IF($H362=0,"Amount is 0","OK"))))</f>
        <v/>
      </c>
    </row>
    <row r="363" spans="1:10" ht="16" x14ac:dyDescent="0.2">
      <c r="A363" s="30"/>
      <c r="B363" s="31"/>
      <c r="C363" s="30"/>
      <c r="D363" s="41"/>
      <c r="E363" s="30"/>
      <c r="F363" s="36"/>
      <c r="G363" s="42"/>
      <c r="H363" s="34" t="str">
        <f t="shared" si="5"/>
        <v/>
      </c>
      <c r="I363" s="37" t="str">
        <f>IF($A363="","",IF($A363&lt;&gt;'Invoice (print)'!$C$1,"",COUNTIF($A$8:$A363,$A363)))</f>
        <v/>
      </c>
      <c r="J363" s="37" t="str">
        <f>IF($A363="","",IF(COUNTIF(Invoices!$A$8:$A$257,$A363)=0,"Unknown invoice no.",IF($C363="","No description",IF($H363=0,"Amount is 0","OK"))))</f>
        <v/>
      </c>
    </row>
    <row r="364" spans="1:10" ht="16" x14ac:dyDescent="0.2">
      <c r="A364" s="30"/>
      <c r="B364" s="31"/>
      <c r="C364" s="30"/>
      <c r="D364" s="41"/>
      <c r="E364" s="30"/>
      <c r="F364" s="36"/>
      <c r="G364" s="42"/>
      <c r="H364" s="34" t="str">
        <f t="shared" si="5"/>
        <v/>
      </c>
      <c r="I364" s="37" t="str">
        <f>IF($A364="","",IF($A364&lt;&gt;'Invoice (print)'!$C$1,"",COUNTIF($A$8:$A364,$A364)))</f>
        <v/>
      </c>
      <c r="J364" s="37" t="str">
        <f>IF($A364="","",IF(COUNTIF(Invoices!$A$8:$A$257,$A364)=0,"Unknown invoice no.",IF($C364="","No description",IF($H364=0,"Amount is 0","OK"))))</f>
        <v/>
      </c>
    </row>
    <row r="365" spans="1:10" ht="16" x14ac:dyDescent="0.2">
      <c r="A365" s="30"/>
      <c r="B365" s="31"/>
      <c r="C365" s="30"/>
      <c r="D365" s="41"/>
      <c r="E365" s="30"/>
      <c r="F365" s="36"/>
      <c r="G365" s="42"/>
      <c r="H365" s="34" t="str">
        <f t="shared" si="5"/>
        <v/>
      </c>
      <c r="I365" s="37" t="str">
        <f>IF($A365="","",IF($A365&lt;&gt;'Invoice (print)'!$C$1,"",COUNTIF($A$8:$A365,$A365)))</f>
        <v/>
      </c>
      <c r="J365" s="37" t="str">
        <f>IF($A365="","",IF(COUNTIF(Invoices!$A$8:$A$257,$A365)=0,"Unknown invoice no.",IF($C365="","No description",IF($H365=0,"Amount is 0","OK"))))</f>
        <v/>
      </c>
    </row>
    <row r="366" spans="1:10" ht="16" x14ac:dyDescent="0.2">
      <c r="A366" s="30"/>
      <c r="B366" s="31"/>
      <c r="C366" s="30"/>
      <c r="D366" s="41"/>
      <c r="E366" s="30"/>
      <c r="F366" s="36"/>
      <c r="G366" s="42"/>
      <c r="H366" s="34" t="str">
        <f t="shared" si="5"/>
        <v/>
      </c>
      <c r="I366" s="37" t="str">
        <f>IF($A366="","",IF($A366&lt;&gt;'Invoice (print)'!$C$1,"",COUNTIF($A$8:$A366,$A366)))</f>
        <v/>
      </c>
      <c r="J366" s="37" t="str">
        <f>IF($A366="","",IF(COUNTIF(Invoices!$A$8:$A$257,$A366)=0,"Unknown invoice no.",IF($C366="","No description",IF($H366=0,"Amount is 0","OK"))))</f>
        <v/>
      </c>
    </row>
    <row r="367" spans="1:10" ht="16" x14ac:dyDescent="0.2">
      <c r="A367" s="30"/>
      <c r="B367" s="31"/>
      <c r="C367" s="30"/>
      <c r="D367" s="41"/>
      <c r="E367" s="30"/>
      <c r="F367" s="36"/>
      <c r="G367" s="42"/>
      <c r="H367" s="34" t="str">
        <f t="shared" si="5"/>
        <v/>
      </c>
      <c r="I367" s="37" t="str">
        <f>IF($A367="","",IF($A367&lt;&gt;'Invoice (print)'!$C$1,"",COUNTIF($A$8:$A367,$A367)))</f>
        <v/>
      </c>
      <c r="J367" s="37" t="str">
        <f>IF($A367="","",IF(COUNTIF(Invoices!$A$8:$A$257,$A367)=0,"Unknown invoice no.",IF($C367="","No description",IF($H367=0,"Amount is 0","OK"))))</f>
        <v/>
      </c>
    </row>
    <row r="368" spans="1:10" ht="16" x14ac:dyDescent="0.2">
      <c r="A368" s="30"/>
      <c r="B368" s="31"/>
      <c r="C368" s="30"/>
      <c r="D368" s="41"/>
      <c r="E368" s="30"/>
      <c r="F368" s="36"/>
      <c r="G368" s="42"/>
      <c r="H368" s="34" t="str">
        <f t="shared" si="5"/>
        <v/>
      </c>
      <c r="I368" s="37" t="str">
        <f>IF($A368="","",IF($A368&lt;&gt;'Invoice (print)'!$C$1,"",COUNTIF($A$8:$A368,$A368)))</f>
        <v/>
      </c>
      <c r="J368" s="37" t="str">
        <f>IF($A368="","",IF(COUNTIF(Invoices!$A$8:$A$257,$A368)=0,"Unknown invoice no.",IF($C368="","No description",IF($H368=0,"Amount is 0","OK"))))</f>
        <v/>
      </c>
    </row>
    <row r="369" spans="1:10" ht="16" x14ac:dyDescent="0.2">
      <c r="A369" s="30"/>
      <c r="B369" s="31"/>
      <c r="C369" s="30"/>
      <c r="D369" s="41"/>
      <c r="E369" s="30"/>
      <c r="F369" s="36"/>
      <c r="G369" s="42"/>
      <c r="H369" s="34" t="str">
        <f t="shared" si="5"/>
        <v/>
      </c>
      <c r="I369" s="37" t="str">
        <f>IF($A369="","",IF($A369&lt;&gt;'Invoice (print)'!$C$1,"",COUNTIF($A$8:$A369,$A369)))</f>
        <v/>
      </c>
      <c r="J369" s="37" t="str">
        <f>IF($A369="","",IF(COUNTIF(Invoices!$A$8:$A$257,$A369)=0,"Unknown invoice no.",IF($C369="","No description",IF($H369=0,"Amount is 0","OK"))))</f>
        <v/>
      </c>
    </row>
    <row r="370" spans="1:10" ht="16" x14ac:dyDescent="0.2">
      <c r="A370" s="30"/>
      <c r="B370" s="31"/>
      <c r="C370" s="30"/>
      <c r="D370" s="41"/>
      <c r="E370" s="30"/>
      <c r="F370" s="36"/>
      <c r="G370" s="42"/>
      <c r="H370" s="34" t="str">
        <f t="shared" si="5"/>
        <v/>
      </c>
      <c r="I370" s="37" t="str">
        <f>IF($A370="","",IF($A370&lt;&gt;'Invoice (print)'!$C$1,"",COUNTIF($A$8:$A370,$A370)))</f>
        <v/>
      </c>
      <c r="J370" s="37" t="str">
        <f>IF($A370="","",IF(COUNTIF(Invoices!$A$8:$A$257,$A370)=0,"Unknown invoice no.",IF($C370="","No description",IF($H370=0,"Amount is 0","OK"))))</f>
        <v/>
      </c>
    </row>
    <row r="371" spans="1:10" ht="16" x14ac:dyDescent="0.2">
      <c r="A371" s="30"/>
      <c r="B371" s="31"/>
      <c r="C371" s="30"/>
      <c r="D371" s="41"/>
      <c r="E371" s="30"/>
      <c r="F371" s="36"/>
      <c r="G371" s="42"/>
      <c r="H371" s="34" t="str">
        <f t="shared" si="5"/>
        <v/>
      </c>
      <c r="I371" s="37" t="str">
        <f>IF($A371="","",IF($A371&lt;&gt;'Invoice (print)'!$C$1,"",COUNTIF($A$8:$A371,$A371)))</f>
        <v/>
      </c>
      <c r="J371" s="37" t="str">
        <f>IF($A371="","",IF(COUNTIF(Invoices!$A$8:$A$257,$A371)=0,"Unknown invoice no.",IF($C371="","No description",IF($H371=0,"Amount is 0","OK"))))</f>
        <v/>
      </c>
    </row>
    <row r="372" spans="1:10" ht="16" x14ac:dyDescent="0.2">
      <c r="A372" s="30"/>
      <c r="B372" s="31"/>
      <c r="C372" s="30"/>
      <c r="D372" s="41"/>
      <c r="E372" s="30"/>
      <c r="F372" s="36"/>
      <c r="G372" s="42"/>
      <c r="H372" s="34" t="str">
        <f t="shared" si="5"/>
        <v/>
      </c>
      <c r="I372" s="37" t="str">
        <f>IF($A372="","",IF($A372&lt;&gt;'Invoice (print)'!$C$1,"",COUNTIF($A$8:$A372,$A372)))</f>
        <v/>
      </c>
      <c r="J372" s="37" t="str">
        <f>IF($A372="","",IF(COUNTIF(Invoices!$A$8:$A$257,$A372)=0,"Unknown invoice no.",IF($C372="","No description",IF($H372=0,"Amount is 0","OK"))))</f>
        <v/>
      </c>
    </row>
    <row r="373" spans="1:10" ht="16" x14ac:dyDescent="0.2">
      <c r="A373" s="30"/>
      <c r="B373" s="31"/>
      <c r="C373" s="30"/>
      <c r="D373" s="41"/>
      <c r="E373" s="30"/>
      <c r="F373" s="36"/>
      <c r="G373" s="42"/>
      <c r="H373" s="34" t="str">
        <f t="shared" si="5"/>
        <v/>
      </c>
      <c r="I373" s="37" t="str">
        <f>IF($A373="","",IF($A373&lt;&gt;'Invoice (print)'!$C$1,"",COUNTIF($A$8:$A373,$A373)))</f>
        <v/>
      </c>
      <c r="J373" s="37" t="str">
        <f>IF($A373="","",IF(COUNTIF(Invoices!$A$8:$A$257,$A373)=0,"Unknown invoice no.",IF($C373="","No description",IF($H373=0,"Amount is 0","OK"))))</f>
        <v/>
      </c>
    </row>
    <row r="374" spans="1:10" ht="16" x14ac:dyDescent="0.2">
      <c r="A374" s="30"/>
      <c r="B374" s="31"/>
      <c r="C374" s="30"/>
      <c r="D374" s="41"/>
      <c r="E374" s="30"/>
      <c r="F374" s="36"/>
      <c r="G374" s="42"/>
      <c r="H374" s="34" t="str">
        <f t="shared" si="5"/>
        <v/>
      </c>
      <c r="I374" s="37" t="str">
        <f>IF($A374="","",IF($A374&lt;&gt;'Invoice (print)'!$C$1,"",COUNTIF($A$8:$A374,$A374)))</f>
        <v/>
      </c>
      <c r="J374" s="37" t="str">
        <f>IF($A374="","",IF(COUNTIF(Invoices!$A$8:$A$257,$A374)=0,"Unknown invoice no.",IF($C374="","No description",IF($H374=0,"Amount is 0","OK"))))</f>
        <v/>
      </c>
    </row>
    <row r="375" spans="1:10" ht="16" x14ac:dyDescent="0.2">
      <c r="A375" s="30"/>
      <c r="B375" s="31"/>
      <c r="C375" s="30"/>
      <c r="D375" s="41"/>
      <c r="E375" s="30"/>
      <c r="F375" s="36"/>
      <c r="G375" s="42"/>
      <c r="H375" s="34" t="str">
        <f t="shared" si="5"/>
        <v/>
      </c>
      <c r="I375" s="37" t="str">
        <f>IF($A375="","",IF($A375&lt;&gt;'Invoice (print)'!$C$1,"",COUNTIF($A$8:$A375,$A375)))</f>
        <v/>
      </c>
      <c r="J375" s="37" t="str">
        <f>IF($A375="","",IF(COUNTIF(Invoices!$A$8:$A$257,$A375)=0,"Unknown invoice no.",IF($C375="","No description",IF($H375=0,"Amount is 0","OK"))))</f>
        <v/>
      </c>
    </row>
    <row r="376" spans="1:10" ht="16" x14ac:dyDescent="0.2">
      <c r="A376" s="30"/>
      <c r="B376" s="31"/>
      <c r="C376" s="30"/>
      <c r="D376" s="41"/>
      <c r="E376" s="30"/>
      <c r="F376" s="36"/>
      <c r="G376" s="42"/>
      <c r="H376" s="34" t="str">
        <f t="shared" si="5"/>
        <v/>
      </c>
      <c r="I376" s="37" t="str">
        <f>IF($A376="","",IF($A376&lt;&gt;'Invoice (print)'!$C$1,"",COUNTIF($A$8:$A376,$A376)))</f>
        <v/>
      </c>
      <c r="J376" s="37" t="str">
        <f>IF($A376="","",IF(COUNTIF(Invoices!$A$8:$A$257,$A376)=0,"Unknown invoice no.",IF($C376="","No description",IF($H376=0,"Amount is 0","OK"))))</f>
        <v/>
      </c>
    </row>
    <row r="377" spans="1:10" ht="16" x14ac:dyDescent="0.2">
      <c r="A377" s="30"/>
      <c r="B377" s="31"/>
      <c r="C377" s="30"/>
      <c r="D377" s="41"/>
      <c r="E377" s="30"/>
      <c r="F377" s="36"/>
      <c r="G377" s="42"/>
      <c r="H377" s="34" t="str">
        <f t="shared" si="5"/>
        <v/>
      </c>
      <c r="I377" s="37" t="str">
        <f>IF($A377="","",IF($A377&lt;&gt;'Invoice (print)'!$C$1,"",COUNTIF($A$8:$A377,$A377)))</f>
        <v/>
      </c>
      <c r="J377" s="37" t="str">
        <f>IF($A377="","",IF(COUNTIF(Invoices!$A$8:$A$257,$A377)=0,"Unknown invoice no.",IF($C377="","No description",IF($H377=0,"Amount is 0","OK"))))</f>
        <v/>
      </c>
    </row>
    <row r="378" spans="1:10" ht="16" x14ac:dyDescent="0.2">
      <c r="A378" s="30"/>
      <c r="B378" s="31"/>
      <c r="C378" s="30"/>
      <c r="D378" s="41"/>
      <c r="E378" s="30"/>
      <c r="F378" s="36"/>
      <c r="G378" s="42"/>
      <c r="H378" s="34" t="str">
        <f t="shared" si="5"/>
        <v/>
      </c>
      <c r="I378" s="37" t="str">
        <f>IF($A378="","",IF($A378&lt;&gt;'Invoice (print)'!$C$1,"",COUNTIF($A$8:$A378,$A378)))</f>
        <v/>
      </c>
      <c r="J378" s="37" t="str">
        <f>IF($A378="","",IF(COUNTIF(Invoices!$A$8:$A$257,$A378)=0,"Unknown invoice no.",IF($C378="","No description",IF($H378=0,"Amount is 0","OK"))))</f>
        <v/>
      </c>
    </row>
    <row r="379" spans="1:10" ht="16" x14ac:dyDescent="0.2">
      <c r="A379" s="30"/>
      <c r="B379" s="31"/>
      <c r="C379" s="30"/>
      <c r="D379" s="41"/>
      <c r="E379" s="30"/>
      <c r="F379" s="36"/>
      <c r="G379" s="42"/>
      <c r="H379" s="34" t="str">
        <f t="shared" si="5"/>
        <v/>
      </c>
      <c r="I379" s="37" t="str">
        <f>IF($A379="","",IF($A379&lt;&gt;'Invoice (print)'!$C$1,"",COUNTIF($A$8:$A379,$A379)))</f>
        <v/>
      </c>
      <c r="J379" s="37" t="str">
        <f>IF($A379="","",IF(COUNTIF(Invoices!$A$8:$A$257,$A379)=0,"Unknown invoice no.",IF($C379="","No description",IF($H379=0,"Amount is 0","OK"))))</f>
        <v/>
      </c>
    </row>
    <row r="380" spans="1:10" ht="16" x14ac:dyDescent="0.2">
      <c r="A380" s="30"/>
      <c r="B380" s="31"/>
      <c r="C380" s="30"/>
      <c r="D380" s="41"/>
      <c r="E380" s="30"/>
      <c r="F380" s="36"/>
      <c r="G380" s="42"/>
      <c r="H380" s="34" t="str">
        <f t="shared" si="5"/>
        <v/>
      </c>
      <c r="I380" s="37" t="str">
        <f>IF($A380="","",IF($A380&lt;&gt;'Invoice (print)'!$C$1,"",COUNTIF($A$8:$A380,$A380)))</f>
        <v/>
      </c>
      <c r="J380" s="37" t="str">
        <f>IF($A380="","",IF(COUNTIF(Invoices!$A$8:$A$257,$A380)=0,"Unknown invoice no.",IF($C380="","No description",IF($H380=0,"Amount is 0","OK"))))</f>
        <v/>
      </c>
    </row>
    <row r="381" spans="1:10" ht="16" x14ac:dyDescent="0.2">
      <c r="A381" s="30"/>
      <c r="B381" s="31"/>
      <c r="C381" s="30"/>
      <c r="D381" s="41"/>
      <c r="E381" s="30"/>
      <c r="F381" s="36"/>
      <c r="G381" s="42"/>
      <c r="H381" s="34" t="str">
        <f t="shared" si="5"/>
        <v/>
      </c>
      <c r="I381" s="37" t="str">
        <f>IF($A381="","",IF($A381&lt;&gt;'Invoice (print)'!$C$1,"",COUNTIF($A$8:$A381,$A381)))</f>
        <v/>
      </c>
      <c r="J381" s="37" t="str">
        <f>IF($A381="","",IF(COUNTIF(Invoices!$A$8:$A$257,$A381)=0,"Unknown invoice no.",IF($C381="","No description",IF($H381=0,"Amount is 0","OK"))))</f>
        <v/>
      </c>
    </row>
    <row r="382" spans="1:10" ht="16" x14ac:dyDescent="0.2">
      <c r="A382" s="30"/>
      <c r="B382" s="31"/>
      <c r="C382" s="30"/>
      <c r="D382" s="41"/>
      <c r="E382" s="30"/>
      <c r="F382" s="36"/>
      <c r="G382" s="42"/>
      <c r="H382" s="34" t="str">
        <f t="shared" si="5"/>
        <v/>
      </c>
      <c r="I382" s="37" t="str">
        <f>IF($A382="","",IF($A382&lt;&gt;'Invoice (print)'!$C$1,"",COUNTIF($A$8:$A382,$A382)))</f>
        <v/>
      </c>
      <c r="J382" s="37" t="str">
        <f>IF($A382="","",IF(COUNTIF(Invoices!$A$8:$A$257,$A382)=0,"Unknown invoice no.",IF($C382="","No description",IF($H382=0,"Amount is 0","OK"))))</f>
        <v/>
      </c>
    </row>
    <row r="383" spans="1:10" ht="16" x14ac:dyDescent="0.2">
      <c r="A383" s="30"/>
      <c r="B383" s="31"/>
      <c r="C383" s="30"/>
      <c r="D383" s="41"/>
      <c r="E383" s="30"/>
      <c r="F383" s="36"/>
      <c r="G383" s="42"/>
      <c r="H383" s="34" t="str">
        <f t="shared" si="5"/>
        <v/>
      </c>
      <c r="I383" s="37" t="str">
        <f>IF($A383="","",IF($A383&lt;&gt;'Invoice (print)'!$C$1,"",COUNTIF($A$8:$A383,$A383)))</f>
        <v/>
      </c>
      <c r="J383" s="37" t="str">
        <f>IF($A383="","",IF(COUNTIF(Invoices!$A$8:$A$257,$A383)=0,"Unknown invoice no.",IF($C383="","No description",IF($H383=0,"Amount is 0","OK"))))</f>
        <v/>
      </c>
    </row>
    <row r="384" spans="1:10" ht="16" x14ac:dyDescent="0.2">
      <c r="A384" s="30"/>
      <c r="B384" s="31"/>
      <c r="C384" s="30"/>
      <c r="D384" s="41"/>
      <c r="E384" s="30"/>
      <c r="F384" s="36"/>
      <c r="G384" s="42"/>
      <c r="H384" s="34" t="str">
        <f t="shared" si="5"/>
        <v/>
      </c>
      <c r="I384" s="37" t="str">
        <f>IF($A384="","",IF($A384&lt;&gt;'Invoice (print)'!$C$1,"",COUNTIF($A$8:$A384,$A384)))</f>
        <v/>
      </c>
      <c r="J384" s="37" t="str">
        <f>IF($A384="","",IF(COUNTIF(Invoices!$A$8:$A$257,$A384)=0,"Unknown invoice no.",IF($C384="","No description",IF($H384=0,"Amount is 0","OK"))))</f>
        <v/>
      </c>
    </row>
    <row r="385" spans="1:10" ht="16" x14ac:dyDescent="0.2">
      <c r="A385" s="30"/>
      <c r="B385" s="31"/>
      <c r="C385" s="30"/>
      <c r="D385" s="41"/>
      <c r="E385" s="30"/>
      <c r="F385" s="36"/>
      <c r="G385" s="42"/>
      <c r="H385" s="34" t="str">
        <f t="shared" si="5"/>
        <v/>
      </c>
      <c r="I385" s="37" t="str">
        <f>IF($A385="","",IF($A385&lt;&gt;'Invoice (print)'!$C$1,"",COUNTIF($A$8:$A385,$A385)))</f>
        <v/>
      </c>
      <c r="J385" s="37" t="str">
        <f>IF($A385="","",IF(COUNTIF(Invoices!$A$8:$A$257,$A385)=0,"Unknown invoice no.",IF($C385="","No description",IF($H385=0,"Amount is 0","OK"))))</f>
        <v/>
      </c>
    </row>
    <row r="386" spans="1:10" ht="16" x14ac:dyDescent="0.2">
      <c r="A386" s="30"/>
      <c r="B386" s="31"/>
      <c r="C386" s="30"/>
      <c r="D386" s="41"/>
      <c r="E386" s="30"/>
      <c r="F386" s="36"/>
      <c r="G386" s="42"/>
      <c r="H386" s="34" t="str">
        <f t="shared" si="5"/>
        <v/>
      </c>
      <c r="I386" s="37" t="str">
        <f>IF($A386="","",IF($A386&lt;&gt;'Invoice (print)'!$C$1,"",COUNTIF($A$8:$A386,$A386)))</f>
        <v/>
      </c>
      <c r="J386" s="37" t="str">
        <f>IF($A386="","",IF(COUNTIF(Invoices!$A$8:$A$257,$A386)=0,"Unknown invoice no.",IF($C386="","No description",IF($H386=0,"Amount is 0","OK"))))</f>
        <v/>
      </c>
    </row>
    <row r="387" spans="1:10" ht="16" x14ac:dyDescent="0.2">
      <c r="A387" s="30"/>
      <c r="B387" s="31"/>
      <c r="C387" s="30"/>
      <c r="D387" s="41"/>
      <c r="E387" s="30"/>
      <c r="F387" s="36"/>
      <c r="G387" s="42"/>
      <c r="H387" s="34" t="str">
        <f t="shared" si="5"/>
        <v/>
      </c>
      <c r="I387" s="37" t="str">
        <f>IF($A387="","",IF($A387&lt;&gt;'Invoice (print)'!$C$1,"",COUNTIF($A$8:$A387,$A387)))</f>
        <v/>
      </c>
      <c r="J387" s="37" t="str">
        <f>IF($A387="","",IF(COUNTIF(Invoices!$A$8:$A$257,$A387)=0,"Unknown invoice no.",IF($C387="","No description",IF($H387=0,"Amount is 0","OK"))))</f>
        <v/>
      </c>
    </row>
    <row r="388" spans="1:10" ht="16" x14ac:dyDescent="0.2">
      <c r="A388" s="30"/>
      <c r="B388" s="31"/>
      <c r="C388" s="30"/>
      <c r="D388" s="41"/>
      <c r="E388" s="30"/>
      <c r="F388" s="36"/>
      <c r="G388" s="42"/>
      <c r="H388" s="34" t="str">
        <f t="shared" si="5"/>
        <v/>
      </c>
      <c r="I388" s="37" t="str">
        <f>IF($A388="","",IF($A388&lt;&gt;'Invoice (print)'!$C$1,"",COUNTIF($A$8:$A388,$A388)))</f>
        <v/>
      </c>
      <c r="J388" s="37" t="str">
        <f>IF($A388="","",IF(COUNTIF(Invoices!$A$8:$A$257,$A388)=0,"Unknown invoice no.",IF($C388="","No description",IF($H388=0,"Amount is 0","OK"))))</f>
        <v/>
      </c>
    </row>
    <row r="389" spans="1:10" ht="16" x14ac:dyDescent="0.2">
      <c r="A389" s="30"/>
      <c r="B389" s="31"/>
      <c r="C389" s="30"/>
      <c r="D389" s="41"/>
      <c r="E389" s="30"/>
      <c r="F389" s="36"/>
      <c r="G389" s="42"/>
      <c r="H389" s="34" t="str">
        <f t="shared" si="5"/>
        <v/>
      </c>
      <c r="I389" s="37" t="str">
        <f>IF($A389="","",IF($A389&lt;&gt;'Invoice (print)'!$C$1,"",COUNTIF($A$8:$A389,$A389)))</f>
        <v/>
      </c>
      <c r="J389" s="37" t="str">
        <f>IF($A389="","",IF(COUNTIF(Invoices!$A$8:$A$257,$A389)=0,"Unknown invoice no.",IF($C389="","No description",IF($H389=0,"Amount is 0","OK"))))</f>
        <v/>
      </c>
    </row>
    <row r="390" spans="1:10" ht="16" x14ac:dyDescent="0.2">
      <c r="A390" s="30"/>
      <c r="B390" s="31"/>
      <c r="C390" s="30"/>
      <c r="D390" s="41"/>
      <c r="E390" s="30"/>
      <c r="F390" s="36"/>
      <c r="G390" s="42"/>
      <c r="H390" s="34" t="str">
        <f t="shared" si="5"/>
        <v/>
      </c>
      <c r="I390" s="37" t="str">
        <f>IF($A390="","",IF($A390&lt;&gt;'Invoice (print)'!$C$1,"",COUNTIF($A$8:$A390,$A390)))</f>
        <v/>
      </c>
      <c r="J390" s="37" t="str">
        <f>IF($A390="","",IF(COUNTIF(Invoices!$A$8:$A$257,$A390)=0,"Unknown invoice no.",IF($C390="","No description",IF($H390=0,"Amount is 0","OK"))))</f>
        <v/>
      </c>
    </row>
    <row r="391" spans="1:10" ht="16" x14ac:dyDescent="0.2">
      <c r="A391" s="30"/>
      <c r="B391" s="31"/>
      <c r="C391" s="30"/>
      <c r="D391" s="41"/>
      <c r="E391" s="30"/>
      <c r="F391" s="36"/>
      <c r="G391" s="42"/>
      <c r="H391" s="34" t="str">
        <f t="shared" si="5"/>
        <v/>
      </c>
      <c r="I391" s="37" t="str">
        <f>IF($A391="","",IF($A391&lt;&gt;'Invoice (print)'!$C$1,"",COUNTIF($A$8:$A391,$A391)))</f>
        <v/>
      </c>
      <c r="J391" s="37" t="str">
        <f>IF($A391="","",IF(COUNTIF(Invoices!$A$8:$A$257,$A391)=0,"Unknown invoice no.",IF($C391="","No description",IF($H391=0,"Amount is 0","OK"))))</f>
        <v/>
      </c>
    </row>
    <row r="392" spans="1:10" ht="16" x14ac:dyDescent="0.2">
      <c r="A392" s="30"/>
      <c r="B392" s="31"/>
      <c r="C392" s="30"/>
      <c r="D392" s="41"/>
      <c r="E392" s="30"/>
      <c r="F392" s="36"/>
      <c r="G392" s="42"/>
      <c r="H392" s="34" t="str">
        <f t="shared" ref="H392:H455" si="6">IF($A392="","",ROUND(IF($D392="",0,$D392)*IF($F392="",0,$F392)*(1-IF($G392="",0,$G392)/100),2))</f>
        <v/>
      </c>
      <c r="I392" s="37" t="str">
        <f>IF($A392="","",IF($A392&lt;&gt;'Invoice (print)'!$C$1,"",COUNTIF($A$8:$A392,$A392)))</f>
        <v/>
      </c>
      <c r="J392" s="37" t="str">
        <f>IF($A392="","",IF(COUNTIF(Invoices!$A$8:$A$257,$A392)=0,"Unknown invoice no.",IF($C392="","No description",IF($H392=0,"Amount is 0","OK"))))</f>
        <v/>
      </c>
    </row>
    <row r="393" spans="1:10" ht="16" x14ac:dyDescent="0.2">
      <c r="A393" s="30"/>
      <c r="B393" s="31"/>
      <c r="C393" s="30"/>
      <c r="D393" s="41"/>
      <c r="E393" s="30"/>
      <c r="F393" s="36"/>
      <c r="G393" s="42"/>
      <c r="H393" s="34" t="str">
        <f t="shared" si="6"/>
        <v/>
      </c>
      <c r="I393" s="37" t="str">
        <f>IF($A393="","",IF($A393&lt;&gt;'Invoice (print)'!$C$1,"",COUNTIF($A$8:$A393,$A393)))</f>
        <v/>
      </c>
      <c r="J393" s="37" t="str">
        <f>IF($A393="","",IF(COUNTIF(Invoices!$A$8:$A$257,$A393)=0,"Unknown invoice no.",IF($C393="","No description",IF($H393=0,"Amount is 0","OK"))))</f>
        <v/>
      </c>
    </row>
    <row r="394" spans="1:10" ht="16" x14ac:dyDescent="0.2">
      <c r="A394" s="30"/>
      <c r="B394" s="31"/>
      <c r="C394" s="30"/>
      <c r="D394" s="41"/>
      <c r="E394" s="30"/>
      <c r="F394" s="36"/>
      <c r="G394" s="42"/>
      <c r="H394" s="34" t="str">
        <f t="shared" si="6"/>
        <v/>
      </c>
      <c r="I394" s="37" t="str">
        <f>IF($A394="","",IF($A394&lt;&gt;'Invoice (print)'!$C$1,"",COUNTIF($A$8:$A394,$A394)))</f>
        <v/>
      </c>
      <c r="J394" s="37" t="str">
        <f>IF($A394="","",IF(COUNTIF(Invoices!$A$8:$A$257,$A394)=0,"Unknown invoice no.",IF($C394="","No description",IF($H394=0,"Amount is 0","OK"))))</f>
        <v/>
      </c>
    </row>
    <row r="395" spans="1:10" ht="16" x14ac:dyDescent="0.2">
      <c r="A395" s="30"/>
      <c r="B395" s="31"/>
      <c r="C395" s="30"/>
      <c r="D395" s="41"/>
      <c r="E395" s="30"/>
      <c r="F395" s="36"/>
      <c r="G395" s="42"/>
      <c r="H395" s="34" t="str">
        <f t="shared" si="6"/>
        <v/>
      </c>
      <c r="I395" s="37" t="str">
        <f>IF($A395="","",IF($A395&lt;&gt;'Invoice (print)'!$C$1,"",COUNTIF($A$8:$A395,$A395)))</f>
        <v/>
      </c>
      <c r="J395" s="37" t="str">
        <f>IF($A395="","",IF(COUNTIF(Invoices!$A$8:$A$257,$A395)=0,"Unknown invoice no.",IF($C395="","No description",IF($H395=0,"Amount is 0","OK"))))</f>
        <v/>
      </c>
    </row>
    <row r="396" spans="1:10" ht="16" x14ac:dyDescent="0.2">
      <c r="A396" s="30"/>
      <c r="B396" s="31"/>
      <c r="C396" s="30"/>
      <c r="D396" s="41"/>
      <c r="E396" s="30"/>
      <c r="F396" s="36"/>
      <c r="G396" s="42"/>
      <c r="H396" s="34" t="str">
        <f t="shared" si="6"/>
        <v/>
      </c>
      <c r="I396" s="37" t="str">
        <f>IF($A396="","",IF($A396&lt;&gt;'Invoice (print)'!$C$1,"",COUNTIF($A$8:$A396,$A396)))</f>
        <v/>
      </c>
      <c r="J396" s="37" t="str">
        <f>IF($A396="","",IF(COUNTIF(Invoices!$A$8:$A$257,$A396)=0,"Unknown invoice no.",IF($C396="","No description",IF($H396=0,"Amount is 0","OK"))))</f>
        <v/>
      </c>
    </row>
    <row r="397" spans="1:10" ht="16" x14ac:dyDescent="0.2">
      <c r="A397" s="30"/>
      <c r="B397" s="31"/>
      <c r="C397" s="30"/>
      <c r="D397" s="41"/>
      <c r="E397" s="30"/>
      <c r="F397" s="36"/>
      <c r="G397" s="42"/>
      <c r="H397" s="34" t="str">
        <f t="shared" si="6"/>
        <v/>
      </c>
      <c r="I397" s="37" t="str">
        <f>IF($A397="","",IF($A397&lt;&gt;'Invoice (print)'!$C$1,"",COUNTIF($A$8:$A397,$A397)))</f>
        <v/>
      </c>
      <c r="J397" s="37" t="str">
        <f>IF($A397="","",IF(COUNTIF(Invoices!$A$8:$A$257,$A397)=0,"Unknown invoice no.",IF($C397="","No description",IF($H397=0,"Amount is 0","OK"))))</f>
        <v/>
      </c>
    </row>
    <row r="398" spans="1:10" ht="16" x14ac:dyDescent="0.2">
      <c r="A398" s="30"/>
      <c r="B398" s="31"/>
      <c r="C398" s="30"/>
      <c r="D398" s="41"/>
      <c r="E398" s="30"/>
      <c r="F398" s="36"/>
      <c r="G398" s="42"/>
      <c r="H398" s="34" t="str">
        <f t="shared" si="6"/>
        <v/>
      </c>
      <c r="I398" s="37" t="str">
        <f>IF($A398="","",IF($A398&lt;&gt;'Invoice (print)'!$C$1,"",COUNTIF($A$8:$A398,$A398)))</f>
        <v/>
      </c>
      <c r="J398" s="37" t="str">
        <f>IF($A398="","",IF(COUNTIF(Invoices!$A$8:$A$257,$A398)=0,"Unknown invoice no.",IF($C398="","No description",IF($H398=0,"Amount is 0","OK"))))</f>
        <v/>
      </c>
    </row>
    <row r="399" spans="1:10" ht="16" x14ac:dyDescent="0.2">
      <c r="A399" s="30"/>
      <c r="B399" s="31"/>
      <c r="C399" s="30"/>
      <c r="D399" s="41"/>
      <c r="E399" s="30"/>
      <c r="F399" s="36"/>
      <c r="G399" s="42"/>
      <c r="H399" s="34" t="str">
        <f t="shared" si="6"/>
        <v/>
      </c>
      <c r="I399" s="37" t="str">
        <f>IF($A399="","",IF($A399&lt;&gt;'Invoice (print)'!$C$1,"",COUNTIF($A$8:$A399,$A399)))</f>
        <v/>
      </c>
      <c r="J399" s="37" t="str">
        <f>IF($A399="","",IF(COUNTIF(Invoices!$A$8:$A$257,$A399)=0,"Unknown invoice no.",IF($C399="","No description",IF($H399=0,"Amount is 0","OK"))))</f>
        <v/>
      </c>
    </row>
    <row r="400" spans="1:10" ht="16" x14ac:dyDescent="0.2">
      <c r="A400" s="30"/>
      <c r="B400" s="31"/>
      <c r="C400" s="30"/>
      <c r="D400" s="41"/>
      <c r="E400" s="30"/>
      <c r="F400" s="36"/>
      <c r="G400" s="42"/>
      <c r="H400" s="34" t="str">
        <f t="shared" si="6"/>
        <v/>
      </c>
      <c r="I400" s="37" t="str">
        <f>IF($A400="","",IF($A400&lt;&gt;'Invoice (print)'!$C$1,"",COUNTIF($A$8:$A400,$A400)))</f>
        <v/>
      </c>
      <c r="J400" s="37" t="str">
        <f>IF($A400="","",IF(COUNTIF(Invoices!$A$8:$A$257,$A400)=0,"Unknown invoice no.",IF($C400="","No description",IF($H400=0,"Amount is 0","OK"))))</f>
        <v/>
      </c>
    </row>
    <row r="401" spans="1:10" ht="16" x14ac:dyDescent="0.2">
      <c r="A401" s="30"/>
      <c r="B401" s="31"/>
      <c r="C401" s="30"/>
      <c r="D401" s="41"/>
      <c r="E401" s="30"/>
      <c r="F401" s="36"/>
      <c r="G401" s="42"/>
      <c r="H401" s="34" t="str">
        <f t="shared" si="6"/>
        <v/>
      </c>
      <c r="I401" s="37" t="str">
        <f>IF($A401="","",IF($A401&lt;&gt;'Invoice (print)'!$C$1,"",COUNTIF($A$8:$A401,$A401)))</f>
        <v/>
      </c>
      <c r="J401" s="37" t="str">
        <f>IF($A401="","",IF(COUNTIF(Invoices!$A$8:$A$257,$A401)=0,"Unknown invoice no.",IF($C401="","No description",IF($H401=0,"Amount is 0","OK"))))</f>
        <v/>
      </c>
    </row>
    <row r="402" spans="1:10" ht="16" x14ac:dyDescent="0.2">
      <c r="A402" s="30"/>
      <c r="B402" s="31"/>
      <c r="C402" s="30"/>
      <c r="D402" s="41"/>
      <c r="E402" s="30"/>
      <c r="F402" s="36"/>
      <c r="G402" s="42"/>
      <c r="H402" s="34" t="str">
        <f t="shared" si="6"/>
        <v/>
      </c>
      <c r="I402" s="37" t="str">
        <f>IF($A402="","",IF($A402&lt;&gt;'Invoice (print)'!$C$1,"",COUNTIF($A$8:$A402,$A402)))</f>
        <v/>
      </c>
      <c r="J402" s="37" t="str">
        <f>IF($A402="","",IF(COUNTIF(Invoices!$A$8:$A$257,$A402)=0,"Unknown invoice no.",IF($C402="","No description",IF($H402=0,"Amount is 0","OK"))))</f>
        <v/>
      </c>
    </row>
    <row r="403" spans="1:10" ht="16" x14ac:dyDescent="0.2">
      <c r="A403" s="30"/>
      <c r="B403" s="31"/>
      <c r="C403" s="30"/>
      <c r="D403" s="41"/>
      <c r="E403" s="30"/>
      <c r="F403" s="36"/>
      <c r="G403" s="42"/>
      <c r="H403" s="34" t="str">
        <f t="shared" si="6"/>
        <v/>
      </c>
      <c r="I403" s="37" t="str">
        <f>IF($A403="","",IF($A403&lt;&gt;'Invoice (print)'!$C$1,"",COUNTIF($A$8:$A403,$A403)))</f>
        <v/>
      </c>
      <c r="J403" s="37" t="str">
        <f>IF($A403="","",IF(COUNTIF(Invoices!$A$8:$A$257,$A403)=0,"Unknown invoice no.",IF($C403="","No description",IF($H403=0,"Amount is 0","OK"))))</f>
        <v/>
      </c>
    </row>
    <row r="404" spans="1:10" ht="16" x14ac:dyDescent="0.2">
      <c r="A404" s="30"/>
      <c r="B404" s="31"/>
      <c r="C404" s="30"/>
      <c r="D404" s="41"/>
      <c r="E404" s="30"/>
      <c r="F404" s="36"/>
      <c r="G404" s="42"/>
      <c r="H404" s="34" t="str">
        <f t="shared" si="6"/>
        <v/>
      </c>
      <c r="I404" s="37" t="str">
        <f>IF($A404="","",IF($A404&lt;&gt;'Invoice (print)'!$C$1,"",COUNTIF($A$8:$A404,$A404)))</f>
        <v/>
      </c>
      <c r="J404" s="37" t="str">
        <f>IF($A404="","",IF(COUNTIF(Invoices!$A$8:$A$257,$A404)=0,"Unknown invoice no.",IF($C404="","No description",IF($H404=0,"Amount is 0","OK"))))</f>
        <v/>
      </c>
    </row>
    <row r="405" spans="1:10" ht="16" x14ac:dyDescent="0.2">
      <c r="A405" s="30"/>
      <c r="B405" s="31"/>
      <c r="C405" s="30"/>
      <c r="D405" s="41"/>
      <c r="E405" s="30"/>
      <c r="F405" s="36"/>
      <c r="G405" s="42"/>
      <c r="H405" s="34" t="str">
        <f t="shared" si="6"/>
        <v/>
      </c>
      <c r="I405" s="37" t="str">
        <f>IF($A405="","",IF($A405&lt;&gt;'Invoice (print)'!$C$1,"",COUNTIF($A$8:$A405,$A405)))</f>
        <v/>
      </c>
      <c r="J405" s="37" t="str">
        <f>IF($A405="","",IF(COUNTIF(Invoices!$A$8:$A$257,$A405)=0,"Unknown invoice no.",IF($C405="","No description",IF($H405=0,"Amount is 0","OK"))))</f>
        <v/>
      </c>
    </row>
    <row r="406" spans="1:10" ht="16" x14ac:dyDescent="0.2">
      <c r="A406" s="30"/>
      <c r="B406" s="31"/>
      <c r="C406" s="30"/>
      <c r="D406" s="41"/>
      <c r="E406" s="30"/>
      <c r="F406" s="36"/>
      <c r="G406" s="42"/>
      <c r="H406" s="34" t="str">
        <f t="shared" si="6"/>
        <v/>
      </c>
      <c r="I406" s="37" t="str">
        <f>IF($A406="","",IF($A406&lt;&gt;'Invoice (print)'!$C$1,"",COUNTIF($A$8:$A406,$A406)))</f>
        <v/>
      </c>
      <c r="J406" s="37" t="str">
        <f>IF($A406="","",IF(COUNTIF(Invoices!$A$8:$A$257,$A406)=0,"Unknown invoice no.",IF($C406="","No description",IF($H406=0,"Amount is 0","OK"))))</f>
        <v/>
      </c>
    </row>
    <row r="407" spans="1:10" ht="16" x14ac:dyDescent="0.2">
      <c r="A407" s="30"/>
      <c r="B407" s="31"/>
      <c r="C407" s="30"/>
      <c r="D407" s="41"/>
      <c r="E407" s="30"/>
      <c r="F407" s="36"/>
      <c r="G407" s="42"/>
      <c r="H407" s="34" t="str">
        <f t="shared" si="6"/>
        <v/>
      </c>
      <c r="I407" s="37" t="str">
        <f>IF($A407="","",IF($A407&lt;&gt;'Invoice (print)'!$C$1,"",COUNTIF($A$8:$A407,$A407)))</f>
        <v/>
      </c>
      <c r="J407" s="37" t="str">
        <f>IF($A407="","",IF(COUNTIF(Invoices!$A$8:$A$257,$A407)=0,"Unknown invoice no.",IF($C407="","No description",IF($H407=0,"Amount is 0","OK"))))</f>
        <v/>
      </c>
    </row>
    <row r="408" spans="1:10" ht="16" x14ac:dyDescent="0.2">
      <c r="A408" s="30"/>
      <c r="B408" s="31"/>
      <c r="C408" s="30"/>
      <c r="D408" s="41"/>
      <c r="E408" s="30"/>
      <c r="F408" s="36"/>
      <c r="G408" s="42"/>
      <c r="H408" s="34" t="str">
        <f t="shared" si="6"/>
        <v/>
      </c>
      <c r="I408" s="37" t="str">
        <f>IF($A408="","",IF($A408&lt;&gt;'Invoice (print)'!$C$1,"",COUNTIF($A$8:$A408,$A408)))</f>
        <v/>
      </c>
      <c r="J408" s="37" t="str">
        <f>IF($A408="","",IF(COUNTIF(Invoices!$A$8:$A$257,$A408)=0,"Unknown invoice no.",IF($C408="","No description",IF($H408=0,"Amount is 0","OK"))))</f>
        <v/>
      </c>
    </row>
    <row r="409" spans="1:10" ht="16" x14ac:dyDescent="0.2">
      <c r="A409" s="30"/>
      <c r="B409" s="31"/>
      <c r="C409" s="30"/>
      <c r="D409" s="41"/>
      <c r="E409" s="30"/>
      <c r="F409" s="36"/>
      <c r="G409" s="42"/>
      <c r="H409" s="34" t="str">
        <f t="shared" si="6"/>
        <v/>
      </c>
      <c r="I409" s="37" t="str">
        <f>IF($A409="","",IF($A409&lt;&gt;'Invoice (print)'!$C$1,"",COUNTIF($A$8:$A409,$A409)))</f>
        <v/>
      </c>
      <c r="J409" s="37" t="str">
        <f>IF($A409="","",IF(COUNTIF(Invoices!$A$8:$A$257,$A409)=0,"Unknown invoice no.",IF($C409="","No description",IF($H409=0,"Amount is 0","OK"))))</f>
        <v/>
      </c>
    </row>
    <row r="410" spans="1:10" ht="16" x14ac:dyDescent="0.2">
      <c r="A410" s="30"/>
      <c r="B410" s="31"/>
      <c r="C410" s="30"/>
      <c r="D410" s="41"/>
      <c r="E410" s="30"/>
      <c r="F410" s="36"/>
      <c r="G410" s="42"/>
      <c r="H410" s="34" t="str">
        <f t="shared" si="6"/>
        <v/>
      </c>
      <c r="I410" s="37" t="str">
        <f>IF($A410="","",IF($A410&lt;&gt;'Invoice (print)'!$C$1,"",COUNTIF($A$8:$A410,$A410)))</f>
        <v/>
      </c>
      <c r="J410" s="37" t="str">
        <f>IF($A410="","",IF(COUNTIF(Invoices!$A$8:$A$257,$A410)=0,"Unknown invoice no.",IF($C410="","No description",IF($H410=0,"Amount is 0","OK"))))</f>
        <v/>
      </c>
    </row>
    <row r="411" spans="1:10" ht="16" x14ac:dyDescent="0.2">
      <c r="A411" s="30"/>
      <c r="B411" s="31"/>
      <c r="C411" s="30"/>
      <c r="D411" s="41"/>
      <c r="E411" s="30"/>
      <c r="F411" s="36"/>
      <c r="G411" s="42"/>
      <c r="H411" s="34" t="str">
        <f t="shared" si="6"/>
        <v/>
      </c>
      <c r="I411" s="37" t="str">
        <f>IF($A411="","",IF($A411&lt;&gt;'Invoice (print)'!$C$1,"",COUNTIF($A$8:$A411,$A411)))</f>
        <v/>
      </c>
      <c r="J411" s="37" t="str">
        <f>IF($A411="","",IF(COUNTIF(Invoices!$A$8:$A$257,$A411)=0,"Unknown invoice no.",IF($C411="","No description",IF($H411=0,"Amount is 0","OK"))))</f>
        <v/>
      </c>
    </row>
    <row r="412" spans="1:10" ht="16" x14ac:dyDescent="0.2">
      <c r="A412" s="30"/>
      <c r="B412" s="31"/>
      <c r="C412" s="30"/>
      <c r="D412" s="41"/>
      <c r="E412" s="30"/>
      <c r="F412" s="36"/>
      <c r="G412" s="42"/>
      <c r="H412" s="34" t="str">
        <f t="shared" si="6"/>
        <v/>
      </c>
      <c r="I412" s="37" t="str">
        <f>IF($A412="","",IF($A412&lt;&gt;'Invoice (print)'!$C$1,"",COUNTIF($A$8:$A412,$A412)))</f>
        <v/>
      </c>
      <c r="J412" s="37" t="str">
        <f>IF($A412="","",IF(COUNTIF(Invoices!$A$8:$A$257,$A412)=0,"Unknown invoice no.",IF($C412="","No description",IF($H412=0,"Amount is 0","OK"))))</f>
        <v/>
      </c>
    </row>
    <row r="413" spans="1:10" ht="16" x14ac:dyDescent="0.2">
      <c r="A413" s="30"/>
      <c r="B413" s="31"/>
      <c r="C413" s="30"/>
      <c r="D413" s="41"/>
      <c r="E413" s="30"/>
      <c r="F413" s="36"/>
      <c r="G413" s="42"/>
      <c r="H413" s="34" t="str">
        <f t="shared" si="6"/>
        <v/>
      </c>
      <c r="I413" s="37" t="str">
        <f>IF($A413="","",IF($A413&lt;&gt;'Invoice (print)'!$C$1,"",COUNTIF($A$8:$A413,$A413)))</f>
        <v/>
      </c>
      <c r="J413" s="37" t="str">
        <f>IF($A413="","",IF(COUNTIF(Invoices!$A$8:$A$257,$A413)=0,"Unknown invoice no.",IF($C413="","No description",IF($H413=0,"Amount is 0","OK"))))</f>
        <v/>
      </c>
    </row>
    <row r="414" spans="1:10" ht="16" x14ac:dyDescent="0.2">
      <c r="A414" s="30"/>
      <c r="B414" s="31"/>
      <c r="C414" s="30"/>
      <c r="D414" s="41"/>
      <c r="E414" s="30"/>
      <c r="F414" s="36"/>
      <c r="G414" s="42"/>
      <c r="H414" s="34" t="str">
        <f t="shared" si="6"/>
        <v/>
      </c>
      <c r="I414" s="37" t="str">
        <f>IF($A414="","",IF($A414&lt;&gt;'Invoice (print)'!$C$1,"",COUNTIF($A$8:$A414,$A414)))</f>
        <v/>
      </c>
      <c r="J414" s="37" t="str">
        <f>IF($A414="","",IF(COUNTIF(Invoices!$A$8:$A$257,$A414)=0,"Unknown invoice no.",IF($C414="","No description",IF($H414=0,"Amount is 0","OK"))))</f>
        <v/>
      </c>
    </row>
    <row r="415" spans="1:10" ht="16" x14ac:dyDescent="0.2">
      <c r="A415" s="30"/>
      <c r="B415" s="31"/>
      <c r="C415" s="30"/>
      <c r="D415" s="41"/>
      <c r="E415" s="30"/>
      <c r="F415" s="36"/>
      <c r="G415" s="42"/>
      <c r="H415" s="34" t="str">
        <f t="shared" si="6"/>
        <v/>
      </c>
      <c r="I415" s="37" t="str">
        <f>IF($A415="","",IF($A415&lt;&gt;'Invoice (print)'!$C$1,"",COUNTIF($A$8:$A415,$A415)))</f>
        <v/>
      </c>
      <c r="J415" s="37" t="str">
        <f>IF($A415="","",IF(COUNTIF(Invoices!$A$8:$A$257,$A415)=0,"Unknown invoice no.",IF($C415="","No description",IF($H415=0,"Amount is 0","OK"))))</f>
        <v/>
      </c>
    </row>
    <row r="416" spans="1:10" ht="16" x14ac:dyDescent="0.2">
      <c r="A416" s="30"/>
      <c r="B416" s="31"/>
      <c r="C416" s="30"/>
      <c r="D416" s="41"/>
      <c r="E416" s="30"/>
      <c r="F416" s="36"/>
      <c r="G416" s="42"/>
      <c r="H416" s="34" t="str">
        <f t="shared" si="6"/>
        <v/>
      </c>
      <c r="I416" s="37" t="str">
        <f>IF($A416="","",IF($A416&lt;&gt;'Invoice (print)'!$C$1,"",COUNTIF($A$8:$A416,$A416)))</f>
        <v/>
      </c>
      <c r="J416" s="37" t="str">
        <f>IF($A416="","",IF(COUNTIF(Invoices!$A$8:$A$257,$A416)=0,"Unknown invoice no.",IF($C416="","No description",IF($H416=0,"Amount is 0","OK"))))</f>
        <v/>
      </c>
    </row>
    <row r="417" spans="1:10" ht="16" x14ac:dyDescent="0.2">
      <c r="A417" s="30"/>
      <c r="B417" s="31"/>
      <c r="C417" s="30"/>
      <c r="D417" s="41"/>
      <c r="E417" s="30"/>
      <c r="F417" s="36"/>
      <c r="G417" s="42"/>
      <c r="H417" s="34" t="str">
        <f t="shared" si="6"/>
        <v/>
      </c>
      <c r="I417" s="37" t="str">
        <f>IF($A417="","",IF($A417&lt;&gt;'Invoice (print)'!$C$1,"",COUNTIF($A$8:$A417,$A417)))</f>
        <v/>
      </c>
      <c r="J417" s="37" t="str">
        <f>IF($A417="","",IF(COUNTIF(Invoices!$A$8:$A$257,$A417)=0,"Unknown invoice no.",IF($C417="","No description",IF($H417=0,"Amount is 0","OK"))))</f>
        <v/>
      </c>
    </row>
    <row r="418" spans="1:10" ht="16" x14ac:dyDescent="0.2">
      <c r="A418" s="30"/>
      <c r="B418" s="31"/>
      <c r="C418" s="30"/>
      <c r="D418" s="41"/>
      <c r="E418" s="30"/>
      <c r="F418" s="36"/>
      <c r="G418" s="42"/>
      <c r="H418" s="34" t="str">
        <f t="shared" si="6"/>
        <v/>
      </c>
      <c r="I418" s="37" t="str">
        <f>IF($A418="","",IF($A418&lt;&gt;'Invoice (print)'!$C$1,"",COUNTIF($A$8:$A418,$A418)))</f>
        <v/>
      </c>
      <c r="J418" s="37" t="str">
        <f>IF($A418="","",IF(COUNTIF(Invoices!$A$8:$A$257,$A418)=0,"Unknown invoice no.",IF($C418="","No description",IF($H418=0,"Amount is 0","OK"))))</f>
        <v/>
      </c>
    </row>
    <row r="419" spans="1:10" ht="16" x14ac:dyDescent="0.2">
      <c r="A419" s="30"/>
      <c r="B419" s="31"/>
      <c r="C419" s="30"/>
      <c r="D419" s="41"/>
      <c r="E419" s="30"/>
      <c r="F419" s="36"/>
      <c r="G419" s="42"/>
      <c r="H419" s="34" t="str">
        <f t="shared" si="6"/>
        <v/>
      </c>
      <c r="I419" s="37" t="str">
        <f>IF($A419="","",IF($A419&lt;&gt;'Invoice (print)'!$C$1,"",COUNTIF($A$8:$A419,$A419)))</f>
        <v/>
      </c>
      <c r="J419" s="37" t="str">
        <f>IF($A419="","",IF(COUNTIF(Invoices!$A$8:$A$257,$A419)=0,"Unknown invoice no.",IF($C419="","No description",IF($H419=0,"Amount is 0","OK"))))</f>
        <v/>
      </c>
    </row>
    <row r="420" spans="1:10" ht="16" x14ac:dyDescent="0.2">
      <c r="A420" s="30"/>
      <c r="B420" s="31"/>
      <c r="C420" s="30"/>
      <c r="D420" s="41"/>
      <c r="E420" s="30"/>
      <c r="F420" s="36"/>
      <c r="G420" s="42"/>
      <c r="H420" s="34" t="str">
        <f t="shared" si="6"/>
        <v/>
      </c>
      <c r="I420" s="37" t="str">
        <f>IF($A420="","",IF($A420&lt;&gt;'Invoice (print)'!$C$1,"",COUNTIF($A$8:$A420,$A420)))</f>
        <v/>
      </c>
      <c r="J420" s="37" t="str">
        <f>IF($A420="","",IF(COUNTIF(Invoices!$A$8:$A$257,$A420)=0,"Unknown invoice no.",IF($C420="","No description",IF($H420=0,"Amount is 0","OK"))))</f>
        <v/>
      </c>
    </row>
    <row r="421" spans="1:10" ht="16" x14ac:dyDescent="0.2">
      <c r="A421" s="30"/>
      <c r="B421" s="31"/>
      <c r="C421" s="30"/>
      <c r="D421" s="41"/>
      <c r="E421" s="30"/>
      <c r="F421" s="36"/>
      <c r="G421" s="42"/>
      <c r="H421" s="34" t="str">
        <f t="shared" si="6"/>
        <v/>
      </c>
      <c r="I421" s="37" t="str">
        <f>IF($A421="","",IF($A421&lt;&gt;'Invoice (print)'!$C$1,"",COUNTIF($A$8:$A421,$A421)))</f>
        <v/>
      </c>
      <c r="J421" s="37" t="str">
        <f>IF($A421="","",IF(COUNTIF(Invoices!$A$8:$A$257,$A421)=0,"Unknown invoice no.",IF($C421="","No description",IF($H421=0,"Amount is 0","OK"))))</f>
        <v/>
      </c>
    </row>
    <row r="422" spans="1:10" ht="16" x14ac:dyDescent="0.2">
      <c r="A422" s="30"/>
      <c r="B422" s="31"/>
      <c r="C422" s="30"/>
      <c r="D422" s="41"/>
      <c r="E422" s="30"/>
      <c r="F422" s="36"/>
      <c r="G422" s="42"/>
      <c r="H422" s="34" t="str">
        <f t="shared" si="6"/>
        <v/>
      </c>
      <c r="I422" s="37" t="str">
        <f>IF($A422="","",IF($A422&lt;&gt;'Invoice (print)'!$C$1,"",COUNTIF($A$8:$A422,$A422)))</f>
        <v/>
      </c>
      <c r="J422" s="37" t="str">
        <f>IF($A422="","",IF(COUNTIF(Invoices!$A$8:$A$257,$A422)=0,"Unknown invoice no.",IF($C422="","No description",IF($H422=0,"Amount is 0","OK"))))</f>
        <v/>
      </c>
    </row>
    <row r="423" spans="1:10" ht="16" x14ac:dyDescent="0.2">
      <c r="A423" s="30"/>
      <c r="B423" s="31"/>
      <c r="C423" s="30"/>
      <c r="D423" s="41"/>
      <c r="E423" s="30"/>
      <c r="F423" s="36"/>
      <c r="G423" s="42"/>
      <c r="H423" s="34" t="str">
        <f t="shared" si="6"/>
        <v/>
      </c>
      <c r="I423" s="37" t="str">
        <f>IF($A423="","",IF($A423&lt;&gt;'Invoice (print)'!$C$1,"",COUNTIF($A$8:$A423,$A423)))</f>
        <v/>
      </c>
      <c r="J423" s="37" t="str">
        <f>IF($A423="","",IF(COUNTIF(Invoices!$A$8:$A$257,$A423)=0,"Unknown invoice no.",IF($C423="","No description",IF($H423=0,"Amount is 0","OK"))))</f>
        <v/>
      </c>
    </row>
    <row r="424" spans="1:10" ht="16" x14ac:dyDescent="0.2">
      <c r="A424" s="30"/>
      <c r="B424" s="31"/>
      <c r="C424" s="30"/>
      <c r="D424" s="41"/>
      <c r="E424" s="30"/>
      <c r="F424" s="36"/>
      <c r="G424" s="42"/>
      <c r="H424" s="34" t="str">
        <f t="shared" si="6"/>
        <v/>
      </c>
      <c r="I424" s="37" t="str">
        <f>IF($A424="","",IF($A424&lt;&gt;'Invoice (print)'!$C$1,"",COUNTIF($A$8:$A424,$A424)))</f>
        <v/>
      </c>
      <c r="J424" s="37" t="str">
        <f>IF($A424="","",IF(COUNTIF(Invoices!$A$8:$A$257,$A424)=0,"Unknown invoice no.",IF($C424="","No description",IF($H424=0,"Amount is 0","OK"))))</f>
        <v/>
      </c>
    </row>
    <row r="425" spans="1:10" ht="16" x14ac:dyDescent="0.2">
      <c r="A425" s="30"/>
      <c r="B425" s="31"/>
      <c r="C425" s="30"/>
      <c r="D425" s="41"/>
      <c r="E425" s="30"/>
      <c r="F425" s="36"/>
      <c r="G425" s="42"/>
      <c r="H425" s="34" t="str">
        <f t="shared" si="6"/>
        <v/>
      </c>
      <c r="I425" s="37" t="str">
        <f>IF($A425="","",IF($A425&lt;&gt;'Invoice (print)'!$C$1,"",COUNTIF($A$8:$A425,$A425)))</f>
        <v/>
      </c>
      <c r="J425" s="37" t="str">
        <f>IF($A425="","",IF(COUNTIF(Invoices!$A$8:$A$257,$A425)=0,"Unknown invoice no.",IF($C425="","No description",IF($H425=0,"Amount is 0","OK"))))</f>
        <v/>
      </c>
    </row>
    <row r="426" spans="1:10" ht="16" x14ac:dyDescent="0.2">
      <c r="A426" s="30"/>
      <c r="B426" s="31"/>
      <c r="C426" s="30"/>
      <c r="D426" s="41"/>
      <c r="E426" s="30"/>
      <c r="F426" s="36"/>
      <c r="G426" s="42"/>
      <c r="H426" s="34" t="str">
        <f t="shared" si="6"/>
        <v/>
      </c>
      <c r="I426" s="37" t="str">
        <f>IF($A426="","",IF($A426&lt;&gt;'Invoice (print)'!$C$1,"",COUNTIF($A$8:$A426,$A426)))</f>
        <v/>
      </c>
      <c r="J426" s="37" t="str">
        <f>IF($A426="","",IF(COUNTIF(Invoices!$A$8:$A$257,$A426)=0,"Unknown invoice no.",IF($C426="","No description",IF($H426=0,"Amount is 0","OK"))))</f>
        <v/>
      </c>
    </row>
    <row r="427" spans="1:10" ht="16" x14ac:dyDescent="0.2">
      <c r="A427" s="30"/>
      <c r="B427" s="31"/>
      <c r="C427" s="30"/>
      <c r="D427" s="41"/>
      <c r="E427" s="30"/>
      <c r="F427" s="36"/>
      <c r="G427" s="42"/>
      <c r="H427" s="34" t="str">
        <f t="shared" si="6"/>
        <v/>
      </c>
      <c r="I427" s="37" t="str">
        <f>IF($A427="","",IF($A427&lt;&gt;'Invoice (print)'!$C$1,"",COUNTIF($A$8:$A427,$A427)))</f>
        <v/>
      </c>
      <c r="J427" s="37" t="str">
        <f>IF($A427="","",IF(COUNTIF(Invoices!$A$8:$A$257,$A427)=0,"Unknown invoice no.",IF($C427="","No description",IF($H427=0,"Amount is 0","OK"))))</f>
        <v/>
      </c>
    </row>
    <row r="428" spans="1:10" ht="16" x14ac:dyDescent="0.2">
      <c r="A428" s="30"/>
      <c r="B428" s="31"/>
      <c r="C428" s="30"/>
      <c r="D428" s="41"/>
      <c r="E428" s="30"/>
      <c r="F428" s="36"/>
      <c r="G428" s="42"/>
      <c r="H428" s="34" t="str">
        <f t="shared" si="6"/>
        <v/>
      </c>
      <c r="I428" s="37" t="str">
        <f>IF($A428="","",IF($A428&lt;&gt;'Invoice (print)'!$C$1,"",COUNTIF($A$8:$A428,$A428)))</f>
        <v/>
      </c>
      <c r="J428" s="37" t="str">
        <f>IF($A428="","",IF(COUNTIF(Invoices!$A$8:$A$257,$A428)=0,"Unknown invoice no.",IF($C428="","No description",IF($H428=0,"Amount is 0","OK"))))</f>
        <v/>
      </c>
    </row>
    <row r="429" spans="1:10" ht="16" x14ac:dyDescent="0.2">
      <c r="A429" s="30"/>
      <c r="B429" s="31"/>
      <c r="C429" s="30"/>
      <c r="D429" s="41"/>
      <c r="E429" s="30"/>
      <c r="F429" s="36"/>
      <c r="G429" s="42"/>
      <c r="H429" s="34" t="str">
        <f t="shared" si="6"/>
        <v/>
      </c>
      <c r="I429" s="37" t="str">
        <f>IF($A429="","",IF($A429&lt;&gt;'Invoice (print)'!$C$1,"",COUNTIF($A$8:$A429,$A429)))</f>
        <v/>
      </c>
      <c r="J429" s="37" t="str">
        <f>IF($A429="","",IF(COUNTIF(Invoices!$A$8:$A$257,$A429)=0,"Unknown invoice no.",IF($C429="","No description",IF($H429=0,"Amount is 0","OK"))))</f>
        <v/>
      </c>
    </row>
    <row r="430" spans="1:10" ht="16" x14ac:dyDescent="0.2">
      <c r="A430" s="30"/>
      <c r="B430" s="31"/>
      <c r="C430" s="30"/>
      <c r="D430" s="41"/>
      <c r="E430" s="30"/>
      <c r="F430" s="36"/>
      <c r="G430" s="42"/>
      <c r="H430" s="34" t="str">
        <f t="shared" si="6"/>
        <v/>
      </c>
      <c r="I430" s="37" t="str">
        <f>IF($A430="","",IF($A430&lt;&gt;'Invoice (print)'!$C$1,"",COUNTIF($A$8:$A430,$A430)))</f>
        <v/>
      </c>
      <c r="J430" s="37" t="str">
        <f>IF($A430="","",IF(COUNTIF(Invoices!$A$8:$A$257,$A430)=0,"Unknown invoice no.",IF($C430="","No description",IF($H430=0,"Amount is 0","OK"))))</f>
        <v/>
      </c>
    </row>
    <row r="431" spans="1:10" ht="16" x14ac:dyDescent="0.2">
      <c r="A431" s="30"/>
      <c r="B431" s="31"/>
      <c r="C431" s="30"/>
      <c r="D431" s="41"/>
      <c r="E431" s="30"/>
      <c r="F431" s="36"/>
      <c r="G431" s="42"/>
      <c r="H431" s="34" t="str">
        <f t="shared" si="6"/>
        <v/>
      </c>
      <c r="I431" s="37" t="str">
        <f>IF($A431="","",IF($A431&lt;&gt;'Invoice (print)'!$C$1,"",COUNTIF($A$8:$A431,$A431)))</f>
        <v/>
      </c>
      <c r="J431" s="37" t="str">
        <f>IF($A431="","",IF(COUNTIF(Invoices!$A$8:$A$257,$A431)=0,"Unknown invoice no.",IF($C431="","No description",IF($H431=0,"Amount is 0","OK"))))</f>
        <v/>
      </c>
    </row>
    <row r="432" spans="1:10" ht="16" x14ac:dyDescent="0.2">
      <c r="A432" s="30"/>
      <c r="B432" s="31"/>
      <c r="C432" s="30"/>
      <c r="D432" s="41"/>
      <c r="E432" s="30"/>
      <c r="F432" s="36"/>
      <c r="G432" s="42"/>
      <c r="H432" s="34" t="str">
        <f t="shared" si="6"/>
        <v/>
      </c>
      <c r="I432" s="37" t="str">
        <f>IF($A432="","",IF($A432&lt;&gt;'Invoice (print)'!$C$1,"",COUNTIF($A$8:$A432,$A432)))</f>
        <v/>
      </c>
      <c r="J432" s="37" t="str">
        <f>IF($A432="","",IF(COUNTIF(Invoices!$A$8:$A$257,$A432)=0,"Unknown invoice no.",IF($C432="","No description",IF($H432=0,"Amount is 0","OK"))))</f>
        <v/>
      </c>
    </row>
    <row r="433" spans="1:10" ht="16" x14ac:dyDescent="0.2">
      <c r="A433" s="30"/>
      <c r="B433" s="31"/>
      <c r="C433" s="30"/>
      <c r="D433" s="41"/>
      <c r="E433" s="30"/>
      <c r="F433" s="36"/>
      <c r="G433" s="42"/>
      <c r="H433" s="34" t="str">
        <f t="shared" si="6"/>
        <v/>
      </c>
      <c r="I433" s="37" t="str">
        <f>IF($A433="","",IF($A433&lt;&gt;'Invoice (print)'!$C$1,"",COUNTIF($A$8:$A433,$A433)))</f>
        <v/>
      </c>
      <c r="J433" s="37" t="str">
        <f>IF($A433="","",IF(COUNTIF(Invoices!$A$8:$A$257,$A433)=0,"Unknown invoice no.",IF($C433="","No description",IF($H433=0,"Amount is 0","OK"))))</f>
        <v/>
      </c>
    </row>
    <row r="434" spans="1:10" ht="16" x14ac:dyDescent="0.2">
      <c r="A434" s="30"/>
      <c r="B434" s="31"/>
      <c r="C434" s="30"/>
      <c r="D434" s="41"/>
      <c r="E434" s="30"/>
      <c r="F434" s="36"/>
      <c r="G434" s="42"/>
      <c r="H434" s="34" t="str">
        <f t="shared" si="6"/>
        <v/>
      </c>
      <c r="I434" s="37" t="str">
        <f>IF($A434="","",IF($A434&lt;&gt;'Invoice (print)'!$C$1,"",COUNTIF($A$8:$A434,$A434)))</f>
        <v/>
      </c>
      <c r="J434" s="37" t="str">
        <f>IF($A434="","",IF(COUNTIF(Invoices!$A$8:$A$257,$A434)=0,"Unknown invoice no.",IF($C434="","No description",IF($H434=0,"Amount is 0","OK"))))</f>
        <v/>
      </c>
    </row>
    <row r="435" spans="1:10" ht="16" x14ac:dyDescent="0.2">
      <c r="A435" s="30"/>
      <c r="B435" s="31"/>
      <c r="C435" s="30"/>
      <c r="D435" s="41"/>
      <c r="E435" s="30"/>
      <c r="F435" s="36"/>
      <c r="G435" s="42"/>
      <c r="H435" s="34" t="str">
        <f t="shared" si="6"/>
        <v/>
      </c>
      <c r="I435" s="37" t="str">
        <f>IF($A435="","",IF($A435&lt;&gt;'Invoice (print)'!$C$1,"",COUNTIF($A$8:$A435,$A435)))</f>
        <v/>
      </c>
      <c r="J435" s="37" t="str">
        <f>IF($A435="","",IF(COUNTIF(Invoices!$A$8:$A$257,$A435)=0,"Unknown invoice no.",IF($C435="","No description",IF($H435=0,"Amount is 0","OK"))))</f>
        <v/>
      </c>
    </row>
    <row r="436" spans="1:10" ht="16" x14ac:dyDescent="0.2">
      <c r="A436" s="30"/>
      <c r="B436" s="31"/>
      <c r="C436" s="30"/>
      <c r="D436" s="41"/>
      <c r="E436" s="30"/>
      <c r="F436" s="36"/>
      <c r="G436" s="42"/>
      <c r="H436" s="34" t="str">
        <f t="shared" si="6"/>
        <v/>
      </c>
      <c r="I436" s="37" t="str">
        <f>IF($A436="","",IF($A436&lt;&gt;'Invoice (print)'!$C$1,"",COUNTIF($A$8:$A436,$A436)))</f>
        <v/>
      </c>
      <c r="J436" s="37" t="str">
        <f>IF($A436="","",IF(COUNTIF(Invoices!$A$8:$A$257,$A436)=0,"Unknown invoice no.",IF($C436="","No description",IF($H436=0,"Amount is 0","OK"))))</f>
        <v/>
      </c>
    </row>
    <row r="437" spans="1:10" ht="16" x14ac:dyDescent="0.2">
      <c r="A437" s="30"/>
      <c r="B437" s="31"/>
      <c r="C437" s="30"/>
      <c r="D437" s="41"/>
      <c r="E437" s="30"/>
      <c r="F437" s="36"/>
      <c r="G437" s="42"/>
      <c r="H437" s="34" t="str">
        <f t="shared" si="6"/>
        <v/>
      </c>
      <c r="I437" s="37" t="str">
        <f>IF($A437="","",IF($A437&lt;&gt;'Invoice (print)'!$C$1,"",COUNTIF($A$8:$A437,$A437)))</f>
        <v/>
      </c>
      <c r="J437" s="37" t="str">
        <f>IF($A437="","",IF(COUNTIF(Invoices!$A$8:$A$257,$A437)=0,"Unknown invoice no.",IF($C437="","No description",IF($H437=0,"Amount is 0","OK"))))</f>
        <v/>
      </c>
    </row>
    <row r="438" spans="1:10" ht="16" x14ac:dyDescent="0.2">
      <c r="A438" s="30"/>
      <c r="B438" s="31"/>
      <c r="C438" s="30"/>
      <c r="D438" s="41"/>
      <c r="E438" s="30"/>
      <c r="F438" s="36"/>
      <c r="G438" s="42"/>
      <c r="H438" s="34" t="str">
        <f t="shared" si="6"/>
        <v/>
      </c>
      <c r="I438" s="37" t="str">
        <f>IF($A438="","",IF($A438&lt;&gt;'Invoice (print)'!$C$1,"",COUNTIF($A$8:$A438,$A438)))</f>
        <v/>
      </c>
      <c r="J438" s="37" t="str">
        <f>IF($A438="","",IF(COUNTIF(Invoices!$A$8:$A$257,$A438)=0,"Unknown invoice no.",IF($C438="","No description",IF($H438=0,"Amount is 0","OK"))))</f>
        <v/>
      </c>
    </row>
    <row r="439" spans="1:10" ht="16" x14ac:dyDescent="0.2">
      <c r="A439" s="30"/>
      <c r="B439" s="31"/>
      <c r="C439" s="30"/>
      <c r="D439" s="41"/>
      <c r="E439" s="30"/>
      <c r="F439" s="36"/>
      <c r="G439" s="42"/>
      <c r="H439" s="34" t="str">
        <f t="shared" si="6"/>
        <v/>
      </c>
      <c r="I439" s="37" t="str">
        <f>IF($A439="","",IF($A439&lt;&gt;'Invoice (print)'!$C$1,"",COUNTIF($A$8:$A439,$A439)))</f>
        <v/>
      </c>
      <c r="J439" s="37" t="str">
        <f>IF($A439="","",IF(COUNTIF(Invoices!$A$8:$A$257,$A439)=0,"Unknown invoice no.",IF($C439="","No description",IF($H439=0,"Amount is 0","OK"))))</f>
        <v/>
      </c>
    </row>
    <row r="440" spans="1:10" ht="16" x14ac:dyDescent="0.2">
      <c r="A440" s="30"/>
      <c r="B440" s="31"/>
      <c r="C440" s="30"/>
      <c r="D440" s="41"/>
      <c r="E440" s="30"/>
      <c r="F440" s="36"/>
      <c r="G440" s="42"/>
      <c r="H440" s="34" t="str">
        <f t="shared" si="6"/>
        <v/>
      </c>
      <c r="I440" s="37" t="str">
        <f>IF($A440="","",IF($A440&lt;&gt;'Invoice (print)'!$C$1,"",COUNTIF($A$8:$A440,$A440)))</f>
        <v/>
      </c>
      <c r="J440" s="37" t="str">
        <f>IF($A440="","",IF(COUNTIF(Invoices!$A$8:$A$257,$A440)=0,"Unknown invoice no.",IF($C440="","No description",IF($H440=0,"Amount is 0","OK"))))</f>
        <v/>
      </c>
    </row>
    <row r="441" spans="1:10" ht="16" x14ac:dyDescent="0.2">
      <c r="A441" s="30"/>
      <c r="B441" s="31"/>
      <c r="C441" s="30"/>
      <c r="D441" s="41"/>
      <c r="E441" s="30"/>
      <c r="F441" s="36"/>
      <c r="G441" s="42"/>
      <c r="H441" s="34" t="str">
        <f t="shared" si="6"/>
        <v/>
      </c>
      <c r="I441" s="37" t="str">
        <f>IF($A441="","",IF($A441&lt;&gt;'Invoice (print)'!$C$1,"",COUNTIF($A$8:$A441,$A441)))</f>
        <v/>
      </c>
      <c r="J441" s="37" t="str">
        <f>IF($A441="","",IF(COUNTIF(Invoices!$A$8:$A$257,$A441)=0,"Unknown invoice no.",IF($C441="","No description",IF($H441=0,"Amount is 0","OK"))))</f>
        <v/>
      </c>
    </row>
    <row r="442" spans="1:10" ht="16" x14ac:dyDescent="0.2">
      <c r="A442" s="30"/>
      <c r="B442" s="31"/>
      <c r="C442" s="30"/>
      <c r="D442" s="41"/>
      <c r="E442" s="30"/>
      <c r="F442" s="36"/>
      <c r="G442" s="42"/>
      <c r="H442" s="34" t="str">
        <f t="shared" si="6"/>
        <v/>
      </c>
      <c r="I442" s="37" t="str">
        <f>IF($A442="","",IF($A442&lt;&gt;'Invoice (print)'!$C$1,"",COUNTIF($A$8:$A442,$A442)))</f>
        <v/>
      </c>
      <c r="J442" s="37" t="str">
        <f>IF($A442="","",IF(COUNTIF(Invoices!$A$8:$A$257,$A442)=0,"Unknown invoice no.",IF($C442="","No description",IF($H442=0,"Amount is 0","OK"))))</f>
        <v/>
      </c>
    </row>
    <row r="443" spans="1:10" ht="16" x14ac:dyDescent="0.2">
      <c r="A443" s="30"/>
      <c r="B443" s="31"/>
      <c r="C443" s="30"/>
      <c r="D443" s="41"/>
      <c r="E443" s="30"/>
      <c r="F443" s="36"/>
      <c r="G443" s="42"/>
      <c r="H443" s="34" t="str">
        <f t="shared" si="6"/>
        <v/>
      </c>
      <c r="I443" s="37" t="str">
        <f>IF($A443="","",IF($A443&lt;&gt;'Invoice (print)'!$C$1,"",COUNTIF($A$8:$A443,$A443)))</f>
        <v/>
      </c>
      <c r="J443" s="37" t="str">
        <f>IF($A443="","",IF(COUNTIF(Invoices!$A$8:$A$257,$A443)=0,"Unknown invoice no.",IF($C443="","No description",IF($H443=0,"Amount is 0","OK"))))</f>
        <v/>
      </c>
    </row>
    <row r="444" spans="1:10" ht="16" x14ac:dyDescent="0.2">
      <c r="A444" s="30"/>
      <c r="B444" s="31"/>
      <c r="C444" s="30"/>
      <c r="D444" s="41"/>
      <c r="E444" s="30"/>
      <c r="F444" s="36"/>
      <c r="G444" s="42"/>
      <c r="H444" s="34" t="str">
        <f t="shared" si="6"/>
        <v/>
      </c>
      <c r="I444" s="37" t="str">
        <f>IF($A444="","",IF($A444&lt;&gt;'Invoice (print)'!$C$1,"",COUNTIF($A$8:$A444,$A444)))</f>
        <v/>
      </c>
      <c r="J444" s="37" t="str">
        <f>IF($A444="","",IF(COUNTIF(Invoices!$A$8:$A$257,$A444)=0,"Unknown invoice no.",IF($C444="","No description",IF($H444=0,"Amount is 0","OK"))))</f>
        <v/>
      </c>
    </row>
    <row r="445" spans="1:10" ht="16" x14ac:dyDescent="0.2">
      <c r="A445" s="30"/>
      <c r="B445" s="31"/>
      <c r="C445" s="30"/>
      <c r="D445" s="41"/>
      <c r="E445" s="30"/>
      <c r="F445" s="36"/>
      <c r="G445" s="42"/>
      <c r="H445" s="34" t="str">
        <f t="shared" si="6"/>
        <v/>
      </c>
      <c r="I445" s="37" t="str">
        <f>IF($A445="","",IF($A445&lt;&gt;'Invoice (print)'!$C$1,"",COUNTIF($A$8:$A445,$A445)))</f>
        <v/>
      </c>
      <c r="J445" s="37" t="str">
        <f>IF($A445="","",IF(COUNTIF(Invoices!$A$8:$A$257,$A445)=0,"Unknown invoice no.",IF($C445="","No description",IF($H445=0,"Amount is 0","OK"))))</f>
        <v/>
      </c>
    </row>
    <row r="446" spans="1:10" ht="16" x14ac:dyDescent="0.2">
      <c r="A446" s="30"/>
      <c r="B446" s="31"/>
      <c r="C446" s="30"/>
      <c r="D446" s="41"/>
      <c r="E446" s="30"/>
      <c r="F446" s="36"/>
      <c r="G446" s="42"/>
      <c r="H446" s="34" t="str">
        <f t="shared" si="6"/>
        <v/>
      </c>
      <c r="I446" s="37" t="str">
        <f>IF($A446="","",IF($A446&lt;&gt;'Invoice (print)'!$C$1,"",COUNTIF($A$8:$A446,$A446)))</f>
        <v/>
      </c>
      <c r="J446" s="37" t="str">
        <f>IF($A446="","",IF(COUNTIF(Invoices!$A$8:$A$257,$A446)=0,"Unknown invoice no.",IF($C446="","No description",IF($H446=0,"Amount is 0","OK"))))</f>
        <v/>
      </c>
    </row>
    <row r="447" spans="1:10" ht="16" x14ac:dyDescent="0.2">
      <c r="A447" s="30"/>
      <c r="B447" s="31"/>
      <c r="C447" s="30"/>
      <c r="D447" s="41"/>
      <c r="E447" s="30"/>
      <c r="F447" s="36"/>
      <c r="G447" s="42"/>
      <c r="H447" s="34" t="str">
        <f t="shared" si="6"/>
        <v/>
      </c>
      <c r="I447" s="37" t="str">
        <f>IF($A447="","",IF($A447&lt;&gt;'Invoice (print)'!$C$1,"",COUNTIF($A$8:$A447,$A447)))</f>
        <v/>
      </c>
      <c r="J447" s="37" t="str">
        <f>IF($A447="","",IF(COUNTIF(Invoices!$A$8:$A$257,$A447)=0,"Unknown invoice no.",IF($C447="","No description",IF($H447=0,"Amount is 0","OK"))))</f>
        <v/>
      </c>
    </row>
    <row r="448" spans="1:10" ht="16" x14ac:dyDescent="0.2">
      <c r="A448" s="30"/>
      <c r="B448" s="31"/>
      <c r="C448" s="30"/>
      <c r="D448" s="41"/>
      <c r="E448" s="30"/>
      <c r="F448" s="36"/>
      <c r="G448" s="42"/>
      <c r="H448" s="34" t="str">
        <f t="shared" si="6"/>
        <v/>
      </c>
      <c r="I448" s="37" t="str">
        <f>IF($A448="","",IF($A448&lt;&gt;'Invoice (print)'!$C$1,"",COUNTIF($A$8:$A448,$A448)))</f>
        <v/>
      </c>
      <c r="J448" s="37" t="str">
        <f>IF($A448="","",IF(COUNTIF(Invoices!$A$8:$A$257,$A448)=0,"Unknown invoice no.",IF($C448="","No description",IF($H448=0,"Amount is 0","OK"))))</f>
        <v/>
      </c>
    </row>
    <row r="449" spans="1:10" ht="16" x14ac:dyDescent="0.2">
      <c r="A449" s="30"/>
      <c r="B449" s="31"/>
      <c r="C449" s="30"/>
      <c r="D449" s="41"/>
      <c r="E449" s="30"/>
      <c r="F449" s="36"/>
      <c r="G449" s="42"/>
      <c r="H449" s="34" t="str">
        <f t="shared" si="6"/>
        <v/>
      </c>
      <c r="I449" s="37" t="str">
        <f>IF($A449="","",IF($A449&lt;&gt;'Invoice (print)'!$C$1,"",COUNTIF($A$8:$A449,$A449)))</f>
        <v/>
      </c>
      <c r="J449" s="37" t="str">
        <f>IF($A449="","",IF(COUNTIF(Invoices!$A$8:$A$257,$A449)=0,"Unknown invoice no.",IF($C449="","No description",IF($H449=0,"Amount is 0","OK"))))</f>
        <v/>
      </c>
    </row>
    <row r="450" spans="1:10" ht="16" x14ac:dyDescent="0.2">
      <c r="A450" s="30"/>
      <c r="B450" s="31"/>
      <c r="C450" s="30"/>
      <c r="D450" s="41"/>
      <c r="E450" s="30"/>
      <c r="F450" s="36"/>
      <c r="G450" s="42"/>
      <c r="H450" s="34" t="str">
        <f t="shared" si="6"/>
        <v/>
      </c>
      <c r="I450" s="37" t="str">
        <f>IF($A450="","",IF($A450&lt;&gt;'Invoice (print)'!$C$1,"",COUNTIF($A$8:$A450,$A450)))</f>
        <v/>
      </c>
      <c r="J450" s="37" t="str">
        <f>IF($A450="","",IF(COUNTIF(Invoices!$A$8:$A$257,$A450)=0,"Unknown invoice no.",IF($C450="","No description",IF($H450=0,"Amount is 0","OK"))))</f>
        <v/>
      </c>
    </row>
    <row r="451" spans="1:10" ht="16" x14ac:dyDescent="0.2">
      <c r="A451" s="30"/>
      <c r="B451" s="31"/>
      <c r="C451" s="30"/>
      <c r="D451" s="41"/>
      <c r="E451" s="30"/>
      <c r="F451" s="36"/>
      <c r="G451" s="42"/>
      <c r="H451" s="34" t="str">
        <f t="shared" si="6"/>
        <v/>
      </c>
      <c r="I451" s="37" t="str">
        <f>IF($A451="","",IF($A451&lt;&gt;'Invoice (print)'!$C$1,"",COUNTIF($A$8:$A451,$A451)))</f>
        <v/>
      </c>
      <c r="J451" s="37" t="str">
        <f>IF($A451="","",IF(COUNTIF(Invoices!$A$8:$A$257,$A451)=0,"Unknown invoice no.",IF($C451="","No description",IF($H451=0,"Amount is 0","OK"))))</f>
        <v/>
      </c>
    </row>
    <row r="452" spans="1:10" ht="16" x14ac:dyDescent="0.2">
      <c r="A452" s="30"/>
      <c r="B452" s="31"/>
      <c r="C452" s="30"/>
      <c r="D452" s="41"/>
      <c r="E452" s="30"/>
      <c r="F452" s="36"/>
      <c r="G452" s="42"/>
      <c r="H452" s="34" t="str">
        <f t="shared" si="6"/>
        <v/>
      </c>
      <c r="I452" s="37" t="str">
        <f>IF($A452="","",IF($A452&lt;&gt;'Invoice (print)'!$C$1,"",COUNTIF($A$8:$A452,$A452)))</f>
        <v/>
      </c>
      <c r="J452" s="37" t="str">
        <f>IF($A452="","",IF(COUNTIF(Invoices!$A$8:$A$257,$A452)=0,"Unknown invoice no.",IF($C452="","No description",IF($H452=0,"Amount is 0","OK"))))</f>
        <v/>
      </c>
    </row>
    <row r="453" spans="1:10" ht="16" x14ac:dyDescent="0.2">
      <c r="A453" s="30"/>
      <c r="B453" s="31"/>
      <c r="C453" s="30"/>
      <c r="D453" s="41"/>
      <c r="E453" s="30"/>
      <c r="F453" s="36"/>
      <c r="G453" s="42"/>
      <c r="H453" s="34" t="str">
        <f t="shared" si="6"/>
        <v/>
      </c>
      <c r="I453" s="37" t="str">
        <f>IF($A453="","",IF($A453&lt;&gt;'Invoice (print)'!$C$1,"",COUNTIF($A$8:$A453,$A453)))</f>
        <v/>
      </c>
      <c r="J453" s="37" t="str">
        <f>IF($A453="","",IF(COUNTIF(Invoices!$A$8:$A$257,$A453)=0,"Unknown invoice no.",IF($C453="","No description",IF($H453=0,"Amount is 0","OK"))))</f>
        <v/>
      </c>
    </row>
    <row r="454" spans="1:10" ht="16" x14ac:dyDescent="0.2">
      <c r="A454" s="30"/>
      <c r="B454" s="31"/>
      <c r="C454" s="30"/>
      <c r="D454" s="41"/>
      <c r="E454" s="30"/>
      <c r="F454" s="36"/>
      <c r="G454" s="42"/>
      <c r="H454" s="34" t="str">
        <f t="shared" si="6"/>
        <v/>
      </c>
      <c r="I454" s="37" t="str">
        <f>IF($A454="","",IF($A454&lt;&gt;'Invoice (print)'!$C$1,"",COUNTIF($A$8:$A454,$A454)))</f>
        <v/>
      </c>
      <c r="J454" s="37" t="str">
        <f>IF($A454="","",IF(COUNTIF(Invoices!$A$8:$A$257,$A454)=0,"Unknown invoice no.",IF($C454="","No description",IF($H454=0,"Amount is 0","OK"))))</f>
        <v/>
      </c>
    </row>
    <row r="455" spans="1:10" ht="16" x14ac:dyDescent="0.2">
      <c r="A455" s="30"/>
      <c r="B455" s="31"/>
      <c r="C455" s="30"/>
      <c r="D455" s="41"/>
      <c r="E455" s="30"/>
      <c r="F455" s="36"/>
      <c r="G455" s="42"/>
      <c r="H455" s="34" t="str">
        <f t="shared" si="6"/>
        <v/>
      </c>
      <c r="I455" s="37" t="str">
        <f>IF($A455="","",IF($A455&lt;&gt;'Invoice (print)'!$C$1,"",COUNTIF($A$8:$A455,$A455)))</f>
        <v/>
      </c>
      <c r="J455" s="37" t="str">
        <f>IF($A455="","",IF(COUNTIF(Invoices!$A$8:$A$257,$A455)=0,"Unknown invoice no.",IF($C455="","No description",IF($H455=0,"Amount is 0","OK"))))</f>
        <v/>
      </c>
    </row>
    <row r="456" spans="1:10" ht="16" x14ac:dyDescent="0.2">
      <c r="A456" s="30"/>
      <c r="B456" s="31"/>
      <c r="C456" s="30"/>
      <c r="D456" s="41"/>
      <c r="E456" s="30"/>
      <c r="F456" s="36"/>
      <c r="G456" s="42"/>
      <c r="H456" s="34" t="str">
        <f t="shared" ref="H456:H507" si="7">IF($A456="","",ROUND(IF($D456="",0,$D456)*IF($F456="",0,$F456)*(1-IF($G456="",0,$G456)/100),2))</f>
        <v/>
      </c>
      <c r="I456" s="37" t="str">
        <f>IF($A456="","",IF($A456&lt;&gt;'Invoice (print)'!$C$1,"",COUNTIF($A$8:$A456,$A456)))</f>
        <v/>
      </c>
      <c r="J456" s="37" t="str">
        <f>IF($A456="","",IF(COUNTIF(Invoices!$A$8:$A$257,$A456)=0,"Unknown invoice no.",IF($C456="","No description",IF($H456=0,"Amount is 0","OK"))))</f>
        <v/>
      </c>
    </row>
    <row r="457" spans="1:10" ht="16" x14ac:dyDescent="0.2">
      <c r="A457" s="30"/>
      <c r="B457" s="31"/>
      <c r="C457" s="30"/>
      <c r="D457" s="41"/>
      <c r="E457" s="30"/>
      <c r="F457" s="36"/>
      <c r="G457" s="42"/>
      <c r="H457" s="34" t="str">
        <f t="shared" si="7"/>
        <v/>
      </c>
      <c r="I457" s="37" t="str">
        <f>IF($A457="","",IF($A457&lt;&gt;'Invoice (print)'!$C$1,"",COUNTIF($A$8:$A457,$A457)))</f>
        <v/>
      </c>
      <c r="J457" s="37" t="str">
        <f>IF($A457="","",IF(COUNTIF(Invoices!$A$8:$A$257,$A457)=0,"Unknown invoice no.",IF($C457="","No description",IF($H457=0,"Amount is 0","OK"))))</f>
        <v/>
      </c>
    </row>
    <row r="458" spans="1:10" ht="16" x14ac:dyDescent="0.2">
      <c r="A458" s="30"/>
      <c r="B458" s="31"/>
      <c r="C458" s="30"/>
      <c r="D458" s="41"/>
      <c r="E458" s="30"/>
      <c r="F458" s="36"/>
      <c r="G458" s="42"/>
      <c r="H458" s="34" t="str">
        <f t="shared" si="7"/>
        <v/>
      </c>
      <c r="I458" s="37" t="str">
        <f>IF($A458="","",IF($A458&lt;&gt;'Invoice (print)'!$C$1,"",COUNTIF($A$8:$A458,$A458)))</f>
        <v/>
      </c>
      <c r="J458" s="37" t="str">
        <f>IF($A458="","",IF(COUNTIF(Invoices!$A$8:$A$257,$A458)=0,"Unknown invoice no.",IF($C458="","No description",IF($H458=0,"Amount is 0","OK"))))</f>
        <v/>
      </c>
    </row>
    <row r="459" spans="1:10" ht="16" x14ac:dyDescent="0.2">
      <c r="A459" s="30"/>
      <c r="B459" s="31"/>
      <c r="C459" s="30"/>
      <c r="D459" s="41"/>
      <c r="E459" s="30"/>
      <c r="F459" s="36"/>
      <c r="G459" s="42"/>
      <c r="H459" s="34" t="str">
        <f t="shared" si="7"/>
        <v/>
      </c>
      <c r="I459" s="37" t="str">
        <f>IF($A459="","",IF($A459&lt;&gt;'Invoice (print)'!$C$1,"",COUNTIF($A$8:$A459,$A459)))</f>
        <v/>
      </c>
      <c r="J459" s="37" t="str">
        <f>IF($A459="","",IF(COUNTIF(Invoices!$A$8:$A$257,$A459)=0,"Unknown invoice no.",IF($C459="","No description",IF($H459=0,"Amount is 0","OK"))))</f>
        <v/>
      </c>
    </row>
    <row r="460" spans="1:10" ht="16" x14ac:dyDescent="0.2">
      <c r="A460" s="30"/>
      <c r="B460" s="31"/>
      <c r="C460" s="30"/>
      <c r="D460" s="41"/>
      <c r="E460" s="30"/>
      <c r="F460" s="36"/>
      <c r="G460" s="42"/>
      <c r="H460" s="34" t="str">
        <f t="shared" si="7"/>
        <v/>
      </c>
      <c r="I460" s="37" t="str">
        <f>IF($A460="","",IF($A460&lt;&gt;'Invoice (print)'!$C$1,"",COUNTIF($A$8:$A460,$A460)))</f>
        <v/>
      </c>
      <c r="J460" s="37" t="str">
        <f>IF($A460="","",IF(COUNTIF(Invoices!$A$8:$A$257,$A460)=0,"Unknown invoice no.",IF($C460="","No description",IF($H460=0,"Amount is 0","OK"))))</f>
        <v/>
      </c>
    </row>
    <row r="461" spans="1:10" ht="16" x14ac:dyDescent="0.2">
      <c r="A461" s="30"/>
      <c r="B461" s="31"/>
      <c r="C461" s="30"/>
      <c r="D461" s="41"/>
      <c r="E461" s="30"/>
      <c r="F461" s="36"/>
      <c r="G461" s="42"/>
      <c r="H461" s="34" t="str">
        <f t="shared" si="7"/>
        <v/>
      </c>
      <c r="I461" s="37" t="str">
        <f>IF($A461="","",IF($A461&lt;&gt;'Invoice (print)'!$C$1,"",COUNTIF($A$8:$A461,$A461)))</f>
        <v/>
      </c>
      <c r="J461" s="37" t="str">
        <f>IF($A461="","",IF(COUNTIF(Invoices!$A$8:$A$257,$A461)=0,"Unknown invoice no.",IF($C461="","No description",IF($H461=0,"Amount is 0","OK"))))</f>
        <v/>
      </c>
    </row>
    <row r="462" spans="1:10" ht="16" x14ac:dyDescent="0.2">
      <c r="A462" s="30"/>
      <c r="B462" s="31"/>
      <c r="C462" s="30"/>
      <c r="D462" s="41"/>
      <c r="E462" s="30"/>
      <c r="F462" s="36"/>
      <c r="G462" s="42"/>
      <c r="H462" s="34" t="str">
        <f t="shared" si="7"/>
        <v/>
      </c>
      <c r="I462" s="37" t="str">
        <f>IF($A462="","",IF($A462&lt;&gt;'Invoice (print)'!$C$1,"",COUNTIF($A$8:$A462,$A462)))</f>
        <v/>
      </c>
      <c r="J462" s="37" t="str">
        <f>IF($A462="","",IF(COUNTIF(Invoices!$A$8:$A$257,$A462)=0,"Unknown invoice no.",IF($C462="","No description",IF($H462=0,"Amount is 0","OK"))))</f>
        <v/>
      </c>
    </row>
    <row r="463" spans="1:10" ht="16" x14ac:dyDescent="0.2">
      <c r="A463" s="30"/>
      <c r="B463" s="31"/>
      <c r="C463" s="30"/>
      <c r="D463" s="41"/>
      <c r="E463" s="30"/>
      <c r="F463" s="36"/>
      <c r="G463" s="42"/>
      <c r="H463" s="34" t="str">
        <f t="shared" si="7"/>
        <v/>
      </c>
      <c r="I463" s="37" t="str">
        <f>IF($A463="","",IF($A463&lt;&gt;'Invoice (print)'!$C$1,"",COUNTIF($A$8:$A463,$A463)))</f>
        <v/>
      </c>
      <c r="J463" s="37" t="str">
        <f>IF($A463="","",IF(COUNTIF(Invoices!$A$8:$A$257,$A463)=0,"Unknown invoice no.",IF($C463="","No description",IF($H463=0,"Amount is 0","OK"))))</f>
        <v/>
      </c>
    </row>
    <row r="464" spans="1:10" ht="16" x14ac:dyDescent="0.2">
      <c r="A464" s="30"/>
      <c r="B464" s="31"/>
      <c r="C464" s="30"/>
      <c r="D464" s="41"/>
      <c r="E464" s="30"/>
      <c r="F464" s="36"/>
      <c r="G464" s="42"/>
      <c r="H464" s="34" t="str">
        <f t="shared" si="7"/>
        <v/>
      </c>
      <c r="I464" s="37" t="str">
        <f>IF($A464="","",IF($A464&lt;&gt;'Invoice (print)'!$C$1,"",COUNTIF($A$8:$A464,$A464)))</f>
        <v/>
      </c>
      <c r="J464" s="37" t="str">
        <f>IF($A464="","",IF(COUNTIF(Invoices!$A$8:$A$257,$A464)=0,"Unknown invoice no.",IF($C464="","No description",IF($H464=0,"Amount is 0","OK"))))</f>
        <v/>
      </c>
    </row>
    <row r="465" spans="1:10" ht="16" x14ac:dyDescent="0.2">
      <c r="A465" s="30"/>
      <c r="B465" s="31"/>
      <c r="C465" s="30"/>
      <c r="D465" s="41"/>
      <c r="E465" s="30"/>
      <c r="F465" s="36"/>
      <c r="G465" s="42"/>
      <c r="H465" s="34" t="str">
        <f t="shared" si="7"/>
        <v/>
      </c>
      <c r="I465" s="37" t="str">
        <f>IF($A465="","",IF($A465&lt;&gt;'Invoice (print)'!$C$1,"",COUNTIF($A$8:$A465,$A465)))</f>
        <v/>
      </c>
      <c r="J465" s="37" t="str">
        <f>IF($A465="","",IF(COUNTIF(Invoices!$A$8:$A$257,$A465)=0,"Unknown invoice no.",IF($C465="","No description",IF($H465=0,"Amount is 0","OK"))))</f>
        <v/>
      </c>
    </row>
    <row r="466" spans="1:10" ht="16" x14ac:dyDescent="0.2">
      <c r="A466" s="30"/>
      <c r="B466" s="31"/>
      <c r="C466" s="30"/>
      <c r="D466" s="41"/>
      <c r="E466" s="30"/>
      <c r="F466" s="36"/>
      <c r="G466" s="42"/>
      <c r="H466" s="34" t="str">
        <f t="shared" si="7"/>
        <v/>
      </c>
      <c r="I466" s="37" t="str">
        <f>IF($A466="","",IF($A466&lt;&gt;'Invoice (print)'!$C$1,"",COUNTIF($A$8:$A466,$A466)))</f>
        <v/>
      </c>
      <c r="J466" s="37" t="str">
        <f>IF($A466="","",IF(COUNTIF(Invoices!$A$8:$A$257,$A466)=0,"Unknown invoice no.",IF($C466="","No description",IF($H466=0,"Amount is 0","OK"))))</f>
        <v/>
      </c>
    </row>
    <row r="467" spans="1:10" ht="16" x14ac:dyDescent="0.2">
      <c r="A467" s="30"/>
      <c r="B467" s="31"/>
      <c r="C467" s="30"/>
      <c r="D467" s="41"/>
      <c r="E467" s="30"/>
      <c r="F467" s="36"/>
      <c r="G467" s="42"/>
      <c r="H467" s="34" t="str">
        <f t="shared" si="7"/>
        <v/>
      </c>
      <c r="I467" s="37" t="str">
        <f>IF($A467="","",IF($A467&lt;&gt;'Invoice (print)'!$C$1,"",COUNTIF($A$8:$A467,$A467)))</f>
        <v/>
      </c>
      <c r="J467" s="37" t="str">
        <f>IF($A467="","",IF(COUNTIF(Invoices!$A$8:$A$257,$A467)=0,"Unknown invoice no.",IF($C467="","No description",IF($H467=0,"Amount is 0","OK"))))</f>
        <v/>
      </c>
    </row>
    <row r="468" spans="1:10" ht="16" x14ac:dyDescent="0.2">
      <c r="A468" s="30"/>
      <c r="B468" s="31"/>
      <c r="C468" s="30"/>
      <c r="D468" s="41"/>
      <c r="E468" s="30"/>
      <c r="F468" s="36"/>
      <c r="G468" s="42"/>
      <c r="H468" s="34" t="str">
        <f t="shared" si="7"/>
        <v/>
      </c>
      <c r="I468" s="37" t="str">
        <f>IF($A468="","",IF($A468&lt;&gt;'Invoice (print)'!$C$1,"",COUNTIF($A$8:$A468,$A468)))</f>
        <v/>
      </c>
      <c r="J468" s="37" t="str">
        <f>IF($A468="","",IF(COUNTIF(Invoices!$A$8:$A$257,$A468)=0,"Unknown invoice no.",IF($C468="","No description",IF($H468=0,"Amount is 0","OK"))))</f>
        <v/>
      </c>
    </row>
    <row r="469" spans="1:10" ht="16" x14ac:dyDescent="0.2">
      <c r="A469" s="30"/>
      <c r="B469" s="31"/>
      <c r="C469" s="30"/>
      <c r="D469" s="41"/>
      <c r="E469" s="30"/>
      <c r="F469" s="36"/>
      <c r="G469" s="42"/>
      <c r="H469" s="34" t="str">
        <f t="shared" si="7"/>
        <v/>
      </c>
      <c r="I469" s="37" t="str">
        <f>IF($A469="","",IF($A469&lt;&gt;'Invoice (print)'!$C$1,"",COUNTIF($A$8:$A469,$A469)))</f>
        <v/>
      </c>
      <c r="J469" s="37" t="str">
        <f>IF($A469="","",IF(COUNTIF(Invoices!$A$8:$A$257,$A469)=0,"Unknown invoice no.",IF($C469="","No description",IF($H469=0,"Amount is 0","OK"))))</f>
        <v/>
      </c>
    </row>
    <row r="470" spans="1:10" ht="16" x14ac:dyDescent="0.2">
      <c r="A470" s="30"/>
      <c r="B470" s="31"/>
      <c r="C470" s="30"/>
      <c r="D470" s="41"/>
      <c r="E470" s="30"/>
      <c r="F470" s="36"/>
      <c r="G470" s="42"/>
      <c r="H470" s="34" t="str">
        <f t="shared" si="7"/>
        <v/>
      </c>
      <c r="I470" s="37" t="str">
        <f>IF($A470="","",IF($A470&lt;&gt;'Invoice (print)'!$C$1,"",COUNTIF($A$8:$A470,$A470)))</f>
        <v/>
      </c>
      <c r="J470" s="37" t="str">
        <f>IF($A470="","",IF(COUNTIF(Invoices!$A$8:$A$257,$A470)=0,"Unknown invoice no.",IF($C470="","No description",IF($H470=0,"Amount is 0","OK"))))</f>
        <v/>
      </c>
    </row>
    <row r="471" spans="1:10" ht="16" x14ac:dyDescent="0.2">
      <c r="A471" s="30"/>
      <c r="B471" s="31"/>
      <c r="C471" s="30"/>
      <c r="D471" s="41"/>
      <c r="E471" s="30"/>
      <c r="F471" s="36"/>
      <c r="G471" s="42"/>
      <c r="H471" s="34" t="str">
        <f t="shared" si="7"/>
        <v/>
      </c>
      <c r="I471" s="37" t="str">
        <f>IF($A471="","",IF($A471&lt;&gt;'Invoice (print)'!$C$1,"",COUNTIF($A$8:$A471,$A471)))</f>
        <v/>
      </c>
      <c r="J471" s="37" t="str">
        <f>IF($A471="","",IF(COUNTIF(Invoices!$A$8:$A$257,$A471)=0,"Unknown invoice no.",IF($C471="","No description",IF($H471=0,"Amount is 0","OK"))))</f>
        <v/>
      </c>
    </row>
    <row r="472" spans="1:10" ht="16" x14ac:dyDescent="0.2">
      <c r="A472" s="30"/>
      <c r="B472" s="31"/>
      <c r="C472" s="30"/>
      <c r="D472" s="41"/>
      <c r="E472" s="30"/>
      <c r="F472" s="36"/>
      <c r="G472" s="42"/>
      <c r="H472" s="34" t="str">
        <f t="shared" si="7"/>
        <v/>
      </c>
      <c r="I472" s="37" t="str">
        <f>IF($A472="","",IF($A472&lt;&gt;'Invoice (print)'!$C$1,"",COUNTIF($A$8:$A472,$A472)))</f>
        <v/>
      </c>
      <c r="J472" s="37" t="str">
        <f>IF($A472="","",IF(COUNTIF(Invoices!$A$8:$A$257,$A472)=0,"Unknown invoice no.",IF($C472="","No description",IF($H472=0,"Amount is 0","OK"))))</f>
        <v/>
      </c>
    </row>
    <row r="473" spans="1:10" ht="16" x14ac:dyDescent="0.2">
      <c r="A473" s="30"/>
      <c r="B473" s="31"/>
      <c r="C473" s="30"/>
      <c r="D473" s="41"/>
      <c r="E473" s="30"/>
      <c r="F473" s="36"/>
      <c r="G473" s="42"/>
      <c r="H473" s="34" t="str">
        <f t="shared" si="7"/>
        <v/>
      </c>
      <c r="I473" s="37" t="str">
        <f>IF($A473="","",IF($A473&lt;&gt;'Invoice (print)'!$C$1,"",COUNTIF($A$8:$A473,$A473)))</f>
        <v/>
      </c>
      <c r="J473" s="37" t="str">
        <f>IF($A473="","",IF(COUNTIF(Invoices!$A$8:$A$257,$A473)=0,"Unknown invoice no.",IF($C473="","No description",IF($H473=0,"Amount is 0","OK"))))</f>
        <v/>
      </c>
    </row>
    <row r="474" spans="1:10" ht="16" x14ac:dyDescent="0.2">
      <c r="A474" s="30"/>
      <c r="B474" s="31"/>
      <c r="C474" s="30"/>
      <c r="D474" s="41"/>
      <c r="E474" s="30"/>
      <c r="F474" s="36"/>
      <c r="G474" s="42"/>
      <c r="H474" s="34" t="str">
        <f t="shared" si="7"/>
        <v/>
      </c>
      <c r="I474" s="37" t="str">
        <f>IF($A474="","",IF($A474&lt;&gt;'Invoice (print)'!$C$1,"",COUNTIF($A$8:$A474,$A474)))</f>
        <v/>
      </c>
      <c r="J474" s="37" t="str">
        <f>IF($A474="","",IF(COUNTIF(Invoices!$A$8:$A$257,$A474)=0,"Unknown invoice no.",IF($C474="","No description",IF($H474=0,"Amount is 0","OK"))))</f>
        <v/>
      </c>
    </row>
    <row r="475" spans="1:10" ht="16" x14ac:dyDescent="0.2">
      <c r="A475" s="30"/>
      <c r="B475" s="31"/>
      <c r="C475" s="30"/>
      <c r="D475" s="41"/>
      <c r="E475" s="30"/>
      <c r="F475" s="36"/>
      <c r="G475" s="42"/>
      <c r="H475" s="34" t="str">
        <f t="shared" si="7"/>
        <v/>
      </c>
      <c r="I475" s="37" t="str">
        <f>IF($A475="","",IF($A475&lt;&gt;'Invoice (print)'!$C$1,"",COUNTIF($A$8:$A475,$A475)))</f>
        <v/>
      </c>
      <c r="J475" s="37" t="str">
        <f>IF($A475="","",IF(COUNTIF(Invoices!$A$8:$A$257,$A475)=0,"Unknown invoice no.",IF($C475="","No description",IF($H475=0,"Amount is 0","OK"))))</f>
        <v/>
      </c>
    </row>
    <row r="476" spans="1:10" ht="16" x14ac:dyDescent="0.2">
      <c r="A476" s="30"/>
      <c r="B476" s="31"/>
      <c r="C476" s="30"/>
      <c r="D476" s="41"/>
      <c r="E476" s="30"/>
      <c r="F476" s="36"/>
      <c r="G476" s="42"/>
      <c r="H476" s="34" t="str">
        <f t="shared" si="7"/>
        <v/>
      </c>
      <c r="I476" s="37" t="str">
        <f>IF($A476="","",IF($A476&lt;&gt;'Invoice (print)'!$C$1,"",COUNTIF($A$8:$A476,$A476)))</f>
        <v/>
      </c>
      <c r="J476" s="37" t="str">
        <f>IF($A476="","",IF(COUNTIF(Invoices!$A$8:$A$257,$A476)=0,"Unknown invoice no.",IF($C476="","No description",IF($H476=0,"Amount is 0","OK"))))</f>
        <v/>
      </c>
    </row>
    <row r="477" spans="1:10" ht="16" x14ac:dyDescent="0.2">
      <c r="A477" s="30"/>
      <c r="B477" s="31"/>
      <c r="C477" s="30"/>
      <c r="D477" s="41"/>
      <c r="E477" s="30"/>
      <c r="F477" s="36"/>
      <c r="G477" s="42"/>
      <c r="H477" s="34" t="str">
        <f t="shared" si="7"/>
        <v/>
      </c>
      <c r="I477" s="37" t="str">
        <f>IF($A477="","",IF($A477&lt;&gt;'Invoice (print)'!$C$1,"",COUNTIF($A$8:$A477,$A477)))</f>
        <v/>
      </c>
      <c r="J477" s="37" t="str">
        <f>IF($A477="","",IF(COUNTIF(Invoices!$A$8:$A$257,$A477)=0,"Unknown invoice no.",IF($C477="","No description",IF($H477=0,"Amount is 0","OK"))))</f>
        <v/>
      </c>
    </row>
    <row r="478" spans="1:10" ht="16" x14ac:dyDescent="0.2">
      <c r="A478" s="30"/>
      <c r="B478" s="31"/>
      <c r="C478" s="30"/>
      <c r="D478" s="41"/>
      <c r="E478" s="30"/>
      <c r="F478" s="36"/>
      <c r="G478" s="42"/>
      <c r="H478" s="34" t="str">
        <f t="shared" si="7"/>
        <v/>
      </c>
      <c r="I478" s="37" t="str">
        <f>IF($A478="","",IF($A478&lt;&gt;'Invoice (print)'!$C$1,"",COUNTIF($A$8:$A478,$A478)))</f>
        <v/>
      </c>
      <c r="J478" s="37" t="str">
        <f>IF($A478="","",IF(COUNTIF(Invoices!$A$8:$A$257,$A478)=0,"Unknown invoice no.",IF($C478="","No description",IF($H478=0,"Amount is 0","OK"))))</f>
        <v/>
      </c>
    </row>
    <row r="479" spans="1:10" ht="16" x14ac:dyDescent="0.2">
      <c r="A479" s="30"/>
      <c r="B479" s="31"/>
      <c r="C479" s="30"/>
      <c r="D479" s="41"/>
      <c r="E479" s="30"/>
      <c r="F479" s="36"/>
      <c r="G479" s="42"/>
      <c r="H479" s="34" t="str">
        <f t="shared" si="7"/>
        <v/>
      </c>
      <c r="I479" s="37" t="str">
        <f>IF($A479="","",IF($A479&lt;&gt;'Invoice (print)'!$C$1,"",COUNTIF($A$8:$A479,$A479)))</f>
        <v/>
      </c>
      <c r="J479" s="37" t="str">
        <f>IF($A479="","",IF(COUNTIF(Invoices!$A$8:$A$257,$A479)=0,"Unknown invoice no.",IF($C479="","No description",IF($H479=0,"Amount is 0","OK"))))</f>
        <v/>
      </c>
    </row>
    <row r="480" spans="1:10" ht="16" x14ac:dyDescent="0.2">
      <c r="A480" s="30"/>
      <c r="B480" s="31"/>
      <c r="C480" s="30"/>
      <c r="D480" s="41"/>
      <c r="E480" s="30"/>
      <c r="F480" s="36"/>
      <c r="G480" s="42"/>
      <c r="H480" s="34" t="str">
        <f t="shared" si="7"/>
        <v/>
      </c>
      <c r="I480" s="37" t="str">
        <f>IF($A480="","",IF($A480&lt;&gt;'Invoice (print)'!$C$1,"",COUNTIF($A$8:$A480,$A480)))</f>
        <v/>
      </c>
      <c r="J480" s="37" t="str">
        <f>IF($A480="","",IF(COUNTIF(Invoices!$A$8:$A$257,$A480)=0,"Unknown invoice no.",IF($C480="","No description",IF($H480=0,"Amount is 0","OK"))))</f>
        <v/>
      </c>
    </row>
    <row r="481" spans="1:10" ht="16" x14ac:dyDescent="0.2">
      <c r="A481" s="30"/>
      <c r="B481" s="31"/>
      <c r="C481" s="30"/>
      <c r="D481" s="41"/>
      <c r="E481" s="30"/>
      <c r="F481" s="36"/>
      <c r="G481" s="42"/>
      <c r="H481" s="34" t="str">
        <f t="shared" si="7"/>
        <v/>
      </c>
      <c r="I481" s="37" t="str">
        <f>IF($A481="","",IF($A481&lt;&gt;'Invoice (print)'!$C$1,"",COUNTIF($A$8:$A481,$A481)))</f>
        <v/>
      </c>
      <c r="J481" s="37" t="str">
        <f>IF($A481="","",IF(COUNTIF(Invoices!$A$8:$A$257,$A481)=0,"Unknown invoice no.",IF($C481="","No description",IF($H481=0,"Amount is 0","OK"))))</f>
        <v/>
      </c>
    </row>
    <row r="482" spans="1:10" ht="16" x14ac:dyDescent="0.2">
      <c r="A482" s="30"/>
      <c r="B482" s="31"/>
      <c r="C482" s="30"/>
      <c r="D482" s="41"/>
      <c r="E482" s="30"/>
      <c r="F482" s="36"/>
      <c r="G482" s="42"/>
      <c r="H482" s="34" t="str">
        <f t="shared" si="7"/>
        <v/>
      </c>
      <c r="I482" s="37" t="str">
        <f>IF($A482="","",IF($A482&lt;&gt;'Invoice (print)'!$C$1,"",COUNTIF($A$8:$A482,$A482)))</f>
        <v/>
      </c>
      <c r="J482" s="37" t="str">
        <f>IF($A482="","",IF(COUNTIF(Invoices!$A$8:$A$257,$A482)=0,"Unknown invoice no.",IF($C482="","No description",IF($H482=0,"Amount is 0","OK"))))</f>
        <v/>
      </c>
    </row>
    <row r="483" spans="1:10" ht="16" x14ac:dyDescent="0.2">
      <c r="A483" s="30"/>
      <c r="B483" s="31"/>
      <c r="C483" s="30"/>
      <c r="D483" s="41"/>
      <c r="E483" s="30"/>
      <c r="F483" s="36"/>
      <c r="G483" s="42"/>
      <c r="H483" s="34" t="str">
        <f t="shared" si="7"/>
        <v/>
      </c>
      <c r="I483" s="37" t="str">
        <f>IF($A483="","",IF($A483&lt;&gt;'Invoice (print)'!$C$1,"",COUNTIF($A$8:$A483,$A483)))</f>
        <v/>
      </c>
      <c r="J483" s="37" t="str">
        <f>IF($A483="","",IF(COUNTIF(Invoices!$A$8:$A$257,$A483)=0,"Unknown invoice no.",IF($C483="","No description",IF($H483=0,"Amount is 0","OK"))))</f>
        <v/>
      </c>
    </row>
    <row r="484" spans="1:10" ht="16" x14ac:dyDescent="0.2">
      <c r="A484" s="30"/>
      <c r="B484" s="31"/>
      <c r="C484" s="30"/>
      <c r="D484" s="41"/>
      <c r="E484" s="30"/>
      <c r="F484" s="36"/>
      <c r="G484" s="42"/>
      <c r="H484" s="34" t="str">
        <f t="shared" si="7"/>
        <v/>
      </c>
      <c r="I484" s="37" t="str">
        <f>IF($A484="","",IF($A484&lt;&gt;'Invoice (print)'!$C$1,"",COUNTIF($A$8:$A484,$A484)))</f>
        <v/>
      </c>
      <c r="J484" s="37" t="str">
        <f>IF($A484="","",IF(COUNTIF(Invoices!$A$8:$A$257,$A484)=0,"Unknown invoice no.",IF($C484="","No description",IF($H484=0,"Amount is 0","OK"))))</f>
        <v/>
      </c>
    </row>
    <row r="485" spans="1:10" ht="16" x14ac:dyDescent="0.2">
      <c r="A485" s="30"/>
      <c r="B485" s="31"/>
      <c r="C485" s="30"/>
      <c r="D485" s="41"/>
      <c r="E485" s="30"/>
      <c r="F485" s="36"/>
      <c r="G485" s="42"/>
      <c r="H485" s="34" t="str">
        <f t="shared" si="7"/>
        <v/>
      </c>
      <c r="I485" s="37" t="str">
        <f>IF($A485="","",IF($A485&lt;&gt;'Invoice (print)'!$C$1,"",COUNTIF($A$8:$A485,$A485)))</f>
        <v/>
      </c>
      <c r="J485" s="37" t="str">
        <f>IF($A485="","",IF(COUNTIF(Invoices!$A$8:$A$257,$A485)=0,"Unknown invoice no.",IF($C485="","No description",IF($H485=0,"Amount is 0","OK"))))</f>
        <v/>
      </c>
    </row>
    <row r="486" spans="1:10" ht="16" x14ac:dyDescent="0.2">
      <c r="A486" s="30"/>
      <c r="B486" s="31"/>
      <c r="C486" s="30"/>
      <c r="D486" s="41"/>
      <c r="E486" s="30"/>
      <c r="F486" s="36"/>
      <c r="G486" s="42"/>
      <c r="H486" s="34" t="str">
        <f t="shared" si="7"/>
        <v/>
      </c>
      <c r="I486" s="37" t="str">
        <f>IF($A486="","",IF($A486&lt;&gt;'Invoice (print)'!$C$1,"",COUNTIF($A$8:$A486,$A486)))</f>
        <v/>
      </c>
      <c r="J486" s="37" t="str">
        <f>IF($A486="","",IF(COUNTIF(Invoices!$A$8:$A$257,$A486)=0,"Unknown invoice no.",IF($C486="","No description",IF($H486=0,"Amount is 0","OK"))))</f>
        <v/>
      </c>
    </row>
    <row r="487" spans="1:10" ht="16" x14ac:dyDescent="0.2">
      <c r="A487" s="30"/>
      <c r="B487" s="31"/>
      <c r="C487" s="30"/>
      <c r="D487" s="41"/>
      <c r="E487" s="30"/>
      <c r="F487" s="36"/>
      <c r="G487" s="42"/>
      <c r="H487" s="34" t="str">
        <f t="shared" si="7"/>
        <v/>
      </c>
      <c r="I487" s="37" t="str">
        <f>IF($A487="","",IF($A487&lt;&gt;'Invoice (print)'!$C$1,"",COUNTIF($A$8:$A487,$A487)))</f>
        <v/>
      </c>
      <c r="J487" s="37" t="str">
        <f>IF($A487="","",IF(COUNTIF(Invoices!$A$8:$A$257,$A487)=0,"Unknown invoice no.",IF($C487="","No description",IF($H487=0,"Amount is 0","OK"))))</f>
        <v/>
      </c>
    </row>
    <row r="488" spans="1:10" ht="16" x14ac:dyDescent="0.2">
      <c r="A488" s="30"/>
      <c r="B488" s="31"/>
      <c r="C488" s="30"/>
      <c r="D488" s="41"/>
      <c r="E488" s="30"/>
      <c r="F488" s="36"/>
      <c r="G488" s="42"/>
      <c r="H488" s="34" t="str">
        <f t="shared" si="7"/>
        <v/>
      </c>
      <c r="I488" s="37" t="str">
        <f>IF($A488="","",IF($A488&lt;&gt;'Invoice (print)'!$C$1,"",COUNTIF($A$8:$A488,$A488)))</f>
        <v/>
      </c>
      <c r="J488" s="37" t="str">
        <f>IF($A488="","",IF(COUNTIF(Invoices!$A$8:$A$257,$A488)=0,"Unknown invoice no.",IF($C488="","No description",IF($H488=0,"Amount is 0","OK"))))</f>
        <v/>
      </c>
    </row>
    <row r="489" spans="1:10" ht="16" x14ac:dyDescent="0.2">
      <c r="A489" s="30"/>
      <c r="B489" s="31"/>
      <c r="C489" s="30"/>
      <c r="D489" s="41"/>
      <c r="E489" s="30"/>
      <c r="F489" s="36"/>
      <c r="G489" s="42"/>
      <c r="H489" s="34" t="str">
        <f t="shared" si="7"/>
        <v/>
      </c>
      <c r="I489" s="37" t="str">
        <f>IF($A489="","",IF($A489&lt;&gt;'Invoice (print)'!$C$1,"",COUNTIF($A$8:$A489,$A489)))</f>
        <v/>
      </c>
      <c r="J489" s="37" t="str">
        <f>IF($A489="","",IF(COUNTIF(Invoices!$A$8:$A$257,$A489)=0,"Unknown invoice no.",IF($C489="","No description",IF($H489=0,"Amount is 0","OK"))))</f>
        <v/>
      </c>
    </row>
    <row r="490" spans="1:10" ht="16" x14ac:dyDescent="0.2">
      <c r="A490" s="30"/>
      <c r="B490" s="31"/>
      <c r="C490" s="30"/>
      <c r="D490" s="41"/>
      <c r="E490" s="30"/>
      <c r="F490" s="36"/>
      <c r="G490" s="42"/>
      <c r="H490" s="34" t="str">
        <f t="shared" si="7"/>
        <v/>
      </c>
      <c r="I490" s="37" t="str">
        <f>IF($A490="","",IF($A490&lt;&gt;'Invoice (print)'!$C$1,"",COUNTIF($A$8:$A490,$A490)))</f>
        <v/>
      </c>
      <c r="J490" s="37" t="str">
        <f>IF($A490="","",IF(COUNTIF(Invoices!$A$8:$A$257,$A490)=0,"Unknown invoice no.",IF($C490="","No description",IF($H490=0,"Amount is 0","OK"))))</f>
        <v/>
      </c>
    </row>
    <row r="491" spans="1:10" ht="16" x14ac:dyDescent="0.2">
      <c r="A491" s="30"/>
      <c r="B491" s="31"/>
      <c r="C491" s="30"/>
      <c r="D491" s="41"/>
      <c r="E491" s="30"/>
      <c r="F491" s="36"/>
      <c r="G491" s="42"/>
      <c r="H491" s="34" t="str">
        <f t="shared" si="7"/>
        <v/>
      </c>
      <c r="I491" s="37" t="str">
        <f>IF($A491="","",IF($A491&lt;&gt;'Invoice (print)'!$C$1,"",COUNTIF($A$8:$A491,$A491)))</f>
        <v/>
      </c>
      <c r="J491" s="37" t="str">
        <f>IF($A491="","",IF(COUNTIF(Invoices!$A$8:$A$257,$A491)=0,"Unknown invoice no.",IF($C491="","No description",IF($H491=0,"Amount is 0","OK"))))</f>
        <v/>
      </c>
    </row>
    <row r="492" spans="1:10" ht="16" x14ac:dyDescent="0.2">
      <c r="A492" s="30"/>
      <c r="B492" s="31"/>
      <c r="C492" s="30"/>
      <c r="D492" s="41"/>
      <c r="E492" s="30"/>
      <c r="F492" s="36"/>
      <c r="G492" s="42"/>
      <c r="H492" s="34" t="str">
        <f t="shared" si="7"/>
        <v/>
      </c>
      <c r="I492" s="37" t="str">
        <f>IF($A492="","",IF($A492&lt;&gt;'Invoice (print)'!$C$1,"",COUNTIF($A$8:$A492,$A492)))</f>
        <v/>
      </c>
      <c r="J492" s="37" t="str">
        <f>IF($A492="","",IF(COUNTIF(Invoices!$A$8:$A$257,$A492)=0,"Unknown invoice no.",IF($C492="","No description",IF($H492=0,"Amount is 0","OK"))))</f>
        <v/>
      </c>
    </row>
    <row r="493" spans="1:10" ht="16" x14ac:dyDescent="0.2">
      <c r="A493" s="30"/>
      <c r="B493" s="31"/>
      <c r="C493" s="30"/>
      <c r="D493" s="41"/>
      <c r="E493" s="30"/>
      <c r="F493" s="36"/>
      <c r="G493" s="42"/>
      <c r="H493" s="34" t="str">
        <f t="shared" si="7"/>
        <v/>
      </c>
      <c r="I493" s="37" t="str">
        <f>IF($A493="","",IF($A493&lt;&gt;'Invoice (print)'!$C$1,"",COUNTIF($A$8:$A493,$A493)))</f>
        <v/>
      </c>
      <c r="J493" s="37" t="str">
        <f>IF($A493="","",IF(COUNTIF(Invoices!$A$8:$A$257,$A493)=0,"Unknown invoice no.",IF($C493="","No description",IF($H493=0,"Amount is 0","OK"))))</f>
        <v/>
      </c>
    </row>
    <row r="494" spans="1:10" ht="16" x14ac:dyDescent="0.2">
      <c r="A494" s="30"/>
      <c r="B494" s="31"/>
      <c r="C494" s="30"/>
      <c r="D494" s="41"/>
      <c r="E494" s="30"/>
      <c r="F494" s="36"/>
      <c r="G494" s="42"/>
      <c r="H494" s="34" t="str">
        <f t="shared" si="7"/>
        <v/>
      </c>
      <c r="I494" s="37" t="str">
        <f>IF($A494="","",IF($A494&lt;&gt;'Invoice (print)'!$C$1,"",COUNTIF($A$8:$A494,$A494)))</f>
        <v/>
      </c>
      <c r="J494" s="37" t="str">
        <f>IF($A494="","",IF(COUNTIF(Invoices!$A$8:$A$257,$A494)=0,"Unknown invoice no.",IF($C494="","No description",IF($H494=0,"Amount is 0","OK"))))</f>
        <v/>
      </c>
    </row>
    <row r="495" spans="1:10" ht="16" x14ac:dyDescent="0.2">
      <c r="A495" s="30"/>
      <c r="B495" s="31"/>
      <c r="C495" s="30"/>
      <c r="D495" s="41"/>
      <c r="E495" s="30"/>
      <c r="F495" s="36"/>
      <c r="G495" s="42"/>
      <c r="H495" s="34" t="str">
        <f t="shared" si="7"/>
        <v/>
      </c>
      <c r="I495" s="37" t="str">
        <f>IF($A495="","",IF($A495&lt;&gt;'Invoice (print)'!$C$1,"",COUNTIF($A$8:$A495,$A495)))</f>
        <v/>
      </c>
      <c r="J495" s="37" t="str">
        <f>IF($A495="","",IF(COUNTIF(Invoices!$A$8:$A$257,$A495)=0,"Unknown invoice no.",IF($C495="","No description",IF($H495=0,"Amount is 0","OK"))))</f>
        <v/>
      </c>
    </row>
    <row r="496" spans="1:10" ht="16" x14ac:dyDescent="0.2">
      <c r="A496" s="30"/>
      <c r="B496" s="31"/>
      <c r="C496" s="30"/>
      <c r="D496" s="41"/>
      <c r="E496" s="30"/>
      <c r="F496" s="36"/>
      <c r="G496" s="42"/>
      <c r="H496" s="34" t="str">
        <f t="shared" si="7"/>
        <v/>
      </c>
      <c r="I496" s="37" t="str">
        <f>IF($A496="","",IF($A496&lt;&gt;'Invoice (print)'!$C$1,"",COUNTIF($A$8:$A496,$A496)))</f>
        <v/>
      </c>
      <c r="J496" s="37" t="str">
        <f>IF($A496="","",IF(COUNTIF(Invoices!$A$8:$A$257,$A496)=0,"Unknown invoice no.",IF($C496="","No description",IF($H496=0,"Amount is 0","OK"))))</f>
        <v/>
      </c>
    </row>
    <row r="497" spans="1:10" ht="16" x14ac:dyDescent="0.2">
      <c r="A497" s="30"/>
      <c r="B497" s="31"/>
      <c r="C497" s="30"/>
      <c r="D497" s="41"/>
      <c r="E497" s="30"/>
      <c r="F497" s="36"/>
      <c r="G497" s="42"/>
      <c r="H497" s="34" t="str">
        <f t="shared" si="7"/>
        <v/>
      </c>
      <c r="I497" s="37" t="str">
        <f>IF($A497="","",IF($A497&lt;&gt;'Invoice (print)'!$C$1,"",COUNTIF($A$8:$A497,$A497)))</f>
        <v/>
      </c>
      <c r="J497" s="37" t="str">
        <f>IF($A497="","",IF(COUNTIF(Invoices!$A$8:$A$257,$A497)=0,"Unknown invoice no.",IF($C497="","No description",IF($H497=0,"Amount is 0","OK"))))</f>
        <v/>
      </c>
    </row>
    <row r="498" spans="1:10" ht="16" x14ac:dyDescent="0.2">
      <c r="A498" s="30"/>
      <c r="B498" s="31"/>
      <c r="C498" s="30"/>
      <c r="D498" s="41"/>
      <c r="E498" s="30"/>
      <c r="F498" s="36"/>
      <c r="G498" s="42"/>
      <c r="H498" s="34" t="str">
        <f t="shared" si="7"/>
        <v/>
      </c>
      <c r="I498" s="37" t="str">
        <f>IF($A498="","",IF($A498&lt;&gt;'Invoice (print)'!$C$1,"",COUNTIF($A$8:$A498,$A498)))</f>
        <v/>
      </c>
      <c r="J498" s="37" t="str">
        <f>IF($A498="","",IF(COUNTIF(Invoices!$A$8:$A$257,$A498)=0,"Unknown invoice no.",IF($C498="","No description",IF($H498=0,"Amount is 0","OK"))))</f>
        <v/>
      </c>
    </row>
    <row r="499" spans="1:10" ht="16" x14ac:dyDescent="0.2">
      <c r="A499" s="30"/>
      <c r="B499" s="31"/>
      <c r="C499" s="30"/>
      <c r="D499" s="41"/>
      <c r="E499" s="30"/>
      <c r="F499" s="36"/>
      <c r="G499" s="42"/>
      <c r="H499" s="34" t="str">
        <f t="shared" si="7"/>
        <v/>
      </c>
      <c r="I499" s="37" t="str">
        <f>IF($A499="","",IF($A499&lt;&gt;'Invoice (print)'!$C$1,"",COUNTIF($A$8:$A499,$A499)))</f>
        <v/>
      </c>
      <c r="J499" s="37" t="str">
        <f>IF($A499="","",IF(COUNTIF(Invoices!$A$8:$A$257,$A499)=0,"Unknown invoice no.",IF($C499="","No description",IF($H499=0,"Amount is 0","OK"))))</f>
        <v/>
      </c>
    </row>
    <row r="500" spans="1:10" ht="16" x14ac:dyDescent="0.2">
      <c r="A500" s="30"/>
      <c r="B500" s="31"/>
      <c r="C500" s="30"/>
      <c r="D500" s="41"/>
      <c r="E500" s="30"/>
      <c r="F500" s="36"/>
      <c r="G500" s="42"/>
      <c r="H500" s="34" t="str">
        <f t="shared" si="7"/>
        <v/>
      </c>
      <c r="I500" s="37" t="str">
        <f>IF($A500="","",IF($A500&lt;&gt;'Invoice (print)'!$C$1,"",COUNTIF($A$8:$A500,$A500)))</f>
        <v/>
      </c>
      <c r="J500" s="37" t="str">
        <f>IF($A500="","",IF(COUNTIF(Invoices!$A$8:$A$257,$A500)=0,"Unknown invoice no.",IF($C500="","No description",IF($H500=0,"Amount is 0","OK"))))</f>
        <v/>
      </c>
    </row>
    <row r="501" spans="1:10" ht="16" x14ac:dyDescent="0.2">
      <c r="A501" s="30"/>
      <c r="B501" s="31"/>
      <c r="C501" s="30"/>
      <c r="D501" s="41"/>
      <c r="E501" s="30"/>
      <c r="F501" s="36"/>
      <c r="G501" s="42"/>
      <c r="H501" s="34" t="str">
        <f t="shared" si="7"/>
        <v/>
      </c>
      <c r="I501" s="37" t="str">
        <f>IF($A501="","",IF($A501&lt;&gt;'Invoice (print)'!$C$1,"",COUNTIF($A$8:$A501,$A501)))</f>
        <v/>
      </c>
      <c r="J501" s="37" t="str">
        <f>IF($A501="","",IF(COUNTIF(Invoices!$A$8:$A$257,$A501)=0,"Unknown invoice no.",IF($C501="","No description",IF($H501=0,"Amount is 0","OK"))))</f>
        <v/>
      </c>
    </row>
    <row r="502" spans="1:10" ht="16" x14ac:dyDescent="0.2">
      <c r="A502" s="30"/>
      <c r="B502" s="31"/>
      <c r="C502" s="30"/>
      <c r="D502" s="41"/>
      <c r="E502" s="30"/>
      <c r="F502" s="36"/>
      <c r="G502" s="42"/>
      <c r="H502" s="34" t="str">
        <f t="shared" si="7"/>
        <v/>
      </c>
      <c r="I502" s="37" t="str">
        <f>IF($A502="","",IF($A502&lt;&gt;'Invoice (print)'!$C$1,"",COUNTIF($A$8:$A502,$A502)))</f>
        <v/>
      </c>
      <c r="J502" s="37" t="str">
        <f>IF($A502="","",IF(COUNTIF(Invoices!$A$8:$A$257,$A502)=0,"Unknown invoice no.",IF($C502="","No description",IF($H502=0,"Amount is 0","OK"))))</f>
        <v/>
      </c>
    </row>
    <row r="503" spans="1:10" ht="16" x14ac:dyDescent="0.2">
      <c r="A503" s="30"/>
      <c r="B503" s="31"/>
      <c r="C503" s="30"/>
      <c r="D503" s="41"/>
      <c r="E503" s="30"/>
      <c r="F503" s="36"/>
      <c r="G503" s="42"/>
      <c r="H503" s="34" t="str">
        <f t="shared" si="7"/>
        <v/>
      </c>
      <c r="I503" s="37" t="str">
        <f>IF($A503="","",IF($A503&lt;&gt;'Invoice (print)'!$C$1,"",COUNTIF($A$8:$A503,$A503)))</f>
        <v/>
      </c>
      <c r="J503" s="37" t="str">
        <f>IF($A503="","",IF(COUNTIF(Invoices!$A$8:$A$257,$A503)=0,"Unknown invoice no.",IF($C503="","No description",IF($H503=0,"Amount is 0","OK"))))</f>
        <v/>
      </c>
    </row>
    <row r="504" spans="1:10" ht="16" x14ac:dyDescent="0.2">
      <c r="A504" s="30"/>
      <c r="B504" s="31"/>
      <c r="C504" s="30"/>
      <c r="D504" s="41"/>
      <c r="E504" s="30"/>
      <c r="F504" s="36"/>
      <c r="G504" s="42"/>
      <c r="H504" s="34" t="str">
        <f t="shared" si="7"/>
        <v/>
      </c>
      <c r="I504" s="37" t="str">
        <f>IF($A504="","",IF($A504&lt;&gt;'Invoice (print)'!$C$1,"",COUNTIF($A$8:$A504,$A504)))</f>
        <v/>
      </c>
      <c r="J504" s="37" t="str">
        <f>IF($A504="","",IF(COUNTIF(Invoices!$A$8:$A$257,$A504)=0,"Unknown invoice no.",IF($C504="","No description",IF($H504=0,"Amount is 0","OK"))))</f>
        <v/>
      </c>
    </row>
    <row r="505" spans="1:10" ht="16" x14ac:dyDescent="0.2">
      <c r="A505" s="30"/>
      <c r="B505" s="31"/>
      <c r="C505" s="30"/>
      <c r="D505" s="41"/>
      <c r="E505" s="30"/>
      <c r="F505" s="36"/>
      <c r="G505" s="42"/>
      <c r="H505" s="34" t="str">
        <f t="shared" si="7"/>
        <v/>
      </c>
      <c r="I505" s="37" t="str">
        <f>IF($A505="","",IF($A505&lt;&gt;'Invoice (print)'!$C$1,"",COUNTIF($A$8:$A505,$A505)))</f>
        <v/>
      </c>
      <c r="J505" s="37" t="str">
        <f>IF($A505="","",IF(COUNTIF(Invoices!$A$8:$A$257,$A505)=0,"Unknown invoice no.",IF($C505="","No description",IF($H505=0,"Amount is 0","OK"))))</f>
        <v/>
      </c>
    </row>
    <row r="506" spans="1:10" ht="16" x14ac:dyDescent="0.2">
      <c r="A506" s="30"/>
      <c r="B506" s="31"/>
      <c r="C506" s="30"/>
      <c r="D506" s="41"/>
      <c r="E506" s="30"/>
      <c r="F506" s="36"/>
      <c r="G506" s="42"/>
      <c r="H506" s="34" t="str">
        <f t="shared" si="7"/>
        <v/>
      </c>
      <c r="I506" s="37" t="str">
        <f>IF($A506="","",IF($A506&lt;&gt;'Invoice (print)'!$C$1,"",COUNTIF($A$8:$A506,$A506)))</f>
        <v/>
      </c>
      <c r="J506" s="37" t="str">
        <f>IF($A506="","",IF(COUNTIF(Invoices!$A$8:$A$257,$A506)=0,"Unknown invoice no.",IF($C506="","No description",IF($H506=0,"Amount is 0","OK"))))</f>
        <v/>
      </c>
    </row>
    <row r="507" spans="1:10" ht="16" x14ac:dyDescent="0.2">
      <c r="A507" s="30"/>
      <c r="B507" s="31"/>
      <c r="C507" s="30"/>
      <c r="D507" s="41"/>
      <c r="E507" s="30"/>
      <c r="F507" s="36"/>
      <c r="G507" s="42"/>
      <c r="H507" s="34" t="str">
        <f t="shared" si="7"/>
        <v/>
      </c>
      <c r="I507" s="37" t="str">
        <f>IF($A507="","",IF($A507&lt;&gt;'Invoice (print)'!$C$1,"",COUNTIF($A$8:$A507,$A507)))</f>
        <v/>
      </c>
      <c r="J507" s="37" t="str">
        <f>IF($A507="","",IF(COUNTIF(Invoices!$A$8:$A$257,$A507)=0,"Unknown invoice no.",IF($C507="","No description",IF($H507=0,"Amount is 0","OK"))))</f>
        <v/>
      </c>
    </row>
  </sheetData>
  <autoFilter ref="A7:J507" xr:uid="{00000000-0009-0000-0000-000003000000}"/>
  <mergeCells count="4">
    <mergeCell ref="A1:J1"/>
    <mergeCell ref="A4:J4"/>
    <mergeCell ref="A5:J5"/>
    <mergeCell ref="A2:J2"/>
  </mergeCells>
  <conditionalFormatting sqref="J8:J507">
    <cfRule type="cellIs" dxfId="3" priority="1" operator="equal">
      <formula>"OK"</formula>
    </cfRule>
    <cfRule type="expression" dxfId="2" priority="2">
      <formula>AND(LEN($J8)&gt;0,$J8&lt;&gt;"OK")</formula>
    </cfRule>
  </conditionalFormatting>
  <dataValidations count="3">
    <dataValidation type="decimal" errorStyle="warning" operator="greaterThanOrEqual" allowBlank="1" showErrorMessage="1" errorTitle="No negative quantities" error="Quantities are 0 or more." sqref="D8:D507" xr:uid="{00000000-0002-0000-0300-000002000000}">
      <formula1>0</formula1>
    </dataValidation>
    <dataValidation type="decimal" errorStyle="warning" operator="greaterThanOrEqual" allowBlank="1" showErrorMessage="1" errorTitle="No negative prices" error="Unit prices are 0 or more. For a credit note, create a separate invoice and enter the correction there as a negative unit price — this is a warning, so you can continue." sqref="F8:F507" xr:uid="{00000000-0002-0000-0300-000003000000}">
      <formula1>0</formula1>
    </dataValidation>
    <dataValidation type="decimal" errorStyle="warning" allowBlank="1" showErrorMessage="1" errorTitle="Discount in percent" error="A discount is a plain number between 0 and 100. 10 means 10 %." sqref="G8:G507" xr:uid="{00000000-0002-0000-0300-000004000000}">
      <formula1>0</formula1>
      <formula2>100</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300-000000000000}">
          <x14:formula1>
            <xm:f>Invoices!$A$8:$A$257</xm:f>
          </x14:formula1>
          <xm:sqref>A8:A507</xm:sqref>
        </x14:dataValidation>
        <x14:dataValidation type="list" allowBlank="1" xr:uid="{00000000-0002-0000-0300-000001000000}">
          <x14:formula1>
            <xm:f>Lists!$B$1:$B$20</xm:f>
          </x14:formula1>
          <xm:sqref>E8:E507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52"/>
  <sheetViews>
    <sheetView showGridLines="0" workbookViewId="0"/>
  </sheetViews>
  <sheetFormatPr baseColWidth="10" defaultColWidth="8.83203125" defaultRowHeight="15" x14ac:dyDescent="0.2"/>
  <cols>
    <col min="1" max="1" width="6" customWidth="1"/>
    <col min="2" max="2" width="46" customWidth="1"/>
    <col min="3" max="3" width="10" customWidth="1"/>
    <col min="4" max="4" width="12" customWidth="1"/>
    <col min="5" max="5" width="16" customWidth="1"/>
    <col min="6" max="6" width="18" customWidth="1"/>
    <col min="7" max="7" width="16" customWidth="1"/>
    <col min="8" max="8" width="2" customWidth="1"/>
    <col min="9" max="10" width="24" customWidth="1"/>
  </cols>
  <sheetData>
    <row r="1" spans="1:10" ht="20" customHeight="1" x14ac:dyDescent="0.2">
      <c r="A1" s="43" t="s">
        <v>176</v>
      </c>
      <c r="C1" s="44" t="s">
        <v>115</v>
      </c>
      <c r="D1" s="14" t="str">
        <f>IF($C$1="","Type or pick a number — the whole page fills itself. Ctrl/Cmd+P → PDF.",IF($J$1="","This number is not on the Invoices sheet yet — check the spelling.","Type or pick a number — the whole page fills itself. Ctrl/Cmd+P → PDF."))</f>
        <v>Type or pick a number — the whole page fills itself. Ctrl/Cmd+P → PDF.</v>
      </c>
      <c r="I1" s="45" t="s">
        <v>177</v>
      </c>
      <c r="J1" s="46">
        <f>IFERROR(MATCH($C$1,Invoices!$A$8:$A$257,0),"")</f>
        <v>4</v>
      </c>
    </row>
    <row r="2" spans="1:10" ht="34" customHeight="1" x14ac:dyDescent="0.4">
      <c r="A2" s="47" t="s">
        <v>178</v>
      </c>
      <c r="G2" s="48" t="str">
        <f ca="1">IFERROR(IF(INDEX(Invoices!$Q$8:$Q$257,$J$1)="Overdue","OVERDUE",""),"")</f>
        <v>OVERDUE</v>
      </c>
      <c r="I2" s="45" t="s">
        <v>179</v>
      </c>
      <c r="J2" s="46" t="str">
        <f>IFERROR(IF(INDEX(Invoices!$E$8:$E$257,$J$1)&amp;""="","there",INDEX(Invoices!$E$8:$E$257,$J$1)&amp;""),"there")</f>
        <v>Northwind Studio</v>
      </c>
    </row>
    <row r="3" spans="1:10" x14ac:dyDescent="0.2">
      <c r="I3" s="45" t="s">
        <v>180</v>
      </c>
      <c r="J3" s="46" t="str">
        <f ca="1">IFERROR(INDEX(Invoices!$Q$8:$Q$257,$J$1)&amp;"","")</f>
        <v>Overdue</v>
      </c>
    </row>
    <row r="4" spans="1:10" x14ac:dyDescent="0.2">
      <c r="I4" s="45" t="s">
        <v>181</v>
      </c>
      <c r="J4" s="46" t="str">
        <f ca="1">IFERROR(IF(INDEX(Invoices!$B$8:$B$257,$J$1)&amp;""="","—",YEAR(INDEX(Invoices!$B$8:$B$257,$J$1))&amp;"-"&amp;TEXT(MONTH(INDEX(Invoices!$B$8:$B$257,$J$1)),"00")&amp;"-"&amp;TEXT(DAY(INDEX(Invoices!$B$8:$B$257,$J$1)),"00")),"—")</f>
        <v>2026-06-07</v>
      </c>
    </row>
    <row r="5" spans="1:10" x14ac:dyDescent="0.2">
      <c r="I5" s="45" t="s">
        <v>182</v>
      </c>
      <c r="J5" s="46" t="str">
        <f ca="1">IFERROR(IF(INDEX(Invoices!$D$8:$D$257,$J$1)&amp;""="","—",YEAR(INDEX(Invoices!$D$8:$D$257,$J$1))&amp;"-"&amp;TEXT(MONTH(INDEX(Invoices!$D$8:$D$257,$J$1)),"00")&amp;"-"&amp;TEXT(DAY(INDEX(Invoices!$D$8:$D$257,$J$1)),"00")),"—")</f>
        <v>2026-07-07</v>
      </c>
    </row>
    <row r="6" spans="1:10" x14ac:dyDescent="0.2">
      <c r="A6" s="90" t="str">
        <f>IF('Start Here'!$C$4="","",'Start Here'!$C$4)</f>
        <v>Your business name</v>
      </c>
      <c r="B6" s="73"/>
      <c r="C6" s="73"/>
      <c r="E6" s="49" t="s">
        <v>183</v>
      </c>
      <c r="I6" s="45" t="s">
        <v>184</v>
      </c>
      <c r="J6" s="46" t="str">
        <f>IFERROR(IF(INDEX(Invoices!$L$8:$L$257,$J$1)="","—",'Start Here'!$C$12&amp;" " &amp;FIXED(INDEX(Invoices!$L$8:$L$257,$J$1),2)),"—")</f>
        <v>€ 3.209,00</v>
      </c>
    </row>
    <row r="7" spans="1:10" ht="16" x14ac:dyDescent="0.2">
      <c r="A7" s="88" t="str">
        <f>IF('Start Here'!$C$5="","",'Start Here'!$C$5)</f>
        <v>Your name</v>
      </c>
      <c r="B7" s="73"/>
      <c r="C7" s="73"/>
      <c r="E7" s="91" t="str">
        <f>IFERROR(IF(INDEX(Invoices!$E$8:$E$257,$J$1)&amp;""="","",INDEX(Invoices!$E$8:$E$257,$J$1)),"")</f>
        <v>Northwind Studio</v>
      </c>
      <c r="F7" s="73"/>
      <c r="G7" s="73"/>
      <c r="I7" s="45" t="s">
        <v>185</v>
      </c>
      <c r="J7" s="46" t="str">
        <f>IFERROR(IF(INDEX(Invoices!$O$8:$O$257,$J$1)="","—",'Start Here'!$C$12&amp;" " &amp;FIXED(INDEX(Invoices!$O$8:$O$257,$J$1),2)),"—")</f>
        <v>€ 3.209,00</v>
      </c>
    </row>
    <row r="8" spans="1:10" ht="74" customHeight="1" x14ac:dyDescent="0.2">
      <c r="A8" s="88" t="str">
        <f>IF('Start Here'!$C$6="","",'Start Here'!$C$6)</f>
        <v>Street 1</v>
      </c>
      <c r="B8" s="73"/>
      <c r="C8" s="73"/>
      <c r="E8" s="93" t="str">
        <f>IFERROR(IF(INDEX(Invoices!$G$8:$G$257,$J$1)&amp;""&lt;&gt;"",INDEX(Invoices!$G$8:$G$257,$J$1)&amp;"",IFERROR(INDEX(Invoices!$G$8:$G$257,MATCH(INDEX(Invoices!$E$8:$E$257,$J$1)&amp;"",Invoices!$Y$8:$Y$257,0))&amp;"","")),"")</f>
        <v>Northwind Studio
Harbour Road 12
2000 Antwerp
Belgium</v>
      </c>
      <c r="F8" s="73"/>
      <c r="G8" s="73"/>
      <c r="I8" s="45" t="s">
        <v>186</v>
      </c>
      <c r="J8" s="46" t="str">
        <f ca="1">IFERROR(INDEX(Invoices!$R$8:$R$257,$J$1)&amp;"","—")</f>
        <v>22</v>
      </c>
    </row>
    <row r="9" spans="1:10" x14ac:dyDescent="0.2">
      <c r="A9" s="88" t="str">
        <f>IF('Start Here'!$C$7="","",'Start Here'!$C$7)</f>
        <v>12345 Your city</v>
      </c>
      <c r="B9" s="73"/>
      <c r="C9" s="73"/>
      <c r="E9" s="88" t="str">
        <f>IFERROR(IF(INDEX(Invoices!$F$8:$F$257,$J$1)&amp;""="","",INDEX(Invoices!$F$8:$F$257,$J$1)),"")</f>
        <v>ana@northwind.example</v>
      </c>
      <c r="F9" s="73"/>
      <c r="G9" s="73"/>
    </row>
    <row r="10" spans="1:10" x14ac:dyDescent="0.2">
      <c r="A10" s="88" t="str">
        <f>IF('Start Here'!$C$8="","",'Start Here'!$C$8)</f>
        <v>Your country</v>
      </c>
      <c r="B10" s="73"/>
      <c r="C10" s="73"/>
      <c r="I10" s="50" t="s">
        <v>187</v>
      </c>
    </row>
    <row r="11" spans="1:10" x14ac:dyDescent="0.2">
      <c r="A11" s="88" t="str">
        <f>IF('Start Here'!$C$9="","",'Start Here'!$C$9)</f>
        <v>you@yourdomain.com</v>
      </c>
      <c r="B11" s="73"/>
      <c r="C11" s="73"/>
    </row>
    <row r="12" spans="1:10" x14ac:dyDescent="0.2">
      <c r="A12" s="88" t="str">
        <f>IF('Start Here'!$C$10="","",'Start Here'!$C$10)</f>
        <v>yourdomain.com</v>
      </c>
      <c r="B12" s="73"/>
      <c r="C12" s="73"/>
    </row>
    <row r="13" spans="1:10" x14ac:dyDescent="0.2">
      <c r="A13" s="88" t="str">
        <f>IF('Start Here'!$C$11="","",'Start Here'!$C$11)</f>
        <v/>
      </c>
      <c r="B13" s="73"/>
      <c r="C13" s="73"/>
    </row>
    <row r="15" spans="1:10" x14ac:dyDescent="0.2">
      <c r="A15" s="15" t="s">
        <v>188</v>
      </c>
      <c r="B15" s="43" t="str">
        <f>IF($J$1="","",$C$1)</f>
        <v>2026-004</v>
      </c>
      <c r="D15" s="15" t="s">
        <v>189</v>
      </c>
      <c r="E15" s="51" t="str">
        <f>IFERROR(IF(INDEX(Invoices!$C$8:$C$257,$J$1)&amp;""="",IF('Start Here'!$C$15="",14,'Start Here'!$C$15),INDEX(Invoices!$C$8:$C$257,$J$1))&amp;" days","")</f>
        <v>30 days</v>
      </c>
    </row>
    <row r="16" spans="1:10" x14ac:dyDescent="0.2">
      <c r="A16" s="15" t="s">
        <v>79</v>
      </c>
      <c r="B16" s="52">
        <f ca="1">IFERROR(IF(INDEX(Invoices!$B$8:$B$257,$J$1)&amp;""="","",INDEX(Invoices!$B$8:$B$257,$J$1)),"")</f>
        <v>46180</v>
      </c>
      <c r="D16" s="15" t="s">
        <v>190</v>
      </c>
      <c r="E16" s="51" t="str">
        <f>IFERROR(IF(INDEX(Invoices!$H$8:$H$257,$J$1)&amp;""="","",INDEX(Invoices!$H$8:$H$257,$J$1)),"")</f>
        <v>Website relaunch, phase 2</v>
      </c>
    </row>
    <row r="17" spans="1:7" x14ac:dyDescent="0.2">
      <c r="A17" s="15" t="s">
        <v>81</v>
      </c>
      <c r="B17" s="17">
        <f ca="1">IFERROR(IF(INDEX(Invoices!$D$8:$D$257,$J$1)&amp;""="","",INDEX(Invoices!$D$8:$D$257,$J$1)),"")</f>
        <v>46210</v>
      </c>
    </row>
    <row r="19" spans="1:7" ht="20" customHeight="1" x14ac:dyDescent="0.2">
      <c r="A19" s="53" t="s">
        <v>191</v>
      </c>
      <c r="B19" s="53" t="s">
        <v>144</v>
      </c>
      <c r="C19" s="54" t="s">
        <v>192</v>
      </c>
      <c r="D19" s="54" t="s">
        <v>146</v>
      </c>
      <c r="E19" s="54" t="s">
        <v>193</v>
      </c>
      <c r="F19" s="54" t="s">
        <v>194</v>
      </c>
      <c r="G19" s="54" t="s">
        <v>195</v>
      </c>
    </row>
    <row r="20" spans="1:7" ht="16" x14ac:dyDescent="0.2">
      <c r="A20" s="55">
        <v>1</v>
      </c>
      <c r="B20" s="56" t="str">
        <f>IFERROR(IF(INDEX('Line Items'!$C$8:$C$507,MATCH($A20,'Line Items'!$I$8:$I$507,0))&amp;""="","",INDEX('Line Items'!$C$8:$C$507,MATCH($A20,'Line Items'!$I$8:$I$507,0))),"")</f>
        <v>UX review of 14 screens</v>
      </c>
      <c r="C20" s="57">
        <f>IFERROR(IF(INDEX('Line Items'!$D$8:$D$507,MATCH($A20,'Line Items'!$I$8:$I$507,0))&amp;""="","",INDEX('Line Items'!$D$8:$D$507,MATCH($A20,'Line Items'!$I$8:$I$507,0))),"")</f>
        <v>12</v>
      </c>
      <c r="D20" s="58" t="str">
        <f>IFERROR(IF(INDEX('Line Items'!$E$8:$E$507,MATCH($A20,'Line Items'!$I$8:$I$507,0))&amp;""="","",INDEX('Line Items'!$E$8:$E$507,MATCH($A20,'Line Items'!$I$8:$I$507,0))),"")</f>
        <v>hour</v>
      </c>
      <c r="E20" s="59">
        <f>IFERROR(IF(INDEX('Line Items'!$F$8:$F$507,MATCH($A20,'Line Items'!$I$8:$I$507,0))&amp;""="","",INDEX('Line Items'!$F$8:$F$507,MATCH($A20,'Line Items'!$I$8:$I$507,0))),"")</f>
        <v>85</v>
      </c>
      <c r="F20" s="60" t="str">
        <f>IFERROR(IF(INDEX('Line Items'!$G$8:$G$507,MATCH($A20,'Line Items'!$I$8:$I$507,0))&amp;""="","",INDEX('Line Items'!$G$8:$G$507,MATCH($A20,'Line Items'!$I$8:$I$507,0))),"")</f>
        <v/>
      </c>
      <c r="G20" s="61">
        <f>IFERROR(IF(INDEX('Line Items'!$H$8:$H$507,MATCH($A20,'Line Items'!$I$8:$I$507,0))&amp;""="","",INDEX('Line Items'!$H$8:$H$507,MATCH($A20,'Line Items'!$I$8:$I$507,0))),"")</f>
        <v>1020</v>
      </c>
    </row>
    <row r="21" spans="1:7" ht="16" x14ac:dyDescent="0.2">
      <c r="A21" s="55">
        <v>2</v>
      </c>
      <c r="B21" s="56" t="str">
        <f>IFERROR(IF(INDEX('Line Items'!$C$8:$C$507,MATCH($A21,'Line Items'!$I$8:$I$507,0))&amp;""="","",INDEX('Line Items'!$C$8:$C$507,MATCH($A21,'Line Items'!$I$8:$I$507,0))),"")</f>
        <v>Copy rewrite, 9 pages</v>
      </c>
      <c r="C21" s="57">
        <f>IFERROR(IF(INDEX('Line Items'!$D$8:$D$507,MATCH($A21,'Line Items'!$I$8:$I$507,0))&amp;""="","",INDEX('Line Items'!$D$8:$D$507,MATCH($A21,'Line Items'!$I$8:$I$507,0))),"")</f>
        <v>9</v>
      </c>
      <c r="D21" s="58" t="str">
        <f>IFERROR(IF(INDEX('Line Items'!$E$8:$E$507,MATCH($A21,'Line Items'!$I$8:$I$507,0))&amp;""="","",INDEX('Line Items'!$E$8:$E$507,MATCH($A21,'Line Items'!$I$8:$I$507,0))),"")</f>
        <v>page</v>
      </c>
      <c r="E21" s="59">
        <f>IFERROR(IF(INDEX('Line Items'!$F$8:$F$507,MATCH($A21,'Line Items'!$I$8:$I$507,0))&amp;""="","",INDEX('Line Items'!$F$8:$F$507,MATCH($A21,'Line Items'!$I$8:$I$507,0))),"")</f>
        <v>90</v>
      </c>
      <c r="F21" s="60">
        <f>IFERROR(IF(INDEX('Line Items'!$G$8:$G$507,MATCH($A21,'Line Items'!$I$8:$I$507,0))&amp;""="","",INDEX('Line Items'!$G$8:$G$507,MATCH($A21,'Line Items'!$I$8:$I$507,0))),"")</f>
        <v>10</v>
      </c>
      <c r="G21" s="61">
        <f>IFERROR(IF(INDEX('Line Items'!$H$8:$H$507,MATCH($A21,'Line Items'!$I$8:$I$507,0))&amp;""="","",INDEX('Line Items'!$H$8:$H$507,MATCH($A21,'Line Items'!$I$8:$I$507,0))),"")</f>
        <v>729</v>
      </c>
    </row>
    <row r="22" spans="1:7" ht="16" x14ac:dyDescent="0.2">
      <c r="A22" s="55">
        <v>3</v>
      </c>
      <c r="B22" s="56" t="str">
        <f>IFERROR(IF(INDEX('Line Items'!$C$8:$C$507,MATCH($A22,'Line Items'!$I$8:$I$507,0))&amp;""="","",INDEX('Line Items'!$C$8:$C$507,MATCH($A22,'Line Items'!$I$8:$I$507,0))),"")</f>
        <v>Project management</v>
      </c>
      <c r="C22" s="57">
        <f>IFERROR(IF(INDEX('Line Items'!$D$8:$D$507,MATCH($A22,'Line Items'!$I$8:$I$507,0))&amp;""="","",INDEX('Line Items'!$D$8:$D$507,MATCH($A22,'Line Items'!$I$8:$I$507,0))),"")</f>
        <v>2</v>
      </c>
      <c r="D22" s="58" t="str">
        <f>IFERROR(IF(INDEX('Line Items'!$E$8:$E$507,MATCH($A22,'Line Items'!$I$8:$I$507,0))&amp;""="","",INDEX('Line Items'!$E$8:$E$507,MATCH($A22,'Line Items'!$I$8:$I$507,0))),"")</f>
        <v>day</v>
      </c>
      <c r="E22" s="59">
        <f>IFERROR(IF(INDEX('Line Items'!$F$8:$F$507,MATCH($A22,'Line Items'!$I$8:$I$507,0))&amp;""="","",INDEX('Line Items'!$F$8:$F$507,MATCH($A22,'Line Items'!$I$8:$I$507,0))),"")</f>
        <v>640</v>
      </c>
      <c r="F22" s="60" t="str">
        <f>IFERROR(IF(INDEX('Line Items'!$G$8:$G$507,MATCH($A22,'Line Items'!$I$8:$I$507,0))&amp;""="","",INDEX('Line Items'!$G$8:$G$507,MATCH($A22,'Line Items'!$I$8:$I$507,0))),"")</f>
        <v/>
      </c>
      <c r="G22" s="61">
        <f>IFERROR(IF(INDEX('Line Items'!$H$8:$H$507,MATCH($A22,'Line Items'!$I$8:$I$507,0))&amp;""="","",INDEX('Line Items'!$H$8:$H$507,MATCH($A22,'Line Items'!$I$8:$I$507,0))),"")</f>
        <v>1280</v>
      </c>
    </row>
    <row r="23" spans="1:7" ht="16" x14ac:dyDescent="0.2">
      <c r="A23" s="55">
        <v>4</v>
      </c>
      <c r="B23" s="56" t="str">
        <f>IFERROR(IF(INDEX('Line Items'!$C$8:$C$507,MATCH($A23,'Line Items'!$I$8:$I$507,0))&amp;""="","",INDEX('Line Items'!$C$8:$C$507,MATCH($A23,'Line Items'!$I$8:$I$507,0))),"")</f>
        <v>Extra revision round</v>
      </c>
      <c r="C23" s="57">
        <f>IFERROR(IF(INDEX('Line Items'!$D$8:$D$507,MATCH($A23,'Line Items'!$I$8:$I$507,0))&amp;""="","",INDEX('Line Items'!$D$8:$D$507,MATCH($A23,'Line Items'!$I$8:$I$507,0))),"")</f>
        <v>1</v>
      </c>
      <c r="D23" s="58" t="str">
        <f>IFERROR(IF(INDEX('Line Items'!$E$8:$E$507,MATCH($A23,'Line Items'!$I$8:$I$507,0))&amp;""="","",INDEX('Line Items'!$E$8:$E$507,MATCH($A23,'Line Items'!$I$8:$I$507,0))),"")</f>
        <v>item</v>
      </c>
      <c r="E23" s="59">
        <f>IFERROR(IF(INDEX('Line Items'!$F$8:$F$507,MATCH($A23,'Line Items'!$I$8:$I$507,0))&amp;""="","",INDEX('Line Items'!$F$8:$F$507,MATCH($A23,'Line Items'!$I$8:$I$507,0))),"")</f>
        <v>180</v>
      </c>
      <c r="F23" s="60" t="str">
        <f>IFERROR(IF(INDEX('Line Items'!$G$8:$G$507,MATCH($A23,'Line Items'!$I$8:$I$507,0))&amp;""="","",INDEX('Line Items'!$G$8:$G$507,MATCH($A23,'Line Items'!$I$8:$I$507,0))),"")</f>
        <v/>
      </c>
      <c r="G23" s="61">
        <f>IFERROR(IF(INDEX('Line Items'!$H$8:$H$507,MATCH($A23,'Line Items'!$I$8:$I$507,0))&amp;""="","",INDEX('Line Items'!$H$8:$H$507,MATCH($A23,'Line Items'!$I$8:$I$507,0))),"")</f>
        <v>180</v>
      </c>
    </row>
    <row r="24" spans="1:7" ht="16" x14ac:dyDescent="0.2">
      <c r="A24" s="55">
        <v>5</v>
      </c>
      <c r="B24" s="56" t="str">
        <f>IFERROR(IF(INDEX('Line Items'!$C$8:$C$507,MATCH($A24,'Line Items'!$I$8:$I$507,0))&amp;""="","",INDEX('Line Items'!$C$8:$C$507,MATCH($A24,'Line Items'!$I$8:$I$507,0))),"")</f>
        <v/>
      </c>
      <c r="C24" s="57" t="str">
        <f>IFERROR(IF(INDEX('Line Items'!$D$8:$D$507,MATCH($A24,'Line Items'!$I$8:$I$507,0))&amp;""="","",INDEX('Line Items'!$D$8:$D$507,MATCH($A24,'Line Items'!$I$8:$I$507,0))),"")</f>
        <v/>
      </c>
      <c r="D24" s="58" t="str">
        <f>IFERROR(IF(INDEX('Line Items'!$E$8:$E$507,MATCH($A24,'Line Items'!$I$8:$I$507,0))&amp;""="","",INDEX('Line Items'!$E$8:$E$507,MATCH($A24,'Line Items'!$I$8:$I$507,0))),"")</f>
        <v/>
      </c>
      <c r="E24" s="59" t="str">
        <f>IFERROR(IF(INDEX('Line Items'!$F$8:$F$507,MATCH($A24,'Line Items'!$I$8:$I$507,0))&amp;""="","",INDEX('Line Items'!$F$8:$F$507,MATCH($A24,'Line Items'!$I$8:$I$507,0))),"")</f>
        <v/>
      </c>
      <c r="F24" s="60" t="str">
        <f>IFERROR(IF(INDEX('Line Items'!$G$8:$G$507,MATCH($A24,'Line Items'!$I$8:$I$507,0))&amp;""="","",INDEX('Line Items'!$G$8:$G$507,MATCH($A24,'Line Items'!$I$8:$I$507,0))),"")</f>
        <v/>
      </c>
      <c r="G24" s="61" t="str">
        <f>IFERROR(IF(INDEX('Line Items'!$H$8:$H$507,MATCH($A24,'Line Items'!$I$8:$I$507,0))&amp;""="","",INDEX('Line Items'!$H$8:$H$507,MATCH($A24,'Line Items'!$I$8:$I$507,0))),"")</f>
        <v/>
      </c>
    </row>
    <row r="25" spans="1:7" ht="16" x14ac:dyDescent="0.2">
      <c r="A25" s="55">
        <v>6</v>
      </c>
      <c r="B25" s="56" t="str">
        <f>IFERROR(IF(INDEX('Line Items'!$C$8:$C$507,MATCH($A25,'Line Items'!$I$8:$I$507,0))&amp;""="","",INDEX('Line Items'!$C$8:$C$507,MATCH($A25,'Line Items'!$I$8:$I$507,0))),"")</f>
        <v/>
      </c>
      <c r="C25" s="57" t="str">
        <f>IFERROR(IF(INDEX('Line Items'!$D$8:$D$507,MATCH($A25,'Line Items'!$I$8:$I$507,0))&amp;""="","",INDEX('Line Items'!$D$8:$D$507,MATCH($A25,'Line Items'!$I$8:$I$507,0))),"")</f>
        <v/>
      </c>
      <c r="D25" s="58" t="str">
        <f>IFERROR(IF(INDEX('Line Items'!$E$8:$E$507,MATCH($A25,'Line Items'!$I$8:$I$507,0))&amp;""="","",INDEX('Line Items'!$E$8:$E$507,MATCH($A25,'Line Items'!$I$8:$I$507,0))),"")</f>
        <v/>
      </c>
      <c r="E25" s="59" t="str">
        <f>IFERROR(IF(INDEX('Line Items'!$F$8:$F$507,MATCH($A25,'Line Items'!$I$8:$I$507,0))&amp;""="","",INDEX('Line Items'!$F$8:$F$507,MATCH($A25,'Line Items'!$I$8:$I$507,0))),"")</f>
        <v/>
      </c>
      <c r="F25" s="60" t="str">
        <f>IFERROR(IF(INDEX('Line Items'!$G$8:$G$507,MATCH($A25,'Line Items'!$I$8:$I$507,0))&amp;""="","",INDEX('Line Items'!$G$8:$G$507,MATCH($A25,'Line Items'!$I$8:$I$507,0))),"")</f>
        <v/>
      </c>
      <c r="G25" s="61" t="str">
        <f>IFERROR(IF(INDEX('Line Items'!$H$8:$H$507,MATCH($A25,'Line Items'!$I$8:$I$507,0))&amp;""="","",INDEX('Line Items'!$H$8:$H$507,MATCH($A25,'Line Items'!$I$8:$I$507,0))),"")</f>
        <v/>
      </c>
    </row>
    <row r="26" spans="1:7" ht="16" x14ac:dyDescent="0.2">
      <c r="A26" s="55">
        <v>7</v>
      </c>
      <c r="B26" s="56" t="str">
        <f>IFERROR(IF(INDEX('Line Items'!$C$8:$C$507,MATCH($A26,'Line Items'!$I$8:$I$507,0))&amp;""="","",INDEX('Line Items'!$C$8:$C$507,MATCH($A26,'Line Items'!$I$8:$I$507,0))),"")</f>
        <v/>
      </c>
      <c r="C26" s="57" t="str">
        <f>IFERROR(IF(INDEX('Line Items'!$D$8:$D$507,MATCH($A26,'Line Items'!$I$8:$I$507,0))&amp;""="","",INDEX('Line Items'!$D$8:$D$507,MATCH($A26,'Line Items'!$I$8:$I$507,0))),"")</f>
        <v/>
      </c>
      <c r="D26" s="58" t="str">
        <f>IFERROR(IF(INDEX('Line Items'!$E$8:$E$507,MATCH($A26,'Line Items'!$I$8:$I$507,0))&amp;""="","",INDEX('Line Items'!$E$8:$E$507,MATCH($A26,'Line Items'!$I$8:$I$507,0))),"")</f>
        <v/>
      </c>
      <c r="E26" s="59" t="str">
        <f>IFERROR(IF(INDEX('Line Items'!$F$8:$F$507,MATCH($A26,'Line Items'!$I$8:$I$507,0))&amp;""="","",INDEX('Line Items'!$F$8:$F$507,MATCH($A26,'Line Items'!$I$8:$I$507,0))),"")</f>
        <v/>
      </c>
      <c r="F26" s="60" t="str">
        <f>IFERROR(IF(INDEX('Line Items'!$G$8:$G$507,MATCH($A26,'Line Items'!$I$8:$I$507,0))&amp;""="","",INDEX('Line Items'!$G$8:$G$507,MATCH($A26,'Line Items'!$I$8:$I$507,0))),"")</f>
        <v/>
      </c>
      <c r="G26" s="61" t="str">
        <f>IFERROR(IF(INDEX('Line Items'!$H$8:$H$507,MATCH($A26,'Line Items'!$I$8:$I$507,0))&amp;""="","",INDEX('Line Items'!$H$8:$H$507,MATCH($A26,'Line Items'!$I$8:$I$507,0))),"")</f>
        <v/>
      </c>
    </row>
    <row r="27" spans="1:7" ht="16" x14ac:dyDescent="0.2">
      <c r="A27" s="55">
        <v>8</v>
      </c>
      <c r="B27" s="56" t="str">
        <f>IFERROR(IF(INDEX('Line Items'!$C$8:$C$507,MATCH($A27,'Line Items'!$I$8:$I$507,0))&amp;""="","",INDEX('Line Items'!$C$8:$C$507,MATCH($A27,'Line Items'!$I$8:$I$507,0))),"")</f>
        <v/>
      </c>
      <c r="C27" s="57" t="str">
        <f>IFERROR(IF(INDEX('Line Items'!$D$8:$D$507,MATCH($A27,'Line Items'!$I$8:$I$507,0))&amp;""="","",INDEX('Line Items'!$D$8:$D$507,MATCH($A27,'Line Items'!$I$8:$I$507,0))),"")</f>
        <v/>
      </c>
      <c r="D27" s="58" t="str">
        <f>IFERROR(IF(INDEX('Line Items'!$E$8:$E$507,MATCH($A27,'Line Items'!$I$8:$I$507,0))&amp;""="","",INDEX('Line Items'!$E$8:$E$507,MATCH($A27,'Line Items'!$I$8:$I$507,0))),"")</f>
        <v/>
      </c>
      <c r="E27" s="59" t="str">
        <f>IFERROR(IF(INDEX('Line Items'!$F$8:$F$507,MATCH($A27,'Line Items'!$I$8:$I$507,0))&amp;""="","",INDEX('Line Items'!$F$8:$F$507,MATCH($A27,'Line Items'!$I$8:$I$507,0))),"")</f>
        <v/>
      </c>
      <c r="F27" s="60" t="str">
        <f>IFERROR(IF(INDEX('Line Items'!$G$8:$G$507,MATCH($A27,'Line Items'!$I$8:$I$507,0))&amp;""="","",INDEX('Line Items'!$G$8:$G$507,MATCH($A27,'Line Items'!$I$8:$I$507,0))),"")</f>
        <v/>
      </c>
      <c r="G27" s="61" t="str">
        <f>IFERROR(IF(INDEX('Line Items'!$H$8:$H$507,MATCH($A27,'Line Items'!$I$8:$I$507,0))&amp;""="","",INDEX('Line Items'!$H$8:$H$507,MATCH($A27,'Line Items'!$I$8:$I$507,0))),"")</f>
        <v/>
      </c>
    </row>
    <row r="28" spans="1:7" ht="16" x14ac:dyDescent="0.2">
      <c r="A28" s="55">
        <v>9</v>
      </c>
      <c r="B28" s="56" t="str">
        <f>IFERROR(IF(INDEX('Line Items'!$C$8:$C$507,MATCH($A28,'Line Items'!$I$8:$I$507,0))&amp;""="","",INDEX('Line Items'!$C$8:$C$507,MATCH($A28,'Line Items'!$I$8:$I$507,0))),"")</f>
        <v/>
      </c>
      <c r="C28" s="57" t="str">
        <f>IFERROR(IF(INDEX('Line Items'!$D$8:$D$507,MATCH($A28,'Line Items'!$I$8:$I$507,0))&amp;""="","",INDEX('Line Items'!$D$8:$D$507,MATCH($A28,'Line Items'!$I$8:$I$507,0))),"")</f>
        <v/>
      </c>
      <c r="D28" s="58" t="str">
        <f>IFERROR(IF(INDEX('Line Items'!$E$8:$E$507,MATCH($A28,'Line Items'!$I$8:$I$507,0))&amp;""="","",INDEX('Line Items'!$E$8:$E$507,MATCH($A28,'Line Items'!$I$8:$I$507,0))),"")</f>
        <v/>
      </c>
      <c r="E28" s="59" t="str">
        <f>IFERROR(IF(INDEX('Line Items'!$F$8:$F$507,MATCH($A28,'Line Items'!$I$8:$I$507,0))&amp;""="","",INDEX('Line Items'!$F$8:$F$507,MATCH($A28,'Line Items'!$I$8:$I$507,0))),"")</f>
        <v/>
      </c>
      <c r="F28" s="60" t="str">
        <f>IFERROR(IF(INDEX('Line Items'!$G$8:$G$507,MATCH($A28,'Line Items'!$I$8:$I$507,0))&amp;""="","",INDEX('Line Items'!$G$8:$G$507,MATCH($A28,'Line Items'!$I$8:$I$507,0))),"")</f>
        <v/>
      </c>
      <c r="G28" s="61" t="str">
        <f>IFERROR(IF(INDEX('Line Items'!$H$8:$H$507,MATCH($A28,'Line Items'!$I$8:$I$507,0))&amp;""="","",INDEX('Line Items'!$H$8:$H$507,MATCH($A28,'Line Items'!$I$8:$I$507,0))),"")</f>
        <v/>
      </c>
    </row>
    <row r="29" spans="1:7" ht="16" x14ac:dyDescent="0.2">
      <c r="A29" s="55">
        <v>10</v>
      </c>
      <c r="B29" s="56" t="str">
        <f>IFERROR(IF(INDEX('Line Items'!$C$8:$C$507,MATCH($A29,'Line Items'!$I$8:$I$507,0))&amp;""="","",INDEX('Line Items'!$C$8:$C$507,MATCH($A29,'Line Items'!$I$8:$I$507,0))),"")</f>
        <v/>
      </c>
      <c r="C29" s="57" t="str">
        <f>IFERROR(IF(INDEX('Line Items'!$D$8:$D$507,MATCH($A29,'Line Items'!$I$8:$I$507,0))&amp;""="","",INDEX('Line Items'!$D$8:$D$507,MATCH($A29,'Line Items'!$I$8:$I$507,0))),"")</f>
        <v/>
      </c>
      <c r="D29" s="58" t="str">
        <f>IFERROR(IF(INDEX('Line Items'!$E$8:$E$507,MATCH($A29,'Line Items'!$I$8:$I$507,0))&amp;""="","",INDEX('Line Items'!$E$8:$E$507,MATCH($A29,'Line Items'!$I$8:$I$507,0))),"")</f>
        <v/>
      </c>
      <c r="E29" s="59" t="str">
        <f>IFERROR(IF(INDEX('Line Items'!$F$8:$F$507,MATCH($A29,'Line Items'!$I$8:$I$507,0))&amp;""="","",INDEX('Line Items'!$F$8:$F$507,MATCH($A29,'Line Items'!$I$8:$I$507,0))),"")</f>
        <v/>
      </c>
      <c r="F29" s="60" t="str">
        <f>IFERROR(IF(INDEX('Line Items'!$G$8:$G$507,MATCH($A29,'Line Items'!$I$8:$I$507,0))&amp;""="","",INDEX('Line Items'!$G$8:$G$507,MATCH($A29,'Line Items'!$I$8:$I$507,0))),"")</f>
        <v/>
      </c>
      <c r="G29" s="61" t="str">
        <f>IFERROR(IF(INDEX('Line Items'!$H$8:$H$507,MATCH($A29,'Line Items'!$I$8:$I$507,0))&amp;""="","",INDEX('Line Items'!$H$8:$H$507,MATCH($A29,'Line Items'!$I$8:$I$507,0))),"")</f>
        <v/>
      </c>
    </row>
    <row r="30" spans="1:7" ht="16" x14ac:dyDescent="0.2">
      <c r="A30" s="55">
        <v>11</v>
      </c>
      <c r="B30" s="56" t="str">
        <f>IFERROR(IF(INDEX('Line Items'!$C$8:$C$507,MATCH($A30,'Line Items'!$I$8:$I$507,0))&amp;""="","",INDEX('Line Items'!$C$8:$C$507,MATCH($A30,'Line Items'!$I$8:$I$507,0))),"")</f>
        <v/>
      </c>
      <c r="C30" s="57" t="str">
        <f>IFERROR(IF(INDEX('Line Items'!$D$8:$D$507,MATCH($A30,'Line Items'!$I$8:$I$507,0))&amp;""="","",INDEX('Line Items'!$D$8:$D$507,MATCH($A30,'Line Items'!$I$8:$I$507,0))),"")</f>
        <v/>
      </c>
      <c r="D30" s="58" t="str">
        <f>IFERROR(IF(INDEX('Line Items'!$E$8:$E$507,MATCH($A30,'Line Items'!$I$8:$I$507,0))&amp;""="","",INDEX('Line Items'!$E$8:$E$507,MATCH($A30,'Line Items'!$I$8:$I$507,0))),"")</f>
        <v/>
      </c>
      <c r="E30" s="59" t="str">
        <f>IFERROR(IF(INDEX('Line Items'!$F$8:$F$507,MATCH($A30,'Line Items'!$I$8:$I$507,0))&amp;""="","",INDEX('Line Items'!$F$8:$F$507,MATCH($A30,'Line Items'!$I$8:$I$507,0))),"")</f>
        <v/>
      </c>
      <c r="F30" s="60" t="str">
        <f>IFERROR(IF(INDEX('Line Items'!$G$8:$G$507,MATCH($A30,'Line Items'!$I$8:$I$507,0))&amp;""="","",INDEX('Line Items'!$G$8:$G$507,MATCH($A30,'Line Items'!$I$8:$I$507,0))),"")</f>
        <v/>
      </c>
      <c r="G30" s="61" t="str">
        <f>IFERROR(IF(INDEX('Line Items'!$H$8:$H$507,MATCH($A30,'Line Items'!$I$8:$I$507,0))&amp;""="","",INDEX('Line Items'!$H$8:$H$507,MATCH($A30,'Line Items'!$I$8:$I$507,0))),"")</f>
        <v/>
      </c>
    </row>
    <row r="31" spans="1:7" ht="16" x14ac:dyDescent="0.2">
      <c r="A31" s="55">
        <v>12</v>
      </c>
      <c r="B31" s="56" t="str">
        <f>IFERROR(IF(INDEX('Line Items'!$C$8:$C$507,MATCH($A31,'Line Items'!$I$8:$I$507,0))&amp;""="","",INDEX('Line Items'!$C$8:$C$507,MATCH($A31,'Line Items'!$I$8:$I$507,0))),"")</f>
        <v/>
      </c>
      <c r="C31" s="57" t="str">
        <f>IFERROR(IF(INDEX('Line Items'!$D$8:$D$507,MATCH($A31,'Line Items'!$I$8:$I$507,0))&amp;""="","",INDEX('Line Items'!$D$8:$D$507,MATCH($A31,'Line Items'!$I$8:$I$507,0))),"")</f>
        <v/>
      </c>
      <c r="D31" s="58" t="str">
        <f>IFERROR(IF(INDEX('Line Items'!$E$8:$E$507,MATCH($A31,'Line Items'!$I$8:$I$507,0))&amp;""="","",INDEX('Line Items'!$E$8:$E$507,MATCH($A31,'Line Items'!$I$8:$I$507,0))),"")</f>
        <v/>
      </c>
      <c r="E31" s="59" t="str">
        <f>IFERROR(IF(INDEX('Line Items'!$F$8:$F$507,MATCH($A31,'Line Items'!$I$8:$I$507,0))&amp;""="","",INDEX('Line Items'!$F$8:$F$507,MATCH($A31,'Line Items'!$I$8:$I$507,0))),"")</f>
        <v/>
      </c>
      <c r="F31" s="60" t="str">
        <f>IFERROR(IF(INDEX('Line Items'!$G$8:$G$507,MATCH($A31,'Line Items'!$I$8:$I$507,0))&amp;""="","",INDEX('Line Items'!$G$8:$G$507,MATCH($A31,'Line Items'!$I$8:$I$507,0))),"")</f>
        <v/>
      </c>
      <c r="G31" s="61" t="str">
        <f>IFERROR(IF(INDEX('Line Items'!$H$8:$H$507,MATCH($A31,'Line Items'!$I$8:$I$507,0))&amp;""="","",INDEX('Line Items'!$H$8:$H$507,MATCH($A31,'Line Items'!$I$8:$I$507,0))),"")</f>
        <v/>
      </c>
    </row>
    <row r="33" spans="1:7" x14ac:dyDescent="0.2">
      <c r="A33" s="94" t="str">
        <f>IF(COUNTIF('Line Items'!$A$8:$A$507,$C$1)&gt;12,"Heads up: this invoice has "&amp;COUNTIF('Line Items'!$A$8:$A$507,$C$1)&amp;" line items — only the first 12 print here. Shorten them or split the invoice.","")</f>
        <v/>
      </c>
      <c r="B33" s="73"/>
      <c r="C33" s="73"/>
      <c r="D33" s="73"/>
      <c r="E33" s="73"/>
      <c r="F33" s="73"/>
      <c r="G33" s="73"/>
    </row>
    <row r="35" spans="1:7" x14ac:dyDescent="0.2">
      <c r="F35" s="62" t="str">
        <f>IF('Start Here'!$C$12="","Subtotal","Subtotal ("&amp;'Start Here'!$C$12&amp;")")</f>
        <v>Subtotal (€)</v>
      </c>
      <c r="G35" s="61">
        <f>IFERROR(IF(INDEX(Invoices!$I$8:$I$257,$J$1)&amp;""="","",INDEX(Invoices!$I$8:$I$257,$J$1)),"")</f>
        <v>3209</v>
      </c>
    </row>
    <row r="36" spans="1:7" x14ac:dyDescent="0.2">
      <c r="F36" s="62" t="str">
        <f>IFERROR("Tax "&amp;IF(INDEX(Invoices!$J$8:$J$257,$J$1)&amp;""="",IF('Start Here'!$C$22="",0,'Start Here'!$C$22),INDEX(Invoices!$J$8:$J$257,$J$1))&amp;" %","Tax")</f>
        <v>Tax 0 %</v>
      </c>
      <c r="G36" s="61">
        <f>IFERROR(IF(INDEX(Invoices!$K$8:$K$257,$J$1)&amp;""="","",INDEX(Invoices!$K$8:$K$257,$J$1)),"")</f>
        <v>0</v>
      </c>
    </row>
    <row r="37" spans="1:7" x14ac:dyDescent="0.2">
      <c r="F37" s="63" t="s">
        <v>196</v>
      </c>
      <c r="G37" s="64">
        <f>IFERROR(IF(INDEX(Invoices!$L$8:$L$257,$J$1)&amp;""="","",INDEX(Invoices!$L$8:$L$257,$J$1)),"")</f>
        <v>3209</v>
      </c>
    </row>
    <row r="38" spans="1:7" x14ac:dyDescent="0.2">
      <c r="F38" s="62" t="s">
        <v>197</v>
      </c>
      <c r="G38" s="61" t="str">
        <f>IFERROR(IF(INDEX(Invoices!$M$8:$M$257,$J$1)=0,"—",INDEX(Invoices!$M$8:$M$257,$J$1)),"")</f>
        <v>—</v>
      </c>
    </row>
    <row r="39" spans="1:7" ht="26" customHeight="1" x14ac:dyDescent="0.2">
      <c r="F39" s="65" t="str">
        <f>IF('Start Here'!$C$12="","AMOUNT DUE","AMOUNT DUE ("&amp;'Start Here'!$C$12&amp;")")</f>
        <v>AMOUNT DUE (€)</v>
      </c>
      <c r="G39" s="66">
        <f>IFERROR(IF(INDEX(Invoices!$O$8:$O$257,$J$1)&amp;""="","",INDEX(Invoices!$O$8:$O$257,$J$1)),"")</f>
        <v>3209</v>
      </c>
    </row>
    <row r="41" spans="1:7" x14ac:dyDescent="0.2">
      <c r="A41" s="49" t="s">
        <v>198</v>
      </c>
    </row>
    <row r="42" spans="1:7" x14ac:dyDescent="0.2">
      <c r="A42" s="74" t="str">
        <f>IF('Start Here'!$C$19="","",'Start Here'!$C$19)</f>
        <v>Bank: Your Bank · IBAN 00 0000 0000 0000 0000</v>
      </c>
      <c r="B42" s="73"/>
      <c r="C42" s="73"/>
      <c r="D42" s="73"/>
      <c r="E42" s="73"/>
      <c r="F42" s="73"/>
      <c r="G42" s="73"/>
    </row>
    <row r="43" spans="1:7" x14ac:dyDescent="0.2">
      <c r="A43" s="74" t="str">
        <f>IF('Start Here'!$C$20="","",'Start Here'!$C$20)</f>
        <v>PayPal: you@yourdomain.com</v>
      </c>
      <c r="B43" s="73"/>
      <c r="C43" s="73"/>
      <c r="D43" s="73"/>
      <c r="E43" s="73"/>
      <c r="F43" s="73"/>
      <c r="G43" s="73"/>
    </row>
    <row r="44" spans="1:7" x14ac:dyDescent="0.2">
      <c r="A44" s="89" t="str">
        <f>IF('Start Here'!$C$21="","",'Start Here'!$C$21)</f>
        <v>Thank you for your business. Please pay by the due date shown above.</v>
      </c>
      <c r="B44" s="73"/>
      <c r="C44" s="73"/>
      <c r="D44" s="73"/>
      <c r="E44" s="73"/>
      <c r="F44" s="73"/>
      <c r="G44" s="73"/>
    </row>
    <row r="46" spans="1:7" x14ac:dyDescent="0.2">
      <c r="A46" s="92" t="s">
        <v>199</v>
      </c>
      <c r="B46" s="73"/>
      <c r="C46" s="73"/>
      <c r="D46" s="73"/>
      <c r="E46" s="73"/>
      <c r="F46" s="73"/>
      <c r="G46" s="73"/>
    </row>
    <row r="47" spans="1:7" x14ac:dyDescent="0.2">
      <c r="A47" s="95" t="s">
        <v>200</v>
      </c>
      <c r="B47" s="73"/>
      <c r="C47" s="73"/>
      <c r="D47" s="73"/>
      <c r="E47" s="73"/>
      <c r="F47" s="73"/>
      <c r="G47" s="73"/>
    </row>
    <row r="48" spans="1:7" x14ac:dyDescent="0.2">
      <c r="A48" s="90" t="str">
        <f ca="1">IF($J$1="","",IF($J$3="Overdue","Subject: Invoice "&amp;$C$1&amp;" — payment overdue ("&amp;$J$8&amp;" days)","Subject: Invoice "&amp;$C$1&amp;" — due "&amp;$J$5))</f>
        <v>Subject: Invoice 2026-004 — payment overdue (22 days)</v>
      </c>
      <c r="B48" s="73"/>
      <c r="C48" s="73"/>
      <c r="D48" s="73"/>
      <c r="E48" s="73"/>
      <c r="F48" s="73"/>
      <c r="G48" s="73"/>
    </row>
    <row r="49" spans="1:7" ht="22" customHeight="1" x14ac:dyDescent="0.2">
      <c r="A49" s="87" t="str">
        <f ca="1">IF($J$1="","",IF($J$3="Overdue","Hello "&amp;$J$2&amp;","&amp;CHAR(10)&amp;CHAR(10)&amp;"invoice "&amp;$C$1&amp;" of "&amp;$J$4&amp;" over "&amp;$J$6&amp;" was due on "&amp;$J$5&amp;" and is now "&amp;$J$8&amp;" days past due."&amp;CHAR(10)&amp;"Open amount: "&amp;$J$7&amp;". Could you let me know when I can expect payment?",IF($J$3="Paid","Hello "&amp;$J$2&amp;","&amp;CHAR(10)&amp;CHAR(10)&amp;"invoice "&amp;$C$1&amp;" of "&amp;$J$4&amp;" over "&amp;$J$6&amp;" is settled — thank you very much.","Hello "&amp;$J$2&amp;","&amp;CHAR(10)&amp;CHAR(10)&amp;"a short note about invoice "&amp;$C$1&amp;" of "&amp;$J$4&amp;" over "&amp;$J$6&amp;", due on "&amp;$J$5&amp;". Open amount: "&amp;$J$7&amp;"."))&amp;CHAR(10)&amp;CHAR(10)&amp;"Best regards"&amp;CHAR(10)&amp;IF('Start Here'!$C$5="",'Start Here'!$C$4,'Start Here'!$C$5))</f>
        <v>Hello Northwind Studio,
invoice 2026-004 of 2026-06-07 over € 3.209,00 was due on 2026-07-07 and is now 22 days past due.
Open amount: € 3.209,00. Could you let me know when I can expect payment?
Best regards
Your name</v>
      </c>
      <c r="B49" s="73"/>
      <c r="C49" s="73"/>
      <c r="D49" s="73"/>
      <c r="E49" s="73"/>
      <c r="F49" s="73"/>
      <c r="G49" s="73"/>
    </row>
    <row r="50" spans="1:7" ht="22" customHeight="1" x14ac:dyDescent="0.2">
      <c r="A50" s="73"/>
      <c r="B50" s="73"/>
      <c r="C50" s="73"/>
      <c r="D50" s="73"/>
      <c r="E50" s="73"/>
      <c r="F50" s="73"/>
      <c r="G50" s="73"/>
    </row>
    <row r="51" spans="1:7" ht="22" customHeight="1" x14ac:dyDescent="0.2">
      <c r="A51" s="73"/>
      <c r="B51" s="73"/>
      <c r="C51" s="73"/>
      <c r="D51" s="73"/>
      <c r="E51" s="73"/>
      <c r="F51" s="73"/>
      <c r="G51" s="73"/>
    </row>
    <row r="52" spans="1:7" ht="22" customHeight="1" x14ac:dyDescent="0.2">
      <c r="A52" s="73"/>
      <c r="B52" s="73"/>
      <c r="C52" s="73"/>
      <c r="D52" s="73"/>
      <c r="E52" s="73"/>
      <c r="F52" s="73"/>
      <c r="G52" s="73"/>
    </row>
  </sheetData>
  <mergeCells count="19">
    <mergeCell ref="A6:C6"/>
    <mergeCell ref="E8:G8"/>
    <mergeCell ref="A7:C7"/>
    <mergeCell ref="A33:G33"/>
    <mergeCell ref="A47:G47"/>
    <mergeCell ref="A42:G42"/>
    <mergeCell ref="A8:C8"/>
    <mergeCell ref="A48:G48"/>
    <mergeCell ref="E7:G7"/>
    <mergeCell ref="A10:C10"/>
    <mergeCell ref="A13:C13"/>
    <mergeCell ref="A9:C9"/>
    <mergeCell ref="A46:G46"/>
    <mergeCell ref="A11:C11"/>
    <mergeCell ref="A49:G52"/>
    <mergeCell ref="E9:G9"/>
    <mergeCell ref="A43:G43"/>
    <mergeCell ref="A12:C12"/>
    <mergeCell ref="A44:G44"/>
  </mergeCells>
  <conditionalFormatting sqref="D1">
    <cfRule type="expression" dxfId="1" priority="2">
      <formula>LEFT($D$1,11)="This number"</formula>
    </cfRule>
  </conditionalFormatting>
  <conditionalFormatting sqref="G2">
    <cfRule type="cellIs" dxfId="0" priority="1" operator="equal">
      <formula>"OVERDUE"</formula>
    </cfRule>
  </conditionalFormatting>
  <pageMargins left="0.6" right="0.6" top="0.6" bottom="0.6" header="0.3" footer="0.3"/>
  <pageSetup orientation="portrait"/>
  <extLst>
    <ext xmlns:x14="http://schemas.microsoft.com/office/spreadsheetml/2009/9/main" uri="{CCE6A557-97BC-4b89-ADB6-D9C93CAAB3DF}">
      <x14:dataValidations xmlns:xm="http://schemas.microsoft.com/office/excel/2006/main" count="1">
        <x14:dataValidation type="list" allowBlank="1" xr:uid="{00000000-0002-0000-0400-000000000000}">
          <x14:formula1>
            <xm:f>Invoices!$A$8:$A$257</xm:f>
          </x14:formula1>
          <xm:sqref>C1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showGridLines="0" workbookViewId="0"/>
  </sheetViews>
  <sheetFormatPr baseColWidth="10" defaultColWidth="8.83203125" defaultRowHeight="15" x14ac:dyDescent="0.2"/>
  <cols>
    <col min="1" max="4" width="16" customWidth="1"/>
    <col min="5" max="5" width="4" customWidth="1"/>
    <col min="6" max="6" width="80" customWidth="1"/>
  </cols>
  <sheetData>
    <row r="1" spans="1:6" x14ac:dyDescent="0.2">
      <c r="A1" s="67" t="s">
        <v>138</v>
      </c>
      <c r="B1" s="67" t="s">
        <v>151</v>
      </c>
      <c r="C1" s="67" t="s">
        <v>18</v>
      </c>
      <c r="D1" s="67">
        <v>7</v>
      </c>
      <c r="F1" s="15" t="s">
        <v>201</v>
      </c>
    </row>
    <row r="2" spans="1:6" x14ac:dyDescent="0.2">
      <c r="A2" s="67" t="s">
        <v>113</v>
      </c>
      <c r="B2" s="67" t="s">
        <v>153</v>
      </c>
      <c r="C2" s="67" t="s">
        <v>202</v>
      </c>
      <c r="D2" s="67">
        <v>14</v>
      </c>
    </row>
    <row r="3" spans="1:6" x14ac:dyDescent="0.2">
      <c r="A3" s="67" t="s">
        <v>203</v>
      </c>
      <c r="B3" s="67" t="s">
        <v>204</v>
      </c>
      <c r="C3" s="67" t="s">
        <v>205</v>
      </c>
      <c r="D3" s="67">
        <v>21</v>
      </c>
    </row>
    <row r="4" spans="1:6" x14ac:dyDescent="0.2">
      <c r="A4" s="68"/>
      <c r="B4" s="67" t="s">
        <v>162</v>
      </c>
      <c r="C4" s="67" t="s">
        <v>206</v>
      </c>
      <c r="D4" s="67">
        <v>30</v>
      </c>
    </row>
    <row r="5" spans="1:6" x14ac:dyDescent="0.2">
      <c r="A5" s="68"/>
      <c r="B5" s="67" t="s">
        <v>157</v>
      </c>
      <c r="C5" s="67" t="s">
        <v>207</v>
      </c>
      <c r="D5" s="67">
        <v>45</v>
      </c>
    </row>
    <row r="6" spans="1:6" x14ac:dyDescent="0.2">
      <c r="A6" s="68"/>
      <c r="B6" s="67" t="s">
        <v>208</v>
      </c>
      <c r="C6" s="67" t="s">
        <v>209</v>
      </c>
      <c r="D6" s="67">
        <v>60</v>
      </c>
    </row>
    <row r="7" spans="1:6" x14ac:dyDescent="0.2">
      <c r="A7" s="68"/>
      <c r="B7" s="67" t="s">
        <v>166</v>
      </c>
      <c r="C7" s="67" t="s">
        <v>210</v>
      </c>
      <c r="D7" s="68"/>
    </row>
    <row r="8" spans="1:6" x14ac:dyDescent="0.2">
      <c r="A8" s="68"/>
      <c r="B8" s="67" t="s">
        <v>172</v>
      </c>
      <c r="C8" s="67" t="s">
        <v>211</v>
      </c>
      <c r="D8" s="68"/>
    </row>
    <row r="9" spans="1:6" x14ac:dyDescent="0.2">
      <c r="A9" s="68"/>
      <c r="B9" s="67" t="s">
        <v>155</v>
      </c>
      <c r="C9" s="67" t="s">
        <v>212</v>
      </c>
      <c r="D9" s="68"/>
    </row>
    <row r="10" spans="1:6" x14ac:dyDescent="0.2">
      <c r="A10" s="68"/>
      <c r="B10" s="67" t="s">
        <v>160</v>
      </c>
      <c r="C10" s="67" t="s">
        <v>213</v>
      </c>
      <c r="D10" s="68"/>
    </row>
    <row r="11" spans="1:6" x14ac:dyDescent="0.2">
      <c r="A11" s="68"/>
      <c r="B11" s="67" t="s">
        <v>214</v>
      </c>
      <c r="C11" s="67" t="s">
        <v>215</v>
      </c>
      <c r="D11" s="68"/>
    </row>
    <row r="12" spans="1:6" x14ac:dyDescent="0.2">
      <c r="A12" s="68"/>
      <c r="B12" s="68"/>
      <c r="C12" s="67" t="s">
        <v>216</v>
      </c>
      <c r="D12" s="68"/>
    </row>
    <row r="13" spans="1:6" x14ac:dyDescent="0.2">
      <c r="A13" s="68"/>
      <c r="B13" s="68"/>
      <c r="C13" s="68"/>
      <c r="D13" s="68"/>
    </row>
    <row r="14" spans="1:6" x14ac:dyDescent="0.2">
      <c r="A14" s="68"/>
      <c r="B14" s="68"/>
      <c r="C14" s="68"/>
      <c r="D14" s="68"/>
    </row>
    <row r="15" spans="1:6" x14ac:dyDescent="0.2">
      <c r="A15" s="68"/>
      <c r="B15" s="68"/>
      <c r="C15" s="68"/>
      <c r="D15" s="68"/>
    </row>
    <row r="16" spans="1:6" x14ac:dyDescent="0.2">
      <c r="A16" s="68"/>
      <c r="B16" s="68"/>
      <c r="C16" s="68"/>
      <c r="D16" s="68"/>
    </row>
    <row r="17" spans="1:4" x14ac:dyDescent="0.2">
      <c r="A17" s="68"/>
      <c r="B17" s="68"/>
      <c r="C17" s="68"/>
      <c r="D17" s="68"/>
    </row>
    <row r="18" spans="1:4" x14ac:dyDescent="0.2">
      <c r="A18" s="68"/>
      <c r="B18" s="68"/>
      <c r="C18" s="68"/>
      <c r="D18" s="68"/>
    </row>
    <row r="19" spans="1:4" x14ac:dyDescent="0.2">
      <c r="A19" s="68"/>
      <c r="B19" s="68"/>
      <c r="C19" s="68"/>
      <c r="D19" s="68"/>
    </row>
    <row r="20" spans="1:4" x14ac:dyDescent="0.2">
      <c r="A20" s="68"/>
      <c r="B20" s="68"/>
      <c r="C20" s="68"/>
      <c r="D20" s="6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Start Here</vt:lpstr>
      <vt:lpstr>Dashboard</vt:lpstr>
      <vt:lpstr>Invoices</vt:lpstr>
      <vt:lpstr>Line Items</vt:lpstr>
      <vt:lpstr>Invoice (print)</vt:lpstr>
      <vt:lpstr>Lists</vt:lpstr>
      <vt:lpstr>'Invoice (print)'!Druckbereich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Freelance Invoice Tracker</dc:title>
  <dc:creator>Workflow Atelier</dc:creator>
  <dc:description>Invoice register, line items, printable invoice and an overdue dashboard. Works in Excel and Google Sheets. No macros.</dc:description>
  <cp:lastModifiedBy>Fabian Hönes</cp:lastModifiedBy>
  <dcterms:created xsi:type="dcterms:W3CDTF">2026-07-25T00:30:40Z</dcterms:created>
  <dcterms:modified xsi:type="dcterms:W3CDTF">2026-07-29T11:20:14Z</dcterms:modified>
</cp:coreProperties>
</file>