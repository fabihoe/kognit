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fabianhones/Desktop/Geld_verdienen/experiment/products/client-capacity-tracker/"/>
    </mc:Choice>
  </mc:AlternateContent>
  <xr:revisionPtr revIDLastSave="0" documentId="13_ncr:1_{AAE5B733-A87F-AA45-86EA-F6FE50BD684C}" xr6:coauthVersionLast="47" xr6:coauthVersionMax="47" xr10:uidLastSave="{00000000-0000-0000-0000-000000000000}"/>
  <bookViews>
    <workbookView xWindow="0" yWindow="660" windowWidth="34560" windowHeight="20100" xr2:uid="{00000000-000D-0000-FFFF-FFFF00000000}"/>
  </bookViews>
  <sheets>
    <sheet name="Start Here" sheetId="1" r:id="rId1"/>
    <sheet name="Dashboard" sheetId="2" r:id="rId2"/>
    <sheet name="Projects" sheetId="3" r:id="rId3"/>
    <sheet name="Deliverables" sheetId="4" r:id="rId4"/>
    <sheet name="Week Capacity" sheetId="5" r:id="rId5"/>
    <sheet name="Lists" sheetId="6" r:id="rId6"/>
  </sheets>
  <definedNames>
    <definedName name="_xlnm._FilterDatabase" localSheetId="3" hidden="1">Deliverables!$A$4:$O$304</definedName>
    <definedName name="_xlnm._FilterDatabase" localSheetId="2" hidden="1">Projects!$A$4:$U$64</definedName>
    <definedName name="_xlnm.Print_Area" localSheetId="1">Dashboard!$A$1:$H$24</definedName>
    <definedName name="_xlnm.Print_Area" localSheetId="0">'Start Here'!$A$1:$B$24</definedName>
    <definedName name="_xlnm.Print_Area" localSheetId="4">'Week Capacity'!$A$1:$J$40</definedName>
    <definedName name="_xlnm.Print_Titles" localSheetId="3">Deliverables!$4:$4</definedName>
    <definedName name="_xlnm.Print_Titles" localSheetId="2">Projects!$4:$4</definedName>
  </definedNames>
  <calcPr calcId="18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13" i="5" l="1"/>
  <c r="A15" i="5" s="1"/>
  <c r="B11" i="5"/>
  <c r="B9" i="5"/>
  <c r="B8" i="5"/>
  <c r="B7" i="5"/>
  <c r="B10" i="5" s="1"/>
  <c r="K304" i="4"/>
  <c r="J304" i="4"/>
  <c r="I304" i="4"/>
  <c r="C304" i="4"/>
  <c r="A304" i="4"/>
  <c r="K303" i="4"/>
  <c r="J303" i="4"/>
  <c r="I303" i="4"/>
  <c r="C303" i="4"/>
  <c r="A303" i="4"/>
  <c r="K302" i="4"/>
  <c r="J302" i="4"/>
  <c r="I302" i="4"/>
  <c r="C302" i="4"/>
  <c r="A302" i="4"/>
  <c r="K301" i="4"/>
  <c r="J301" i="4"/>
  <c r="I301" i="4"/>
  <c r="C301" i="4"/>
  <c r="A301" i="4"/>
  <c r="K300" i="4"/>
  <c r="J300" i="4"/>
  <c r="I300" i="4"/>
  <c r="C300" i="4"/>
  <c r="A300" i="4"/>
  <c r="K299" i="4"/>
  <c r="J299" i="4"/>
  <c r="I299" i="4"/>
  <c r="C299" i="4"/>
  <c r="A299" i="4"/>
  <c r="K298" i="4"/>
  <c r="J298" i="4"/>
  <c r="I298" i="4"/>
  <c r="C298" i="4"/>
  <c r="A298" i="4"/>
  <c r="K297" i="4"/>
  <c r="J297" i="4"/>
  <c r="I297" i="4"/>
  <c r="C297" i="4"/>
  <c r="A297" i="4"/>
  <c r="K296" i="4"/>
  <c r="J296" i="4"/>
  <c r="I296" i="4"/>
  <c r="C296" i="4"/>
  <c r="A296" i="4"/>
  <c r="K295" i="4"/>
  <c r="J295" i="4"/>
  <c r="I295" i="4"/>
  <c r="C295" i="4"/>
  <c r="A295" i="4"/>
  <c r="K294" i="4"/>
  <c r="J294" i="4"/>
  <c r="I294" i="4"/>
  <c r="C294" i="4"/>
  <c r="A294" i="4"/>
  <c r="K293" i="4"/>
  <c r="J293" i="4"/>
  <c r="I293" i="4"/>
  <c r="C293" i="4"/>
  <c r="A293" i="4"/>
  <c r="K292" i="4"/>
  <c r="J292" i="4"/>
  <c r="I292" i="4"/>
  <c r="C292" i="4"/>
  <c r="A292" i="4"/>
  <c r="K291" i="4"/>
  <c r="J291" i="4"/>
  <c r="I291" i="4"/>
  <c r="C291" i="4"/>
  <c r="A291" i="4"/>
  <c r="K290" i="4"/>
  <c r="J290" i="4"/>
  <c r="I290" i="4"/>
  <c r="C290" i="4"/>
  <c r="A290" i="4"/>
  <c r="K289" i="4"/>
  <c r="J289" i="4"/>
  <c r="I289" i="4"/>
  <c r="C289" i="4"/>
  <c r="A289" i="4"/>
  <c r="K288" i="4"/>
  <c r="J288" i="4"/>
  <c r="I288" i="4"/>
  <c r="C288" i="4"/>
  <c r="A288" i="4"/>
  <c r="K287" i="4"/>
  <c r="J287" i="4"/>
  <c r="I287" i="4"/>
  <c r="C287" i="4"/>
  <c r="A287" i="4"/>
  <c r="K286" i="4"/>
  <c r="J286" i="4"/>
  <c r="I286" i="4"/>
  <c r="C286" i="4"/>
  <c r="A286" i="4"/>
  <c r="K285" i="4"/>
  <c r="J285" i="4"/>
  <c r="I285" i="4"/>
  <c r="C285" i="4"/>
  <c r="A285" i="4"/>
  <c r="K284" i="4"/>
  <c r="J284" i="4"/>
  <c r="I284" i="4"/>
  <c r="C284" i="4"/>
  <c r="A284" i="4"/>
  <c r="K283" i="4"/>
  <c r="J283" i="4"/>
  <c r="I283" i="4"/>
  <c r="C283" i="4"/>
  <c r="A283" i="4"/>
  <c r="K282" i="4"/>
  <c r="J282" i="4"/>
  <c r="I282" i="4"/>
  <c r="C282" i="4"/>
  <c r="A282" i="4"/>
  <c r="K281" i="4"/>
  <c r="J281" i="4"/>
  <c r="I281" i="4"/>
  <c r="C281" i="4"/>
  <c r="A281" i="4"/>
  <c r="K280" i="4"/>
  <c r="J280" i="4"/>
  <c r="I280" i="4"/>
  <c r="C280" i="4"/>
  <c r="A280" i="4"/>
  <c r="K279" i="4"/>
  <c r="J279" i="4"/>
  <c r="I279" i="4"/>
  <c r="C279" i="4"/>
  <c r="A279" i="4"/>
  <c r="K278" i="4"/>
  <c r="J278" i="4"/>
  <c r="I278" i="4"/>
  <c r="C278" i="4"/>
  <c r="A278" i="4"/>
  <c r="K277" i="4"/>
  <c r="J277" i="4"/>
  <c r="I277" i="4"/>
  <c r="C277" i="4"/>
  <c r="A277" i="4"/>
  <c r="K276" i="4"/>
  <c r="J276" i="4"/>
  <c r="I276" i="4"/>
  <c r="C276" i="4"/>
  <c r="A276" i="4"/>
  <c r="K275" i="4"/>
  <c r="J275" i="4"/>
  <c r="I275" i="4"/>
  <c r="C275" i="4"/>
  <c r="A275" i="4"/>
  <c r="K274" i="4"/>
  <c r="J274" i="4"/>
  <c r="I274" i="4"/>
  <c r="C274" i="4"/>
  <c r="A274" i="4"/>
  <c r="K273" i="4"/>
  <c r="J273" i="4"/>
  <c r="I273" i="4"/>
  <c r="C273" i="4"/>
  <c r="A273" i="4"/>
  <c r="K272" i="4"/>
  <c r="J272" i="4"/>
  <c r="I272" i="4"/>
  <c r="C272" i="4"/>
  <c r="A272" i="4"/>
  <c r="K271" i="4"/>
  <c r="J271" i="4"/>
  <c r="I271" i="4"/>
  <c r="C271" i="4"/>
  <c r="A271" i="4"/>
  <c r="K270" i="4"/>
  <c r="J270" i="4"/>
  <c r="I270" i="4"/>
  <c r="C270" i="4"/>
  <c r="A270" i="4"/>
  <c r="K269" i="4"/>
  <c r="J269" i="4"/>
  <c r="I269" i="4"/>
  <c r="C269" i="4"/>
  <c r="A269" i="4"/>
  <c r="K268" i="4"/>
  <c r="J268" i="4"/>
  <c r="I268" i="4"/>
  <c r="C268" i="4"/>
  <c r="A268" i="4"/>
  <c r="K267" i="4"/>
  <c r="J267" i="4"/>
  <c r="I267" i="4"/>
  <c r="C267" i="4"/>
  <c r="A267" i="4"/>
  <c r="K266" i="4"/>
  <c r="J266" i="4"/>
  <c r="I266" i="4"/>
  <c r="C266" i="4"/>
  <c r="A266" i="4"/>
  <c r="K265" i="4"/>
  <c r="J265" i="4"/>
  <c r="I265" i="4"/>
  <c r="C265" i="4"/>
  <c r="A265" i="4"/>
  <c r="K264" i="4"/>
  <c r="J264" i="4"/>
  <c r="I264" i="4"/>
  <c r="C264" i="4"/>
  <c r="A264" i="4"/>
  <c r="K263" i="4"/>
  <c r="J263" i="4"/>
  <c r="I263" i="4"/>
  <c r="C263" i="4"/>
  <c r="A263" i="4"/>
  <c r="K262" i="4"/>
  <c r="J262" i="4"/>
  <c r="I262" i="4"/>
  <c r="C262" i="4"/>
  <c r="A262" i="4"/>
  <c r="K261" i="4"/>
  <c r="J261" i="4"/>
  <c r="I261" i="4"/>
  <c r="C261" i="4"/>
  <c r="A261" i="4"/>
  <c r="K260" i="4"/>
  <c r="J260" i="4"/>
  <c r="I260" i="4"/>
  <c r="C260" i="4"/>
  <c r="A260" i="4"/>
  <c r="K259" i="4"/>
  <c r="J259" i="4"/>
  <c r="I259" i="4"/>
  <c r="C259" i="4"/>
  <c r="A259" i="4"/>
  <c r="K258" i="4"/>
  <c r="J258" i="4"/>
  <c r="I258" i="4"/>
  <c r="C258" i="4"/>
  <c r="A258" i="4"/>
  <c r="K257" i="4"/>
  <c r="J257" i="4"/>
  <c r="I257" i="4"/>
  <c r="C257" i="4"/>
  <c r="A257" i="4"/>
  <c r="K256" i="4"/>
  <c r="J256" i="4"/>
  <c r="I256" i="4"/>
  <c r="C256" i="4"/>
  <c r="A256" i="4"/>
  <c r="K255" i="4"/>
  <c r="J255" i="4"/>
  <c r="I255" i="4"/>
  <c r="C255" i="4"/>
  <c r="A255" i="4"/>
  <c r="K254" i="4"/>
  <c r="J254" i="4"/>
  <c r="I254" i="4"/>
  <c r="C254" i="4"/>
  <c r="A254" i="4"/>
  <c r="K253" i="4"/>
  <c r="J253" i="4"/>
  <c r="I253" i="4"/>
  <c r="C253" i="4"/>
  <c r="A253" i="4"/>
  <c r="K252" i="4"/>
  <c r="J252" i="4"/>
  <c r="I252" i="4"/>
  <c r="C252" i="4"/>
  <c r="A252" i="4"/>
  <c r="K251" i="4"/>
  <c r="J251" i="4"/>
  <c r="I251" i="4"/>
  <c r="C251" i="4"/>
  <c r="A251" i="4"/>
  <c r="K250" i="4"/>
  <c r="J250" i="4"/>
  <c r="I250" i="4"/>
  <c r="C250" i="4"/>
  <c r="A250" i="4"/>
  <c r="K249" i="4"/>
  <c r="J249" i="4"/>
  <c r="I249" i="4"/>
  <c r="C249" i="4"/>
  <c r="A249" i="4"/>
  <c r="K248" i="4"/>
  <c r="J248" i="4"/>
  <c r="I248" i="4"/>
  <c r="C248" i="4"/>
  <c r="A248" i="4"/>
  <c r="K247" i="4"/>
  <c r="J247" i="4"/>
  <c r="I247" i="4"/>
  <c r="C247" i="4"/>
  <c r="A247" i="4"/>
  <c r="K246" i="4"/>
  <c r="J246" i="4"/>
  <c r="I246" i="4"/>
  <c r="C246" i="4"/>
  <c r="A246" i="4"/>
  <c r="K245" i="4"/>
  <c r="J245" i="4"/>
  <c r="I245" i="4"/>
  <c r="C245" i="4"/>
  <c r="A245" i="4"/>
  <c r="K244" i="4"/>
  <c r="J244" i="4"/>
  <c r="I244" i="4"/>
  <c r="C244" i="4"/>
  <c r="A244" i="4"/>
  <c r="K243" i="4"/>
  <c r="J243" i="4"/>
  <c r="I243" i="4"/>
  <c r="C243" i="4"/>
  <c r="A243" i="4"/>
  <c r="K242" i="4"/>
  <c r="J242" i="4"/>
  <c r="I242" i="4"/>
  <c r="C242" i="4"/>
  <c r="A242" i="4"/>
  <c r="K241" i="4"/>
  <c r="J241" i="4"/>
  <c r="I241" i="4"/>
  <c r="C241" i="4"/>
  <c r="A241" i="4"/>
  <c r="K240" i="4"/>
  <c r="J240" i="4"/>
  <c r="I240" i="4"/>
  <c r="C240" i="4"/>
  <c r="A240" i="4"/>
  <c r="K239" i="4"/>
  <c r="J239" i="4"/>
  <c r="I239" i="4"/>
  <c r="C239" i="4"/>
  <c r="A239" i="4"/>
  <c r="K238" i="4"/>
  <c r="J238" i="4"/>
  <c r="I238" i="4"/>
  <c r="C238" i="4"/>
  <c r="A238" i="4"/>
  <c r="K237" i="4"/>
  <c r="J237" i="4"/>
  <c r="I237" i="4"/>
  <c r="C237" i="4"/>
  <c r="A237" i="4"/>
  <c r="K236" i="4"/>
  <c r="J236" i="4"/>
  <c r="I236" i="4"/>
  <c r="C236" i="4"/>
  <c r="A236" i="4"/>
  <c r="K235" i="4"/>
  <c r="J235" i="4"/>
  <c r="I235" i="4"/>
  <c r="C235" i="4"/>
  <c r="A235" i="4"/>
  <c r="K234" i="4"/>
  <c r="J234" i="4"/>
  <c r="I234" i="4"/>
  <c r="C234" i="4"/>
  <c r="A234" i="4"/>
  <c r="K233" i="4"/>
  <c r="J233" i="4"/>
  <c r="I233" i="4"/>
  <c r="C233" i="4"/>
  <c r="A233" i="4"/>
  <c r="K232" i="4"/>
  <c r="J232" i="4"/>
  <c r="I232" i="4"/>
  <c r="C232" i="4"/>
  <c r="A232" i="4"/>
  <c r="K231" i="4"/>
  <c r="J231" i="4"/>
  <c r="I231" i="4"/>
  <c r="C231" i="4"/>
  <c r="A231" i="4"/>
  <c r="K230" i="4"/>
  <c r="J230" i="4"/>
  <c r="I230" i="4"/>
  <c r="C230" i="4"/>
  <c r="A230" i="4"/>
  <c r="K229" i="4"/>
  <c r="J229" i="4"/>
  <c r="I229" i="4"/>
  <c r="C229" i="4"/>
  <c r="A229" i="4"/>
  <c r="K228" i="4"/>
  <c r="J228" i="4"/>
  <c r="I228" i="4"/>
  <c r="C228" i="4"/>
  <c r="A228" i="4"/>
  <c r="K227" i="4"/>
  <c r="J227" i="4"/>
  <c r="I227" i="4"/>
  <c r="C227" i="4"/>
  <c r="A227" i="4"/>
  <c r="K226" i="4"/>
  <c r="J226" i="4"/>
  <c r="I226" i="4"/>
  <c r="C226" i="4"/>
  <c r="A226" i="4"/>
  <c r="K225" i="4"/>
  <c r="J225" i="4"/>
  <c r="I225" i="4"/>
  <c r="C225" i="4"/>
  <c r="A225" i="4"/>
  <c r="K224" i="4"/>
  <c r="J224" i="4"/>
  <c r="I224" i="4"/>
  <c r="C224" i="4"/>
  <c r="A224" i="4"/>
  <c r="K223" i="4"/>
  <c r="J223" i="4"/>
  <c r="I223" i="4"/>
  <c r="C223" i="4"/>
  <c r="A223" i="4"/>
  <c r="K222" i="4"/>
  <c r="J222" i="4"/>
  <c r="I222" i="4"/>
  <c r="C222" i="4"/>
  <c r="A222" i="4"/>
  <c r="K221" i="4"/>
  <c r="J221" i="4"/>
  <c r="I221" i="4"/>
  <c r="C221" i="4"/>
  <c r="A221" i="4"/>
  <c r="K220" i="4"/>
  <c r="J220" i="4"/>
  <c r="I220" i="4"/>
  <c r="C220" i="4"/>
  <c r="A220" i="4"/>
  <c r="K219" i="4"/>
  <c r="J219" i="4"/>
  <c r="I219" i="4"/>
  <c r="C219" i="4"/>
  <c r="A219" i="4"/>
  <c r="K218" i="4"/>
  <c r="J218" i="4"/>
  <c r="I218" i="4"/>
  <c r="C218" i="4"/>
  <c r="A218" i="4"/>
  <c r="K217" i="4"/>
  <c r="J217" i="4"/>
  <c r="I217" i="4"/>
  <c r="C217" i="4"/>
  <c r="A217" i="4"/>
  <c r="K216" i="4"/>
  <c r="J216" i="4"/>
  <c r="I216" i="4"/>
  <c r="C216" i="4"/>
  <c r="A216" i="4"/>
  <c r="K215" i="4"/>
  <c r="J215" i="4"/>
  <c r="I215" i="4"/>
  <c r="C215" i="4"/>
  <c r="A215" i="4"/>
  <c r="K214" i="4"/>
  <c r="J214" i="4"/>
  <c r="I214" i="4"/>
  <c r="C214" i="4"/>
  <c r="A214" i="4"/>
  <c r="K213" i="4"/>
  <c r="J213" i="4"/>
  <c r="I213" i="4"/>
  <c r="C213" i="4"/>
  <c r="A213" i="4"/>
  <c r="K212" i="4"/>
  <c r="J212" i="4"/>
  <c r="I212" i="4"/>
  <c r="C212" i="4"/>
  <c r="A212" i="4"/>
  <c r="K211" i="4"/>
  <c r="J211" i="4"/>
  <c r="I211" i="4"/>
  <c r="C211" i="4"/>
  <c r="A211" i="4"/>
  <c r="K210" i="4"/>
  <c r="J210" i="4"/>
  <c r="I210" i="4"/>
  <c r="C210" i="4"/>
  <c r="A210" i="4"/>
  <c r="K209" i="4"/>
  <c r="J209" i="4"/>
  <c r="I209" i="4"/>
  <c r="C209" i="4"/>
  <c r="A209" i="4"/>
  <c r="K208" i="4"/>
  <c r="J208" i="4"/>
  <c r="I208" i="4"/>
  <c r="C208" i="4"/>
  <c r="A208" i="4"/>
  <c r="K207" i="4"/>
  <c r="J207" i="4"/>
  <c r="I207" i="4"/>
  <c r="C207" i="4"/>
  <c r="A207" i="4"/>
  <c r="K206" i="4"/>
  <c r="J206" i="4"/>
  <c r="I206" i="4"/>
  <c r="C206" i="4"/>
  <c r="A206" i="4"/>
  <c r="K205" i="4"/>
  <c r="J205" i="4"/>
  <c r="I205" i="4"/>
  <c r="C205" i="4"/>
  <c r="A205" i="4"/>
  <c r="K204" i="4"/>
  <c r="J204" i="4"/>
  <c r="I204" i="4"/>
  <c r="C204" i="4"/>
  <c r="A204" i="4"/>
  <c r="K203" i="4"/>
  <c r="J203" i="4"/>
  <c r="I203" i="4"/>
  <c r="C203" i="4"/>
  <c r="A203" i="4"/>
  <c r="K202" i="4"/>
  <c r="J202" i="4"/>
  <c r="I202" i="4"/>
  <c r="C202" i="4"/>
  <c r="A202" i="4"/>
  <c r="K201" i="4"/>
  <c r="J201" i="4"/>
  <c r="I201" i="4"/>
  <c r="C201" i="4"/>
  <c r="A201" i="4"/>
  <c r="K200" i="4"/>
  <c r="J200" i="4"/>
  <c r="I200" i="4"/>
  <c r="C200" i="4"/>
  <c r="A200" i="4"/>
  <c r="K199" i="4"/>
  <c r="J199" i="4"/>
  <c r="I199" i="4"/>
  <c r="C199" i="4"/>
  <c r="A199" i="4"/>
  <c r="K198" i="4"/>
  <c r="J198" i="4"/>
  <c r="I198" i="4"/>
  <c r="C198" i="4"/>
  <c r="A198" i="4"/>
  <c r="K197" i="4"/>
  <c r="J197" i="4"/>
  <c r="I197" i="4"/>
  <c r="C197" i="4"/>
  <c r="A197" i="4"/>
  <c r="K196" i="4"/>
  <c r="J196" i="4"/>
  <c r="I196" i="4"/>
  <c r="C196" i="4"/>
  <c r="A196" i="4"/>
  <c r="K195" i="4"/>
  <c r="J195" i="4"/>
  <c r="I195" i="4"/>
  <c r="C195" i="4"/>
  <c r="A195" i="4"/>
  <c r="K194" i="4"/>
  <c r="J194" i="4"/>
  <c r="I194" i="4"/>
  <c r="C194" i="4"/>
  <c r="A194" i="4"/>
  <c r="K193" i="4"/>
  <c r="J193" i="4"/>
  <c r="I193" i="4"/>
  <c r="C193" i="4"/>
  <c r="A193" i="4"/>
  <c r="K192" i="4"/>
  <c r="J192" i="4"/>
  <c r="I192" i="4"/>
  <c r="C192" i="4"/>
  <c r="A192" i="4"/>
  <c r="K191" i="4"/>
  <c r="J191" i="4"/>
  <c r="I191" i="4"/>
  <c r="C191" i="4"/>
  <c r="A191" i="4"/>
  <c r="K190" i="4"/>
  <c r="J190" i="4"/>
  <c r="I190" i="4"/>
  <c r="C190" i="4"/>
  <c r="A190" i="4"/>
  <c r="K189" i="4"/>
  <c r="J189" i="4"/>
  <c r="I189" i="4"/>
  <c r="C189" i="4"/>
  <c r="A189" i="4"/>
  <c r="K188" i="4"/>
  <c r="J188" i="4"/>
  <c r="I188" i="4"/>
  <c r="C188" i="4"/>
  <c r="A188" i="4"/>
  <c r="K187" i="4"/>
  <c r="J187" i="4"/>
  <c r="I187" i="4"/>
  <c r="C187" i="4"/>
  <c r="A187" i="4"/>
  <c r="K186" i="4"/>
  <c r="J186" i="4"/>
  <c r="I186" i="4"/>
  <c r="C186" i="4"/>
  <c r="A186" i="4"/>
  <c r="K185" i="4"/>
  <c r="J185" i="4"/>
  <c r="I185" i="4"/>
  <c r="C185" i="4"/>
  <c r="A185" i="4"/>
  <c r="K184" i="4"/>
  <c r="J184" i="4"/>
  <c r="I184" i="4"/>
  <c r="C184" i="4"/>
  <c r="A184" i="4"/>
  <c r="K183" i="4"/>
  <c r="J183" i="4"/>
  <c r="I183" i="4"/>
  <c r="C183" i="4"/>
  <c r="A183" i="4"/>
  <c r="K182" i="4"/>
  <c r="J182" i="4"/>
  <c r="I182" i="4"/>
  <c r="C182" i="4"/>
  <c r="A182" i="4"/>
  <c r="K181" i="4"/>
  <c r="J181" i="4"/>
  <c r="I181" i="4"/>
  <c r="C181" i="4"/>
  <c r="A181" i="4"/>
  <c r="K180" i="4"/>
  <c r="J180" i="4"/>
  <c r="I180" i="4"/>
  <c r="C180" i="4"/>
  <c r="A180" i="4"/>
  <c r="K179" i="4"/>
  <c r="J179" i="4"/>
  <c r="I179" i="4"/>
  <c r="C179" i="4"/>
  <c r="A179" i="4"/>
  <c r="K178" i="4"/>
  <c r="J178" i="4"/>
  <c r="I178" i="4"/>
  <c r="C178" i="4"/>
  <c r="A178" i="4"/>
  <c r="K177" i="4"/>
  <c r="J177" i="4"/>
  <c r="I177" i="4"/>
  <c r="C177" i="4"/>
  <c r="A177" i="4"/>
  <c r="K176" i="4"/>
  <c r="J176" i="4"/>
  <c r="I176" i="4"/>
  <c r="C176" i="4"/>
  <c r="A176" i="4"/>
  <c r="K175" i="4"/>
  <c r="J175" i="4"/>
  <c r="I175" i="4"/>
  <c r="C175" i="4"/>
  <c r="A175" i="4"/>
  <c r="K174" i="4"/>
  <c r="J174" i="4"/>
  <c r="I174" i="4"/>
  <c r="C174" i="4"/>
  <c r="A174" i="4"/>
  <c r="K173" i="4"/>
  <c r="J173" i="4"/>
  <c r="I173" i="4"/>
  <c r="C173" i="4"/>
  <c r="A173" i="4"/>
  <c r="K172" i="4"/>
  <c r="J172" i="4"/>
  <c r="I172" i="4"/>
  <c r="C172" i="4"/>
  <c r="A172" i="4"/>
  <c r="K171" i="4"/>
  <c r="J171" i="4"/>
  <c r="I171" i="4"/>
  <c r="C171" i="4"/>
  <c r="A171" i="4"/>
  <c r="K170" i="4"/>
  <c r="J170" i="4"/>
  <c r="I170" i="4"/>
  <c r="C170" i="4"/>
  <c r="A170" i="4"/>
  <c r="K169" i="4"/>
  <c r="J169" i="4"/>
  <c r="I169" i="4"/>
  <c r="C169" i="4"/>
  <c r="A169" i="4"/>
  <c r="K168" i="4"/>
  <c r="J168" i="4"/>
  <c r="I168" i="4"/>
  <c r="C168" i="4"/>
  <c r="A168" i="4"/>
  <c r="K167" i="4"/>
  <c r="J167" i="4"/>
  <c r="I167" i="4"/>
  <c r="C167" i="4"/>
  <c r="A167" i="4"/>
  <c r="K166" i="4"/>
  <c r="J166" i="4"/>
  <c r="I166" i="4"/>
  <c r="C166" i="4"/>
  <c r="A166" i="4"/>
  <c r="K165" i="4"/>
  <c r="J165" i="4"/>
  <c r="I165" i="4"/>
  <c r="C165" i="4"/>
  <c r="A165" i="4"/>
  <c r="K164" i="4"/>
  <c r="J164" i="4"/>
  <c r="I164" i="4"/>
  <c r="C164" i="4"/>
  <c r="A164" i="4"/>
  <c r="K163" i="4"/>
  <c r="J163" i="4"/>
  <c r="I163" i="4"/>
  <c r="C163" i="4"/>
  <c r="A163" i="4"/>
  <c r="K162" i="4"/>
  <c r="J162" i="4"/>
  <c r="I162" i="4"/>
  <c r="C162" i="4"/>
  <c r="A162" i="4"/>
  <c r="K161" i="4"/>
  <c r="J161" i="4"/>
  <c r="I161" i="4"/>
  <c r="C161" i="4"/>
  <c r="A161" i="4"/>
  <c r="K160" i="4"/>
  <c r="J160" i="4"/>
  <c r="I160" i="4"/>
  <c r="C160" i="4"/>
  <c r="A160" i="4"/>
  <c r="K159" i="4"/>
  <c r="J159" i="4"/>
  <c r="I159" i="4"/>
  <c r="C159" i="4"/>
  <c r="A159" i="4"/>
  <c r="K158" i="4"/>
  <c r="J158" i="4"/>
  <c r="I158" i="4"/>
  <c r="C158" i="4"/>
  <c r="A158" i="4"/>
  <c r="K157" i="4"/>
  <c r="J157" i="4"/>
  <c r="I157" i="4"/>
  <c r="C157" i="4"/>
  <c r="A157" i="4"/>
  <c r="K156" i="4"/>
  <c r="J156" i="4"/>
  <c r="I156" i="4"/>
  <c r="C156" i="4"/>
  <c r="A156" i="4"/>
  <c r="K155" i="4"/>
  <c r="J155" i="4"/>
  <c r="I155" i="4"/>
  <c r="C155" i="4"/>
  <c r="A155" i="4"/>
  <c r="K154" i="4"/>
  <c r="J154" i="4"/>
  <c r="I154" i="4"/>
  <c r="C154" i="4"/>
  <c r="A154" i="4"/>
  <c r="K153" i="4"/>
  <c r="J153" i="4"/>
  <c r="I153" i="4"/>
  <c r="C153" i="4"/>
  <c r="A153" i="4"/>
  <c r="K152" i="4"/>
  <c r="J152" i="4"/>
  <c r="I152" i="4"/>
  <c r="C152" i="4"/>
  <c r="A152" i="4"/>
  <c r="K151" i="4"/>
  <c r="J151" i="4"/>
  <c r="I151" i="4"/>
  <c r="C151" i="4"/>
  <c r="A151" i="4"/>
  <c r="K150" i="4"/>
  <c r="J150" i="4"/>
  <c r="I150" i="4"/>
  <c r="C150" i="4"/>
  <c r="A150" i="4"/>
  <c r="K149" i="4"/>
  <c r="J149" i="4"/>
  <c r="I149" i="4"/>
  <c r="C149" i="4"/>
  <c r="A149" i="4"/>
  <c r="K148" i="4"/>
  <c r="J148" i="4"/>
  <c r="I148" i="4"/>
  <c r="C148" i="4"/>
  <c r="A148" i="4"/>
  <c r="K147" i="4"/>
  <c r="J147" i="4"/>
  <c r="I147" i="4"/>
  <c r="C147" i="4"/>
  <c r="A147" i="4"/>
  <c r="K146" i="4"/>
  <c r="J146" i="4"/>
  <c r="I146" i="4"/>
  <c r="C146" i="4"/>
  <c r="A146" i="4"/>
  <c r="K145" i="4"/>
  <c r="J145" i="4"/>
  <c r="I145" i="4"/>
  <c r="C145" i="4"/>
  <c r="A145" i="4"/>
  <c r="K144" i="4"/>
  <c r="J144" i="4"/>
  <c r="I144" i="4"/>
  <c r="C144" i="4"/>
  <c r="A144" i="4"/>
  <c r="K143" i="4"/>
  <c r="J143" i="4"/>
  <c r="I143" i="4"/>
  <c r="C143" i="4"/>
  <c r="A143" i="4"/>
  <c r="K142" i="4"/>
  <c r="J142" i="4"/>
  <c r="I142" i="4"/>
  <c r="C142" i="4"/>
  <c r="A142" i="4"/>
  <c r="K141" i="4"/>
  <c r="J141" i="4"/>
  <c r="I141" i="4"/>
  <c r="C141" i="4"/>
  <c r="A141" i="4"/>
  <c r="K140" i="4"/>
  <c r="J140" i="4"/>
  <c r="I140" i="4"/>
  <c r="C140" i="4"/>
  <c r="A140" i="4"/>
  <c r="K139" i="4"/>
  <c r="J139" i="4"/>
  <c r="I139" i="4"/>
  <c r="C139" i="4"/>
  <c r="A139" i="4"/>
  <c r="K138" i="4"/>
  <c r="J138" i="4"/>
  <c r="I138" i="4"/>
  <c r="C138" i="4"/>
  <c r="A138" i="4"/>
  <c r="K137" i="4"/>
  <c r="J137" i="4"/>
  <c r="I137" i="4"/>
  <c r="C137" i="4"/>
  <c r="A137" i="4"/>
  <c r="K136" i="4"/>
  <c r="J136" i="4"/>
  <c r="I136" i="4"/>
  <c r="C136" i="4"/>
  <c r="A136" i="4"/>
  <c r="K135" i="4"/>
  <c r="J135" i="4"/>
  <c r="I135" i="4"/>
  <c r="C135" i="4"/>
  <c r="A135" i="4"/>
  <c r="K134" i="4"/>
  <c r="J134" i="4"/>
  <c r="I134" i="4"/>
  <c r="C134" i="4"/>
  <c r="A134" i="4"/>
  <c r="K133" i="4"/>
  <c r="J133" i="4"/>
  <c r="I133" i="4"/>
  <c r="C133" i="4"/>
  <c r="A133" i="4"/>
  <c r="K132" i="4"/>
  <c r="J132" i="4"/>
  <c r="I132" i="4"/>
  <c r="C132" i="4"/>
  <c r="A132" i="4"/>
  <c r="K131" i="4"/>
  <c r="J131" i="4"/>
  <c r="I131" i="4"/>
  <c r="C131" i="4"/>
  <c r="A131" i="4"/>
  <c r="K130" i="4"/>
  <c r="J130" i="4"/>
  <c r="I130" i="4"/>
  <c r="C130" i="4"/>
  <c r="A130" i="4"/>
  <c r="K129" i="4"/>
  <c r="J129" i="4"/>
  <c r="I129" i="4"/>
  <c r="C129" i="4"/>
  <c r="A129" i="4"/>
  <c r="K128" i="4"/>
  <c r="J128" i="4"/>
  <c r="I128" i="4"/>
  <c r="C128" i="4"/>
  <c r="A128" i="4"/>
  <c r="K127" i="4"/>
  <c r="J127" i="4"/>
  <c r="I127" i="4"/>
  <c r="C127" i="4"/>
  <c r="A127" i="4"/>
  <c r="K126" i="4"/>
  <c r="J126" i="4"/>
  <c r="I126" i="4"/>
  <c r="C126" i="4"/>
  <c r="A126" i="4"/>
  <c r="K125" i="4"/>
  <c r="J125" i="4"/>
  <c r="I125" i="4"/>
  <c r="C125" i="4"/>
  <c r="A125" i="4"/>
  <c r="K124" i="4"/>
  <c r="J124" i="4"/>
  <c r="I124" i="4"/>
  <c r="C124" i="4"/>
  <c r="A124" i="4"/>
  <c r="K123" i="4"/>
  <c r="J123" i="4"/>
  <c r="I123" i="4"/>
  <c r="C123" i="4"/>
  <c r="A123" i="4"/>
  <c r="K122" i="4"/>
  <c r="J122" i="4"/>
  <c r="I122" i="4"/>
  <c r="C122" i="4"/>
  <c r="A122" i="4"/>
  <c r="K121" i="4"/>
  <c r="J121" i="4"/>
  <c r="I121" i="4"/>
  <c r="C121" i="4"/>
  <c r="A121" i="4"/>
  <c r="K120" i="4"/>
  <c r="J120" i="4"/>
  <c r="I120" i="4"/>
  <c r="C120" i="4"/>
  <c r="A120" i="4"/>
  <c r="K119" i="4"/>
  <c r="J119" i="4"/>
  <c r="I119" i="4"/>
  <c r="C119" i="4"/>
  <c r="A119" i="4"/>
  <c r="K118" i="4"/>
  <c r="J118" i="4"/>
  <c r="I118" i="4"/>
  <c r="C118" i="4"/>
  <c r="A118" i="4"/>
  <c r="K117" i="4"/>
  <c r="J117" i="4"/>
  <c r="I117" i="4"/>
  <c r="C117" i="4"/>
  <c r="A117" i="4"/>
  <c r="K116" i="4"/>
  <c r="J116" i="4"/>
  <c r="I116" i="4"/>
  <c r="C116" i="4"/>
  <c r="A116" i="4"/>
  <c r="K115" i="4"/>
  <c r="J115" i="4"/>
  <c r="I115" i="4"/>
  <c r="C115" i="4"/>
  <c r="A115" i="4"/>
  <c r="K114" i="4"/>
  <c r="J114" i="4"/>
  <c r="I114" i="4"/>
  <c r="C114" i="4"/>
  <c r="A114" i="4"/>
  <c r="K113" i="4"/>
  <c r="J113" i="4"/>
  <c r="I113" i="4"/>
  <c r="C113" i="4"/>
  <c r="A113" i="4"/>
  <c r="K112" i="4"/>
  <c r="J112" i="4"/>
  <c r="I112" i="4"/>
  <c r="C112" i="4"/>
  <c r="A112" i="4"/>
  <c r="K111" i="4"/>
  <c r="J111" i="4"/>
  <c r="I111" i="4"/>
  <c r="C111" i="4"/>
  <c r="A111" i="4"/>
  <c r="K110" i="4"/>
  <c r="J110" i="4"/>
  <c r="I110" i="4"/>
  <c r="C110" i="4"/>
  <c r="A110" i="4"/>
  <c r="K109" i="4"/>
  <c r="J109" i="4"/>
  <c r="I109" i="4"/>
  <c r="C109" i="4"/>
  <c r="A109" i="4"/>
  <c r="K108" i="4"/>
  <c r="J108" i="4"/>
  <c r="I108" i="4"/>
  <c r="C108" i="4"/>
  <c r="A108" i="4"/>
  <c r="K107" i="4"/>
  <c r="J107" i="4"/>
  <c r="I107" i="4"/>
  <c r="C107" i="4"/>
  <c r="A107" i="4"/>
  <c r="K106" i="4"/>
  <c r="J106" i="4"/>
  <c r="I106" i="4"/>
  <c r="C106" i="4"/>
  <c r="A106" i="4"/>
  <c r="K105" i="4"/>
  <c r="J105" i="4"/>
  <c r="I105" i="4"/>
  <c r="C105" i="4"/>
  <c r="A105" i="4"/>
  <c r="K104" i="4"/>
  <c r="J104" i="4"/>
  <c r="I104" i="4"/>
  <c r="C104" i="4"/>
  <c r="A104" i="4"/>
  <c r="K103" i="4"/>
  <c r="J103" i="4"/>
  <c r="I103" i="4"/>
  <c r="C103" i="4"/>
  <c r="A103" i="4"/>
  <c r="K102" i="4"/>
  <c r="J102" i="4"/>
  <c r="I102" i="4"/>
  <c r="C102" i="4"/>
  <c r="A102" i="4"/>
  <c r="K101" i="4"/>
  <c r="J101" i="4"/>
  <c r="I101" i="4"/>
  <c r="C101" i="4"/>
  <c r="A101" i="4"/>
  <c r="K100" i="4"/>
  <c r="J100" i="4"/>
  <c r="I100" i="4"/>
  <c r="C100" i="4"/>
  <c r="A100" i="4"/>
  <c r="K99" i="4"/>
  <c r="J99" i="4"/>
  <c r="I99" i="4"/>
  <c r="C99" i="4"/>
  <c r="A99" i="4"/>
  <c r="K98" i="4"/>
  <c r="J98" i="4"/>
  <c r="I98" i="4"/>
  <c r="C98" i="4"/>
  <c r="A98" i="4"/>
  <c r="K97" i="4"/>
  <c r="J97" i="4"/>
  <c r="I97" i="4"/>
  <c r="C97" i="4"/>
  <c r="A97" i="4"/>
  <c r="K96" i="4"/>
  <c r="J96" i="4"/>
  <c r="I96" i="4"/>
  <c r="C96" i="4"/>
  <c r="A96" i="4"/>
  <c r="K95" i="4"/>
  <c r="J95" i="4"/>
  <c r="I95" i="4"/>
  <c r="C95" i="4"/>
  <c r="A95" i="4"/>
  <c r="K94" i="4"/>
  <c r="J94" i="4"/>
  <c r="I94" i="4"/>
  <c r="C94" i="4"/>
  <c r="A94" i="4"/>
  <c r="K93" i="4"/>
  <c r="J93" i="4"/>
  <c r="I93" i="4"/>
  <c r="C93" i="4"/>
  <c r="A93" i="4"/>
  <c r="K92" i="4"/>
  <c r="J92" i="4"/>
  <c r="I92" i="4"/>
  <c r="C92" i="4"/>
  <c r="A92" i="4"/>
  <c r="K91" i="4"/>
  <c r="J91" i="4"/>
  <c r="I91" i="4"/>
  <c r="C91" i="4"/>
  <c r="A91" i="4"/>
  <c r="K90" i="4"/>
  <c r="J90" i="4"/>
  <c r="I90" i="4"/>
  <c r="C90" i="4"/>
  <c r="A90" i="4"/>
  <c r="K89" i="4"/>
  <c r="J89" i="4"/>
  <c r="I89" i="4"/>
  <c r="C89" i="4"/>
  <c r="A89" i="4"/>
  <c r="K88" i="4"/>
  <c r="J88" i="4"/>
  <c r="I88" i="4"/>
  <c r="C88" i="4"/>
  <c r="A88" i="4"/>
  <c r="K87" i="4"/>
  <c r="J87" i="4"/>
  <c r="I87" i="4"/>
  <c r="C87" i="4"/>
  <c r="A87" i="4"/>
  <c r="K86" i="4"/>
  <c r="J86" i="4"/>
  <c r="I86" i="4"/>
  <c r="C86" i="4"/>
  <c r="A86" i="4"/>
  <c r="K85" i="4"/>
  <c r="J85" i="4"/>
  <c r="I85" i="4"/>
  <c r="C85" i="4"/>
  <c r="A85" i="4"/>
  <c r="K84" i="4"/>
  <c r="J84" i="4"/>
  <c r="I84" i="4"/>
  <c r="C84" i="4"/>
  <c r="A84" i="4"/>
  <c r="K83" i="4"/>
  <c r="J83" i="4"/>
  <c r="I83" i="4"/>
  <c r="C83" i="4"/>
  <c r="A83" i="4"/>
  <c r="K82" i="4"/>
  <c r="J82" i="4"/>
  <c r="I82" i="4"/>
  <c r="C82" i="4"/>
  <c r="A82" i="4"/>
  <c r="K81" i="4"/>
  <c r="J81" i="4"/>
  <c r="I81" i="4"/>
  <c r="C81" i="4"/>
  <c r="A81" i="4"/>
  <c r="K80" i="4"/>
  <c r="J80" i="4"/>
  <c r="I80" i="4"/>
  <c r="C80" i="4"/>
  <c r="A80" i="4"/>
  <c r="K79" i="4"/>
  <c r="J79" i="4"/>
  <c r="I79" i="4"/>
  <c r="C79" i="4"/>
  <c r="A79" i="4"/>
  <c r="K78" i="4"/>
  <c r="J78" i="4"/>
  <c r="I78" i="4"/>
  <c r="C78" i="4"/>
  <c r="A78" i="4"/>
  <c r="K77" i="4"/>
  <c r="J77" i="4"/>
  <c r="I77" i="4"/>
  <c r="C77" i="4"/>
  <c r="A77" i="4"/>
  <c r="K76" i="4"/>
  <c r="J76" i="4"/>
  <c r="I76" i="4"/>
  <c r="C76" i="4"/>
  <c r="A76" i="4"/>
  <c r="K75" i="4"/>
  <c r="J75" i="4"/>
  <c r="I75" i="4"/>
  <c r="C75" i="4"/>
  <c r="A75" i="4"/>
  <c r="K74" i="4"/>
  <c r="J74" i="4"/>
  <c r="I74" i="4"/>
  <c r="C74" i="4"/>
  <c r="A74" i="4"/>
  <c r="K73" i="4"/>
  <c r="J73" i="4"/>
  <c r="I73" i="4"/>
  <c r="C73" i="4"/>
  <c r="A73" i="4"/>
  <c r="K72" i="4"/>
  <c r="J72" i="4"/>
  <c r="I72" i="4"/>
  <c r="C72" i="4"/>
  <c r="A72" i="4"/>
  <c r="K71" i="4"/>
  <c r="J71" i="4"/>
  <c r="I71" i="4"/>
  <c r="C71" i="4"/>
  <c r="A71" i="4"/>
  <c r="K70" i="4"/>
  <c r="J70" i="4"/>
  <c r="I70" i="4"/>
  <c r="C70" i="4"/>
  <c r="A70" i="4"/>
  <c r="K69" i="4"/>
  <c r="J69" i="4"/>
  <c r="I69" i="4"/>
  <c r="C69" i="4"/>
  <c r="A69" i="4"/>
  <c r="K68" i="4"/>
  <c r="J68" i="4"/>
  <c r="I68" i="4"/>
  <c r="C68" i="4"/>
  <c r="A68" i="4"/>
  <c r="K67" i="4"/>
  <c r="J67" i="4"/>
  <c r="I67" i="4"/>
  <c r="C67" i="4"/>
  <c r="A67" i="4"/>
  <c r="K66" i="4"/>
  <c r="J66" i="4"/>
  <c r="I66" i="4"/>
  <c r="C66" i="4"/>
  <c r="A66" i="4"/>
  <c r="K65" i="4"/>
  <c r="J65" i="4"/>
  <c r="I65" i="4"/>
  <c r="C65" i="4"/>
  <c r="A65" i="4"/>
  <c r="K64" i="4"/>
  <c r="J64" i="4"/>
  <c r="I64" i="4"/>
  <c r="C64" i="4"/>
  <c r="A64" i="4"/>
  <c r="K63" i="4"/>
  <c r="J63" i="4"/>
  <c r="I63" i="4"/>
  <c r="C63" i="4"/>
  <c r="A63" i="4"/>
  <c r="K62" i="4"/>
  <c r="J62" i="4"/>
  <c r="I62" i="4"/>
  <c r="C62" i="4"/>
  <c r="A62" i="4"/>
  <c r="K61" i="4"/>
  <c r="J61" i="4"/>
  <c r="I61" i="4"/>
  <c r="C61" i="4"/>
  <c r="A61" i="4"/>
  <c r="K60" i="4"/>
  <c r="J60" i="4"/>
  <c r="I60" i="4"/>
  <c r="C60" i="4"/>
  <c r="A60" i="4"/>
  <c r="K59" i="4"/>
  <c r="J59" i="4"/>
  <c r="I59" i="4"/>
  <c r="C59" i="4"/>
  <c r="A59" i="4"/>
  <c r="K58" i="4"/>
  <c r="J58" i="4"/>
  <c r="I58" i="4"/>
  <c r="C58" i="4"/>
  <c r="A58" i="4"/>
  <c r="K57" i="4"/>
  <c r="J57" i="4"/>
  <c r="I57" i="4"/>
  <c r="C57" i="4"/>
  <c r="A57" i="4"/>
  <c r="K56" i="4"/>
  <c r="J56" i="4"/>
  <c r="I56" i="4"/>
  <c r="C56" i="4"/>
  <c r="A56" i="4"/>
  <c r="K55" i="4"/>
  <c r="J55" i="4"/>
  <c r="I55" i="4"/>
  <c r="C55" i="4"/>
  <c r="A55" i="4"/>
  <c r="K54" i="4"/>
  <c r="J54" i="4"/>
  <c r="I54" i="4"/>
  <c r="C54" i="4"/>
  <c r="A54" i="4"/>
  <c r="K53" i="4"/>
  <c r="J53" i="4"/>
  <c r="I53" i="4"/>
  <c r="C53" i="4"/>
  <c r="A53" i="4"/>
  <c r="K52" i="4"/>
  <c r="J52" i="4"/>
  <c r="I52" i="4"/>
  <c r="C52" i="4"/>
  <c r="A52" i="4"/>
  <c r="K51" i="4"/>
  <c r="J51" i="4"/>
  <c r="I51" i="4"/>
  <c r="C51" i="4"/>
  <c r="A51" i="4"/>
  <c r="K50" i="4"/>
  <c r="J50" i="4"/>
  <c r="I50" i="4"/>
  <c r="C50" i="4"/>
  <c r="A50" i="4"/>
  <c r="K49" i="4"/>
  <c r="J49" i="4"/>
  <c r="I49" i="4"/>
  <c r="C49" i="4"/>
  <c r="A49" i="4"/>
  <c r="K48" i="4"/>
  <c r="J48" i="4"/>
  <c r="I48" i="4"/>
  <c r="C48" i="4"/>
  <c r="A48" i="4"/>
  <c r="K47" i="4"/>
  <c r="J47" i="4"/>
  <c r="I47" i="4"/>
  <c r="C47" i="4"/>
  <c r="A47" i="4"/>
  <c r="K46" i="4"/>
  <c r="J46" i="4"/>
  <c r="I46" i="4"/>
  <c r="C46" i="4"/>
  <c r="A46" i="4"/>
  <c r="K45" i="4"/>
  <c r="J45" i="4"/>
  <c r="I45" i="4"/>
  <c r="C45" i="4"/>
  <c r="A45" i="4"/>
  <c r="K44" i="4"/>
  <c r="J44" i="4"/>
  <c r="I44" i="4"/>
  <c r="C44" i="4"/>
  <c r="A44" i="4"/>
  <c r="K43" i="4"/>
  <c r="J43" i="4"/>
  <c r="I43" i="4"/>
  <c r="C43" i="4"/>
  <c r="A43" i="4"/>
  <c r="K42" i="4"/>
  <c r="J42" i="4"/>
  <c r="I42" i="4"/>
  <c r="C42" i="4"/>
  <c r="A42" i="4"/>
  <c r="K41" i="4"/>
  <c r="J41" i="4"/>
  <c r="I41" i="4"/>
  <c r="C41" i="4"/>
  <c r="A41" i="4"/>
  <c r="K40" i="4"/>
  <c r="J40" i="4"/>
  <c r="I40" i="4"/>
  <c r="C40" i="4"/>
  <c r="A40" i="4"/>
  <c r="K39" i="4"/>
  <c r="J39" i="4"/>
  <c r="I39" i="4"/>
  <c r="C39" i="4"/>
  <c r="A39" i="4"/>
  <c r="K38" i="4"/>
  <c r="J38" i="4"/>
  <c r="I38" i="4"/>
  <c r="C38" i="4"/>
  <c r="A38" i="4"/>
  <c r="K37" i="4"/>
  <c r="J37" i="4"/>
  <c r="I37" i="4"/>
  <c r="C37" i="4"/>
  <c r="A37" i="4"/>
  <c r="K36" i="4"/>
  <c r="J36" i="4"/>
  <c r="I36" i="4"/>
  <c r="C36" i="4"/>
  <c r="A36" i="4"/>
  <c r="K35" i="4"/>
  <c r="J35" i="4"/>
  <c r="I35" i="4"/>
  <c r="C35" i="4"/>
  <c r="A35" i="4"/>
  <c r="K34" i="4"/>
  <c r="J34" i="4"/>
  <c r="I34" i="4"/>
  <c r="C34" i="4"/>
  <c r="A34" i="4"/>
  <c r="K33" i="4"/>
  <c r="J33" i="4"/>
  <c r="I33" i="4"/>
  <c r="C33" i="4"/>
  <c r="A33" i="4"/>
  <c r="K32" i="4"/>
  <c r="J32" i="4"/>
  <c r="I32" i="4"/>
  <c r="C32" i="4"/>
  <c r="A32" i="4"/>
  <c r="K31" i="4"/>
  <c r="J31" i="4"/>
  <c r="I31" i="4"/>
  <c r="C31" i="4"/>
  <c r="A31" i="4"/>
  <c r="K30" i="4"/>
  <c r="J30" i="4"/>
  <c r="I30" i="4"/>
  <c r="C30" i="4"/>
  <c r="A30" i="4"/>
  <c r="K29" i="4"/>
  <c r="J29" i="4"/>
  <c r="I29" i="4"/>
  <c r="C29" i="4"/>
  <c r="A29" i="4"/>
  <c r="K28" i="4"/>
  <c r="J28" i="4"/>
  <c r="I28" i="4"/>
  <c r="C28" i="4"/>
  <c r="A28" i="4"/>
  <c r="K27" i="4"/>
  <c r="J27" i="4"/>
  <c r="I27" i="4"/>
  <c r="C27" i="4"/>
  <c r="A27" i="4"/>
  <c r="K26" i="4"/>
  <c r="J26" i="4"/>
  <c r="I26" i="4"/>
  <c r="C26" i="4"/>
  <c r="A26" i="4"/>
  <c r="K25" i="4"/>
  <c r="J25" i="4"/>
  <c r="I25" i="4"/>
  <c r="C25" i="4"/>
  <c r="A25" i="4"/>
  <c r="K24" i="4"/>
  <c r="J24" i="4"/>
  <c r="I24" i="4"/>
  <c r="C24" i="4"/>
  <c r="A24" i="4"/>
  <c r="K23" i="4"/>
  <c r="J23" i="4"/>
  <c r="I23" i="4"/>
  <c r="C23" i="4"/>
  <c r="A23" i="4"/>
  <c r="K22" i="4"/>
  <c r="J22" i="4"/>
  <c r="I22" i="4"/>
  <c r="C22" i="4"/>
  <c r="A22" i="4"/>
  <c r="K21" i="4"/>
  <c r="J21" i="4"/>
  <c r="I21" i="4"/>
  <c r="C21" i="4"/>
  <c r="A21" i="4"/>
  <c r="K20" i="4"/>
  <c r="J20" i="4"/>
  <c r="I20" i="4"/>
  <c r="C20" i="4"/>
  <c r="A20" i="4"/>
  <c r="K19" i="4"/>
  <c r="J19" i="4"/>
  <c r="I19" i="4"/>
  <c r="C19" i="4"/>
  <c r="A19" i="4"/>
  <c r="K18" i="4"/>
  <c r="J18" i="4"/>
  <c r="I18" i="4"/>
  <c r="C18" i="4"/>
  <c r="A18" i="4"/>
  <c r="K17" i="4"/>
  <c r="J17" i="4"/>
  <c r="I17" i="4"/>
  <c r="C17" i="4"/>
  <c r="A17" i="4"/>
  <c r="K16" i="4"/>
  <c r="J16" i="4"/>
  <c r="I16" i="4"/>
  <c r="C16" i="4"/>
  <c r="A16" i="4"/>
  <c r="K15" i="4"/>
  <c r="J15" i="4"/>
  <c r="I15" i="4"/>
  <c r="C15" i="4"/>
  <c r="A15" i="4"/>
  <c r="K14" i="4"/>
  <c r="J14" i="4"/>
  <c r="I14" i="4"/>
  <c r="C14" i="4"/>
  <c r="A14" i="4"/>
  <c r="K13" i="4"/>
  <c r="J13" i="4"/>
  <c r="I13" i="4"/>
  <c r="C13" i="4"/>
  <c r="A13" i="4"/>
  <c r="K12" i="4"/>
  <c r="J12" i="4"/>
  <c r="I12" i="4"/>
  <c r="C12" i="4"/>
  <c r="A12" i="4"/>
  <c r="K11" i="4"/>
  <c r="J11" i="4"/>
  <c r="I11" i="4"/>
  <c r="C11" i="4"/>
  <c r="A11" i="4"/>
  <c r="K10" i="4"/>
  <c r="J10" i="4"/>
  <c r="I10" i="4"/>
  <c r="C10" i="4"/>
  <c r="A10" i="4"/>
  <c r="I9" i="4"/>
  <c r="E9" i="4"/>
  <c r="J9" i="4" s="1"/>
  <c r="C9" i="4"/>
  <c r="A9" i="4"/>
  <c r="I8" i="4"/>
  <c r="E8" i="4"/>
  <c r="K8" i="4" s="1"/>
  <c r="C8" i="4"/>
  <c r="A8" i="4"/>
  <c r="I7" i="4"/>
  <c r="E7" i="4"/>
  <c r="J7" i="4" s="1"/>
  <c r="C7" i="4"/>
  <c r="A7" i="4"/>
  <c r="I6" i="4"/>
  <c r="E6" i="4"/>
  <c r="K6" i="4" s="1"/>
  <c r="C6" i="4"/>
  <c r="A6" i="4"/>
  <c r="I5" i="4"/>
  <c r="E5" i="4"/>
  <c r="J5" i="4" s="1"/>
  <c r="C5" i="4"/>
  <c r="A5" i="4"/>
  <c r="T64" i="3"/>
  <c r="S64" i="3"/>
  <c r="R64" i="3"/>
  <c r="Q64" i="3"/>
  <c r="O64" i="3"/>
  <c r="N64" i="3"/>
  <c r="M64" i="3"/>
  <c r="H64" i="3"/>
  <c r="A64" i="3"/>
  <c r="T63" i="3"/>
  <c r="S63" i="3"/>
  <c r="R63" i="3"/>
  <c r="Q63" i="3"/>
  <c r="O63" i="3"/>
  <c r="N63" i="3"/>
  <c r="M63" i="3"/>
  <c r="H63" i="3"/>
  <c r="A63" i="3"/>
  <c r="T62" i="3"/>
  <c r="S62" i="3"/>
  <c r="R62" i="3"/>
  <c r="Q62" i="3"/>
  <c r="O62" i="3"/>
  <c r="N62" i="3"/>
  <c r="M62" i="3"/>
  <c r="H62" i="3"/>
  <c r="A62" i="3"/>
  <c r="T61" i="3"/>
  <c r="S61" i="3"/>
  <c r="R61" i="3"/>
  <c r="Q61" i="3"/>
  <c r="O61" i="3"/>
  <c r="N61" i="3"/>
  <c r="M61" i="3"/>
  <c r="H61" i="3"/>
  <c r="A61" i="3"/>
  <c r="T60" i="3"/>
  <c r="S60" i="3"/>
  <c r="R60" i="3"/>
  <c r="Q60" i="3"/>
  <c r="O60" i="3"/>
  <c r="N60" i="3"/>
  <c r="M60" i="3"/>
  <c r="H60" i="3"/>
  <c r="A60" i="3"/>
  <c r="T59" i="3"/>
  <c r="S59" i="3"/>
  <c r="R59" i="3"/>
  <c r="Q59" i="3"/>
  <c r="O59" i="3"/>
  <c r="N59" i="3"/>
  <c r="M59" i="3"/>
  <c r="H59" i="3"/>
  <c r="A59" i="3"/>
  <c r="T58" i="3"/>
  <c r="S58" i="3"/>
  <c r="R58" i="3"/>
  <c r="Q58" i="3"/>
  <c r="O58" i="3"/>
  <c r="N58" i="3"/>
  <c r="M58" i="3"/>
  <c r="H58" i="3"/>
  <c r="A58" i="3"/>
  <c r="T57" i="3"/>
  <c r="S57" i="3"/>
  <c r="R57" i="3"/>
  <c r="Q57" i="3"/>
  <c r="O57" i="3"/>
  <c r="N57" i="3"/>
  <c r="M57" i="3"/>
  <c r="H57" i="3"/>
  <c r="A57" i="3"/>
  <c r="T56" i="3"/>
  <c r="S56" i="3"/>
  <c r="R56" i="3"/>
  <c r="Q56" i="3"/>
  <c r="O56" i="3"/>
  <c r="N56" i="3"/>
  <c r="M56" i="3"/>
  <c r="H56" i="3"/>
  <c r="A56" i="3"/>
  <c r="T55" i="3"/>
  <c r="S55" i="3"/>
  <c r="R55" i="3"/>
  <c r="Q55" i="3"/>
  <c r="O55" i="3"/>
  <c r="N55" i="3"/>
  <c r="M55" i="3"/>
  <c r="H55" i="3"/>
  <c r="A55" i="3"/>
  <c r="T54" i="3"/>
  <c r="S54" i="3"/>
  <c r="R54" i="3"/>
  <c r="Q54" i="3"/>
  <c r="O54" i="3"/>
  <c r="N54" i="3"/>
  <c r="M54" i="3"/>
  <c r="H54" i="3"/>
  <c r="A54" i="3"/>
  <c r="T53" i="3"/>
  <c r="S53" i="3"/>
  <c r="R53" i="3"/>
  <c r="Q53" i="3"/>
  <c r="O53" i="3"/>
  <c r="N53" i="3"/>
  <c r="M53" i="3"/>
  <c r="H53" i="3"/>
  <c r="A53" i="3"/>
  <c r="T52" i="3"/>
  <c r="S52" i="3"/>
  <c r="R52" i="3"/>
  <c r="Q52" i="3"/>
  <c r="O52" i="3"/>
  <c r="N52" i="3"/>
  <c r="M52" i="3"/>
  <c r="H52" i="3"/>
  <c r="A52" i="3"/>
  <c r="T51" i="3"/>
  <c r="S51" i="3"/>
  <c r="R51" i="3"/>
  <c r="Q51" i="3"/>
  <c r="O51" i="3"/>
  <c r="N51" i="3"/>
  <c r="M51" i="3"/>
  <c r="H51" i="3"/>
  <c r="A51" i="3"/>
  <c r="T50" i="3"/>
  <c r="S50" i="3"/>
  <c r="R50" i="3"/>
  <c r="Q50" i="3"/>
  <c r="O50" i="3"/>
  <c r="N50" i="3"/>
  <c r="M50" i="3"/>
  <c r="H50" i="3"/>
  <c r="A50" i="3"/>
  <c r="T49" i="3"/>
  <c r="S49" i="3"/>
  <c r="R49" i="3"/>
  <c r="Q49" i="3"/>
  <c r="O49" i="3"/>
  <c r="N49" i="3"/>
  <c r="M49" i="3"/>
  <c r="H49" i="3"/>
  <c r="A49" i="3"/>
  <c r="T48" i="3"/>
  <c r="S48" i="3"/>
  <c r="R48" i="3"/>
  <c r="Q48" i="3"/>
  <c r="O48" i="3"/>
  <c r="N48" i="3"/>
  <c r="M48" i="3"/>
  <c r="H48" i="3"/>
  <c r="A48" i="3"/>
  <c r="T47" i="3"/>
  <c r="S47" i="3"/>
  <c r="R47" i="3"/>
  <c r="Q47" i="3"/>
  <c r="O47" i="3"/>
  <c r="N47" i="3"/>
  <c r="M47" i="3"/>
  <c r="H47" i="3"/>
  <c r="A47" i="3"/>
  <c r="T46" i="3"/>
  <c r="S46" i="3"/>
  <c r="R46" i="3"/>
  <c r="Q46" i="3"/>
  <c r="O46" i="3"/>
  <c r="N46" i="3"/>
  <c r="M46" i="3"/>
  <c r="H46" i="3"/>
  <c r="A46" i="3"/>
  <c r="T45" i="3"/>
  <c r="S45" i="3"/>
  <c r="R45" i="3"/>
  <c r="Q45" i="3"/>
  <c r="O45" i="3"/>
  <c r="N45" i="3"/>
  <c r="M45" i="3"/>
  <c r="H45" i="3"/>
  <c r="A45" i="3"/>
  <c r="T44" i="3"/>
  <c r="S44" i="3"/>
  <c r="R44" i="3"/>
  <c r="Q44" i="3"/>
  <c r="O44" i="3"/>
  <c r="N44" i="3"/>
  <c r="M44" i="3"/>
  <c r="H44" i="3"/>
  <c r="A44" i="3"/>
  <c r="T43" i="3"/>
  <c r="S43" i="3"/>
  <c r="R43" i="3"/>
  <c r="Q43" i="3"/>
  <c r="O43" i="3"/>
  <c r="N43" i="3"/>
  <c r="M43" i="3"/>
  <c r="H43" i="3"/>
  <c r="A43" i="3"/>
  <c r="T42" i="3"/>
  <c r="S42" i="3"/>
  <c r="R42" i="3"/>
  <c r="Q42" i="3"/>
  <c r="O42" i="3"/>
  <c r="N42" i="3"/>
  <c r="M42" i="3"/>
  <c r="H42" i="3"/>
  <c r="A42" i="3"/>
  <c r="T41" i="3"/>
  <c r="S41" i="3"/>
  <c r="R41" i="3"/>
  <c r="Q41" i="3"/>
  <c r="O41" i="3"/>
  <c r="N41" i="3"/>
  <c r="M41" i="3"/>
  <c r="H41" i="3"/>
  <c r="A41" i="3"/>
  <c r="T40" i="3"/>
  <c r="S40" i="3"/>
  <c r="R40" i="3"/>
  <c r="Q40" i="3"/>
  <c r="O40" i="3"/>
  <c r="N40" i="3"/>
  <c r="M40" i="3"/>
  <c r="H40" i="3"/>
  <c r="A40" i="3"/>
  <c r="T39" i="3"/>
  <c r="S39" i="3"/>
  <c r="R39" i="3"/>
  <c r="Q39" i="3"/>
  <c r="O39" i="3"/>
  <c r="N39" i="3"/>
  <c r="M39" i="3"/>
  <c r="H39" i="3"/>
  <c r="A39" i="3"/>
  <c r="T38" i="3"/>
  <c r="S38" i="3"/>
  <c r="R38" i="3"/>
  <c r="Q38" i="3"/>
  <c r="O38" i="3"/>
  <c r="N38" i="3"/>
  <c r="M38" i="3"/>
  <c r="H38" i="3"/>
  <c r="A38" i="3"/>
  <c r="T37" i="3"/>
  <c r="S37" i="3"/>
  <c r="R37" i="3"/>
  <c r="Q37" i="3"/>
  <c r="O37" i="3"/>
  <c r="N37" i="3"/>
  <c r="M37" i="3"/>
  <c r="H37" i="3"/>
  <c r="A37" i="3"/>
  <c r="T36" i="3"/>
  <c r="S36" i="3"/>
  <c r="R36" i="3"/>
  <c r="Q36" i="3"/>
  <c r="O36" i="3"/>
  <c r="N36" i="3"/>
  <c r="M36" i="3"/>
  <c r="H36" i="3"/>
  <c r="A36" i="3"/>
  <c r="T35" i="3"/>
  <c r="S35" i="3"/>
  <c r="R35" i="3"/>
  <c r="Q35" i="3"/>
  <c r="O35" i="3"/>
  <c r="N35" i="3"/>
  <c r="M35" i="3"/>
  <c r="H35" i="3"/>
  <c r="A35" i="3"/>
  <c r="T34" i="3"/>
  <c r="S34" i="3"/>
  <c r="R34" i="3"/>
  <c r="Q34" i="3"/>
  <c r="O34" i="3"/>
  <c r="N34" i="3"/>
  <c r="M34" i="3"/>
  <c r="H34" i="3"/>
  <c r="A34" i="3"/>
  <c r="T33" i="3"/>
  <c r="S33" i="3"/>
  <c r="R33" i="3"/>
  <c r="Q33" i="3"/>
  <c r="O33" i="3"/>
  <c r="N33" i="3"/>
  <c r="M33" i="3"/>
  <c r="H33" i="3"/>
  <c r="A33" i="3"/>
  <c r="T32" i="3"/>
  <c r="S32" i="3"/>
  <c r="R32" i="3"/>
  <c r="Q32" i="3"/>
  <c r="O32" i="3"/>
  <c r="N32" i="3"/>
  <c r="M32" i="3"/>
  <c r="H32" i="3"/>
  <c r="A32" i="3"/>
  <c r="T31" i="3"/>
  <c r="S31" i="3"/>
  <c r="R31" i="3"/>
  <c r="Q31" i="3"/>
  <c r="O31" i="3"/>
  <c r="N31" i="3"/>
  <c r="M31" i="3"/>
  <c r="H31" i="3"/>
  <c r="A31" i="3"/>
  <c r="T30" i="3"/>
  <c r="S30" i="3"/>
  <c r="R30" i="3"/>
  <c r="Q30" i="3"/>
  <c r="O30" i="3"/>
  <c r="N30" i="3"/>
  <c r="M30" i="3"/>
  <c r="H30" i="3"/>
  <c r="A30" i="3"/>
  <c r="T29" i="3"/>
  <c r="S29" i="3"/>
  <c r="R29" i="3"/>
  <c r="Q29" i="3"/>
  <c r="O29" i="3"/>
  <c r="N29" i="3"/>
  <c r="M29" i="3"/>
  <c r="H29" i="3"/>
  <c r="A29" i="3"/>
  <c r="T28" i="3"/>
  <c r="S28" i="3"/>
  <c r="R28" i="3"/>
  <c r="Q28" i="3"/>
  <c r="O28" i="3"/>
  <c r="N28" i="3"/>
  <c r="M28" i="3"/>
  <c r="H28" i="3"/>
  <c r="A28" i="3"/>
  <c r="T27" i="3"/>
  <c r="S27" i="3"/>
  <c r="R27" i="3"/>
  <c r="Q27" i="3"/>
  <c r="O27" i="3"/>
  <c r="N27" i="3"/>
  <c r="M27" i="3"/>
  <c r="H27" i="3"/>
  <c r="A27" i="3"/>
  <c r="T26" i="3"/>
  <c r="S26" i="3"/>
  <c r="R26" i="3"/>
  <c r="Q26" i="3"/>
  <c r="O26" i="3"/>
  <c r="N26" i="3"/>
  <c r="M26" i="3"/>
  <c r="H26" i="3"/>
  <c r="A26" i="3"/>
  <c r="T25" i="3"/>
  <c r="S25" i="3"/>
  <c r="R25" i="3"/>
  <c r="Q25" i="3"/>
  <c r="O25" i="3"/>
  <c r="N25" i="3"/>
  <c r="M25" i="3"/>
  <c r="H25" i="3"/>
  <c r="A25" i="3"/>
  <c r="T24" i="3"/>
  <c r="S24" i="3"/>
  <c r="R24" i="3"/>
  <c r="Q24" i="3"/>
  <c r="O24" i="3"/>
  <c r="N24" i="3"/>
  <c r="M24" i="3"/>
  <c r="H24" i="3"/>
  <c r="A24" i="3"/>
  <c r="T23" i="3"/>
  <c r="S23" i="3"/>
  <c r="R23" i="3"/>
  <c r="Q23" i="3"/>
  <c r="O23" i="3"/>
  <c r="N23" i="3"/>
  <c r="M23" i="3"/>
  <c r="H23" i="3"/>
  <c r="A23" i="3"/>
  <c r="T22" i="3"/>
  <c r="S22" i="3"/>
  <c r="R22" i="3"/>
  <c r="Q22" i="3"/>
  <c r="O22" i="3"/>
  <c r="N22" i="3"/>
  <c r="M22" i="3"/>
  <c r="H22" i="3"/>
  <c r="A22" i="3"/>
  <c r="T21" i="3"/>
  <c r="S21" i="3"/>
  <c r="R21" i="3"/>
  <c r="Q21" i="3"/>
  <c r="O21" i="3"/>
  <c r="N21" i="3"/>
  <c r="M21" i="3"/>
  <c r="H21" i="3"/>
  <c r="A21" i="3"/>
  <c r="T20" i="3"/>
  <c r="S20" i="3"/>
  <c r="R20" i="3"/>
  <c r="Q20" i="3"/>
  <c r="O20" i="3"/>
  <c r="N20" i="3"/>
  <c r="M20" i="3"/>
  <c r="H20" i="3"/>
  <c r="A20" i="3"/>
  <c r="T19" i="3"/>
  <c r="S19" i="3"/>
  <c r="R19" i="3"/>
  <c r="Q19" i="3"/>
  <c r="O19" i="3"/>
  <c r="N19" i="3"/>
  <c r="M19" i="3"/>
  <c r="H19" i="3"/>
  <c r="A19" i="3"/>
  <c r="T18" i="3"/>
  <c r="S18" i="3"/>
  <c r="R18" i="3"/>
  <c r="Q18" i="3"/>
  <c r="O18" i="3"/>
  <c r="N18" i="3"/>
  <c r="M18" i="3"/>
  <c r="H18" i="3"/>
  <c r="A18" i="3"/>
  <c r="T17" i="3"/>
  <c r="S17" i="3"/>
  <c r="R17" i="3"/>
  <c r="Q17" i="3"/>
  <c r="O17" i="3"/>
  <c r="N17" i="3"/>
  <c r="M17" i="3"/>
  <c r="H17" i="3"/>
  <c r="A17" i="3"/>
  <c r="T16" i="3"/>
  <c r="S16" i="3"/>
  <c r="R16" i="3"/>
  <c r="Q16" i="3"/>
  <c r="O16" i="3"/>
  <c r="N16" i="3"/>
  <c r="M16" i="3"/>
  <c r="H16" i="3"/>
  <c r="A16" i="3"/>
  <c r="T15" i="3"/>
  <c r="S15" i="3"/>
  <c r="R15" i="3"/>
  <c r="Q15" i="3"/>
  <c r="O15" i="3"/>
  <c r="N15" i="3"/>
  <c r="M15" i="3"/>
  <c r="H15" i="3"/>
  <c r="A15" i="3"/>
  <c r="T14" i="3"/>
  <c r="S14" i="3"/>
  <c r="R14" i="3"/>
  <c r="Q14" i="3"/>
  <c r="O14" i="3"/>
  <c r="N14" i="3"/>
  <c r="M14" i="3"/>
  <c r="H14" i="3"/>
  <c r="A14" i="3"/>
  <c r="T13" i="3"/>
  <c r="S13" i="3"/>
  <c r="R13" i="3"/>
  <c r="Q13" i="3"/>
  <c r="O13" i="3"/>
  <c r="N13" i="3"/>
  <c r="M13" i="3"/>
  <c r="H13" i="3"/>
  <c r="A13" i="3"/>
  <c r="T12" i="3"/>
  <c r="S12" i="3"/>
  <c r="R12" i="3"/>
  <c r="Q12" i="3"/>
  <c r="O12" i="3"/>
  <c r="N12" i="3"/>
  <c r="M12" i="3"/>
  <c r="H12" i="3"/>
  <c r="A12" i="3"/>
  <c r="T11" i="3"/>
  <c r="S11" i="3"/>
  <c r="R11" i="3"/>
  <c r="Q11" i="3"/>
  <c r="O11" i="3"/>
  <c r="N11" i="3"/>
  <c r="M11" i="3"/>
  <c r="H11" i="3"/>
  <c r="A11" i="3"/>
  <c r="T10" i="3"/>
  <c r="S10" i="3"/>
  <c r="R10" i="3"/>
  <c r="Q10" i="3"/>
  <c r="O10" i="3"/>
  <c r="N10" i="3"/>
  <c r="M10" i="3"/>
  <c r="H10" i="3"/>
  <c r="A10" i="3"/>
  <c r="T9" i="3"/>
  <c r="S9" i="3"/>
  <c r="R9" i="3"/>
  <c r="Q9" i="3"/>
  <c r="O9" i="3"/>
  <c r="N9" i="3"/>
  <c r="M9" i="3"/>
  <c r="H9" i="3"/>
  <c r="A9" i="3"/>
  <c r="T8" i="3"/>
  <c r="S8" i="3"/>
  <c r="R8" i="3"/>
  <c r="Q8" i="3"/>
  <c r="O8" i="3"/>
  <c r="N8" i="3"/>
  <c r="M8" i="3"/>
  <c r="H8" i="3"/>
  <c r="A8" i="3"/>
  <c r="T7" i="3"/>
  <c r="S7" i="3"/>
  <c r="Q7" i="3"/>
  <c r="R7" i="3" s="1"/>
  <c r="N7" i="3"/>
  <c r="M7" i="3"/>
  <c r="K7" i="3"/>
  <c r="O7" i="3" s="1"/>
  <c r="G7" i="3"/>
  <c r="H7" i="3" s="1"/>
  <c r="F7" i="3"/>
  <c r="A7" i="3"/>
  <c r="T6" i="3"/>
  <c r="S6" i="3"/>
  <c r="Q6" i="3"/>
  <c r="R6" i="3" s="1"/>
  <c r="O6" i="3"/>
  <c r="N6" i="3"/>
  <c r="M6" i="3"/>
  <c r="G6" i="3"/>
  <c r="H6" i="3" s="1"/>
  <c r="F6" i="3"/>
  <c r="A6" i="3"/>
  <c r="T5" i="3"/>
  <c r="R5" i="3"/>
  <c r="Q5" i="3"/>
  <c r="S5" i="3" s="1"/>
  <c r="N5" i="3"/>
  <c r="M5" i="3"/>
  <c r="K5" i="3"/>
  <c r="O5" i="3" s="1"/>
  <c r="D15" i="2" s="1"/>
  <c r="G5" i="3"/>
  <c r="H5" i="3" s="1"/>
  <c r="F5" i="3"/>
  <c r="A5" i="3"/>
  <c r="A17" i="2"/>
  <c r="G15" i="2"/>
  <c r="A15" i="2"/>
  <c r="G10" i="2"/>
  <c r="J2" i="2"/>
  <c r="A2" i="2"/>
  <c r="J1" i="2"/>
  <c r="K5" i="4" l="1"/>
  <c r="K9" i="4"/>
  <c r="K7" i="4"/>
  <c r="B15" i="5"/>
  <c r="B12" i="5"/>
  <c r="A16" i="5"/>
  <c r="I15" i="5"/>
  <c r="H15" i="5"/>
  <c r="D15" i="5"/>
  <c r="A16" i="2"/>
  <c r="J6" i="4"/>
  <c r="J8" i="4"/>
  <c r="A11" i="2" l="1"/>
  <c r="G6" i="2"/>
  <c r="G15" i="5"/>
  <c r="F15" i="5"/>
  <c r="I16" i="5"/>
  <c r="H16" i="5"/>
  <c r="D16" i="5"/>
  <c r="B16" i="5"/>
  <c r="A17" i="5"/>
  <c r="D10" i="2"/>
  <c r="A10" i="2"/>
  <c r="A18" i="5" l="1"/>
  <c r="I17" i="5"/>
  <c r="H17" i="5"/>
  <c r="D17" i="5"/>
  <c r="B17" i="5"/>
  <c r="G16" i="5"/>
  <c r="F16" i="5"/>
  <c r="J3" i="2"/>
  <c r="A6" i="2"/>
  <c r="G17" i="5" l="1"/>
  <c r="F17" i="5"/>
  <c r="D18" i="5"/>
  <c r="B18" i="5"/>
  <c r="A19" i="5"/>
  <c r="I18" i="5"/>
  <c r="H18" i="5"/>
  <c r="A20" i="5" l="1"/>
  <c r="I19" i="5"/>
  <c r="H19" i="5"/>
  <c r="D19" i="5"/>
  <c r="B19" i="5"/>
  <c r="G18" i="5"/>
  <c r="F18" i="5"/>
  <c r="D6" i="2"/>
  <c r="G19" i="5" l="1"/>
  <c r="F19" i="5"/>
  <c r="D20" i="5"/>
  <c r="B20" i="5"/>
  <c r="A21" i="5"/>
  <c r="I20" i="5"/>
  <c r="H20" i="5"/>
  <c r="A22" i="5" l="1"/>
  <c r="I21" i="5"/>
  <c r="H21" i="5"/>
  <c r="D21" i="5"/>
  <c r="B21" i="5"/>
  <c r="G20" i="5"/>
  <c r="F20" i="5"/>
  <c r="G21" i="5" l="1"/>
  <c r="F21" i="5"/>
  <c r="A23" i="5"/>
  <c r="I22" i="5"/>
  <c r="H22" i="5"/>
  <c r="D22" i="5"/>
  <c r="B22" i="5"/>
  <c r="G22" i="5" l="1"/>
  <c r="F22" i="5"/>
  <c r="H23" i="5"/>
  <c r="D23" i="5"/>
  <c r="B23" i="5"/>
  <c r="A24" i="5"/>
  <c r="I23" i="5"/>
  <c r="A25" i="5" l="1"/>
  <c r="I24" i="5"/>
  <c r="H24" i="5"/>
  <c r="D24" i="5"/>
  <c r="B24" i="5"/>
  <c r="G23" i="5"/>
  <c r="F23" i="5"/>
  <c r="G24" i="5" l="1"/>
  <c r="F24" i="5"/>
  <c r="D25" i="5"/>
  <c r="B25" i="5"/>
  <c r="A26" i="5"/>
  <c r="I25" i="5"/>
  <c r="H25" i="5"/>
  <c r="A27" i="5" l="1"/>
  <c r="I26" i="5"/>
  <c r="H26" i="5"/>
  <c r="D26" i="5"/>
  <c r="B26" i="5"/>
  <c r="F25" i="5"/>
  <c r="G25" i="5"/>
  <c r="G26" i="5" l="1"/>
  <c r="F26" i="5"/>
  <c r="B27" i="5"/>
  <c r="A28" i="5"/>
  <c r="I27" i="5"/>
  <c r="H27" i="5"/>
  <c r="D27" i="5"/>
  <c r="G27" i="5" l="1"/>
  <c r="F27" i="5"/>
  <c r="I28" i="5"/>
  <c r="H28" i="5"/>
  <c r="D28" i="5"/>
  <c r="B28" i="5"/>
  <c r="A29" i="5"/>
  <c r="A30" i="5" l="1"/>
  <c r="I29" i="5"/>
  <c r="H29" i="5"/>
  <c r="D29" i="5"/>
  <c r="B29" i="5"/>
  <c r="G28" i="5"/>
  <c r="F28" i="5"/>
  <c r="G29" i="5" l="1"/>
  <c r="F29" i="5"/>
  <c r="D30" i="5"/>
  <c r="B30" i="5"/>
  <c r="A31" i="5"/>
  <c r="I30" i="5"/>
  <c r="H30" i="5"/>
  <c r="A32" i="5" l="1"/>
  <c r="I31" i="5"/>
  <c r="H31" i="5"/>
  <c r="D31" i="5"/>
  <c r="B31" i="5"/>
  <c r="G30" i="5"/>
  <c r="F30" i="5"/>
  <c r="G31" i="5" l="1"/>
  <c r="F31" i="5"/>
  <c r="D32" i="5"/>
  <c r="B32" i="5"/>
  <c r="A33" i="5"/>
  <c r="I32" i="5"/>
  <c r="H32" i="5"/>
  <c r="A34" i="5" l="1"/>
  <c r="I33" i="5"/>
  <c r="H33" i="5"/>
  <c r="D33" i="5"/>
  <c r="B33" i="5"/>
  <c r="G32" i="5"/>
  <c r="F32" i="5"/>
  <c r="G33" i="5" l="1"/>
  <c r="F33" i="5"/>
  <c r="A35" i="5"/>
  <c r="I34" i="5"/>
  <c r="H34" i="5"/>
  <c r="D34" i="5"/>
  <c r="B34" i="5"/>
  <c r="G34" i="5" l="1"/>
  <c r="F34" i="5"/>
  <c r="H35" i="5"/>
  <c r="D35" i="5"/>
  <c r="B35" i="5"/>
  <c r="A36" i="5"/>
  <c r="I35" i="5"/>
  <c r="A37" i="5" l="1"/>
  <c r="I36" i="5"/>
  <c r="H36" i="5"/>
  <c r="D36" i="5"/>
  <c r="B36" i="5"/>
  <c r="G35" i="5"/>
  <c r="F35" i="5"/>
  <c r="G36" i="5" l="1"/>
  <c r="F36" i="5"/>
  <c r="D37" i="5"/>
  <c r="B37" i="5"/>
  <c r="A38" i="5"/>
  <c r="I37" i="5"/>
  <c r="H37" i="5"/>
  <c r="A39" i="5" l="1"/>
  <c r="I38" i="5"/>
  <c r="H38" i="5"/>
  <c r="D38" i="5"/>
  <c r="B38" i="5"/>
  <c r="F37" i="5"/>
  <c r="G37" i="5"/>
  <c r="G38" i="5" l="1"/>
  <c r="F38" i="5"/>
  <c r="B39" i="5"/>
  <c r="A40" i="5"/>
  <c r="I39" i="5"/>
  <c r="H39" i="5"/>
  <c r="D39" i="5"/>
  <c r="G39" i="5" l="1"/>
  <c r="F39" i="5"/>
  <c r="I40" i="5"/>
  <c r="H40" i="5"/>
  <c r="D40" i="5"/>
  <c r="B40" i="5"/>
  <c r="G40" i="5" l="1"/>
  <c r="F40" i="5"/>
</calcChain>
</file>

<file path=xl/sharedStrings.xml><?xml version="1.0" encoding="utf-8"?>
<sst xmlns="http://schemas.openxmlformats.org/spreadsheetml/2006/main" count="196" uniqueCount="146">
  <si>
    <t>Client Project &amp; Capacity Tracker</t>
  </si>
  <si>
    <t>One file for every project, every promise, the invoice status you type in, and every free hour you have left.</t>
  </si>
  <si>
    <t>FIRST 15 MINUTES</t>
  </si>
  <si>
    <t>0 · Delete the 8 EXAMPLE rows — Projects rows 5–7 and Deliverables rows 5–9. They are filled in so the Dashboard and the colour warnings show something real the moment you open the file.</t>
  </si>
  <si>
    <t>1 · Projects — type your live jobs: Client, Project, Status, Fee agreed, Due. The Project name in column C is the key of the whole file: the Deliverables dropdown and every per-project total are built from it.</t>
  </si>
  <si>
    <t>2 · Deliverables — one row per thing you owe. Pick the project from the dropdown, set the Due date and the Planned hours.</t>
  </si>
  <si>
    <t>3 · Week Capacity — overwrite the 25 h per week with YOUR real available hours, and put holidays into Blocked / time off.</t>
  </si>
  <si>
    <t>4 · Dashboard — read, never type. Excel locks it read-only; Google Sheets drops that lock on import, so just don't type on it there.</t>
  </si>
  <si>
    <t>THE FIT CHECK — Week Capacity, top block: type the hours a new enquiry needs and the date the client wants. You get YES / TIGHT / NO with the number behind it. It answers only from the hours YOU entered — it does not estimate how long work takes and does not know your speed.</t>
  </si>
  <si>
    <t>SET ONCE — Projects row 3: B3 = your payment term in days (default 30), E3 = your target hourly rate (optional). Both drive the colour warnings and nothing else.</t>
  </si>
  <si>
    <t>GREY MEANS CALCULATED — never type in a grey cell. The white cells and the four yellow ones (Projects B3 and E3, Week Capacity B5 and B6) are yours.</t>
  </si>
  <si>
    <t>CURRENCY — numbers are currency-neutral on purpose. Want € or $? Select columns I:J and L:N on Projects (skip K, that one is a date) → Format → Currency. Nothing breaks.</t>
  </si>
  <si>
    <t>PROJECT NAMES — keep them unique and avoid the characters * and ? inside them; they act as wildcards in spreadsheet lookups. The Linked? column on Deliverables flags any name that does not match Projects.</t>
  </si>
  <si>
    <t>GOOGLE SHEETS — File → Import → Upload → Create new spreadsheet. Formulas, dropdowns and colour rules come across. Three things do not: print settings, the read-only lock on the Dashboard, and a few font details. Set print options once under File → Print.</t>
  </si>
  <si>
    <t>IF A CALCULATED CELL LOOKS EMPTY ON FIRST OPEN — Excel: press Ctrl+Alt+F9. LibreOffice: Data → Calculate → Recalculate Hard. Google Sheets: recalculates automatically on import.</t>
  </si>
  <si>
    <t>HONEST LIMITS — this file tracks status only. It does not write, number or send invoices, does not track time in the background, sends no reminders, connects to no bank, invoicing tool or calendar, and calculates no VAT, sales tax or tax of any kind. Not tax, legal or accounting advice.</t>
  </si>
  <si>
    <t>LICENSE — personal use by one buyer, on all your own devices, for as many of your own client projects as you like. The file holds 60 projects, 300 deliverables and 26 weeks. Please do not resell or redistribute.</t>
  </si>
  <si>
    <t>Questions or a formula that misbehaves? Message us on Etsy — we answer within 48 hours (1–2 business days).</t>
  </si>
  <si>
    <t>Dashboard</t>
  </si>
  <si>
    <t>THIS WEEK &amp; AHEAD</t>
  </si>
  <si>
    <t>Free hours this week</t>
  </si>
  <si>
    <t>Load next 4 weeks</t>
  </si>
  <si>
    <t>Committed hours this week (incl. overdue)</t>
  </si>
  <si>
    <t>PROMISES</t>
  </si>
  <si>
    <t>Next deadline in days (minus = late)</t>
  </si>
  <si>
    <t>Deliverables past their due date</t>
  </si>
  <si>
    <t>Open deliverables</t>
  </si>
  <si>
    <t>MONEY  (your currency — no tax of any kind is calculated)</t>
  </si>
  <si>
    <t>Delivered, not invoiced</t>
  </si>
  <si>
    <t>Older than the payment term you set</t>
  </si>
  <si>
    <t>Awaiting payment</t>
  </si>
  <si>
    <t>HOW TO READ THIS</t>
  </si>
  <si>
    <t>Green = room to say yes.   Amber = tight, only by moving a date.   Red = you are already over; something has to give.</t>
  </si>
  <si>
    <t>Every number here comes from Projects, Deliverables and Week Capacity. Change a number there and this sheet follows.</t>
  </si>
  <si>
    <t>Print: set up for one portrait page (A1:H24). Google Sheets does not import print settings — set them once under File → Print.</t>
  </si>
  <si>
    <t>Projects</t>
  </si>
  <si>
    <t>One row per client project. Amounts live here and nowhere else. Grey columns calculate themselves — never type in them.</t>
  </si>
  <si>
    <t>Payment term (days) →</t>
  </si>
  <si>
    <t>Target rate / hour →</t>
  </si>
  <si>
    <t>optional — turns 'Rate / hour so far' amber whenever it drops below this</t>
  </si>
  <si>
    <t>#</t>
  </si>
  <si>
    <t>Client</t>
  </si>
  <si>
    <t>Project</t>
  </si>
  <si>
    <t>Service type</t>
  </si>
  <si>
    <t>Status</t>
  </si>
  <si>
    <t>Started</t>
  </si>
  <si>
    <t>Due (final)</t>
  </si>
  <si>
    <t>Days left</t>
  </si>
  <si>
    <t>Fee agreed</t>
  </si>
  <si>
    <t>Invoiced</t>
  </si>
  <si>
    <t>Invoiced on</t>
  </si>
  <si>
    <t>Paid</t>
  </si>
  <si>
    <t>Still to invoice</t>
  </si>
  <si>
    <t>Days since invoice</t>
  </si>
  <si>
    <t>Hours quoted</t>
  </si>
  <si>
    <t>Hours logged</t>
  </si>
  <si>
    <t>Hours left</t>
  </si>
  <si>
    <t>Rate / hour so far</t>
  </si>
  <si>
    <t>Deliverables done</t>
  </si>
  <si>
    <t>Notes</t>
  </si>
  <si>
    <t>EXAMPLE — delete this row</t>
  </si>
  <si>
    <t>Brand refresh</t>
  </si>
  <si>
    <t>Design</t>
  </si>
  <si>
    <t>In progress</t>
  </si>
  <si>
    <t>First invoice is older than the payment term — see the red cell in column O.</t>
  </si>
  <si>
    <t>Website copy</t>
  </si>
  <si>
    <t>Copywriting</t>
  </si>
  <si>
    <t>Booked</t>
  </si>
  <si>
    <t>Nothing invoiced yet — column M shows what is still to invoice.</t>
  </si>
  <si>
    <t>Q3 retainer</t>
  </si>
  <si>
    <t>Retainer</t>
  </si>
  <si>
    <t>Fully invoiced and paid — columns N and O go quiet.</t>
  </si>
  <si>
    <t>Deliverables</t>
  </si>
  <si>
    <t>One row per thing you owe. Due date and Planned hours here become the weekly load on Week Capacity.</t>
  </si>
  <si>
    <t>Fill in Projects first — this dropdown builds itself from Projects, column C.</t>
  </si>
  <si>
    <t>Linked?</t>
  </si>
  <si>
    <t>Deliverable / milestone</t>
  </si>
  <si>
    <t>Due date</t>
  </si>
  <si>
    <t>Planned hours</t>
  </si>
  <si>
    <t>Week (Mon)</t>
  </si>
  <si>
    <t>Invoice status</t>
  </si>
  <si>
    <t>Deadline</t>
  </si>
  <si>
    <t>Waiting on</t>
  </si>
  <si>
    <t>Logo concepts (3 routes)</t>
  </si>
  <si>
    <t>Not yet</t>
  </si>
  <si>
    <t>Hard date</t>
  </si>
  <si>
    <t>Me</t>
  </si>
  <si>
    <t>EXAMPLE — delete. Past its due date, so it turns red and carries into this week.</t>
  </si>
  <si>
    <t>Brand guidelines PDF</t>
  </si>
  <si>
    <t>Not started</t>
  </si>
  <si>
    <t>Can move</t>
  </si>
  <si>
    <t>EXAMPLE — delete. 'Can move' means the Fit Check may shift it out of a full week.</t>
  </si>
  <si>
    <t>Homepage + 4 subpages</t>
  </si>
  <si>
    <t>EXAMPLE — delete.</t>
  </si>
  <si>
    <t>July social set</t>
  </si>
  <si>
    <t>Delivered</t>
  </si>
  <si>
    <t>EXAMPLE — delete. Delivered but not invoiced — the amber cell in column L is money you have not billed.</t>
  </si>
  <si>
    <t>August campaign brief</t>
  </si>
  <si>
    <t>Week Capacity &amp; Fit Check</t>
  </si>
  <si>
    <t>26 weeks, rolling from this Monday. You type only in Available hours, Blocked / time off, Note — and in the two yellow Fit Check cells.</t>
  </si>
  <si>
    <t>FIT CHECK — a new enquiry just landed: can you take it?</t>
  </si>
  <si>
    <t>Hours the new job needs  →</t>
  </si>
  <si>
    <t>Wanted delivery date  →</t>
  </si>
  <si>
    <t>That week starts (Mon)</t>
  </si>
  <si>
    <t>Free hours in that week</t>
  </si>
  <si>
    <t>Free hours before that week</t>
  </si>
  <si>
    <t>Movable work in that week</t>
  </si>
  <si>
    <t>VERDICT</t>
  </si>
  <si>
    <t>Overdue hours carried into this week</t>
  </si>
  <si>
    <t>Table starts (Mon)</t>
  </si>
  <si>
    <t>type any date over this to freeze the window — the table snaps to that week's Monday</t>
  </si>
  <si>
    <t>Week starting (Mon)</t>
  </si>
  <si>
    <t>Week</t>
  </si>
  <si>
    <t>Available hours</t>
  </si>
  <si>
    <t>Committed hours</t>
  </si>
  <si>
    <t>Blocked / time off</t>
  </si>
  <si>
    <t>Free hours</t>
  </si>
  <si>
    <t>Load</t>
  </si>
  <si>
    <t>Movable hours</t>
  </si>
  <si>
    <t>Open deadlines</t>
  </si>
  <si>
    <t>Note</t>
  </si>
  <si>
    <t>Row 1 of this table also carries everything that is already overdue — late work still costs hours.</t>
  </si>
  <si>
    <t>Consulting</t>
  </si>
  <si>
    <t>Lead</t>
  </si>
  <si>
    <t>Quoted</t>
  </si>
  <si>
    <t>Ready to invoice</t>
  </si>
  <si>
    <t>Development</t>
  </si>
  <si>
    <t>With client</t>
  </si>
  <si>
    <t>Subcontractor</t>
  </si>
  <si>
    <t>Editing</t>
  </si>
  <si>
    <t>Approved</t>
  </si>
  <si>
    <t>Translation</t>
  </si>
  <si>
    <t>Blocked</t>
  </si>
  <si>
    <t>Photography</t>
  </si>
  <si>
    <t>Cancelled</t>
  </si>
  <si>
    <t>Video</t>
  </si>
  <si>
    <t>On hold</t>
  </si>
  <si>
    <t>Marketing</t>
  </si>
  <si>
    <t>Training</t>
  </si>
  <si>
    <t>Closed</t>
  </si>
  <si>
    <t>Other</t>
  </si>
  <si>
    <t>These six columns feed every dropdown in this file.</t>
  </si>
  <si>
    <t>A = Service type · B = Project status · C = Deliverable status · D = Invoice status · E = Deadline · F = Waiting on</t>
  </si>
  <si>
    <t>Rename an entry here and the dropdown follows — but rename it in the sheets too, or the colour rules stop matching.</t>
  </si>
  <si>
    <t>To ADD an entry, type it in the next free cell of that column, then widen the range under Data → Data validation.</t>
  </si>
  <si>
    <t>Leave no empty cells inside a column — a gap creates an empty line in the dropdown.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</si>
</sst>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quot;—&quot;"/>
    <numFmt numFmtId="165" formatCode="0%;\-0%;&quot;—&quot;"/>
    <numFmt numFmtId="166" formatCode="0;\-0;&quot;today&quot;"/>
    <numFmt numFmtId="167" formatCode="0;\-0;&quot;—&quot;"/>
    <numFmt numFmtId="168" formatCode="#,##0.00;\-#,##0.00;&quot;—&quot;"/>
    <numFmt numFmtId="169" formatCode="#,##0.0;\-#,##0.0;&quot;—&quot;"/>
    <numFmt numFmtId="170" formatCode="yyyy\-mm\-dd"/>
    <numFmt numFmtId="171" formatCode="0.0"/>
  </numFmts>
  <fonts count="19" x14ac:knownFonts="1">
    <font>
      <sz val="11"/>
      <color theme="1"/>
      <name val="Calibri"/>
      <family val="2"/>
      <scheme val="minor"/>
    </font>
    <font>
      <b/>
      <sz val="20"/>
      <color rgb="FF2D3A8C"/>
      <name val="Calibri"/>
      <family val="2"/>
    </font>
    <font>
      <sz val="12"/>
      <color rgb="FF555B7A"/>
      <name val="Calibri"/>
      <family val="2"/>
    </font>
    <font>
      <sz val="10"/>
      <color rgb="FF1E2340"/>
      <name val="Calibri"/>
      <family val="2"/>
    </font>
    <font>
      <b/>
      <sz val="13"/>
      <color rgb="FF1F7A6D"/>
      <name val="Calibri"/>
      <family val="2"/>
    </font>
    <font>
      <sz val="11"/>
      <color rgb="FF1E2340"/>
      <name val="Calibri"/>
      <family val="2"/>
    </font>
    <font>
      <sz val="9"/>
      <color rgb="FF555B7A"/>
      <name val="Calibri"/>
      <family val="2"/>
    </font>
    <font>
      <b/>
      <sz val="16"/>
      <color rgb="FF2D3A8C"/>
      <name val="Calibri"/>
      <family val="2"/>
    </font>
    <font>
      <sz val="10"/>
      <color rgb="FF555B7A"/>
      <name val="Calibri"/>
      <family val="2"/>
    </font>
    <font>
      <sz val="8"/>
      <color rgb="FFFFFFFF"/>
      <name val="Calibri"/>
      <family val="2"/>
    </font>
    <font>
      <b/>
      <sz val="11"/>
      <color rgb="FF1F7A6D"/>
      <name val="Calibri"/>
      <family val="2"/>
    </font>
    <font>
      <b/>
      <sz val="11"/>
      <color rgb="FF1E2340"/>
      <name val="Calibri"/>
      <family val="2"/>
    </font>
    <font>
      <b/>
      <sz val="11"/>
      <color rgb="FF2D3A8C"/>
      <name val="Calibri"/>
      <family val="2"/>
    </font>
    <font>
      <i/>
      <sz val="9"/>
      <color rgb="FF555B7A"/>
      <name val="Calibri"/>
      <family val="2"/>
    </font>
    <font>
      <b/>
      <sz val="10"/>
      <color rgb="FF555B7A"/>
      <name val="Calibri"/>
      <family val="2"/>
    </font>
    <font>
      <b/>
      <sz val="11"/>
      <color rgb="FFFFFFFF"/>
      <name val="Calibri"/>
      <family val="2"/>
    </font>
    <font>
      <i/>
      <sz val="10"/>
      <color rgb="FFB4540A"/>
      <name val="Calibri"/>
      <family val="2"/>
    </font>
    <font>
      <b/>
      <sz val="10"/>
      <color rgb="FF1E2340"/>
      <name val="Calibri"/>
      <family val="2"/>
    </font>
    <font>
      <b/>
      <sz val="10"/>
      <color rgb="FF2D3A8C"/>
      <name val="Calibri"/>
      <family val="2"/>
    </font>
  </fonts>
  <fills count="7">
    <fill>
      <patternFill patternType="none"/>
    </fill>
    <fill>
      <patternFill patternType="gray125"/>
    </fill>
    <fill>
      <patternFill patternType="solid">
        <fgColor rgb="FFEEF1FB"/>
      </patternFill>
    </fill>
    <fill>
      <patternFill patternType="solid">
        <fgColor rgb="FFFFF1CC"/>
      </patternFill>
    </fill>
    <fill>
      <patternFill patternType="solid">
        <fgColor rgb="FF2D3A8C"/>
      </patternFill>
    </fill>
    <fill>
      <patternFill patternType="solid">
        <fgColor rgb="FFF7F8FC"/>
      </patternFill>
    </fill>
    <fill>
      <patternFill patternType="solid">
        <fgColor rgb="FFECEDF3"/>
      </patternFill>
    </fill>
  </fills>
  <borders count="2">
    <border>
      <left/>
      <right/>
      <top/>
      <bottom/>
      <diagonal/>
    </border>
    <border>
      <left style="thin">
        <color rgb="FFD9DCEA"/>
      </left>
      <right style="thin">
        <color rgb="FFD9DCEA"/>
      </right>
      <top style="thin">
        <color rgb="FFD9DCEA"/>
      </top>
      <bottom style="thin">
        <color rgb="FFD9DCEA"/>
      </bottom>
      <diagonal/>
    </border>
  </borders>
  <cellStyleXfs count="1">
    <xf numFmtId="0" fontId="0" fillId="0" borderId="0"/>
  </cellStyleXfs>
  <cellXfs count="6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9" fillId="0" borderId="0" xfId="0" applyFont="1"/>
    <xf numFmtId="0" fontId="10" fillId="0" borderId="0" xfId="0" applyFont="1"/>
    <xf numFmtId="0" fontId="13" fillId="0" borderId="0" xfId="0" applyFont="1"/>
    <xf numFmtId="0" fontId="14" fillId="0" borderId="0" xfId="0" applyFont="1" applyAlignment="1">
      <alignment horizontal="right"/>
    </xf>
    <xf numFmtId="1" fontId="11" fillId="3" borderId="1" xfId="0" applyNumberFormat="1" applyFont="1" applyFill="1" applyBorder="1" applyAlignment="1">
      <alignment horizontal="center"/>
    </xf>
    <xf numFmtId="169" fontId="0" fillId="3" borderId="1" xfId="0" applyNumberFormat="1" applyFill="1" applyBorder="1" applyAlignment="1">
      <alignment horizontal="center"/>
    </xf>
    <xf numFmtId="0" fontId="15" fillId="4" borderId="1" xfId="0" applyFont="1" applyFill="1" applyBorder="1" applyAlignment="1">
      <alignment vertical="center" wrapText="1"/>
    </xf>
    <xf numFmtId="1" fontId="0" fillId="6" borderId="1" xfId="0" applyNumberFormat="1" applyFill="1" applyBorder="1" applyAlignment="1">
      <alignment vertical="top" wrapText="1"/>
    </xf>
    <xf numFmtId="0" fontId="16" fillId="0" borderId="1" xfId="0" applyFont="1" applyBorder="1" applyAlignment="1">
      <alignment vertical="top" wrapText="1"/>
    </xf>
    <xf numFmtId="0" fontId="0" fillId="0" borderId="1" xfId="0" applyBorder="1" applyAlignment="1">
      <alignment vertical="top" wrapText="1"/>
    </xf>
    <xf numFmtId="170" fontId="0" fillId="0" borderId="1" xfId="0" applyNumberFormat="1" applyBorder="1" applyAlignment="1">
      <alignment vertical="top" wrapText="1"/>
    </xf>
    <xf numFmtId="166" fontId="0" fillId="6" borderId="1" xfId="0" applyNumberFormat="1" applyFill="1" applyBorder="1" applyAlignment="1">
      <alignment vertical="top" wrapText="1"/>
    </xf>
    <xf numFmtId="168" fontId="0" fillId="0" borderId="1" xfId="0" applyNumberFormat="1" applyBorder="1" applyAlignment="1">
      <alignment vertical="top" wrapText="1"/>
    </xf>
    <xf numFmtId="168" fontId="0" fillId="6" borderId="1" xfId="0" applyNumberFormat="1" applyFill="1" applyBorder="1" applyAlignment="1">
      <alignment vertical="top" wrapText="1"/>
    </xf>
    <xf numFmtId="164" fontId="0" fillId="0" borderId="1" xfId="0" applyNumberFormat="1" applyBorder="1" applyAlignment="1">
      <alignment vertical="top" wrapText="1"/>
    </xf>
    <xf numFmtId="164" fontId="0" fillId="6" borderId="1" xfId="0" applyNumberFormat="1" applyFill="1" applyBorder="1" applyAlignment="1">
      <alignment vertical="top" wrapText="1"/>
    </xf>
    <xf numFmtId="169" fontId="0" fillId="6" borderId="1" xfId="0" applyNumberFormat="1" applyFill="1" applyBorder="1" applyAlignment="1">
      <alignment vertical="top" wrapText="1"/>
    </xf>
    <xf numFmtId="0" fontId="0" fillId="6" borderId="1" xfId="0" applyFill="1" applyBorder="1" applyAlignment="1">
      <alignment horizontal="center" vertical="top"/>
    </xf>
    <xf numFmtId="0" fontId="13" fillId="0" borderId="1" xfId="0" applyFont="1" applyBorder="1" applyAlignment="1">
      <alignment vertical="top" wrapText="1"/>
    </xf>
    <xf numFmtId="0" fontId="16" fillId="5" borderId="1" xfId="0" applyFont="1" applyFill="1" applyBorder="1" applyAlignment="1">
      <alignment vertical="top" wrapText="1"/>
    </xf>
    <xf numFmtId="0" fontId="0" fillId="5" borderId="1" xfId="0" applyFill="1" applyBorder="1" applyAlignment="1">
      <alignment vertical="top" wrapText="1"/>
    </xf>
    <xf numFmtId="170" fontId="0" fillId="5" borderId="1" xfId="0" applyNumberFormat="1" applyFill="1" applyBorder="1" applyAlignment="1">
      <alignment vertical="top" wrapText="1"/>
    </xf>
    <xf numFmtId="168" fontId="0" fillId="5" borderId="1" xfId="0" applyNumberFormat="1" applyFill="1" applyBorder="1" applyAlignment="1">
      <alignment vertical="top" wrapText="1"/>
    </xf>
    <xf numFmtId="164" fontId="0" fillId="5" borderId="1" xfId="0" applyNumberFormat="1" applyFill="1" applyBorder="1" applyAlignment="1">
      <alignment vertical="top" wrapText="1"/>
    </xf>
    <xf numFmtId="0" fontId="13" fillId="5" borderId="1" xfId="0" applyFont="1" applyFill="1" applyBorder="1" applyAlignment="1">
      <alignment vertical="top" wrapText="1"/>
    </xf>
    <xf numFmtId="170" fontId="0" fillId="6" borderId="1" xfId="0" applyNumberFormat="1" applyFill="1" applyBorder="1" applyAlignment="1">
      <alignment vertical="top" wrapText="1"/>
    </xf>
    <xf numFmtId="0" fontId="17" fillId="0" borderId="0" xfId="0" applyFont="1" applyAlignment="1">
      <alignment horizontal="right" vertical="center"/>
    </xf>
    <xf numFmtId="164" fontId="11" fillId="3" borderId="1" xfId="0" applyNumberFormat="1" applyFont="1" applyFill="1" applyBorder="1" applyAlignment="1">
      <alignment horizontal="center" vertical="center"/>
    </xf>
    <xf numFmtId="170" fontId="11" fillId="3" borderId="1" xfId="0" applyNumberFormat="1" applyFont="1" applyFill="1" applyBorder="1" applyAlignment="1">
      <alignment horizontal="center" vertical="center"/>
    </xf>
    <xf numFmtId="0" fontId="8" fillId="0" borderId="0" xfId="0" applyFont="1" applyAlignment="1">
      <alignment horizontal="right" vertical="center"/>
    </xf>
    <xf numFmtId="170" fontId="0" fillId="6" borderId="1" xfId="0" applyNumberFormat="1" applyFill="1" applyBorder="1" applyAlignment="1">
      <alignment horizontal="center" vertical="center"/>
    </xf>
    <xf numFmtId="164" fontId="0" fillId="6" borderId="1" xfId="0" applyNumberFormat="1" applyFill="1" applyBorder="1" applyAlignment="1">
      <alignment horizontal="center" vertical="center"/>
    </xf>
    <xf numFmtId="0" fontId="0" fillId="6" borderId="1" xfId="0" applyFill="1" applyBorder="1" applyAlignment="1">
      <alignment vertical="top" wrapText="1"/>
    </xf>
    <xf numFmtId="171" fontId="0" fillId="0" borderId="1" xfId="0" applyNumberFormat="1" applyBorder="1" applyAlignment="1">
      <alignment vertical="top" wrapText="1"/>
    </xf>
    <xf numFmtId="171" fontId="0" fillId="6" borderId="1" xfId="0" applyNumberFormat="1" applyFill="1" applyBorder="1" applyAlignment="1">
      <alignment vertical="top" wrapText="1"/>
    </xf>
    <xf numFmtId="165" fontId="0" fillId="6" borderId="1" xfId="0" applyNumberFormat="1" applyFill="1" applyBorder="1" applyAlignment="1">
      <alignment vertical="top" wrapText="1"/>
    </xf>
    <xf numFmtId="167" fontId="0" fillId="6" borderId="1" xfId="0" applyNumberFormat="1" applyFill="1" applyBorder="1" applyAlignment="1">
      <alignment vertical="top" wrapText="1"/>
    </xf>
    <xf numFmtId="171" fontId="0" fillId="5" borderId="1" xfId="0" applyNumberFormat="1" applyFill="1" applyBorder="1" applyAlignment="1">
      <alignment vertical="top" wrapText="1"/>
    </xf>
    <xf numFmtId="0" fontId="3" fillId="0" borderId="1" xfId="0" applyFont="1" applyBorder="1"/>
    <xf numFmtId="0" fontId="18" fillId="0" borderId="0" xfId="0" applyFont="1"/>
    <xf numFmtId="0" fontId="6" fillId="0" borderId="0" xfId="0" applyFont="1"/>
    <xf numFmtId="167" fontId="1" fillId="2" borderId="1" xfId="0" applyNumberFormat="1" applyFont="1" applyFill="1" applyBorder="1" applyAlignment="1">
      <alignment horizontal="center" vertical="center"/>
    </xf>
    <xf numFmtId="0" fontId="0" fillId="2" borderId="1" xfId="0" applyFill="1" applyBorder="1"/>
    <xf numFmtId="0" fontId="11" fillId="0" borderId="0" xfId="0" applyFont="1" applyAlignment="1">
      <alignment horizontal="left" vertical="center"/>
    </xf>
    <xf numFmtId="0" fontId="0" fillId="0" borderId="0" xfId="0"/>
    <xf numFmtId="0" fontId="7" fillId="0" borderId="0" xfId="0" applyFont="1"/>
    <xf numFmtId="164" fontId="1" fillId="2" borderId="1" xfId="0" applyNumberFormat="1" applyFont="1" applyFill="1" applyBorder="1" applyAlignment="1">
      <alignment horizontal="center" vertical="center"/>
    </xf>
    <xf numFmtId="165" fontId="1" fillId="2" borderId="1" xfId="0" applyNumberFormat="1" applyFont="1" applyFill="1" applyBorder="1" applyAlignment="1">
      <alignment horizontal="center" vertical="center"/>
    </xf>
    <xf numFmtId="0" fontId="8" fillId="0" borderId="0" xfId="0" applyFont="1"/>
    <xf numFmtId="168" fontId="1" fillId="2" borderId="1" xfId="0" applyNumberFormat="1" applyFont="1" applyFill="1" applyBorder="1" applyAlignment="1">
      <alignment horizontal="center" vertical="center"/>
    </xf>
    <xf numFmtId="0" fontId="8" fillId="0" borderId="0" xfId="0" applyFont="1" applyAlignment="1">
      <alignment horizontal="center" wrapText="1"/>
    </xf>
    <xf numFmtId="0" fontId="13" fillId="0" borderId="0" xfId="0" applyFont="1"/>
    <xf numFmtId="0" fontId="12" fillId="2" borderId="1" xfId="0" applyFont="1" applyFill="1" applyBorder="1" applyAlignment="1">
      <alignment horizontal="center" vertical="center"/>
    </xf>
    <xf numFmtId="0" fontId="3" fillId="0" borderId="0" xfId="0" applyFont="1"/>
    <xf numFmtId="166" fontId="1" fillId="2" borderId="1" xfId="0" applyNumberFormat="1" applyFont="1" applyFill="1" applyBorder="1" applyAlignment="1">
      <alignment horizontal="center" vertical="center"/>
    </xf>
    <xf numFmtId="0" fontId="10" fillId="0" borderId="0" xfId="0" applyFont="1"/>
    <xf numFmtId="0" fontId="15" fillId="4" borderId="0" xfId="0" applyFont="1" applyFill="1" applyAlignment="1">
      <alignment vertical="center"/>
    </xf>
    <xf numFmtId="0" fontId="0" fillId="4" borderId="0" xfId="0" applyFill="1"/>
    <xf numFmtId="0" fontId="11" fillId="0" borderId="1" xfId="0" applyFont="1" applyBorder="1" applyAlignment="1">
      <alignment horizontal="left" vertical="center"/>
    </xf>
    <xf numFmtId="0" fontId="0" fillId="0" borderId="1" xfId="0" applyBorder="1"/>
  </cellXfs>
  <cellStyles count="1">
    <cellStyle name="Standard" xfId="0" builtinId="0"/>
  </cellStyles>
  <dxfs count="55">
    <dxf>
      <font>
        <color rgb="FF1F7A6D"/>
      </font>
      <fill>
        <patternFill patternType="solid">
          <fgColor rgb="FFE3F1EE"/>
        </patternFill>
      </fill>
    </dxf>
    <dxf>
      <font>
        <color rgb="FFB4540A"/>
      </font>
      <fill>
        <patternFill patternType="solid">
          <fgColor rgb="FFFFF1CC"/>
        </patternFill>
      </fill>
    </dxf>
    <dxf>
      <font>
        <b/>
        <color rgb="FF8A3333"/>
      </font>
      <fill>
        <patternFill patternType="solid">
          <fgColor rgb="FFF5DBDB"/>
        </patternFill>
      </fill>
    </dxf>
    <dxf>
      <font>
        <color rgb="FFB4540A"/>
      </font>
      <fill>
        <patternFill patternType="solid">
          <fgColor rgb="FFFFF1CC"/>
        </patternFill>
      </fill>
    </dxf>
    <dxf>
      <font>
        <b/>
        <color rgb="FF7A1F1F"/>
      </font>
      <fill>
        <patternFill patternType="solid">
          <fgColor rgb="FFF2C4C4"/>
        </patternFill>
      </fill>
    </dxf>
    <dxf>
      <font>
        <b/>
        <color rgb="FF7A1F1F"/>
      </font>
      <fill>
        <patternFill patternType="solid">
          <fgColor rgb="FFF5DBDB"/>
        </patternFill>
      </fill>
    </dxf>
    <dxf>
      <font>
        <b/>
        <color rgb="FFB4540A"/>
      </font>
      <fill>
        <patternFill patternType="solid">
          <fgColor rgb="FFFFF1CC"/>
        </patternFill>
      </fill>
    </dxf>
    <dxf>
      <font>
        <b/>
        <color rgb="FF1F7A6D"/>
      </font>
      <fill>
        <patternFill patternType="solid">
          <fgColor rgb="FFDCF2E4"/>
        </patternFill>
      </fill>
    </dxf>
    <dxf>
      <font>
        <b/>
        <color rgb="FF8A3333"/>
      </font>
      <fill>
        <patternFill patternType="solid">
          <fgColor rgb="FFF5DBDB"/>
        </patternFill>
      </fill>
    </dxf>
    <dxf>
      <fill>
        <patternFill patternType="solid">
          <fgColor rgb="FFEEF1FB"/>
        </patternFill>
      </fill>
    </dxf>
    <dxf>
      <font>
        <color rgb="FFB4540A"/>
      </font>
      <fill>
        <patternFill patternType="solid">
          <fgColor rgb="FFFFF1CC"/>
        </patternFill>
      </fill>
    </dxf>
    <dxf>
      <font>
        <color rgb="FF1F7A6D"/>
      </font>
      <fill>
        <patternFill patternType="solid">
          <fgColor rgb="FFE3F1EE"/>
        </patternFill>
      </fill>
    </dxf>
    <dxf>
      <font>
        <color rgb="FFB4540A"/>
      </font>
      <fill>
        <patternFill patternType="solid">
          <fgColor rgb="FFFFF1CC"/>
        </patternFill>
      </fill>
    </dxf>
    <dxf>
      <font>
        <color rgb="FF8A3333"/>
      </font>
      <fill>
        <patternFill patternType="solid">
          <fgColor rgb="FFF5DBDB"/>
        </patternFill>
      </fill>
    </dxf>
    <dxf>
      <font>
        <b/>
        <color rgb="FF7A1F1F"/>
      </font>
      <fill>
        <patternFill patternType="solid">
          <fgColor rgb="FFF2C4C4"/>
        </patternFill>
      </fill>
    </dxf>
    <dxf>
      <fill>
        <patternFill patternType="solid">
          <fgColor rgb="FFE4E4EC"/>
        </patternFill>
      </fill>
    </dxf>
    <dxf>
      <fill>
        <patternFill patternType="solid">
          <fgColor rgb="FFF5DBDB"/>
        </patternFill>
      </fill>
    </dxf>
    <dxf>
      <fill>
        <patternFill patternType="solid">
          <fgColor rgb="FFBFE8CF"/>
        </patternFill>
      </fill>
    </dxf>
    <dxf>
      <fill>
        <patternFill patternType="solid">
          <fgColor rgb="FFDCF2E4"/>
        </patternFill>
      </fill>
    </dxf>
    <dxf>
      <fill>
        <patternFill patternType="solid">
          <fgColor rgb="FFE4E4EC"/>
        </patternFill>
      </fill>
    </dxf>
    <dxf>
      <fill>
        <patternFill patternType="solid">
          <fgColor rgb="FFDCE9FF"/>
        </patternFill>
      </fill>
    </dxf>
    <dxf>
      <fill>
        <patternFill patternType="solid">
          <fgColor rgb="FFFFF1CC"/>
        </patternFill>
      </fill>
    </dxf>
    <dxf>
      <fill>
        <patternFill patternType="solid">
          <fgColor rgb="FFF5DBDB"/>
        </patternFill>
      </fill>
    </dxf>
    <dxf>
      <fill>
        <patternFill patternType="solid">
          <fgColor rgb="FFDCF2E4"/>
        </patternFill>
      </fill>
    </dxf>
    <dxf>
      <font>
        <color rgb="FFB4540A"/>
      </font>
      <fill>
        <patternFill patternType="solid">
          <fgColor rgb="FFFFF1CC"/>
        </patternFill>
      </fill>
    </dxf>
    <dxf>
      <font>
        <color rgb="FFB4540A"/>
      </font>
      <fill>
        <patternFill patternType="solid">
          <fgColor rgb="FFFFF1CC"/>
        </patternFill>
      </fill>
    </dxf>
    <dxf>
      <font>
        <b/>
        <color rgb="FF8A3333"/>
      </font>
      <fill>
        <patternFill patternType="solid">
          <fgColor rgb="FFF5DBDB"/>
        </patternFill>
      </fill>
    </dxf>
    <dxf>
      <font>
        <color rgb="FF1F7A6D"/>
      </font>
      <fill>
        <patternFill patternType="solid">
          <fgColor rgb="FFE3F1EE"/>
        </patternFill>
      </fill>
    </dxf>
    <dxf>
      <font>
        <color rgb="FFB4540A"/>
      </font>
      <fill>
        <patternFill patternType="solid">
          <fgColor rgb="FFFFF1CC"/>
        </patternFill>
      </fill>
    </dxf>
    <dxf>
      <font>
        <color rgb="FF8A3333"/>
      </font>
      <fill>
        <patternFill patternType="solid">
          <fgColor rgb="FFF5DBDB"/>
        </patternFill>
      </fill>
    </dxf>
    <dxf>
      <font>
        <b/>
        <color rgb="FF7A1F1F"/>
      </font>
      <fill>
        <patternFill patternType="solid">
          <fgColor rgb="FFF2C4C4"/>
        </patternFill>
      </fill>
    </dxf>
    <dxf>
      <fill>
        <patternFill patternType="solid">
          <fgColor rgb="FFE4E4EC"/>
        </patternFill>
      </fill>
    </dxf>
    <dxf>
      <fill>
        <patternFill patternType="solid">
          <fgColor rgb="FFF5DBDB"/>
        </patternFill>
      </fill>
    </dxf>
    <dxf>
      <fill>
        <patternFill patternType="solid">
          <fgColor rgb="FFE4E4EC"/>
        </patternFill>
      </fill>
    </dxf>
    <dxf>
      <fill>
        <patternFill patternType="solid">
          <fgColor rgb="FFBFE8CF"/>
        </patternFill>
      </fill>
    </dxf>
    <dxf>
      <fill>
        <patternFill patternType="solid">
          <fgColor rgb="FFDCF2E4"/>
        </patternFill>
      </fill>
    </dxf>
    <dxf>
      <fill>
        <patternFill patternType="solid">
          <fgColor rgb="FFE4E4EC"/>
        </patternFill>
      </fill>
    </dxf>
    <dxf>
      <fill>
        <patternFill patternType="solid">
          <fgColor rgb="FFDCE9FF"/>
        </patternFill>
      </fill>
    </dxf>
    <dxf>
      <fill>
        <patternFill patternType="solid">
          <fgColor rgb="FFDCE9FF"/>
        </patternFill>
      </fill>
    </dxf>
    <dxf>
      <fill>
        <patternFill patternType="solid">
          <fgColor rgb="FFFFF1CC"/>
        </patternFill>
      </fill>
    </dxf>
    <dxf>
      <fill>
        <patternFill patternType="solid">
          <fgColor rgb="FFFFF1CC"/>
        </patternFill>
      </fill>
    </dxf>
    <dxf>
      <font>
        <b/>
        <color rgb="FF8A3333"/>
      </font>
      <fill>
        <patternFill patternType="solid">
          <fgColor rgb="FFF5DBDB"/>
        </patternFill>
      </fill>
    </dxf>
    <dxf>
      <font>
        <b/>
        <color rgb="FF8A3333"/>
      </font>
      <fill>
        <patternFill patternType="solid">
          <fgColor rgb="FFF5DBDB"/>
        </patternFill>
      </fill>
    </dxf>
    <dxf>
      <font>
        <color rgb="FF1F7A6D"/>
      </font>
      <fill>
        <patternFill patternType="solid">
          <fgColor rgb="FFE3F1EE"/>
        </patternFill>
      </fill>
    </dxf>
    <dxf>
      <font>
        <color rgb="FFB4540A"/>
      </font>
      <fill>
        <patternFill patternType="solid">
          <fgColor rgb="FFFFF1CC"/>
        </patternFill>
      </fill>
    </dxf>
    <dxf>
      <font>
        <b/>
        <color rgb="FF8A3333"/>
      </font>
      <fill>
        <patternFill patternType="solid">
          <fgColor rgb="FFF5DBDB"/>
        </patternFill>
      </fill>
    </dxf>
    <dxf>
      <font>
        <color rgb="FFB4540A"/>
      </font>
      <fill>
        <patternFill patternType="solid">
          <fgColor rgb="FFFFF1CC"/>
        </patternFill>
      </fill>
    </dxf>
    <dxf>
      <font>
        <b/>
        <color rgb="FF8A3333"/>
      </font>
      <fill>
        <patternFill patternType="solid">
          <fgColor rgb="FFF5DBDB"/>
        </patternFill>
      </fill>
    </dxf>
    <dxf>
      <font>
        <color rgb="FF1F7A6D"/>
      </font>
      <fill>
        <patternFill patternType="solid">
          <fgColor rgb="FFE3F1EE"/>
        </patternFill>
      </fill>
    </dxf>
    <dxf>
      <font>
        <color rgb="FFB4540A"/>
      </font>
      <fill>
        <patternFill patternType="solid">
          <fgColor rgb="FFFFF1CC"/>
        </patternFill>
      </fill>
    </dxf>
    <dxf>
      <font>
        <color rgb="FF8A3333"/>
      </font>
      <fill>
        <patternFill patternType="solid">
          <fgColor rgb="FFF5DBDB"/>
        </patternFill>
      </fill>
    </dxf>
    <dxf>
      <font>
        <b/>
        <color rgb="FF7A1F1F"/>
      </font>
      <fill>
        <patternFill patternType="solid">
          <fgColor rgb="FFF2C4C4"/>
        </patternFill>
      </fill>
    </dxf>
    <dxf>
      <font>
        <color rgb="FF1F7A6D"/>
      </font>
      <fill>
        <patternFill patternType="solid">
          <fgColor rgb="FFE3F1EE"/>
        </patternFill>
      </fill>
    </dxf>
    <dxf>
      <font>
        <color rgb="FFB4540A"/>
      </font>
      <fill>
        <patternFill patternType="solid">
          <fgColor rgb="FFFFF1CC"/>
        </patternFill>
      </fill>
    </dxf>
    <dxf>
      <font>
        <b/>
        <color rgb="FF7A1F1F"/>
      </font>
      <fill>
        <patternFill patternType="solid">
          <fgColor rgb="FFF2C4C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B24"/>
  <sheetViews>
    <sheetView showGridLines="0" tabSelected="1" workbookViewId="0"/>
  </sheetViews>
  <sheetFormatPr baseColWidth="10" defaultColWidth="8.83203125" defaultRowHeight="15" x14ac:dyDescent="0.2"/>
  <cols>
    <col min="1" max="1" width="3" customWidth="1"/>
    <col min="2" max="2" width="100" customWidth="1"/>
  </cols>
  <sheetData>
    <row r="2" spans="2:2" ht="28" customHeight="1" x14ac:dyDescent="0.2">
      <c r="B2" s="1" t="s">
        <v>0</v>
      </c>
    </row>
    <row r="3" spans="2:2" ht="36" customHeight="1" x14ac:dyDescent="0.2">
      <c r="B3" s="2" t="s">
        <v>1</v>
      </c>
    </row>
    <row r="4" spans="2:2" ht="21" customHeight="1" x14ac:dyDescent="0.2">
      <c r="B4" s="3"/>
    </row>
    <row r="5" spans="2:2" ht="21" customHeight="1" x14ac:dyDescent="0.2">
      <c r="B5" s="4" t="s">
        <v>2</v>
      </c>
    </row>
    <row r="6" spans="2:2" ht="36" customHeight="1" x14ac:dyDescent="0.2">
      <c r="B6" s="5" t="s">
        <v>3</v>
      </c>
    </row>
    <row r="7" spans="2:2" ht="51" customHeight="1" x14ac:dyDescent="0.2">
      <c r="B7" s="5" t="s">
        <v>4</v>
      </c>
    </row>
    <row r="8" spans="2:2" ht="36" customHeight="1" x14ac:dyDescent="0.2">
      <c r="B8" s="5" t="s">
        <v>5</v>
      </c>
    </row>
    <row r="9" spans="2:2" ht="36" customHeight="1" x14ac:dyDescent="0.2">
      <c r="B9" s="5" t="s">
        <v>6</v>
      </c>
    </row>
    <row r="10" spans="2:2" ht="36" customHeight="1" x14ac:dyDescent="0.2">
      <c r="B10" s="5" t="s">
        <v>7</v>
      </c>
    </row>
    <row r="11" spans="2:2" ht="21" customHeight="1" x14ac:dyDescent="0.2">
      <c r="B11" s="3"/>
    </row>
    <row r="12" spans="2:2" ht="51" customHeight="1" x14ac:dyDescent="0.2">
      <c r="B12" s="5" t="s">
        <v>8</v>
      </c>
    </row>
    <row r="13" spans="2:2" ht="36" customHeight="1" x14ac:dyDescent="0.2">
      <c r="B13" s="5" t="s">
        <v>9</v>
      </c>
    </row>
    <row r="14" spans="2:2" ht="36" customHeight="1" x14ac:dyDescent="0.2">
      <c r="B14" s="5" t="s">
        <v>10</v>
      </c>
    </row>
    <row r="15" spans="2:2" ht="36" customHeight="1" x14ac:dyDescent="0.2">
      <c r="B15" s="5" t="s">
        <v>11</v>
      </c>
    </row>
    <row r="16" spans="2:2" ht="51" customHeight="1" x14ac:dyDescent="0.2">
      <c r="B16" s="5" t="s">
        <v>12</v>
      </c>
    </row>
    <row r="17" spans="2:2" ht="21" customHeight="1" x14ac:dyDescent="0.2">
      <c r="B17" s="3"/>
    </row>
    <row r="18" spans="2:2" ht="51" customHeight="1" x14ac:dyDescent="0.2">
      <c r="B18" s="5" t="s">
        <v>13</v>
      </c>
    </row>
    <row r="19" spans="2:2" ht="36" customHeight="1" x14ac:dyDescent="0.2">
      <c r="B19" s="5" t="s">
        <v>14</v>
      </c>
    </row>
    <row r="20" spans="2:2" ht="21" customHeight="1" x14ac:dyDescent="0.2">
      <c r="B20" s="3"/>
    </row>
    <row r="21" spans="2:2" ht="66" customHeight="1" x14ac:dyDescent="0.2">
      <c r="B21" s="5" t="s">
        <v>15</v>
      </c>
    </row>
    <row r="22" spans="2:2" ht="21" customHeight="1" x14ac:dyDescent="0.2">
      <c r="B22" s="3"/>
    </row>
    <row r="23" spans="2:2" ht="51" customHeight="1" x14ac:dyDescent="0.2">
      <c r="B23" s="6" t="s">
        <v>16</v>
      </c>
    </row>
    <row r="24" spans="2:2" ht="36" customHeight="1" x14ac:dyDescent="0.2">
      <c r="B24" s="6" t="s">
        <v>17</v>
      </c>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23"/>
  <sheetViews>
    <sheetView showGridLines="0" workbookViewId="0"/>
  </sheetViews>
  <sheetFormatPr baseColWidth="10" defaultColWidth="8.83203125" defaultRowHeight="15" x14ac:dyDescent="0.2"/>
  <cols>
    <col min="1" max="1" width="26" customWidth="1"/>
    <col min="2" max="2" width="14" customWidth="1"/>
    <col min="3" max="3" width="3" customWidth="1"/>
    <col min="4" max="4" width="26" customWidth="1"/>
    <col min="5" max="5" width="14" customWidth="1"/>
    <col min="6" max="6" width="3" customWidth="1"/>
    <col min="7" max="7" width="26" customWidth="1"/>
    <col min="8" max="8" width="14" customWidth="1"/>
    <col min="9" max="10" width="2" customWidth="1"/>
  </cols>
  <sheetData>
    <row r="1" spans="1:10" ht="26" customHeight="1" x14ac:dyDescent="0.25">
      <c r="A1" s="52" t="s">
        <v>18</v>
      </c>
      <c r="B1" s="51"/>
      <c r="C1" s="51"/>
      <c r="D1" s="51"/>
      <c r="E1" s="51"/>
      <c r="F1" s="51"/>
      <c r="G1" s="51"/>
      <c r="H1" s="51"/>
      <c r="J1" s="7">
        <f>IF(ISNUMBER(Projects!$B$3),Projects!$B$3,30)</f>
        <v>30</v>
      </c>
    </row>
    <row r="2" spans="1:10" x14ac:dyDescent="0.2">
      <c r="A2" s="55" t="str">
        <f ca="1">"Everything here computes itself — never type on this sheet. All countdowns relative to "&amp;TEXT(YEAR(TODAY()),"0000")&amp;"-"&amp;TEXT(MONTH(TODAY()),"00")&amp;"-"&amp;TEXT(DAY(TODAY()),"00")</f>
        <v>Everything here computes itself — never type on this sheet. All countdowns relative to 2026-07-29</v>
      </c>
      <c r="B2" s="51"/>
      <c r="C2" s="51"/>
      <c r="D2" s="51"/>
      <c r="E2" s="51"/>
      <c r="F2" s="51"/>
      <c r="G2" s="51"/>
      <c r="H2" s="51"/>
      <c r="J2" s="7" t="str">
        <f>IF(ISNUMBER(Projects!$E$3),Projects!$E$3,"")</f>
        <v/>
      </c>
    </row>
    <row r="3" spans="1:10" x14ac:dyDescent="0.2">
      <c r="J3" s="7">
        <f ca="1">IF(ISNUMBER('Week Capacity'!$F$15),'Week Capacity'!$F$15,0)</f>
        <v>22</v>
      </c>
    </row>
    <row r="4" spans="1:10" x14ac:dyDescent="0.2">
      <c r="A4" s="8" t="s">
        <v>19</v>
      </c>
    </row>
    <row r="5" spans="1:10" ht="26" customHeight="1" x14ac:dyDescent="0.2">
      <c r="A5" s="57" t="s">
        <v>20</v>
      </c>
      <c r="B5" s="51"/>
      <c r="D5" s="57" t="s">
        <v>21</v>
      </c>
      <c r="E5" s="51"/>
      <c r="G5" s="57" t="s">
        <v>22</v>
      </c>
      <c r="H5" s="51"/>
    </row>
    <row r="6" spans="1:10" ht="34" customHeight="1" x14ac:dyDescent="0.2">
      <c r="A6" s="53">
        <f ca="1">IFERROR(IF(ISNUMBER('Week Capacity'!$F$15),'Week Capacity'!$F$15,"—"),"—")</f>
        <v>22</v>
      </c>
      <c r="B6" s="49"/>
      <c r="D6" s="54">
        <f ca="1">IFERROR(IF(SUM('Week Capacity'!$C$15:$C$18)&lt;=0,"—",(SUM('Week Capacity'!$D$15:$D$18)+SUM('Week Capacity'!$E$15:$E$18))/SUM('Week Capacity'!$C$15:$C$18)),"—")</f>
        <v>0.32</v>
      </c>
      <c r="E6" s="49"/>
      <c r="G6" s="53">
        <f ca="1">IFERROR(IF(ISNUMBER('Week Capacity'!$D$15),'Week Capacity'!$D$15,"—"),"—")</f>
        <v>3</v>
      </c>
      <c r="H6" s="49"/>
    </row>
    <row r="8" spans="1:10" x14ac:dyDescent="0.2">
      <c r="A8" s="8" t="s">
        <v>23</v>
      </c>
    </row>
    <row r="9" spans="1:10" ht="26" customHeight="1" x14ac:dyDescent="0.2">
      <c r="A9" s="57" t="s">
        <v>24</v>
      </c>
      <c r="B9" s="51"/>
      <c r="D9" s="57" t="s">
        <v>25</v>
      </c>
      <c r="E9" s="51"/>
      <c r="G9" s="57" t="s">
        <v>26</v>
      </c>
      <c r="H9" s="51"/>
    </row>
    <row r="10" spans="1:10" ht="34" customHeight="1" x14ac:dyDescent="0.2">
      <c r="A10" s="61">
        <f ca="1">IF(COUNT(Deliverables!$J$5:$J$304)=0,"—",MIN(Deliverables!$J$5:$J$304))</f>
        <v>-8</v>
      </c>
      <c r="B10" s="49"/>
      <c r="D10" s="48">
        <f ca="1">IF(COUNT(Deliverables!$J$5:$J$304)=0,"—",COUNTIF(Deliverables!$J$5:$J$304,"&lt;0"))</f>
        <v>1</v>
      </c>
      <c r="E10" s="49"/>
      <c r="G10" s="48">
        <f>IF(COUNTA(Deliverables!$D$5:$D$304)=0,"—",COUNTA(Deliverables!$D$5:$D$304)-COUNTIFS(Deliverables!$A$5:$A$304,"&gt;0",Deliverables!$F$5:$F$304,"Delivered")-COUNTIFS(Deliverables!$A$5:$A$304,"&gt;0",Deliverables!$F$5:$F$304,"Approved")-COUNTIFS(Deliverables!$A$5:$A$304,"&gt;0",Deliverables!$F$5:$F$304,"Cancelled"))</f>
        <v>4</v>
      </c>
      <c r="H10" s="49"/>
    </row>
    <row r="11" spans="1:10" ht="22" customHeight="1" x14ac:dyDescent="0.2">
      <c r="A11" s="50" t="str">
        <f ca="1">IF(COUNT(Deliverables!$J$5:$J$304)=0,"Nothing scheduled yet — add a deliverable with a due date.",IFERROR(IF(MIN(Deliverables!$J$5:$J$304)&lt;0,"Most overdue:  ","Next up:  ")&amp;INDEX(Deliverables!$D$5:$D$304,MATCH(MIN(Deliverables!$J$5:$J$304),Deliverables!$J$5:$J$304,0))&amp;"   ·   "&amp;INDEX(Deliverables!$B$5:$B$304,MATCH(MIN(Deliverables!$J$5:$J$304),Deliverables!$J$5:$J$304,0))&amp;"   ·   "&amp;TEXT(ABS(MIN(Deliverables!$J$5:$J$304)),"0")&amp;IF(MIN(Deliverables!$J$5:$J$304)&lt;0," days late"," days to go"),"—"))</f>
        <v>Most overdue:  Logo concepts (3 routes)   ·   Brand refresh   ·   8 days late</v>
      </c>
      <c r="B11" s="51"/>
      <c r="C11" s="51"/>
      <c r="D11" s="51"/>
      <c r="E11" s="51"/>
      <c r="F11" s="51"/>
      <c r="G11" s="51"/>
      <c r="H11" s="51"/>
    </row>
    <row r="13" spans="1:10" x14ac:dyDescent="0.2">
      <c r="A13" s="8" t="s">
        <v>27</v>
      </c>
    </row>
    <row r="14" spans="1:10" ht="26" customHeight="1" x14ac:dyDescent="0.2">
      <c r="A14" s="57" t="s">
        <v>28</v>
      </c>
      <c r="B14" s="51"/>
      <c r="D14" s="57" t="s">
        <v>29</v>
      </c>
      <c r="E14" s="51"/>
      <c r="G14" s="57" t="s">
        <v>30</v>
      </c>
      <c r="H14" s="51"/>
    </row>
    <row r="15" spans="1:10" ht="34" customHeight="1" x14ac:dyDescent="0.2">
      <c r="A15" s="48">
        <f>IF(COUNTA(Deliverables!$D$5:$D$304)=0,"—",COUNTIFS(Deliverables!$F$5:$F$304,"Delivered",Deliverables!$L$5:$L$304,"Not yet")+COUNTIFS(Deliverables!$F$5:$F$304,"Approved",Deliverables!$L$5:$L$304,"Not yet"))</f>
        <v>1</v>
      </c>
      <c r="B15" s="49"/>
      <c r="D15" s="56">
        <f ca="1">IF(COUNTA(Projects!$C$5:$C$64)=0,"—",IF(NOT(ISNUMBER(Projects!$B$3)),"set term",IFERROR(SUMIFS(Projects!$N$5:$N$64,Projects!$O$5:$O$64,"&gt;"&amp;Projects!$B$3),"—")))</f>
        <v>2400</v>
      </c>
      <c r="E15" s="49"/>
      <c r="G15" s="56">
        <f>IF(COUNTA(Projects!$C$5:$C$64)=0,"—",IFERROR(SUMIF(Projects!$N$5:$N$64,"&gt;0"),"—"))</f>
        <v>2400</v>
      </c>
      <c r="H15" s="49"/>
    </row>
    <row r="16" spans="1:10" x14ac:dyDescent="0.2">
      <c r="A16" s="55" t="str">
        <f ca="1">IF(NOT(ISNUMBER(Projects!$B$3)),"Set your payment term in Projects B3.",IFERROR(COUNTIFS(Projects!$O$5:$O$64,"&gt;"&amp;Projects!$B$3),0)&amp;" invoice(s) older than the "&amp;Projects!$B$3&amp;"-day payment term you set.")</f>
        <v>1 invoice(s) older than the 30-day payment term you set.</v>
      </c>
      <c r="B16" s="51"/>
      <c r="C16" s="51"/>
      <c r="D16" s="51"/>
      <c r="E16" s="51"/>
      <c r="F16" s="51"/>
      <c r="G16" s="51"/>
      <c r="H16" s="51"/>
    </row>
    <row r="17" spans="1:8" ht="24" customHeight="1" x14ac:dyDescent="0.2">
      <c r="A17" s="59" t="str">
        <f>"Booked  "&amp;IF(COUNTA(Projects!$C$5:$C$64)=0,"—",FIXED(SUM(Projects!$I$5:$I$64)-IFERROR(SUMIFS(Projects!$I$5:$I$64,Projects!$E$5:$E$64,"Cancelled"),0),2))&amp;"      ·      Invoiced  "&amp;IF(COUNTA(Projects!$C$5:$C$64)=0,"—",FIXED(SUM(Projects!$J$5:$J$64)-IFERROR(SUMIFS(Projects!$J$5:$J$64,Projects!$E$5:$E$64,"Cancelled"),0),2))&amp;"      ·      Still to invoice  "&amp;IF(COUNTA(Projects!$C$5:$C$64)=0,"—",FIXED(IFERROR(SUMIFS(Projects!$M$5:$M$64,Projects!$M$5:$M$64,"&gt;0",Projects!$E$5:$E$64,"&lt;&gt;Cancelled"),0),2))&amp;"   (your currency — no tax of any kind is calculated)"</f>
        <v>Booked  10.000,00      ·      Invoiced  5.400,00      ·      Still to invoice  4.600,00   (your currency — no tax of any kind is calculated)</v>
      </c>
      <c r="B17" s="49"/>
      <c r="C17" s="49"/>
      <c r="D17" s="49"/>
      <c r="E17" s="49"/>
      <c r="F17" s="49"/>
      <c r="G17" s="49"/>
      <c r="H17" s="49"/>
    </row>
    <row r="19" spans="1:8" x14ac:dyDescent="0.2">
      <c r="A19" s="62" t="s">
        <v>31</v>
      </c>
      <c r="B19" s="51"/>
      <c r="C19" s="51"/>
      <c r="D19" s="51"/>
      <c r="E19" s="51"/>
      <c r="F19" s="51"/>
      <c r="G19" s="51"/>
      <c r="H19" s="51"/>
    </row>
    <row r="20" spans="1:8" x14ac:dyDescent="0.2">
      <c r="A20" s="60" t="s">
        <v>32</v>
      </c>
      <c r="B20" s="51"/>
      <c r="C20" s="51"/>
      <c r="D20" s="51"/>
      <c r="E20" s="51"/>
      <c r="F20" s="51"/>
      <c r="G20" s="51"/>
      <c r="H20" s="51"/>
    </row>
    <row r="21" spans="1:8" x14ac:dyDescent="0.2">
      <c r="A21" s="55" t="s">
        <v>33</v>
      </c>
      <c r="B21" s="51"/>
      <c r="C21" s="51"/>
      <c r="D21" s="51"/>
      <c r="E21" s="51"/>
      <c r="F21" s="51"/>
      <c r="G21" s="51"/>
      <c r="H21" s="51"/>
    </row>
    <row r="23" spans="1:8" x14ac:dyDescent="0.2">
      <c r="A23" s="58" t="s">
        <v>34</v>
      </c>
      <c r="B23" s="51"/>
      <c r="C23" s="51"/>
      <c r="D23" s="51"/>
      <c r="E23" s="51"/>
      <c r="F23" s="51"/>
      <c r="G23" s="51"/>
      <c r="H23" s="51"/>
    </row>
  </sheetData>
  <sheetProtection sheet="1"/>
  <mergeCells count="27">
    <mergeCell ref="A23:H23"/>
    <mergeCell ref="D9:E9"/>
    <mergeCell ref="A17:H17"/>
    <mergeCell ref="D15:E15"/>
    <mergeCell ref="A20:H20"/>
    <mergeCell ref="A10:B10"/>
    <mergeCell ref="D14:E14"/>
    <mergeCell ref="A19:H19"/>
    <mergeCell ref="A9:B9"/>
    <mergeCell ref="G9:H9"/>
    <mergeCell ref="A16:H16"/>
    <mergeCell ref="G6:H6"/>
    <mergeCell ref="A21:H21"/>
    <mergeCell ref="G15:H15"/>
    <mergeCell ref="A2:H2"/>
    <mergeCell ref="A5:B5"/>
    <mergeCell ref="G5:H5"/>
    <mergeCell ref="A14:B14"/>
    <mergeCell ref="G14:H14"/>
    <mergeCell ref="D5:E5"/>
    <mergeCell ref="D10:E10"/>
    <mergeCell ref="A15:B15"/>
    <mergeCell ref="A11:H11"/>
    <mergeCell ref="A1:H1"/>
    <mergeCell ref="A6:B6"/>
    <mergeCell ref="D6:E6"/>
    <mergeCell ref="G10:H10"/>
  </mergeCells>
  <conditionalFormatting sqref="A6:B6">
    <cfRule type="expression" dxfId="54" priority="1" stopIfTrue="1">
      <formula>AND(ISNUMBER($A$6),$A$6&lt;0)</formula>
    </cfRule>
    <cfRule type="expression" dxfId="53" priority="2" stopIfTrue="1">
      <formula>AND(ISNUMBER($A$6),$A$6&gt;=0,$A$6&lt;=2)</formula>
    </cfRule>
    <cfRule type="expression" dxfId="52" priority="3">
      <formula>AND(ISNUMBER($A$6),$A$6&gt;2)</formula>
    </cfRule>
  </conditionalFormatting>
  <conditionalFormatting sqref="A10:B10">
    <cfRule type="expression" dxfId="51" priority="7" stopIfTrue="1">
      <formula>AND(ISNUMBER($A$10),$A$10&lt;0)</formula>
    </cfRule>
    <cfRule type="expression" dxfId="50" priority="8" stopIfTrue="1">
      <formula>AND(ISNUMBER($A$10),$A$10&gt;=0,$A$10&lt;=3)</formula>
    </cfRule>
    <cfRule type="expression" dxfId="49" priority="9" stopIfTrue="1">
      <formula>AND(ISNUMBER($A$10),$A$10&gt;=4,$A$10&lt;=10)</formula>
    </cfRule>
    <cfRule type="expression" dxfId="48" priority="10">
      <formula>AND(ISNUMBER($A$10),$A$10&gt;10)</formula>
    </cfRule>
  </conditionalFormatting>
  <conditionalFormatting sqref="A15:B15">
    <cfRule type="expression" dxfId="47" priority="12" stopIfTrue="1">
      <formula>AND(ISNUMBER($A$15),$A$15&gt;=3)</formula>
    </cfRule>
    <cfRule type="expression" dxfId="46" priority="13">
      <formula>AND(ISNUMBER($A$15),$A$15&gt;=1,$A$15&lt;=2)</formula>
    </cfRule>
  </conditionalFormatting>
  <conditionalFormatting sqref="D6:E6">
    <cfRule type="expression" dxfId="45" priority="4" stopIfTrue="1">
      <formula>AND(ISNUMBER($D$6),$D$6&gt;=1)</formula>
    </cfRule>
    <cfRule type="expression" dxfId="44" priority="5" stopIfTrue="1">
      <formula>AND(ISNUMBER($D$6),$D$6&gt;=0.85,$D$6&lt;1)</formula>
    </cfRule>
    <cfRule type="expression" dxfId="43" priority="6">
      <formula>AND(ISNUMBER($D$6),$D$6&gt;0,$D$6&lt;0.85)</formula>
    </cfRule>
  </conditionalFormatting>
  <conditionalFormatting sqref="D10:E10">
    <cfRule type="expression" dxfId="42" priority="11">
      <formula>AND(ISNUMBER($D$10),$D$10&gt;=1)</formula>
    </cfRule>
  </conditionalFormatting>
  <conditionalFormatting sqref="D15:E15">
    <cfRule type="expression" dxfId="41" priority="14">
      <formula>AND(ISNUMBER($D$15),ISNUMBER($J$1),$D$15&gt;0)</formula>
    </cfRule>
  </conditionalFormatting>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64"/>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5" customWidth="1"/>
    <col min="2" max="2" width="20" customWidth="1"/>
    <col min="3" max="3" width="26" customWidth="1"/>
    <col min="4" max="4" width="16" customWidth="1"/>
    <col min="5" max="5" width="14" customWidth="1"/>
    <col min="6" max="7" width="12" customWidth="1"/>
    <col min="8" max="8" width="10" customWidth="1"/>
    <col min="9" max="10" width="13" customWidth="1"/>
    <col min="11" max="11" width="12" customWidth="1"/>
    <col min="12" max="12" width="13" customWidth="1"/>
    <col min="13" max="13" width="14" customWidth="1"/>
    <col min="14" max="14" width="15" customWidth="1"/>
    <col min="15" max="17" width="12" customWidth="1"/>
    <col min="18" max="18" width="11" customWidth="1"/>
    <col min="19" max="20" width="14" customWidth="1"/>
    <col min="21" max="21" width="34" customWidth="1"/>
  </cols>
  <sheetData>
    <row r="1" spans="1:21" ht="26" customHeight="1" x14ac:dyDescent="0.25">
      <c r="A1" s="52" t="s">
        <v>35</v>
      </c>
      <c r="B1" s="51"/>
      <c r="C1" s="51"/>
      <c r="D1" s="51"/>
      <c r="E1" s="51"/>
      <c r="F1" s="51"/>
      <c r="G1" s="51"/>
      <c r="H1" s="51"/>
      <c r="I1" s="51"/>
      <c r="J1" s="51"/>
      <c r="K1" s="51"/>
      <c r="L1" s="51"/>
      <c r="M1" s="51"/>
      <c r="N1" s="51"/>
      <c r="O1" s="51"/>
      <c r="P1" s="51"/>
      <c r="Q1" s="51"/>
      <c r="R1" s="51"/>
      <c r="S1" s="51"/>
      <c r="T1" s="51"/>
      <c r="U1" s="51"/>
    </row>
    <row r="2" spans="1:21" x14ac:dyDescent="0.2">
      <c r="A2" s="55" t="s">
        <v>36</v>
      </c>
      <c r="B2" s="51"/>
      <c r="C2" s="51"/>
      <c r="D2" s="51"/>
      <c r="E2" s="51"/>
      <c r="F2" s="51"/>
      <c r="G2" s="51"/>
      <c r="H2" s="51"/>
      <c r="I2" s="51"/>
      <c r="J2" s="51"/>
      <c r="K2" s="51"/>
      <c r="L2" s="51"/>
      <c r="M2" s="51"/>
      <c r="N2" s="51"/>
      <c r="O2" s="51"/>
      <c r="P2" s="51"/>
      <c r="Q2" s="51"/>
      <c r="R2" s="51"/>
      <c r="S2" s="51"/>
      <c r="T2" s="51"/>
      <c r="U2" s="51"/>
    </row>
    <row r="3" spans="1:21" ht="18" customHeight="1" x14ac:dyDescent="0.2">
      <c r="A3" s="10" t="s">
        <v>37</v>
      </c>
      <c r="B3" s="11">
        <v>30</v>
      </c>
      <c r="D3" s="10" t="s">
        <v>38</v>
      </c>
      <c r="E3" s="12"/>
      <c r="F3" s="9" t="s">
        <v>39</v>
      </c>
    </row>
    <row r="4" spans="1:21" ht="30" customHeight="1" x14ac:dyDescent="0.2">
      <c r="A4" s="13" t="s">
        <v>40</v>
      </c>
      <c r="B4" s="13" t="s">
        <v>41</v>
      </c>
      <c r="C4" s="13" t="s">
        <v>42</v>
      </c>
      <c r="D4" s="13" t="s">
        <v>43</v>
      </c>
      <c r="E4" s="13" t="s">
        <v>44</v>
      </c>
      <c r="F4" s="13" t="s">
        <v>45</v>
      </c>
      <c r="G4" s="13" t="s">
        <v>46</v>
      </c>
      <c r="H4" s="13" t="s">
        <v>47</v>
      </c>
      <c r="I4" s="13" t="s">
        <v>48</v>
      </c>
      <c r="J4" s="13" t="s">
        <v>49</v>
      </c>
      <c r="K4" s="13" t="s">
        <v>50</v>
      </c>
      <c r="L4" s="13" t="s">
        <v>51</v>
      </c>
      <c r="M4" s="13" t="s">
        <v>52</v>
      </c>
      <c r="N4" s="13" t="s">
        <v>30</v>
      </c>
      <c r="O4" s="13" t="s">
        <v>53</v>
      </c>
      <c r="P4" s="13" t="s">
        <v>54</v>
      </c>
      <c r="Q4" s="13" t="s">
        <v>55</v>
      </c>
      <c r="R4" s="13" t="s">
        <v>56</v>
      </c>
      <c r="S4" s="13" t="s">
        <v>57</v>
      </c>
      <c r="T4" s="13" t="s">
        <v>58</v>
      </c>
      <c r="U4" s="13" t="s">
        <v>59</v>
      </c>
    </row>
    <row r="5" spans="1:21" ht="26" x14ac:dyDescent="0.2">
      <c r="A5" s="14">
        <f t="shared" ref="A5:A36" si="0">IF($C5="","",ROW()-4)</f>
        <v>1</v>
      </c>
      <c r="B5" s="15" t="s">
        <v>60</v>
      </c>
      <c r="C5" s="16" t="s">
        <v>61</v>
      </c>
      <c r="D5" s="16" t="s">
        <v>62</v>
      </c>
      <c r="E5" s="16" t="s">
        <v>63</v>
      </c>
      <c r="F5" s="17">
        <f ca="1">TODAY()-24</f>
        <v>46208</v>
      </c>
      <c r="G5" s="17">
        <f ca="1">TODAY()+16</f>
        <v>46248</v>
      </c>
      <c r="H5" s="18">
        <f t="shared" ref="H5:H36" ca="1" si="1">IF($G5="","—",IF(OR($E5="Approved",$E5="Closed",$E5="Cancelled"),"—",IFERROR(INT($G5)-TODAY(),"—")))</f>
        <v>16</v>
      </c>
      <c r="I5" s="19">
        <v>4800</v>
      </c>
      <c r="J5" s="19">
        <v>2400</v>
      </c>
      <c r="K5" s="17">
        <f ca="1">TODAY()-38</f>
        <v>46194</v>
      </c>
      <c r="L5" s="19"/>
      <c r="M5" s="20">
        <f t="shared" ref="M5:M36" si="2">IF($C5="","—",IF($I5="","—",IFERROR($I5-$J5,"—")))</f>
        <v>2400</v>
      </c>
      <c r="N5" s="20">
        <f t="shared" ref="N5:N36" si="3">IF($C5="","—",IF($J5="","—",IFERROR($J5-$L5,"—")))</f>
        <v>2400</v>
      </c>
      <c r="O5" s="18">
        <f t="shared" ref="O5:O36" ca="1" si="4">IF($K5="","—",IF(NOT(ISNUMBER($N5)),"—",IF($N5&lt;=0,"—",IFERROR(TODAY()-INT($K5),"—"))))</f>
        <v>38</v>
      </c>
      <c r="P5" s="21">
        <v>40</v>
      </c>
      <c r="Q5" s="22">
        <f>IF($C5="","—",IFERROR(SUMIFS(Deliverables!$H$5:$H$304,Deliverables!$B$5:$B$304,SUBSTITUTE(SUBSTITUTE(SUBSTITUTE($C5,"~","~~"),"*","~*"),"?","~?")),"—"))</f>
        <v>5</v>
      </c>
      <c r="R5" s="22">
        <f t="shared" ref="R5:R36" si="5">IF($C5="","—",IF($P5="","—",IF(ISNUMBER($Q5),IFERROR($P5-$Q5,"—"),"—")))</f>
        <v>35</v>
      </c>
      <c r="S5" s="23">
        <f t="shared" ref="S5:S36" si="6">IF($C5="","—",IFERROR(IF(AND(ISNUMBER($Q5),$Q5&gt;0,ISNUMBER($I5)),ROUND($I5/$Q5,1),"—"),"—"))</f>
        <v>960</v>
      </c>
      <c r="T5" s="24" t="str">
        <f>IF($C5="","—",IF(COUNTIF(Deliverables!$B$5:$B$304,SUBSTITUTE(SUBSTITUTE(SUBSTITUTE($C5,"~","~~"),"*","~*"),"?","~?"))=0,"—",COUNTIFS(Deliverables!$B$5:$B$304,SUBSTITUTE(SUBSTITUTE(SUBSTITUTE($C5,"~","~~"),"*","~*"),"?","~?"),Deliverables!$F$5:$F$304,"Delivered")+COUNTIFS(Deliverables!$B$5:$B$304,SUBSTITUTE(SUBSTITUTE(SUBSTITUTE($C5,"~","~~"),"*","~*"),"?","~?"),Deliverables!$F$5:$F$304,"Approved")&amp;" / "&amp;COUNTIF(Deliverables!$B$5:$B$304,SUBSTITUTE(SUBSTITUTE(SUBSTITUTE($C5,"~","~~"),"*","~*"),"?","~?"))))</f>
        <v>0 / 2</v>
      </c>
      <c r="U5" s="25" t="s">
        <v>64</v>
      </c>
    </row>
    <row r="6" spans="1:21" ht="26" x14ac:dyDescent="0.2">
      <c r="A6" s="14">
        <f t="shared" si="0"/>
        <v>2</v>
      </c>
      <c r="B6" s="26" t="s">
        <v>60</v>
      </c>
      <c r="C6" s="27" t="s">
        <v>65</v>
      </c>
      <c r="D6" s="27" t="s">
        <v>66</v>
      </c>
      <c r="E6" s="27" t="s">
        <v>67</v>
      </c>
      <c r="F6" s="28">
        <f ca="1">TODAY()-6</f>
        <v>46226</v>
      </c>
      <c r="G6" s="28">
        <f ca="1">TODAY()+27</f>
        <v>46259</v>
      </c>
      <c r="H6" s="18">
        <f t="shared" ca="1" si="1"/>
        <v>27</v>
      </c>
      <c r="I6" s="29">
        <v>2200</v>
      </c>
      <c r="J6" s="29"/>
      <c r="K6" s="28"/>
      <c r="L6" s="29"/>
      <c r="M6" s="20">
        <f t="shared" si="2"/>
        <v>2200</v>
      </c>
      <c r="N6" s="20" t="str">
        <f t="shared" si="3"/>
        <v>—</v>
      </c>
      <c r="O6" s="18" t="str">
        <f t="shared" ca="1" si="4"/>
        <v>—</v>
      </c>
      <c r="P6" s="30">
        <v>18</v>
      </c>
      <c r="Q6" s="22">
        <f>IF($C6="","—",IFERROR(SUMIFS(Deliverables!$H$5:$H$304,Deliverables!$B$5:$B$304,SUBSTITUTE(SUBSTITUTE(SUBSTITUTE($C6,"~","~~"),"*","~*"),"?","~?")),"—"))</f>
        <v>2</v>
      </c>
      <c r="R6" s="22">
        <f t="shared" si="5"/>
        <v>16</v>
      </c>
      <c r="S6" s="23">
        <f t="shared" si="6"/>
        <v>1100</v>
      </c>
      <c r="T6" s="24" t="str">
        <f>IF($C6="","—",IF(COUNTIF(Deliverables!$B$5:$B$304,SUBSTITUTE(SUBSTITUTE(SUBSTITUTE($C6,"~","~~"),"*","~*"),"?","~?"))=0,"—",COUNTIFS(Deliverables!$B$5:$B$304,SUBSTITUTE(SUBSTITUTE(SUBSTITUTE($C6,"~","~~"),"*","~*"),"?","~?"),Deliverables!$F$5:$F$304,"Delivered")+COUNTIFS(Deliverables!$B$5:$B$304,SUBSTITUTE(SUBSTITUTE(SUBSTITUTE($C6,"~","~~"),"*","~*"),"?","~?"),Deliverables!$F$5:$F$304,"Approved")&amp;" / "&amp;COUNTIF(Deliverables!$B$5:$B$304,SUBSTITUTE(SUBSTITUTE(SUBSTITUTE($C6,"~","~~"),"*","~*"),"?","~?"))))</f>
        <v>0 / 1</v>
      </c>
      <c r="U6" s="31" t="s">
        <v>68</v>
      </c>
    </row>
    <row r="7" spans="1:21" ht="26" x14ac:dyDescent="0.2">
      <c r="A7" s="14">
        <f t="shared" si="0"/>
        <v>3</v>
      </c>
      <c r="B7" s="15" t="s">
        <v>60</v>
      </c>
      <c r="C7" s="16" t="s">
        <v>69</v>
      </c>
      <c r="D7" s="16" t="s">
        <v>70</v>
      </c>
      <c r="E7" s="16" t="s">
        <v>63</v>
      </c>
      <c r="F7" s="17">
        <f ca="1">TODAY()-52</f>
        <v>46180</v>
      </c>
      <c r="G7" s="17">
        <f ca="1">TODAY()+9</f>
        <v>46241</v>
      </c>
      <c r="H7" s="18">
        <f t="shared" ca="1" si="1"/>
        <v>9</v>
      </c>
      <c r="I7" s="19">
        <v>3000</v>
      </c>
      <c r="J7" s="19">
        <v>3000</v>
      </c>
      <c r="K7" s="17">
        <f ca="1">TODAY()-12</f>
        <v>46220</v>
      </c>
      <c r="L7" s="19">
        <v>3000</v>
      </c>
      <c r="M7" s="20">
        <f t="shared" si="2"/>
        <v>0</v>
      </c>
      <c r="N7" s="20">
        <f t="shared" si="3"/>
        <v>0</v>
      </c>
      <c r="O7" s="18" t="str">
        <f t="shared" ca="1" si="4"/>
        <v>—</v>
      </c>
      <c r="P7" s="21">
        <v>24</v>
      </c>
      <c r="Q7" s="22">
        <f>IF($C7="","—",IFERROR(SUMIFS(Deliverables!$H$5:$H$304,Deliverables!$B$5:$B$304,SUBSTITUTE(SUBSTITUTE(SUBSTITUTE($C7,"~","~~"),"*","~*"),"?","~?")),"—"))</f>
        <v>6</v>
      </c>
      <c r="R7" s="22">
        <f t="shared" si="5"/>
        <v>18</v>
      </c>
      <c r="S7" s="23">
        <f t="shared" si="6"/>
        <v>500</v>
      </c>
      <c r="T7" s="24" t="str">
        <f>IF($C7="","—",IF(COUNTIF(Deliverables!$B$5:$B$304,SUBSTITUTE(SUBSTITUTE(SUBSTITUTE($C7,"~","~~"),"*","~*"),"?","~?"))=0,"—",COUNTIFS(Deliverables!$B$5:$B$304,SUBSTITUTE(SUBSTITUTE(SUBSTITUTE($C7,"~","~~"),"*","~*"),"?","~?"),Deliverables!$F$5:$F$304,"Delivered")+COUNTIFS(Deliverables!$B$5:$B$304,SUBSTITUTE(SUBSTITUTE(SUBSTITUTE($C7,"~","~~"),"*","~*"),"?","~?"),Deliverables!$F$5:$F$304,"Approved")&amp;" / "&amp;COUNTIF(Deliverables!$B$5:$B$304,SUBSTITUTE(SUBSTITUTE(SUBSTITUTE($C7,"~","~~"),"*","~*"),"?","~?"))))</f>
        <v>1 / 2</v>
      </c>
      <c r="U7" s="25" t="s">
        <v>71</v>
      </c>
    </row>
    <row r="8" spans="1:21" ht="16" x14ac:dyDescent="0.2">
      <c r="A8" s="14" t="str">
        <f t="shared" si="0"/>
        <v/>
      </c>
      <c r="B8" s="27"/>
      <c r="C8" s="27"/>
      <c r="D8" s="27"/>
      <c r="E8" s="27"/>
      <c r="F8" s="28"/>
      <c r="G8" s="28"/>
      <c r="H8" s="18" t="str">
        <f t="shared" ca="1" si="1"/>
        <v>—</v>
      </c>
      <c r="I8" s="29"/>
      <c r="J8" s="29"/>
      <c r="K8" s="28"/>
      <c r="L8" s="29"/>
      <c r="M8" s="20" t="str">
        <f t="shared" si="2"/>
        <v>—</v>
      </c>
      <c r="N8" s="20" t="str">
        <f t="shared" si="3"/>
        <v>—</v>
      </c>
      <c r="O8" s="18" t="str">
        <f t="shared" ca="1" si="4"/>
        <v>—</v>
      </c>
      <c r="P8" s="30"/>
      <c r="Q8" s="22" t="str">
        <f>IF($C8="","—",IFERROR(SUMIFS(Deliverables!$H$5:$H$304,Deliverables!$B$5:$B$304,SUBSTITUTE(SUBSTITUTE(SUBSTITUTE($C8,"~","~~"),"*","~*"),"?","~?")),"—"))</f>
        <v>—</v>
      </c>
      <c r="R8" s="22" t="str">
        <f t="shared" si="5"/>
        <v>—</v>
      </c>
      <c r="S8" s="23" t="str">
        <f t="shared" si="6"/>
        <v>—</v>
      </c>
      <c r="T8" s="24" t="str">
        <f>IF($C8="","—",IF(COUNTIF(Deliverables!$B$5:$B$304,SUBSTITUTE(SUBSTITUTE(SUBSTITUTE($C8,"~","~~"),"*","~*"),"?","~?"))=0,"—",COUNTIFS(Deliverables!$B$5:$B$304,SUBSTITUTE(SUBSTITUTE(SUBSTITUTE($C8,"~","~~"),"*","~*"),"?","~?"),Deliverables!$F$5:$F$304,"Delivered")+COUNTIFS(Deliverables!$B$5:$B$304,SUBSTITUTE(SUBSTITUTE(SUBSTITUTE($C8,"~","~~"),"*","~*"),"?","~?"),Deliverables!$F$5:$F$304,"Approved")&amp;" / "&amp;COUNTIF(Deliverables!$B$5:$B$304,SUBSTITUTE(SUBSTITUTE(SUBSTITUTE($C8,"~","~~"),"*","~*"),"?","~?"))))</f>
        <v>—</v>
      </c>
      <c r="U8" s="27"/>
    </row>
    <row r="9" spans="1:21" ht="16" x14ac:dyDescent="0.2">
      <c r="A9" s="14" t="str">
        <f t="shared" si="0"/>
        <v/>
      </c>
      <c r="B9" s="16"/>
      <c r="C9" s="16"/>
      <c r="D9" s="16"/>
      <c r="E9" s="16"/>
      <c r="F9" s="17"/>
      <c r="G9" s="17"/>
      <c r="H9" s="18" t="str">
        <f t="shared" ca="1" si="1"/>
        <v>—</v>
      </c>
      <c r="I9" s="19"/>
      <c r="J9" s="19"/>
      <c r="K9" s="17"/>
      <c r="L9" s="19"/>
      <c r="M9" s="20" t="str">
        <f t="shared" si="2"/>
        <v>—</v>
      </c>
      <c r="N9" s="20" t="str">
        <f t="shared" si="3"/>
        <v>—</v>
      </c>
      <c r="O9" s="18" t="str">
        <f t="shared" ca="1" si="4"/>
        <v>—</v>
      </c>
      <c r="P9" s="21"/>
      <c r="Q9" s="22" t="str">
        <f>IF($C9="","—",IFERROR(SUMIFS(Deliverables!$H$5:$H$304,Deliverables!$B$5:$B$304,SUBSTITUTE(SUBSTITUTE(SUBSTITUTE($C9,"~","~~"),"*","~*"),"?","~?")),"—"))</f>
        <v>—</v>
      </c>
      <c r="R9" s="22" t="str">
        <f t="shared" si="5"/>
        <v>—</v>
      </c>
      <c r="S9" s="23" t="str">
        <f t="shared" si="6"/>
        <v>—</v>
      </c>
      <c r="T9" s="24" t="str">
        <f>IF($C9="","—",IF(COUNTIF(Deliverables!$B$5:$B$304,SUBSTITUTE(SUBSTITUTE(SUBSTITUTE($C9,"~","~~"),"*","~*"),"?","~?"))=0,"—",COUNTIFS(Deliverables!$B$5:$B$304,SUBSTITUTE(SUBSTITUTE(SUBSTITUTE($C9,"~","~~"),"*","~*"),"?","~?"),Deliverables!$F$5:$F$304,"Delivered")+COUNTIFS(Deliverables!$B$5:$B$304,SUBSTITUTE(SUBSTITUTE(SUBSTITUTE($C9,"~","~~"),"*","~*"),"?","~?"),Deliverables!$F$5:$F$304,"Approved")&amp;" / "&amp;COUNTIF(Deliverables!$B$5:$B$304,SUBSTITUTE(SUBSTITUTE(SUBSTITUTE($C9,"~","~~"),"*","~*"),"?","~?"))))</f>
        <v>—</v>
      </c>
      <c r="U9" s="16"/>
    </row>
    <row r="10" spans="1:21" ht="16" x14ac:dyDescent="0.2">
      <c r="A10" s="14" t="str">
        <f t="shared" si="0"/>
        <v/>
      </c>
      <c r="B10" s="27"/>
      <c r="C10" s="27"/>
      <c r="D10" s="27"/>
      <c r="E10" s="27"/>
      <c r="F10" s="28"/>
      <c r="G10" s="28"/>
      <c r="H10" s="18" t="str">
        <f t="shared" ca="1" si="1"/>
        <v>—</v>
      </c>
      <c r="I10" s="29"/>
      <c r="J10" s="29"/>
      <c r="K10" s="28"/>
      <c r="L10" s="29"/>
      <c r="M10" s="20" t="str">
        <f t="shared" si="2"/>
        <v>—</v>
      </c>
      <c r="N10" s="20" t="str">
        <f t="shared" si="3"/>
        <v>—</v>
      </c>
      <c r="O10" s="18" t="str">
        <f t="shared" ca="1" si="4"/>
        <v>—</v>
      </c>
      <c r="P10" s="30"/>
      <c r="Q10" s="22" t="str">
        <f>IF($C10="","—",IFERROR(SUMIFS(Deliverables!$H$5:$H$304,Deliverables!$B$5:$B$304,SUBSTITUTE(SUBSTITUTE(SUBSTITUTE($C10,"~","~~"),"*","~*"),"?","~?")),"—"))</f>
        <v>—</v>
      </c>
      <c r="R10" s="22" t="str">
        <f t="shared" si="5"/>
        <v>—</v>
      </c>
      <c r="S10" s="23" t="str">
        <f t="shared" si="6"/>
        <v>—</v>
      </c>
      <c r="T10" s="24" t="str">
        <f>IF($C10="","—",IF(COUNTIF(Deliverables!$B$5:$B$304,SUBSTITUTE(SUBSTITUTE(SUBSTITUTE($C10,"~","~~"),"*","~*"),"?","~?"))=0,"—",COUNTIFS(Deliverables!$B$5:$B$304,SUBSTITUTE(SUBSTITUTE(SUBSTITUTE($C10,"~","~~"),"*","~*"),"?","~?"),Deliverables!$F$5:$F$304,"Delivered")+COUNTIFS(Deliverables!$B$5:$B$304,SUBSTITUTE(SUBSTITUTE(SUBSTITUTE($C10,"~","~~"),"*","~*"),"?","~?"),Deliverables!$F$5:$F$304,"Approved")&amp;" / "&amp;COUNTIF(Deliverables!$B$5:$B$304,SUBSTITUTE(SUBSTITUTE(SUBSTITUTE($C10,"~","~~"),"*","~*"),"?","~?"))))</f>
        <v>—</v>
      </c>
      <c r="U10" s="27"/>
    </row>
    <row r="11" spans="1:21" ht="16" x14ac:dyDescent="0.2">
      <c r="A11" s="14" t="str">
        <f t="shared" si="0"/>
        <v/>
      </c>
      <c r="B11" s="16"/>
      <c r="C11" s="16"/>
      <c r="D11" s="16"/>
      <c r="E11" s="16"/>
      <c r="F11" s="17"/>
      <c r="G11" s="17"/>
      <c r="H11" s="18" t="str">
        <f t="shared" ca="1" si="1"/>
        <v>—</v>
      </c>
      <c r="I11" s="19"/>
      <c r="J11" s="19"/>
      <c r="K11" s="17"/>
      <c r="L11" s="19"/>
      <c r="M11" s="20" t="str">
        <f t="shared" si="2"/>
        <v>—</v>
      </c>
      <c r="N11" s="20" t="str">
        <f t="shared" si="3"/>
        <v>—</v>
      </c>
      <c r="O11" s="18" t="str">
        <f t="shared" ca="1" si="4"/>
        <v>—</v>
      </c>
      <c r="P11" s="21"/>
      <c r="Q11" s="22" t="str">
        <f>IF($C11="","—",IFERROR(SUMIFS(Deliverables!$H$5:$H$304,Deliverables!$B$5:$B$304,SUBSTITUTE(SUBSTITUTE(SUBSTITUTE($C11,"~","~~"),"*","~*"),"?","~?")),"—"))</f>
        <v>—</v>
      </c>
      <c r="R11" s="22" t="str">
        <f t="shared" si="5"/>
        <v>—</v>
      </c>
      <c r="S11" s="23" t="str">
        <f t="shared" si="6"/>
        <v>—</v>
      </c>
      <c r="T11" s="24" t="str">
        <f>IF($C11="","—",IF(COUNTIF(Deliverables!$B$5:$B$304,SUBSTITUTE(SUBSTITUTE(SUBSTITUTE($C11,"~","~~"),"*","~*"),"?","~?"))=0,"—",COUNTIFS(Deliverables!$B$5:$B$304,SUBSTITUTE(SUBSTITUTE(SUBSTITUTE($C11,"~","~~"),"*","~*"),"?","~?"),Deliverables!$F$5:$F$304,"Delivered")+COUNTIFS(Deliverables!$B$5:$B$304,SUBSTITUTE(SUBSTITUTE(SUBSTITUTE($C11,"~","~~"),"*","~*"),"?","~?"),Deliverables!$F$5:$F$304,"Approved")&amp;" / "&amp;COUNTIF(Deliverables!$B$5:$B$304,SUBSTITUTE(SUBSTITUTE(SUBSTITUTE($C11,"~","~~"),"*","~*"),"?","~?"))))</f>
        <v>—</v>
      </c>
      <c r="U11" s="16"/>
    </row>
    <row r="12" spans="1:21" ht="16" x14ac:dyDescent="0.2">
      <c r="A12" s="14" t="str">
        <f t="shared" si="0"/>
        <v/>
      </c>
      <c r="B12" s="27"/>
      <c r="C12" s="27"/>
      <c r="D12" s="27"/>
      <c r="E12" s="27"/>
      <c r="F12" s="28"/>
      <c r="G12" s="28"/>
      <c r="H12" s="18" t="str">
        <f t="shared" ca="1" si="1"/>
        <v>—</v>
      </c>
      <c r="I12" s="29"/>
      <c r="J12" s="29"/>
      <c r="K12" s="28"/>
      <c r="L12" s="29"/>
      <c r="M12" s="20" t="str">
        <f t="shared" si="2"/>
        <v>—</v>
      </c>
      <c r="N12" s="20" t="str">
        <f t="shared" si="3"/>
        <v>—</v>
      </c>
      <c r="O12" s="18" t="str">
        <f t="shared" ca="1" si="4"/>
        <v>—</v>
      </c>
      <c r="P12" s="30"/>
      <c r="Q12" s="22" t="str">
        <f>IF($C12="","—",IFERROR(SUMIFS(Deliverables!$H$5:$H$304,Deliverables!$B$5:$B$304,SUBSTITUTE(SUBSTITUTE(SUBSTITUTE($C12,"~","~~"),"*","~*"),"?","~?")),"—"))</f>
        <v>—</v>
      </c>
      <c r="R12" s="22" t="str">
        <f t="shared" si="5"/>
        <v>—</v>
      </c>
      <c r="S12" s="23" t="str">
        <f t="shared" si="6"/>
        <v>—</v>
      </c>
      <c r="T12" s="24" t="str">
        <f>IF($C12="","—",IF(COUNTIF(Deliverables!$B$5:$B$304,SUBSTITUTE(SUBSTITUTE(SUBSTITUTE($C12,"~","~~"),"*","~*"),"?","~?"))=0,"—",COUNTIFS(Deliverables!$B$5:$B$304,SUBSTITUTE(SUBSTITUTE(SUBSTITUTE($C12,"~","~~"),"*","~*"),"?","~?"),Deliverables!$F$5:$F$304,"Delivered")+COUNTIFS(Deliverables!$B$5:$B$304,SUBSTITUTE(SUBSTITUTE(SUBSTITUTE($C12,"~","~~"),"*","~*"),"?","~?"),Deliverables!$F$5:$F$304,"Approved")&amp;" / "&amp;COUNTIF(Deliverables!$B$5:$B$304,SUBSTITUTE(SUBSTITUTE(SUBSTITUTE($C12,"~","~~"),"*","~*"),"?","~?"))))</f>
        <v>—</v>
      </c>
      <c r="U12" s="27"/>
    </row>
    <row r="13" spans="1:21" ht="16" x14ac:dyDescent="0.2">
      <c r="A13" s="14" t="str">
        <f t="shared" si="0"/>
        <v/>
      </c>
      <c r="B13" s="16"/>
      <c r="C13" s="16"/>
      <c r="D13" s="16"/>
      <c r="E13" s="16"/>
      <c r="F13" s="17"/>
      <c r="G13" s="17"/>
      <c r="H13" s="18" t="str">
        <f t="shared" ca="1" si="1"/>
        <v>—</v>
      </c>
      <c r="I13" s="19"/>
      <c r="J13" s="19"/>
      <c r="K13" s="17"/>
      <c r="L13" s="19"/>
      <c r="M13" s="20" t="str">
        <f t="shared" si="2"/>
        <v>—</v>
      </c>
      <c r="N13" s="20" t="str">
        <f t="shared" si="3"/>
        <v>—</v>
      </c>
      <c r="O13" s="18" t="str">
        <f t="shared" ca="1" si="4"/>
        <v>—</v>
      </c>
      <c r="P13" s="21"/>
      <c r="Q13" s="22" t="str">
        <f>IF($C13="","—",IFERROR(SUMIFS(Deliverables!$H$5:$H$304,Deliverables!$B$5:$B$304,SUBSTITUTE(SUBSTITUTE(SUBSTITUTE($C13,"~","~~"),"*","~*"),"?","~?")),"—"))</f>
        <v>—</v>
      </c>
      <c r="R13" s="22" t="str">
        <f t="shared" si="5"/>
        <v>—</v>
      </c>
      <c r="S13" s="23" t="str">
        <f t="shared" si="6"/>
        <v>—</v>
      </c>
      <c r="T13" s="24" t="str">
        <f>IF($C13="","—",IF(COUNTIF(Deliverables!$B$5:$B$304,SUBSTITUTE(SUBSTITUTE(SUBSTITUTE($C13,"~","~~"),"*","~*"),"?","~?"))=0,"—",COUNTIFS(Deliverables!$B$5:$B$304,SUBSTITUTE(SUBSTITUTE(SUBSTITUTE($C13,"~","~~"),"*","~*"),"?","~?"),Deliverables!$F$5:$F$304,"Delivered")+COUNTIFS(Deliverables!$B$5:$B$304,SUBSTITUTE(SUBSTITUTE(SUBSTITUTE($C13,"~","~~"),"*","~*"),"?","~?"),Deliverables!$F$5:$F$304,"Approved")&amp;" / "&amp;COUNTIF(Deliverables!$B$5:$B$304,SUBSTITUTE(SUBSTITUTE(SUBSTITUTE($C13,"~","~~"),"*","~*"),"?","~?"))))</f>
        <v>—</v>
      </c>
      <c r="U13" s="16"/>
    </row>
    <row r="14" spans="1:21" ht="16" x14ac:dyDescent="0.2">
      <c r="A14" s="14" t="str">
        <f t="shared" si="0"/>
        <v/>
      </c>
      <c r="B14" s="27"/>
      <c r="C14" s="27"/>
      <c r="D14" s="27"/>
      <c r="E14" s="27"/>
      <c r="F14" s="28"/>
      <c r="G14" s="28"/>
      <c r="H14" s="18" t="str">
        <f t="shared" ca="1" si="1"/>
        <v>—</v>
      </c>
      <c r="I14" s="29"/>
      <c r="J14" s="29"/>
      <c r="K14" s="28"/>
      <c r="L14" s="29"/>
      <c r="M14" s="20" t="str">
        <f t="shared" si="2"/>
        <v>—</v>
      </c>
      <c r="N14" s="20" t="str">
        <f t="shared" si="3"/>
        <v>—</v>
      </c>
      <c r="O14" s="18" t="str">
        <f t="shared" ca="1" si="4"/>
        <v>—</v>
      </c>
      <c r="P14" s="30"/>
      <c r="Q14" s="22" t="str">
        <f>IF($C14="","—",IFERROR(SUMIFS(Deliverables!$H$5:$H$304,Deliverables!$B$5:$B$304,SUBSTITUTE(SUBSTITUTE(SUBSTITUTE($C14,"~","~~"),"*","~*"),"?","~?")),"—"))</f>
        <v>—</v>
      </c>
      <c r="R14" s="22" t="str">
        <f t="shared" si="5"/>
        <v>—</v>
      </c>
      <c r="S14" s="23" t="str">
        <f t="shared" si="6"/>
        <v>—</v>
      </c>
      <c r="T14" s="24" t="str">
        <f>IF($C14="","—",IF(COUNTIF(Deliverables!$B$5:$B$304,SUBSTITUTE(SUBSTITUTE(SUBSTITUTE($C14,"~","~~"),"*","~*"),"?","~?"))=0,"—",COUNTIFS(Deliverables!$B$5:$B$304,SUBSTITUTE(SUBSTITUTE(SUBSTITUTE($C14,"~","~~"),"*","~*"),"?","~?"),Deliverables!$F$5:$F$304,"Delivered")+COUNTIFS(Deliverables!$B$5:$B$304,SUBSTITUTE(SUBSTITUTE(SUBSTITUTE($C14,"~","~~"),"*","~*"),"?","~?"),Deliverables!$F$5:$F$304,"Approved")&amp;" / "&amp;COUNTIF(Deliverables!$B$5:$B$304,SUBSTITUTE(SUBSTITUTE(SUBSTITUTE($C14,"~","~~"),"*","~*"),"?","~?"))))</f>
        <v>—</v>
      </c>
      <c r="U14" s="27"/>
    </row>
    <row r="15" spans="1:21" ht="16" x14ac:dyDescent="0.2">
      <c r="A15" s="14" t="str">
        <f t="shared" si="0"/>
        <v/>
      </c>
      <c r="B15" s="16"/>
      <c r="C15" s="16"/>
      <c r="D15" s="16"/>
      <c r="E15" s="16"/>
      <c r="F15" s="17"/>
      <c r="G15" s="17"/>
      <c r="H15" s="18" t="str">
        <f t="shared" ca="1" si="1"/>
        <v>—</v>
      </c>
      <c r="I15" s="19"/>
      <c r="J15" s="19"/>
      <c r="K15" s="17"/>
      <c r="L15" s="19"/>
      <c r="M15" s="20" t="str">
        <f t="shared" si="2"/>
        <v>—</v>
      </c>
      <c r="N15" s="20" t="str">
        <f t="shared" si="3"/>
        <v>—</v>
      </c>
      <c r="O15" s="18" t="str">
        <f t="shared" ca="1" si="4"/>
        <v>—</v>
      </c>
      <c r="P15" s="21"/>
      <c r="Q15" s="22" t="str">
        <f>IF($C15="","—",IFERROR(SUMIFS(Deliverables!$H$5:$H$304,Deliverables!$B$5:$B$304,SUBSTITUTE(SUBSTITUTE(SUBSTITUTE($C15,"~","~~"),"*","~*"),"?","~?")),"—"))</f>
        <v>—</v>
      </c>
      <c r="R15" s="22" t="str">
        <f t="shared" si="5"/>
        <v>—</v>
      </c>
      <c r="S15" s="23" t="str">
        <f t="shared" si="6"/>
        <v>—</v>
      </c>
      <c r="T15" s="24" t="str">
        <f>IF($C15="","—",IF(COUNTIF(Deliverables!$B$5:$B$304,SUBSTITUTE(SUBSTITUTE(SUBSTITUTE($C15,"~","~~"),"*","~*"),"?","~?"))=0,"—",COUNTIFS(Deliverables!$B$5:$B$304,SUBSTITUTE(SUBSTITUTE(SUBSTITUTE($C15,"~","~~"),"*","~*"),"?","~?"),Deliverables!$F$5:$F$304,"Delivered")+COUNTIFS(Deliverables!$B$5:$B$304,SUBSTITUTE(SUBSTITUTE(SUBSTITUTE($C15,"~","~~"),"*","~*"),"?","~?"),Deliverables!$F$5:$F$304,"Approved")&amp;" / "&amp;COUNTIF(Deliverables!$B$5:$B$304,SUBSTITUTE(SUBSTITUTE(SUBSTITUTE($C15,"~","~~"),"*","~*"),"?","~?"))))</f>
        <v>—</v>
      </c>
      <c r="U15" s="16"/>
    </row>
    <row r="16" spans="1:21" ht="16" x14ac:dyDescent="0.2">
      <c r="A16" s="14" t="str">
        <f t="shared" si="0"/>
        <v/>
      </c>
      <c r="B16" s="27"/>
      <c r="C16" s="27"/>
      <c r="D16" s="27"/>
      <c r="E16" s="27"/>
      <c r="F16" s="28"/>
      <c r="G16" s="28"/>
      <c r="H16" s="18" t="str">
        <f t="shared" ca="1" si="1"/>
        <v>—</v>
      </c>
      <c r="I16" s="29"/>
      <c r="J16" s="29"/>
      <c r="K16" s="28"/>
      <c r="L16" s="29"/>
      <c r="M16" s="20" t="str">
        <f t="shared" si="2"/>
        <v>—</v>
      </c>
      <c r="N16" s="20" t="str">
        <f t="shared" si="3"/>
        <v>—</v>
      </c>
      <c r="O16" s="18" t="str">
        <f t="shared" ca="1" si="4"/>
        <v>—</v>
      </c>
      <c r="P16" s="30"/>
      <c r="Q16" s="22" t="str">
        <f>IF($C16="","—",IFERROR(SUMIFS(Deliverables!$H$5:$H$304,Deliverables!$B$5:$B$304,SUBSTITUTE(SUBSTITUTE(SUBSTITUTE($C16,"~","~~"),"*","~*"),"?","~?")),"—"))</f>
        <v>—</v>
      </c>
      <c r="R16" s="22" t="str">
        <f t="shared" si="5"/>
        <v>—</v>
      </c>
      <c r="S16" s="23" t="str">
        <f t="shared" si="6"/>
        <v>—</v>
      </c>
      <c r="T16" s="24" t="str">
        <f>IF($C16="","—",IF(COUNTIF(Deliverables!$B$5:$B$304,SUBSTITUTE(SUBSTITUTE(SUBSTITUTE($C16,"~","~~"),"*","~*"),"?","~?"))=0,"—",COUNTIFS(Deliverables!$B$5:$B$304,SUBSTITUTE(SUBSTITUTE(SUBSTITUTE($C16,"~","~~"),"*","~*"),"?","~?"),Deliverables!$F$5:$F$304,"Delivered")+COUNTIFS(Deliverables!$B$5:$B$304,SUBSTITUTE(SUBSTITUTE(SUBSTITUTE($C16,"~","~~"),"*","~*"),"?","~?"),Deliverables!$F$5:$F$304,"Approved")&amp;" / "&amp;COUNTIF(Deliverables!$B$5:$B$304,SUBSTITUTE(SUBSTITUTE(SUBSTITUTE($C16,"~","~~"),"*","~*"),"?","~?"))))</f>
        <v>—</v>
      </c>
      <c r="U16" s="27"/>
    </row>
    <row r="17" spans="1:21" ht="16" x14ac:dyDescent="0.2">
      <c r="A17" s="14" t="str">
        <f t="shared" si="0"/>
        <v/>
      </c>
      <c r="B17" s="16"/>
      <c r="C17" s="16"/>
      <c r="D17" s="16"/>
      <c r="E17" s="16"/>
      <c r="F17" s="17"/>
      <c r="G17" s="17"/>
      <c r="H17" s="18" t="str">
        <f t="shared" ca="1" si="1"/>
        <v>—</v>
      </c>
      <c r="I17" s="19"/>
      <c r="J17" s="19"/>
      <c r="K17" s="17"/>
      <c r="L17" s="19"/>
      <c r="M17" s="20" t="str">
        <f t="shared" si="2"/>
        <v>—</v>
      </c>
      <c r="N17" s="20" t="str">
        <f t="shared" si="3"/>
        <v>—</v>
      </c>
      <c r="O17" s="18" t="str">
        <f t="shared" ca="1" si="4"/>
        <v>—</v>
      </c>
      <c r="P17" s="21"/>
      <c r="Q17" s="22" t="str">
        <f>IF($C17="","—",IFERROR(SUMIFS(Deliverables!$H$5:$H$304,Deliverables!$B$5:$B$304,SUBSTITUTE(SUBSTITUTE(SUBSTITUTE($C17,"~","~~"),"*","~*"),"?","~?")),"—"))</f>
        <v>—</v>
      </c>
      <c r="R17" s="22" t="str">
        <f t="shared" si="5"/>
        <v>—</v>
      </c>
      <c r="S17" s="23" t="str">
        <f t="shared" si="6"/>
        <v>—</v>
      </c>
      <c r="T17" s="24" t="str">
        <f>IF($C17="","—",IF(COUNTIF(Deliverables!$B$5:$B$304,SUBSTITUTE(SUBSTITUTE(SUBSTITUTE($C17,"~","~~"),"*","~*"),"?","~?"))=0,"—",COUNTIFS(Deliverables!$B$5:$B$304,SUBSTITUTE(SUBSTITUTE(SUBSTITUTE($C17,"~","~~"),"*","~*"),"?","~?"),Deliverables!$F$5:$F$304,"Delivered")+COUNTIFS(Deliverables!$B$5:$B$304,SUBSTITUTE(SUBSTITUTE(SUBSTITUTE($C17,"~","~~"),"*","~*"),"?","~?"),Deliverables!$F$5:$F$304,"Approved")&amp;" / "&amp;COUNTIF(Deliverables!$B$5:$B$304,SUBSTITUTE(SUBSTITUTE(SUBSTITUTE($C17,"~","~~"),"*","~*"),"?","~?"))))</f>
        <v>—</v>
      </c>
      <c r="U17" s="16"/>
    </row>
    <row r="18" spans="1:21" ht="16" x14ac:dyDescent="0.2">
      <c r="A18" s="14" t="str">
        <f t="shared" si="0"/>
        <v/>
      </c>
      <c r="B18" s="27"/>
      <c r="C18" s="27"/>
      <c r="D18" s="27"/>
      <c r="E18" s="27"/>
      <c r="F18" s="28"/>
      <c r="G18" s="28"/>
      <c r="H18" s="18" t="str">
        <f t="shared" ca="1" si="1"/>
        <v>—</v>
      </c>
      <c r="I18" s="29"/>
      <c r="J18" s="29"/>
      <c r="K18" s="28"/>
      <c r="L18" s="29"/>
      <c r="M18" s="20" t="str">
        <f t="shared" si="2"/>
        <v>—</v>
      </c>
      <c r="N18" s="20" t="str">
        <f t="shared" si="3"/>
        <v>—</v>
      </c>
      <c r="O18" s="18" t="str">
        <f t="shared" ca="1" si="4"/>
        <v>—</v>
      </c>
      <c r="P18" s="30"/>
      <c r="Q18" s="22" t="str">
        <f>IF($C18="","—",IFERROR(SUMIFS(Deliverables!$H$5:$H$304,Deliverables!$B$5:$B$304,SUBSTITUTE(SUBSTITUTE(SUBSTITUTE($C18,"~","~~"),"*","~*"),"?","~?")),"—"))</f>
        <v>—</v>
      </c>
      <c r="R18" s="22" t="str">
        <f t="shared" si="5"/>
        <v>—</v>
      </c>
      <c r="S18" s="23" t="str">
        <f t="shared" si="6"/>
        <v>—</v>
      </c>
      <c r="T18" s="24" t="str">
        <f>IF($C18="","—",IF(COUNTIF(Deliverables!$B$5:$B$304,SUBSTITUTE(SUBSTITUTE(SUBSTITUTE($C18,"~","~~"),"*","~*"),"?","~?"))=0,"—",COUNTIFS(Deliverables!$B$5:$B$304,SUBSTITUTE(SUBSTITUTE(SUBSTITUTE($C18,"~","~~"),"*","~*"),"?","~?"),Deliverables!$F$5:$F$304,"Delivered")+COUNTIFS(Deliverables!$B$5:$B$304,SUBSTITUTE(SUBSTITUTE(SUBSTITUTE($C18,"~","~~"),"*","~*"),"?","~?"),Deliverables!$F$5:$F$304,"Approved")&amp;" / "&amp;COUNTIF(Deliverables!$B$5:$B$304,SUBSTITUTE(SUBSTITUTE(SUBSTITUTE($C18,"~","~~"),"*","~*"),"?","~?"))))</f>
        <v>—</v>
      </c>
      <c r="U18" s="27"/>
    </row>
    <row r="19" spans="1:21" ht="16" x14ac:dyDescent="0.2">
      <c r="A19" s="14" t="str">
        <f t="shared" si="0"/>
        <v/>
      </c>
      <c r="B19" s="16"/>
      <c r="C19" s="16"/>
      <c r="D19" s="16"/>
      <c r="E19" s="16"/>
      <c r="F19" s="17"/>
      <c r="G19" s="17"/>
      <c r="H19" s="18" t="str">
        <f t="shared" ca="1" si="1"/>
        <v>—</v>
      </c>
      <c r="I19" s="19"/>
      <c r="J19" s="19"/>
      <c r="K19" s="17"/>
      <c r="L19" s="19"/>
      <c r="M19" s="20" t="str">
        <f t="shared" si="2"/>
        <v>—</v>
      </c>
      <c r="N19" s="20" t="str">
        <f t="shared" si="3"/>
        <v>—</v>
      </c>
      <c r="O19" s="18" t="str">
        <f t="shared" ca="1" si="4"/>
        <v>—</v>
      </c>
      <c r="P19" s="21"/>
      <c r="Q19" s="22" t="str">
        <f>IF($C19="","—",IFERROR(SUMIFS(Deliverables!$H$5:$H$304,Deliverables!$B$5:$B$304,SUBSTITUTE(SUBSTITUTE(SUBSTITUTE($C19,"~","~~"),"*","~*"),"?","~?")),"—"))</f>
        <v>—</v>
      </c>
      <c r="R19" s="22" t="str">
        <f t="shared" si="5"/>
        <v>—</v>
      </c>
      <c r="S19" s="23" t="str">
        <f t="shared" si="6"/>
        <v>—</v>
      </c>
      <c r="T19" s="24" t="str">
        <f>IF($C19="","—",IF(COUNTIF(Deliverables!$B$5:$B$304,SUBSTITUTE(SUBSTITUTE(SUBSTITUTE($C19,"~","~~"),"*","~*"),"?","~?"))=0,"—",COUNTIFS(Deliverables!$B$5:$B$304,SUBSTITUTE(SUBSTITUTE(SUBSTITUTE($C19,"~","~~"),"*","~*"),"?","~?"),Deliverables!$F$5:$F$304,"Delivered")+COUNTIFS(Deliverables!$B$5:$B$304,SUBSTITUTE(SUBSTITUTE(SUBSTITUTE($C19,"~","~~"),"*","~*"),"?","~?"),Deliverables!$F$5:$F$304,"Approved")&amp;" / "&amp;COUNTIF(Deliverables!$B$5:$B$304,SUBSTITUTE(SUBSTITUTE(SUBSTITUTE($C19,"~","~~"),"*","~*"),"?","~?"))))</f>
        <v>—</v>
      </c>
      <c r="U19" s="16"/>
    </row>
    <row r="20" spans="1:21" ht="16" x14ac:dyDescent="0.2">
      <c r="A20" s="14" t="str">
        <f t="shared" si="0"/>
        <v/>
      </c>
      <c r="B20" s="27"/>
      <c r="C20" s="27"/>
      <c r="D20" s="27"/>
      <c r="E20" s="27"/>
      <c r="F20" s="28"/>
      <c r="G20" s="28"/>
      <c r="H20" s="18" t="str">
        <f t="shared" ca="1" si="1"/>
        <v>—</v>
      </c>
      <c r="I20" s="29"/>
      <c r="J20" s="29"/>
      <c r="K20" s="28"/>
      <c r="L20" s="29"/>
      <c r="M20" s="20" t="str">
        <f t="shared" si="2"/>
        <v>—</v>
      </c>
      <c r="N20" s="20" t="str">
        <f t="shared" si="3"/>
        <v>—</v>
      </c>
      <c r="O20" s="18" t="str">
        <f t="shared" ca="1" si="4"/>
        <v>—</v>
      </c>
      <c r="P20" s="30"/>
      <c r="Q20" s="22" t="str">
        <f>IF($C20="","—",IFERROR(SUMIFS(Deliverables!$H$5:$H$304,Deliverables!$B$5:$B$304,SUBSTITUTE(SUBSTITUTE(SUBSTITUTE($C20,"~","~~"),"*","~*"),"?","~?")),"—"))</f>
        <v>—</v>
      </c>
      <c r="R20" s="22" t="str">
        <f t="shared" si="5"/>
        <v>—</v>
      </c>
      <c r="S20" s="23" t="str">
        <f t="shared" si="6"/>
        <v>—</v>
      </c>
      <c r="T20" s="24" t="str">
        <f>IF($C20="","—",IF(COUNTIF(Deliverables!$B$5:$B$304,SUBSTITUTE(SUBSTITUTE(SUBSTITUTE($C20,"~","~~"),"*","~*"),"?","~?"))=0,"—",COUNTIFS(Deliverables!$B$5:$B$304,SUBSTITUTE(SUBSTITUTE(SUBSTITUTE($C20,"~","~~"),"*","~*"),"?","~?"),Deliverables!$F$5:$F$304,"Delivered")+COUNTIFS(Deliverables!$B$5:$B$304,SUBSTITUTE(SUBSTITUTE(SUBSTITUTE($C20,"~","~~"),"*","~*"),"?","~?"),Deliverables!$F$5:$F$304,"Approved")&amp;" / "&amp;COUNTIF(Deliverables!$B$5:$B$304,SUBSTITUTE(SUBSTITUTE(SUBSTITUTE($C20,"~","~~"),"*","~*"),"?","~?"))))</f>
        <v>—</v>
      </c>
      <c r="U20" s="27"/>
    </row>
    <row r="21" spans="1:21" ht="16" x14ac:dyDescent="0.2">
      <c r="A21" s="14" t="str">
        <f t="shared" si="0"/>
        <v/>
      </c>
      <c r="B21" s="16"/>
      <c r="C21" s="16"/>
      <c r="D21" s="16"/>
      <c r="E21" s="16"/>
      <c r="F21" s="17"/>
      <c r="G21" s="17"/>
      <c r="H21" s="18" t="str">
        <f t="shared" ca="1" si="1"/>
        <v>—</v>
      </c>
      <c r="I21" s="19"/>
      <c r="J21" s="19"/>
      <c r="K21" s="17"/>
      <c r="L21" s="19"/>
      <c r="M21" s="20" t="str">
        <f t="shared" si="2"/>
        <v>—</v>
      </c>
      <c r="N21" s="20" t="str">
        <f t="shared" si="3"/>
        <v>—</v>
      </c>
      <c r="O21" s="18" t="str">
        <f t="shared" ca="1" si="4"/>
        <v>—</v>
      </c>
      <c r="P21" s="21"/>
      <c r="Q21" s="22" t="str">
        <f>IF($C21="","—",IFERROR(SUMIFS(Deliverables!$H$5:$H$304,Deliverables!$B$5:$B$304,SUBSTITUTE(SUBSTITUTE(SUBSTITUTE($C21,"~","~~"),"*","~*"),"?","~?")),"—"))</f>
        <v>—</v>
      </c>
      <c r="R21" s="22" t="str">
        <f t="shared" si="5"/>
        <v>—</v>
      </c>
      <c r="S21" s="23" t="str">
        <f t="shared" si="6"/>
        <v>—</v>
      </c>
      <c r="T21" s="24" t="str">
        <f>IF($C21="","—",IF(COUNTIF(Deliverables!$B$5:$B$304,SUBSTITUTE(SUBSTITUTE(SUBSTITUTE($C21,"~","~~"),"*","~*"),"?","~?"))=0,"—",COUNTIFS(Deliverables!$B$5:$B$304,SUBSTITUTE(SUBSTITUTE(SUBSTITUTE($C21,"~","~~"),"*","~*"),"?","~?"),Deliverables!$F$5:$F$304,"Delivered")+COUNTIFS(Deliverables!$B$5:$B$304,SUBSTITUTE(SUBSTITUTE(SUBSTITUTE($C21,"~","~~"),"*","~*"),"?","~?"),Deliverables!$F$5:$F$304,"Approved")&amp;" / "&amp;COUNTIF(Deliverables!$B$5:$B$304,SUBSTITUTE(SUBSTITUTE(SUBSTITUTE($C21,"~","~~"),"*","~*"),"?","~?"))))</f>
        <v>—</v>
      </c>
      <c r="U21" s="16"/>
    </row>
    <row r="22" spans="1:21" ht="16" x14ac:dyDescent="0.2">
      <c r="A22" s="14" t="str">
        <f t="shared" si="0"/>
        <v/>
      </c>
      <c r="B22" s="27"/>
      <c r="C22" s="27"/>
      <c r="D22" s="27"/>
      <c r="E22" s="27"/>
      <c r="F22" s="28"/>
      <c r="G22" s="28"/>
      <c r="H22" s="18" t="str">
        <f t="shared" ca="1" si="1"/>
        <v>—</v>
      </c>
      <c r="I22" s="29"/>
      <c r="J22" s="29"/>
      <c r="K22" s="28"/>
      <c r="L22" s="29"/>
      <c r="M22" s="20" t="str">
        <f t="shared" si="2"/>
        <v>—</v>
      </c>
      <c r="N22" s="20" t="str">
        <f t="shared" si="3"/>
        <v>—</v>
      </c>
      <c r="O22" s="18" t="str">
        <f t="shared" ca="1" si="4"/>
        <v>—</v>
      </c>
      <c r="P22" s="30"/>
      <c r="Q22" s="22" t="str">
        <f>IF($C22="","—",IFERROR(SUMIFS(Deliverables!$H$5:$H$304,Deliverables!$B$5:$B$304,SUBSTITUTE(SUBSTITUTE(SUBSTITUTE($C22,"~","~~"),"*","~*"),"?","~?")),"—"))</f>
        <v>—</v>
      </c>
      <c r="R22" s="22" t="str">
        <f t="shared" si="5"/>
        <v>—</v>
      </c>
      <c r="S22" s="23" t="str">
        <f t="shared" si="6"/>
        <v>—</v>
      </c>
      <c r="T22" s="24" t="str">
        <f>IF($C22="","—",IF(COUNTIF(Deliverables!$B$5:$B$304,SUBSTITUTE(SUBSTITUTE(SUBSTITUTE($C22,"~","~~"),"*","~*"),"?","~?"))=0,"—",COUNTIFS(Deliverables!$B$5:$B$304,SUBSTITUTE(SUBSTITUTE(SUBSTITUTE($C22,"~","~~"),"*","~*"),"?","~?"),Deliverables!$F$5:$F$304,"Delivered")+COUNTIFS(Deliverables!$B$5:$B$304,SUBSTITUTE(SUBSTITUTE(SUBSTITUTE($C22,"~","~~"),"*","~*"),"?","~?"),Deliverables!$F$5:$F$304,"Approved")&amp;" / "&amp;COUNTIF(Deliverables!$B$5:$B$304,SUBSTITUTE(SUBSTITUTE(SUBSTITUTE($C22,"~","~~"),"*","~*"),"?","~?"))))</f>
        <v>—</v>
      </c>
      <c r="U22" s="27"/>
    </row>
    <row r="23" spans="1:21" ht="16" x14ac:dyDescent="0.2">
      <c r="A23" s="14" t="str">
        <f t="shared" si="0"/>
        <v/>
      </c>
      <c r="B23" s="16"/>
      <c r="C23" s="16"/>
      <c r="D23" s="16"/>
      <c r="E23" s="16"/>
      <c r="F23" s="17"/>
      <c r="G23" s="17"/>
      <c r="H23" s="18" t="str">
        <f t="shared" ca="1" si="1"/>
        <v>—</v>
      </c>
      <c r="I23" s="19"/>
      <c r="J23" s="19"/>
      <c r="K23" s="17"/>
      <c r="L23" s="19"/>
      <c r="M23" s="20" t="str">
        <f t="shared" si="2"/>
        <v>—</v>
      </c>
      <c r="N23" s="20" t="str">
        <f t="shared" si="3"/>
        <v>—</v>
      </c>
      <c r="O23" s="18" t="str">
        <f t="shared" ca="1" si="4"/>
        <v>—</v>
      </c>
      <c r="P23" s="21"/>
      <c r="Q23" s="22" t="str">
        <f>IF($C23="","—",IFERROR(SUMIFS(Deliverables!$H$5:$H$304,Deliverables!$B$5:$B$304,SUBSTITUTE(SUBSTITUTE(SUBSTITUTE($C23,"~","~~"),"*","~*"),"?","~?")),"—"))</f>
        <v>—</v>
      </c>
      <c r="R23" s="22" t="str">
        <f t="shared" si="5"/>
        <v>—</v>
      </c>
      <c r="S23" s="23" t="str">
        <f t="shared" si="6"/>
        <v>—</v>
      </c>
      <c r="T23" s="24" t="str">
        <f>IF($C23="","—",IF(COUNTIF(Deliverables!$B$5:$B$304,SUBSTITUTE(SUBSTITUTE(SUBSTITUTE($C23,"~","~~"),"*","~*"),"?","~?"))=0,"—",COUNTIFS(Deliverables!$B$5:$B$304,SUBSTITUTE(SUBSTITUTE(SUBSTITUTE($C23,"~","~~"),"*","~*"),"?","~?"),Deliverables!$F$5:$F$304,"Delivered")+COUNTIFS(Deliverables!$B$5:$B$304,SUBSTITUTE(SUBSTITUTE(SUBSTITUTE($C23,"~","~~"),"*","~*"),"?","~?"),Deliverables!$F$5:$F$304,"Approved")&amp;" / "&amp;COUNTIF(Deliverables!$B$5:$B$304,SUBSTITUTE(SUBSTITUTE(SUBSTITUTE($C23,"~","~~"),"*","~*"),"?","~?"))))</f>
        <v>—</v>
      </c>
      <c r="U23" s="16"/>
    </row>
    <row r="24" spans="1:21" ht="16" x14ac:dyDescent="0.2">
      <c r="A24" s="14" t="str">
        <f t="shared" si="0"/>
        <v/>
      </c>
      <c r="B24" s="27"/>
      <c r="C24" s="27"/>
      <c r="D24" s="27"/>
      <c r="E24" s="27"/>
      <c r="F24" s="28"/>
      <c r="G24" s="28"/>
      <c r="H24" s="18" t="str">
        <f t="shared" ca="1" si="1"/>
        <v>—</v>
      </c>
      <c r="I24" s="29"/>
      <c r="J24" s="29"/>
      <c r="K24" s="28"/>
      <c r="L24" s="29"/>
      <c r="M24" s="20" t="str">
        <f t="shared" si="2"/>
        <v>—</v>
      </c>
      <c r="N24" s="20" t="str">
        <f t="shared" si="3"/>
        <v>—</v>
      </c>
      <c r="O24" s="18" t="str">
        <f t="shared" ca="1" si="4"/>
        <v>—</v>
      </c>
      <c r="P24" s="30"/>
      <c r="Q24" s="22" t="str">
        <f>IF($C24="","—",IFERROR(SUMIFS(Deliverables!$H$5:$H$304,Deliverables!$B$5:$B$304,SUBSTITUTE(SUBSTITUTE(SUBSTITUTE($C24,"~","~~"),"*","~*"),"?","~?")),"—"))</f>
        <v>—</v>
      </c>
      <c r="R24" s="22" t="str">
        <f t="shared" si="5"/>
        <v>—</v>
      </c>
      <c r="S24" s="23" t="str">
        <f t="shared" si="6"/>
        <v>—</v>
      </c>
      <c r="T24" s="24" t="str">
        <f>IF($C24="","—",IF(COUNTIF(Deliverables!$B$5:$B$304,SUBSTITUTE(SUBSTITUTE(SUBSTITUTE($C24,"~","~~"),"*","~*"),"?","~?"))=0,"—",COUNTIFS(Deliverables!$B$5:$B$304,SUBSTITUTE(SUBSTITUTE(SUBSTITUTE($C24,"~","~~"),"*","~*"),"?","~?"),Deliverables!$F$5:$F$304,"Delivered")+COUNTIFS(Deliverables!$B$5:$B$304,SUBSTITUTE(SUBSTITUTE(SUBSTITUTE($C24,"~","~~"),"*","~*"),"?","~?"),Deliverables!$F$5:$F$304,"Approved")&amp;" / "&amp;COUNTIF(Deliverables!$B$5:$B$304,SUBSTITUTE(SUBSTITUTE(SUBSTITUTE($C24,"~","~~"),"*","~*"),"?","~?"))))</f>
        <v>—</v>
      </c>
      <c r="U24" s="27"/>
    </row>
    <row r="25" spans="1:21" ht="16" x14ac:dyDescent="0.2">
      <c r="A25" s="14" t="str">
        <f t="shared" si="0"/>
        <v/>
      </c>
      <c r="B25" s="16"/>
      <c r="C25" s="16"/>
      <c r="D25" s="16"/>
      <c r="E25" s="16"/>
      <c r="F25" s="17"/>
      <c r="G25" s="17"/>
      <c r="H25" s="18" t="str">
        <f t="shared" ca="1" si="1"/>
        <v>—</v>
      </c>
      <c r="I25" s="19"/>
      <c r="J25" s="19"/>
      <c r="K25" s="17"/>
      <c r="L25" s="19"/>
      <c r="M25" s="20" t="str">
        <f t="shared" si="2"/>
        <v>—</v>
      </c>
      <c r="N25" s="20" t="str">
        <f t="shared" si="3"/>
        <v>—</v>
      </c>
      <c r="O25" s="18" t="str">
        <f t="shared" ca="1" si="4"/>
        <v>—</v>
      </c>
      <c r="P25" s="21"/>
      <c r="Q25" s="22" t="str">
        <f>IF($C25="","—",IFERROR(SUMIFS(Deliverables!$H$5:$H$304,Deliverables!$B$5:$B$304,SUBSTITUTE(SUBSTITUTE(SUBSTITUTE($C25,"~","~~"),"*","~*"),"?","~?")),"—"))</f>
        <v>—</v>
      </c>
      <c r="R25" s="22" t="str">
        <f t="shared" si="5"/>
        <v>—</v>
      </c>
      <c r="S25" s="23" t="str">
        <f t="shared" si="6"/>
        <v>—</v>
      </c>
      <c r="T25" s="24" t="str">
        <f>IF($C25="","—",IF(COUNTIF(Deliverables!$B$5:$B$304,SUBSTITUTE(SUBSTITUTE(SUBSTITUTE($C25,"~","~~"),"*","~*"),"?","~?"))=0,"—",COUNTIFS(Deliverables!$B$5:$B$304,SUBSTITUTE(SUBSTITUTE(SUBSTITUTE($C25,"~","~~"),"*","~*"),"?","~?"),Deliverables!$F$5:$F$304,"Delivered")+COUNTIFS(Deliverables!$B$5:$B$304,SUBSTITUTE(SUBSTITUTE(SUBSTITUTE($C25,"~","~~"),"*","~*"),"?","~?"),Deliverables!$F$5:$F$304,"Approved")&amp;" / "&amp;COUNTIF(Deliverables!$B$5:$B$304,SUBSTITUTE(SUBSTITUTE(SUBSTITUTE($C25,"~","~~"),"*","~*"),"?","~?"))))</f>
        <v>—</v>
      </c>
      <c r="U25" s="16"/>
    </row>
    <row r="26" spans="1:21" ht="16" x14ac:dyDescent="0.2">
      <c r="A26" s="14" t="str">
        <f t="shared" si="0"/>
        <v/>
      </c>
      <c r="B26" s="27"/>
      <c r="C26" s="27"/>
      <c r="D26" s="27"/>
      <c r="E26" s="27"/>
      <c r="F26" s="28"/>
      <c r="G26" s="28"/>
      <c r="H26" s="18" t="str">
        <f t="shared" ca="1" si="1"/>
        <v>—</v>
      </c>
      <c r="I26" s="29"/>
      <c r="J26" s="29"/>
      <c r="K26" s="28"/>
      <c r="L26" s="29"/>
      <c r="M26" s="20" t="str">
        <f t="shared" si="2"/>
        <v>—</v>
      </c>
      <c r="N26" s="20" t="str">
        <f t="shared" si="3"/>
        <v>—</v>
      </c>
      <c r="O26" s="18" t="str">
        <f t="shared" ca="1" si="4"/>
        <v>—</v>
      </c>
      <c r="P26" s="30"/>
      <c r="Q26" s="22" t="str">
        <f>IF($C26="","—",IFERROR(SUMIFS(Deliverables!$H$5:$H$304,Deliverables!$B$5:$B$304,SUBSTITUTE(SUBSTITUTE(SUBSTITUTE($C26,"~","~~"),"*","~*"),"?","~?")),"—"))</f>
        <v>—</v>
      </c>
      <c r="R26" s="22" t="str">
        <f t="shared" si="5"/>
        <v>—</v>
      </c>
      <c r="S26" s="23" t="str">
        <f t="shared" si="6"/>
        <v>—</v>
      </c>
      <c r="T26" s="24" t="str">
        <f>IF($C26="","—",IF(COUNTIF(Deliverables!$B$5:$B$304,SUBSTITUTE(SUBSTITUTE(SUBSTITUTE($C26,"~","~~"),"*","~*"),"?","~?"))=0,"—",COUNTIFS(Deliverables!$B$5:$B$304,SUBSTITUTE(SUBSTITUTE(SUBSTITUTE($C26,"~","~~"),"*","~*"),"?","~?"),Deliverables!$F$5:$F$304,"Delivered")+COUNTIFS(Deliverables!$B$5:$B$304,SUBSTITUTE(SUBSTITUTE(SUBSTITUTE($C26,"~","~~"),"*","~*"),"?","~?"),Deliverables!$F$5:$F$304,"Approved")&amp;" / "&amp;COUNTIF(Deliverables!$B$5:$B$304,SUBSTITUTE(SUBSTITUTE(SUBSTITUTE($C26,"~","~~"),"*","~*"),"?","~?"))))</f>
        <v>—</v>
      </c>
      <c r="U26" s="27"/>
    </row>
    <row r="27" spans="1:21" ht="16" x14ac:dyDescent="0.2">
      <c r="A27" s="14" t="str">
        <f t="shared" si="0"/>
        <v/>
      </c>
      <c r="B27" s="16"/>
      <c r="C27" s="16"/>
      <c r="D27" s="16"/>
      <c r="E27" s="16"/>
      <c r="F27" s="17"/>
      <c r="G27" s="17"/>
      <c r="H27" s="18" t="str">
        <f t="shared" ca="1" si="1"/>
        <v>—</v>
      </c>
      <c r="I27" s="19"/>
      <c r="J27" s="19"/>
      <c r="K27" s="17"/>
      <c r="L27" s="19"/>
      <c r="M27" s="20" t="str">
        <f t="shared" si="2"/>
        <v>—</v>
      </c>
      <c r="N27" s="20" t="str">
        <f t="shared" si="3"/>
        <v>—</v>
      </c>
      <c r="O27" s="18" t="str">
        <f t="shared" ca="1" si="4"/>
        <v>—</v>
      </c>
      <c r="P27" s="21"/>
      <c r="Q27" s="22" t="str">
        <f>IF($C27="","—",IFERROR(SUMIFS(Deliverables!$H$5:$H$304,Deliverables!$B$5:$B$304,SUBSTITUTE(SUBSTITUTE(SUBSTITUTE($C27,"~","~~"),"*","~*"),"?","~?")),"—"))</f>
        <v>—</v>
      </c>
      <c r="R27" s="22" t="str">
        <f t="shared" si="5"/>
        <v>—</v>
      </c>
      <c r="S27" s="23" t="str">
        <f t="shared" si="6"/>
        <v>—</v>
      </c>
      <c r="T27" s="24" t="str">
        <f>IF($C27="","—",IF(COUNTIF(Deliverables!$B$5:$B$304,SUBSTITUTE(SUBSTITUTE(SUBSTITUTE($C27,"~","~~"),"*","~*"),"?","~?"))=0,"—",COUNTIFS(Deliverables!$B$5:$B$304,SUBSTITUTE(SUBSTITUTE(SUBSTITUTE($C27,"~","~~"),"*","~*"),"?","~?"),Deliverables!$F$5:$F$304,"Delivered")+COUNTIFS(Deliverables!$B$5:$B$304,SUBSTITUTE(SUBSTITUTE(SUBSTITUTE($C27,"~","~~"),"*","~*"),"?","~?"),Deliverables!$F$5:$F$304,"Approved")&amp;" / "&amp;COUNTIF(Deliverables!$B$5:$B$304,SUBSTITUTE(SUBSTITUTE(SUBSTITUTE($C27,"~","~~"),"*","~*"),"?","~?"))))</f>
        <v>—</v>
      </c>
      <c r="U27" s="16"/>
    </row>
    <row r="28" spans="1:21" ht="16" x14ac:dyDescent="0.2">
      <c r="A28" s="14" t="str">
        <f t="shared" si="0"/>
        <v/>
      </c>
      <c r="B28" s="27"/>
      <c r="C28" s="27"/>
      <c r="D28" s="27"/>
      <c r="E28" s="27"/>
      <c r="F28" s="28"/>
      <c r="G28" s="28"/>
      <c r="H28" s="18" t="str">
        <f t="shared" ca="1" si="1"/>
        <v>—</v>
      </c>
      <c r="I28" s="29"/>
      <c r="J28" s="29"/>
      <c r="K28" s="28"/>
      <c r="L28" s="29"/>
      <c r="M28" s="20" t="str">
        <f t="shared" si="2"/>
        <v>—</v>
      </c>
      <c r="N28" s="20" t="str">
        <f t="shared" si="3"/>
        <v>—</v>
      </c>
      <c r="O28" s="18" t="str">
        <f t="shared" ca="1" si="4"/>
        <v>—</v>
      </c>
      <c r="P28" s="30"/>
      <c r="Q28" s="22" t="str">
        <f>IF($C28="","—",IFERROR(SUMIFS(Deliverables!$H$5:$H$304,Deliverables!$B$5:$B$304,SUBSTITUTE(SUBSTITUTE(SUBSTITUTE($C28,"~","~~"),"*","~*"),"?","~?")),"—"))</f>
        <v>—</v>
      </c>
      <c r="R28" s="22" t="str">
        <f t="shared" si="5"/>
        <v>—</v>
      </c>
      <c r="S28" s="23" t="str">
        <f t="shared" si="6"/>
        <v>—</v>
      </c>
      <c r="T28" s="24" t="str">
        <f>IF($C28="","—",IF(COUNTIF(Deliverables!$B$5:$B$304,SUBSTITUTE(SUBSTITUTE(SUBSTITUTE($C28,"~","~~"),"*","~*"),"?","~?"))=0,"—",COUNTIFS(Deliverables!$B$5:$B$304,SUBSTITUTE(SUBSTITUTE(SUBSTITUTE($C28,"~","~~"),"*","~*"),"?","~?"),Deliverables!$F$5:$F$304,"Delivered")+COUNTIFS(Deliverables!$B$5:$B$304,SUBSTITUTE(SUBSTITUTE(SUBSTITUTE($C28,"~","~~"),"*","~*"),"?","~?"),Deliverables!$F$5:$F$304,"Approved")&amp;" / "&amp;COUNTIF(Deliverables!$B$5:$B$304,SUBSTITUTE(SUBSTITUTE(SUBSTITUTE($C28,"~","~~"),"*","~*"),"?","~?"))))</f>
        <v>—</v>
      </c>
      <c r="U28" s="27"/>
    </row>
    <row r="29" spans="1:21" ht="16" x14ac:dyDescent="0.2">
      <c r="A29" s="14" t="str">
        <f t="shared" si="0"/>
        <v/>
      </c>
      <c r="B29" s="16"/>
      <c r="C29" s="16"/>
      <c r="D29" s="16"/>
      <c r="E29" s="16"/>
      <c r="F29" s="17"/>
      <c r="G29" s="17"/>
      <c r="H29" s="18" t="str">
        <f t="shared" ca="1" si="1"/>
        <v>—</v>
      </c>
      <c r="I29" s="19"/>
      <c r="J29" s="19"/>
      <c r="K29" s="17"/>
      <c r="L29" s="19"/>
      <c r="M29" s="20" t="str">
        <f t="shared" si="2"/>
        <v>—</v>
      </c>
      <c r="N29" s="20" t="str">
        <f t="shared" si="3"/>
        <v>—</v>
      </c>
      <c r="O29" s="18" t="str">
        <f t="shared" ca="1" si="4"/>
        <v>—</v>
      </c>
      <c r="P29" s="21"/>
      <c r="Q29" s="22" t="str">
        <f>IF($C29="","—",IFERROR(SUMIFS(Deliverables!$H$5:$H$304,Deliverables!$B$5:$B$304,SUBSTITUTE(SUBSTITUTE(SUBSTITUTE($C29,"~","~~"),"*","~*"),"?","~?")),"—"))</f>
        <v>—</v>
      </c>
      <c r="R29" s="22" t="str">
        <f t="shared" si="5"/>
        <v>—</v>
      </c>
      <c r="S29" s="23" t="str">
        <f t="shared" si="6"/>
        <v>—</v>
      </c>
      <c r="T29" s="24" t="str">
        <f>IF($C29="","—",IF(COUNTIF(Deliverables!$B$5:$B$304,SUBSTITUTE(SUBSTITUTE(SUBSTITUTE($C29,"~","~~"),"*","~*"),"?","~?"))=0,"—",COUNTIFS(Deliverables!$B$5:$B$304,SUBSTITUTE(SUBSTITUTE(SUBSTITUTE($C29,"~","~~"),"*","~*"),"?","~?"),Deliverables!$F$5:$F$304,"Delivered")+COUNTIFS(Deliverables!$B$5:$B$304,SUBSTITUTE(SUBSTITUTE(SUBSTITUTE($C29,"~","~~"),"*","~*"),"?","~?"),Deliverables!$F$5:$F$304,"Approved")&amp;" / "&amp;COUNTIF(Deliverables!$B$5:$B$304,SUBSTITUTE(SUBSTITUTE(SUBSTITUTE($C29,"~","~~"),"*","~*"),"?","~?"))))</f>
        <v>—</v>
      </c>
      <c r="U29" s="16"/>
    </row>
    <row r="30" spans="1:21" ht="16" x14ac:dyDescent="0.2">
      <c r="A30" s="14" t="str">
        <f t="shared" si="0"/>
        <v/>
      </c>
      <c r="B30" s="27"/>
      <c r="C30" s="27"/>
      <c r="D30" s="27"/>
      <c r="E30" s="27"/>
      <c r="F30" s="28"/>
      <c r="G30" s="28"/>
      <c r="H30" s="18" t="str">
        <f t="shared" ca="1" si="1"/>
        <v>—</v>
      </c>
      <c r="I30" s="29"/>
      <c r="J30" s="29"/>
      <c r="K30" s="28"/>
      <c r="L30" s="29"/>
      <c r="M30" s="20" t="str">
        <f t="shared" si="2"/>
        <v>—</v>
      </c>
      <c r="N30" s="20" t="str">
        <f t="shared" si="3"/>
        <v>—</v>
      </c>
      <c r="O30" s="18" t="str">
        <f t="shared" ca="1" si="4"/>
        <v>—</v>
      </c>
      <c r="P30" s="30"/>
      <c r="Q30" s="22" t="str">
        <f>IF($C30="","—",IFERROR(SUMIFS(Deliverables!$H$5:$H$304,Deliverables!$B$5:$B$304,SUBSTITUTE(SUBSTITUTE(SUBSTITUTE($C30,"~","~~"),"*","~*"),"?","~?")),"—"))</f>
        <v>—</v>
      </c>
      <c r="R30" s="22" t="str">
        <f t="shared" si="5"/>
        <v>—</v>
      </c>
      <c r="S30" s="23" t="str">
        <f t="shared" si="6"/>
        <v>—</v>
      </c>
      <c r="T30" s="24" t="str">
        <f>IF($C30="","—",IF(COUNTIF(Deliverables!$B$5:$B$304,SUBSTITUTE(SUBSTITUTE(SUBSTITUTE($C30,"~","~~"),"*","~*"),"?","~?"))=0,"—",COUNTIFS(Deliverables!$B$5:$B$304,SUBSTITUTE(SUBSTITUTE(SUBSTITUTE($C30,"~","~~"),"*","~*"),"?","~?"),Deliverables!$F$5:$F$304,"Delivered")+COUNTIFS(Deliverables!$B$5:$B$304,SUBSTITUTE(SUBSTITUTE(SUBSTITUTE($C30,"~","~~"),"*","~*"),"?","~?"),Deliverables!$F$5:$F$304,"Approved")&amp;" / "&amp;COUNTIF(Deliverables!$B$5:$B$304,SUBSTITUTE(SUBSTITUTE(SUBSTITUTE($C30,"~","~~"),"*","~*"),"?","~?"))))</f>
        <v>—</v>
      </c>
      <c r="U30" s="27"/>
    </row>
    <row r="31" spans="1:21" ht="16" x14ac:dyDescent="0.2">
      <c r="A31" s="14" t="str">
        <f t="shared" si="0"/>
        <v/>
      </c>
      <c r="B31" s="16"/>
      <c r="C31" s="16"/>
      <c r="D31" s="16"/>
      <c r="E31" s="16"/>
      <c r="F31" s="17"/>
      <c r="G31" s="17"/>
      <c r="H31" s="18" t="str">
        <f t="shared" ca="1" si="1"/>
        <v>—</v>
      </c>
      <c r="I31" s="19"/>
      <c r="J31" s="19"/>
      <c r="K31" s="17"/>
      <c r="L31" s="19"/>
      <c r="M31" s="20" t="str">
        <f t="shared" si="2"/>
        <v>—</v>
      </c>
      <c r="N31" s="20" t="str">
        <f t="shared" si="3"/>
        <v>—</v>
      </c>
      <c r="O31" s="18" t="str">
        <f t="shared" ca="1" si="4"/>
        <v>—</v>
      </c>
      <c r="P31" s="21"/>
      <c r="Q31" s="22" t="str">
        <f>IF($C31="","—",IFERROR(SUMIFS(Deliverables!$H$5:$H$304,Deliverables!$B$5:$B$304,SUBSTITUTE(SUBSTITUTE(SUBSTITUTE($C31,"~","~~"),"*","~*"),"?","~?")),"—"))</f>
        <v>—</v>
      </c>
      <c r="R31" s="22" t="str">
        <f t="shared" si="5"/>
        <v>—</v>
      </c>
      <c r="S31" s="23" t="str">
        <f t="shared" si="6"/>
        <v>—</v>
      </c>
      <c r="T31" s="24" t="str">
        <f>IF($C31="","—",IF(COUNTIF(Deliverables!$B$5:$B$304,SUBSTITUTE(SUBSTITUTE(SUBSTITUTE($C31,"~","~~"),"*","~*"),"?","~?"))=0,"—",COUNTIFS(Deliverables!$B$5:$B$304,SUBSTITUTE(SUBSTITUTE(SUBSTITUTE($C31,"~","~~"),"*","~*"),"?","~?"),Deliverables!$F$5:$F$304,"Delivered")+COUNTIFS(Deliverables!$B$5:$B$304,SUBSTITUTE(SUBSTITUTE(SUBSTITUTE($C31,"~","~~"),"*","~*"),"?","~?"),Deliverables!$F$5:$F$304,"Approved")&amp;" / "&amp;COUNTIF(Deliverables!$B$5:$B$304,SUBSTITUTE(SUBSTITUTE(SUBSTITUTE($C31,"~","~~"),"*","~*"),"?","~?"))))</f>
        <v>—</v>
      </c>
      <c r="U31" s="16"/>
    </row>
    <row r="32" spans="1:21" ht="16" x14ac:dyDescent="0.2">
      <c r="A32" s="14" t="str">
        <f t="shared" si="0"/>
        <v/>
      </c>
      <c r="B32" s="27"/>
      <c r="C32" s="27"/>
      <c r="D32" s="27"/>
      <c r="E32" s="27"/>
      <c r="F32" s="28"/>
      <c r="G32" s="28"/>
      <c r="H32" s="18" t="str">
        <f t="shared" ca="1" si="1"/>
        <v>—</v>
      </c>
      <c r="I32" s="29"/>
      <c r="J32" s="29"/>
      <c r="K32" s="28"/>
      <c r="L32" s="29"/>
      <c r="M32" s="20" t="str">
        <f t="shared" si="2"/>
        <v>—</v>
      </c>
      <c r="N32" s="20" t="str">
        <f t="shared" si="3"/>
        <v>—</v>
      </c>
      <c r="O32" s="18" t="str">
        <f t="shared" ca="1" si="4"/>
        <v>—</v>
      </c>
      <c r="P32" s="30"/>
      <c r="Q32" s="22" t="str">
        <f>IF($C32="","—",IFERROR(SUMIFS(Deliverables!$H$5:$H$304,Deliverables!$B$5:$B$304,SUBSTITUTE(SUBSTITUTE(SUBSTITUTE($C32,"~","~~"),"*","~*"),"?","~?")),"—"))</f>
        <v>—</v>
      </c>
      <c r="R32" s="22" t="str">
        <f t="shared" si="5"/>
        <v>—</v>
      </c>
      <c r="S32" s="23" t="str">
        <f t="shared" si="6"/>
        <v>—</v>
      </c>
      <c r="T32" s="24" t="str">
        <f>IF($C32="","—",IF(COUNTIF(Deliverables!$B$5:$B$304,SUBSTITUTE(SUBSTITUTE(SUBSTITUTE($C32,"~","~~"),"*","~*"),"?","~?"))=0,"—",COUNTIFS(Deliverables!$B$5:$B$304,SUBSTITUTE(SUBSTITUTE(SUBSTITUTE($C32,"~","~~"),"*","~*"),"?","~?"),Deliverables!$F$5:$F$304,"Delivered")+COUNTIFS(Deliverables!$B$5:$B$304,SUBSTITUTE(SUBSTITUTE(SUBSTITUTE($C32,"~","~~"),"*","~*"),"?","~?"),Deliverables!$F$5:$F$304,"Approved")&amp;" / "&amp;COUNTIF(Deliverables!$B$5:$B$304,SUBSTITUTE(SUBSTITUTE(SUBSTITUTE($C32,"~","~~"),"*","~*"),"?","~?"))))</f>
        <v>—</v>
      </c>
      <c r="U32" s="27"/>
    </row>
    <row r="33" spans="1:21" ht="16" x14ac:dyDescent="0.2">
      <c r="A33" s="14" t="str">
        <f t="shared" si="0"/>
        <v/>
      </c>
      <c r="B33" s="16"/>
      <c r="C33" s="16"/>
      <c r="D33" s="16"/>
      <c r="E33" s="16"/>
      <c r="F33" s="17"/>
      <c r="G33" s="17"/>
      <c r="H33" s="18" t="str">
        <f t="shared" ca="1" si="1"/>
        <v>—</v>
      </c>
      <c r="I33" s="19"/>
      <c r="J33" s="19"/>
      <c r="K33" s="17"/>
      <c r="L33" s="19"/>
      <c r="M33" s="20" t="str">
        <f t="shared" si="2"/>
        <v>—</v>
      </c>
      <c r="N33" s="20" t="str">
        <f t="shared" si="3"/>
        <v>—</v>
      </c>
      <c r="O33" s="18" t="str">
        <f t="shared" ca="1" si="4"/>
        <v>—</v>
      </c>
      <c r="P33" s="21"/>
      <c r="Q33" s="22" t="str">
        <f>IF($C33="","—",IFERROR(SUMIFS(Deliverables!$H$5:$H$304,Deliverables!$B$5:$B$304,SUBSTITUTE(SUBSTITUTE(SUBSTITUTE($C33,"~","~~"),"*","~*"),"?","~?")),"—"))</f>
        <v>—</v>
      </c>
      <c r="R33" s="22" t="str">
        <f t="shared" si="5"/>
        <v>—</v>
      </c>
      <c r="S33" s="23" t="str">
        <f t="shared" si="6"/>
        <v>—</v>
      </c>
      <c r="T33" s="24" t="str">
        <f>IF($C33="","—",IF(COUNTIF(Deliverables!$B$5:$B$304,SUBSTITUTE(SUBSTITUTE(SUBSTITUTE($C33,"~","~~"),"*","~*"),"?","~?"))=0,"—",COUNTIFS(Deliverables!$B$5:$B$304,SUBSTITUTE(SUBSTITUTE(SUBSTITUTE($C33,"~","~~"),"*","~*"),"?","~?"),Deliverables!$F$5:$F$304,"Delivered")+COUNTIFS(Deliverables!$B$5:$B$304,SUBSTITUTE(SUBSTITUTE(SUBSTITUTE($C33,"~","~~"),"*","~*"),"?","~?"),Deliverables!$F$5:$F$304,"Approved")&amp;" / "&amp;COUNTIF(Deliverables!$B$5:$B$304,SUBSTITUTE(SUBSTITUTE(SUBSTITUTE($C33,"~","~~"),"*","~*"),"?","~?"))))</f>
        <v>—</v>
      </c>
      <c r="U33" s="16"/>
    </row>
    <row r="34" spans="1:21" ht="16" x14ac:dyDescent="0.2">
      <c r="A34" s="14" t="str">
        <f t="shared" si="0"/>
        <v/>
      </c>
      <c r="B34" s="27"/>
      <c r="C34" s="27"/>
      <c r="D34" s="27"/>
      <c r="E34" s="27"/>
      <c r="F34" s="28"/>
      <c r="G34" s="28"/>
      <c r="H34" s="18" t="str">
        <f t="shared" ca="1" si="1"/>
        <v>—</v>
      </c>
      <c r="I34" s="29"/>
      <c r="J34" s="29"/>
      <c r="K34" s="28"/>
      <c r="L34" s="29"/>
      <c r="M34" s="20" t="str">
        <f t="shared" si="2"/>
        <v>—</v>
      </c>
      <c r="N34" s="20" t="str">
        <f t="shared" si="3"/>
        <v>—</v>
      </c>
      <c r="O34" s="18" t="str">
        <f t="shared" ca="1" si="4"/>
        <v>—</v>
      </c>
      <c r="P34" s="30"/>
      <c r="Q34" s="22" t="str">
        <f>IF($C34="","—",IFERROR(SUMIFS(Deliverables!$H$5:$H$304,Deliverables!$B$5:$B$304,SUBSTITUTE(SUBSTITUTE(SUBSTITUTE($C34,"~","~~"),"*","~*"),"?","~?")),"—"))</f>
        <v>—</v>
      </c>
      <c r="R34" s="22" t="str">
        <f t="shared" si="5"/>
        <v>—</v>
      </c>
      <c r="S34" s="23" t="str">
        <f t="shared" si="6"/>
        <v>—</v>
      </c>
      <c r="T34" s="24" t="str">
        <f>IF($C34="","—",IF(COUNTIF(Deliverables!$B$5:$B$304,SUBSTITUTE(SUBSTITUTE(SUBSTITUTE($C34,"~","~~"),"*","~*"),"?","~?"))=0,"—",COUNTIFS(Deliverables!$B$5:$B$304,SUBSTITUTE(SUBSTITUTE(SUBSTITUTE($C34,"~","~~"),"*","~*"),"?","~?"),Deliverables!$F$5:$F$304,"Delivered")+COUNTIFS(Deliverables!$B$5:$B$304,SUBSTITUTE(SUBSTITUTE(SUBSTITUTE($C34,"~","~~"),"*","~*"),"?","~?"),Deliverables!$F$5:$F$304,"Approved")&amp;" / "&amp;COUNTIF(Deliverables!$B$5:$B$304,SUBSTITUTE(SUBSTITUTE(SUBSTITUTE($C34,"~","~~"),"*","~*"),"?","~?"))))</f>
        <v>—</v>
      </c>
      <c r="U34" s="27"/>
    </row>
    <row r="35" spans="1:21" ht="16" x14ac:dyDescent="0.2">
      <c r="A35" s="14" t="str">
        <f t="shared" si="0"/>
        <v/>
      </c>
      <c r="B35" s="16"/>
      <c r="C35" s="16"/>
      <c r="D35" s="16"/>
      <c r="E35" s="16"/>
      <c r="F35" s="17"/>
      <c r="G35" s="17"/>
      <c r="H35" s="18" t="str">
        <f t="shared" ca="1" si="1"/>
        <v>—</v>
      </c>
      <c r="I35" s="19"/>
      <c r="J35" s="19"/>
      <c r="K35" s="17"/>
      <c r="L35" s="19"/>
      <c r="M35" s="20" t="str">
        <f t="shared" si="2"/>
        <v>—</v>
      </c>
      <c r="N35" s="20" t="str">
        <f t="shared" si="3"/>
        <v>—</v>
      </c>
      <c r="O35" s="18" t="str">
        <f t="shared" ca="1" si="4"/>
        <v>—</v>
      </c>
      <c r="P35" s="21"/>
      <c r="Q35" s="22" t="str">
        <f>IF($C35="","—",IFERROR(SUMIFS(Deliverables!$H$5:$H$304,Deliverables!$B$5:$B$304,SUBSTITUTE(SUBSTITUTE(SUBSTITUTE($C35,"~","~~"),"*","~*"),"?","~?")),"—"))</f>
        <v>—</v>
      </c>
      <c r="R35" s="22" t="str">
        <f t="shared" si="5"/>
        <v>—</v>
      </c>
      <c r="S35" s="23" t="str">
        <f t="shared" si="6"/>
        <v>—</v>
      </c>
      <c r="T35" s="24" t="str">
        <f>IF($C35="","—",IF(COUNTIF(Deliverables!$B$5:$B$304,SUBSTITUTE(SUBSTITUTE(SUBSTITUTE($C35,"~","~~"),"*","~*"),"?","~?"))=0,"—",COUNTIFS(Deliverables!$B$5:$B$304,SUBSTITUTE(SUBSTITUTE(SUBSTITUTE($C35,"~","~~"),"*","~*"),"?","~?"),Deliverables!$F$5:$F$304,"Delivered")+COUNTIFS(Deliverables!$B$5:$B$304,SUBSTITUTE(SUBSTITUTE(SUBSTITUTE($C35,"~","~~"),"*","~*"),"?","~?"),Deliverables!$F$5:$F$304,"Approved")&amp;" / "&amp;COUNTIF(Deliverables!$B$5:$B$304,SUBSTITUTE(SUBSTITUTE(SUBSTITUTE($C35,"~","~~"),"*","~*"),"?","~?"))))</f>
        <v>—</v>
      </c>
      <c r="U35" s="16"/>
    </row>
    <row r="36" spans="1:21" ht="16" x14ac:dyDescent="0.2">
      <c r="A36" s="14" t="str">
        <f t="shared" si="0"/>
        <v/>
      </c>
      <c r="B36" s="27"/>
      <c r="C36" s="27"/>
      <c r="D36" s="27"/>
      <c r="E36" s="27"/>
      <c r="F36" s="28"/>
      <c r="G36" s="28"/>
      <c r="H36" s="18" t="str">
        <f t="shared" ca="1" si="1"/>
        <v>—</v>
      </c>
      <c r="I36" s="29"/>
      <c r="J36" s="29"/>
      <c r="K36" s="28"/>
      <c r="L36" s="29"/>
      <c r="M36" s="20" t="str">
        <f t="shared" si="2"/>
        <v>—</v>
      </c>
      <c r="N36" s="20" t="str">
        <f t="shared" si="3"/>
        <v>—</v>
      </c>
      <c r="O36" s="18" t="str">
        <f t="shared" ca="1" si="4"/>
        <v>—</v>
      </c>
      <c r="P36" s="30"/>
      <c r="Q36" s="22" t="str">
        <f>IF($C36="","—",IFERROR(SUMIFS(Deliverables!$H$5:$H$304,Deliverables!$B$5:$B$304,SUBSTITUTE(SUBSTITUTE(SUBSTITUTE($C36,"~","~~"),"*","~*"),"?","~?")),"—"))</f>
        <v>—</v>
      </c>
      <c r="R36" s="22" t="str">
        <f t="shared" si="5"/>
        <v>—</v>
      </c>
      <c r="S36" s="23" t="str">
        <f t="shared" si="6"/>
        <v>—</v>
      </c>
      <c r="T36" s="24" t="str">
        <f>IF($C36="","—",IF(COUNTIF(Deliverables!$B$5:$B$304,SUBSTITUTE(SUBSTITUTE(SUBSTITUTE($C36,"~","~~"),"*","~*"),"?","~?"))=0,"—",COUNTIFS(Deliverables!$B$5:$B$304,SUBSTITUTE(SUBSTITUTE(SUBSTITUTE($C36,"~","~~"),"*","~*"),"?","~?"),Deliverables!$F$5:$F$304,"Delivered")+COUNTIFS(Deliverables!$B$5:$B$304,SUBSTITUTE(SUBSTITUTE(SUBSTITUTE($C36,"~","~~"),"*","~*"),"?","~?"),Deliverables!$F$5:$F$304,"Approved")&amp;" / "&amp;COUNTIF(Deliverables!$B$5:$B$304,SUBSTITUTE(SUBSTITUTE(SUBSTITUTE($C36,"~","~~"),"*","~*"),"?","~?"))))</f>
        <v>—</v>
      </c>
      <c r="U36" s="27"/>
    </row>
    <row r="37" spans="1:21" ht="16" x14ac:dyDescent="0.2">
      <c r="A37" s="14" t="str">
        <f t="shared" ref="A37:A64" si="7">IF($C37="","",ROW()-4)</f>
        <v/>
      </c>
      <c r="B37" s="16"/>
      <c r="C37" s="16"/>
      <c r="D37" s="16"/>
      <c r="E37" s="16"/>
      <c r="F37" s="17"/>
      <c r="G37" s="17"/>
      <c r="H37" s="18" t="str">
        <f t="shared" ref="H37:H64" ca="1" si="8">IF($G37="","—",IF(OR($E37="Approved",$E37="Closed",$E37="Cancelled"),"—",IFERROR(INT($G37)-TODAY(),"—")))</f>
        <v>—</v>
      </c>
      <c r="I37" s="19"/>
      <c r="J37" s="19"/>
      <c r="K37" s="17"/>
      <c r="L37" s="19"/>
      <c r="M37" s="20" t="str">
        <f t="shared" ref="M37:M64" si="9">IF($C37="","—",IF($I37="","—",IFERROR($I37-$J37,"—")))</f>
        <v>—</v>
      </c>
      <c r="N37" s="20" t="str">
        <f t="shared" ref="N37:N64" si="10">IF($C37="","—",IF($J37="","—",IFERROR($J37-$L37,"—")))</f>
        <v>—</v>
      </c>
      <c r="O37" s="18" t="str">
        <f t="shared" ref="O37:O64" ca="1" si="11">IF($K37="","—",IF(NOT(ISNUMBER($N37)),"—",IF($N37&lt;=0,"—",IFERROR(TODAY()-INT($K37),"—"))))</f>
        <v>—</v>
      </c>
      <c r="P37" s="21"/>
      <c r="Q37" s="22" t="str">
        <f>IF($C37="","—",IFERROR(SUMIFS(Deliverables!$H$5:$H$304,Deliverables!$B$5:$B$304,SUBSTITUTE(SUBSTITUTE(SUBSTITUTE($C37,"~","~~"),"*","~*"),"?","~?")),"—"))</f>
        <v>—</v>
      </c>
      <c r="R37" s="22" t="str">
        <f t="shared" ref="R37:R64" si="12">IF($C37="","—",IF($P37="","—",IF(ISNUMBER($Q37),IFERROR($P37-$Q37,"—"),"—")))</f>
        <v>—</v>
      </c>
      <c r="S37" s="23" t="str">
        <f t="shared" ref="S37:S64" si="13">IF($C37="","—",IFERROR(IF(AND(ISNUMBER($Q37),$Q37&gt;0,ISNUMBER($I37)),ROUND($I37/$Q37,1),"—"),"—"))</f>
        <v>—</v>
      </c>
      <c r="T37" s="24" t="str">
        <f>IF($C37="","—",IF(COUNTIF(Deliverables!$B$5:$B$304,SUBSTITUTE(SUBSTITUTE(SUBSTITUTE($C37,"~","~~"),"*","~*"),"?","~?"))=0,"—",COUNTIFS(Deliverables!$B$5:$B$304,SUBSTITUTE(SUBSTITUTE(SUBSTITUTE($C37,"~","~~"),"*","~*"),"?","~?"),Deliverables!$F$5:$F$304,"Delivered")+COUNTIFS(Deliverables!$B$5:$B$304,SUBSTITUTE(SUBSTITUTE(SUBSTITUTE($C37,"~","~~"),"*","~*"),"?","~?"),Deliverables!$F$5:$F$304,"Approved")&amp;" / "&amp;COUNTIF(Deliverables!$B$5:$B$304,SUBSTITUTE(SUBSTITUTE(SUBSTITUTE($C37,"~","~~"),"*","~*"),"?","~?"))))</f>
        <v>—</v>
      </c>
      <c r="U37" s="16"/>
    </row>
    <row r="38" spans="1:21" ht="16" x14ac:dyDescent="0.2">
      <c r="A38" s="14" t="str">
        <f t="shared" si="7"/>
        <v/>
      </c>
      <c r="B38" s="27"/>
      <c r="C38" s="27"/>
      <c r="D38" s="27"/>
      <c r="E38" s="27"/>
      <c r="F38" s="28"/>
      <c r="G38" s="28"/>
      <c r="H38" s="18" t="str">
        <f t="shared" ca="1" si="8"/>
        <v>—</v>
      </c>
      <c r="I38" s="29"/>
      <c r="J38" s="29"/>
      <c r="K38" s="28"/>
      <c r="L38" s="29"/>
      <c r="M38" s="20" t="str">
        <f t="shared" si="9"/>
        <v>—</v>
      </c>
      <c r="N38" s="20" t="str">
        <f t="shared" si="10"/>
        <v>—</v>
      </c>
      <c r="O38" s="18" t="str">
        <f t="shared" ca="1" si="11"/>
        <v>—</v>
      </c>
      <c r="P38" s="30"/>
      <c r="Q38" s="22" t="str">
        <f>IF($C38="","—",IFERROR(SUMIFS(Deliverables!$H$5:$H$304,Deliverables!$B$5:$B$304,SUBSTITUTE(SUBSTITUTE(SUBSTITUTE($C38,"~","~~"),"*","~*"),"?","~?")),"—"))</f>
        <v>—</v>
      </c>
      <c r="R38" s="22" t="str">
        <f t="shared" si="12"/>
        <v>—</v>
      </c>
      <c r="S38" s="23" t="str">
        <f t="shared" si="13"/>
        <v>—</v>
      </c>
      <c r="T38" s="24" t="str">
        <f>IF($C38="","—",IF(COUNTIF(Deliverables!$B$5:$B$304,SUBSTITUTE(SUBSTITUTE(SUBSTITUTE($C38,"~","~~"),"*","~*"),"?","~?"))=0,"—",COUNTIFS(Deliverables!$B$5:$B$304,SUBSTITUTE(SUBSTITUTE(SUBSTITUTE($C38,"~","~~"),"*","~*"),"?","~?"),Deliverables!$F$5:$F$304,"Delivered")+COUNTIFS(Deliverables!$B$5:$B$304,SUBSTITUTE(SUBSTITUTE(SUBSTITUTE($C38,"~","~~"),"*","~*"),"?","~?"),Deliverables!$F$5:$F$304,"Approved")&amp;" / "&amp;COUNTIF(Deliverables!$B$5:$B$304,SUBSTITUTE(SUBSTITUTE(SUBSTITUTE($C38,"~","~~"),"*","~*"),"?","~?"))))</f>
        <v>—</v>
      </c>
      <c r="U38" s="27"/>
    </row>
    <row r="39" spans="1:21" ht="16" x14ac:dyDescent="0.2">
      <c r="A39" s="14" t="str">
        <f t="shared" si="7"/>
        <v/>
      </c>
      <c r="B39" s="16"/>
      <c r="C39" s="16"/>
      <c r="D39" s="16"/>
      <c r="E39" s="16"/>
      <c r="F39" s="17"/>
      <c r="G39" s="17"/>
      <c r="H39" s="18" t="str">
        <f t="shared" ca="1" si="8"/>
        <v>—</v>
      </c>
      <c r="I39" s="19"/>
      <c r="J39" s="19"/>
      <c r="K39" s="17"/>
      <c r="L39" s="19"/>
      <c r="M39" s="20" t="str">
        <f t="shared" si="9"/>
        <v>—</v>
      </c>
      <c r="N39" s="20" t="str">
        <f t="shared" si="10"/>
        <v>—</v>
      </c>
      <c r="O39" s="18" t="str">
        <f t="shared" ca="1" si="11"/>
        <v>—</v>
      </c>
      <c r="P39" s="21"/>
      <c r="Q39" s="22" t="str">
        <f>IF($C39="","—",IFERROR(SUMIFS(Deliverables!$H$5:$H$304,Deliverables!$B$5:$B$304,SUBSTITUTE(SUBSTITUTE(SUBSTITUTE($C39,"~","~~"),"*","~*"),"?","~?")),"—"))</f>
        <v>—</v>
      </c>
      <c r="R39" s="22" t="str">
        <f t="shared" si="12"/>
        <v>—</v>
      </c>
      <c r="S39" s="23" t="str">
        <f t="shared" si="13"/>
        <v>—</v>
      </c>
      <c r="T39" s="24" t="str">
        <f>IF($C39="","—",IF(COUNTIF(Deliverables!$B$5:$B$304,SUBSTITUTE(SUBSTITUTE(SUBSTITUTE($C39,"~","~~"),"*","~*"),"?","~?"))=0,"—",COUNTIFS(Deliverables!$B$5:$B$304,SUBSTITUTE(SUBSTITUTE(SUBSTITUTE($C39,"~","~~"),"*","~*"),"?","~?"),Deliverables!$F$5:$F$304,"Delivered")+COUNTIFS(Deliverables!$B$5:$B$304,SUBSTITUTE(SUBSTITUTE(SUBSTITUTE($C39,"~","~~"),"*","~*"),"?","~?"),Deliverables!$F$5:$F$304,"Approved")&amp;" / "&amp;COUNTIF(Deliverables!$B$5:$B$304,SUBSTITUTE(SUBSTITUTE(SUBSTITUTE($C39,"~","~~"),"*","~*"),"?","~?"))))</f>
        <v>—</v>
      </c>
      <c r="U39" s="16"/>
    </row>
    <row r="40" spans="1:21" ht="16" x14ac:dyDescent="0.2">
      <c r="A40" s="14" t="str">
        <f t="shared" si="7"/>
        <v/>
      </c>
      <c r="B40" s="27"/>
      <c r="C40" s="27"/>
      <c r="D40" s="27"/>
      <c r="E40" s="27"/>
      <c r="F40" s="28"/>
      <c r="G40" s="28"/>
      <c r="H40" s="18" t="str">
        <f t="shared" ca="1" si="8"/>
        <v>—</v>
      </c>
      <c r="I40" s="29"/>
      <c r="J40" s="29"/>
      <c r="K40" s="28"/>
      <c r="L40" s="29"/>
      <c r="M40" s="20" t="str">
        <f t="shared" si="9"/>
        <v>—</v>
      </c>
      <c r="N40" s="20" t="str">
        <f t="shared" si="10"/>
        <v>—</v>
      </c>
      <c r="O40" s="18" t="str">
        <f t="shared" ca="1" si="11"/>
        <v>—</v>
      </c>
      <c r="P40" s="30"/>
      <c r="Q40" s="22" t="str">
        <f>IF($C40="","—",IFERROR(SUMIFS(Deliverables!$H$5:$H$304,Deliverables!$B$5:$B$304,SUBSTITUTE(SUBSTITUTE(SUBSTITUTE($C40,"~","~~"),"*","~*"),"?","~?")),"—"))</f>
        <v>—</v>
      </c>
      <c r="R40" s="22" t="str">
        <f t="shared" si="12"/>
        <v>—</v>
      </c>
      <c r="S40" s="23" t="str">
        <f t="shared" si="13"/>
        <v>—</v>
      </c>
      <c r="T40" s="24" t="str">
        <f>IF($C40="","—",IF(COUNTIF(Deliverables!$B$5:$B$304,SUBSTITUTE(SUBSTITUTE(SUBSTITUTE($C40,"~","~~"),"*","~*"),"?","~?"))=0,"—",COUNTIFS(Deliverables!$B$5:$B$304,SUBSTITUTE(SUBSTITUTE(SUBSTITUTE($C40,"~","~~"),"*","~*"),"?","~?"),Deliverables!$F$5:$F$304,"Delivered")+COUNTIFS(Deliverables!$B$5:$B$304,SUBSTITUTE(SUBSTITUTE(SUBSTITUTE($C40,"~","~~"),"*","~*"),"?","~?"),Deliverables!$F$5:$F$304,"Approved")&amp;" / "&amp;COUNTIF(Deliverables!$B$5:$B$304,SUBSTITUTE(SUBSTITUTE(SUBSTITUTE($C40,"~","~~"),"*","~*"),"?","~?"))))</f>
        <v>—</v>
      </c>
      <c r="U40" s="27"/>
    </row>
    <row r="41" spans="1:21" ht="16" x14ac:dyDescent="0.2">
      <c r="A41" s="14" t="str">
        <f t="shared" si="7"/>
        <v/>
      </c>
      <c r="B41" s="16"/>
      <c r="C41" s="16"/>
      <c r="D41" s="16"/>
      <c r="E41" s="16"/>
      <c r="F41" s="17"/>
      <c r="G41" s="17"/>
      <c r="H41" s="18" t="str">
        <f t="shared" ca="1" si="8"/>
        <v>—</v>
      </c>
      <c r="I41" s="19"/>
      <c r="J41" s="19"/>
      <c r="K41" s="17"/>
      <c r="L41" s="19"/>
      <c r="M41" s="20" t="str">
        <f t="shared" si="9"/>
        <v>—</v>
      </c>
      <c r="N41" s="20" t="str">
        <f t="shared" si="10"/>
        <v>—</v>
      </c>
      <c r="O41" s="18" t="str">
        <f t="shared" ca="1" si="11"/>
        <v>—</v>
      </c>
      <c r="P41" s="21"/>
      <c r="Q41" s="22" t="str">
        <f>IF($C41="","—",IFERROR(SUMIFS(Deliverables!$H$5:$H$304,Deliverables!$B$5:$B$304,SUBSTITUTE(SUBSTITUTE(SUBSTITUTE($C41,"~","~~"),"*","~*"),"?","~?")),"—"))</f>
        <v>—</v>
      </c>
      <c r="R41" s="22" t="str">
        <f t="shared" si="12"/>
        <v>—</v>
      </c>
      <c r="S41" s="23" t="str">
        <f t="shared" si="13"/>
        <v>—</v>
      </c>
      <c r="T41" s="24" t="str">
        <f>IF($C41="","—",IF(COUNTIF(Deliverables!$B$5:$B$304,SUBSTITUTE(SUBSTITUTE(SUBSTITUTE($C41,"~","~~"),"*","~*"),"?","~?"))=0,"—",COUNTIFS(Deliverables!$B$5:$B$304,SUBSTITUTE(SUBSTITUTE(SUBSTITUTE($C41,"~","~~"),"*","~*"),"?","~?"),Deliverables!$F$5:$F$304,"Delivered")+COUNTIFS(Deliverables!$B$5:$B$304,SUBSTITUTE(SUBSTITUTE(SUBSTITUTE($C41,"~","~~"),"*","~*"),"?","~?"),Deliverables!$F$5:$F$304,"Approved")&amp;" / "&amp;COUNTIF(Deliverables!$B$5:$B$304,SUBSTITUTE(SUBSTITUTE(SUBSTITUTE($C41,"~","~~"),"*","~*"),"?","~?"))))</f>
        <v>—</v>
      </c>
      <c r="U41" s="16"/>
    </row>
    <row r="42" spans="1:21" ht="16" x14ac:dyDescent="0.2">
      <c r="A42" s="14" t="str">
        <f t="shared" si="7"/>
        <v/>
      </c>
      <c r="B42" s="27"/>
      <c r="C42" s="27"/>
      <c r="D42" s="27"/>
      <c r="E42" s="27"/>
      <c r="F42" s="28"/>
      <c r="G42" s="28"/>
      <c r="H42" s="18" t="str">
        <f t="shared" ca="1" si="8"/>
        <v>—</v>
      </c>
      <c r="I42" s="29"/>
      <c r="J42" s="29"/>
      <c r="K42" s="28"/>
      <c r="L42" s="29"/>
      <c r="M42" s="20" t="str">
        <f t="shared" si="9"/>
        <v>—</v>
      </c>
      <c r="N42" s="20" t="str">
        <f t="shared" si="10"/>
        <v>—</v>
      </c>
      <c r="O42" s="18" t="str">
        <f t="shared" ca="1" si="11"/>
        <v>—</v>
      </c>
      <c r="P42" s="30"/>
      <c r="Q42" s="22" t="str">
        <f>IF($C42="","—",IFERROR(SUMIFS(Deliverables!$H$5:$H$304,Deliverables!$B$5:$B$304,SUBSTITUTE(SUBSTITUTE(SUBSTITUTE($C42,"~","~~"),"*","~*"),"?","~?")),"—"))</f>
        <v>—</v>
      </c>
      <c r="R42" s="22" t="str">
        <f t="shared" si="12"/>
        <v>—</v>
      </c>
      <c r="S42" s="23" t="str">
        <f t="shared" si="13"/>
        <v>—</v>
      </c>
      <c r="T42" s="24" t="str">
        <f>IF($C42="","—",IF(COUNTIF(Deliverables!$B$5:$B$304,SUBSTITUTE(SUBSTITUTE(SUBSTITUTE($C42,"~","~~"),"*","~*"),"?","~?"))=0,"—",COUNTIFS(Deliverables!$B$5:$B$304,SUBSTITUTE(SUBSTITUTE(SUBSTITUTE($C42,"~","~~"),"*","~*"),"?","~?"),Deliverables!$F$5:$F$304,"Delivered")+COUNTIFS(Deliverables!$B$5:$B$304,SUBSTITUTE(SUBSTITUTE(SUBSTITUTE($C42,"~","~~"),"*","~*"),"?","~?"),Deliverables!$F$5:$F$304,"Approved")&amp;" / "&amp;COUNTIF(Deliverables!$B$5:$B$304,SUBSTITUTE(SUBSTITUTE(SUBSTITUTE($C42,"~","~~"),"*","~*"),"?","~?"))))</f>
        <v>—</v>
      </c>
      <c r="U42" s="27"/>
    </row>
    <row r="43" spans="1:21" ht="16" x14ac:dyDescent="0.2">
      <c r="A43" s="14" t="str">
        <f t="shared" si="7"/>
        <v/>
      </c>
      <c r="B43" s="16"/>
      <c r="C43" s="16"/>
      <c r="D43" s="16"/>
      <c r="E43" s="16"/>
      <c r="F43" s="17"/>
      <c r="G43" s="17"/>
      <c r="H43" s="18" t="str">
        <f t="shared" ca="1" si="8"/>
        <v>—</v>
      </c>
      <c r="I43" s="19"/>
      <c r="J43" s="19"/>
      <c r="K43" s="17"/>
      <c r="L43" s="19"/>
      <c r="M43" s="20" t="str">
        <f t="shared" si="9"/>
        <v>—</v>
      </c>
      <c r="N43" s="20" t="str">
        <f t="shared" si="10"/>
        <v>—</v>
      </c>
      <c r="O43" s="18" t="str">
        <f t="shared" ca="1" si="11"/>
        <v>—</v>
      </c>
      <c r="P43" s="21"/>
      <c r="Q43" s="22" t="str">
        <f>IF($C43="","—",IFERROR(SUMIFS(Deliverables!$H$5:$H$304,Deliverables!$B$5:$B$304,SUBSTITUTE(SUBSTITUTE(SUBSTITUTE($C43,"~","~~"),"*","~*"),"?","~?")),"—"))</f>
        <v>—</v>
      </c>
      <c r="R43" s="22" t="str">
        <f t="shared" si="12"/>
        <v>—</v>
      </c>
      <c r="S43" s="23" t="str">
        <f t="shared" si="13"/>
        <v>—</v>
      </c>
      <c r="T43" s="24" t="str">
        <f>IF($C43="","—",IF(COUNTIF(Deliverables!$B$5:$B$304,SUBSTITUTE(SUBSTITUTE(SUBSTITUTE($C43,"~","~~"),"*","~*"),"?","~?"))=0,"—",COUNTIFS(Deliverables!$B$5:$B$304,SUBSTITUTE(SUBSTITUTE(SUBSTITUTE($C43,"~","~~"),"*","~*"),"?","~?"),Deliverables!$F$5:$F$304,"Delivered")+COUNTIFS(Deliverables!$B$5:$B$304,SUBSTITUTE(SUBSTITUTE(SUBSTITUTE($C43,"~","~~"),"*","~*"),"?","~?"),Deliverables!$F$5:$F$304,"Approved")&amp;" / "&amp;COUNTIF(Deliverables!$B$5:$B$304,SUBSTITUTE(SUBSTITUTE(SUBSTITUTE($C43,"~","~~"),"*","~*"),"?","~?"))))</f>
        <v>—</v>
      </c>
      <c r="U43" s="16"/>
    </row>
    <row r="44" spans="1:21" ht="16" x14ac:dyDescent="0.2">
      <c r="A44" s="14" t="str">
        <f t="shared" si="7"/>
        <v/>
      </c>
      <c r="B44" s="27"/>
      <c r="C44" s="27"/>
      <c r="D44" s="27"/>
      <c r="E44" s="27"/>
      <c r="F44" s="28"/>
      <c r="G44" s="28"/>
      <c r="H44" s="18" t="str">
        <f t="shared" ca="1" si="8"/>
        <v>—</v>
      </c>
      <c r="I44" s="29"/>
      <c r="J44" s="29"/>
      <c r="K44" s="28"/>
      <c r="L44" s="29"/>
      <c r="M44" s="20" t="str">
        <f t="shared" si="9"/>
        <v>—</v>
      </c>
      <c r="N44" s="20" t="str">
        <f t="shared" si="10"/>
        <v>—</v>
      </c>
      <c r="O44" s="18" t="str">
        <f t="shared" ca="1" si="11"/>
        <v>—</v>
      </c>
      <c r="P44" s="30"/>
      <c r="Q44" s="22" t="str">
        <f>IF($C44="","—",IFERROR(SUMIFS(Deliverables!$H$5:$H$304,Deliverables!$B$5:$B$304,SUBSTITUTE(SUBSTITUTE(SUBSTITUTE($C44,"~","~~"),"*","~*"),"?","~?")),"—"))</f>
        <v>—</v>
      </c>
      <c r="R44" s="22" t="str">
        <f t="shared" si="12"/>
        <v>—</v>
      </c>
      <c r="S44" s="23" t="str">
        <f t="shared" si="13"/>
        <v>—</v>
      </c>
      <c r="T44" s="24" t="str">
        <f>IF($C44="","—",IF(COUNTIF(Deliverables!$B$5:$B$304,SUBSTITUTE(SUBSTITUTE(SUBSTITUTE($C44,"~","~~"),"*","~*"),"?","~?"))=0,"—",COUNTIFS(Deliverables!$B$5:$B$304,SUBSTITUTE(SUBSTITUTE(SUBSTITUTE($C44,"~","~~"),"*","~*"),"?","~?"),Deliverables!$F$5:$F$304,"Delivered")+COUNTIFS(Deliverables!$B$5:$B$304,SUBSTITUTE(SUBSTITUTE(SUBSTITUTE($C44,"~","~~"),"*","~*"),"?","~?"),Deliverables!$F$5:$F$304,"Approved")&amp;" / "&amp;COUNTIF(Deliverables!$B$5:$B$304,SUBSTITUTE(SUBSTITUTE(SUBSTITUTE($C44,"~","~~"),"*","~*"),"?","~?"))))</f>
        <v>—</v>
      </c>
      <c r="U44" s="27"/>
    </row>
    <row r="45" spans="1:21" ht="16" x14ac:dyDescent="0.2">
      <c r="A45" s="14" t="str">
        <f t="shared" si="7"/>
        <v/>
      </c>
      <c r="B45" s="16"/>
      <c r="C45" s="16"/>
      <c r="D45" s="16"/>
      <c r="E45" s="16"/>
      <c r="F45" s="17"/>
      <c r="G45" s="17"/>
      <c r="H45" s="18" t="str">
        <f t="shared" ca="1" si="8"/>
        <v>—</v>
      </c>
      <c r="I45" s="19"/>
      <c r="J45" s="19"/>
      <c r="K45" s="17"/>
      <c r="L45" s="19"/>
      <c r="M45" s="20" t="str">
        <f t="shared" si="9"/>
        <v>—</v>
      </c>
      <c r="N45" s="20" t="str">
        <f t="shared" si="10"/>
        <v>—</v>
      </c>
      <c r="O45" s="18" t="str">
        <f t="shared" ca="1" si="11"/>
        <v>—</v>
      </c>
      <c r="P45" s="21"/>
      <c r="Q45" s="22" t="str">
        <f>IF($C45="","—",IFERROR(SUMIFS(Deliverables!$H$5:$H$304,Deliverables!$B$5:$B$304,SUBSTITUTE(SUBSTITUTE(SUBSTITUTE($C45,"~","~~"),"*","~*"),"?","~?")),"—"))</f>
        <v>—</v>
      </c>
      <c r="R45" s="22" t="str">
        <f t="shared" si="12"/>
        <v>—</v>
      </c>
      <c r="S45" s="23" t="str">
        <f t="shared" si="13"/>
        <v>—</v>
      </c>
      <c r="T45" s="24" t="str">
        <f>IF($C45="","—",IF(COUNTIF(Deliverables!$B$5:$B$304,SUBSTITUTE(SUBSTITUTE(SUBSTITUTE($C45,"~","~~"),"*","~*"),"?","~?"))=0,"—",COUNTIFS(Deliverables!$B$5:$B$304,SUBSTITUTE(SUBSTITUTE(SUBSTITUTE($C45,"~","~~"),"*","~*"),"?","~?"),Deliverables!$F$5:$F$304,"Delivered")+COUNTIFS(Deliverables!$B$5:$B$304,SUBSTITUTE(SUBSTITUTE(SUBSTITUTE($C45,"~","~~"),"*","~*"),"?","~?"),Deliverables!$F$5:$F$304,"Approved")&amp;" / "&amp;COUNTIF(Deliverables!$B$5:$B$304,SUBSTITUTE(SUBSTITUTE(SUBSTITUTE($C45,"~","~~"),"*","~*"),"?","~?"))))</f>
        <v>—</v>
      </c>
      <c r="U45" s="16"/>
    </row>
    <row r="46" spans="1:21" ht="16" x14ac:dyDescent="0.2">
      <c r="A46" s="14" t="str">
        <f t="shared" si="7"/>
        <v/>
      </c>
      <c r="B46" s="27"/>
      <c r="C46" s="27"/>
      <c r="D46" s="27"/>
      <c r="E46" s="27"/>
      <c r="F46" s="28"/>
      <c r="G46" s="28"/>
      <c r="H46" s="18" t="str">
        <f t="shared" ca="1" si="8"/>
        <v>—</v>
      </c>
      <c r="I46" s="29"/>
      <c r="J46" s="29"/>
      <c r="K46" s="28"/>
      <c r="L46" s="29"/>
      <c r="M46" s="20" t="str">
        <f t="shared" si="9"/>
        <v>—</v>
      </c>
      <c r="N46" s="20" t="str">
        <f t="shared" si="10"/>
        <v>—</v>
      </c>
      <c r="O46" s="18" t="str">
        <f t="shared" ca="1" si="11"/>
        <v>—</v>
      </c>
      <c r="P46" s="30"/>
      <c r="Q46" s="22" t="str">
        <f>IF($C46="","—",IFERROR(SUMIFS(Deliverables!$H$5:$H$304,Deliverables!$B$5:$B$304,SUBSTITUTE(SUBSTITUTE(SUBSTITUTE($C46,"~","~~"),"*","~*"),"?","~?")),"—"))</f>
        <v>—</v>
      </c>
      <c r="R46" s="22" t="str">
        <f t="shared" si="12"/>
        <v>—</v>
      </c>
      <c r="S46" s="23" t="str">
        <f t="shared" si="13"/>
        <v>—</v>
      </c>
      <c r="T46" s="24" t="str">
        <f>IF($C46="","—",IF(COUNTIF(Deliverables!$B$5:$B$304,SUBSTITUTE(SUBSTITUTE(SUBSTITUTE($C46,"~","~~"),"*","~*"),"?","~?"))=0,"—",COUNTIFS(Deliverables!$B$5:$B$304,SUBSTITUTE(SUBSTITUTE(SUBSTITUTE($C46,"~","~~"),"*","~*"),"?","~?"),Deliverables!$F$5:$F$304,"Delivered")+COUNTIFS(Deliverables!$B$5:$B$304,SUBSTITUTE(SUBSTITUTE(SUBSTITUTE($C46,"~","~~"),"*","~*"),"?","~?"),Deliverables!$F$5:$F$304,"Approved")&amp;" / "&amp;COUNTIF(Deliverables!$B$5:$B$304,SUBSTITUTE(SUBSTITUTE(SUBSTITUTE($C46,"~","~~"),"*","~*"),"?","~?"))))</f>
        <v>—</v>
      </c>
      <c r="U46" s="27"/>
    </row>
    <row r="47" spans="1:21" ht="16" x14ac:dyDescent="0.2">
      <c r="A47" s="14" t="str">
        <f t="shared" si="7"/>
        <v/>
      </c>
      <c r="B47" s="16"/>
      <c r="C47" s="16"/>
      <c r="D47" s="16"/>
      <c r="E47" s="16"/>
      <c r="F47" s="17"/>
      <c r="G47" s="17"/>
      <c r="H47" s="18" t="str">
        <f t="shared" ca="1" si="8"/>
        <v>—</v>
      </c>
      <c r="I47" s="19"/>
      <c r="J47" s="19"/>
      <c r="K47" s="17"/>
      <c r="L47" s="19"/>
      <c r="M47" s="20" t="str">
        <f t="shared" si="9"/>
        <v>—</v>
      </c>
      <c r="N47" s="20" t="str">
        <f t="shared" si="10"/>
        <v>—</v>
      </c>
      <c r="O47" s="18" t="str">
        <f t="shared" ca="1" si="11"/>
        <v>—</v>
      </c>
      <c r="P47" s="21"/>
      <c r="Q47" s="22" t="str">
        <f>IF($C47="","—",IFERROR(SUMIFS(Deliverables!$H$5:$H$304,Deliverables!$B$5:$B$304,SUBSTITUTE(SUBSTITUTE(SUBSTITUTE($C47,"~","~~"),"*","~*"),"?","~?")),"—"))</f>
        <v>—</v>
      </c>
      <c r="R47" s="22" t="str">
        <f t="shared" si="12"/>
        <v>—</v>
      </c>
      <c r="S47" s="23" t="str">
        <f t="shared" si="13"/>
        <v>—</v>
      </c>
      <c r="T47" s="24" t="str">
        <f>IF($C47="","—",IF(COUNTIF(Deliverables!$B$5:$B$304,SUBSTITUTE(SUBSTITUTE(SUBSTITUTE($C47,"~","~~"),"*","~*"),"?","~?"))=0,"—",COUNTIFS(Deliverables!$B$5:$B$304,SUBSTITUTE(SUBSTITUTE(SUBSTITUTE($C47,"~","~~"),"*","~*"),"?","~?"),Deliverables!$F$5:$F$304,"Delivered")+COUNTIFS(Deliverables!$B$5:$B$304,SUBSTITUTE(SUBSTITUTE(SUBSTITUTE($C47,"~","~~"),"*","~*"),"?","~?"),Deliverables!$F$5:$F$304,"Approved")&amp;" / "&amp;COUNTIF(Deliverables!$B$5:$B$304,SUBSTITUTE(SUBSTITUTE(SUBSTITUTE($C47,"~","~~"),"*","~*"),"?","~?"))))</f>
        <v>—</v>
      </c>
      <c r="U47" s="16"/>
    </row>
    <row r="48" spans="1:21" ht="16" x14ac:dyDescent="0.2">
      <c r="A48" s="14" t="str">
        <f t="shared" si="7"/>
        <v/>
      </c>
      <c r="B48" s="27"/>
      <c r="C48" s="27"/>
      <c r="D48" s="27"/>
      <c r="E48" s="27"/>
      <c r="F48" s="28"/>
      <c r="G48" s="28"/>
      <c r="H48" s="18" t="str">
        <f t="shared" ca="1" si="8"/>
        <v>—</v>
      </c>
      <c r="I48" s="29"/>
      <c r="J48" s="29"/>
      <c r="K48" s="28"/>
      <c r="L48" s="29"/>
      <c r="M48" s="20" t="str">
        <f t="shared" si="9"/>
        <v>—</v>
      </c>
      <c r="N48" s="20" t="str">
        <f t="shared" si="10"/>
        <v>—</v>
      </c>
      <c r="O48" s="18" t="str">
        <f t="shared" ca="1" si="11"/>
        <v>—</v>
      </c>
      <c r="P48" s="30"/>
      <c r="Q48" s="22" t="str">
        <f>IF($C48="","—",IFERROR(SUMIFS(Deliverables!$H$5:$H$304,Deliverables!$B$5:$B$304,SUBSTITUTE(SUBSTITUTE(SUBSTITUTE($C48,"~","~~"),"*","~*"),"?","~?")),"—"))</f>
        <v>—</v>
      </c>
      <c r="R48" s="22" t="str">
        <f t="shared" si="12"/>
        <v>—</v>
      </c>
      <c r="S48" s="23" t="str">
        <f t="shared" si="13"/>
        <v>—</v>
      </c>
      <c r="T48" s="24" t="str">
        <f>IF($C48="","—",IF(COUNTIF(Deliverables!$B$5:$B$304,SUBSTITUTE(SUBSTITUTE(SUBSTITUTE($C48,"~","~~"),"*","~*"),"?","~?"))=0,"—",COUNTIFS(Deliverables!$B$5:$B$304,SUBSTITUTE(SUBSTITUTE(SUBSTITUTE($C48,"~","~~"),"*","~*"),"?","~?"),Deliverables!$F$5:$F$304,"Delivered")+COUNTIFS(Deliverables!$B$5:$B$304,SUBSTITUTE(SUBSTITUTE(SUBSTITUTE($C48,"~","~~"),"*","~*"),"?","~?"),Deliverables!$F$5:$F$304,"Approved")&amp;" / "&amp;COUNTIF(Deliverables!$B$5:$B$304,SUBSTITUTE(SUBSTITUTE(SUBSTITUTE($C48,"~","~~"),"*","~*"),"?","~?"))))</f>
        <v>—</v>
      </c>
      <c r="U48" s="27"/>
    </row>
    <row r="49" spans="1:21" ht="16" x14ac:dyDescent="0.2">
      <c r="A49" s="14" t="str">
        <f t="shared" si="7"/>
        <v/>
      </c>
      <c r="B49" s="16"/>
      <c r="C49" s="16"/>
      <c r="D49" s="16"/>
      <c r="E49" s="16"/>
      <c r="F49" s="17"/>
      <c r="G49" s="17"/>
      <c r="H49" s="18" t="str">
        <f t="shared" ca="1" si="8"/>
        <v>—</v>
      </c>
      <c r="I49" s="19"/>
      <c r="J49" s="19"/>
      <c r="K49" s="17"/>
      <c r="L49" s="19"/>
      <c r="M49" s="20" t="str">
        <f t="shared" si="9"/>
        <v>—</v>
      </c>
      <c r="N49" s="20" t="str">
        <f t="shared" si="10"/>
        <v>—</v>
      </c>
      <c r="O49" s="18" t="str">
        <f t="shared" ca="1" si="11"/>
        <v>—</v>
      </c>
      <c r="P49" s="21"/>
      <c r="Q49" s="22" t="str">
        <f>IF($C49="","—",IFERROR(SUMIFS(Deliverables!$H$5:$H$304,Deliverables!$B$5:$B$304,SUBSTITUTE(SUBSTITUTE(SUBSTITUTE($C49,"~","~~"),"*","~*"),"?","~?")),"—"))</f>
        <v>—</v>
      </c>
      <c r="R49" s="22" t="str">
        <f t="shared" si="12"/>
        <v>—</v>
      </c>
      <c r="S49" s="23" t="str">
        <f t="shared" si="13"/>
        <v>—</v>
      </c>
      <c r="T49" s="24" t="str">
        <f>IF($C49="","—",IF(COUNTIF(Deliverables!$B$5:$B$304,SUBSTITUTE(SUBSTITUTE(SUBSTITUTE($C49,"~","~~"),"*","~*"),"?","~?"))=0,"—",COUNTIFS(Deliverables!$B$5:$B$304,SUBSTITUTE(SUBSTITUTE(SUBSTITUTE($C49,"~","~~"),"*","~*"),"?","~?"),Deliverables!$F$5:$F$304,"Delivered")+COUNTIFS(Deliverables!$B$5:$B$304,SUBSTITUTE(SUBSTITUTE(SUBSTITUTE($C49,"~","~~"),"*","~*"),"?","~?"),Deliverables!$F$5:$F$304,"Approved")&amp;" / "&amp;COUNTIF(Deliverables!$B$5:$B$304,SUBSTITUTE(SUBSTITUTE(SUBSTITUTE($C49,"~","~~"),"*","~*"),"?","~?"))))</f>
        <v>—</v>
      </c>
      <c r="U49" s="16"/>
    </row>
    <row r="50" spans="1:21" ht="16" x14ac:dyDescent="0.2">
      <c r="A50" s="14" t="str">
        <f t="shared" si="7"/>
        <v/>
      </c>
      <c r="B50" s="27"/>
      <c r="C50" s="27"/>
      <c r="D50" s="27"/>
      <c r="E50" s="27"/>
      <c r="F50" s="28"/>
      <c r="G50" s="28"/>
      <c r="H50" s="18" t="str">
        <f t="shared" ca="1" si="8"/>
        <v>—</v>
      </c>
      <c r="I50" s="29"/>
      <c r="J50" s="29"/>
      <c r="K50" s="28"/>
      <c r="L50" s="29"/>
      <c r="M50" s="20" t="str">
        <f t="shared" si="9"/>
        <v>—</v>
      </c>
      <c r="N50" s="20" t="str">
        <f t="shared" si="10"/>
        <v>—</v>
      </c>
      <c r="O50" s="18" t="str">
        <f t="shared" ca="1" si="11"/>
        <v>—</v>
      </c>
      <c r="P50" s="30"/>
      <c r="Q50" s="22" t="str">
        <f>IF($C50="","—",IFERROR(SUMIFS(Deliverables!$H$5:$H$304,Deliverables!$B$5:$B$304,SUBSTITUTE(SUBSTITUTE(SUBSTITUTE($C50,"~","~~"),"*","~*"),"?","~?")),"—"))</f>
        <v>—</v>
      </c>
      <c r="R50" s="22" t="str">
        <f t="shared" si="12"/>
        <v>—</v>
      </c>
      <c r="S50" s="23" t="str">
        <f t="shared" si="13"/>
        <v>—</v>
      </c>
      <c r="T50" s="24" t="str">
        <f>IF($C50="","—",IF(COUNTIF(Deliverables!$B$5:$B$304,SUBSTITUTE(SUBSTITUTE(SUBSTITUTE($C50,"~","~~"),"*","~*"),"?","~?"))=0,"—",COUNTIFS(Deliverables!$B$5:$B$304,SUBSTITUTE(SUBSTITUTE(SUBSTITUTE($C50,"~","~~"),"*","~*"),"?","~?"),Deliverables!$F$5:$F$304,"Delivered")+COUNTIFS(Deliverables!$B$5:$B$304,SUBSTITUTE(SUBSTITUTE(SUBSTITUTE($C50,"~","~~"),"*","~*"),"?","~?"),Deliverables!$F$5:$F$304,"Approved")&amp;" / "&amp;COUNTIF(Deliverables!$B$5:$B$304,SUBSTITUTE(SUBSTITUTE(SUBSTITUTE($C50,"~","~~"),"*","~*"),"?","~?"))))</f>
        <v>—</v>
      </c>
      <c r="U50" s="27"/>
    </row>
    <row r="51" spans="1:21" ht="16" x14ac:dyDescent="0.2">
      <c r="A51" s="14" t="str">
        <f t="shared" si="7"/>
        <v/>
      </c>
      <c r="B51" s="16"/>
      <c r="C51" s="16"/>
      <c r="D51" s="16"/>
      <c r="E51" s="16"/>
      <c r="F51" s="17"/>
      <c r="G51" s="17"/>
      <c r="H51" s="18" t="str">
        <f t="shared" ca="1" si="8"/>
        <v>—</v>
      </c>
      <c r="I51" s="19"/>
      <c r="J51" s="19"/>
      <c r="K51" s="17"/>
      <c r="L51" s="19"/>
      <c r="M51" s="20" t="str">
        <f t="shared" si="9"/>
        <v>—</v>
      </c>
      <c r="N51" s="20" t="str">
        <f t="shared" si="10"/>
        <v>—</v>
      </c>
      <c r="O51" s="18" t="str">
        <f t="shared" ca="1" si="11"/>
        <v>—</v>
      </c>
      <c r="P51" s="21"/>
      <c r="Q51" s="22" t="str">
        <f>IF($C51="","—",IFERROR(SUMIFS(Deliverables!$H$5:$H$304,Deliverables!$B$5:$B$304,SUBSTITUTE(SUBSTITUTE(SUBSTITUTE($C51,"~","~~"),"*","~*"),"?","~?")),"—"))</f>
        <v>—</v>
      </c>
      <c r="R51" s="22" t="str">
        <f t="shared" si="12"/>
        <v>—</v>
      </c>
      <c r="S51" s="23" t="str">
        <f t="shared" si="13"/>
        <v>—</v>
      </c>
      <c r="T51" s="24" t="str">
        <f>IF($C51="","—",IF(COUNTIF(Deliverables!$B$5:$B$304,SUBSTITUTE(SUBSTITUTE(SUBSTITUTE($C51,"~","~~"),"*","~*"),"?","~?"))=0,"—",COUNTIFS(Deliverables!$B$5:$B$304,SUBSTITUTE(SUBSTITUTE(SUBSTITUTE($C51,"~","~~"),"*","~*"),"?","~?"),Deliverables!$F$5:$F$304,"Delivered")+COUNTIFS(Deliverables!$B$5:$B$304,SUBSTITUTE(SUBSTITUTE(SUBSTITUTE($C51,"~","~~"),"*","~*"),"?","~?"),Deliverables!$F$5:$F$304,"Approved")&amp;" / "&amp;COUNTIF(Deliverables!$B$5:$B$304,SUBSTITUTE(SUBSTITUTE(SUBSTITUTE($C51,"~","~~"),"*","~*"),"?","~?"))))</f>
        <v>—</v>
      </c>
      <c r="U51" s="16"/>
    </row>
    <row r="52" spans="1:21" ht="16" x14ac:dyDescent="0.2">
      <c r="A52" s="14" t="str">
        <f t="shared" si="7"/>
        <v/>
      </c>
      <c r="B52" s="27"/>
      <c r="C52" s="27"/>
      <c r="D52" s="27"/>
      <c r="E52" s="27"/>
      <c r="F52" s="28"/>
      <c r="G52" s="28"/>
      <c r="H52" s="18" t="str">
        <f t="shared" ca="1" si="8"/>
        <v>—</v>
      </c>
      <c r="I52" s="29"/>
      <c r="J52" s="29"/>
      <c r="K52" s="28"/>
      <c r="L52" s="29"/>
      <c r="M52" s="20" t="str">
        <f t="shared" si="9"/>
        <v>—</v>
      </c>
      <c r="N52" s="20" t="str">
        <f t="shared" si="10"/>
        <v>—</v>
      </c>
      <c r="O52" s="18" t="str">
        <f t="shared" ca="1" si="11"/>
        <v>—</v>
      </c>
      <c r="P52" s="30"/>
      <c r="Q52" s="22" t="str">
        <f>IF($C52="","—",IFERROR(SUMIFS(Deliverables!$H$5:$H$304,Deliverables!$B$5:$B$304,SUBSTITUTE(SUBSTITUTE(SUBSTITUTE($C52,"~","~~"),"*","~*"),"?","~?")),"—"))</f>
        <v>—</v>
      </c>
      <c r="R52" s="22" t="str">
        <f t="shared" si="12"/>
        <v>—</v>
      </c>
      <c r="S52" s="23" t="str">
        <f t="shared" si="13"/>
        <v>—</v>
      </c>
      <c r="T52" s="24" t="str">
        <f>IF($C52="","—",IF(COUNTIF(Deliverables!$B$5:$B$304,SUBSTITUTE(SUBSTITUTE(SUBSTITUTE($C52,"~","~~"),"*","~*"),"?","~?"))=0,"—",COUNTIFS(Deliverables!$B$5:$B$304,SUBSTITUTE(SUBSTITUTE(SUBSTITUTE($C52,"~","~~"),"*","~*"),"?","~?"),Deliverables!$F$5:$F$304,"Delivered")+COUNTIFS(Deliverables!$B$5:$B$304,SUBSTITUTE(SUBSTITUTE(SUBSTITUTE($C52,"~","~~"),"*","~*"),"?","~?"),Deliverables!$F$5:$F$304,"Approved")&amp;" / "&amp;COUNTIF(Deliverables!$B$5:$B$304,SUBSTITUTE(SUBSTITUTE(SUBSTITUTE($C52,"~","~~"),"*","~*"),"?","~?"))))</f>
        <v>—</v>
      </c>
      <c r="U52" s="27"/>
    </row>
    <row r="53" spans="1:21" ht="16" x14ac:dyDescent="0.2">
      <c r="A53" s="14" t="str">
        <f t="shared" si="7"/>
        <v/>
      </c>
      <c r="B53" s="16"/>
      <c r="C53" s="16"/>
      <c r="D53" s="16"/>
      <c r="E53" s="16"/>
      <c r="F53" s="17"/>
      <c r="G53" s="17"/>
      <c r="H53" s="18" t="str">
        <f t="shared" ca="1" si="8"/>
        <v>—</v>
      </c>
      <c r="I53" s="19"/>
      <c r="J53" s="19"/>
      <c r="K53" s="17"/>
      <c r="L53" s="19"/>
      <c r="M53" s="20" t="str">
        <f t="shared" si="9"/>
        <v>—</v>
      </c>
      <c r="N53" s="20" t="str">
        <f t="shared" si="10"/>
        <v>—</v>
      </c>
      <c r="O53" s="18" t="str">
        <f t="shared" ca="1" si="11"/>
        <v>—</v>
      </c>
      <c r="P53" s="21"/>
      <c r="Q53" s="22" t="str">
        <f>IF($C53="","—",IFERROR(SUMIFS(Deliverables!$H$5:$H$304,Deliverables!$B$5:$B$304,SUBSTITUTE(SUBSTITUTE(SUBSTITUTE($C53,"~","~~"),"*","~*"),"?","~?")),"—"))</f>
        <v>—</v>
      </c>
      <c r="R53" s="22" t="str">
        <f t="shared" si="12"/>
        <v>—</v>
      </c>
      <c r="S53" s="23" t="str">
        <f t="shared" si="13"/>
        <v>—</v>
      </c>
      <c r="T53" s="24" t="str">
        <f>IF($C53="","—",IF(COUNTIF(Deliverables!$B$5:$B$304,SUBSTITUTE(SUBSTITUTE(SUBSTITUTE($C53,"~","~~"),"*","~*"),"?","~?"))=0,"—",COUNTIFS(Deliverables!$B$5:$B$304,SUBSTITUTE(SUBSTITUTE(SUBSTITUTE($C53,"~","~~"),"*","~*"),"?","~?"),Deliverables!$F$5:$F$304,"Delivered")+COUNTIFS(Deliverables!$B$5:$B$304,SUBSTITUTE(SUBSTITUTE(SUBSTITUTE($C53,"~","~~"),"*","~*"),"?","~?"),Deliverables!$F$5:$F$304,"Approved")&amp;" / "&amp;COUNTIF(Deliverables!$B$5:$B$304,SUBSTITUTE(SUBSTITUTE(SUBSTITUTE($C53,"~","~~"),"*","~*"),"?","~?"))))</f>
        <v>—</v>
      </c>
      <c r="U53" s="16"/>
    </row>
    <row r="54" spans="1:21" ht="16" x14ac:dyDescent="0.2">
      <c r="A54" s="14" t="str">
        <f t="shared" si="7"/>
        <v/>
      </c>
      <c r="B54" s="27"/>
      <c r="C54" s="27"/>
      <c r="D54" s="27"/>
      <c r="E54" s="27"/>
      <c r="F54" s="28"/>
      <c r="G54" s="28"/>
      <c r="H54" s="18" t="str">
        <f t="shared" ca="1" si="8"/>
        <v>—</v>
      </c>
      <c r="I54" s="29"/>
      <c r="J54" s="29"/>
      <c r="K54" s="28"/>
      <c r="L54" s="29"/>
      <c r="M54" s="20" t="str">
        <f t="shared" si="9"/>
        <v>—</v>
      </c>
      <c r="N54" s="20" t="str">
        <f t="shared" si="10"/>
        <v>—</v>
      </c>
      <c r="O54" s="18" t="str">
        <f t="shared" ca="1" si="11"/>
        <v>—</v>
      </c>
      <c r="P54" s="30"/>
      <c r="Q54" s="22" t="str">
        <f>IF($C54="","—",IFERROR(SUMIFS(Deliverables!$H$5:$H$304,Deliverables!$B$5:$B$304,SUBSTITUTE(SUBSTITUTE(SUBSTITUTE($C54,"~","~~"),"*","~*"),"?","~?")),"—"))</f>
        <v>—</v>
      </c>
      <c r="R54" s="22" t="str">
        <f t="shared" si="12"/>
        <v>—</v>
      </c>
      <c r="S54" s="23" t="str">
        <f t="shared" si="13"/>
        <v>—</v>
      </c>
      <c r="T54" s="24" t="str">
        <f>IF($C54="","—",IF(COUNTIF(Deliverables!$B$5:$B$304,SUBSTITUTE(SUBSTITUTE(SUBSTITUTE($C54,"~","~~"),"*","~*"),"?","~?"))=0,"—",COUNTIFS(Deliverables!$B$5:$B$304,SUBSTITUTE(SUBSTITUTE(SUBSTITUTE($C54,"~","~~"),"*","~*"),"?","~?"),Deliverables!$F$5:$F$304,"Delivered")+COUNTIFS(Deliverables!$B$5:$B$304,SUBSTITUTE(SUBSTITUTE(SUBSTITUTE($C54,"~","~~"),"*","~*"),"?","~?"),Deliverables!$F$5:$F$304,"Approved")&amp;" / "&amp;COUNTIF(Deliverables!$B$5:$B$304,SUBSTITUTE(SUBSTITUTE(SUBSTITUTE($C54,"~","~~"),"*","~*"),"?","~?"))))</f>
        <v>—</v>
      </c>
      <c r="U54" s="27"/>
    </row>
    <row r="55" spans="1:21" ht="16" x14ac:dyDescent="0.2">
      <c r="A55" s="14" t="str">
        <f t="shared" si="7"/>
        <v/>
      </c>
      <c r="B55" s="16"/>
      <c r="C55" s="16"/>
      <c r="D55" s="16"/>
      <c r="E55" s="16"/>
      <c r="F55" s="17"/>
      <c r="G55" s="17"/>
      <c r="H55" s="18" t="str">
        <f t="shared" ca="1" si="8"/>
        <v>—</v>
      </c>
      <c r="I55" s="19"/>
      <c r="J55" s="19"/>
      <c r="K55" s="17"/>
      <c r="L55" s="19"/>
      <c r="M55" s="20" t="str">
        <f t="shared" si="9"/>
        <v>—</v>
      </c>
      <c r="N55" s="20" t="str">
        <f t="shared" si="10"/>
        <v>—</v>
      </c>
      <c r="O55" s="18" t="str">
        <f t="shared" ca="1" si="11"/>
        <v>—</v>
      </c>
      <c r="P55" s="21"/>
      <c r="Q55" s="22" t="str">
        <f>IF($C55="","—",IFERROR(SUMIFS(Deliverables!$H$5:$H$304,Deliverables!$B$5:$B$304,SUBSTITUTE(SUBSTITUTE(SUBSTITUTE($C55,"~","~~"),"*","~*"),"?","~?")),"—"))</f>
        <v>—</v>
      </c>
      <c r="R55" s="22" t="str">
        <f t="shared" si="12"/>
        <v>—</v>
      </c>
      <c r="S55" s="23" t="str">
        <f t="shared" si="13"/>
        <v>—</v>
      </c>
      <c r="T55" s="24" t="str">
        <f>IF($C55="","—",IF(COUNTIF(Deliverables!$B$5:$B$304,SUBSTITUTE(SUBSTITUTE(SUBSTITUTE($C55,"~","~~"),"*","~*"),"?","~?"))=0,"—",COUNTIFS(Deliverables!$B$5:$B$304,SUBSTITUTE(SUBSTITUTE(SUBSTITUTE($C55,"~","~~"),"*","~*"),"?","~?"),Deliverables!$F$5:$F$304,"Delivered")+COUNTIFS(Deliverables!$B$5:$B$304,SUBSTITUTE(SUBSTITUTE(SUBSTITUTE($C55,"~","~~"),"*","~*"),"?","~?"),Deliverables!$F$5:$F$304,"Approved")&amp;" / "&amp;COUNTIF(Deliverables!$B$5:$B$304,SUBSTITUTE(SUBSTITUTE(SUBSTITUTE($C55,"~","~~"),"*","~*"),"?","~?"))))</f>
        <v>—</v>
      </c>
      <c r="U55" s="16"/>
    </row>
    <row r="56" spans="1:21" ht="16" x14ac:dyDescent="0.2">
      <c r="A56" s="14" t="str">
        <f t="shared" si="7"/>
        <v/>
      </c>
      <c r="B56" s="27"/>
      <c r="C56" s="27"/>
      <c r="D56" s="27"/>
      <c r="E56" s="27"/>
      <c r="F56" s="28"/>
      <c r="G56" s="28"/>
      <c r="H56" s="18" t="str">
        <f t="shared" ca="1" si="8"/>
        <v>—</v>
      </c>
      <c r="I56" s="29"/>
      <c r="J56" s="29"/>
      <c r="K56" s="28"/>
      <c r="L56" s="29"/>
      <c r="M56" s="20" t="str">
        <f t="shared" si="9"/>
        <v>—</v>
      </c>
      <c r="N56" s="20" t="str">
        <f t="shared" si="10"/>
        <v>—</v>
      </c>
      <c r="O56" s="18" t="str">
        <f t="shared" ca="1" si="11"/>
        <v>—</v>
      </c>
      <c r="P56" s="30"/>
      <c r="Q56" s="22" t="str">
        <f>IF($C56="","—",IFERROR(SUMIFS(Deliverables!$H$5:$H$304,Deliverables!$B$5:$B$304,SUBSTITUTE(SUBSTITUTE(SUBSTITUTE($C56,"~","~~"),"*","~*"),"?","~?")),"—"))</f>
        <v>—</v>
      </c>
      <c r="R56" s="22" t="str">
        <f t="shared" si="12"/>
        <v>—</v>
      </c>
      <c r="S56" s="23" t="str">
        <f t="shared" si="13"/>
        <v>—</v>
      </c>
      <c r="T56" s="24" t="str">
        <f>IF($C56="","—",IF(COUNTIF(Deliverables!$B$5:$B$304,SUBSTITUTE(SUBSTITUTE(SUBSTITUTE($C56,"~","~~"),"*","~*"),"?","~?"))=0,"—",COUNTIFS(Deliverables!$B$5:$B$304,SUBSTITUTE(SUBSTITUTE(SUBSTITUTE($C56,"~","~~"),"*","~*"),"?","~?"),Deliverables!$F$5:$F$304,"Delivered")+COUNTIFS(Deliverables!$B$5:$B$304,SUBSTITUTE(SUBSTITUTE(SUBSTITUTE($C56,"~","~~"),"*","~*"),"?","~?"),Deliverables!$F$5:$F$304,"Approved")&amp;" / "&amp;COUNTIF(Deliverables!$B$5:$B$304,SUBSTITUTE(SUBSTITUTE(SUBSTITUTE($C56,"~","~~"),"*","~*"),"?","~?"))))</f>
        <v>—</v>
      </c>
      <c r="U56" s="27"/>
    </row>
    <row r="57" spans="1:21" ht="16" x14ac:dyDescent="0.2">
      <c r="A57" s="14" t="str">
        <f t="shared" si="7"/>
        <v/>
      </c>
      <c r="B57" s="16"/>
      <c r="C57" s="16"/>
      <c r="D57" s="16"/>
      <c r="E57" s="16"/>
      <c r="F57" s="17"/>
      <c r="G57" s="17"/>
      <c r="H57" s="18" t="str">
        <f t="shared" ca="1" si="8"/>
        <v>—</v>
      </c>
      <c r="I57" s="19"/>
      <c r="J57" s="19"/>
      <c r="K57" s="17"/>
      <c r="L57" s="19"/>
      <c r="M57" s="20" t="str">
        <f t="shared" si="9"/>
        <v>—</v>
      </c>
      <c r="N57" s="20" t="str">
        <f t="shared" si="10"/>
        <v>—</v>
      </c>
      <c r="O57" s="18" t="str">
        <f t="shared" ca="1" si="11"/>
        <v>—</v>
      </c>
      <c r="P57" s="21"/>
      <c r="Q57" s="22" t="str">
        <f>IF($C57="","—",IFERROR(SUMIFS(Deliverables!$H$5:$H$304,Deliverables!$B$5:$B$304,SUBSTITUTE(SUBSTITUTE(SUBSTITUTE($C57,"~","~~"),"*","~*"),"?","~?")),"—"))</f>
        <v>—</v>
      </c>
      <c r="R57" s="22" t="str">
        <f t="shared" si="12"/>
        <v>—</v>
      </c>
      <c r="S57" s="23" t="str">
        <f t="shared" si="13"/>
        <v>—</v>
      </c>
      <c r="T57" s="24" t="str">
        <f>IF($C57="","—",IF(COUNTIF(Deliverables!$B$5:$B$304,SUBSTITUTE(SUBSTITUTE(SUBSTITUTE($C57,"~","~~"),"*","~*"),"?","~?"))=0,"—",COUNTIFS(Deliverables!$B$5:$B$304,SUBSTITUTE(SUBSTITUTE(SUBSTITUTE($C57,"~","~~"),"*","~*"),"?","~?"),Deliverables!$F$5:$F$304,"Delivered")+COUNTIFS(Deliverables!$B$5:$B$304,SUBSTITUTE(SUBSTITUTE(SUBSTITUTE($C57,"~","~~"),"*","~*"),"?","~?"),Deliverables!$F$5:$F$304,"Approved")&amp;" / "&amp;COUNTIF(Deliverables!$B$5:$B$304,SUBSTITUTE(SUBSTITUTE(SUBSTITUTE($C57,"~","~~"),"*","~*"),"?","~?"))))</f>
        <v>—</v>
      </c>
      <c r="U57" s="16"/>
    </row>
    <row r="58" spans="1:21" ht="16" x14ac:dyDescent="0.2">
      <c r="A58" s="14" t="str">
        <f t="shared" si="7"/>
        <v/>
      </c>
      <c r="B58" s="27"/>
      <c r="C58" s="27"/>
      <c r="D58" s="27"/>
      <c r="E58" s="27"/>
      <c r="F58" s="28"/>
      <c r="G58" s="28"/>
      <c r="H58" s="18" t="str">
        <f t="shared" ca="1" si="8"/>
        <v>—</v>
      </c>
      <c r="I58" s="29"/>
      <c r="J58" s="29"/>
      <c r="K58" s="28"/>
      <c r="L58" s="29"/>
      <c r="M58" s="20" t="str">
        <f t="shared" si="9"/>
        <v>—</v>
      </c>
      <c r="N58" s="20" t="str">
        <f t="shared" si="10"/>
        <v>—</v>
      </c>
      <c r="O58" s="18" t="str">
        <f t="shared" ca="1" si="11"/>
        <v>—</v>
      </c>
      <c r="P58" s="30"/>
      <c r="Q58" s="22" t="str">
        <f>IF($C58="","—",IFERROR(SUMIFS(Deliverables!$H$5:$H$304,Deliverables!$B$5:$B$304,SUBSTITUTE(SUBSTITUTE(SUBSTITUTE($C58,"~","~~"),"*","~*"),"?","~?")),"—"))</f>
        <v>—</v>
      </c>
      <c r="R58" s="22" t="str">
        <f t="shared" si="12"/>
        <v>—</v>
      </c>
      <c r="S58" s="23" t="str">
        <f t="shared" si="13"/>
        <v>—</v>
      </c>
      <c r="T58" s="24" t="str">
        <f>IF($C58="","—",IF(COUNTIF(Deliverables!$B$5:$B$304,SUBSTITUTE(SUBSTITUTE(SUBSTITUTE($C58,"~","~~"),"*","~*"),"?","~?"))=0,"—",COUNTIFS(Deliverables!$B$5:$B$304,SUBSTITUTE(SUBSTITUTE(SUBSTITUTE($C58,"~","~~"),"*","~*"),"?","~?"),Deliverables!$F$5:$F$304,"Delivered")+COUNTIFS(Deliverables!$B$5:$B$304,SUBSTITUTE(SUBSTITUTE(SUBSTITUTE($C58,"~","~~"),"*","~*"),"?","~?"),Deliverables!$F$5:$F$304,"Approved")&amp;" / "&amp;COUNTIF(Deliverables!$B$5:$B$304,SUBSTITUTE(SUBSTITUTE(SUBSTITUTE($C58,"~","~~"),"*","~*"),"?","~?"))))</f>
        <v>—</v>
      </c>
      <c r="U58" s="27"/>
    </row>
    <row r="59" spans="1:21" ht="16" x14ac:dyDescent="0.2">
      <c r="A59" s="14" t="str">
        <f t="shared" si="7"/>
        <v/>
      </c>
      <c r="B59" s="16"/>
      <c r="C59" s="16"/>
      <c r="D59" s="16"/>
      <c r="E59" s="16"/>
      <c r="F59" s="17"/>
      <c r="G59" s="17"/>
      <c r="H59" s="18" t="str">
        <f t="shared" ca="1" si="8"/>
        <v>—</v>
      </c>
      <c r="I59" s="19"/>
      <c r="J59" s="19"/>
      <c r="K59" s="17"/>
      <c r="L59" s="19"/>
      <c r="M59" s="20" t="str">
        <f t="shared" si="9"/>
        <v>—</v>
      </c>
      <c r="N59" s="20" t="str">
        <f t="shared" si="10"/>
        <v>—</v>
      </c>
      <c r="O59" s="18" t="str">
        <f t="shared" ca="1" si="11"/>
        <v>—</v>
      </c>
      <c r="P59" s="21"/>
      <c r="Q59" s="22" t="str">
        <f>IF($C59="","—",IFERROR(SUMIFS(Deliverables!$H$5:$H$304,Deliverables!$B$5:$B$304,SUBSTITUTE(SUBSTITUTE(SUBSTITUTE($C59,"~","~~"),"*","~*"),"?","~?")),"—"))</f>
        <v>—</v>
      </c>
      <c r="R59" s="22" t="str">
        <f t="shared" si="12"/>
        <v>—</v>
      </c>
      <c r="S59" s="23" t="str">
        <f t="shared" si="13"/>
        <v>—</v>
      </c>
      <c r="T59" s="24" t="str">
        <f>IF($C59="","—",IF(COUNTIF(Deliverables!$B$5:$B$304,SUBSTITUTE(SUBSTITUTE(SUBSTITUTE($C59,"~","~~"),"*","~*"),"?","~?"))=0,"—",COUNTIFS(Deliverables!$B$5:$B$304,SUBSTITUTE(SUBSTITUTE(SUBSTITUTE($C59,"~","~~"),"*","~*"),"?","~?"),Deliverables!$F$5:$F$304,"Delivered")+COUNTIFS(Deliverables!$B$5:$B$304,SUBSTITUTE(SUBSTITUTE(SUBSTITUTE($C59,"~","~~"),"*","~*"),"?","~?"),Deliverables!$F$5:$F$304,"Approved")&amp;" / "&amp;COUNTIF(Deliverables!$B$5:$B$304,SUBSTITUTE(SUBSTITUTE(SUBSTITUTE($C59,"~","~~"),"*","~*"),"?","~?"))))</f>
        <v>—</v>
      </c>
      <c r="U59" s="16"/>
    </row>
    <row r="60" spans="1:21" ht="16" x14ac:dyDescent="0.2">
      <c r="A60" s="14" t="str">
        <f t="shared" si="7"/>
        <v/>
      </c>
      <c r="B60" s="27"/>
      <c r="C60" s="27"/>
      <c r="D60" s="27"/>
      <c r="E60" s="27"/>
      <c r="F60" s="28"/>
      <c r="G60" s="28"/>
      <c r="H60" s="18" t="str">
        <f t="shared" ca="1" si="8"/>
        <v>—</v>
      </c>
      <c r="I60" s="29"/>
      <c r="J60" s="29"/>
      <c r="K60" s="28"/>
      <c r="L60" s="29"/>
      <c r="M60" s="20" t="str">
        <f t="shared" si="9"/>
        <v>—</v>
      </c>
      <c r="N60" s="20" t="str">
        <f t="shared" si="10"/>
        <v>—</v>
      </c>
      <c r="O60" s="18" t="str">
        <f t="shared" ca="1" si="11"/>
        <v>—</v>
      </c>
      <c r="P60" s="30"/>
      <c r="Q60" s="22" t="str">
        <f>IF($C60="","—",IFERROR(SUMIFS(Deliverables!$H$5:$H$304,Deliverables!$B$5:$B$304,SUBSTITUTE(SUBSTITUTE(SUBSTITUTE($C60,"~","~~"),"*","~*"),"?","~?")),"—"))</f>
        <v>—</v>
      </c>
      <c r="R60" s="22" t="str">
        <f t="shared" si="12"/>
        <v>—</v>
      </c>
      <c r="S60" s="23" t="str">
        <f t="shared" si="13"/>
        <v>—</v>
      </c>
      <c r="T60" s="24" t="str">
        <f>IF($C60="","—",IF(COUNTIF(Deliverables!$B$5:$B$304,SUBSTITUTE(SUBSTITUTE(SUBSTITUTE($C60,"~","~~"),"*","~*"),"?","~?"))=0,"—",COUNTIFS(Deliverables!$B$5:$B$304,SUBSTITUTE(SUBSTITUTE(SUBSTITUTE($C60,"~","~~"),"*","~*"),"?","~?"),Deliverables!$F$5:$F$304,"Delivered")+COUNTIFS(Deliverables!$B$5:$B$304,SUBSTITUTE(SUBSTITUTE(SUBSTITUTE($C60,"~","~~"),"*","~*"),"?","~?"),Deliverables!$F$5:$F$304,"Approved")&amp;" / "&amp;COUNTIF(Deliverables!$B$5:$B$304,SUBSTITUTE(SUBSTITUTE(SUBSTITUTE($C60,"~","~~"),"*","~*"),"?","~?"))))</f>
        <v>—</v>
      </c>
      <c r="U60" s="27"/>
    </row>
    <row r="61" spans="1:21" ht="16" x14ac:dyDescent="0.2">
      <c r="A61" s="14" t="str">
        <f t="shared" si="7"/>
        <v/>
      </c>
      <c r="B61" s="16"/>
      <c r="C61" s="16"/>
      <c r="D61" s="16"/>
      <c r="E61" s="16"/>
      <c r="F61" s="17"/>
      <c r="G61" s="17"/>
      <c r="H61" s="18" t="str">
        <f t="shared" ca="1" si="8"/>
        <v>—</v>
      </c>
      <c r="I61" s="19"/>
      <c r="J61" s="19"/>
      <c r="K61" s="17"/>
      <c r="L61" s="19"/>
      <c r="M61" s="20" t="str">
        <f t="shared" si="9"/>
        <v>—</v>
      </c>
      <c r="N61" s="20" t="str">
        <f t="shared" si="10"/>
        <v>—</v>
      </c>
      <c r="O61" s="18" t="str">
        <f t="shared" ca="1" si="11"/>
        <v>—</v>
      </c>
      <c r="P61" s="21"/>
      <c r="Q61" s="22" t="str">
        <f>IF($C61="","—",IFERROR(SUMIFS(Deliverables!$H$5:$H$304,Deliverables!$B$5:$B$304,SUBSTITUTE(SUBSTITUTE(SUBSTITUTE($C61,"~","~~"),"*","~*"),"?","~?")),"—"))</f>
        <v>—</v>
      </c>
      <c r="R61" s="22" t="str">
        <f t="shared" si="12"/>
        <v>—</v>
      </c>
      <c r="S61" s="23" t="str">
        <f t="shared" si="13"/>
        <v>—</v>
      </c>
      <c r="T61" s="24" t="str">
        <f>IF($C61="","—",IF(COUNTIF(Deliverables!$B$5:$B$304,SUBSTITUTE(SUBSTITUTE(SUBSTITUTE($C61,"~","~~"),"*","~*"),"?","~?"))=0,"—",COUNTIFS(Deliverables!$B$5:$B$304,SUBSTITUTE(SUBSTITUTE(SUBSTITUTE($C61,"~","~~"),"*","~*"),"?","~?"),Deliverables!$F$5:$F$304,"Delivered")+COUNTIFS(Deliverables!$B$5:$B$304,SUBSTITUTE(SUBSTITUTE(SUBSTITUTE($C61,"~","~~"),"*","~*"),"?","~?"),Deliverables!$F$5:$F$304,"Approved")&amp;" / "&amp;COUNTIF(Deliverables!$B$5:$B$304,SUBSTITUTE(SUBSTITUTE(SUBSTITUTE($C61,"~","~~"),"*","~*"),"?","~?"))))</f>
        <v>—</v>
      </c>
      <c r="U61" s="16"/>
    </row>
    <row r="62" spans="1:21" ht="16" x14ac:dyDescent="0.2">
      <c r="A62" s="14" t="str">
        <f t="shared" si="7"/>
        <v/>
      </c>
      <c r="B62" s="27"/>
      <c r="C62" s="27"/>
      <c r="D62" s="27"/>
      <c r="E62" s="27"/>
      <c r="F62" s="28"/>
      <c r="G62" s="28"/>
      <c r="H62" s="18" t="str">
        <f t="shared" ca="1" si="8"/>
        <v>—</v>
      </c>
      <c r="I62" s="29"/>
      <c r="J62" s="29"/>
      <c r="K62" s="28"/>
      <c r="L62" s="29"/>
      <c r="M62" s="20" t="str">
        <f t="shared" si="9"/>
        <v>—</v>
      </c>
      <c r="N62" s="20" t="str">
        <f t="shared" si="10"/>
        <v>—</v>
      </c>
      <c r="O62" s="18" t="str">
        <f t="shared" ca="1" si="11"/>
        <v>—</v>
      </c>
      <c r="P62" s="30"/>
      <c r="Q62" s="22" t="str">
        <f>IF($C62="","—",IFERROR(SUMIFS(Deliverables!$H$5:$H$304,Deliverables!$B$5:$B$304,SUBSTITUTE(SUBSTITUTE(SUBSTITUTE($C62,"~","~~"),"*","~*"),"?","~?")),"—"))</f>
        <v>—</v>
      </c>
      <c r="R62" s="22" t="str">
        <f t="shared" si="12"/>
        <v>—</v>
      </c>
      <c r="S62" s="23" t="str">
        <f t="shared" si="13"/>
        <v>—</v>
      </c>
      <c r="T62" s="24" t="str">
        <f>IF($C62="","—",IF(COUNTIF(Deliverables!$B$5:$B$304,SUBSTITUTE(SUBSTITUTE(SUBSTITUTE($C62,"~","~~"),"*","~*"),"?","~?"))=0,"—",COUNTIFS(Deliverables!$B$5:$B$304,SUBSTITUTE(SUBSTITUTE(SUBSTITUTE($C62,"~","~~"),"*","~*"),"?","~?"),Deliverables!$F$5:$F$304,"Delivered")+COUNTIFS(Deliverables!$B$5:$B$304,SUBSTITUTE(SUBSTITUTE(SUBSTITUTE($C62,"~","~~"),"*","~*"),"?","~?"),Deliverables!$F$5:$F$304,"Approved")&amp;" / "&amp;COUNTIF(Deliverables!$B$5:$B$304,SUBSTITUTE(SUBSTITUTE(SUBSTITUTE($C62,"~","~~"),"*","~*"),"?","~?"))))</f>
        <v>—</v>
      </c>
      <c r="U62" s="27"/>
    </row>
    <row r="63" spans="1:21" ht="16" x14ac:dyDescent="0.2">
      <c r="A63" s="14" t="str">
        <f t="shared" si="7"/>
        <v/>
      </c>
      <c r="B63" s="16"/>
      <c r="C63" s="16"/>
      <c r="D63" s="16"/>
      <c r="E63" s="16"/>
      <c r="F63" s="17"/>
      <c r="G63" s="17"/>
      <c r="H63" s="18" t="str">
        <f t="shared" ca="1" si="8"/>
        <v>—</v>
      </c>
      <c r="I63" s="19"/>
      <c r="J63" s="19"/>
      <c r="K63" s="17"/>
      <c r="L63" s="19"/>
      <c r="M63" s="20" t="str">
        <f t="shared" si="9"/>
        <v>—</v>
      </c>
      <c r="N63" s="20" t="str">
        <f t="shared" si="10"/>
        <v>—</v>
      </c>
      <c r="O63" s="18" t="str">
        <f t="shared" ca="1" si="11"/>
        <v>—</v>
      </c>
      <c r="P63" s="21"/>
      <c r="Q63" s="22" t="str">
        <f>IF($C63="","—",IFERROR(SUMIFS(Deliverables!$H$5:$H$304,Deliverables!$B$5:$B$304,SUBSTITUTE(SUBSTITUTE(SUBSTITUTE($C63,"~","~~"),"*","~*"),"?","~?")),"—"))</f>
        <v>—</v>
      </c>
      <c r="R63" s="22" t="str">
        <f t="shared" si="12"/>
        <v>—</v>
      </c>
      <c r="S63" s="23" t="str">
        <f t="shared" si="13"/>
        <v>—</v>
      </c>
      <c r="T63" s="24" t="str">
        <f>IF($C63="","—",IF(COUNTIF(Deliverables!$B$5:$B$304,SUBSTITUTE(SUBSTITUTE(SUBSTITUTE($C63,"~","~~"),"*","~*"),"?","~?"))=0,"—",COUNTIFS(Deliverables!$B$5:$B$304,SUBSTITUTE(SUBSTITUTE(SUBSTITUTE($C63,"~","~~"),"*","~*"),"?","~?"),Deliverables!$F$5:$F$304,"Delivered")+COUNTIFS(Deliverables!$B$5:$B$304,SUBSTITUTE(SUBSTITUTE(SUBSTITUTE($C63,"~","~~"),"*","~*"),"?","~?"),Deliverables!$F$5:$F$304,"Approved")&amp;" / "&amp;COUNTIF(Deliverables!$B$5:$B$304,SUBSTITUTE(SUBSTITUTE(SUBSTITUTE($C63,"~","~~"),"*","~*"),"?","~?"))))</f>
        <v>—</v>
      </c>
      <c r="U63" s="16"/>
    </row>
    <row r="64" spans="1:21" ht="16" x14ac:dyDescent="0.2">
      <c r="A64" s="14" t="str">
        <f t="shared" si="7"/>
        <v/>
      </c>
      <c r="B64" s="27"/>
      <c r="C64" s="27"/>
      <c r="D64" s="27"/>
      <c r="E64" s="27"/>
      <c r="F64" s="28"/>
      <c r="G64" s="28"/>
      <c r="H64" s="18" t="str">
        <f t="shared" ca="1" si="8"/>
        <v>—</v>
      </c>
      <c r="I64" s="29"/>
      <c r="J64" s="29"/>
      <c r="K64" s="28"/>
      <c r="L64" s="29"/>
      <c r="M64" s="20" t="str">
        <f t="shared" si="9"/>
        <v>—</v>
      </c>
      <c r="N64" s="20" t="str">
        <f t="shared" si="10"/>
        <v>—</v>
      </c>
      <c r="O64" s="18" t="str">
        <f t="shared" ca="1" si="11"/>
        <v>—</v>
      </c>
      <c r="P64" s="30"/>
      <c r="Q64" s="22" t="str">
        <f>IF($C64="","—",IFERROR(SUMIFS(Deliverables!$H$5:$H$304,Deliverables!$B$5:$B$304,SUBSTITUTE(SUBSTITUTE(SUBSTITUTE($C64,"~","~~"),"*","~*"),"?","~?")),"—"))</f>
        <v>—</v>
      </c>
      <c r="R64" s="22" t="str">
        <f t="shared" si="12"/>
        <v>—</v>
      </c>
      <c r="S64" s="23" t="str">
        <f t="shared" si="13"/>
        <v>—</v>
      </c>
      <c r="T64" s="24" t="str">
        <f>IF($C64="","—",IF(COUNTIF(Deliverables!$B$5:$B$304,SUBSTITUTE(SUBSTITUTE(SUBSTITUTE($C64,"~","~~"),"*","~*"),"?","~?"))=0,"—",COUNTIFS(Deliverables!$B$5:$B$304,SUBSTITUTE(SUBSTITUTE(SUBSTITUTE($C64,"~","~~"),"*","~*"),"?","~?"),Deliverables!$F$5:$F$304,"Delivered")+COUNTIFS(Deliverables!$B$5:$B$304,SUBSTITUTE(SUBSTITUTE(SUBSTITUTE($C64,"~","~~"),"*","~*"),"?","~?"),Deliverables!$F$5:$F$304,"Approved")&amp;" / "&amp;COUNTIF(Deliverables!$B$5:$B$304,SUBSTITUTE(SUBSTITUTE(SUBSTITUTE($C64,"~","~~"),"*","~*"),"?","~?"))))</f>
        <v>—</v>
      </c>
      <c r="U64" s="27"/>
    </row>
  </sheetData>
  <autoFilter ref="A4:U64" xr:uid="{00000000-0009-0000-0000-000002000000}"/>
  <mergeCells count="2">
    <mergeCell ref="A1:U1"/>
    <mergeCell ref="A2:U2"/>
  </mergeCells>
  <conditionalFormatting sqref="E5:E64">
    <cfRule type="cellIs" dxfId="40" priority="1" operator="equal">
      <formula>"Lead"</formula>
    </cfRule>
    <cfRule type="cellIs" dxfId="39" priority="2" operator="equal">
      <formula>"Quoted"</formula>
    </cfRule>
    <cfRule type="cellIs" dxfId="38" priority="3" operator="equal">
      <formula>"Booked"</formula>
    </cfRule>
    <cfRule type="cellIs" dxfId="37" priority="4" operator="equal">
      <formula>"In progress"</formula>
    </cfRule>
    <cfRule type="cellIs" dxfId="36" priority="5" operator="equal">
      <formula>"With client"</formula>
    </cfRule>
    <cfRule type="cellIs" dxfId="35" priority="6" operator="equal">
      <formula>"Delivered"</formula>
    </cfRule>
    <cfRule type="cellIs" dxfId="34" priority="7" operator="equal">
      <formula>"Approved"</formula>
    </cfRule>
    <cfRule type="cellIs" dxfId="33" priority="8" operator="equal">
      <formula>"On hold"</formula>
    </cfRule>
    <cfRule type="cellIs" dxfId="32" priority="9" operator="equal">
      <formula>"Cancelled"</formula>
    </cfRule>
    <cfRule type="cellIs" dxfId="31" priority="10" operator="equal">
      <formula>"Closed"</formula>
    </cfRule>
  </conditionalFormatting>
  <conditionalFormatting sqref="H5:H64">
    <cfRule type="expression" dxfId="30" priority="11" stopIfTrue="1">
      <formula>AND(ISNUMBER($H5),$H5&lt;0)</formula>
    </cfRule>
    <cfRule type="expression" dxfId="29" priority="12" stopIfTrue="1">
      <formula>AND(ISNUMBER($H5),$H5&gt;=0,$H5&lt;=3)</formula>
    </cfRule>
    <cfRule type="expression" dxfId="28" priority="13" stopIfTrue="1">
      <formula>AND(ISNUMBER($H5),$H5&gt;=4,$H5&lt;=10)</formula>
    </cfRule>
    <cfRule type="expression" dxfId="27" priority="14">
      <formula>AND(ISNUMBER($H5),$H5&gt;10)</formula>
    </cfRule>
  </conditionalFormatting>
  <conditionalFormatting sqref="O5:O64">
    <cfRule type="expression" dxfId="26" priority="15" stopIfTrue="1">
      <formula>AND(ISNUMBER($O5),ISNUMBER($B$3),$O5&gt;$B$3)</formula>
    </cfRule>
    <cfRule type="expression" dxfId="25" priority="16">
      <formula>AND(ISNUMBER($O5),ISNUMBER($B$3),$O5&gt;=$B$3-7,$O5&lt;=$B$3)</formula>
    </cfRule>
  </conditionalFormatting>
  <conditionalFormatting sqref="S5:S64">
    <cfRule type="expression" dxfId="24" priority="17">
      <formula>AND(ISNUMBER($S5),ISNUMBER($E$3),$S5&lt;$E$3)</formula>
    </cfRule>
  </conditionalFormatting>
  <pageMargins left="0.75" right="0.75" top="1" bottom="1" header="0.5" footer="0.5"/>
  <pageSetup fitToHeight="0" orientation="landscape"/>
  <extLst>
    <ext xmlns:x14="http://schemas.microsoft.com/office/spreadsheetml/2009/9/main" uri="{CCE6A557-97BC-4b89-ADB6-D9C93CAAB3DF}">
      <x14:dataValidations xmlns:xm="http://schemas.microsoft.com/office/excel/2006/main" count="2">
        <x14:dataValidation type="list" allowBlank="1" xr:uid="{00000000-0002-0000-0200-000000000000}">
          <x14:formula1>
            <xm:f>Lists!$A$1:$A$12</xm:f>
          </x14:formula1>
          <xm:sqref>D5:D64</xm:sqref>
        </x14:dataValidation>
        <x14:dataValidation type="list" allowBlank="1" xr:uid="{00000000-0002-0000-0200-000001000000}">
          <x14:formula1>
            <xm:f>Lists!$B$1:$B$10</xm:f>
          </x14:formula1>
          <xm:sqref>E5:E64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304"/>
  <sheetViews>
    <sheetView workbookViewId="0">
      <pane xSplit="3" ySplit="4" topLeftCell="D5" activePane="bottomRight" state="frozen"/>
      <selection pane="topRight"/>
      <selection pane="bottomLeft"/>
      <selection pane="bottomRight"/>
    </sheetView>
  </sheetViews>
  <sheetFormatPr baseColWidth="10" defaultColWidth="8.83203125" defaultRowHeight="15" x14ac:dyDescent="0.2"/>
  <cols>
    <col min="1" max="1" width="5" customWidth="1"/>
    <col min="2" max="2" width="22" customWidth="1"/>
    <col min="3" max="3" width="10" customWidth="1"/>
    <col min="4" max="4" width="40" customWidth="1"/>
    <col min="5" max="5" width="12" customWidth="1"/>
    <col min="6" max="6" width="14" customWidth="1"/>
    <col min="7" max="8" width="11" customWidth="1"/>
    <col min="9" max="10" width="10" customWidth="1"/>
    <col min="11" max="11" width="12" customWidth="1"/>
    <col min="12" max="12" width="14" customWidth="1"/>
    <col min="13" max="13" width="12" customWidth="1"/>
    <col min="14" max="14" width="14" customWidth="1"/>
    <col min="15" max="15" width="34" customWidth="1"/>
  </cols>
  <sheetData>
    <row r="1" spans="1:15" ht="26" customHeight="1" x14ac:dyDescent="0.25">
      <c r="A1" s="52" t="s">
        <v>72</v>
      </c>
      <c r="B1" s="51"/>
      <c r="C1" s="51"/>
      <c r="D1" s="51"/>
      <c r="E1" s="51"/>
      <c r="F1" s="51"/>
      <c r="G1" s="51"/>
      <c r="H1" s="51"/>
      <c r="I1" s="51"/>
      <c r="J1" s="51"/>
      <c r="K1" s="51"/>
      <c r="L1" s="51"/>
      <c r="M1" s="51"/>
      <c r="N1" s="51"/>
      <c r="O1" s="51"/>
    </row>
    <row r="2" spans="1:15" x14ac:dyDescent="0.2">
      <c r="A2" s="55" t="s">
        <v>73</v>
      </c>
      <c r="B2" s="51"/>
      <c r="C2" s="51"/>
      <c r="D2" s="51"/>
      <c r="E2" s="51"/>
      <c r="F2" s="51"/>
      <c r="G2" s="51"/>
      <c r="H2" s="51"/>
      <c r="I2" s="51"/>
      <c r="J2" s="51"/>
      <c r="K2" s="51"/>
      <c r="L2" s="51"/>
      <c r="M2" s="51"/>
      <c r="N2" s="51"/>
      <c r="O2" s="51"/>
    </row>
    <row r="3" spans="1:15" ht="16" customHeight="1" x14ac:dyDescent="0.2">
      <c r="B3" s="9" t="s">
        <v>74</v>
      </c>
    </row>
    <row r="4" spans="1:15" ht="30" customHeight="1" x14ac:dyDescent="0.2">
      <c r="A4" s="13" t="s">
        <v>40</v>
      </c>
      <c r="B4" s="13" t="s">
        <v>42</v>
      </c>
      <c r="C4" s="13" t="s">
        <v>75</v>
      </c>
      <c r="D4" s="13" t="s">
        <v>76</v>
      </c>
      <c r="E4" s="13" t="s">
        <v>77</v>
      </c>
      <c r="F4" s="13" t="s">
        <v>44</v>
      </c>
      <c r="G4" s="13" t="s">
        <v>78</v>
      </c>
      <c r="H4" s="13" t="s">
        <v>55</v>
      </c>
      <c r="I4" s="13" t="s">
        <v>56</v>
      </c>
      <c r="J4" s="13" t="s">
        <v>47</v>
      </c>
      <c r="K4" s="13" t="s">
        <v>79</v>
      </c>
      <c r="L4" s="13" t="s">
        <v>80</v>
      </c>
      <c r="M4" s="13" t="s">
        <v>81</v>
      </c>
      <c r="N4" s="13" t="s">
        <v>82</v>
      </c>
      <c r="O4" s="13" t="s">
        <v>59</v>
      </c>
    </row>
    <row r="5" spans="1:15" ht="26" x14ac:dyDescent="0.2">
      <c r="A5" s="14">
        <f t="shared" ref="A5:A68" si="0">IF($D5="","",ROW()-4)</f>
        <v>1</v>
      </c>
      <c r="B5" s="16" t="s">
        <v>61</v>
      </c>
      <c r="C5" s="24" t="str">
        <f>IF($B5="","",IF(COUNTIF(Projects!$C$5:$C$64,SUBSTITUTE(SUBSTITUTE(SUBSTITUTE($B5,"~","~~"),"*","~*"),"?","~?"))&gt;0,"✓","not in Projects"))</f>
        <v>✓</v>
      </c>
      <c r="D5" s="16" t="s">
        <v>83</v>
      </c>
      <c r="E5" s="17">
        <f ca="1">TODAY()-8</f>
        <v>46224</v>
      </c>
      <c r="F5" s="16" t="s">
        <v>63</v>
      </c>
      <c r="G5" s="21">
        <v>8</v>
      </c>
      <c r="H5" s="21">
        <v>5</v>
      </c>
      <c r="I5" s="22">
        <f t="shared" ref="I5:I68" si="1">IF($D5="","—",IF(OR($F5="Delivered",$F5="Approved",$F5="Cancelled"),"—",IF(AND($G5="",$H5=""),"—",IFERROR(MAX(0,N($G5)-N($H5)),"—"))))</f>
        <v>3</v>
      </c>
      <c r="J5" s="18">
        <f t="shared" ref="J5:J68" ca="1" si="2">IF($E5="","—",IF(OR($F5="Delivered",$F5="Approved",$F5="Cancelled"),"—",IFERROR(INT($E5)-TODAY(),"—")))</f>
        <v>-8</v>
      </c>
      <c r="K5" s="32">
        <f t="shared" ref="K5:K68" ca="1" si="3">IF($E5="","—",IFERROR(INT($E5)-WEEKDAY(INT($E5),3),"—"))</f>
        <v>46223</v>
      </c>
      <c r="L5" s="16" t="s">
        <v>84</v>
      </c>
      <c r="M5" s="16" t="s">
        <v>85</v>
      </c>
      <c r="N5" s="16" t="s">
        <v>86</v>
      </c>
      <c r="O5" s="25" t="s">
        <v>87</v>
      </c>
    </row>
    <row r="6" spans="1:15" ht="26" x14ac:dyDescent="0.2">
      <c r="A6" s="14">
        <f t="shared" si="0"/>
        <v>2</v>
      </c>
      <c r="B6" s="27" t="s">
        <v>61</v>
      </c>
      <c r="C6" s="24" t="str">
        <f>IF($B6="","",IF(COUNTIF(Projects!$C$5:$C$64,SUBSTITUTE(SUBSTITUTE(SUBSTITUTE($B6,"~","~~"),"*","~*"),"?","~?"))&gt;0,"✓","not in Projects"))</f>
        <v>✓</v>
      </c>
      <c r="D6" s="27" t="s">
        <v>88</v>
      </c>
      <c r="E6" s="28">
        <f ca="1">TODAY()+11</f>
        <v>46243</v>
      </c>
      <c r="F6" s="27" t="s">
        <v>89</v>
      </c>
      <c r="G6" s="30">
        <v>12</v>
      </c>
      <c r="H6" s="30"/>
      <c r="I6" s="22">
        <f t="shared" si="1"/>
        <v>12</v>
      </c>
      <c r="J6" s="18">
        <f t="shared" ca="1" si="2"/>
        <v>11</v>
      </c>
      <c r="K6" s="32">
        <f t="shared" ca="1" si="3"/>
        <v>46237</v>
      </c>
      <c r="L6" s="27" t="s">
        <v>84</v>
      </c>
      <c r="M6" s="27" t="s">
        <v>90</v>
      </c>
      <c r="N6" s="27" t="s">
        <v>86</v>
      </c>
      <c r="O6" s="31" t="s">
        <v>91</v>
      </c>
    </row>
    <row r="7" spans="1:15" ht="16" x14ac:dyDescent="0.2">
      <c r="A7" s="14">
        <f t="shared" si="0"/>
        <v>3</v>
      </c>
      <c r="B7" s="16" t="s">
        <v>65</v>
      </c>
      <c r="C7" s="24" t="str">
        <f>IF($B7="","",IF(COUNTIF(Projects!$C$5:$C$64,SUBSTITUTE(SUBSTITUTE(SUBSTITUTE($B7,"~","~~"),"*","~*"),"?","~?"))&gt;0,"✓","not in Projects"))</f>
        <v>✓</v>
      </c>
      <c r="D7" s="16" t="s">
        <v>92</v>
      </c>
      <c r="E7" s="17">
        <f ca="1">TODAY()+5</f>
        <v>46237</v>
      </c>
      <c r="F7" s="16" t="s">
        <v>63</v>
      </c>
      <c r="G7" s="21">
        <v>10</v>
      </c>
      <c r="H7" s="21">
        <v>2</v>
      </c>
      <c r="I7" s="22">
        <f t="shared" si="1"/>
        <v>8</v>
      </c>
      <c r="J7" s="18">
        <f t="shared" ca="1" si="2"/>
        <v>5</v>
      </c>
      <c r="K7" s="32">
        <f t="shared" ca="1" si="3"/>
        <v>46237</v>
      </c>
      <c r="L7" s="16" t="s">
        <v>84</v>
      </c>
      <c r="M7" s="16" t="s">
        <v>85</v>
      </c>
      <c r="N7" s="16" t="s">
        <v>41</v>
      </c>
      <c r="O7" s="25" t="s">
        <v>93</v>
      </c>
    </row>
    <row r="8" spans="1:15" ht="39" x14ac:dyDescent="0.2">
      <c r="A8" s="14">
        <f t="shared" si="0"/>
        <v>4</v>
      </c>
      <c r="B8" s="27" t="s">
        <v>69</v>
      </c>
      <c r="C8" s="24" t="str">
        <f>IF($B8="","",IF(COUNTIF(Projects!$C$5:$C$64,SUBSTITUTE(SUBSTITUTE(SUBSTITUTE($B8,"~","~~"),"*","~*"),"?","~?"))&gt;0,"✓","not in Projects"))</f>
        <v>✓</v>
      </c>
      <c r="D8" s="27" t="s">
        <v>94</v>
      </c>
      <c r="E8" s="28">
        <f ca="1">TODAY()-9</f>
        <v>46223</v>
      </c>
      <c r="F8" s="27" t="s">
        <v>95</v>
      </c>
      <c r="G8" s="30">
        <v>6</v>
      </c>
      <c r="H8" s="30">
        <v>6</v>
      </c>
      <c r="I8" s="22" t="str">
        <f t="shared" si="1"/>
        <v>—</v>
      </c>
      <c r="J8" s="18" t="str">
        <f t="shared" ca="1" si="2"/>
        <v>—</v>
      </c>
      <c r="K8" s="32">
        <f t="shared" ca="1" si="3"/>
        <v>46223</v>
      </c>
      <c r="L8" s="27" t="s">
        <v>84</v>
      </c>
      <c r="M8" s="27" t="s">
        <v>90</v>
      </c>
      <c r="N8" s="27" t="s">
        <v>41</v>
      </c>
      <c r="O8" s="31" t="s">
        <v>96</v>
      </c>
    </row>
    <row r="9" spans="1:15" ht="16" x14ac:dyDescent="0.2">
      <c r="A9" s="14">
        <f t="shared" si="0"/>
        <v>5</v>
      </c>
      <c r="B9" s="16" t="s">
        <v>69</v>
      </c>
      <c r="C9" s="24" t="str">
        <f>IF($B9="","",IF(COUNTIF(Projects!$C$5:$C$64,SUBSTITUTE(SUBSTITUTE(SUBSTITUTE($B9,"~","~~"),"*","~*"),"?","~?"))&gt;0,"✓","not in Projects"))</f>
        <v>✓</v>
      </c>
      <c r="D9" s="16" t="s">
        <v>97</v>
      </c>
      <c r="E9" s="17">
        <f ca="1">TODAY()+18</f>
        <v>46250</v>
      </c>
      <c r="F9" s="16" t="s">
        <v>89</v>
      </c>
      <c r="G9" s="21">
        <v>9</v>
      </c>
      <c r="H9" s="21"/>
      <c r="I9" s="22">
        <f t="shared" si="1"/>
        <v>9</v>
      </c>
      <c r="J9" s="18">
        <f t="shared" ca="1" si="2"/>
        <v>18</v>
      </c>
      <c r="K9" s="32">
        <f t="shared" ca="1" si="3"/>
        <v>46244</v>
      </c>
      <c r="L9" s="16" t="s">
        <v>84</v>
      </c>
      <c r="M9" s="16" t="s">
        <v>90</v>
      </c>
      <c r="N9" s="16" t="s">
        <v>86</v>
      </c>
      <c r="O9" s="25" t="s">
        <v>93</v>
      </c>
    </row>
    <row r="10" spans="1:15" ht="16" x14ac:dyDescent="0.2">
      <c r="A10" s="14" t="str">
        <f t="shared" si="0"/>
        <v/>
      </c>
      <c r="B10" s="27"/>
      <c r="C10" s="24" t="str">
        <f>IF($B10="","",IF(COUNTIF(Projects!$C$5:$C$64,SUBSTITUTE(SUBSTITUTE(SUBSTITUTE($B10,"~","~~"),"*","~*"),"?","~?"))&gt;0,"✓","not in Projects"))</f>
        <v/>
      </c>
      <c r="D10" s="27"/>
      <c r="E10" s="28"/>
      <c r="F10" s="27"/>
      <c r="G10" s="30"/>
      <c r="H10" s="30"/>
      <c r="I10" s="22" t="str">
        <f t="shared" si="1"/>
        <v>—</v>
      </c>
      <c r="J10" s="18" t="str">
        <f t="shared" ca="1" si="2"/>
        <v>—</v>
      </c>
      <c r="K10" s="32" t="str">
        <f t="shared" si="3"/>
        <v>—</v>
      </c>
      <c r="L10" s="27"/>
      <c r="M10" s="27"/>
      <c r="N10" s="27"/>
      <c r="O10" s="27"/>
    </row>
    <row r="11" spans="1:15" ht="16" x14ac:dyDescent="0.2">
      <c r="A11" s="14" t="str">
        <f t="shared" si="0"/>
        <v/>
      </c>
      <c r="B11" s="16"/>
      <c r="C11" s="24" t="str">
        <f>IF($B11="","",IF(COUNTIF(Projects!$C$5:$C$64,SUBSTITUTE(SUBSTITUTE(SUBSTITUTE($B11,"~","~~"),"*","~*"),"?","~?"))&gt;0,"✓","not in Projects"))</f>
        <v/>
      </c>
      <c r="D11" s="16"/>
      <c r="E11" s="17"/>
      <c r="F11" s="16"/>
      <c r="G11" s="21"/>
      <c r="H11" s="21"/>
      <c r="I11" s="22" t="str">
        <f t="shared" si="1"/>
        <v>—</v>
      </c>
      <c r="J11" s="18" t="str">
        <f t="shared" ca="1" si="2"/>
        <v>—</v>
      </c>
      <c r="K11" s="32" t="str">
        <f t="shared" si="3"/>
        <v>—</v>
      </c>
      <c r="L11" s="16"/>
      <c r="M11" s="16"/>
      <c r="N11" s="16"/>
      <c r="O11" s="16"/>
    </row>
    <row r="12" spans="1:15" ht="16" x14ac:dyDescent="0.2">
      <c r="A12" s="14" t="str">
        <f t="shared" si="0"/>
        <v/>
      </c>
      <c r="B12" s="27"/>
      <c r="C12" s="24" t="str">
        <f>IF($B12="","",IF(COUNTIF(Projects!$C$5:$C$64,SUBSTITUTE(SUBSTITUTE(SUBSTITUTE($B12,"~","~~"),"*","~*"),"?","~?"))&gt;0,"✓","not in Projects"))</f>
        <v/>
      </c>
      <c r="D12" s="27"/>
      <c r="E12" s="28"/>
      <c r="F12" s="27"/>
      <c r="G12" s="30"/>
      <c r="H12" s="30"/>
      <c r="I12" s="22" t="str">
        <f t="shared" si="1"/>
        <v>—</v>
      </c>
      <c r="J12" s="18" t="str">
        <f t="shared" ca="1" si="2"/>
        <v>—</v>
      </c>
      <c r="K12" s="32" t="str">
        <f t="shared" si="3"/>
        <v>—</v>
      </c>
      <c r="L12" s="27"/>
      <c r="M12" s="27"/>
      <c r="N12" s="27"/>
      <c r="O12" s="27"/>
    </row>
    <row r="13" spans="1:15" ht="16" x14ac:dyDescent="0.2">
      <c r="A13" s="14" t="str">
        <f t="shared" si="0"/>
        <v/>
      </c>
      <c r="B13" s="16"/>
      <c r="C13" s="24" t="str">
        <f>IF($B13="","",IF(COUNTIF(Projects!$C$5:$C$64,SUBSTITUTE(SUBSTITUTE(SUBSTITUTE($B13,"~","~~"),"*","~*"),"?","~?"))&gt;0,"✓","not in Projects"))</f>
        <v/>
      </c>
      <c r="D13" s="16"/>
      <c r="E13" s="17"/>
      <c r="F13" s="16"/>
      <c r="G13" s="21"/>
      <c r="H13" s="21"/>
      <c r="I13" s="22" t="str">
        <f t="shared" si="1"/>
        <v>—</v>
      </c>
      <c r="J13" s="18" t="str">
        <f t="shared" ca="1" si="2"/>
        <v>—</v>
      </c>
      <c r="K13" s="32" t="str">
        <f t="shared" si="3"/>
        <v>—</v>
      </c>
      <c r="L13" s="16"/>
      <c r="M13" s="16"/>
      <c r="N13" s="16"/>
      <c r="O13" s="16"/>
    </row>
    <row r="14" spans="1:15" ht="16" x14ac:dyDescent="0.2">
      <c r="A14" s="14" t="str">
        <f t="shared" si="0"/>
        <v/>
      </c>
      <c r="B14" s="27"/>
      <c r="C14" s="24" t="str">
        <f>IF($B14="","",IF(COUNTIF(Projects!$C$5:$C$64,SUBSTITUTE(SUBSTITUTE(SUBSTITUTE($B14,"~","~~"),"*","~*"),"?","~?"))&gt;0,"✓","not in Projects"))</f>
        <v/>
      </c>
      <c r="D14" s="27"/>
      <c r="E14" s="28"/>
      <c r="F14" s="27"/>
      <c r="G14" s="30"/>
      <c r="H14" s="30"/>
      <c r="I14" s="22" t="str">
        <f t="shared" si="1"/>
        <v>—</v>
      </c>
      <c r="J14" s="18" t="str">
        <f t="shared" ca="1" si="2"/>
        <v>—</v>
      </c>
      <c r="K14" s="32" t="str">
        <f t="shared" si="3"/>
        <v>—</v>
      </c>
      <c r="L14" s="27"/>
      <c r="M14" s="27"/>
      <c r="N14" s="27"/>
      <c r="O14" s="27"/>
    </row>
    <row r="15" spans="1:15" ht="16" x14ac:dyDescent="0.2">
      <c r="A15" s="14" t="str">
        <f t="shared" si="0"/>
        <v/>
      </c>
      <c r="B15" s="16"/>
      <c r="C15" s="24" t="str">
        <f>IF($B15="","",IF(COUNTIF(Projects!$C$5:$C$64,SUBSTITUTE(SUBSTITUTE(SUBSTITUTE($B15,"~","~~"),"*","~*"),"?","~?"))&gt;0,"✓","not in Projects"))</f>
        <v/>
      </c>
      <c r="D15" s="16"/>
      <c r="E15" s="17"/>
      <c r="F15" s="16"/>
      <c r="G15" s="21"/>
      <c r="H15" s="21"/>
      <c r="I15" s="22" t="str">
        <f t="shared" si="1"/>
        <v>—</v>
      </c>
      <c r="J15" s="18" t="str">
        <f t="shared" ca="1" si="2"/>
        <v>—</v>
      </c>
      <c r="K15" s="32" t="str">
        <f t="shared" si="3"/>
        <v>—</v>
      </c>
      <c r="L15" s="16"/>
      <c r="M15" s="16"/>
      <c r="N15" s="16"/>
      <c r="O15" s="16"/>
    </row>
    <row r="16" spans="1:15" ht="16" x14ac:dyDescent="0.2">
      <c r="A16" s="14" t="str">
        <f t="shared" si="0"/>
        <v/>
      </c>
      <c r="B16" s="27"/>
      <c r="C16" s="24" t="str">
        <f>IF($B16="","",IF(COUNTIF(Projects!$C$5:$C$64,SUBSTITUTE(SUBSTITUTE(SUBSTITUTE($B16,"~","~~"),"*","~*"),"?","~?"))&gt;0,"✓","not in Projects"))</f>
        <v/>
      </c>
      <c r="D16" s="27"/>
      <c r="E16" s="28"/>
      <c r="F16" s="27"/>
      <c r="G16" s="30"/>
      <c r="H16" s="30"/>
      <c r="I16" s="22" t="str">
        <f t="shared" si="1"/>
        <v>—</v>
      </c>
      <c r="J16" s="18" t="str">
        <f t="shared" ca="1" si="2"/>
        <v>—</v>
      </c>
      <c r="K16" s="32" t="str">
        <f t="shared" si="3"/>
        <v>—</v>
      </c>
      <c r="L16" s="27"/>
      <c r="M16" s="27"/>
      <c r="N16" s="27"/>
      <c r="O16" s="27"/>
    </row>
    <row r="17" spans="1:15" ht="16" x14ac:dyDescent="0.2">
      <c r="A17" s="14" t="str">
        <f t="shared" si="0"/>
        <v/>
      </c>
      <c r="B17" s="16"/>
      <c r="C17" s="24" t="str">
        <f>IF($B17="","",IF(COUNTIF(Projects!$C$5:$C$64,SUBSTITUTE(SUBSTITUTE(SUBSTITUTE($B17,"~","~~"),"*","~*"),"?","~?"))&gt;0,"✓","not in Projects"))</f>
        <v/>
      </c>
      <c r="D17" s="16"/>
      <c r="E17" s="17"/>
      <c r="F17" s="16"/>
      <c r="G17" s="21"/>
      <c r="H17" s="21"/>
      <c r="I17" s="22" t="str">
        <f t="shared" si="1"/>
        <v>—</v>
      </c>
      <c r="J17" s="18" t="str">
        <f t="shared" ca="1" si="2"/>
        <v>—</v>
      </c>
      <c r="K17" s="32" t="str">
        <f t="shared" si="3"/>
        <v>—</v>
      </c>
      <c r="L17" s="16"/>
      <c r="M17" s="16"/>
      <c r="N17" s="16"/>
      <c r="O17" s="16"/>
    </row>
    <row r="18" spans="1:15" ht="16" x14ac:dyDescent="0.2">
      <c r="A18" s="14" t="str">
        <f t="shared" si="0"/>
        <v/>
      </c>
      <c r="B18" s="27"/>
      <c r="C18" s="24" t="str">
        <f>IF($B18="","",IF(COUNTIF(Projects!$C$5:$C$64,SUBSTITUTE(SUBSTITUTE(SUBSTITUTE($B18,"~","~~"),"*","~*"),"?","~?"))&gt;0,"✓","not in Projects"))</f>
        <v/>
      </c>
      <c r="D18" s="27"/>
      <c r="E18" s="28"/>
      <c r="F18" s="27"/>
      <c r="G18" s="30"/>
      <c r="H18" s="30"/>
      <c r="I18" s="22" t="str">
        <f t="shared" si="1"/>
        <v>—</v>
      </c>
      <c r="J18" s="18" t="str">
        <f t="shared" ca="1" si="2"/>
        <v>—</v>
      </c>
      <c r="K18" s="32" t="str">
        <f t="shared" si="3"/>
        <v>—</v>
      </c>
      <c r="L18" s="27"/>
      <c r="M18" s="27"/>
      <c r="N18" s="27"/>
      <c r="O18" s="27"/>
    </row>
    <row r="19" spans="1:15" ht="16" x14ac:dyDescent="0.2">
      <c r="A19" s="14" t="str">
        <f t="shared" si="0"/>
        <v/>
      </c>
      <c r="B19" s="16"/>
      <c r="C19" s="24" t="str">
        <f>IF($B19="","",IF(COUNTIF(Projects!$C$5:$C$64,SUBSTITUTE(SUBSTITUTE(SUBSTITUTE($B19,"~","~~"),"*","~*"),"?","~?"))&gt;0,"✓","not in Projects"))</f>
        <v/>
      </c>
      <c r="D19" s="16"/>
      <c r="E19" s="17"/>
      <c r="F19" s="16"/>
      <c r="G19" s="21"/>
      <c r="H19" s="21"/>
      <c r="I19" s="22" t="str">
        <f t="shared" si="1"/>
        <v>—</v>
      </c>
      <c r="J19" s="18" t="str">
        <f t="shared" ca="1" si="2"/>
        <v>—</v>
      </c>
      <c r="K19" s="32" t="str">
        <f t="shared" si="3"/>
        <v>—</v>
      </c>
      <c r="L19" s="16"/>
      <c r="M19" s="16"/>
      <c r="N19" s="16"/>
      <c r="O19" s="16"/>
    </row>
    <row r="20" spans="1:15" ht="16" x14ac:dyDescent="0.2">
      <c r="A20" s="14" t="str">
        <f t="shared" si="0"/>
        <v/>
      </c>
      <c r="B20" s="27"/>
      <c r="C20" s="24" t="str">
        <f>IF($B20="","",IF(COUNTIF(Projects!$C$5:$C$64,SUBSTITUTE(SUBSTITUTE(SUBSTITUTE($B20,"~","~~"),"*","~*"),"?","~?"))&gt;0,"✓","not in Projects"))</f>
        <v/>
      </c>
      <c r="D20" s="27"/>
      <c r="E20" s="28"/>
      <c r="F20" s="27"/>
      <c r="G20" s="30"/>
      <c r="H20" s="30"/>
      <c r="I20" s="22" t="str">
        <f t="shared" si="1"/>
        <v>—</v>
      </c>
      <c r="J20" s="18" t="str">
        <f t="shared" ca="1" si="2"/>
        <v>—</v>
      </c>
      <c r="K20" s="32" t="str">
        <f t="shared" si="3"/>
        <v>—</v>
      </c>
      <c r="L20" s="27"/>
      <c r="M20" s="27"/>
      <c r="N20" s="27"/>
      <c r="O20" s="27"/>
    </row>
    <row r="21" spans="1:15" ht="16" x14ac:dyDescent="0.2">
      <c r="A21" s="14" t="str">
        <f t="shared" si="0"/>
        <v/>
      </c>
      <c r="B21" s="16"/>
      <c r="C21" s="24" t="str">
        <f>IF($B21="","",IF(COUNTIF(Projects!$C$5:$C$64,SUBSTITUTE(SUBSTITUTE(SUBSTITUTE($B21,"~","~~"),"*","~*"),"?","~?"))&gt;0,"✓","not in Projects"))</f>
        <v/>
      </c>
      <c r="D21" s="16"/>
      <c r="E21" s="17"/>
      <c r="F21" s="16"/>
      <c r="G21" s="21"/>
      <c r="H21" s="21"/>
      <c r="I21" s="22" t="str">
        <f t="shared" si="1"/>
        <v>—</v>
      </c>
      <c r="J21" s="18" t="str">
        <f t="shared" ca="1" si="2"/>
        <v>—</v>
      </c>
      <c r="K21" s="32" t="str">
        <f t="shared" si="3"/>
        <v>—</v>
      </c>
      <c r="L21" s="16"/>
      <c r="M21" s="16"/>
      <c r="N21" s="16"/>
      <c r="O21" s="16"/>
    </row>
    <row r="22" spans="1:15" ht="16" x14ac:dyDescent="0.2">
      <c r="A22" s="14" t="str">
        <f t="shared" si="0"/>
        <v/>
      </c>
      <c r="B22" s="27"/>
      <c r="C22" s="24" t="str">
        <f>IF($B22="","",IF(COUNTIF(Projects!$C$5:$C$64,SUBSTITUTE(SUBSTITUTE(SUBSTITUTE($B22,"~","~~"),"*","~*"),"?","~?"))&gt;0,"✓","not in Projects"))</f>
        <v/>
      </c>
      <c r="D22" s="27"/>
      <c r="E22" s="28"/>
      <c r="F22" s="27"/>
      <c r="G22" s="30"/>
      <c r="H22" s="30"/>
      <c r="I22" s="22" t="str">
        <f t="shared" si="1"/>
        <v>—</v>
      </c>
      <c r="J22" s="18" t="str">
        <f t="shared" ca="1" si="2"/>
        <v>—</v>
      </c>
      <c r="K22" s="32" t="str">
        <f t="shared" si="3"/>
        <v>—</v>
      </c>
      <c r="L22" s="27"/>
      <c r="M22" s="27"/>
      <c r="N22" s="27"/>
      <c r="O22" s="27"/>
    </row>
    <row r="23" spans="1:15" ht="16" x14ac:dyDescent="0.2">
      <c r="A23" s="14" t="str">
        <f t="shared" si="0"/>
        <v/>
      </c>
      <c r="B23" s="16"/>
      <c r="C23" s="24" t="str">
        <f>IF($B23="","",IF(COUNTIF(Projects!$C$5:$C$64,SUBSTITUTE(SUBSTITUTE(SUBSTITUTE($B23,"~","~~"),"*","~*"),"?","~?"))&gt;0,"✓","not in Projects"))</f>
        <v/>
      </c>
      <c r="D23" s="16"/>
      <c r="E23" s="17"/>
      <c r="F23" s="16"/>
      <c r="G23" s="21"/>
      <c r="H23" s="21"/>
      <c r="I23" s="22" t="str">
        <f t="shared" si="1"/>
        <v>—</v>
      </c>
      <c r="J23" s="18" t="str">
        <f t="shared" ca="1" si="2"/>
        <v>—</v>
      </c>
      <c r="K23" s="32" t="str">
        <f t="shared" si="3"/>
        <v>—</v>
      </c>
      <c r="L23" s="16"/>
      <c r="M23" s="16"/>
      <c r="N23" s="16"/>
      <c r="O23" s="16"/>
    </row>
    <row r="24" spans="1:15" ht="16" x14ac:dyDescent="0.2">
      <c r="A24" s="14" t="str">
        <f t="shared" si="0"/>
        <v/>
      </c>
      <c r="B24" s="27"/>
      <c r="C24" s="24" t="str">
        <f>IF($B24="","",IF(COUNTIF(Projects!$C$5:$C$64,SUBSTITUTE(SUBSTITUTE(SUBSTITUTE($B24,"~","~~"),"*","~*"),"?","~?"))&gt;0,"✓","not in Projects"))</f>
        <v/>
      </c>
      <c r="D24" s="27"/>
      <c r="E24" s="28"/>
      <c r="F24" s="27"/>
      <c r="G24" s="30"/>
      <c r="H24" s="30"/>
      <c r="I24" s="22" t="str">
        <f t="shared" si="1"/>
        <v>—</v>
      </c>
      <c r="J24" s="18" t="str">
        <f t="shared" ca="1" si="2"/>
        <v>—</v>
      </c>
      <c r="K24" s="32" t="str">
        <f t="shared" si="3"/>
        <v>—</v>
      </c>
      <c r="L24" s="27"/>
      <c r="M24" s="27"/>
      <c r="N24" s="27"/>
      <c r="O24" s="27"/>
    </row>
    <row r="25" spans="1:15" ht="16" x14ac:dyDescent="0.2">
      <c r="A25" s="14" t="str">
        <f t="shared" si="0"/>
        <v/>
      </c>
      <c r="B25" s="16"/>
      <c r="C25" s="24" t="str">
        <f>IF($B25="","",IF(COUNTIF(Projects!$C$5:$C$64,SUBSTITUTE(SUBSTITUTE(SUBSTITUTE($B25,"~","~~"),"*","~*"),"?","~?"))&gt;0,"✓","not in Projects"))</f>
        <v/>
      </c>
      <c r="D25" s="16"/>
      <c r="E25" s="17"/>
      <c r="F25" s="16"/>
      <c r="G25" s="21"/>
      <c r="H25" s="21"/>
      <c r="I25" s="22" t="str">
        <f t="shared" si="1"/>
        <v>—</v>
      </c>
      <c r="J25" s="18" t="str">
        <f t="shared" ca="1" si="2"/>
        <v>—</v>
      </c>
      <c r="K25" s="32" t="str">
        <f t="shared" si="3"/>
        <v>—</v>
      </c>
      <c r="L25" s="16"/>
      <c r="M25" s="16"/>
      <c r="N25" s="16"/>
      <c r="O25" s="16"/>
    </row>
    <row r="26" spans="1:15" ht="16" x14ac:dyDescent="0.2">
      <c r="A26" s="14" t="str">
        <f t="shared" si="0"/>
        <v/>
      </c>
      <c r="B26" s="27"/>
      <c r="C26" s="24" t="str">
        <f>IF($B26="","",IF(COUNTIF(Projects!$C$5:$C$64,SUBSTITUTE(SUBSTITUTE(SUBSTITUTE($B26,"~","~~"),"*","~*"),"?","~?"))&gt;0,"✓","not in Projects"))</f>
        <v/>
      </c>
      <c r="D26" s="27"/>
      <c r="E26" s="28"/>
      <c r="F26" s="27"/>
      <c r="G26" s="30"/>
      <c r="H26" s="30"/>
      <c r="I26" s="22" t="str">
        <f t="shared" si="1"/>
        <v>—</v>
      </c>
      <c r="J26" s="18" t="str">
        <f t="shared" ca="1" si="2"/>
        <v>—</v>
      </c>
      <c r="K26" s="32" t="str">
        <f t="shared" si="3"/>
        <v>—</v>
      </c>
      <c r="L26" s="27"/>
      <c r="M26" s="27"/>
      <c r="N26" s="27"/>
      <c r="O26" s="27"/>
    </row>
    <row r="27" spans="1:15" ht="16" x14ac:dyDescent="0.2">
      <c r="A27" s="14" t="str">
        <f t="shared" si="0"/>
        <v/>
      </c>
      <c r="B27" s="16"/>
      <c r="C27" s="24" t="str">
        <f>IF($B27="","",IF(COUNTIF(Projects!$C$5:$C$64,SUBSTITUTE(SUBSTITUTE(SUBSTITUTE($B27,"~","~~"),"*","~*"),"?","~?"))&gt;0,"✓","not in Projects"))</f>
        <v/>
      </c>
      <c r="D27" s="16"/>
      <c r="E27" s="17"/>
      <c r="F27" s="16"/>
      <c r="G27" s="21"/>
      <c r="H27" s="21"/>
      <c r="I27" s="22" t="str">
        <f t="shared" si="1"/>
        <v>—</v>
      </c>
      <c r="J27" s="18" t="str">
        <f t="shared" ca="1" si="2"/>
        <v>—</v>
      </c>
      <c r="K27" s="32" t="str">
        <f t="shared" si="3"/>
        <v>—</v>
      </c>
      <c r="L27" s="16"/>
      <c r="M27" s="16"/>
      <c r="N27" s="16"/>
      <c r="O27" s="16"/>
    </row>
    <row r="28" spans="1:15" ht="16" x14ac:dyDescent="0.2">
      <c r="A28" s="14" t="str">
        <f t="shared" si="0"/>
        <v/>
      </c>
      <c r="B28" s="27"/>
      <c r="C28" s="24" t="str">
        <f>IF($B28="","",IF(COUNTIF(Projects!$C$5:$C$64,SUBSTITUTE(SUBSTITUTE(SUBSTITUTE($B28,"~","~~"),"*","~*"),"?","~?"))&gt;0,"✓","not in Projects"))</f>
        <v/>
      </c>
      <c r="D28" s="27"/>
      <c r="E28" s="28"/>
      <c r="F28" s="27"/>
      <c r="G28" s="30"/>
      <c r="H28" s="30"/>
      <c r="I28" s="22" t="str">
        <f t="shared" si="1"/>
        <v>—</v>
      </c>
      <c r="J28" s="18" t="str">
        <f t="shared" ca="1" si="2"/>
        <v>—</v>
      </c>
      <c r="K28" s="32" t="str">
        <f t="shared" si="3"/>
        <v>—</v>
      </c>
      <c r="L28" s="27"/>
      <c r="M28" s="27"/>
      <c r="N28" s="27"/>
      <c r="O28" s="27"/>
    </row>
    <row r="29" spans="1:15" ht="16" x14ac:dyDescent="0.2">
      <c r="A29" s="14" t="str">
        <f t="shared" si="0"/>
        <v/>
      </c>
      <c r="B29" s="16"/>
      <c r="C29" s="24" t="str">
        <f>IF($B29="","",IF(COUNTIF(Projects!$C$5:$C$64,SUBSTITUTE(SUBSTITUTE(SUBSTITUTE($B29,"~","~~"),"*","~*"),"?","~?"))&gt;0,"✓","not in Projects"))</f>
        <v/>
      </c>
      <c r="D29" s="16"/>
      <c r="E29" s="17"/>
      <c r="F29" s="16"/>
      <c r="G29" s="21"/>
      <c r="H29" s="21"/>
      <c r="I29" s="22" t="str">
        <f t="shared" si="1"/>
        <v>—</v>
      </c>
      <c r="J29" s="18" t="str">
        <f t="shared" ca="1" si="2"/>
        <v>—</v>
      </c>
      <c r="K29" s="32" t="str">
        <f t="shared" si="3"/>
        <v>—</v>
      </c>
      <c r="L29" s="16"/>
      <c r="M29" s="16"/>
      <c r="N29" s="16"/>
      <c r="O29" s="16"/>
    </row>
    <row r="30" spans="1:15" ht="16" x14ac:dyDescent="0.2">
      <c r="A30" s="14" t="str">
        <f t="shared" si="0"/>
        <v/>
      </c>
      <c r="B30" s="27"/>
      <c r="C30" s="24" t="str">
        <f>IF($B30="","",IF(COUNTIF(Projects!$C$5:$C$64,SUBSTITUTE(SUBSTITUTE(SUBSTITUTE($B30,"~","~~"),"*","~*"),"?","~?"))&gt;0,"✓","not in Projects"))</f>
        <v/>
      </c>
      <c r="D30" s="27"/>
      <c r="E30" s="28"/>
      <c r="F30" s="27"/>
      <c r="G30" s="30"/>
      <c r="H30" s="30"/>
      <c r="I30" s="22" t="str">
        <f t="shared" si="1"/>
        <v>—</v>
      </c>
      <c r="J30" s="18" t="str">
        <f t="shared" ca="1" si="2"/>
        <v>—</v>
      </c>
      <c r="K30" s="32" t="str">
        <f t="shared" si="3"/>
        <v>—</v>
      </c>
      <c r="L30" s="27"/>
      <c r="M30" s="27"/>
      <c r="N30" s="27"/>
      <c r="O30" s="27"/>
    </row>
    <row r="31" spans="1:15" ht="16" x14ac:dyDescent="0.2">
      <c r="A31" s="14" t="str">
        <f t="shared" si="0"/>
        <v/>
      </c>
      <c r="B31" s="16"/>
      <c r="C31" s="24" t="str">
        <f>IF($B31="","",IF(COUNTIF(Projects!$C$5:$C$64,SUBSTITUTE(SUBSTITUTE(SUBSTITUTE($B31,"~","~~"),"*","~*"),"?","~?"))&gt;0,"✓","not in Projects"))</f>
        <v/>
      </c>
      <c r="D31" s="16"/>
      <c r="E31" s="17"/>
      <c r="F31" s="16"/>
      <c r="G31" s="21"/>
      <c r="H31" s="21"/>
      <c r="I31" s="22" t="str">
        <f t="shared" si="1"/>
        <v>—</v>
      </c>
      <c r="J31" s="18" t="str">
        <f t="shared" ca="1" si="2"/>
        <v>—</v>
      </c>
      <c r="K31" s="32" t="str">
        <f t="shared" si="3"/>
        <v>—</v>
      </c>
      <c r="L31" s="16"/>
      <c r="M31" s="16"/>
      <c r="N31" s="16"/>
      <c r="O31" s="16"/>
    </row>
    <row r="32" spans="1:15" ht="16" x14ac:dyDescent="0.2">
      <c r="A32" s="14" t="str">
        <f t="shared" si="0"/>
        <v/>
      </c>
      <c r="B32" s="27"/>
      <c r="C32" s="24" t="str">
        <f>IF($B32="","",IF(COUNTIF(Projects!$C$5:$C$64,SUBSTITUTE(SUBSTITUTE(SUBSTITUTE($B32,"~","~~"),"*","~*"),"?","~?"))&gt;0,"✓","not in Projects"))</f>
        <v/>
      </c>
      <c r="D32" s="27"/>
      <c r="E32" s="28"/>
      <c r="F32" s="27"/>
      <c r="G32" s="30"/>
      <c r="H32" s="30"/>
      <c r="I32" s="22" t="str">
        <f t="shared" si="1"/>
        <v>—</v>
      </c>
      <c r="J32" s="18" t="str">
        <f t="shared" ca="1" si="2"/>
        <v>—</v>
      </c>
      <c r="K32" s="32" t="str">
        <f t="shared" si="3"/>
        <v>—</v>
      </c>
      <c r="L32" s="27"/>
      <c r="M32" s="27"/>
      <c r="N32" s="27"/>
      <c r="O32" s="27"/>
    </row>
    <row r="33" spans="1:15" ht="16" x14ac:dyDescent="0.2">
      <c r="A33" s="14" t="str">
        <f t="shared" si="0"/>
        <v/>
      </c>
      <c r="B33" s="16"/>
      <c r="C33" s="24" t="str">
        <f>IF($B33="","",IF(COUNTIF(Projects!$C$5:$C$64,SUBSTITUTE(SUBSTITUTE(SUBSTITUTE($B33,"~","~~"),"*","~*"),"?","~?"))&gt;0,"✓","not in Projects"))</f>
        <v/>
      </c>
      <c r="D33" s="16"/>
      <c r="E33" s="17"/>
      <c r="F33" s="16"/>
      <c r="G33" s="21"/>
      <c r="H33" s="21"/>
      <c r="I33" s="22" t="str">
        <f t="shared" si="1"/>
        <v>—</v>
      </c>
      <c r="J33" s="18" t="str">
        <f t="shared" ca="1" si="2"/>
        <v>—</v>
      </c>
      <c r="K33" s="32" t="str">
        <f t="shared" si="3"/>
        <v>—</v>
      </c>
      <c r="L33" s="16"/>
      <c r="M33" s="16"/>
      <c r="N33" s="16"/>
      <c r="O33" s="16"/>
    </row>
    <row r="34" spans="1:15" ht="16" x14ac:dyDescent="0.2">
      <c r="A34" s="14" t="str">
        <f t="shared" si="0"/>
        <v/>
      </c>
      <c r="B34" s="27"/>
      <c r="C34" s="24" t="str">
        <f>IF($B34="","",IF(COUNTIF(Projects!$C$5:$C$64,SUBSTITUTE(SUBSTITUTE(SUBSTITUTE($B34,"~","~~"),"*","~*"),"?","~?"))&gt;0,"✓","not in Projects"))</f>
        <v/>
      </c>
      <c r="D34" s="27"/>
      <c r="E34" s="28"/>
      <c r="F34" s="27"/>
      <c r="G34" s="30"/>
      <c r="H34" s="30"/>
      <c r="I34" s="22" t="str">
        <f t="shared" si="1"/>
        <v>—</v>
      </c>
      <c r="J34" s="18" t="str">
        <f t="shared" ca="1" si="2"/>
        <v>—</v>
      </c>
      <c r="K34" s="32" t="str">
        <f t="shared" si="3"/>
        <v>—</v>
      </c>
      <c r="L34" s="27"/>
      <c r="M34" s="27"/>
      <c r="N34" s="27"/>
      <c r="O34" s="27"/>
    </row>
    <row r="35" spans="1:15" ht="16" x14ac:dyDescent="0.2">
      <c r="A35" s="14" t="str">
        <f t="shared" si="0"/>
        <v/>
      </c>
      <c r="B35" s="16"/>
      <c r="C35" s="24" t="str">
        <f>IF($B35="","",IF(COUNTIF(Projects!$C$5:$C$64,SUBSTITUTE(SUBSTITUTE(SUBSTITUTE($B35,"~","~~"),"*","~*"),"?","~?"))&gt;0,"✓","not in Projects"))</f>
        <v/>
      </c>
      <c r="D35" s="16"/>
      <c r="E35" s="17"/>
      <c r="F35" s="16"/>
      <c r="G35" s="21"/>
      <c r="H35" s="21"/>
      <c r="I35" s="22" t="str">
        <f t="shared" si="1"/>
        <v>—</v>
      </c>
      <c r="J35" s="18" t="str">
        <f t="shared" ca="1" si="2"/>
        <v>—</v>
      </c>
      <c r="K35" s="32" t="str">
        <f t="shared" si="3"/>
        <v>—</v>
      </c>
      <c r="L35" s="16"/>
      <c r="M35" s="16"/>
      <c r="N35" s="16"/>
      <c r="O35" s="16"/>
    </row>
    <row r="36" spans="1:15" ht="16" x14ac:dyDescent="0.2">
      <c r="A36" s="14" t="str">
        <f t="shared" si="0"/>
        <v/>
      </c>
      <c r="B36" s="27"/>
      <c r="C36" s="24" t="str">
        <f>IF($B36="","",IF(COUNTIF(Projects!$C$5:$C$64,SUBSTITUTE(SUBSTITUTE(SUBSTITUTE($B36,"~","~~"),"*","~*"),"?","~?"))&gt;0,"✓","not in Projects"))</f>
        <v/>
      </c>
      <c r="D36" s="27"/>
      <c r="E36" s="28"/>
      <c r="F36" s="27"/>
      <c r="G36" s="30"/>
      <c r="H36" s="30"/>
      <c r="I36" s="22" t="str">
        <f t="shared" si="1"/>
        <v>—</v>
      </c>
      <c r="J36" s="18" t="str">
        <f t="shared" ca="1" si="2"/>
        <v>—</v>
      </c>
      <c r="K36" s="32" t="str">
        <f t="shared" si="3"/>
        <v>—</v>
      </c>
      <c r="L36" s="27"/>
      <c r="M36" s="27"/>
      <c r="N36" s="27"/>
      <c r="O36" s="27"/>
    </row>
    <row r="37" spans="1:15" ht="16" x14ac:dyDescent="0.2">
      <c r="A37" s="14" t="str">
        <f t="shared" si="0"/>
        <v/>
      </c>
      <c r="B37" s="16"/>
      <c r="C37" s="24" t="str">
        <f>IF($B37="","",IF(COUNTIF(Projects!$C$5:$C$64,SUBSTITUTE(SUBSTITUTE(SUBSTITUTE($B37,"~","~~"),"*","~*"),"?","~?"))&gt;0,"✓","not in Projects"))</f>
        <v/>
      </c>
      <c r="D37" s="16"/>
      <c r="E37" s="17"/>
      <c r="F37" s="16"/>
      <c r="G37" s="21"/>
      <c r="H37" s="21"/>
      <c r="I37" s="22" t="str">
        <f t="shared" si="1"/>
        <v>—</v>
      </c>
      <c r="J37" s="18" t="str">
        <f t="shared" ca="1" si="2"/>
        <v>—</v>
      </c>
      <c r="K37" s="32" t="str">
        <f t="shared" si="3"/>
        <v>—</v>
      </c>
      <c r="L37" s="16"/>
      <c r="M37" s="16"/>
      <c r="N37" s="16"/>
      <c r="O37" s="16"/>
    </row>
    <row r="38" spans="1:15" ht="16" x14ac:dyDescent="0.2">
      <c r="A38" s="14" t="str">
        <f t="shared" si="0"/>
        <v/>
      </c>
      <c r="B38" s="27"/>
      <c r="C38" s="24" t="str">
        <f>IF($B38="","",IF(COUNTIF(Projects!$C$5:$C$64,SUBSTITUTE(SUBSTITUTE(SUBSTITUTE($B38,"~","~~"),"*","~*"),"?","~?"))&gt;0,"✓","not in Projects"))</f>
        <v/>
      </c>
      <c r="D38" s="27"/>
      <c r="E38" s="28"/>
      <c r="F38" s="27"/>
      <c r="G38" s="30"/>
      <c r="H38" s="30"/>
      <c r="I38" s="22" t="str">
        <f t="shared" si="1"/>
        <v>—</v>
      </c>
      <c r="J38" s="18" t="str">
        <f t="shared" ca="1" si="2"/>
        <v>—</v>
      </c>
      <c r="K38" s="32" t="str">
        <f t="shared" si="3"/>
        <v>—</v>
      </c>
      <c r="L38" s="27"/>
      <c r="M38" s="27"/>
      <c r="N38" s="27"/>
      <c r="O38" s="27"/>
    </row>
    <row r="39" spans="1:15" ht="16" x14ac:dyDescent="0.2">
      <c r="A39" s="14" t="str">
        <f t="shared" si="0"/>
        <v/>
      </c>
      <c r="B39" s="16"/>
      <c r="C39" s="24" t="str">
        <f>IF($B39="","",IF(COUNTIF(Projects!$C$5:$C$64,SUBSTITUTE(SUBSTITUTE(SUBSTITUTE($B39,"~","~~"),"*","~*"),"?","~?"))&gt;0,"✓","not in Projects"))</f>
        <v/>
      </c>
      <c r="D39" s="16"/>
      <c r="E39" s="17"/>
      <c r="F39" s="16"/>
      <c r="G39" s="21"/>
      <c r="H39" s="21"/>
      <c r="I39" s="22" t="str">
        <f t="shared" si="1"/>
        <v>—</v>
      </c>
      <c r="J39" s="18" t="str">
        <f t="shared" ca="1" si="2"/>
        <v>—</v>
      </c>
      <c r="K39" s="32" t="str">
        <f t="shared" si="3"/>
        <v>—</v>
      </c>
      <c r="L39" s="16"/>
      <c r="M39" s="16"/>
      <c r="N39" s="16"/>
      <c r="O39" s="16"/>
    </row>
    <row r="40" spans="1:15" ht="16" x14ac:dyDescent="0.2">
      <c r="A40" s="14" t="str">
        <f t="shared" si="0"/>
        <v/>
      </c>
      <c r="B40" s="27"/>
      <c r="C40" s="24" t="str">
        <f>IF($B40="","",IF(COUNTIF(Projects!$C$5:$C$64,SUBSTITUTE(SUBSTITUTE(SUBSTITUTE($B40,"~","~~"),"*","~*"),"?","~?"))&gt;0,"✓","not in Projects"))</f>
        <v/>
      </c>
      <c r="D40" s="27"/>
      <c r="E40" s="28"/>
      <c r="F40" s="27"/>
      <c r="G40" s="30"/>
      <c r="H40" s="30"/>
      <c r="I40" s="22" t="str">
        <f t="shared" si="1"/>
        <v>—</v>
      </c>
      <c r="J40" s="18" t="str">
        <f t="shared" ca="1" si="2"/>
        <v>—</v>
      </c>
      <c r="K40" s="32" t="str">
        <f t="shared" si="3"/>
        <v>—</v>
      </c>
      <c r="L40" s="27"/>
      <c r="M40" s="27"/>
      <c r="N40" s="27"/>
      <c r="O40" s="27"/>
    </row>
    <row r="41" spans="1:15" ht="16" x14ac:dyDescent="0.2">
      <c r="A41" s="14" t="str">
        <f t="shared" si="0"/>
        <v/>
      </c>
      <c r="B41" s="16"/>
      <c r="C41" s="24" t="str">
        <f>IF($B41="","",IF(COUNTIF(Projects!$C$5:$C$64,SUBSTITUTE(SUBSTITUTE(SUBSTITUTE($B41,"~","~~"),"*","~*"),"?","~?"))&gt;0,"✓","not in Projects"))</f>
        <v/>
      </c>
      <c r="D41" s="16"/>
      <c r="E41" s="17"/>
      <c r="F41" s="16"/>
      <c r="G41" s="21"/>
      <c r="H41" s="21"/>
      <c r="I41" s="22" t="str">
        <f t="shared" si="1"/>
        <v>—</v>
      </c>
      <c r="J41" s="18" t="str">
        <f t="shared" ca="1" si="2"/>
        <v>—</v>
      </c>
      <c r="K41" s="32" t="str">
        <f t="shared" si="3"/>
        <v>—</v>
      </c>
      <c r="L41" s="16"/>
      <c r="M41" s="16"/>
      <c r="N41" s="16"/>
      <c r="O41" s="16"/>
    </row>
    <row r="42" spans="1:15" ht="16" x14ac:dyDescent="0.2">
      <c r="A42" s="14" t="str">
        <f t="shared" si="0"/>
        <v/>
      </c>
      <c r="B42" s="27"/>
      <c r="C42" s="24" t="str">
        <f>IF($B42="","",IF(COUNTIF(Projects!$C$5:$C$64,SUBSTITUTE(SUBSTITUTE(SUBSTITUTE($B42,"~","~~"),"*","~*"),"?","~?"))&gt;0,"✓","not in Projects"))</f>
        <v/>
      </c>
      <c r="D42" s="27"/>
      <c r="E42" s="28"/>
      <c r="F42" s="27"/>
      <c r="G42" s="30"/>
      <c r="H42" s="30"/>
      <c r="I42" s="22" t="str">
        <f t="shared" si="1"/>
        <v>—</v>
      </c>
      <c r="J42" s="18" t="str">
        <f t="shared" ca="1" si="2"/>
        <v>—</v>
      </c>
      <c r="K42" s="32" t="str">
        <f t="shared" si="3"/>
        <v>—</v>
      </c>
      <c r="L42" s="27"/>
      <c r="M42" s="27"/>
      <c r="N42" s="27"/>
      <c r="O42" s="27"/>
    </row>
    <row r="43" spans="1:15" ht="16" x14ac:dyDescent="0.2">
      <c r="A43" s="14" t="str">
        <f t="shared" si="0"/>
        <v/>
      </c>
      <c r="B43" s="16"/>
      <c r="C43" s="24" t="str">
        <f>IF($B43="","",IF(COUNTIF(Projects!$C$5:$C$64,SUBSTITUTE(SUBSTITUTE(SUBSTITUTE($B43,"~","~~"),"*","~*"),"?","~?"))&gt;0,"✓","not in Projects"))</f>
        <v/>
      </c>
      <c r="D43" s="16"/>
      <c r="E43" s="17"/>
      <c r="F43" s="16"/>
      <c r="G43" s="21"/>
      <c r="H43" s="21"/>
      <c r="I43" s="22" t="str">
        <f t="shared" si="1"/>
        <v>—</v>
      </c>
      <c r="J43" s="18" t="str">
        <f t="shared" ca="1" si="2"/>
        <v>—</v>
      </c>
      <c r="K43" s="32" t="str">
        <f t="shared" si="3"/>
        <v>—</v>
      </c>
      <c r="L43" s="16"/>
      <c r="M43" s="16"/>
      <c r="N43" s="16"/>
      <c r="O43" s="16"/>
    </row>
    <row r="44" spans="1:15" ht="16" x14ac:dyDescent="0.2">
      <c r="A44" s="14" t="str">
        <f t="shared" si="0"/>
        <v/>
      </c>
      <c r="B44" s="27"/>
      <c r="C44" s="24" t="str">
        <f>IF($B44="","",IF(COUNTIF(Projects!$C$5:$C$64,SUBSTITUTE(SUBSTITUTE(SUBSTITUTE($B44,"~","~~"),"*","~*"),"?","~?"))&gt;0,"✓","not in Projects"))</f>
        <v/>
      </c>
      <c r="D44" s="27"/>
      <c r="E44" s="28"/>
      <c r="F44" s="27"/>
      <c r="G44" s="30"/>
      <c r="H44" s="30"/>
      <c r="I44" s="22" t="str">
        <f t="shared" si="1"/>
        <v>—</v>
      </c>
      <c r="J44" s="18" t="str">
        <f t="shared" ca="1" si="2"/>
        <v>—</v>
      </c>
      <c r="K44" s="32" t="str">
        <f t="shared" si="3"/>
        <v>—</v>
      </c>
      <c r="L44" s="27"/>
      <c r="M44" s="27"/>
      <c r="N44" s="27"/>
      <c r="O44" s="27"/>
    </row>
    <row r="45" spans="1:15" ht="16" x14ac:dyDescent="0.2">
      <c r="A45" s="14" t="str">
        <f t="shared" si="0"/>
        <v/>
      </c>
      <c r="B45" s="16"/>
      <c r="C45" s="24" t="str">
        <f>IF($B45="","",IF(COUNTIF(Projects!$C$5:$C$64,SUBSTITUTE(SUBSTITUTE(SUBSTITUTE($B45,"~","~~"),"*","~*"),"?","~?"))&gt;0,"✓","not in Projects"))</f>
        <v/>
      </c>
      <c r="D45" s="16"/>
      <c r="E45" s="17"/>
      <c r="F45" s="16"/>
      <c r="G45" s="21"/>
      <c r="H45" s="21"/>
      <c r="I45" s="22" t="str">
        <f t="shared" si="1"/>
        <v>—</v>
      </c>
      <c r="J45" s="18" t="str">
        <f t="shared" ca="1" si="2"/>
        <v>—</v>
      </c>
      <c r="K45" s="32" t="str">
        <f t="shared" si="3"/>
        <v>—</v>
      </c>
      <c r="L45" s="16"/>
      <c r="M45" s="16"/>
      <c r="N45" s="16"/>
      <c r="O45" s="16"/>
    </row>
    <row r="46" spans="1:15" ht="16" x14ac:dyDescent="0.2">
      <c r="A46" s="14" t="str">
        <f t="shared" si="0"/>
        <v/>
      </c>
      <c r="B46" s="27"/>
      <c r="C46" s="24" t="str">
        <f>IF($B46="","",IF(COUNTIF(Projects!$C$5:$C$64,SUBSTITUTE(SUBSTITUTE(SUBSTITUTE($B46,"~","~~"),"*","~*"),"?","~?"))&gt;0,"✓","not in Projects"))</f>
        <v/>
      </c>
      <c r="D46" s="27"/>
      <c r="E46" s="28"/>
      <c r="F46" s="27"/>
      <c r="G46" s="30"/>
      <c r="H46" s="30"/>
      <c r="I46" s="22" t="str">
        <f t="shared" si="1"/>
        <v>—</v>
      </c>
      <c r="J46" s="18" t="str">
        <f t="shared" ca="1" si="2"/>
        <v>—</v>
      </c>
      <c r="K46" s="32" t="str">
        <f t="shared" si="3"/>
        <v>—</v>
      </c>
      <c r="L46" s="27"/>
      <c r="M46" s="27"/>
      <c r="N46" s="27"/>
      <c r="O46" s="27"/>
    </row>
    <row r="47" spans="1:15" ht="16" x14ac:dyDescent="0.2">
      <c r="A47" s="14" t="str">
        <f t="shared" si="0"/>
        <v/>
      </c>
      <c r="B47" s="16"/>
      <c r="C47" s="24" t="str">
        <f>IF($B47="","",IF(COUNTIF(Projects!$C$5:$C$64,SUBSTITUTE(SUBSTITUTE(SUBSTITUTE($B47,"~","~~"),"*","~*"),"?","~?"))&gt;0,"✓","not in Projects"))</f>
        <v/>
      </c>
      <c r="D47" s="16"/>
      <c r="E47" s="17"/>
      <c r="F47" s="16"/>
      <c r="G47" s="21"/>
      <c r="H47" s="21"/>
      <c r="I47" s="22" t="str">
        <f t="shared" si="1"/>
        <v>—</v>
      </c>
      <c r="J47" s="18" t="str">
        <f t="shared" ca="1" si="2"/>
        <v>—</v>
      </c>
      <c r="K47" s="32" t="str">
        <f t="shared" si="3"/>
        <v>—</v>
      </c>
      <c r="L47" s="16"/>
      <c r="M47" s="16"/>
      <c r="N47" s="16"/>
      <c r="O47" s="16"/>
    </row>
    <row r="48" spans="1:15" ht="16" x14ac:dyDescent="0.2">
      <c r="A48" s="14" t="str">
        <f t="shared" si="0"/>
        <v/>
      </c>
      <c r="B48" s="27"/>
      <c r="C48" s="24" t="str">
        <f>IF($B48="","",IF(COUNTIF(Projects!$C$5:$C$64,SUBSTITUTE(SUBSTITUTE(SUBSTITUTE($B48,"~","~~"),"*","~*"),"?","~?"))&gt;0,"✓","not in Projects"))</f>
        <v/>
      </c>
      <c r="D48" s="27"/>
      <c r="E48" s="28"/>
      <c r="F48" s="27"/>
      <c r="G48" s="30"/>
      <c r="H48" s="30"/>
      <c r="I48" s="22" t="str">
        <f t="shared" si="1"/>
        <v>—</v>
      </c>
      <c r="J48" s="18" t="str">
        <f t="shared" ca="1" si="2"/>
        <v>—</v>
      </c>
      <c r="K48" s="32" t="str">
        <f t="shared" si="3"/>
        <v>—</v>
      </c>
      <c r="L48" s="27"/>
      <c r="M48" s="27"/>
      <c r="N48" s="27"/>
      <c r="O48" s="27"/>
    </row>
    <row r="49" spans="1:15" ht="16" x14ac:dyDescent="0.2">
      <c r="A49" s="14" t="str">
        <f t="shared" si="0"/>
        <v/>
      </c>
      <c r="B49" s="16"/>
      <c r="C49" s="24" t="str">
        <f>IF($B49="","",IF(COUNTIF(Projects!$C$5:$C$64,SUBSTITUTE(SUBSTITUTE(SUBSTITUTE($B49,"~","~~"),"*","~*"),"?","~?"))&gt;0,"✓","not in Projects"))</f>
        <v/>
      </c>
      <c r="D49" s="16"/>
      <c r="E49" s="17"/>
      <c r="F49" s="16"/>
      <c r="G49" s="21"/>
      <c r="H49" s="21"/>
      <c r="I49" s="22" t="str">
        <f t="shared" si="1"/>
        <v>—</v>
      </c>
      <c r="J49" s="18" t="str">
        <f t="shared" ca="1" si="2"/>
        <v>—</v>
      </c>
      <c r="K49" s="32" t="str">
        <f t="shared" si="3"/>
        <v>—</v>
      </c>
      <c r="L49" s="16"/>
      <c r="M49" s="16"/>
      <c r="N49" s="16"/>
      <c r="O49" s="16"/>
    </row>
    <row r="50" spans="1:15" ht="16" x14ac:dyDescent="0.2">
      <c r="A50" s="14" t="str">
        <f t="shared" si="0"/>
        <v/>
      </c>
      <c r="B50" s="27"/>
      <c r="C50" s="24" t="str">
        <f>IF($B50="","",IF(COUNTIF(Projects!$C$5:$C$64,SUBSTITUTE(SUBSTITUTE(SUBSTITUTE($B50,"~","~~"),"*","~*"),"?","~?"))&gt;0,"✓","not in Projects"))</f>
        <v/>
      </c>
      <c r="D50" s="27"/>
      <c r="E50" s="28"/>
      <c r="F50" s="27"/>
      <c r="G50" s="30"/>
      <c r="H50" s="30"/>
      <c r="I50" s="22" t="str">
        <f t="shared" si="1"/>
        <v>—</v>
      </c>
      <c r="J50" s="18" t="str">
        <f t="shared" ca="1" si="2"/>
        <v>—</v>
      </c>
      <c r="K50" s="32" t="str">
        <f t="shared" si="3"/>
        <v>—</v>
      </c>
      <c r="L50" s="27"/>
      <c r="M50" s="27"/>
      <c r="N50" s="27"/>
      <c r="O50" s="27"/>
    </row>
    <row r="51" spans="1:15" ht="16" x14ac:dyDescent="0.2">
      <c r="A51" s="14" t="str">
        <f t="shared" si="0"/>
        <v/>
      </c>
      <c r="B51" s="16"/>
      <c r="C51" s="24" t="str">
        <f>IF($B51="","",IF(COUNTIF(Projects!$C$5:$C$64,SUBSTITUTE(SUBSTITUTE(SUBSTITUTE($B51,"~","~~"),"*","~*"),"?","~?"))&gt;0,"✓","not in Projects"))</f>
        <v/>
      </c>
      <c r="D51" s="16"/>
      <c r="E51" s="17"/>
      <c r="F51" s="16"/>
      <c r="G51" s="21"/>
      <c r="H51" s="21"/>
      <c r="I51" s="22" t="str">
        <f t="shared" si="1"/>
        <v>—</v>
      </c>
      <c r="J51" s="18" t="str">
        <f t="shared" ca="1" si="2"/>
        <v>—</v>
      </c>
      <c r="K51" s="32" t="str">
        <f t="shared" si="3"/>
        <v>—</v>
      </c>
      <c r="L51" s="16"/>
      <c r="M51" s="16"/>
      <c r="N51" s="16"/>
      <c r="O51" s="16"/>
    </row>
    <row r="52" spans="1:15" ht="16" x14ac:dyDescent="0.2">
      <c r="A52" s="14" t="str">
        <f t="shared" si="0"/>
        <v/>
      </c>
      <c r="B52" s="27"/>
      <c r="C52" s="24" t="str">
        <f>IF($B52="","",IF(COUNTIF(Projects!$C$5:$C$64,SUBSTITUTE(SUBSTITUTE(SUBSTITUTE($B52,"~","~~"),"*","~*"),"?","~?"))&gt;0,"✓","not in Projects"))</f>
        <v/>
      </c>
      <c r="D52" s="27"/>
      <c r="E52" s="28"/>
      <c r="F52" s="27"/>
      <c r="G52" s="30"/>
      <c r="H52" s="30"/>
      <c r="I52" s="22" t="str">
        <f t="shared" si="1"/>
        <v>—</v>
      </c>
      <c r="J52" s="18" t="str">
        <f t="shared" ca="1" si="2"/>
        <v>—</v>
      </c>
      <c r="K52" s="32" t="str">
        <f t="shared" si="3"/>
        <v>—</v>
      </c>
      <c r="L52" s="27"/>
      <c r="M52" s="27"/>
      <c r="N52" s="27"/>
      <c r="O52" s="27"/>
    </row>
    <row r="53" spans="1:15" ht="16" x14ac:dyDescent="0.2">
      <c r="A53" s="14" t="str">
        <f t="shared" si="0"/>
        <v/>
      </c>
      <c r="B53" s="16"/>
      <c r="C53" s="24" t="str">
        <f>IF($B53="","",IF(COUNTIF(Projects!$C$5:$C$64,SUBSTITUTE(SUBSTITUTE(SUBSTITUTE($B53,"~","~~"),"*","~*"),"?","~?"))&gt;0,"✓","not in Projects"))</f>
        <v/>
      </c>
      <c r="D53" s="16"/>
      <c r="E53" s="17"/>
      <c r="F53" s="16"/>
      <c r="G53" s="21"/>
      <c r="H53" s="21"/>
      <c r="I53" s="22" t="str">
        <f t="shared" si="1"/>
        <v>—</v>
      </c>
      <c r="J53" s="18" t="str">
        <f t="shared" ca="1" si="2"/>
        <v>—</v>
      </c>
      <c r="K53" s="32" t="str">
        <f t="shared" si="3"/>
        <v>—</v>
      </c>
      <c r="L53" s="16"/>
      <c r="M53" s="16"/>
      <c r="N53" s="16"/>
      <c r="O53" s="16"/>
    </row>
    <row r="54" spans="1:15" ht="16" x14ac:dyDescent="0.2">
      <c r="A54" s="14" t="str">
        <f t="shared" si="0"/>
        <v/>
      </c>
      <c r="B54" s="27"/>
      <c r="C54" s="24" t="str">
        <f>IF($B54="","",IF(COUNTIF(Projects!$C$5:$C$64,SUBSTITUTE(SUBSTITUTE(SUBSTITUTE($B54,"~","~~"),"*","~*"),"?","~?"))&gt;0,"✓","not in Projects"))</f>
        <v/>
      </c>
      <c r="D54" s="27"/>
      <c r="E54" s="28"/>
      <c r="F54" s="27"/>
      <c r="G54" s="30"/>
      <c r="H54" s="30"/>
      <c r="I54" s="22" t="str">
        <f t="shared" si="1"/>
        <v>—</v>
      </c>
      <c r="J54" s="18" t="str">
        <f t="shared" ca="1" si="2"/>
        <v>—</v>
      </c>
      <c r="K54" s="32" t="str">
        <f t="shared" si="3"/>
        <v>—</v>
      </c>
      <c r="L54" s="27"/>
      <c r="M54" s="27"/>
      <c r="N54" s="27"/>
      <c r="O54" s="27"/>
    </row>
    <row r="55" spans="1:15" ht="16" x14ac:dyDescent="0.2">
      <c r="A55" s="14" t="str">
        <f t="shared" si="0"/>
        <v/>
      </c>
      <c r="B55" s="16"/>
      <c r="C55" s="24" t="str">
        <f>IF($B55="","",IF(COUNTIF(Projects!$C$5:$C$64,SUBSTITUTE(SUBSTITUTE(SUBSTITUTE($B55,"~","~~"),"*","~*"),"?","~?"))&gt;0,"✓","not in Projects"))</f>
        <v/>
      </c>
      <c r="D55" s="16"/>
      <c r="E55" s="17"/>
      <c r="F55" s="16"/>
      <c r="G55" s="21"/>
      <c r="H55" s="21"/>
      <c r="I55" s="22" t="str">
        <f t="shared" si="1"/>
        <v>—</v>
      </c>
      <c r="J55" s="18" t="str">
        <f t="shared" ca="1" si="2"/>
        <v>—</v>
      </c>
      <c r="K55" s="32" t="str">
        <f t="shared" si="3"/>
        <v>—</v>
      </c>
      <c r="L55" s="16"/>
      <c r="M55" s="16"/>
      <c r="N55" s="16"/>
      <c r="O55" s="16"/>
    </row>
    <row r="56" spans="1:15" ht="16" x14ac:dyDescent="0.2">
      <c r="A56" s="14" t="str">
        <f t="shared" si="0"/>
        <v/>
      </c>
      <c r="B56" s="27"/>
      <c r="C56" s="24" t="str">
        <f>IF($B56="","",IF(COUNTIF(Projects!$C$5:$C$64,SUBSTITUTE(SUBSTITUTE(SUBSTITUTE($B56,"~","~~"),"*","~*"),"?","~?"))&gt;0,"✓","not in Projects"))</f>
        <v/>
      </c>
      <c r="D56" s="27"/>
      <c r="E56" s="28"/>
      <c r="F56" s="27"/>
      <c r="G56" s="30"/>
      <c r="H56" s="30"/>
      <c r="I56" s="22" t="str">
        <f t="shared" si="1"/>
        <v>—</v>
      </c>
      <c r="J56" s="18" t="str">
        <f t="shared" ca="1" si="2"/>
        <v>—</v>
      </c>
      <c r="K56" s="32" t="str">
        <f t="shared" si="3"/>
        <v>—</v>
      </c>
      <c r="L56" s="27"/>
      <c r="M56" s="27"/>
      <c r="N56" s="27"/>
      <c r="O56" s="27"/>
    </row>
    <row r="57" spans="1:15" ht="16" x14ac:dyDescent="0.2">
      <c r="A57" s="14" t="str">
        <f t="shared" si="0"/>
        <v/>
      </c>
      <c r="B57" s="16"/>
      <c r="C57" s="24" t="str">
        <f>IF($B57="","",IF(COUNTIF(Projects!$C$5:$C$64,SUBSTITUTE(SUBSTITUTE(SUBSTITUTE($B57,"~","~~"),"*","~*"),"?","~?"))&gt;0,"✓","not in Projects"))</f>
        <v/>
      </c>
      <c r="D57" s="16"/>
      <c r="E57" s="17"/>
      <c r="F57" s="16"/>
      <c r="G57" s="21"/>
      <c r="H57" s="21"/>
      <c r="I57" s="22" t="str">
        <f t="shared" si="1"/>
        <v>—</v>
      </c>
      <c r="J57" s="18" t="str">
        <f t="shared" ca="1" si="2"/>
        <v>—</v>
      </c>
      <c r="K57" s="32" t="str">
        <f t="shared" si="3"/>
        <v>—</v>
      </c>
      <c r="L57" s="16"/>
      <c r="M57" s="16"/>
      <c r="N57" s="16"/>
      <c r="O57" s="16"/>
    </row>
    <row r="58" spans="1:15" ht="16" x14ac:dyDescent="0.2">
      <c r="A58" s="14" t="str">
        <f t="shared" si="0"/>
        <v/>
      </c>
      <c r="B58" s="27"/>
      <c r="C58" s="24" t="str">
        <f>IF($B58="","",IF(COUNTIF(Projects!$C$5:$C$64,SUBSTITUTE(SUBSTITUTE(SUBSTITUTE($B58,"~","~~"),"*","~*"),"?","~?"))&gt;0,"✓","not in Projects"))</f>
        <v/>
      </c>
      <c r="D58" s="27"/>
      <c r="E58" s="28"/>
      <c r="F58" s="27"/>
      <c r="G58" s="30"/>
      <c r="H58" s="30"/>
      <c r="I58" s="22" t="str">
        <f t="shared" si="1"/>
        <v>—</v>
      </c>
      <c r="J58" s="18" t="str">
        <f t="shared" ca="1" si="2"/>
        <v>—</v>
      </c>
      <c r="K58" s="32" t="str">
        <f t="shared" si="3"/>
        <v>—</v>
      </c>
      <c r="L58" s="27"/>
      <c r="M58" s="27"/>
      <c r="N58" s="27"/>
      <c r="O58" s="27"/>
    </row>
    <row r="59" spans="1:15" ht="16" x14ac:dyDescent="0.2">
      <c r="A59" s="14" t="str">
        <f t="shared" si="0"/>
        <v/>
      </c>
      <c r="B59" s="16"/>
      <c r="C59" s="24" t="str">
        <f>IF($B59="","",IF(COUNTIF(Projects!$C$5:$C$64,SUBSTITUTE(SUBSTITUTE(SUBSTITUTE($B59,"~","~~"),"*","~*"),"?","~?"))&gt;0,"✓","not in Projects"))</f>
        <v/>
      </c>
      <c r="D59" s="16"/>
      <c r="E59" s="17"/>
      <c r="F59" s="16"/>
      <c r="G59" s="21"/>
      <c r="H59" s="21"/>
      <c r="I59" s="22" t="str">
        <f t="shared" si="1"/>
        <v>—</v>
      </c>
      <c r="J59" s="18" t="str">
        <f t="shared" ca="1" si="2"/>
        <v>—</v>
      </c>
      <c r="K59" s="32" t="str">
        <f t="shared" si="3"/>
        <v>—</v>
      </c>
      <c r="L59" s="16"/>
      <c r="M59" s="16"/>
      <c r="N59" s="16"/>
      <c r="O59" s="16"/>
    </row>
    <row r="60" spans="1:15" ht="16" x14ac:dyDescent="0.2">
      <c r="A60" s="14" t="str">
        <f t="shared" si="0"/>
        <v/>
      </c>
      <c r="B60" s="27"/>
      <c r="C60" s="24" t="str">
        <f>IF($B60="","",IF(COUNTIF(Projects!$C$5:$C$64,SUBSTITUTE(SUBSTITUTE(SUBSTITUTE($B60,"~","~~"),"*","~*"),"?","~?"))&gt;0,"✓","not in Projects"))</f>
        <v/>
      </c>
      <c r="D60" s="27"/>
      <c r="E60" s="28"/>
      <c r="F60" s="27"/>
      <c r="G60" s="30"/>
      <c r="H60" s="30"/>
      <c r="I60" s="22" t="str">
        <f t="shared" si="1"/>
        <v>—</v>
      </c>
      <c r="J60" s="18" t="str">
        <f t="shared" ca="1" si="2"/>
        <v>—</v>
      </c>
      <c r="K60" s="32" t="str">
        <f t="shared" si="3"/>
        <v>—</v>
      </c>
      <c r="L60" s="27"/>
      <c r="M60" s="27"/>
      <c r="N60" s="27"/>
      <c r="O60" s="27"/>
    </row>
    <row r="61" spans="1:15" ht="16" x14ac:dyDescent="0.2">
      <c r="A61" s="14" t="str">
        <f t="shared" si="0"/>
        <v/>
      </c>
      <c r="B61" s="16"/>
      <c r="C61" s="24" t="str">
        <f>IF($B61="","",IF(COUNTIF(Projects!$C$5:$C$64,SUBSTITUTE(SUBSTITUTE(SUBSTITUTE($B61,"~","~~"),"*","~*"),"?","~?"))&gt;0,"✓","not in Projects"))</f>
        <v/>
      </c>
      <c r="D61" s="16"/>
      <c r="E61" s="17"/>
      <c r="F61" s="16"/>
      <c r="G61" s="21"/>
      <c r="H61" s="21"/>
      <c r="I61" s="22" t="str">
        <f t="shared" si="1"/>
        <v>—</v>
      </c>
      <c r="J61" s="18" t="str">
        <f t="shared" ca="1" si="2"/>
        <v>—</v>
      </c>
      <c r="K61" s="32" t="str">
        <f t="shared" si="3"/>
        <v>—</v>
      </c>
      <c r="L61" s="16"/>
      <c r="M61" s="16"/>
      <c r="N61" s="16"/>
      <c r="O61" s="16"/>
    </row>
    <row r="62" spans="1:15" ht="16" x14ac:dyDescent="0.2">
      <c r="A62" s="14" t="str">
        <f t="shared" si="0"/>
        <v/>
      </c>
      <c r="B62" s="27"/>
      <c r="C62" s="24" t="str">
        <f>IF($B62="","",IF(COUNTIF(Projects!$C$5:$C$64,SUBSTITUTE(SUBSTITUTE(SUBSTITUTE($B62,"~","~~"),"*","~*"),"?","~?"))&gt;0,"✓","not in Projects"))</f>
        <v/>
      </c>
      <c r="D62" s="27"/>
      <c r="E62" s="28"/>
      <c r="F62" s="27"/>
      <c r="G62" s="30"/>
      <c r="H62" s="30"/>
      <c r="I62" s="22" t="str">
        <f t="shared" si="1"/>
        <v>—</v>
      </c>
      <c r="J62" s="18" t="str">
        <f t="shared" ca="1" si="2"/>
        <v>—</v>
      </c>
      <c r="K62" s="32" t="str">
        <f t="shared" si="3"/>
        <v>—</v>
      </c>
      <c r="L62" s="27"/>
      <c r="M62" s="27"/>
      <c r="N62" s="27"/>
      <c r="O62" s="27"/>
    </row>
    <row r="63" spans="1:15" ht="16" x14ac:dyDescent="0.2">
      <c r="A63" s="14" t="str">
        <f t="shared" si="0"/>
        <v/>
      </c>
      <c r="B63" s="16"/>
      <c r="C63" s="24" t="str">
        <f>IF($B63="","",IF(COUNTIF(Projects!$C$5:$C$64,SUBSTITUTE(SUBSTITUTE(SUBSTITUTE($B63,"~","~~"),"*","~*"),"?","~?"))&gt;0,"✓","not in Projects"))</f>
        <v/>
      </c>
      <c r="D63" s="16"/>
      <c r="E63" s="17"/>
      <c r="F63" s="16"/>
      <c r="G63" s="21"/>
      <c r="H63" s="21"/>
      <c r="I63" s="22" t="str">
        <f t="shared" si="1"/>
        <v>—</v>
      </c>
      <c r="J63" s="18" t="str">
        <f t="shared" ca="1" si="2"/>
        <v>—</v>
      </c>
      <c r="K63" s="32" t="str">
        <f t="shared" si="3"/>
        <v>—</v>
      </c>
      <c r="L63" s="16"/>
      <c r="M63" s="16"/>
      <c r="N63" s="16"/>
      <c r="O63" s="16"/>
    </row>
    <row r="64" spans="1:15" ht="16" x14ac:dyDescent="0.2">
      <c r="A64" s="14" t="str">
        <f t="shared" si="0"/>
        <v/>
      </c>
      <c r="B64" s="27"/>
      <c r="C64" s="24" t="str">
        <f>IF($B64="","",IF(COUNTIF(Projects!$C$5:$C$64,SUBSTITUTE(SUBSTITUTE(SUBSTITUTE($B64,"~","~~"),"*","~*"),"?","~?"))&gt;0,"✓","not in Projects"))</f>
        <v/>
      </c>
      <c r="D64" s="27"/>
      <c r="E64" s="28"/>
      <c r="F64" s="27"/>
      <c r="G64" s="30"/>
      <c r="H64" s="30"/>
      <c r="I64" s="22" t="str">
        <f t="shared" si="1"/>
        <v>—</v>
      </c>
      <c r="J64" s="18" t="str">
        <f t="shared" ca="1" si="2"/>
        <v>—</v>
      </c>
      <c r="K64" s="32" t="str">
        <f t="shared" si="3"/>
        <v>—</v>
      </c>
      <c r="L64" s="27"/>
      <c r="M64" s="27"/>
      <c r="N64" s="27"/>
      <c r="O64" s="27"/>
    </row>
    <row r="65" spans="1:15" ht="16" x14ac:dyDescent="0.2">
      <c r="A65" s="14" t="str">
        <f t="shared" si="0"/>
        <v/>
      </c>
      <c r="B65" s="16"/>
      <c r="C65" s="24" t="str">
        <f>IF($B65="","",IF(COUNTIF(Projects!$C$5:$C$64,SUBSTITUTE(SUBSTITUTE(SUBSTITUTE($B65,"~","~~"),"*","~*"),"?","~?"))&gt;0,"✓","not in Projects"))</f>
        <v/>
      </c>
      <c r="D65" s="16"/>
      <c r="E65" s="17"/>
      <c r="F65" s="16"/>
      <c r="G65" s="21"/>
      <c r="H65" s="21"/>
      <c r="I65" s="22" t="str">
        <f t="shared" si="1"/>
        <v>—</v>
      </c>
      <c r="J65" s="18" t="str">
        <f t="shared" ca="1" si="2"/>
        <v>—</v>
      </c>
      <c r="K65" s="32" t="str">
        <f t="shared" si="3"/>
        <v>—</v>
      </c>
      <c r="L65" s="16"/>
      <c r="M65" s="16"/>
      <c r="N65" s="16"/>
      <c r="O65" s="16"/>
    </row>
    <row r="66" spans="1:15" ht="16" x14ac:dyDescent="0.2">
      <c r="A66" s="14" t="str">
        <f t="shared" si="0"/>
        <v/>
      </c>
      <c r="B66" s="27"/>
      <c r="C66" s="24" t="str">
        <f>IF($B66="","",IF(COUNTIF(Projects!$C$5:$C$64,SUBSTITUTE(SUBSTITUTE(SUBSTITUTE($B66,"~","~~"),"*","~*"),"?","~?"))&gt;0,"✓","not in Projects"))</f>
        <v/>
      </c>
      <c r="D66" s="27"/>
      <c r="E66" s="28"/>
      <c r="F66" s="27"/>
      <c r="G66" s="30"/>
      <c r="H66" s="30"/>
      <c r="I66" s="22" t="str">
        <f t="shared" si="1"/>
        <v>—</v>
      </c>
      <c r="J66" s="18" t="str">
        <f t="shared" ca="1" si="2"/>
        <v>—</v>
      </c>
      <c r="K66" s="32" t="str">
        <f t="shared" si="3"/>
        <v>—</v>
      </c>
      <c r="L66" s="27"/>
      <c r="M66" s="27"/>
      <c r="N66" s="27"/>
      <c r="O66" s="27"/>
    </row>
    <row r="67" spans="1:15" ht="16" x14ac:dyDescent="0.2">
      <c r="A67" s="14" t="str">
        <f t="shared" si="0"/>
        <v/>
      </c>
      <c r="B67" s="16"/>
      <c r="C67" s="24" t="str">
        <f>IF($B67="","",IF(COUNTIF(Projects!$C$5:$C$64,SUBSTITUTE(SUBSTITUTE(SUBSTITUTE($B67,"~","~~"),"*","~*"),"?","~?"))&gt;0,"✓","not in Projects"))</f>
        <v/>
      </c>
      <c r="D67" s="16"/>
      <c r="E67" s="17"/>
      <c r="F67" s="16"/>
      <c r="G67" s="21"/>
      <c r="H67" s="21"/>
      <c r="I67" s="22" t="str">
        <f t="shared" si="1"/>
        <v>—</v>
      </c>
      <c r="J67" s="18" t="str">
        <f t="shared" ca="1" si="2"/>
        <v>—</v>
      </c>
      <c r="K67" s="32" t="str">
        <f t="shared" si="3"/>
        <v>—</v>
      </c>
      <c r="L67" s="16"/>
      <c r="M67" s="16"/>
      <c r="N67" s="16"/>
      <c r="O67" s="16"/>
    </row>
    <row r="68" spans="1:15" ht="16" x14ac:dyDescent="0.2">
      <c r="A68" s="14" t="str">
        <f t="shared" si="0"/>
        <v/>
      </c>
      <c r="B68" s="27"/>
      <c r="C68" s="24" t="str">
        <f>IF($B68="","",IF(COUNTIF(Projects!$C$5:$C$64,SUBSTITUTE(SUBSTITUTE(SUBSTITUTE($B68,"~","~~"),"*","~*"),"?","~?"))&gt;0,"✓","not in Projects"))</f>
        <v/>
      </c>
      <c r="D68" s="27"/>
      <c r="E68" s="28"/>
      <c r="F68" s="27"/>
      <c r="G68" s="30"/>
      <c r="H68" s="30"/>
      <c r="I68" s="22" t="str">
        <f t="shared" si="1"/>
        <v>—</v>
      </c>
      <c r="J68" s="18" t="str">
        <f t="shared" ca="1" si="2"/>
        <v>—</v>
      </c>
      <c r="K68" s="32" t="str">
        <f t="shared" si="3"/>
        <v>—</v>
      </c>
      <c r="L68" s="27"/>
      <c r="M68" s="27"/>
      <c r="N68" s="27"/>
      <c r="O68" s="27"/>
    </row>
    <row r="69" spans="1:15" ht="16" x14ac:dyDescent="0.2">
      <c r="A69" s="14" t="str">
        <f t="shared" ref="A69:A132" si="4">IF($D69="","",ROW()-4)</f>
        <v/>
      </c>
      <c r="B69" s="16"/>
      <c r="C69" s="24" t="str">
        <f>IF($B69="","",IF(COUNTIF(Projects!$C$5:$C$64,SUBSTITUTE(SUBSTITUTE(SUBSTITUTE($B69,"~","~~"),"*","~*"),"?","~?"))&gt;0,"✓","not in Projects"))</f>
        <v/>
      </c>
      <c r="D69" s="16"/>
      <c r="E69" s="17"/>
      <c r="F69" s="16"/>
      <c r="G69" s="21"/>
      <c r="H69" s="21"/>
      <c r="I69" s="22" t="str">
        <f t="shared" ref="I69:I132" si="5">IF($D69="","—",IF(OR($F69="Delivered",$F69="Approved",$F69="Cancelled"),"—",IF(AND($G69="",$H69=""),"—",IFERROR(MAX(0,N($G69)-N($H69)),"—"))))</f>
        <v>—</v>
      </c>
      <c r="J69" s="18" t="str">
        <f t="shared" ref="J69:J132" ca="1" si="6">IF($E69="","—",IF(OR($F69="Delivered",$F69="Approved",$F69="Cancelled"),"—",IFERROR(INT($E69)-TODAY(),"—")))</f>
        <v>—</v>
      </c>
      <c r="K69" s="32" t="str">
        <f t="shared" ref="K69:K132" si="7">IF($E69="","—",IFERROR(INT($E69)-WEEKDAY(INT($E69),3),"—"))</f>
        <v>—</v>
      </c>
      <c r="L69" s="16"/>
      <c r="M69" s="16"/>
      <c r="N69" s="16"/>
      <c r="O69" s="16"/>
    </row>
    <row r="70" spans="1:15" ht="16" x14ac:dyDescent="0.2">
      <c r="A70" s="14" t="str">
        <f t="shared" si="4"/>
        <v/>
      </c>
      <c r="B70" s="27"/>
      <c r="C70" s="24" t="str">
        <f>IF($B70="","",IF(COUNTIF(Projects!$C$5:$C$64,SUBSTITUTE(SUBSTITUTE(SUBSTITUTE($B70,"~","~~"),"*","~*"),"?","~?"))&gt;0,"✓","not in Projects"))</f>
        <v/>
      </c>
      <c r="D70" s="27"/>
      <c r="E70" s="28"/>
      <c r="F70" s="27"/>
      <c r="G70" s="30"/>
      <c r="H70" s="30"/>
      <c r="I70" s="22" t="str">
        <f t="shared" si="5"/>
        <v>—</v>
      </c>
      <c r="J70" s="18" t="str">
        <f t="shared" ca="1" si="6"/>
        <v>—</v>
      </c>
      <c r="K70" s="32" t="str">
        <f t="shared" si="7"/>
        <v>—</v>
      </c>
      <c r="L70" s="27"/>
      <c r="M70" s="27"/>
      <c r="N70" s="27"/>
      <c r="O70" s="27"/>
    </row>
    <row r="71" spans="1:15" ht="16" x14ac:dyDescent="0.2">
      <c r="A71" s="14" t="str">
        <f t="shared" si="4"/>
        <v/>
      </c>
      <c r="B71" s="16"/>
      <c r="C71" s="24" t="str">
        <f>IF($B71="","",IF(COUNTIF(Projects!$C$5:$C$64,SUBSTITUTE(SUBSTITUTE(SUBSTITUTE($B71,"~","~~"),"*","~*"),"?","~?"))&gt;0,"✓","not in Projects"))</f>
        <v/>
      </c>
      <c r="D71" s="16"/>
      <c r="E71" s="17"/>
      <c r="F71" s="16"/>
      <c r="G71" s="21"/>
      <c r="H71" s="21"/>
      <c r="I71" s="22" t="str">
        <f t="shared" si="5"/>
        <v>—</v>
      </c>
      <c r="J71" s="18" t="str">
        <f t="shared" ca="1" si="6"/>
        <v>—</v>
      </c>
      <c r="K71" s="32" t="str">
        <f t="shared" si="7"/>
        <v>—</v>
      </c>
      <c r="L71" s="16"/>
      <c r="M71" s="16"/>
      <c r="N71" s="16"/>
      <c r="O71" s="16"/>
    </row>
    <row r="72" spans="1:15" ht="16" x14ac:dyDescent="0.2">
      <c r="A72" s="14" t="str">
        <f t="shared" si="4"/>
        <v/>
      </c>
      <c r="B72" s="27"/>
      <c r="C72" s="24" t="str">
        <f>IF($B72="","",IF(COUNTIF(Projects!$C$5:$C$64,SUBSTITUTE(SUBSTITUTE(SUBSTITUTE($B72,"~","~~"),"*","~*"),"?","~?"))&gt;0,"✓","not in Projects"))</f>
        <v/>
      </c>
      <c r="D72" s="27"/>
      <c r="E72" s="28"/>
      <c r="F72" s="27"/>
      <c r="G72" s="30"/>
      <c r="H72" s="30"/>
      <c r="I72" s="22" t="str">
        <f t="shared" si="5"/>
        <v>—</v>
      </c>
      <c r="J72" s="18" t="str">
        <f t="shared" ca="1" si="6"/>
        <v>—</v>
      </c>
      <c r="K72" s="32" t="str">
        <f t="shared" si="7"/>
        <v>—</v>
      </c>
      <c r="L72" s="27"/>
      <c r="M72" s="27"/>
      <c r="N72" s="27"/>
      <c r="O72" s="27"/>
    </row>
    <row r="73" spans="1:15" ht="16" x14ac:dyDescent="0.2">
      <c r="A73" s="14" t="str">
        <f t="shared" si="4"/>
        <v/>
      </c>
      <c r="B73" s="16"/>
      <c r="C73" s="24" t="str">
        <f>IF($B73="","",IF(COUNTIF(Projects!$C$5:$C$64,SUBSTITUTE(SUBSTITUTE(SUBSTITUTE($B73,"~","~~"),"*","~*"),"?","~?"))&gt;0,"✓","not in Projects"))</f>
        <v/>
      </c>
      <c r="D73" s="16"/>
      <c r="E73" s="17"/>
      <c r="F73" s="16"/>
      <c r="G73" s="21"/>
      <c r="H73" s="21"/>
      <c r="I73" s="22" t="str">
        <f t="shared" si="5"/>
        <v>—</v>
      </c>
      <c r="J73" s="18" t="str">
        <f t="shared" ca="1" si="6"/>
        <v>—</v>
      </c>
      <c r="K73" s="32" t="str">
        <f t="shared" si="7"/>
        <v>—</v>
      </c>
      <c r="L73" s="16"/>
      <c r="M73" s="16"/>
      <c r="N73" s="16"/>
      <c r="O73" s="16"/>
    </row>
    <row r="74" spans="1:15" ht="16" x14ac:dyDescent="0.2">
      <c r="A74" s="14" t="str">
        <f t="shared" si="4"/>
        <v/>
      </c>
      <c r="B74" s="27"/>
      <c r="C74" s="24" t="str">
        <f>IF($B74="","",IF(COUNTIF(Projects!$C$5:$C$64,SUBSTITUTE(SUBSTITUTE(SUBSTITUTE($B74,"~","~~"),"*","~*"),"?","~?"))&gt;0,"✓","not in Projects"))</f>
        <v/>
      </c>
      <c r="D74" s="27"/>
      <c r="E74" s="28"/>
      <c r="F74" s="27"/>
      <c r="G74" s="30"/>
      <c r="H74" s="30"/>
      <c r="I74" s="22" t="str">
        <f t="shared" si="5"/>
        <v>—</v>
      </c>
      <c r="J74" s="18" t="str">
        <f t="shared" ca="1" si="6"/>
        <v>—</v>
      </c>
      <c r="K74" s="32" t="str">
        <f t="shared" si="7"/>
        <v>—</v>
      </c>
      <c r="L74" s="27"/>
      <c r="M74" s="27"/>
      <c r="N74" s="27"/>
      <c r="O74" s="27"/>
    </row>
    <row r="75" spans="1:15" ht="16" x14ac:dyDescent="0.2">
      <c r="A75" s="14" t="str">
        <f t="shared" si="4"/>
        <v/>
      </c>
      <c r="B75" s="16"/>
      <c r="C75" s="24" t="str">
        <f>IF($B75="","",IF(COUNTIF(Projects!$C$5:$C$64,SUBSTITUTE(SUBSTITUTE(SUBSTITUTE($B75,"~","~~"),"*","~*"),"?","~?"))&gt;0,"✓","not in Projects"))</f>
        <v/>
      </c>
      <c r="D75" s="16"/>
      <c r="E75" s="17"/>
      <c r="F75" s="16"/>
      <c r="G75" s="21"/>
      <c r="H75" s="21"/>
      <c r="I75" s="22" t="str">
        <f t="shared" si="5"/>
        <v>—</v>
      </c>
      <c r="J75" s="18" t="str">
        <f t="shared" ca="1" si="6"/>
        <v>—</v>
      </c>
      <c r="K75" s="32" t="str">
        <f t="shared" si="7"/>
        <v>—</v>
      </c>
      <c r="L75" s="16"/>
      <c r="M75" s="16"/>
      <c r="N75" s="16"/>
      <c r="O75" s="16"/>
    </row>
    <row r="76" spans="1:15" ht="16" x14ac:dyDescent="0.2">
      <c r="A76" s="14" t="str">
        <f t="shared" si="4"/>
        <v/>
      </c>
      <c r="B76" s="27"/>
      <c r="C76" s="24" t="str">
        <f>IF($B76="","",IF(COUNTIF(Projects!$C$5:$C$64,SUBSTITUTE(SUBSTITUTE(SUBSTITUTE($B76,"~","~~"),"*","~*"),"?","~?"))&gt;0,"✓","not in Projects"))</f>
        <v/>
      </c>
      <c r="D76" s="27"/>
      <c r="E76" s="28"/>
      <c r="F76" s="27"/>
      <c r="G76" s="30"/>
      <c r="H76" s="30"/>
      <c r="I76" s="22" t="str">
        <f t="shared" si="5"/>
        <v>—</v>
      </c>
      <c r="J76" s="18" t="str">
        <f t="shared" ca="1" si="6"/>
        <v>—</v>
      </c>
      <c r="K76" s="32" t="str">
        <f t="shared" si="7"/>
        <v>—</v>
      </c>
      <c r="L76" s="27"/>
      <c r="M76" s="27"/>
      <c r="N76" s="27"/>
      <c r="O76" s="27"/>
    </row>
    <row r="77" spans="1:15" ht="16" x14ac:dyDescent="0.2">
      <c r="A77" s="14" t="str">
        <f t="shared" si="4"/>
        <v/>
      </c>
      <c r="B77" s="16"/>
      <c r="C77" s="24" t="str">
        <f>IF($B77="","",IF(COUNTIF(Projects!$C$5:$C$64,SUBSTITUTE(SUBSTITUTE(SUBSTITUTE($B77,"~","~~"),"*","~*"),"?","~?"))&gt;0,"✓","not in Projects"))</f>
        <v/>
      </c>
      <c r="D77" s="16"/>
      <c r="E77" s="17"/>
      <c r="F77" s="16"/>
      <c r="G77" s="21"/>
      <c r="H77" s="21"/>
      <c r="I77" s="22" t="str">
        <f t="shared" si="5"/>
        <v>—</v>
      </c>
      <c r="J77" s="18" t="str">
        <f t="shared" ca="1" si="6"/>
        <v>—</v>
      </c>
      <c r="K77" s="32" t="str">
        <f t="shared" si="7"/>
        <v>—</v>
      </c>
      <c r="L77" s="16"/>
      <c r="M77" s="16"/>
      <c r="N77" s="16"/>
      <c r="O77" s="16"/>
    </row>
    <row r="78" spans="1:15" ht="16" x14ac:dyDescent="0.2">
      <c r="A78" s="14" t="str">
        <f t="shared" si="4"/>
        <v/>
      </c>
      <c r="B78" s="27"/>
      <c r="C78" s="24" t="str">
        <f>IF($B78="","",IF(COUNTIF(Projects!$C$5:$C$64,SUBSTITUTE(SUBSTITUTE(SUBSTITUTE($B78,"~","~~"),"*","~*"),"?","~?"))&gt;0,"✓","not in Projects"))</f>
        <v/>
      </c>
      <c r="D78" s="27"/>
      <c r="E78" s="28"/>
      <c r="F78" s="27"/>
      <c r="G78" s="30"/>
      <c r="H78" s="30"/>
      <c r="I78" s="22" t="str">
        <f t="shared" si="5"/>
        <v>—</v>
      </c>
      <c r="J78" s="18" t="str">
        <f t="shared" ca="1" si="6"/>
        <v>—</v>
      </c>
      <c r="K78" s="32" t="str">
        <f t="shared" si="7"/>
        <v>—</v>
      </c>
      <c r="L78" s="27"/>
      <c r="M78" s="27"/>
      <c r="N78" s="27"/>
      <c r="O78" s="27"/>
    </row>
    <row r="79" spans="1:15" ht="16" x14ac:dyDescent="0.2">
      <c r="A79" s="14" t="str">
        <f t="shared" si="4"/>
        <v/>
      </c>
      <c r="B79" s="16"/>
      <c r="C79" s="24" t="str">
        <f>IF($B79="","",IF(COUNTIF(Projects!$C$5:$C$64,SUBSTITUTE(SUBSTITUTE(SUBSTITUTE($B79,"~","~~"),"*","~*"),"?","~?"))&gt;0,"✓","not in Projects"))</f>
        <v/>
      </c>
      <c r="D79" s="16"/>
      <c r="E79" s="17"/>
      <c r="F79" s="16"/>
      <c r="G79" s="21"/>
      <c r="H79" s="21"/>
      <c r="I79" s="22" t="str">
        <f t="shared" si="5"/>
        <v>—</v>
      </c>
      <c r="J79" s="18" t="str">
        <f t="shared" ca="1" si="6"/>
        <v>—</v>
      </c>
      <c r="K79" s="32" t="str">
        <f t="shared" si="7"/>
        <v>—</v>
      </c>
      <c r="L79" s="16"/>
      <c r="M79" s="16"/>
      <c r="N79" s="16"/>
      <c r="O79" s="16"/>
    </row>
    <row r="80" spans="1:15" ht="16" x14ac:dyDescent="0.2">
      <c r="A80" s="14" t="str">
        <f t="shared" si="4"/>
        <v/>
      </c>
      <c r="B80" s="27"/>
      <c r="C80" s="24" t="str">
        <f>IF($B80="","",IF(COUNTIF(Projects!$C$5:$C$64,SUBSTITUTE(SUBSTITUTE(SUBSTITUTE($B80,"~","~~"),"*","~*"),"?","~?"))&gt;0,"✓","not in Projects"))</f>
        <v/>
      </c>
      <c r="D80" s="27"/>
      <c r="E80" s="28"/>
      <c r="F80" s="27"/>
      <c r="G80" s="30"/>
      <c r="H80" s="30"/>
      <c r="I80" s="22" t="str">
        <f t="shared" si="5"/>
        <v>—</v>
      </c>
      <c r="J80" s="18" t="str">
        <f t="shared" ca="1" si="6"/>
        <v>—</v>
      </c>
      <c r="K80" s="32" t="str">
        <f t="shared" si="7"/>
        <v>—</v>
      </c>
      <c r="L80" s="27"/>
      <c r="M80" s="27"/>
      <c r="N80" s="27"/>
      <c r="O80" s="27"/>
    </row>
    <row r="81" spans="1:15" ht="16" x14ac:dyDescent="0.2">
      <c r="A81" s="14" t="str">
        <f t="shared" si="4"/>
        <v/>
      </c>
      <c r="B81" s="16"/>
      <c r="C81" s="24" t="str">
        <f>IF($B81="","",IF(COUNTIF(Projects!$C$5:$C$64,SUBSTITUTE(SUBSTITUTE(SUBSTITUTE($B81,"~","~~"),"*","~*"),"?","~?"))&gt;0,"✓","not in Projects"))</f>
        <v/>
      </c>
      <c r="D81" s="16"/>
      <c r="E81" s="17"/>
      <c r="F81" s="16"/>
      <c r="G81" s="21"/>
      <c r="H81" s="21"/>
      <c r="I81" s="22" t="str">
        <f t="shared" si="5"/>
        <v>—</v>
      </c>
      <c r="J81" s="18" t="str">
        <f t="shared" ca="1" si="6"/>
        <v>—</v>
      </c>
      <c r="K81" s="32" t="str">
        <f t="shared" si="7"/>
        <v>—</v>
      </c>
      <c r="L81" s="16"/>
      <c r="M81" s="16"/>
      <c r="N81" s="16"/>
      <c r="O81" s="16"/>
    </row>
    <row r="82" spans="1:15" ht="16" x14ac:dyDescent="0.2">
      <c r="A82" s="14" t="str">
        <f t="shared" si="4"/>
        <v/>
      </c>
      <c r="B82" s="27"/>
      <c r="C82" s="24" t="str">
        <f>IF($B82="","",IF(COUNTIF(Projects!$C$5:$C$64,SUBSTITUTE(SUBSTITUTE(SUBSTITUTE($B82,"~","~~"),"*","~*"),"?","~?"))&gt;0,"✓","not in Projects"))</f>
        <v/>
      </c>
      <c r="D82" s="27"/>
      <c r="E82" s="28"/>
      <c r="F82" s="27"/>
      <c r="G82" s="30"/>
      <c r="H82" s="30"/>
      <c r="I82" s="22" t="str">
        <f t="shared" si="5"/>
        <v>—</v>
      </c>
      <c r="J82" s="18" t="str">
        <f t="shared" ca="1" si="6"/>
        <v>—</v>
      </c>
      <c r="K82" s="32" t="str">
        <f t="shared" si="7"/>
        <v>—</v>
      </c>
      <c r="L82" s="27"/>
      <c r="M82" s="27"/>
      <c r="N82" s="27"/>
      <c r="O82" s="27"/>
    </row>
    <row r="83" spans="1:15" ht="16" x14ac:dyDescent="0.2">
      <c r="A83" s="14" t="str">
        <f t="shared" si="4"/>
        <v/>
      </c>
      <c r="B83" s="16"/>
      <c r="C83" s="24" t="str">
        <f>IF($B83="","",IF(COUNTIF(Projects!$C$5:$C$64,SUBSTITUTE(SUBSTITUTE(SUBSTITUTE($B83,"~","~~"),"*","~*"),"?","~?"))&gt;0,"✓","not in Projects"))</f>
        <v/>
      </c>
      <c r="D83" s="16"/>
      <c r="E83" s="17"/>
      <c r="F83" s="16"/>
      <c r="G83" s="21"/>
      <c r="H83" s="21"/>
      <c r="I83" s="22" t="str">
        <f t="shared" si="5"/>
        <v>—</v>
      </c>
      <c r="J83" s="18" t="str">
        <f t="shared" ca="1" si="6"/>
        <v>—</v>
      </c>
      <c r="K83" s="32" t="str">
        <f t="shared" si="7"/>
        <v>—</v>
      </c>
      <c r="L83" s="16"/>
      <c r="M83" s="16"/>
      <c r="N83" s="16"/>
      <c r="O83" s="16"/>
    </row>
    <row r="84" spans="1:15" ht="16" x14ac:dyDescent="0.2">
      <c r="A84" s="14" t="str">
        <f t="shared" si="4"/>
        <v/>
      </c>
      <c r="B84" s="27"/>
      <c r="C84" s="24" t="str">
        <f>IF($B84="","",IF(COUNTIF(Projects!$C$5:$C$64,SUBSTITUTE(SUBSTITUTE(SUBSTITUTE($B84,"~","~~"),"*","~*"),"?","~?"))&gt;0,"✓","not in Projects"))</f>
        <v/>
      </c>
      <c r="D84" s="27"/>
      <c r="E84" s="28"/>
      <c r="F84" s="27"/>
      <c r="G84" s="30"/>
      <c r="H84" s="30"/>
      <c r="I84" s="22" t="str">
        <f t="shared" si="5"/>
        <v>—</v>
      </c>
      <c r="J84" s="18" t="str">
        <f t="shared" ca="1" si="6"/>
        <v>—</v>
      </c>
      <c r="K84" s="32" t="str">
        <f t="shared" si="7"/>
        <v>—</v>
      </c>
      <c r="L84" s="27"/>
      <c r="M84" s="27"/>
      <c r="N84" s="27"/>
      <c r="O84" s="27"/>
    </row>
    <row r="85" spans="1:15" ht="16" x14ac:dyDescent="0.2">
      <c r="A85" s="14" t="str">
        <f t="shared" si="4"/>
        <v/>
      </c>
      <c r="B85" s="16"/>
      <c r="C85" s="24" t="str">
        <f>IF($B85="","",IF(COUNTIF(Projects!$C$5:$C$64,SUBSTITUTE(SUBSTITUTE(SUBSTITUTE($B85,"~","~~"),"*","~*"),"?","~?"))&gt;0,"✓","not in Projects"))</f>
        <v/>
      </c>
      <c r="D85" s="16"/>
      <c r="E85" s="17"/>
      <c r="F85" s="16"/>
      <c r="G85" s="21"/>
      <c r="H85" s="21"/>
      <c r="I85" s="22" t="str">
        <f t="shared" si="5"/>
        <v>—</v>
      </c>
      <c r="J85" s="18" t="str">
        <f t="shared" ca="1" si="6"/>
        <v>—</v>
      </c>
      <c r="K85" s="32" t="str">
        <f t="shared" si="7"/>
        <v>—</v>
      </c>
      <c r="L85" s="16"/>
      <c r="M85" s="16"/>
      <c r="N85" s="16"/>
      <c r="O85" s="16"/>
    </row>
    <row r="86" spans="1:15" ht="16" x14ac:dyDescent="0.2">
      <c r="A86" s="14" t="str">
        <f t="shared" si="4"/>
        <v/>
      </c>
      <c r="B86" s="27"/>
      <c r="C86" s="24" t="str">
        <f>IF($B86="","",IF(COUNTIF(Projects!$C$5:$C$64,SUBSTITUTE(SUBSTITUTE(SUBSTITUTE($B86,"~","~~"),"*","~*"),"?","~?"))&gt;0,"✓","not in Projects"))</f>
        <v/>
      </c>
      <c r="D86" s="27"/>
      <c r="E86" s="28"/>
      <c r="F86" s="27"/>
      <c r="G86" s="30"/>
      <c r="H86" s="30"/>
      <c r="I86" s="22" t="str">
        <f t="shared" si="5"/>
        <v>—</v>
      </c>
      <c r="J86" s="18" t="str">
        <f t="shared" ca="1" si="6"/>
        <v>—</v>
      </c>
      <c r="K86" s="32" t="str">
        <f t="shared" si="7"/>
        <v>—</v>
      </c>
      <c r="L86" s="27"/>
      <c r="M86" s="27"/>
      <c r="N86" s="27"/>
      <c r="O86" s="27"/>
    </row>
    <row r="87" spans="1:15" ht="16" x14ac:dyDescent="0.2">
      <c r="A87" s="14" t="str">
        <f t="shared" si="4"/>
        <v/>
      </c>
      <c r="B87" s="16"/>
      <c r="C87" s="24" t="str">
        <f>IF($B87="","",IF(COUNTIF(Projects!$C$5:$C$64,SUBSTITUTE(SUBSTITUTE(SUBSTITUTE($B87,"~","~~"),"*","~*"),"?","~?"))&gt;0,"✓","not in Projects"))</f>
        <v/>
      </c>
      <c r="D87" s="16"/>
      <c r="E87" s="17"/>
      <c r="F87" s="16"/>
      <c r="G87" s="21"/>
      <c r="H87" s="21"/>
      <c r="I87" s="22" t="str">
        <f t="shared" si="5"/>
        <v>—</v>
      </c>
      <c r="J87" s="18" t="str">
        <f t="shared" ca="1" si="6"/>
        <v>—</v>
      </c>
      <c r="K87" s="32" t="str">
        <f t="shared" si="7"/>
        <v>—</v>
      </c>
      <c r="L87" s="16"/>
      <c r="M87" s="16"/>
      <c r="N87" s="16"/>
      <c r="O87" s="16"/>
    </row>
    <row r="88" spans="1:15" ht="16" x14ac:dyDescent="0.2">
      <c r="A88" s="14" t="str">
        <f t="shared" si="4"/>
        <v/>
      </c>
      <c r="B88" s="27"/>
      <c r="C88" s="24" t="str">
        <f>IF($B88="","",IF(COUNTIF(Projects!$C$5:$C$64,SUBSTITUTE(SUBSTITUTE(SUBSTITUTE($B88,"~","~~"),"*","~*"),"?","~?"))&gt;0,"✓","not in Projects"))</f>
        <v/>
      </c>
      <c r="D88" s="27"/>
      <c r="E88" s="28"/>
      <c r="F88" s="27"/>
      <c r="G88" s="30"/>
      <c r="H88" s="30"/>
      <c r="I88" s="22" t="str">
        <f t="shared" si="5"/>
        <v>—</v>
      </c>
      <c r="J88" s="18" t="str">
        <f t="shared" ca="1" si="6"/>
        <v>—</v>
      </c>
      <c r="K88" s="32" t="str">
        <f t="shared" si="7"/>
        <v>—</v>
      </c>
      <c r="L88" s="27"/>
      <c r="M88" s="27"/>
      <c r="N88" s="27"/>
      <c r="O88" s="27"/>
    </row>
    <row r="89" spans="1:15" ht="16" x14ac:dyDescent="0.2">
      <c r="A89" s="14" t="str">
        <f t="shared" si="4"/>
        <v/>
      </c>
      <c r="B89" s="16"/>
      <c r="C89" s="24" t="str">
        <f>IF($B89="","",IF(COUNTIF(Projects!$C$5:$C$64,SUBSTITUTE(SUBSTITUTE(SUBSTITUTE($B89,"~","~~"),"*","~*"),"?","~?"))&gt;0,"✓","not in Projects"))</f>
        <v/>
      </c>
      <c r="D89" s="16"/>
      <c r="E89" s="17"/>
      <c r="F89" s="16"/>
      <c r="G89" s="21"/>
      <c r="H89" s="21"/>
      <c r="I89" s="22" t="str">
        <f t="shared" si="5"/>
        <v>—</v>
      </c>
      <c r="J89" s="18" t="str">
        <f t="shared" ca="1" si="6"/>
        <v>—</v>
      </c>
      <c r="K89" s="32" t="str">
        <f t="shared" si="7"/>
        <v>—</v>
      </c>
      <c r="L89" s="16"/>
      <c r="M89" s="16"/>
      <c r="N89" s="16"/>
      <c r="O89" s="16"/>
    </row>
    <row r="90" spans="1:15" ht="16" x14ac:dyDescent="0.2">
      <c r="A90" s="14" t="str">
        <f t="shared" si="4"/>
        <v/>
      </c>
      <c r="B90" s="27"/>
      <c r="C90" s="24" t="str">
        <f>IF($B90="","",IF(COUNTIF(Projects!$C$5:$C$64,SUBSTITUTE(SUBSTITUTE(SUBSTITUTE($B90,"~","~~"),"*","~*"),"?","~?"))&gt;0,"✓","not in Projects"))</f>
        <v/>
      </c>
      <c r="D90" s="27"/>
      <c r="E90" s="28"/>
      <c r="F90" s="27"/>
      <c r="G90" s="30"/>
      <c r="H90" s="30"/>
      <c r="I90" s="22" t="str">
        <f t="shared" si="5"/>
        <v>—</v>
      </c>
      <c r="J90" s="18" t="str">
        <f t="shared" ca="1" si="6"/>
        <v>—</v>
      </c>
      <c r="K90" s="32" t="str">
        <f t="shared" si="7"/>
        <v>—</v>
      </c>
      <c r="L90" s="27"/>
      <c r="M90" s="27"/>
      <c r="N90" s="27"/>
      <c r="O90" s="27"/>
    </row>
    <row r="91" spans="1:15" ht="16" x14ac:dyDescent="0.2">
      <c r="A91" s="14" t="str">
        <f t="shared" si="4"/>
        <v/>
      </c>
      <c r="B91" s="16"/>
      <c r="C91" s="24" t="str">
        <f>IF($B91="","",IF(COUNTIF(Projects!$C$5:$C$64,SUBSTITUTE(SUBSTITUTE(SUBSTITUTE($B91,"~","~~"),"*","~*"),"?","~?"))&gt;0,"✓","not in Projects"))</f>
        <v/>
      </c>
      <c r="D91" s="16"/>
      <c r="E91" s="17"/>
      <c r="F91" s="16"/>
      <c r="G91" s="21"/>
      <c r="H91" s="21"/>
      <c r="I91" s="22" t="str">
        <f t="shared" si="5"/>
        <v>—</v>
      </c>
      <c r="J91" s="18" t="str">
        <f t="shared" ca="1" si="6"/>
        <v>—</v>
      </c>
      <c r="K91" s="32" t="str">
        <f t="shared" si="7"/>
        <v>—</v>
      </c>
      <c r="L91" s="16"/>
      <c r="M91" s="16"/>
      <c r="N91" s="16"/>
      <c r="O91" s="16"/>
    </row>
    <row r="92" spans="1:15" ht="16" x14ac:dyDescent="0.2">
      <c r="A92" s="14" t="str">
        <f t="shared" si="4"/>
        <v/>
      </c>
      <c r="B92" s="27"/>
      <c r="C92" s="24" t="str">
        <f>IF($B92="","",IF(COUNTIF(Projects!$C$5:$C$64,SUBSTITUTE(SUBSTITUTE(SUBSTITUTE($B92,"~","~~"),"*","~*"),"?","~?"))&gt;0,"✓","not in Projects"))</f>
        <v/>
      </c>
      <c r="D92" s="27"/>
      <c r="E92" s="28"/>
      <c r="F92" s="27"/>
      <c r="G92" s="30"/>
      <c r="H92" s="30"/>
      <c r="I92" s="22" t="str">
        <f t="shared" si="5"/>
        <v>—</v>
      </c>
      <c r="J92" s="18" t="str">
        <f t="shared" ca="1" si="6"/>
        <v>—</v>
      </c>
      <c r="K92" s="32" t="str">
        <f t="shared" si="7"/>
        <v>—</v>
      </c>
      <c r="L92" s="27"/>
      <c r="M92" s="27"/>
      <c r="N92" s="27"/>
      <c r="O92" s="27"/>
    </row>
    <row r="93" spans="1:15" ht="16" x14ac:dyDescent="0.2">
      <c r="A93" s="14" t="str">
        <f t="shared" si="4"/>
        <v/>
      </c>
      <c r="B93" s="16"/>
      <c r="C93" s="24" t="str">
        <f>IF($B93="","",IF(COUNTIF(Projects!$C$5:$C$64,SUBSTITUTE(SUBSTITUTE(SUBSTITUTE($B93,"~","~~"),"*","~*"),"?","~?"))&gt;0,"✓","not in Projects"))</f>
        <v/>
      </c>
      <c r="D93" s="16"/>
      <c r="E93" s="17"/>
      <c r="F93" s="16"/>
      <c r="G93" s="21"/>
      <c r="H93" s="21"/>
      <c r="I93" s="22" t="str">
        <f t="shared" si="5"/>
        <v>—</v>
      </c>
      <c r="J93" s="18" t="str">
        <f t="shared" ca="1" si="6"/>
        <v>—</v>
      </c>
      <c r="K93" s="32" t="str">
        <f t="shared" si="7"/>
        <v>—</v>
      </c>
      <c r="L93" s="16"/>
      <c r="M93" s="16"/>
      <c r="N93" s="16"/>
      <c r="O93" s="16"/>
    </row>
    <row r="94" spans="1:15" ht="16" x14ac:dyDescent="0.2">
      <c r="A94" s="14" t="str">
        <f t="shared" si="4"/>
        <v/>
      </c>
      <c r="B94" s="27"/>
      <c r="C94" s="24" t="str">
        <f>IF($B94="","",IF(COUNTIF(Projects!$C$5:$C$64,SUBSTITUTE(SUBSTITUTE(SUBSTITUTE($B94,"~","~~"),"*","~*"),"?","~?"))&gt;0,"✓","not in Projects"))</f>
        <v/>
      </c>
      <c r="D94" s="27"/>
      <c r="E94" s="28"/>
      <c r="F94" s="27"/>
      <c r="G94" s="30"/>
      <c r="H94" s="30"/>
      <c r="I94" s="22" t="str">
        <f t="shared" si="5"/>
        <v>—</v>
      </c>
      <c r="J94" s="18" t="str">
        <f t="shared" ca="1" si="6"/>
        <v>—</v>
      </c>
      <c r="K94" s="32" t="str">
        <f t="shared" si="7"/>
        <v>—</v>
      </c>
      <c r="L94" s="27"/>
      <c r="M94" s="27"/>
      <c r="N94" s="27"/>
      <c r="O94" s="27"/>
    </row>
    <row r="95" spans="1:15" ht="16" x14ac:dyDescent="0.2">
      <c r="A95" s="14" t="str">
        <f t="shared" si="4"/>
        <v/>
      </c>
      <c r="B95" s="16"/>
      <c r="C95" s="24" t="str">
        <f>IF($B95="","",IF(COUNTIF(Projects!$C$5:$C$64,SUBSTITUTE(SUBSTITUTE(SUBSTITUTE($B95,"~","~~"),"*","~*"),"?","~?"))&gt;0,"✓","not in Projects"))</f>
        <v/>
      </c>
      <c r="D95" s="16"/>
      <c r="E95" s="17"/>
      <c r="F95" s="16"/>
      <c r="G95" s="21"/>
      <c r="H95" s="21"/>
      <c r="I95" s="22" t="str">
        <f t="shared" si="5"/>
        <v>—</v>
      </c>
      <c r="J95" s="18" t="str">
        <f t="shared" ca="1" si="6"/>
        <v>—</v>
      </c>
      <c r="K95" s="32" t="str">
        <f t="shared" si="7"/>
        <v>—</v>
      </c>
      <c r="L95" s="16"/>
      <c r="M95" s="16"/>
      <c r="N95" s="16"/>
      <c r="O95" s="16"/>
    </row>
    <row r="96" spans="1:15" ht="16" x14ac:dyDescent="0.2">
      <c r="A96" s="14" t="str">
        <f t="shared" si="4"/>
        <v/>
      </c>
      <c r="B96" s="27"/>
      <c r="C96" s="24" t="str">
        <f>IF($B96="","",IF(COUNTIF(Projects!$C$5:$C$64,SUBSTITUTE(SUBSTITUTE(SUBSTITUTE($B96,"~","~~"),"*","~*"),"?","~?"))&gt;0,"✓","not in Projects"))</f>
        <v/>
      </c>
      <c r="D96" s="27"/>
      <c r="E96" s="28"/>
      <c r="F96" s="27"/>
      <c r="G96" s="30"/>
      <c r="H96" s="30"/>
      <c r="I96" s="22" t="str">
        <f t="shared" si="5"/>
        <v>—</v>
      </c>
      <c r="J96" s="18" t="str">
        <f t="shared" ca="1" si="6"/>
        <v>—</v>
      </c>
      <c r="K96" s="32" t="str">
        <f t="shared" si="7"/>
        <v>—</v>
      </c>
      <c r="L96" s="27"/>
      <c r="M96" s="27"/>
      <c r="N96" s="27"/>
      <c r="O96" s="27"/>
    </row>
    <row r="97" spans="1:15" ht="16" x14ac:dyDescent="0.2">
      <c r="A97" s="14" t="str">
        <f t="shared" si="4"/>
        <v/>
      </c>
      <c r="B97" s="16"/>
      <c r="C97" s="24" t="str">
        <f>IF($B97="","",IF(COUNTIF(Projects!$C$5:$C$64,SUBSTITUTE(SUBSTITUTE(SUBSTITUTE($B97,"~","~~"),"*","~*"),"?","~?"))&gt;0,"✓","not in Projects"))</f>
        <v/>
      </c>
      <c r="D97" s="16"/>
      <c r="E97" s="17"/>
      <c r="F97" s="16"/>
      <c r="G97" s="21"/>
      <c r="H97" s="21"/>
      <c r="I97" s="22" t="str">
        <f t="shared" si="5"/>
        <v>—</v>
      </c>
      <c r="J97" s="18" t="str">
        <f t="shared" ca="1" si="6"/>
        <v>—</v>
      </c>
      <c r="K97" s="32" t="str">
        <f t="shared" si="7"/>
        <v>—</v>
      </c>
      <c r="L97" s="16"/>
      <c r="M97" s="16"/>
      <c r="N97" s="16"/>
      <c r="O97" s="16"/>
    </row>
    <row r="98" spans="1:15" ht="16" x14ac:dyDescent="0.2">
      <c r="A98" s="14" t="str">
        <f t="shared" si="4"/>
        <v/>
      </c>
      <c r="B98" s="27"/>
      <c r="C98" s="24" t="str">
        <f>IF($B98="","",IF(COUNTIF(Projects!$C$5:$C$64,SUBSTITUTE(SUBSTITUTE(SUBSTITUTE($B98,"~","~~"),"*","~*"),"?","~?"))&gt;0,"✓","not in Projects"))</f>
        <v/>
      </c>
      <c r="D98" s="27"/>
      <c r="E98" s="28"/>
      <c r="F98" s="27"/>
      <c r="G98" s="30"/>
      <c r="H98" s="30"/>
      <c r="I98" s="22" t="str">
        <f t="shared" si="5"/>
        <v>—</v>
      </c>
      <c r="J98" s="18" t="str">
        <f t="shared" ca="1" si="6"/>
        <v>—</v>
      </c>
      <c r="K98" s="32" t="str">
        <f t="shared" si="7"/>
        <v>—</v>
      </c>
      <c r="L98" s="27"/>
      <c r="M98" s="27"/>
      <c r="N98" s="27"/>
      <c r="O98" s="27"/>
    </row>
    <row r="99" spans="1:15" ht="16" x14ac:dyDescent="0.2">
      <c r="A99" s="14" t="str">
        <f t="shared" si="4"/>
        <v/>
      </c>
      <c r="B99" s="16"/>
      <c r="C99" s="24" t="str">
        <f>IF($B99="","",IF(COUNTIF(Projects!$C$5:$C$64,SUBSTITUTE(SUBSTITUTE(SUBSTITUTE($B99,"~","~~"),"*","~*"),"?","~?"))&gt;0,"✓","not in Projects"))</f>
        <v/>
      </c>
      <c r="D99" s="16"/>
      <c r="E99" s="17"/>
      <c r="F99" s="16"/>
      <c r="G99" s="21"/>
      <c r="H99" s="21"/>
      <c r="I99" s="22" t="str">
        <f t="shared" si="5"/>
        <v>—</v>
      </c>
      <c r="J99" s="18" t="str">
        <f t="shared" ca="1" si="6"/>
        <v>—</v>
      </c>
      <c r="K99" s="32" t="str">
        <f t="shared" si="7"/>
        <v>—</v>
      </c>
      <c r="L99" s="16"/>
      <c r="M99" s="16"/>
      <c r="N99" s="16"/>
      <c r="O99" s="16"/>
    </row>
    <row r="100" spans="1:15" ht="16" x14ac:dyDescent="0.2">
      <c r="A100" s="14" t="str">
        <f t="shared" si="4"/>
        <v/>
      </c>
      <c r="B100" s="27"/>
      <c r="C100" s="24" t="str">
        <f>IF($B100="","",IF(COUNTIF(Projects!$C$5:$C$64,SUBSTITUTE(SUBSTITUTE(SUBSTITUTE($B100,"~","~~"),"*","~*"),"?","~?"))&gt;0,"✓","not in Projects"))</f>
        <v/>
      </c>
      <c r="D100" s="27"/>
      <c r="E100" s="28"/>
      <c r="F100" s="27"/>
      <c r="G100" s="30"/>
      <c r="H100" s="30"/>
      <c r="I100" s="22" t="str">
        <f t="shared" si="5"/>
        <v>—</v>
      </c>
      <c r="J100" s="18" t="str">
        <f t="shared" ca="1" si="6"/>
        <v>—</v>
      </c>
      <c r="K100" s="32" t="str">
        <f t="shared" si="7"/>
        <v>—</v>
      </c>
      <c r="L100" s="27"/>
      <c r="M100" s="27"/>
      <c r="N100" s="27"/>
      <c r="O100" s="27"/>
    </row>
    <row r="101" spans="1:15" ht="16" x14ac:dyDescent="0.2">
      <c r="A101" s="14" t="str">
        <f t="shared" si="4"/>
        <v/>
      </c>
      <c r="B101" s="16"/>
      <c r="C101" s="24" t="str">
        <f>IF($B101="","",IF(COUNTIF(Projects!$C$5:$C$64,SUBSTITUTE(SUBSTITUTE(SUBSTITUTE($B101,"~","~~"),"*","~*"),"?","~?"))&gt;0,"✓","not in Projects"))</f>
        <v/>
      </c>
      <c r="D101" s="16"/>
      <c r="E101" s="17"/>
      <c r="F101" s="16"/>
      <c r="G101" s="21"/>
      <c r="H101" s="21"/>
      <c r="I101" s="22" t="str">
        <f t="shared" si="5"/>
        <v>—</v>
      </c>
      <c r="J101" s="18" t="str">
        <f t="shared" ca="1" si="6"/>
        <v>—</v>
      </c>
      <c r="K101" s="32" t="str">
        <f t="shared" si="7"/>
        <v>—</v>
      </c>
      <c r="L101" s="16"/>
      <c r="M101" s="16"/>
      <c r="N101" s="16"/>
      <c r="O101" s="16"/>
    </row>
    <row r="102" spans="1:15" ht="16" x14ac:dyDescent="0.2">
      <c r="A102" s="14" t="str">
        <f t="shared" si="4"/>
        <v/>
      </c>
      <c r="B102" s="27"/>
      <c r="C102" s="24" t="str">
        <f>IF($B102="","",IF(COUNTIF(Projects!$C$5:$C$64,SUBSTITUTE(SUBSTITUTE(SUBSTITUTE($B102,"~","~~"),"*","~*"),"?","~?"))&gt;0,"✓","not in Projects"))</f>
        <v/>
      </c>
      <c r="D102" s="27"/>
      <c r="E102" s="28"/>
      <c r="F102" s="27"/>
      <c r="G102" s="30"/>
      <c r="H102" s="30"/>
      <c r="I102" s="22" t="str">
        <f t="shared" si="5"/>
        <v>—</v>
      </c>
      <c r="J102" s="18" t="str">
        <f t="shared" ca="1" si="6"/>
        <v>—</v>
      </c>
      <c r="K102" s="32" t="str">
        <f t="shared" si="7"/>
        <v>—</v>
      </c>
      <c r="L102" s="27"/>
      <c r="M102" s="27"/>
      <c r="N102" s="27"/>
      <c r="O102" s="27"/>
    </row>
    <row r="103" spans="1:15" ht="16" x14ac:dyDescent="0.2">
      <c r="A103" s="14" t="str">
        <f t="shared" si="4"/>
        <v/>
      </c>
      <c r="B103" s="16"/>
      <c r="C103" s="24" t="str">
        <f>IF($B103="","",IF(COUNTIF(Projects!$C$5:$C$64,SUBSTITUTE(SUBSTITUTE(SUBSTITUTE($B103,"~","~~"),"*","~*"),"?","~?"))&gt;0,"✓","not in Projects"))</f>
        <v/>
      </c>
      <c r="D103" s="16"/>
      <c r="E103" s="17"/>
      <c r="F103" s="16"/>
      <c r="G103" s="21"/>
      <c r="H103" s="21"/>
      <c r="I103" s="22" t="str">
        <f t="shared" si="5"/>
        <v>—</v>
      </c>
      <c r="J103" s="18" t="str">
        <f t="shared" ca="1" si="6"/>
        <v>—</v>
      </c>
      <c r="K103" s="32" t="str">
        <f t="shared" si="7"/>
        <v>—</v>
      </c>
      <c r="L103" s="16"/>
      <c r="M103" s="16"/>
      <c r="N103" s="16"/>
      <c r="O103" s="16"/>
    </row>
    <row r="104" spans="1:15" ht="16" x14ac:dyDescent="0.2">
      <c r="A104" s="14" t="str">
        <f t="shared" si="4"/>
        <v/>
      </c>
      <c r="B104" s="27"/>
      <c r="C104" s="24" t="str">
        <f>IF($B104="","",IF(COUNTIF(Projects!$C$5:$C$64,SUBSTITUTE(SUBSTITUTE(SUBSTITUTE($B104,"~","~~"),"*","~*"),"?","~?"))&gt;0,"✓","not in Projects"))</f>
        <v/>
      </c>
      <c r="D104" s="27"/>
      <c r="E104" s="28"/>
      <c r="F104" s="27"/>
      <c r="G104" s="30"/>
      <c r="H104" s="30"/>
      <c r="I104" s="22" t="str">
        <f t="shared" si="5"/>
        <v>—</v>
      </c>
      <c r="J104" s="18" t="str">
        <f t="shared" ca="1" si="6"/>
        <v>—</v>
      </c>
      <c r="K104" s="32" t="str">
        <f t="shared" si="7"/>
        <v>—</v>
      </c>
      <c r="L104" s="27"/>
      <c r="M104" s="27"/>
      <c r="N104" s="27"/>
      <c r="O104" s="27"/>
    </row>
    <row r="105" spans="1:15" ht="16" x14ac:dyDescent="0.2">
      <c r="A105" s="14" t="str">
        <f t="shared" si="4"/>
        <v/>
      </c>
      <c r="B105" s="16"/>
      <c r="C105" s="24" t="str">
        <f>IF($B105="","",IF(COUNTIF(Projects!$C$5:$C$64,SUBSTITUTE(SUBSTITUTE(SUBSTITUTE($B105,"~","~~"),"*","~*"),"?","~?"))&gt;0,"✓","not in Projects"))</f>
        <v/>
      </c>
      <c r="D105" s="16"/>
      <c r="E105" s="17"/>
      <c r="F105" s="16"/>
      <c r="G105" s="21"/>
      <c r="H105" s="21"/>
      <c r="I105" s="22" t="str">
        <f t="shared" si="5"/>
        <v>—</v>
      </c>
      <c r="J105" s="18" t="str">
        <f t="shared" ca="1" si="6"/>
        <v>—</v>
      </c>
      <c r="K105" s="32" t="str">
        <f t="shared" si="7"/>
        <v>—</v>
      </c>
      <c r="L105" s="16"/>
      <c r="M105" s="16"/>
      <c r="N105" s="16"/>
      <c r="O105" s="16"/>
    </row>
    <row r="106" spans="1:15" ht="16" x14ac:dyDescent="0.2">
      <c r="A106" s="14" t="str">
        <f t="shared" si="4"/>
        <v/>
      </c>
      <c r="B106" s="27"/>
      <c r="C106" s="24" t="str">
        <f>IF($B106="","",IF(COUNTIF(Projects!$C$5:$C$64,SUBSTITUTE(SUBSTITUTE(SUBSTITUTE($B106,"~","~~"),"*","~*"),"?","~?"))&gt;0,"✓","not in Projects"))</f>
        <v/>
      </c>
      <c r="D106" s="27"/>
      <c r="E106" s="28"/>
      <c r="F106" s="27"/>
      <c r="G106" s="30"/>
      <c r="H106" s="30"/>
      <c r="I106" s="22" t="str">
        <f t="shared" si="5"/>
        <v>—</v>
      </c>
      <c r="J106" s="18" t="str">
        <f t="shared" ca="1" si="6"/>
        <v>—</v>
      </c>
      <c r="K106" s="32" t="str">
        <f t="shared" si="7"/>
        <v>—</v>
      </c>
      <c r="L106" s="27"/>
      <c r="M106" s="27"/>
      <c r="N106" s="27"/>
      <c r="O106" s="27"/>
    </row>
    <row r="107" spans="1:15" ht="16" x14ac:dyDescent="0.2">
      <c r="A107" s="14" t="str">
        <f t="shared" si="4"/>
        <v/>
      </c>
      <c r="B107" s="16"/>
      <c r="C107" s="24" t="str">
        <f>IF($B107="","",IF(COUNTIF(Projects!$C$5:$C$64,SUBSTITUTE(SUBSTITUTE(SUBSTITUTE($B107,"~","~~"),"*","~*"),"?","~?"))&gt;0,"✓","not in Projects"))</f>
        <v/>
      </c>
      <c r="D107" s="16"/>
      <c r="E107" s="17"/>
      <c r="F107" s="16"/>
      <c r="G107" s="21"/>
      <c r="H107" s="21"/>
      <c r="I107" s="22" t="str">
        <f t="shared" si="5"/>
        <v>—</v>
      </c>
      <c r="J107" s="18" t="str">
        <f t="shared" ca="1" si="6"/>
        <v>—</v>
      </c>
      <c r="K107" s="32" t="str">
        <f t="shared" si="7"/>
        <v>—</v>
      </c>
      <c r="L107" s="16"/>
      <c r="M107" s="16"/>
      <c r="N107" s="16"/>
      <c r="O107" s="16"/>
    </row>
    <row r="108" spans="1:15" ht="16" x14ac:dyDescent="0.2">
      <c r="A108" s="14" t="str">
        <f t="shared" si="4"/>
        <v/>
      </c>
      <c r="B108" s="27"/>
      <c r="C108" s="24" t="str">
        <f>IF($B108="","",IF(COUNTIF(Projects!$C$5:$C$64,SUBSTITUTE(SUBSTITUTE(SUBSTITUTE($B108,"~","~~"),"*","~*"),"?","~?"))&gt;0,"✓","not in Projects"))</f>
        <v/>
      </c>
      <c r="D108" s="27"/>
      <c r="E108" s="28"/>
      <c r="F108" s="27"/>
      <c r="G108" s="30"/>
      <c r="H108" s="30"/>
      <c r="I108" s="22" t="str">
        <f t="shared" si="5"/>
        <v>—</v>
      </c>
      <c r="J108" s="18" t="str">
        <f t="shared" ca="1" si="6"/>
        <v>—</v>
      </c>
      <c r="K108" s="32" t="str">
        <f t="shared" si="7"/>
        <v>—</v>
      </c>
      <c r="L108" s="27"/>
      <c r="M108" s="27"/>
      <c r="N108" s="27"/>
      <c r="O108" s="27"/>
    </row>
    <row r="109" spans="1:15" ht="16" x14ac:dyDescent="0.2">
      <c r="A109" s="14" t="str">
        <f t="shared" si="4"/>
        <v/>
      </c>
      <c r="B109" s="16"/>
      <c r="C109" s="24" t="str">
        <f>IF($B109="","",IF(COUNTIF(Projects!$C$5:$C$64,SUBSTITUTE(SUBSTITUTE(SUBSTITUTE($B109,"~","~~"),"*","~*"),"?","~?"))&gt;0,"✓","not in Projects"))</f>
        <v/>
      </c>
      <c r="D109" s="16"/>
      <c r="E109" s="17"/>
      <c r="F109" s="16"/>
      <c r="G109" s="21"/>
      <c r="H109" s="21"/>
      <c r="I109" s="22" t="str">
        <f t="shared" si="5"/>
        <v>—</v>
      </c>
      <c r="J109" s="18" t="str">
        <f t="shared" ca="1" si="6"/>
        <v>—</v>
      </c>
      <c r="K109" s="32" t="str">
        <f t="shared" si="7"/>
        <v>—</v>
      </c>
      <c r="L109" s="16"/>
      <c r="M109" s="16"/>
      <c r="N109" s="16"/>
      <c r="O109" s="16"/>
    </row>
    <row r="110" spans="1:15" ht="16" x14ac:dyDescent="0.2">
      <c r="A110" s="14" t="str">
        <f t="shared" si="4"/>
        <v/>
      </c>
      <c r="B110" s="27"/>
      <c r="C110" s="24" t="str">
        <f>IF($B110="","",IF(COUNTIF(Projects!$C$5:$C$64,SUBSTITUTE(SUBSTITUTE(SUBSTITUTE($B110,"~","~~"),"*","~*"),"?","~?"))&gt;0,"✓","not in Projects"))</f>
        <v/>
      </c>
      <c r="D110" s="27"/>
      <c r="E110" s="28"/>
      <c r="F110" s="27"/>
      <c r="G110" s="30"/>
      <c r="H110" s="30"/>
      <c r="I110" s="22" t="str">
        <f t="shared" si="5"/>
        <v>—</v>
      </c>
      <c r="J110" s="18" t="str">
        <f t="shared" ca="1" si="6"/>
        <v>—</v>
      </c>
      <c r="K110" s="32" t="str">
        <f t="shared" si="7"/>
        <v>—</v>
      </c>
      <c r="L110" s="27"/>
      <c r="M110" s="27"/>
      <c r="N110" s="27"/>
      <c r="O110" s="27"/>
    </row>
    <row r="111" spans="1:15" ht="16" x14ac:dyDescent="0.2">
      <c r="A111" s="14" t="str">
        <f t="shared" si="4"/>
        <v/>
      </c>
      <c r="B111" s="16"/>
      <c r="C111" s="24" t="str">
        <f>IF($B111="","",IF(COUNTIF(Projects!$C$5:$C$64,SUBSTITUTE(SUBSTITUTE(SUBSTITUTE($B111,"~","~~"),"*","~*"),"?","~?"))&gt;0,"✓","not in Projects"))</f>
        <v/>
      </c>
      <c r="D111" s="16"/>
      <c r="E111" s="17"/>
      <c r="F111" s="16"/>
      <c r="G111" s="21"/>
      <c r="H111" s="21"/>
      <c r="I111" s="22" t="str">
        <f t="shared" si="5"/>
        <v>—</v>
      </c>
      <c r="J111" s="18" t="str">
        <f t="shared" ca="1" si="6"/>
        <v>—</v>
      </c>
      <c r="K111" s="32" t="str">
        <f t="shared" si="7"/>
        <v>—</v>
      </c>
      <c r="L111" s="16"/>
      <c r="M111" s="16"/>
      <c r="N111" s="16"/>
      <c r="O111" s="16"/>
    </row>
    <row r="112" spans="1:15" ht="16" x14ac:dyDescent="0.2">
      <c r="A112" s="14" t="str">
        <f t="shared" si="4"/>
        <v/>
      </c>
      <c r="B112" s="27"/>
      <c r="C112" s="24" t="str">
        <f>IF($B112="","",IF(COUNTIF(Projects!$C$5:$C$64,SUBSTITUTE(SUBSTITUTE(SUBSTITUTE($B112,"~","~~"),"*","~*"),"?","~?"))&gt;0,"✓","not in Projects"))</f>
        <v/>
      </c>
      <c r="D112" s="27"/>
      <c r="E112" s="28"/>
      <c r="F112" s="27"/>
      <c r="G112" s="30"/>
      <c r="H112" s="30"/>
      <c r="I112" s="22" t="str">
        <f t="shared" si="5"/>
        <v>—</v>
      </c>
      <c r="J112" s="18" t="str">
        <f t="shared" ca="1" si="6"/>
        <v>—</v>
      </c>
      <c r="K112" s="32" t="str">
        <f t="shared" si="7"/>
        <v>—</v>
      </c>
      <c r="L112" s="27"/>
      <c r="M112" s="27"/>
      <c r="N112" s="27"/>
      <c r="O112" s="27"/>
    </row>
    <row r="113" spans="1:15" ht="16" x14ac:dyDescent="0.2">
      <c r="A113" s="14" t="str">
        <f t="shared" si="4"/>
        <v/>
      </c>
      <c r="B113" s="16"/>
      <c r="C113" s="24" t="str">
        <f>IF($B113="","",IF(COUNTIF(Projects!$C$5:$C$64,SUBSTITUTE(SUBSTITUTE(SUBSTITUTE($B113,"~","~~"),"*","~*"),"?","~?"))&gt;0,"✓","not in Projects"))</f>
        <v/>
      </c>
      <c r="D113" s="16"/>
      <c r="E113" s="17"/>
      <c r="F113" s="16"/>
      <c r="G113" s="21"/>
      <c r="H113" s="21"/>
      <c r="I113" s="22" t="str">
        <f t="shared" si="5"/>
        <v>—</v>
      </c>
      <c r="J113" s="18" t="str">
        <f t="shared" ca="1" si="6"/>
        <v>—</v>
      </c>
      <c r="K113" s="32" t="str">
        <f t="shared" si="7"/>
        <v>—</v>
      </c>
      <c r="L113" s="16"/>
      <c r="M113" s="16"/>
      <c r="N113" s="16"/>
      <c r="O113" s="16"/>
    </row>
    <row r="114" spans="1:15" ht="16" x14ac:dyDescent="0.2">
      <c r="A114" s="14" t="str">
        <f t="shared" si="4"/>
        <v/>
      </c>
      <c r="B114" s="27"/>
      <c r="C114" s="24" t="str">
        <f>IF($B114="","",IF(COUNTIF(Projects!$C$5:$C$64,SUBSTITUTE(SUBSTITUTE(SUBSTITUTE($B114,"~","~~"),"*","~*"),"?","~?"))&gt;0,"✓","not in Projects"))</f>
        <v/>
      </c>
      <c r="D114" s="27"/>
      <c r="E114" s="28"/>
      <c r="F114" s="27"/>
      <c r="G114" s="30"/>
      <c r="H114" s="30"/>
      <c r="I114" s="22" t="str">
        <f t="shared" si="5"/>
        <v>—</v>
      </c>
      <c r="J114" s="18" t="str">
        <f t="shared" ca="1" si="6"/>
        <v>—</v>
      </c>
      <c r="K114" s="32" t="str">
        <f t="shared" si="7"/>
        <v>—</v>
      </c>
      <c r="L114" s="27"/>
      <c r="M114" s="27"/>
      <c r="N114" s="27"/>
      <c r="O114" s="27"/>
    </row>
    <row r="115" spans="1:15" ht="16" x14ac:dyDescent="0.2">
      <c r="A115" s="14" t="str">
        <f t="shared" si="4"/>
        <v/>
      </c>
      <c r="B115" s="16"/>
      <c r="C115" s="24" t="str">
        <f>IF($B115="","",IF(COUNTIF(Projects!$C$5:$C$64,SUBSTITUTE(SUBSTITUTE(SUBSTITUTE($B115,"~","~~"),"*","~*"),"?","~?"))&gt;0,"✓","not in Projects"))</f>
        <v/>
      </c>
      <c r="D115" s="16"/>
      <c r="E115" s="17"/>
      <c r="F115" s="16"/>
      <c r="G115" s="21"/>
      <c r="H115" s="21"/>
      <c r="I115" s="22" t="str">
        <f t="shared" si="5"/>
        <v>—</v>
      </c>
      <c r="J115" s="18" t="str">
        <f t="shared" ca="1" si="6"/>
        <v>—</v>
      </c>
      <c r="K115" s="32" t="str">
        <f t="shared" si="7"/>
        <v>—</v>
      </c>
      <c r="L115" s="16"/>
      <c r="M115" s="16"/>
      <c r="N115" s="16"/>
      <c r="O115" s="16"/>
    </row>
    <row r="116" spans="1:15" ht="16" x14ac:dyDescent="0.2">
      <c r="A116" s="14" t="str">
        <f t="shared" si="4"/>
        <v/>
      </c>
      <c r="B116" s="27"/>
      <c r="C116" s="24" t="str">
        <f>IF($B116="","",IF(COUNTIF(Projects!$C$5:$C$64,SUBSTITUTE(SUBSTITUTE(SUBSTITUTE($B116,"~","~~"),"*","~*"),"?","~?"))&gt;0,"✓","not in Projects"))</f>
        <v/>
      </c>
      <c r="D116" s="27"/>
      <c r="E116" s="28"/>
      <c r="F116" s="27"/>
      <c r="G116" s="30"/>
      <c r="H116" s="30"/>
      <c r="I116" s="22" t="str">
        <f t="shared" si="5"/>
        <v>—</v>
      </c>
      <c r="J116" s="18" t="str">
        <f t="shared" ca="1" si="6"/>
        <v>—</v>
      </c>
      <c r="K116" s="32" t="str">
        <f t="shared" si="7"/>
        <v>—</v>
      </c>
      <c r="L116" s="27"/>
      <c r="M116" s="27"/>
      <c r="N116" s="27"/>
      <c r="O116" s="27"/>
    </row>
    <row r="117" spans="1:15" ht="16" x14ac:dyDescent="0.2">
      <c r="A117" s="14" t="str">
        <f t="shared" si="4"/>
        <v/>
      </c>
      <c r="B117" s="16"/>
      <c r="C117" s="24" t="str">
        <f>IF($B117="","",IF(COUNTIF(Projects!$C$5:$C$64,SUBSTITUTE(SUBSTITUTE(SUBSTITUTE($B117,"~","~~"),"*","~*"),"?","~?"))&gt;0,"✓","not in Projects"))</f>
        <v/>
      </c>
      <c r="D117" s="16"/>
      <c r="E117" s="17"/>
      <c r="F117" s="16"/>
      <c r="G117" s="21"/>
      <c r="H117" s="21"/>
      <c r="I117" s="22" t="str">
        <f t="shared" si="5"/>
        <v>—</v>
      </c>
      <c r="J117" s="18" t="str">
        <f t="shared" ca="1" si="6"/>
        <v>—</v>
      </c>
      <c r="K117" s="32" t="str">
        <f t="shared" si="7"/>
        <v>—</v>
      </c>
      <c r="L117" s="16"/>
      <c r="M117" s="16"/>
      <c r="N117" s="16"/>
      <c r="O117" s="16"/>
    </row>
    <row r="118" spans="1:15" ht="16" x14ac:dyDescent="0.2">
      <c r="A118" s="14" t="str">
        <f t="shared" si="4"/>
        <v/>
      </c>
      <c r="B118" s="27"/>
      <c r="C118" s="24" t="str">
        <f>IF($B118="","",IF(COUNTIF(Projects!$C$5:$C$64,SUBSTITUTE(SUBSTITUTE(SUBSTITUTE($B118,"~","~~"),"*","~*"),"?","~?"))&gt;0,"✓","not in Projects"))</f>
        <v/>
      </c>
      <c r="D118" s="27"/>
      <c r="E118" s="28"/>
      <c r="F118" s="27"/>
      <c r="G118" s="30"/>
      <c r="H118" s="30"/>
      <c r="I118" s="22" t="str">
        <f t="shared" si="5"/>
        <v>—</v>
      </c>
      <c r="J118" s="18" t="str">
        <f t="shared" ca="1" si="6"/>
        <v>—</v>
      </c>
      <c r="K118" s="32" t="str">
        <f t="shared" si="7"/>
        <v>—</v>
      </c>
      <c r="L118" s="27"/>
      <c r="M118" s="27"/>
      <c r="N118" s="27"/>
      <c r="O118" s="27"/>
    </row>
    <row r="119" spans="1:15" ht="16" x14ac:dyDescent="0.2">
      <c r="A119" s="14" t="str">
        <f t="shared" si="4"/>
        <v/>
      </c>
      <c r="B119" s="16"/>
      <c r="C119" s="24" t="str">
        <f>IF($B119="","",IF(COUNTIF(Projects!$C$5:$C$64,SUBSTITUTE(SUBSTITUTE(SUBSTITUTE($B119,"~","~~"),"*","~*"),"?","~?"))&gt;0,"✓","not in Projects"))</f>
        <v/>
      </c>
      <c r="D119" s="16"/>
      <c r="E119" s="17"/>
      <c r="F119" s="16"/>
      <c r="G119" s="21"/>
      <c r="H119" s="21"/>
      <c r="I119" s="22" t="str">
        <f t="shared" si="5"/>
        <v>—</v>
      </c>
      <c r="J119" s="18" t="str">
        <f t="shared" ca="1" si="6"/>
        <v>—</v>
      </c>
      <c r="K119" s="32" t="str">
        <f t="shared" si="7"/>
        <v>—</v>
      </c>
      <c r="L119" s="16"/>
      <c r="M119" s="16"/>
      <c r="N119" s="16"/>
      <c r="O119" s="16"/>
    </row>
    <row r="120" spans="1:15" ht="16" x14ac:dyDescent="0.2">
      <c r="A120" s="14" t="str">
        <f t="shared" si="4"/>
        <v/>
      </c>
      <c r="B120" s="27"/>
      <c r="C120" s="24" t="str">
        <f>IF($B120="","",IF(COUNTIF(Projects!$C$5:$C$64,SUBSTITUTE(SUBSTITUTE(SUBSTITUTE($B120,"~","~~"),"*","~*"),"?","~?"))&gt;0,"✓","not in Projects"))</f>
        <v/>
      </c>
      <c r="D120" s="27"/>
      <c r="E120" s="28"/>
      <c r="F120" s="27"/>
      <c r="G120" s="30"/>
      <c r="H120" s="30"/>
      <c r="I120" s="22" t="str">
        <f t="shared" si="5"/>
        <v>—</v>
      </c>
      <c r="J120" s="18" t="str">
        <f t="shared" ca="1" si="6"/>
        <v>—</v>
      </c>
      <c r="K120" s="32" t="str">
        <f t="shared" si="7"/>
        <v>—</v>
      </c>
      <c r="L120" s="27"/>
      <c r="M120" s="27"/>
      <c r="N120" s="27"/>
      <c r="O120" s="27"/>
    </row>
    <row r="121" spans="1:15" ht="16" x14ac:dyDescent="0.2">
      <c r="A121" s="14" t="str">
        <f t="shared" si="4"/>
        <v/>
      </c>
      <c r="B121" s="16"/>
      <c r="C121" s="24" t="str">
        <f>IF($B121="","",IF(COUNTIF(Projects!$C$5:$C$64,SUBSTITUTE(SUBSTITUTE(SUBSTITUTE($B121,"~","~~"),"*","~*"),"?","~?"))&gt;0,"✓","not in Projects"))</f>
        <v/>
      </c>
      <c r="D121" s="16"/>
      <c r="E121" s="17"/>
      <c r="F121" s="16"/>
      <c r="G121" s="21"/>
      <c r="H121" s="21"/>
      <c r="I121" s="22" t="str">
        <f t="shared" si="5"/>
        <v>—</v>
      </c>
      <c r="J121" s="18" t="str">
        <f t="shared" ca="1" si="6"/>
        <v>—</v>
      </c>
      <c r="K121" s="32" t="str">
        <f t="shared" si="7"/>
        <v>—</v>
      </c>
      <c r="L121" s="16"/>
      <c r="M121" s="16"/>
      <c r="N121" s="16"/>
      <c r="O121" s="16"/>
    </row>
    <row r="122" spans="1:15" ht="16" x14ac:dyDescent="0.2">
      <c r="A122" s="14" t="str">
        <f t="shared" si="4"/>
        <v/>
      </c>
      <c r="B122" s="27"/>
      <c r="C122" s="24" t="str">
        <f>IF($B122="","",IF(COUNTIF(Projects!$C$5:$C$64,SUBSTITUTE(SUBSTITUTE(SUBSTITUTE($B122,"~","~~"),"*","~*"),"?","~?"))&gt;0,"✓","not in Projects"))</f>
        <v/>
      </c>
      <c r="D122" s="27"/>
      <c r="E122" s="28"/>
      <c r="F122" s="27"/>
      <c r="G122" s="30"/>
      <c r="H122" s="30"/>
      <c r="I122" s="22" t="str">
        <f t="shared" si="5"/>
        <v>—</v>
      </c>
      <c r="J122" s="18" t="str">
        <f t="shared" ca="1" si="6"/>
        <v>—</v>
      </c>
      <c r="K122" s="32" t="str">
        <f t="shared" si="7"/>
        <v>—</v>
      </c>
      <c r="L122" s="27"/>
      <c r="M122" s="27"/>
      <c r="N122" s="27"/>
      <c r="O122" s="27"/>
    </row>
    <row r="123" spans="1:15" ht="16" x14ac:dyDescent="0.2">
      <c r="A123" s="14" t="str">
        <f t="shared" si="4"/>
        <v/>
      </c>
      <c r="B123" s="16"/>
      <c r="C123" s="24" t="str">
        <f>IF($B123="","",IF(COUNTIF(Projects!$C$5:$C$64,SUBSTITUTE(SUBSTITUTE(SUBSTITUTE($B123,"~","~~"),"*","~*"),"?","~?"))&gt;0,"✓","not in Projects"))</f>
        <v/>
      </c>
      <c r="D123" s="16"/>
      <c r="E123" s="17"/>
      <c r="F123" s="16"/>
      <c r="G123" s="21"/>
      <c r="H123" s="21"/>
      <c r="I123" s="22" t="str">
        <f t="shared" si="5"/>
        <v>—</v>
      </c>
      <c r="J123" s="18" t="str">
        <f t="shared" ca="1" si="6"/>
        <v>—</v>
      </c>
      <c r="K123" s="32" t="str">
        <f t="shared" si="7"/>
        <v>—</v>
      </c>
      <c r="L123" s="16"/>
      <c r="M123" s="16"/>
      <c r="N123" s="16"/>
      <c r="O123" s="16"/>
    </row>
    <row r="124" spans="1:15" ht="16" x14ac:dyDescent="0.2">
      <c r="A124" s="14" t="str">
        <f t="shared" si="4"/>
        <v/>
      </c>
      <c r="B124" s="27"/>
      <c r="C124" s="24" t="str">
        <f>IF($B124="","",IF(COUNTIF(Projects!$C$5:$C$64,SUBSTITUTE(SUBSTITUTE(SUBSTITUTE($B124,"~","~~"),"*","~*"),"?","~?"))&gt;0,"✓","not in Projects"))</f>
        <v/>
      </c>
      <c r="D124" s="27"/>
      <c r="E124" s="28"/>
      <c r="F124" s="27"/>
      <c r="G124" s="30"/>
      <c r="H124" s="30"/>
      <c r="I124" s="22" t="str">
        <f t="shared" si="5"/>
        <v>—</v>
      </c>
      <c r="J124" s="18" t="str">
        <f t="shared" ca="1" si="6"/>
        <v>—</v>
      </c>
      <c r="K124" s="32" t="str">
        <f t="shared" si="7"/>
        <v>—</v>
      </c>
      <c r="L124" s="27"/>
      <c r="M124" s="27"/>
      <c r="N124" s="27"/>
      <c r="O124" s="27"/>
    </row>
    <row r="125" spans="1:15" ht="16" x14ac:dyDescent="0.2">
      <c r="A125" s="14" t="str">
        <f t="shared" si="4"/>
        <v/>
      </c>
      <c r="B125" s="16"/>
      <c r="C125" s="24" t="str">
        <f>IF($B125="","",IF(COUNTIF(Projects!$C$5:$C$64,SUBSTITUTE(SUBSTITUTE(SUBSTITUTE($B125,"~","~~"),"*","~*"),"?","~?"))&gt;0,"✓","not in Projects"))</f>
        <v/>
      </c>
      <c r="D125" s="16"/>
      <c r="E125" s="17"/>
      <c r="F125" s="16"/>
      <c r="G125" s="21"/>
      <c r="H125" s="21"/>
      <c r="I125" s="22" t="str">
        <f t="shared" si="5"/>
        <v>—</v>
      </c>
      <c r="J125" s="18" t="str">
        <f t="shared" ca="1" si="6"/>
        <v>—</v>
      </c>
      <c r="K125" s="32" t="str">
        <f t="shared" si="7"/>
        <v>—</v>
      </c>
      <c r="L125" s="16"/>
      <c r="M125" s="16"/>
      <c r="N125" s="16"/>
      <c r="O125" s="16"/>
    </row>
    <row r="126" spans="1:15" ht="16" x14ac:dyDescent="0.2">
      <c r="A126" s="14" t="str">
        <f t="shared" si="4"/>
        <v/>
      </c>
      <c r="B126" s="27"/>
      <c r="C126" s="24" t="str">
        <f>IF($B126="","",IF(COUNTIF(Projects!$C$5:$C$64,SUBSTITUTE(SUBSTITUTE(SUBSTITUTE($B126,"~","~~"),"*","~*"),"?","~?"))&gt;0,"✓","not in Projects"))</f>
        <v/>
      </c>
      <c r="D126" s="27"/>
      <c r="E126" s="28"/>
      <c r="F126" s="27"/>
      <c r="G126" s="30"/>
      <c r="H126" s="30"/>
      <c r="I126" s="22" t="str">
        <f t="shared" si="5"/>
        <v>—</v>
      </c>
      <c r="J126" s="18" t="str">
        <f t="shared" ca="1" si="6"/>
        <v>—</v>
      </c>
      <c r="K126" s="32" t="str">
        <f t="shared" si="7"/>
        <v>—</v>
      </c>
      <c r="L126" s="27"/>
      <c r="M126" s="27"/>
      <c r="N126" s="27"/>
      <c r="O126" s="27"/>
    </row>
    <row r="127" spans="1:15" ht="16" x14ac:dyDescent="0.2">
      <c r="A127" s="14" t="str">
        <f t="shared" si="4"/>
        <v/>
      </c>
      <c r="B127" s="16"/>
      <c r="C127" s="24" t="str">
        <f>IF($B127="","",IF(COUNTIF(Projects!$C$5:$C$64,SUBSTITUTE(SUBSTITUTE(SUBSTITUTE($B127,"~","~~"),"*","~*"),"?","~?"))&gt;0,"✓","not in Projects"))</f>
        <v/>
      </c>
      <c r="D127" s="16"/>
      <c r="E127" s="17"/>
      <c r="F127" s="16"/>
      <c r="G127" s="21"/>
      <c r="H127" s="21"/>
      <c r="I127" s="22" t="str">
        <f t="shared" si="5"/>
        <v>—</v>
      </c>
      <c r="J127" s="18" t="str">
        <f t="shared" ca="1" si="6"/>
        <v>—</v>
      </c>
      <c r="K127" s="32" t="str">
        <f t="shared" si="7"/>
        <v>—</v>
      </c>
      <c r="L127" s="16"/>
      <c r="M127" s="16"/>
      <c r="N127" s="16"/>
      <c r="O127" s="16"/>
    </row>
    <row r="128" spans="1:15" ht="16" x14ac:dyDescent="0.2">
      <c r="A128" s="14" t="str">
        <f t="shared" si="4"/>
        <v/>
      </c>
      <c r="B128" s="27"/>
      <c r="C128" s="24" t="str">
        <f>IF($B128="","",IF(COUNTIF(Projects!$C$5:$C$64,SUBSTITUTE(SUBSTITUTE(SUBSTITUTE($B128,"~","~~"),"*","~*"),"?","~?"))&gt;0,"✓","not in Projects"))</f>
        <v/>
      </c>
      <c r="D128" s="27"/>
      <c r="E128" s="28"/>
      <c r="F128" s="27"/>
      <c r="G128" s="30"/>
      <c r="H128" s="30"/>
      <c r="I128" s="22" t="str">
        <f t="shared" si="5"/>
        <v>—</v>
      </c>
      <c r="J128" s="18" t="str">
        <f t="shared" ca="1" si="6"/>
        <v>—</v>
      </c>
      <c r="K128" s="32" t="str">
        <f t="shared" si="7"/>
        <v>—</v>
      </c>
      <c r="L128" s="27"/>
      <c r="M128" s="27"/>
      <c r="N128" s="27"/>
      <c r="O128" s="27"/>
    </row>
    <row r="129" spans="1:15" ht="16" x14ac:dyDescent="0.2">
      <c r="A129" s="14" t="str">
        <f t="shared" si="4"/>
        <v/>
      </c>
      <c r="B129" s="16"/>
      <c r="C129" s="24" t="str">
        <f>IF($B129="","",IF(COUNTIF(Projects!$C$5:$C$64,SUBSTITUTE(SUBSTITUTE(SUBSTITUTE($B129,"~","~~"),"*","~*"),"?","~?"))&gt;0,"✓","not in Projects"))</f>
        <v/>
      </c>
      <c r="D129" s="16"/>
      <c r="E129" s="17"/>
      <c r="F129" s="16"/>
      <c r="G129" s="21"/>
      <c r="H129" s="21"/>
      <c r="I129" s="22" t="str">
        <f t="shared" si="5"/>
        <v>—</v>
      </c>
      <c r="J129" s="18" t="str">
        <f t="shared" ca="1" si="6"/>
        <v>—</v>
      </c>
      <c r="K129" s="32" t="str">
        <f t="shared" si="7"/>
        <v>—</v>
      </c>
      <c r="L129" s="16"/>
      <c r="M129" s="16"/>
      <c r="N129" s="16"/>
      <c r="O129" s="16"/>
    </row>
    <row r="130" spans="1:15" ht="16" x14ac:dyDescent="0.2">
      <c r="A130" s="14" t="str">
        <f t="shared" si="4"/>
        <v/>
      </c>
      <c r="B130" s="27"/>
      <c r="C130" s="24" t="str">
        <f>IF($B130="","",IF(COUNTIF(Projects!$C$5:$C$64,SUBSTITUTE(SUBSTITUTE(SUBSTITUTE($B130,"~","~~"),"*","~*"),"?","~?"))&gt;0,"✓","not in Projects"))</f>
        <v/>
      </c>
      <c r="D130" s="27"/>
      <c r="E130" s="28"/>
      <c r="F130" s="27"/>
      <c r="G130" s="30"/>
      <c r="H130" s="30"/>
      <c r="I130" s="22" t="str">
        <f t="shared" si="5"/>
        <v>—</v>
      </c>
      <c r="J130" s="18" t="str">
        <f t="shared" ca="1" si="6"/>
        <v>—</v>
      </c>
      <c r="K130" s="32" t="str">
        <f t="shared" si="7"/>
        <v>—</v>
      </c>
      <c r="L130" s="27"/>
      <c r="M130" s="27"/>
      <c r="N130" s="27"/>
      <c r="O130" s="27"/>
    </row>
    <row r="131" spans="1:15" ht="16" x14ac:dyDescent="0.2">
      <c r="A131" s="14" t="str">
        <f t="shared" si="4"/>
        <v/>
      </c>
      <c r="B131" s="16"/>
      <c r="C131" s="24" t="str">
        <f>IF($B131="","",IF(COUNTIF(Projects!$C$5:$C$64,SUBSTITUTE(SUBSTITUTE(SUBSTITUTE($B131,"~","~~"),"*","~*"),"?","~?"))&gt;0,"✓","not in Projects"))</f>
        <v/>
      </c>
      <c r="D131" s="16"/>
      <c r="E131" s="17"/>
      <c r="F131" s="16"/>
      <c r="G131" s="21"/>
      <c r="H131" s="21"/>
      <c r="I131" s="22" t="str">
        <f t="shared" si="5"/>
        <v>—</v>
      </c>
      <c r="J131" s="18" t="str">
        <f t="shared" ca="1" si="6"/>
        <v>—</v>
      </c>
      <c r="K131" s="32" t="str">
        <f t="shared" si="7"/>
        <v>—</v>
      </c>
      <c r="L131" s="16"/>
      <c r="M131" s="16"/>
      <c r="N131" s="16"/>
      <c r="O131" s="16"/>
    </row>
    <row r="132" spans="1:15" ht="16" x14ac:dyDescent="0.2">
      <c r="A132" s="14" t="str">
        <f t="shared" si="4"/>
        <v/>
      </c>
      <c r="B132" s="27"/>
      <c r="C132" s="24" t="str">
        <f>IF($B132="","",IF(COUNTIF(Projects!$C$5:$C$64,SUBSTITUTE(SUBSTITUTE(SUBSTITUTE($B132,"~","~~"),"*","~*"),"?","~?"))&gt;0,"✓","not in Projects"))</f>
        <v/>
      </c>
      <c r="D132" s="27"/>
      <c r="E132" s="28"/>
      <c r="F132" s="27"/>
      <c r="G132" s="30"/>
      <c r="H132" s="30"/>
      <c r="I132" s="22" t="str">
        <f t="shared" si="5"/>
        <v>—</v>
      </c>
      <c r="J132" s="18" t="str">
        <f t="shared" ca="1" si="6"/>
        <v>—</v>
      </c>
      <c r="K132" s="32" t="str">
        <f t="shared" si="7"/>
        <v>—</v>
      </c>
      <c r="L132" s="27"/>
      <c r="M132" s="27"/>
      <c r="N132" s="27"/>
      <c r="O132" s="27"/>
    </row>
    <row r="133" spans="1:15" ht="16" x14ac:dyDescent="0.2">
      <c r="A133" s="14" t="str">
        <f t="shared" ref="A133:A196" si="8">IF($D133="","",ROW()-4)</f>
        <v/>
      </c>
      <c r="B133" s="16"/>
      <c r="C133" s="24" t="str">
        <f>IF($B133="","",IF(COUNTIF(Projects!$C$5:$C$64,SUBSTITUTE(SUBSTITUTE(SUBSTITUTE($B133,"~","~~"),"*","~*"),"?","~?"))&gt;0,"✓","not in Projects"))</f>
        <v/>
      </c>
      <c r="D133" s="16"/>
      <c r="E133" s="17"/>
      <c r="F133" s="16"/>
      <c r="G133" s="21"/>
      <c r="H133" s="21"/>
      <c r="I133" s="22" t="str">
        <f t="shared" ref="I133:I196" si="9">IF($D133="","—",IF(OR($F133="Delivered",$F133="Approved",$F133="Cancelled"),"—",IF(AND($G133="",$H133=""),"—",IFERROR(MAX(0,N($G133)-N($H133)),"—"))))</f>
        <v>—</v>
      </c>
      <c r="J133" s="18" t="str">
        <f t="shared" ref="J133:J196" ca="1" si="10">IF($E133="","—",IF(OR($F133="Delivered",$F133="Approved",$F133="Cancelled"),"—",IFERROR(INT($E133)-TODAY(),"—")))</f>
        <v>—</v>
      </c>
      <c r="K133" s="32" t="str">
        <f t="shared" ref="K133:K196" si="11">IF($E133="","—",IFERROR(INT($E133)-WEEKDAY(INT($E133),3),"—"))</f>
        <v>—</v>
      </c>
      <c r="L133" s="16"/>
      <c r="M133" s="16"/>
      <c r="N133" s="16"/>
      <c r="O133" s="16"/>
    </row>
    <row r="134" spans="1:15" ht="16" x14ac:dyDescent="0.2">
      <c r="A134" s="14" t="str">
        <f t="shared" si="8"/>
        <v/>
      </c>
      <c r="B134" s="27"/>
      <c r="C134" s="24" t="str">
        <f>IF($B134="","",IF(COUNTIF(Projects!$C$5:$C$64,SUBSTITUTE(SUBSTITUTE(SUBSTITUTE($B134,"~","~~"),"*","~*"),"?","~?"))&gt;0,"✓","not in Projects"))</f>
        <v/>
      </c>
      <c r="D134" s="27"/>
      <c r="E134" s="28"/>
      <c r="F134" s="27"/>
      <c r="G134" s="30"/>
      <c r="H134" s="30"/>
      <c r="I134" s="22" t="str">
        <f t="shared" si="9"/>
        <v>—</v>
      </c>
      <c r="J134" s="18" t="str">
        <f t="shared" ca="1" si="10"/>
        <v>—</v>
      </c>
      <c r="K134" s="32" t="str">
        <f t="shared" si="11"/>
        <v>—</v>
      </c>
      <c r="L134" s="27"/>
      <c r="M134" s="27"/>
      <c r="N134" s="27"/>
      <c r="O134" s="27"/>
    </row>
    <row r="135" spans="1:15" ht="16" x14ac:dyDescent="0.2">
      <c r="A135" s="14" t="str">
        <f t="shared" si="8"/>
        <v/>
      </c>
      <c r="B135" s="16"/>
      <c r="C135" s="24" t="str">
        <f>IF($B135="","",IF(COUNTIF(Projects!$C$5:$C$64,SUBSTITUTE(SUBSTITUTE(SUBSTITUTE($B135,"~","~~"),"*","~*"),"?","~?"))&gt;0,"✓","not in Projects"))</f>
        <v/>
      </c>
      <c r="D135" s="16"/>
      <c r="E135" s="17"/>
      <c r="F135" s="16"/>
      <c r="G135" s="21"/>
      <c r="H135" s="21"/>
      <c r="I135" s="22" t="str">
        <f t="shared" si="9"/>
        <v>—</v>
      </c>
      <c r="J135" s="18" t="str">
        <f t="shared" ca="1" si="10"/>
        <v>—</v>
      </c>
      <c r="K135" s="32" t="str">
        <f t="shared" si="11"/>
        <v>—</v>
      </c>
      <c r="L135" s="16"/>
      <c r="M135" s="16"/>
      <c r="N135" s="16"/>
      <c r="O135" s="16"/>
    </row>
    <row r="136" spans="1:15" ht="16" x14ac:dyDescent="0.2">
      <c r="A136" s="14" t="str">
        <f t="shared" si="8"/>
        <v/>
      </c>
      <c r="B136" s="27"/>
      <c r="C136" s="24" t="str">
        <f>IF($B136="","",IF(COUNTIF(Projects!$C$5:$C$64,SUBSTITUTE(SUBSTITUTE(SUBSTITUTE($B136,"~","~~"),"*","~*"),"?","~?"))&gt;0,"✓","not in Projects"))</f>
        <v/>
      </c>
      <c r="D136" s="27"/>
      <c r="E136" s="28"/>
      <c r="F136" s="27"/>
      <c r="G136" s="30"/>
      <c r="H136" s="30"/>
      <c r="I136" s="22" t="str">
        <f t="shared" si="9"/>
        <v>—</v>
      </c>
      <c r="J136" s="18" t="str">
        <f t="shared" ca="1" si="10"/>
        <v>—</v>
      </c>
      <c r="K136" s="32" t="str">
        <f t="shared" si="11"/>
        <v>—</v>
      </c>
      <c r="L136" s="27"/>
      <c r="M136" s="27"/>
      <c r="N136" s="27"/>
      <c r="O136" s="27"/>
    </row>
    <row r="137" spans="1:15" ht="16" x14ac:dyDescent="0.2">
      <c r="A137" s="14" t="str">
        <f t="shared" si="8"/>
        <v/>
      </c>
      <c r="B137" s="16"/>
      <c r="C137" s="24" t="str">
        <f>IF($B137="","",IF(COUNTIF(Projects!$C$5:$C$64,SUBSTITUTE(SUBSTITUTE(SUBSTITUTE($B137,"~","~~"),"*","~*"),"?","~?"))&gt;0,"✓","not in Projects"))</f>
        <v/>
      </c>
      <c r="D137" s="16"/>
      <c r="E137" s="17"/>
      <c r="F137" s="16"/>
      <c r="G137" s="21"/>
      <c r="H137" s="21"/>
      <c r="I137" s="22" t="str">
        <f t="shared" si="9"/>
        <v>—</v>
      </c>
      <c r="J137" s="18" t="str">
        <f t="shared" ca="1" si="10"/>
        <v>—</v>
      </c>
      <c r="K137" s="32" t="str">
        <f t="shared" si="11"/>
        <v>—</v>
      </c>
      <c r="L137" s="16"/>
      <c r="M137" s="16"/>
      <c r="N137" s="16"/>
      <c r="O137" s="16"/>
    </row>
    <row r="138" spans="1:15" ht="16" x14ac:dyDescent="0.2">
      <c r="A138" s="14" t="str">
        <f t="shared" si="8"/>
        <v/>
      </c>
      <c r="B138" s="27"/>
      <c r="C138" s="24" t="str">
        <f>IF($B138="","",IF(COUNTIF(Projects!$C$5:$C$64,SUBSTITUTE(SUBSTITUTE(SUBSTITUTE($B138,"~","~~"),"*","~*"),"?","~?"))&gt;0,"✓","not in Projects"))</f>
        <v/>
      </c>
      <c r="D138" s="27"/>
      <c r="E138" s="28"/>
      <c r="F138" s="27"/>
      <c r="G138" s="30"/>
      <c r="H138" s="30"/>
      <c r="I138" s="22" t="str">
        <f t="shared" si="9"/>
        <v>—</v>
      </c>
      <c r="J138" s="18" t="str">
        <f t="shared" ca="1" si="10"/>
        <v>—</v>
      </c>
      <c r="K138" s="32" t="str">
        <f t="shared" si="11"/>
        <v>—</v>
      </c>
      <c r="L138" s="27"/>
      <c r="M138" s="27"/>
      <c r="N138" s="27"/>
      <c r="O138" s="27"/>
    </row>
    <row r="139" spans="1:15" ht="16" x14ac:dyDescent="0.2">
      <c r="A139" s="14" t="str">
        <f t="shared" si="8"/>
        <v/>
      </c>
      <c r="B139" s="16"/>
      <c r="C139" s="24" t="str">
        <f>IF($B139="","",IF(COUNTIF(Projects!$C$5:$C$64,SUBSTITUTE(SUBSTITUTE(SUBSTITUTE($B139,"~","~~"),"*","~*"),"?","~?"))&gt;0,"✓","not in Projects"))</f>
        <v/>
      </c>
      <c r="D139" s="16"/>
      <c r="E139" s="17"/>
      <c r="F139" s="16"/>
      <c r="G139" s="21"/>
      <c r="H139" s="21"/>
      <c r="I139" s="22" t="str">
        <f t="shared" si="9"/>
        <v>—</v>
      </c>
      <c r="J139" s="18" t="str">
        <f t="shared" ca="1" si="10"/>
        <v>—</v>
      </c>
      <c r="K139" s="32" t="str">
        <f t="shared" si="11"/>
        <v>—</v>
      </c>
      <c r="L139" s="16"/>
      <c r="M139" s="16"/>
      <c r="N139" s="16"/>
      <c r="O139" s="16"/>
    </row>
    <row r="140" spans="1:15" ht="16" x14ac:dyDescent="0.2">
      <c r="A140" s="14" t="str">
        <f t="shared" si="8"/>
        <v/>
      </c>
      <c r="B140" s="27"/>
      <c r="C140" s="24" t="str">
        <f>IF($B140="","",IF(COUNTIF(Projects!$C$5:$C$64,SUBSTITUTE(SUBSTITUTE(SUBSTITUTE($B140,"~","~~"),"*","~*"),"?","~?"))&gt;0,"✓","not in Projects"))</f>
        <v/>
      </c>
      <c r="D140" s="27"/>
      <c r="E140" s="28"/>
      <c r="F140" s="27"/>
      <c r="G140" s="30"/>
      <c r="H140" s="30"/>
      <c r="I140" s="22" t="str">
        <f t="shared" si="9"/>
        <v>—</v>
      </c>
      <c r="J140" s="18" t="str">
        <f t="shared" ca="1" si="10"/>
        <v>—</v>
      </c>
      <c r="K140" s="32" t="str">
        <f t="shared" si="11"/>
        <v>—</v>
      </c>
      <c r="L140" s="27"/>
      <c r="M140" s="27"/>
      <c r="N140" s="27"/>
      <c r="O140" s="27"/>
    </row>
    <row r="141" spans="1:15" ht="16" x14ac:dyDescent="0.2">
      <c r="A141" s="14" t="str">
        <f t="shared" si="8"/>
        <v/>
      </c>
      <c r="B141" s="16"/>
      <c r="C141" s="24" t="str">
        <f>IF($B141="","",IF(COUNTIF(Projects!$C$5:$C$64,SUBSTITUTE(SUBSTITUTE(SUBSTITUTE($B141,"~","~~"),"*","~*"),"?","~?"))&gt;0,"✓","not in Projects"))</f>
        <v/>
      </c>
      <c r="D141" s="16"/>
      <c r="E141" s="17"/>
      <c r="F141" s="16"/>
      <c r="G141" s="21"/>
      <c r="H141" s="21"/>
      <c r="I141" s="22" t="str">
        <f t="shared" si="9"/>
        <v>—</v>
      </c>
      <c r="J141" s="18" t="str">
        <f t="shared" ca="1" si="10"/>
        <v>—</v>
      </c>
      <c r="K141" s="32" t="str">
        <f t="shared" si="11"/>
        <v>—</v>
      </c>
      <c r="L141" s="16"/>
      <c r="M141" s="16"/>
      <c r="N141" s="16"/>
      <c r="O141" s="16"/>
    </row>
    <row r="142" spans="1:15" ht="16" x14ac:dyDescent="0.2">
      <c r="A142" s="14" t="str">
        <f t="shared" si="8"/>
        <v/>
      </c>
      <c r="B142" s="27"/>
      <c r="C142" s="24" t="str">
        <f>IF($B142="","",IF(COUNTIF(Projects!$C$5:$C$64,SUBSTITUTE(SUBSTITUTE(SUBSTITUTE($B142,"~","~~"),"*","~*"),"?","~?"))&gt;0,"✓","not in Projects"))</f>
        <v/>
      </c>
      <c r="D142" s="27"/>
      <c r="E142" s="28"/>
      <c r="F142" s="27"/>
      <c r="G142" s="30"/>
      <c r="H142" s="30"/>
      <c r="I142" s="22" t="str">
        <f t="shared" si="9"/>
        <v>—</v>
      </c>
      <c r="J142" s="18" t="str">
        <f t="shared" ca="1" si="10"/>
        <v>—</v>
      </c>
      <c r="K142" s="32" t="str">
        <f t="shared" si="11"/>
        <v>—</v>
      </c>
      <c r="L142" s="27"/>
      <c r="M142" s="27"/>
      <c r="N142" s="27"/>
      <c r="O142" s="27"/>
    </row>
    <row r="143" spans="1:15" ht="16" x14ac:dyDescent="0.2">
      <c r="A143" s="14" t="str">
        <f t="shared" si="8"/>
        <v/>
      </c>
      <c r="B143" s="16"/>
      <c r="C143" s="24" t="str">
        <f>IF($B143="","",IF(COUNTIF(Projects!$C$5:$C$64,SUBSTITUTE(SUBSTITUTE(SUBSTITUTE($B143,"~","~~"),"*","~*"),"?","~?"))&gt;0,"✓","not in Projects"))</f>
        <v/>
      </c>
      <c r="D143" s="16"/>
      <c r="E143" s="17"/>
      <c r="F143" s="16"/>
      <c r="G143" s="21"/>
      <c r="H143" s="21"/>
      <c r="I143" s="22" t="str">
        <f t="shared" si="9"/>
        <v>—</v>
      </c>
      <c r="J143" s="18" t="str">
        <f t="shared" ca="1" si="10"/>
        <v>—</v>
      </c>
      <c r="K143" s="32" t="str">
        <f t="shared" si="11"/>
        <v>—</v>
      </c>
      <c r="L143" s="16"/>
      <c r="M143" s="16"/>
      <c r="N143" s="16"/>
      <c r="O143" s="16"/>
    </row>
    <row r="144" spans="1:15" ht="16" x14ac:dyDescent="0.2">
      <c r="A144" s="14" t="str">
        <f t="shared" si="8"/>
        <v/>
      </c>
      <c r="B144" s="27"/>
      <c r="C144" s="24" t="str">
        <f>IF($B144="","",IF(COUNTIF(Projects!$C$5:$C$64,SUBSTITUTE(SUBSTITUTE(SUBSTITUTE($B144,"~","~~"),"*","~*"),"?","~?"))&gt;0,"✓","not in Projects"))</f>
        <v/>
      </c>
      <c r="D144" s="27"/>
      <c r="E144" s="28"/>
      <c r="F144" s="27"/>
      <c r="G144" s="30"/>
      <c r="H144" s="30"/>
      <c r="I144" s="22" t="str">
        <f t="shared" si="9"/>
        <v>—</v>
      </c>
      <c r="J144" s="18" t="str">
        <f t="shared" ca="1" si="10"/>
        <v>—</v>
      </c>
      <c r="K144" s="32" t="str">
        <f t="shared" si="11"/>
        <v>—</v>
      </c>
      <c r="L144" s="27"/>
      <c r="M144" s="27"/>
      <c r="N144" s="27"/>
      <c r="O144" s="27"/>
    </row>
    <row r="145" spans="1:15" ht="16" x14ac:dyDescent="0.2">
      <c r="A145" s="14" t="str">
        <f t="shared" si="8"/>
        <v/>
      </c>
      <c r="B145" s="16"/>
      <c r="C145" s="24" t="str">
        <f>IF($B145="","",IF(COUNTIF(Projects!$C$5:$C$64,SUBSTITUTE(SUBSTITUTE(SUBSTITUTE($B145,"~","~~"),"*","~*"),"?","~?"))&gt;0,"✓","not in Projects"))</f>
        <v/>
      </c>
      <c r="D145" s="16"/>
      <c r="E145" s="17"/>
      <c r="F145" s="16"/>
      <c r="G145" s="21"/>
      <c r="H145" s="21"/>
      <c r="I145" s="22" t="str">
        <f t="shared" si="9"/>
        <v>—</v>
      </c>
      <c r="J145" s="18" t="str">
        <f t="shared" ca="1" si="10"/>
        <v>—</v>
      </c>
      <c r="K145" s="32" t="str">
        <f t="shared" si="11"/>
        <v>—</v>
      </c>
      <c r="L145" s="16"/>
      <c r="M145" s="16"/>
      <c r="N145" s="16"/>
      <c r="O145" s="16"/>
    </row>
    <row r="146" spans="1:15" ht="16" x14ac:dyDescent="0.2">
      <c r="A146" s="14" t="str">
        <f t="shared" si="8"/>
        <v/>
      </c>
      <c r="B146" s="27"/>
      <c r="C146" s="24" t="str">
        <f>IF($B146="","",IF(COUNTIF(Projects!$C$5:$C$64,SUBSTITUTE(SUBSTITUTE(SUBSTITUTE($B146,"~","~~"),"*","~*"),"?","~?"))&gt;0,"✓","not in Projects"))</f>
        <v/>
      </c>
      <c r="D146" s="27"/>
      <c r="E146" s="28"/>
      <c r="F146" s="27"/>
      <c r="G146" s="30"/>
      <c r="H146" s="30"/>
      <c r="I146" s="22" t="str">
        <f t="shared" si="9"/>
        <v>—</v>
      </c>
      <c r="J146" s="18" t="str">
        <f t="shared" ca="1" si="10"/>
        <v>—</v>
      </c>
      <c r="K146" s="32" t="str">
        <f t="shared" si="11"/>
        <v>—</v>
      </c>
      <c r="L146" s="27"/>
      <c r="M146" s="27"/>
      <c r="N146" s="27"/>
      <c r="O146" s="27"/>
    </row>
    <row r="147" spans="1:15" ht="16" x14ac:dyDescent="0.2">
      <c r="A147" s="14" t="str">
        <f t="shared" si="8"/>
        <v/>
      </c>
      <c r="B147" s="16"/>
      <c r="C147" s="24" t="str">
        <f>IF($B147="","",IF(COUNTIF(Projects!$C$5:$C$64,SUBSTITUTE(SUBSTITUTE(SUBSTITUTE($B147,"~","~~"),"*","~*"),"?","~?"))&gt;0,"✓","not in Projects"))</f>
        <v/>
      </c>
      <c r="D147" s="16"/>
      <c r="E147" s="17"/>
      <c r="F147" s="16"/>
      <c r="G147" s="21"/>
      <c r="H147" s="21"/>
      <c r="I147" s="22" t="str">
        <f t="shared" si="9"/>
        <v>—</v>
      </c>
      <c r="J147" s="18" t="str">
        <f t="shared" ca="1" si="10"/>
        <v>—</v>
      </c>
      <c r="K147" s="32" t="str">
        <f t="shared" si="11"/>
        <v>—</v>
      </c>
      <c r="L147" s="16"/>
      <c r="M147" s="16"/>
      <c r="N147" s="16"/>
      <c r="O147" s="16"/>
    </row>
    <row r="148" spans="1:15" ht="16" x14ac:dyDescent="0.2">
      <c r="A148" s="14" t="str">
        <f t="shared" si="8"/>
        <v/>
      </c>
      <c r="B148" s="27"/>
      <c r="C148" s="24" t="str">
        <f>IF($B148="","",IF(COUNTIF(Projects!$C$5:$C$64,SUBSTITUTE(SUBSTITUTE(SUBSTITUTE($B148,"~","~~"),"*","~*"),"?","~?"))&gt;0,"✓","not in Projects"))</f>
        <v/>
      </c>
      <c r="D148" s="27"/>
      <c r="E148" s="28"/>
      <c r="F148" s="27"/>
      <c r="G148" s="30"/>
      <c r="H148" s="30"/>
      <c r="I148" s="22" t="str">
        <f t="shared" si="9"/>
        <v>—</v>
      </c>
      <c r="J148" s="18" t="str">
        <f t="shared" ca="1" si="10"/>
        <v>—</v>
      </c>
      <c r="K148" s="32" t="str">
        <f t="shared" si="11"/>
        <v>—</v>
      </c>
      <c r="L148" s="27"/>
      <c r="M148" s="27"/>
      <c r="N148" s="27"/>
      <c r="O148" s="27"/>
    </row>
    <row r="149" spans="1:15" ht="16" x14ac:dyDescent="0.2">
      <c r="A149" s="14" t="str">
        <f t="shared" si="8"/>
        <v/>
      </c>
      <c r="B149" s="16"/>
      <c r="C149" s="24" t="str">
        <f>IF($B149="","",IF(COUNTIF(Projects!$C$5:$C$64,SUBSTITUTE(SUBSTITUTE(SUBSTITUTE($B149,"~","~~"),"*","~*"),"?","~?"))&gt;0,"✓","not in Projects"))</f>
        <v/>
      </c>
      <c r="D149" s="16"/>
      <c r="E149" s="17"/>
      <c r="F149" s="16"/>
      <c r="G149" s="21"/>
      <c r="H149" s="21"/>
      <c r="I149" s="22" t="str">
        <f t="shared" si="9"/>
        <v>—</v>
      </c>
      <c r="J149" s="18" t="str">
        <f t="shared" ca="1" si="10"/>
        <v>—</v>
      </c>
      <c r="K149" s="32" t="str">
        <f t="shared" si="11"/>
        <v>—</v>
      </c>
      <c r="L149" s="16"/>
      <c r="M149" s="16"/>
      <c r="N149" s="16"/>
      <c r="O149" s="16"/>
    </row>
    <row r="150" spans="1:15" ht="16" x14ac:dyDescent="0.2">
      <c r="A150" s="14" t="str">
        <f t="shared" si="8"/>
        <v/>
      </c>
      <c r="B150" s="27"/>
      <c r="C150" s="24" t="str">
        <f>IF($B150="","",IF(COUNTIF(Projects!$C$5:$C$64,SUBSTITUTE(SUBSTITUTE(SUBSTITUTE($B150,"~","~~"),"*","~*"),"?","~?"))&gt;0,"✓","not in Projects"))</f>
        <v/>
      </c>
      <c r="D150" s="27"/>
      <c r="E150" s="28"/>
      <c r="F150" s="27"/>
      <c r="G150" s="30"/>
      <c r="H150" s="30"/>
      <c r="I150" s="22" t="str">
        <f t="shared" si="9"/>
        <v>—</v>
      </c>
      <c r="J150" s="18" t="str">
        <f t="shared" ca="1" si="10"/>
        <v>—</v>
      </c>
      <c r="K150" s="32" t="str">
        <f t="shared" si="11"/>
        <v>—</v>
      </c>
      <c r="L150" s="27"/>
      <c r="M150" s="27"/>
      <c r="N150" s="27"/>
      <c r="O150" s="27"/>
    </row>
    <row r="151" spans="1:15" ht="16" x14ac:dyDescent="0.2">
      <c r="A151" s="14" t="str">
        <f t="shared" si="8"/>
        <v/>
      </c>
      <c r="B151" s="16"/>
      <c r="C151" s="24" t="str">
        <f>IF($B151="","",IF(COUNTIF(Projects!$C$5:$C$64,SUBSTITUTE(SUBSTITUTE(SUBSTITUTE($B151,"~","~~"),"*","~*"),"?","~?"))&gt;0,"✓","not in Projects"))</f>
        <v/>
      </c>
      <c r="D151" s="16"/>
      <c r="E151" s="17"/>
      <c r="F151" s="16"/>
      <c r="G151" s="21"/>
      <c r="H151" s="21"/>
      <c r="I151" s="22" t="str">
        <f t="shared" si="9"/>
        <v>—</v>
      </c>
      <c r="J151" s="18" t="str">
        <f t="shared" ca="1" si="10"/>
        <v>—</v>
      </c>
      <c r="K151" s="32" t="str">
        <f t="shared" si="11"/>
        <v>—</v>
      </c>
      <c r="L151" s="16"/>
      <c r="M151" s="16"/>
      <c r="N151" s="16"/>
      <c r="O151" s="16"/>
    </row>
    <row r="152" spans="1:15" ht="16" x14ac:dyDescent="0.2">
      <c r="A152" s="14" t="str">
        <f t="shared" si="8"/>
        <v/>
      </c>
      <c r="B152" s="27"/>
      <c r="C152" s="24" t="str">
        <f>IF($B152="","",IF(COUNTIF(Projects!$C$5:$C$64,SUBSTITUTE(SUBSTITUTE(SUBSTITUTE($B152,"~","~~"),"*","~*"),"?","~?"))&gt;0,"✓","not in Projects"))</f>
        <v/>
      </c>
      <c r="D152" s="27"/>
      <c r="E152" s="28"/>
      <c r="F152" s="27"/>
      <c r="G152" s="30"/>
      <c r="H152" s="30"/>
      <c r="I152" s="22" t="str">
        <f t="shared" si="9"/>
        <v>—</v>
      </c>
      <c r="J152" s="18" t="str">
        <f t="shared" ca="1" si="10"/>
        <v>—</v>
      </c>
      <c r="K152" s="32" t="str">
        <f t="shared" si="11"/>
        <v>—</v>
      </c>
      <c r="L152" s="27"/>
      <c r="M152" s="27"/>
      <c r="N152" s="27"/>
      <c r="O152" s="27"/>
    </row>
    <row r="153" spans="1:15" ht="16" x14ac:dyDescent="0.2">
      <c r="A153" s="14" t="str">
        <f t="shared" si="8"/>
        <v/>
      </c>
      <c r="B153" s="16"/>
      <c r="C153" s="24" t="str">
        <f>IF($B153="","",IF(COUNTIF(Projects!$C$5:$C$64,SUBSTITUTE(SUBSTITUTE(SUBSTITUTE($B153,"~","~~"),"*","~*"),"?","~?"))&gt;0,"✓","not in Projects"))</f>
        <v/>
      </c>
      <c r="D153" s="16"/>
      <c r="E153" s="17"/>
      <c r="F153" s="16"/>
      <c r="G153" s="21"/>
      <c r="H153" s="21"/>
      <c r="I153" s="22" t="str">
        <f t="shared" si="9"/>
        <v>—</v>
      </c>
      <c r="J153" s="18" t="str">
        <f t="shared" ca="1" si="10"/>
        <v>—</v>
      </c>
      <c r="K153" s="32" t="str">
        <f t="shared" si="11"/>
        <v>—</v>
      </c>
      <c r="L153" s="16"/>
      <c r="M153" s="16"/>
      <c r="N153" s="16"/>
      <c r="O153" s="16"/>
    </row>
    <row r="154" spans="1:15" ht="16" x14ac:dyDescent="0.2">
      <c r="A154" s="14" t="str">
        <f t="shared" si="8"/>
        <v/>
      </c>
      <c r="B154" s="27"/>
      <c r="C154" s="24" t="str">
        <f>IF($B154="","",IF(COUNTIF(Projects!$C$5:$C$64,SUBSTITUTE(SUBSTITUTE(SUBSTITUTE($B154,"~","~~"),"*","~*"),"?","~?"))&gt;0,"✓","not in Projects"))</f>
        <v/>
      </c>
      <c r="D154" s="27"/>
      <c r="E154" s="28"/>
      <c r="F154" s="27"/>
      <c r="G154" s="30"/>
      <c r="H154" s="30"/>
      <c r="I154" s="22" t="str">
        <f t="shared" si="9"/>
        <v>—</v>
      </c>
      <c r="J154" s="18" t="str">
        <f t="shared" ca="1" si="10"/>
        <v>—</v>
      </c>
      <c r="K154" s="32" t="str">
        <f t="shared" si="11"/>
        <v>—</v>
      </c>
      <c r="L154" s="27"/>
      <c r="M154" s="27"/>
      <c r="N154" s="27"/>
      <c r="O154" s="27"/>
    </row>
    <row r="155" spans="1:15" ht="16" x14ac:dyDescent="0.2">
      <c r="A155" s="14" t="str">
        <f t="shared" si="8"/>
        <v/>
      </c>
      <c r="B155" s="16"/>
      <c r="C155" s="24" t="str">
        <f>IF($B155="","",IF(COUNTIF(Projects!$C$5:$C$64,SUBSTITUTE(SUBSTITUTE(SUBSTITUTE($B155,"~","~~"),"*","~*"),"?","~?"))&gt;0,"✓","not in Projects"))</f>
        <v/>
      </c>
      <c r="D155" s="16"/>
      <c r="E155" s="17"/>
      <c r="F155" s="16"/>
      <c r="G155" s="21"/>
      <c r="H155" s="21"/>
      <c r="I155" s="22" t="str">
        <f t="shared" si="9"/>
        <v>—</v>
      </c>
      <c r="J155" s="18" t="str">
        <f t="shared" ca="1" si="10"/>
        <v>—</v>
      </c>
      <c r="K155" s="32" t="str">
        <f t="shared" si="11"/>
        <v>—</v>
      </c>
      <c r="L155" s="16"/>
      <c r="M155" s="16"/>
      <c r="N155" s="16"/>
      <c r="O155" s="16"/>
    </row>
    <row r="156" spans="1:15" ht="16" x14ac:dyDescent="0.2">
      <c r="A156" s="14" t="str">
        <f t="shared" si="8"/>
        <v/>
      </c>
      <c r="B156" s="27"/>
      <c r="C156" s="24" t="str">
        <f>IF($B156="","",IF(COUNTIF(Projects!$C$5:$C$64,SUBSTITUTE(SUBSTITUTE(SUBSTITUTE($B156,"~","~~"),"*","~*"),"?","~?"))&gt;0,"✓","not in Projects"))</f>
        <v/>
      </c>
      <c r="D156" s="27"/>
      <c r="E156" s="28"/>
      <c r="F156" s="27"/>
      <c r="G156" s="30"/>
      <c r="H156" s="30"/>
      <c r="I156" s="22" t="str">
        <f t="shared" si="9"/>
        <v>—</v>
      </c>
      <c r="J156" s="18" t="str">
        <f t="shared" ca="1" si="10"/>
        <v>—</v>
      </c>
      <c r="K156" s="32" t="str">
        <f t="shared" si="11"/>
        <v>—</v>
      </c>
      <c r="L156" s="27"/>
      <c r="M156" s="27"/>
      <c r="N156" s="27"/>
      <c r="O156" s="27"/>
    </row>
    <row r="157" spans="1:15" ht="16" x14ac:dyDescent="0.2">
      <c r="A157" s="14" t="str">
        <f t="shared" si="8"/>
        <v/>
      </c>
      <c r="B157" s="16"/>
      <c r="C157" s="24" t="str">
        <f>IF($B157="","",IF(COUNTIF(Projects!$C$5:$C$64,SUBSTITUTE(SUBSTITUTE(SUBSTITUTE($B157,"~","~~"),"*","~*"),"?","~?"))&gt;0,"✓","not in Projects"))</f>
        <v/>
      </c>
      <c r="D157" s="16"/>
      <c r="E157" s="17"/>
      <c r="F157" s="16"/>
      <c r="G157" s="21"/>
      <c r="H157" s="21"/>
      <c r="I157" s="22" t="str">
        <f t="shared" si="9"/>
        <v>—</v>
      </c>
      <c r="J157" s="18" t="str">
        <f t="shared" ca="1" si="10"/>
        <v>—</v>
      </c>
      <c r="K157" s="32" t="str">
        <f t="shared" si="11"/>
        <v>—</v>
      </c>
      <c r="L157" s="16"/>
      <c r="M157" s="16"/>
      <c r="N157" s="16"/>
      <c r="O157" s="16"/>
    </row>
    <row r="158" spans="1:15" ht="16" x14ac:dyDescent="0.2">
      <c r="A158" s="14" t="str">
        <f t="shared" si="8"/>
        <v/>
      </c>
      <c r="B158" s="27"/>
      <c r="C158" s="24" t="str">
        <f>IF($B158="","",IF(COUNTIF(Projects!$C$5:$C$64,SUBSTITUTE(SUBSTITUTE(SUBSTITUTE($B158,"~","~~"),"*","~*"),"?","~?"))&gt;0,"✓","not in Projects"))</f>
        <v/>
      </c>
      <c r="D158" s="27"/>
      <c r="E158" s="28"/>
      <c r="F158" s="27"/>
      <c r="G158" s="30"/>
      <c r="H158" s="30"/>
      <c r="I158" s="22" t="str">
        <f t="shared" si="9"/>
        <v>—</v>
      </c>
      <c r="J158" s="18" t="str">
        <f t="shared" ca="1" si="10"/>
        <v>—</v>
      </c>
      <c r="K158" s="32" t="str">
        <f t="shared" si="11"/>
        <v>—</v>
      </c>
      <c r="L158" s="27"/>
      <c r="M158" s="27"/>
      <c r="N158" s="27"/>
      <c r="O158" s="27"/>
    </row>
    <row r="159" spans="1:15" ht="16" x14ac:dyDescent="0.2">
      <c r="A159" s="14" t="str">
        <f t="shared" si="8"/>
        <v/>
      </c>
      <c r="B159" s="16"/>
      <c r="C159" s="24" t="str">
        <f>IF($B159="","",IF(COUNTIF(Projects!$C$5:$C$64,SUBSTITUTE(SUBSTITUTE(SUBSTITUTE($B159,"~","~~"),"*","~*"),"?","~?"))&gt;0,"✓","not in Projects"))</f>
        <v/>
      </c>
      <c r="D159" s="16"/>
      <c r="E159" s="17"/>
      <c r="F159" s="16"/>
      <c r="G159" s="21"/>
      <c r="H159" s="21"/>
      <c r="I159" s="22" t="str">
        <f t="shared" si="9"/>
        <v>—</v>
      </c>
      <c r="J159" s="18" t="str">
        <f t="shared" ca="1" si="10"/>
        <v>—</v>
      </c>
      <c r="K159" s="32" t="str">
        <f t="shared" si="11"/>
        <v>—</v>
      </c>
      <c r="L159" s="16"/>
      <c r="M159" s="16"/>
      <c r="N159" s="16"/>
      <c r="O159" s="16"/>
    </row>
    <row r="160" spans="1:15" ht="16" x14ac:dyDescent="0.2">
      <c r="A160" s="14" t="str">
        <f t="shared" si="8"/>
        <v/>
      </c>
      <c r="B160" s="27"/>
      <c r="C160" s="24" t="str">
        <f>IF($B160="","",IF(COUNTIF(Projects!$C$5:$C$64,SUBSTITUTE(SUBSTITUTE(SUBSTITUTE($B160,"~","~~"),"*","~*"),"?","~?"))&gt;0,"✓","not in Projects"))</f>
        <v/>
      </c>
      <c r="D160" s="27"/>
      <c r="E160" s="28"/>
      <c r="F160" s="27"/>
      <c r="G160" s="30"/>
      <c r="H160" s="30"/>
      <c r="I160" s="22" t="str">
        <f t="shared" si="9"/>
        <v>—</v>
      </c>
      <c r="J160" s="18" t="str">
        <f t="shared" ca="1" si="10"/>
        <v>—</v>
      </c>
      <c r="K160" s="32" t="str">
        <f t="shared" si="11"/>
        <v>—</v>
      </c>
      <c r="L160" s="27"/>
      <c r="M160" s="27"/>
      <c r="N160" s="27"/>
      <c r="O160" s="27"/>
    </row>
    <row r="161" spans="1:15" ht="16" x14ac:dyDescent="0.2">
      <c r="A161" s="14" t="str">
        <f t="shared" si="8"/>
        <v/>
      </c>
      <c r="B161" s="16"/>
      <c r="C161" s="24" t="str">
        <f>IF($B161="","",IF(COUNTIF(Projects!$C$5:$C$64,SUBSTITUTE(SUBSTITUTE(SUBSTITUTE($B161,"~","~~"),"*","~*"),"?","~?"))&gt;0,"✓","not in Projects"))</f>
        <v/>
      </c>
      <c r="D161" s="16"/>
      <c r="E161" s="17"/>
      <c r="F161" s="16"/>
      <c r="G161" s="21"/>
      <c r="H161" s="21"/>
      <c r="I161" s="22" t="str">
        <f t="shared" si="9"/>
        <v>—</v>
      </c>
      <c r="J161" s="18" t="str">
        <f t="shared" ca="1" si="10"/>
        <v>—</v>
      </c>
      <c r="K161" s="32" t="str">
        <f t="shared" si="11"/>
        <v>—</v>
      </c>
      <c r="L161" s="16"/>
      <c r="M161" s="16"/>
      <c r="N161" s="16"/>
      <c r="O161" s="16"/>
    </row>
    <row r="162" spans="1:15" ht="16" x14ac:dyDescent="0.2">
      <c r="A162" s="14" t="str">
        <f t="shared" si="8"/>
        <v/>
      </c>
      <c r="B162" s="27"/>
      <c r="C162" s="24" t="str">
        <f>IF($B162="","",IF(COUNTIF(Projects!$C$5:$C$64,SUBSTITUTE(SUBSTITUTE(SUBSTITUTE($B162,"~","~~"),"*","~*"),"?","~?"))&gt;0,"✓","not in Projects"))</f>
        <v/>
      </c>
      <c r="D162" s="27"/>
      <c r="E162" s="28"/>
      <c r="F162" s="27"/>
      <c r="G162" s="30"/>
      <c r="H162" s="30"/>
      <c r="I162" s="22" t="str">
        <f t="shared" si="9"/>
        <v>—</v>
      </c>
      <c r="J162" s="18" t="str">
        <f t="shared" ca="1" si="10"/>
        <v>—</v>
      </c>
      <c r="K162" s="32" t="str">
        <f t="shared" si="11"/>
        <v>—</v>
      </c>
      <c r="L162" s="27"/>
      <c r="M162" s="27"/>
      <c r="N162" s="27"/>
      <c r="O162" s="27"/>
    </row>
    <row r="163" spans="1:15" ht="16" x14ac:dyDescent="0.2">
      <c r="A163" s="14" t="str">
        <f t="shared" si="8"/>
        <v/>
      </c>
      <c r="B163" s="16"/>
      <c r="C163" s="24" t="str">
        <f>IF($B163="","",IF(COUNTIF(Projects!$C$5:$C$64,SUBSTITUTE(SUBSTITUTE(SUBSTITUTE($B163,"~","~~"),"*","~*"),"?","~?"))&gt;0,"✓","not in Projects"))</f>
        <v/>
      </c>
      <c r="D163" s="16"/>
      <c r="E163" s="17"/>
      <c r="F163" s="16"/>
      <c r="G163" s="21"/>
      <c r="H163" s="21"/>
      <c r="I163" s="22" t="str">
        <f t="shared" si="9"/>
        <v>—</v>
      </c>
      <c r="J163" s="18" t="str">
        <f t="shared" ca="1" si="10"/>
        <v>—</v>
      </c>
      <c r="K163" s="32" t="str">
        <f t="shared" si="11"/>
        <v>—</v>
      </c>
      <c r="L163" s="16"/>
      <c r="M163" s="16"/>
      <c r="N163" s="16"/>
      <c r="O163" s="16"/>
    </row>
    <row r="164" spans="1:15" ht="16" x14ac:dyDescent="0.2">
      <c r="A164" s="14" t="str">
        <f t="shared" si="8"/>
        <v/>
      </c>
      <c r="B164" s="27"/>
      <c r="C164" s="24" t="str">
        <f>IF($B164="","",IF(COUNTIF(Projects!$C$5:$C$64,SUBSTITUTE(SUBSTITUTE(SUBSTITUTE($B164,"~","~~"),"*","~*"),"?","~?"))&gt;0,"✓","not in Projects"))</f>
        <v/>
      </c>
      <c r="D164" s="27"/>
      <c r="E164" s="28"/>
      <c r="F164" s="27"/>
      <c r="G164" s="30"/>
      <c r="H164" s="30"/>
      <c r="I164" s="22" t="str">
        <f t="shared" si="9"/>
        <v>—</v>
      </c>
      <c r="J164" s="18" t="str">
        <f t="shared" ca="1" si="10"/>
        <v>—</v>
      </c>
      <c r="K164" s="32" t="str">
        <f t="shared" si="11"/>
        <v>—</v>
      </c>
      <c r="L164" s="27"/>
      <c r="M164" s="27"/>
      <c r="N164" s="27"/>
      <c r="O164" s="27"/>
    </row>
    <row r="165" spans="1:15" ht="16" x14ac:dyDescent="0.2">
      <c r="A165" s="14" t="str">
        <f t="shared" si="8"/>
        <v/>
      </c>
      <c r="B165" s="16"/>
      <c r="C165" s="24" t="str">
        <f>IF($B165="","",IF(COUNTIF(Projects!$C$5:$C$64,SUBSTITUTE(SUBSTITUTE(SUBSTITUTE($B165,"~","~~"),"*","~*"),"?","~?"))&gt;0,"✓","not in Projects"))</f>
        <v/>
      </c>
      <c r="D165" s="16"/>
      <c r="E165" s="17"/>
      <c r="F165" s="16"/>
      <c r="G165" s="21"/>
      <c r="H165" s="21"/>
      <c r="I165" s="22" t="str">
        <f t="shared" si="9"/>
        <v>—</v>
      </c>
      <c r="J165" s="18" t="str">
        <f t="shared" ca="1" si="10"/>
        <v>—</v>
      </c>
      <c r="K165" s="32" t="str">
        <f t="shared" si="11"/>
        <v>—</v>
      </c>
      <c r="L165" s="16"/>
      <c r="M165" s="16"/>
      <c r="N165" s="16"/>
      <c r="O165" s="16"/>
    </row>
    <row r="166" spans="1:15" ht="16" x14ac:dyDescent="0.2">
      <c r="A166" s="14" t="str">
        <f t="shared" si="8"/>
        <v/>
      </c>
      <c r="B166" s="27"/>
      <c r="C166" s="24" t="str">
        <f>IF($B166="","",IF(COUNTIF(Projects!$C$5:$C$64,SUBSTITUTE(SUBSTITUTE(SUBSTITUTE($B166,"~","~~"),"*","~*"),"?","~?"))&gt;0,"✓","not in Projects"))</f>
        <v/>
      </c>
      <c r="D166" s="27"/>
      <c r="E166" s="28"/>
      <c r="F166" s="27"/>
      <c r="G166" s="30"/>
      <c r="H166" s="30"/>
      <c r="I166" s="22" t="str">
        <f t="shared" si="9"/>
        <v>—</v>
      </c>
      <c r="J166" s="18" t="str">
        <f t="shared" ca="1" si="10"/>
        <v>—</v>
      </c>
      <c r="K166" s="32" t="str">
        <f t="shared" si="11"/>
        <v>—</v>
      </c>
      <c r="L166" s="27"/>
      <c r="M166" s="27"/>
      <c r="N166" s="27"/>
      <c r="O166" s="27"/>
    </row>
    <row r="167" spans="1:15" ht="16" x14ac:dyDescent="0.2">
      <c r="A167" s="14" t="str">
        <f t="shared" si="8"/>
        <v/>
      </c>
      <c r="B167" s="16"/>
      <c r="C167" s="24" t="str">
        <f>IF($B167="","",IF(COUNTIF(Projects!$C$5:$C$64,SUBSTITUTE(SUBSTITUTE(SUBSTITUTE($B167,"~","~~"),"*","~*"),"?","~?"))&gt;0,"✓","not in Projects"))</f>
        <v/>
      </c>
      <c r="D167" s="16"/>
      <c r="E167" s="17"/>
      <c r="F167" s="16"/>
      <c r="G167" s="21"/>
      <c r="H167" s="21"/>
      <c r="I167" s="22" t="str">
        <f t="shared" si="9"/>
        <v>—</v>
      </c>
      <c r="J167" s="18" t="str">
        <f t="shared" ca="1" si="10"/>
        <v>—</v>
      </c>
      <c r="K167" s="32" t="str">
        <f t="shared" si="11"/>
        <v>—</v>
      </c>
      <c r="L167" s="16"/>
      <c r="M167" s="16"/>
      <c r="N167" s="16"/>
      <c r="O167" s="16"/>
    </row>
    <row r="168" spans="1:15" ht="16" x14ac:dyDescent="0.2">
      <c r="A168" s="14" t="str">
        <f t="shared" si="8"/>
        <v/>
      </c>
      <c r="B168" s="27"/>
      <c r="C168" s="24" t="str">
        <f>IF($B168="","",IF(COUNTIF(Projects!$C$5:$C$64,SUBSTITUTE(SUBSTITUTE(SUBSTITUTE($B168,"~","~~"),"*","~*"),"?","~?"))&gt;0,"✓","not in Projects"))</f>
        <v/>
      </c>
      <c r="D168" s="27"/>
      <c r="E168" s="28"/>
      <c r="F168" s="27"/>
      <c r="G168" s="30"/>
      <c r="H168" s="30"/>
      <c r="I168" s="22" t="str">
        <f t="shared" si="9"/>
        <v>—</v>
      </c>
      <c r="J168" s="18" t="str">
        <f t="shared" ca="1" si="10"/>
        <v>—</v>
      </c>
      <c r="K168" s="32" t="str">
        <f t="shared" si="11"/>
        <v>—</v>
      </c>
      <c r="L168" s="27"/>
      <c r="M168" s="27"/>
      <c r="N168" s="27"/>
      <c r="O168" s="27"/>
    </row>
    <row r="169" spans="1:15" ht="16" x14ac:dyDescent="0.2">
      <c r="A169" s="14" t="str">
        <f t="shared" si="8"/>
        <v/>
      </c>
      <c r="B169" s="16"/>
      <c r="C169" s="24" t="str">
        <f>IF($B169="","",IF(COUNTIF(Projects!$C$5:$C$64,SUBSTITUTE(SUBSTITUTE(SUBSTITUTE($B169,"~","~~"),"*","~*"),"?","~?"))&gt;0,"✓","not in Projects"))</f>
        <v/>
      </c>
      <c r="D169" s="16"/>
      <c r="E169" s="17"/>
      <c r="F169" s="16"/>
      <c r="G169" s="21"/>
      <c r="H169" s="21"/>
      <c r="I169" s="22" t="str">
        <f t="shared" si="9"/>
        <v>—</v>
      </c>
      <c r="J169" s="18" t="str">
        <f t="shared" ca="1" si="10"/>
        <v>—</v>
      </c>
      <c r="K169" s="32" t="str">
        <f t="shared" si="11"/>
        <v>—</v>
      </c>
      <c r="L169" s="16"/>
      <c r="M169" s="16"/>
      <c r="N169" s="16"/>
      <c r="O169" s="16"/>
    </row>
    <row r="170" spans="1:15" ht="16" x14ac:dyDescent="0.2">
      <c r="A170" s="14" t="str">
        <f t="shared" si="8"/>
        <v/>
      </c>
      <c r="B170" s="27"/>
      <c r="C170" s="24" t="str">
        <f>IF($B170="","",IF(COUNTIF(Projects!$C$5:$C$64,SUBSTITUTE(SUBSTITUTE(SUBSTITUTE($B170,"~","~~"),"*","~*"),"?","~?"))&gt;0,"✓","not in Projects"))</f>
        <v/>
      </c>
      <c r="D170" s="27"/>
      <c r="E170" s="28"/>
      <c r="F170" s="27"/>
      <c r="G170" s="30"/>
      <c r="H170" s="30"/>
      <c r="I170" s="22" t="str">
        <f t="shared" si="9"/>
        <v>—</v>
      </c>
      <c r="J170" s="18" t="str">
        <f t="shared" ca="1" si="10"/>
        <v>—</v>
      </c>
      <c r="K170" s="32" t="str">
        <f t="shared" si="11"/>
        <v>—</v>
      </c>
      <c r="L170" s="27"/>
      <c r="M170" s="27"/>
      <c r="N170" s="27"/>
      <c r="O170" s="27"/>
    </row>
    <row r="171" spans="1:15" ht="16" x14ac:dyDescent="0.2">
      <c r="A171" s="14" t="str">
        <f t="shared" si="8"/>
        <v/>
      </c>
      <c r="B171" s="16"/>
      <c r="C171" s="24" t="str">
        <f>IF($B171="","",IF(COUNTIF(Projects!$C$5:$C$64,SUBSTITUTE(SUBSTITUTE(SUBSTITUTE($B171,"~","~~"),"*","~*"),"?","~?"))&gt;0,"✓","not in Projects"))</f>
        <v/>
      </c>
      <c r="D171" s="16"/>
      <c r="E171" s="17"/>
      <c r="F171" s="16"/>
      <c r="G171" s="21"/>
      <c r="H171" s="21"/>
      <c r="I171" s="22" t="str">
        <f t="shared" si="9"/>
        <v>—</v>
      </c>
      <c r="J171" s="18" t="str">
        <f t="shared" ca="1" si="10"/>
        <v>—</v>
      </c>
      <c r="K171" s="32" t="str">
        <f t="shared" si="11"/>
        <v>—</v>
      </c>
      <c r="L171" s="16"/>
      <c r="M171" s="16"/>
      <c r="N171" s="16"/>
      <c r="O171" s="16"/>
    </row>
    <row r="172" spans="1:15" ht="16" x14ac:dyDescent="0.2">
      <c r="A172" s="14" t="str">
        <f t="shared" si="8"/>
        <v/>
      </c>
      <c r="B172" s="27"/>
      <c r="C172" s="24" t="str">
        <f>IF($B172="","",IF(COUNTIF(Projects!$C$5:$C$64,SUBSTITUTE(SUBSTITUTE(SUBSTITUTE($B172,"~","~~"),"*","~*"),"?","~?"))&gt;0,"✓","not in Projects"))</f>
        <v/>
      </c>
      <c r="D172" s="27"/>
      <c r="E172" s="28"/>
      <c r="F172" s="27"/>
      <c r="G172" s="30"/>
      <c r="H172" s="30"/>
      <c r="I172" s="22" t="str">
        <f t="shared" si="9"/>
        <v>—</v>
      </c>
      <c r="J172" s="18" t="str">
        <f t="shared" ca="1" si="10"/>
        <v>—</v>
      </c>
      <c r="K172" s="32" t="str">
        <f t="shared" si="11"/>
        <v>—</v>
      </c>
      <c r="L172" s="27"/>
      <c r="M172" s="27"/>
      <c r="N172" s="27"/>
      <c r="O172" s="27"/>
    </row>
    <row r="173" spans="1:15" ht="16" x14ac:dyDescent="0.2">
      <c r="A173" s="14" t="str">
        <f t="shared" si="8"/>
        <v/>
      </c>
      <c r="B173" s="16"/>
      <c r="C173" s="24" t="str">
        <f>IF($B173="","",IF(COUNTIF(Projects!$C$5:$C$64,SUBSTITUTE(SUBSTITUTE(SUBSTITUTE($B173,"~","~~"),"*","~*"),"?","~?"))&gt;0,"✓","not in Projects"))</f>
        <v/>
      </c>
      <c r="D173" s="16"/>
      <c r="E173" s="17"/>
      <c r="F173" s="16"/>
      <c r="G173" s="21"/>
      <c r="H173" s="21"/>
      <c r="I173" s="22" t="str">
        <f t="shared" si="9"/>
        <v>—</v>
      </c>
      <c r="J173" s="18" t="str">
        <f t="shared" ca="1" si="10"/>
        <v>—</v>
      </c>
      <c r="K173" s="32" t="str">
        <f t="shared" si="11"/>
        <v>—</v>
      </c>
      <c r="L173" s="16"/>
      <c r="M173" s="16"/>
      <c r="N173" s="16"/>
      <c r="O173" s="16"/>
    </row>
    <row r="174" spans="1:15" ht="16" x14ac:dyDescent="0.2">
      <c r="A174" s="14" t="str">
        <f t="shared" si="8"/>
        <v/>
      </c>
      <c r="B174" s="27"/>
      <c r="C174" s="24" t="str">
        <f>IF($B174="","",IF(COUNTIF(Projects!$C$5:$C$64,SUBSTITUTE(SUBSTITUTE(SUBSTITUTE($B174,"~","~~"),"*","~*"),"?","~?"))&gt;0,"✓","not in Projects"))</f>
        <v/>
      </c>
      <c r="D174" s="27"/>
      <c r="E174" s="28"/>
      <c r="F174" s="27"/>
      <c r="G174" s="30"/>
      <c r="H174" s="30"/>
      <c r="I174" s="22" t="str">
        <f t="shared" si="9"/>
        <v>—</v>
      </c>
      <c r="J174" s="18" t="str">
        <f t="shared" ca="1" si="10"/>
        <v>—</v>
      </c>
      <c r="K174" s="32" t="str">
        <f t="shared" si="11"/>
        <v>—</v>
      </c>
      <c r="L174" s="27"/>
      <c r="M174" s="27"/>
      <c r="N174" s="27"/>
      <c r="O174" s="27"/>
    </row>
    <row r="175" spans="1:15" ht="16" x14ac:dyDescent="0.2">
      <c r="A175" s="14" t="str">
        <f t="shared" si="8"/>
        <v/>
      </c>
      <c r="B175" s="16"/>
      <c r="C175" s="24" t="str">
        <f>IF($B175="","",IF(COUNTIF(Projects!$C$5:$C$64,SUBSTITUTE(SUBSTITUTE(SUBSTITUTE($B175,"~","~~"),"*","~*"),"?","~?"))&gt;0,"✓","not in Projects"))</f>
        <v/>
      </c>
      <c r="D175" s="16"/>
      <c r="E175" s="17"/>
      <c r="F175" s="16"/>
      <c r="G175" s="21"/>
      <c r="H175" s="21"/>
      <c r="I175" s="22" t="str">
        <f t="shared" si="9"/>
        <v>—</v>
      </c>
      <c r="J175" s="18" t="str">
        <f t="shared" ca="1" si="10"/>
        <v>—</v>
      </c>
      <c r="K175" s="32" t="str">
        <f t="shared" si="11"/>
        <v>—</v>
      </c>
      <c r="L175" s="16"/>
      <c r="M175" s="16"/>
      <c r="N175" s="16"/>
      <c r="O175" s="16"/>
    </row>
    <row r="176" spans="1:15" ht="16" x14ac:dyDescent="0.2">
      <c r="A176" s="14" t="str">
        <f t="shared" si="8"/>
        <v/>
      </c>
      <c r="B176" s="27"/>
      <c r="C176" s="24" t="str">
        <f>IF($B176="","",IF(COUNTIF(Projects!$C$5:$C$64,SUBSTITUTE(SUBSTITUTE(SUBSTITUTE($B176,"~","~~"),"*","~*"),"?","~?"))&gt;0,"✓","not in Projects"))</f>
        <v/>
      </c>
      <c r="D176" s="27"/>
      <c r="E176" s="28"/>
      <c r="F176" s="27"/>
      <c r="G176" s="30"/>
      <c r="H176" s="30"/>
      <c r="I176" s="22" t="str">
        <f t="shared" si="9"/>
        <v>—</v>
      </c>
      <c r="J176" s="18" t="str">
        <f t="shared" ca="1" si="10"/>
        <v>—</v>
      </c>
      <c r="K176" s="32" t="str">
        <f t="shared" si="11"/>
        <v>—</v>
      </c>
      <c r="L176" s="27"/>
      <c r="M176" s="27"/>
      <c r="N176" s="27"/>
      <c r="O176" s="27"/>
    </row>
    <row r="177" spans="1:15" ht="16" x14ac:dyDescent="0.2">
      <c r="A177" s="14" t="str">
        <f t="shared" si="8"/>
        <v/>
      </c>
      <c r="B177" s="16"/>
      <c r="C177" s="24" t="str">
        <f>IF($B177="","",IF(COUNTIF(Projects!$C$5:$C$64,SUBSTITUTE(SUBSTITUTE(SUBSTITUTE($B177,"~","~~"),"*","~*"),"?","~?"))&gt;0,"✓","not in Projects"))</f>
        <v/>
      </c>
      <c r="D177" s="16"/>
      <c r="E177" s="17"/>
      <c r="F177" s="16"/>
      <c r="G177" s="21"/>
      <c r="H177" s="21"/>
      <c r="I177" s="22" t="str">
        <f t="shared" si="9"/>
        <v>—</v>
      </c>
      <c r="J177" s="18" t="str">
        <f t="shared" ca="1" si="10"/>
        <v>—</v>
      </c>
      <c r="K177" s="32" t="str">
        <f t="shared" si="11"/>
        <v>—</v>
      </c>
      <c r="L177" s="16"/>
      <c r="M177" s="16"/>
      <c r="N177" s="16"/>
      <c r="O177" s="16"/>
    </row>
    <row r="178" spans="1:15" ht="16" x14ac:dyDescent="0.2">
      <c r="A178" s="14" t="str">
        <f t="shared" si="8"/>
        <v/>
      </c>
      <c r="B178" s="27"/>
      <c r="C178" s="24" t="str">
        <f>IF($B178="","",IF(COUNTIF(Projects!$C$5:$C$64,SUBSTITUTE(SUBSTITUTE(SUBSTITUTE($B178,"~","~~"),"*","~*"),"?","~?"))&gt;0,"✓","not in Projects"))</f>
        <v/>
      </c>
      <c r="D178" s="27"/>
      <c r="E178" s="28"/>
      <c r="F178" s="27"/>
      <c r="G178" s="30"/>
      <c r="H178" s="30"/>
      <c r="I178" s="22" t="str">
        <f t="shared" si="9"/>
        <v>—</v>
      </c>
      <c r="J178" s="18" t="str">
        <f t="shared" ca="1" si="10"/>
        <v>—</v>
      </c>
      <c r="K178" s="32" t="str">
        <f t="shared" si="11"/>
        <v>—</v>
      </c>
      <c r="L178" s="27"/>
      <c r="M178" s="27"/>
      <c r="N178" s="27"/>
      <c r="O178" s="27"/>
    </row>
    <row r="179" spans="1:15" ht="16" x14ac:dyDescent="0.2">
      <c r="A179" s="14" t="str">
        <f t="shared" si="8"/>
        <v/>
      </c>
      <c r="B179" s="16"/>
      <c r="C179" s="24" t="str">
        <f>IF($B179="","",IF(COUNTIF(Projects!$C$5:$C$64,SUBSTITUTE(SUBSTITUTE(SUBSTITUTE($B179,"~","~~"),"*","~*"),"?","~?"))&gt;0,"✓","not in Projects"))</f>
        <v/>
      </c>
      <c r="D179" s="16"/>
      <c r="E179" s="17"/>
      <c r="F179" s="16"/>
      <c r="G179" s="21"/>
      <c r="H179" s="21"/>
      <c r="I179" s="22" t="str">
        <f t="shared" si="9"/>
        <v>—</v>
      </c>
      <c r="J179" s="18" t="str">
        <f t="shared" ca="1" si="10"/>
        <v>—</v>
      </c>
      <c r="K179" s="32" t="str">
        <f t="shared" si="11"/>
        <v>—</v>
      </c>
      <c r="L179" s="16"/>
      <c r="M179" s="16"/>
      <c r="N179" s="16"/>
      <c r="O179" s="16"/>
    </row>
    <row r="180" spans="1:15" ht="16" x14ac:dyDescent="0.2">
      <c r="A180" s="14" t="str">
        <f t="shared" si="8"/>
        <v/>
      </c>
      <c r="B180" s="27"/>
      <c r="C180" s="24" t="str">
        <f>IF($B180="","",IF(COUNTIF(Projects!$C$5:$C$64,SUBSTITUTE(SUBSTITUTE(SUBSTITUTE($B180,"~","~~"),"*","~*"),"?","~?"))&gt;0,"✓","not in Projects"))</f>
        <v/>
      </c>
      <c r="D180" s="27"/>
      <c r="E180" s="28"/>
      <c r="F180" s="27"/>
      <c r="G180" s="30"/>
      <c r="H180" s="30"/>
      <c r="I180" s="22" t="str">
        <f t="shared" si="9"/>
        <v>—</v>
      </c>
      <c r="J180" s="18" t="str">
        <f t="shared" ca="1" si="10"/>
        <v>—</v>
      </c>
      <c r="K180" s="32" t="str">
        <f t="shared" si="11"/>
        <v>—</v>
      </c>
      <c r="L180" s="27"/>
      <c r="M180" s="27"/>
      <c r="N180" s="27"/>
      <c r="O180" s="27"/>
    </row>
    <row r="181" spans="1:15" ht="16" x14ac:dyDescent="0.2">
      <c r="A181" s="14" t="str">
        <f t="shared" si="8"/>
        <v/>
      </c>
      <c r="B181" s="16"/>
      <c r="C181" s="24" t="str">
        <f>IF($B181="","",IF(COUNTIF(Projects!$C$5:$C$64,SUBSTITUTE(SUBSTITUTE(SUBSTITUTE($B181,"~","~~"),"*","~*"),"?","~?"))&gt;0,"✓","not in Projects"))</f>
        <v/>
      </c>
      <c r="D181" s="16"/>
      <c r="E181" s="17"/>
      <c r="F181" s="16"/>
      <c r="G181" s="21"/>
      <c r="H181" s="21"/>
      <c r="I181" s="22" t="str">
        <f t="shared" si="9"/>
        <v>—</v>
      </c>
      <c r="J181" s="18" t="str">
        <f t="shared" ca="1" si="10"/>
        <v>—</v>
      </c>
      <c r="K181" s="32" t="str">
        <f t="shared" si="11"/>
        <v>—</v>
      </c>
      <c r="L181" s="16"/>
      <c r="M181" s="16"/>
      <c r="N181" s="16"/>
      <c r="O181" s="16"/>
    </row>
    <row r="182" spans="1:15" ht="16" x14ac:dyDescent="0.2">
      <c r="A182" s="14" t="str">
        <f t="shared" si="8"/>
        <v/>
      </c>
      <c r="B182" s="27"/>
      <c r="C182" s="24" t="str">
        <f>IF($B182="","",IF(COUNTIF(Projects!$C$5:$C$64,SUBSTITUTE(SUBSTITUTE(SUBSTITUTE($B182,"~","~~"),"*","~*"),"?","~?"))&gt;0,"✓","not in Projects"))</f>
        <v/>
      </c>
      <c r="D182" s="27"/>
      <c r="E182" s="28"/>
      <c r="F182" s="27"/>
      <c r="G182" s="30"/>
      <c r="H182" s="30"/>
      <c r="I182" s="22" t="str">
        <f t="shared" si="9"/>
        <v>—</v>
      </c>
      <c r="J182" s="18" t="str">
        <f t="shared" ca="1" si="10"/>
        <v>—</v>
      </c>
      <c r="K182" s="32" t="str">
        <f t="shared" si="11"/>
        <v>—</v>
      </c>
      <c r="L182" s="27"/>
      <c r="M182" s="27"/>
      <c r="N182" s="27"/>
      <c r="O182" s="27"/>
    </row>
    <row r="183" spans="1:15" ht="16" x14ac:dyDescent="0.2">
      <c r="A183" s="14" t="str">
        <f t="shared" si="8"/>
        <v/>
      </c>
      <c r="B183" s="16"/>
      <c r="C183" s="24" t="str">
        <f>IF($B183="","",IF(COUNTIF(Projects!$C$5:$C$64,SUBSTITUTE(SUBSTITUTE(SUBSTITUTE($B183,"~","~~"),"*","~*"),"?","~?"))&gt;0,"✓","not in Projects"))</f>
        <v/>
      </c>
      <c r="D183" s="16"/>
      <c r="E183" s="17"/>
      <c r="F183" s="16"/>
      <c r="G183" s="21"/>
      <c r="H183" s="21"/>
      <c r="I183" s="22" t="str">
        <f t="shared" si="9"/>
        <v>—</v>
      </c>
      <c r="J183" s="18" t="str">
        <f t="shared" ca="1" si="10"/>
        <v>—</v>
      </c>
      <c r="K183" s="32" t="str">
        <f t="shared" si="11"/>
        <v>—</v>
      </c>
      <c r="L183" s="16"/>
      <c r="M183" s="16"/>
      <c r="N183" s="16"/>
      <c r="O183" s="16"/>
    </row>
    <row r="184" spans="1:15" ht="16" x14ac:dyDescent="0.2">
      <c r="A184" s="14" t="str">
        <f t="shared" si="8"/>
        <v/>
      </c>
      <c r="B184" s="27"/>
      <c r="C184" s="24" t="str">
        <f>IF($B184="","",IF(COUNTIF(Projects!$C$5:$C$64,SUBSTITUTE(SUBSTITUTE(SUBSTITUTE($B184,"~","~~"),"*","~*"),"?","~?"))&gt;0,"✓","not in Projects"))</f>
        <v/>
      </c>
      <c r="D184" s="27"/>
      <c r="E184" s="28"/>
      <c r="F184" s="27"/>
      <c r="G184" s="30"/>
      <c r="H184" s="30"/>
      <c r="I184" s="22" t="str">
        <f t="shared" si="9"/>
        <v>—</v>
      </c>
      <c r="J184" s="18" t="str">
        <f t="shared" ca="1" si="10"/>
        <v>—</v>
      </c>
      <c r="K184" s="32" t="str">
        <f t="shared" si="11"/>
        <v>—</v>
      </c>
      <c r="L184" s="27"/>
      <c r="M184" s="27"/>
      <c r="N184" s="27"/>
      <c r="O184" s="27"/>
    </row>
    <row r="185" spans="1:15" ht="16" x14ac:dyDescent="0.2">
      <c r="A185" s="14" t="str">
        <f t="shared" si="8"/>
        <v/>
      </c>
      <c r="B185" s="16"/>
      <c r="C185" s="24" t="str">
        <f>IF($B185="","",IF(COUNTIF(Projects!$C$5:$C$64,SUBSTITUTE(SUBSTITUTE(SUBSTITUTE($B185,"~","~~"),"*","~*"),"?","~?"))&gt;0,"✓","not in Projects"))</f>
        <v/>
      </c>
      <c r="D185" s="16"/>
      <c r="E185" s="17"/>
      <c r="F185" s="16"/>
      <c r="G185" s="21"/>
      <c r="H185" s="21"/>
      <c r="I185" s="22" t="str">
        <f t="shared" si="9"/>
        <v>—</v>
      </c>
      <c r="J185" s="18" t="str">
        <f t="shared" ca="1" si="10"/>
        <v>—</v>
      </c>
      <c r="K185" s="32" t="str">
        <f t="shared" si="11"/>
        <v>—</v>
      </c>
      <c r="L185" s="16"/>
      <c r="M185" s="16"/>
      <c r="N185" s="16"/>
      <c r="O185" s="16"/>
    </row>
    <row r="186" spans="1:15" ht="16" x14ac:dyDescent="0.2">
      <c r="A186" s="14" t="str">
        <f t="shared" si="8"/>
        <v/>
      </c>
      <c r="B186" s="27"/>
      <c r="C186" s="24" t="str">
        <f>IF($B186="","",IF(COUNTIF(Projects!$C$5:$C$64,SUBSTITUTE(SUBSTITUTE(SUBSTITUTE($B186,"~","~~"),"*","~*"),"?","~?"))&gt;0,"✓","not in Projects"))</f>
        <v/>
      </c>
      <c r="D186" s="27"/>
      <c r="E186" s="28"/>
      <c r="F186" s="27"/>
      <c r="G186" s="30"/>
      <c r="H186" s="30"/>
      <c r="I186" s="22" t="str">
        <f t="shared" si="9"/>
        <v>—</v>
      </c>
      <c r="J186" s="18" t="str">
        <f t="shared" ca="1" si="10"/>
        <v>—</v>
      </c>
      <c r="K186" s="32" t="str">
        <f t="shared" si="11"/>
        <v>—</v>
      </c>
      <c r="L186" s="27"/>
      <c r="M186" s="27"/>
      <c r="N186" s="27"/>
      <c r="O186" s="27"/>
    </row>
    <row r="187" spans="1:15" ht="16" x14ac:dyDescent="0.2">
      <c r="A187" s="14" t="str">
        <f t="shared" si="8"/>
        <v/>
      </c>
      <c r="B187" s="16"/>
      <c r="C187" s="24" t="str">
        <f>IF($B187="","",IF(COUNTIF(Projects!$C$5:$C$64,SUBSTITUTE(SUBSTITUTE(SUBSTITUTE($B187,"~","~~"),"*","~*"),"?","~?"))&gt;0,"✓","not in Projects"))</f>
        <v/>
      </c>
      <c r="D187" s="16"/>
      <c r="E187" s="17"/>
      <c r="F187" s="16"/>
      <c r="G187" s="21"/>
      <c r="H187" s="21"/>
      <c r="I187" s="22" t="str">
        <f t="shared" si="9"/>
        <v>—</v>
      </c>
      <c r="J187" s="18" t="str">
        <f t="shared" ca="1" si="10"/>
        <v>—</v>
      </c>
      <c r="K187" s="32" t="str">
        <f t="shared" si="11"/>
        <v>—</v>
      </c>
      <c r="L187" s="16"/>
      <c r="M187" s="16"/>
      <c r="N187" s="16"/>
      <c r="O187" s="16"/>
    </row>
    <row r="188" spans="1:15" ht="16" x14ac:dyDescent="0.2">
      <c r="A188" s="14" t="str">
        <f t="shared" si="8"/>
        <v/>
      </c>
      <c r="B188" s="27"/>
      <c r="C188" s="24" t="str">
        <f>IF($B188="","",IF(COUNTIF(Projects!$C$5:$C$64,SUBSTITUTE(SUBSTITUTE(SUBSTITUTE($B188,"~","~~"),"*","~*"),"?","~?"))&gt;0,"✓","not in Projects"))</f>
        <v/>
      </c>
      <c r="D188" s="27"/>
      <c r="E188" s="28"/>
      <c r="F188" s="27"/>
      <c r="G188" s="30"/>
      <c r="H188" s="30"/>
      <c r="I188" s="22" t="str">
        <f t="shared" si="9"/>
        <v>—</v>
      </c>
      <c r="J188" s="18" t="str">
        <f t="shared" ca="1" si="10"/>
        <v>—</v>
      </c>
      <c r="K188" s="32" t="str">
        <f t="shared" si="11"/>
        <v>—</v>
      </c>
      <c r="L188" s="27"/>
      <c r="M188" s="27"/>
      <c r="N188" s="27"/>
      <c r="O188" s="27"/>
    </row>
    <row r="189" spans="1:15" ht="16" x14ac:dyDescent="0.2">
      <c r="A189" s="14" t="str">
        <f t="shared" si="8"/>
        <v/>
      </c>
      <c r="B189" s="16"/>
      <c r="C189" s="24" t="str">
        <f>IF($B189="","",IF(COUNTIF(Projects!$C$5:$C$64,SUBSTITUTE(SUBSTITUTE(SUBSTITUTE($B189,"~","~~"),"*","~*"),"?","~?"))&gt;0,"✓","not in Projects"))</f>
        <v/>
      </c>
      <c r="D189" s="16"/>
      <c r="E189" s="17"/>
      <c r="F189" s="16"/>
      <c r="G189" s="21"/>
      <c r="H189" s="21"/>
      <c r="I189" s="22" t="str">
        <f t="shared" si="9"/>
        <v>—</v>
      </c>
      <c r="J189" s="18" t="str">
        <f t="shared" ca="1" si="10"/>
        <v>—</v>
      </c>
      <c r="K189" s="32" t="str">
        <f t="shared" si="11"/>
        <v>—</v>
      </c>
      <c r="L189" s="16"/>
      <c r="M189" s="16"/>
      <c r="N189" s="16"/>
      <c r="O189" s="16"/>
    </row>
    <row r="190" spans="1:15" ht="16" x14ac:dyDescent="0.2">
      <c r="A190" s="14" t="str">
        <f t="shared" si="8"/>
        <v/>
      </c>
      <c r="B190" s="27"/>
      <c r="C190" s="24" t="str">
        <f>IF($B190="","",IF(COUNTIF(Projects!$C$5:$C$64,SUBSTITUTE(SUBSTITUTE(SUBSTITUTE($B190,"~","~~"),"*","~*"),"?","~?"))&gt;0,"✓","not in Projects"))</f>
        <v/>
      </c>
      <c r="D190" s="27"/>
      <c r="E190" s="28"/>
      <c r="F190" s="27"/>
      <c r="G190" s="30"/>
      <c r="H190" s="30"/>
      <c r="I190" s="22" t="str">
        <f t="shared" si="9"/>
        <v>—</v>
      </c>
      <c r="J190" s="18" t="str">
        <f t="shared" ca="1" si="10"/>
        <v>—</v>
      </c>
      <c r="K190" s="32" t="str">
        <f t="shared" si="11"/>
        <v>—</v>
      </c>
      <c r="L190" s="27"/>
      <c r="M190" s="27"/>
      <c r="N190" s="27"/>
      <c r="O190" s="27"/>
    </row>
    <row r="191" spans="1:15" ht="16" x14ac:dyDescent="0.2">
      <c r="A191" s="14" t="str">
        <f t="shared" si="8"/>
        <v/>
      </c>
      <c r="B191" s="16"/>
      <c r="C191" s="24" t="str">
        <f>IF($B191="","",IF(COUNTIF(Projects!$C$5:$C$64,SUBSTITUTE(SUBSTITUTE(SUBSTITUTE($B191,"~","~~"),"*","~*"),"?","~?"))&gt;0,"✓","not in Projects"))</f>
        <v/>
      </c>
      <c r="D191" s="16"/>
      <c r="E191" s="17"/>
      <c r="F191" s="16"/>
      <c r="G191" s="21"/>
      <c r="H191" s="21"/>
      <c r="I191" s="22" t="str">
        <f t="shared" si="9"/>
        <v>—</v>
      </c>
      <c r="J191" s="18" t="str">
        <f t="shared" ca="1" si="10"/>
        <v>—</v>
      </c>
      <c r="K191" s="32" t="str">
        <f t="shared" si="11"/>
        <v>—</v>
      </c>
      <c r="L191" s="16"/>
      <c r="M191" s="16"/>
      <c r="N191" s="16"/>
      <c r="O191" s="16"/>
    </row>
    <row r="192" spans="1:15" ht="16" x14ac:dyDescent="0.2">
      <c r="A192" s="14" t="str">
        <f t="shared" si="8"/>
        <v/>
      </c>
      <c r="B192" s="27"/>
      <c r="C192" s="24" t="str">
        <f>IF($B192="","",IF(COUNTIF(Projects!$C$5:$C$64,SUBSTITUTE(SUBSTITUTE(SUBSTITUTE($B192,"~","~~"),"*","~*"),"?","~?"))&gt;0,"✓","not in Projects"))</f>
        <v/>
      </c>
      <c r="D192" s="27"/>
      <c r="E192" s="28"/>
      <c r="F192" s="27"/>
      <c r="G192" s="30"/>
      <c r="H192" s="30"/>
      <c r="I192" s="22" t="str">
        <f t="shared" si="9"/>
        <v>—</v>
      </c>
      <c r="J192" s="18" t="str">
        <f t="shared" ca="1" si="10"/>
        <v>—</v>
      </c>
      <c r="K192" s="32" t="str">
        <f t="shared" si="11"/>
        <v>—</v>
      </c>
      <c r="L192" s="27"/>
      <c r="M192" s="27"/>
      <c r="N192" s="27"/>
      <c r="O192" s="27"/>
    </row>
    <row r="193" spans="1:15" ht="16" x14ac:dyDescent="0.2">
      <c r="A193" s="14" t="str">
        <f t="shared" si="8"/>
        <v/>
      </c>
      <c r="B193" s="16"/>
      <c r="C193" s="24" t="str">
        <f>IF($B193="","",IF(COUNTIF(Projects!$C$5:$C$64,SUBSTITUTE(SUBSTITUTE(SUBSTITUTE($B193,"~","~~"),"*","~*"),"?","~?"))&gt;0,"✓","not in Projects"))</f>
        <v/>
      </c>
      <c r="D193" s="16"/>
      <c r="E193" s="17"/>
      <c r="F193" s="16"/>
      <c r="G193" s="21"/>
      <c r="H193" s="21"/>
      <c r="I193" s="22" t="str">
        <f t="shared" si="9"/>
        <v>—</v>
      </c>
      <c r="J193" s="18" t="str">
        <f t="shared" ca="1" si="10"/>
        <v>—</v>
      </c>
      <c r="K193" s="32" t="str">
        <f t="shared" si="11"/>
        <v>—</v>
      </c>
      <c r="L193" s="16"/>
      <c r="M193" s="16"/>
      <c r="N193" s="16"/>
      <c r="O193" s="16"/>
    </row>
    <row r="194" spans="1:15" ht="16" x14ac:dyDescent="0.2">
      <c r="A194" s="14" t="str">
        <f t="shared" si="8"/>
        <v/>
      </c>
      <c r="B194" s="27"/>
      <c r="C194" s="24" t="str">
        <f>IF($B194="","",IF(COUNTIF(Projects!$C$5:$C$64,SUBSTITUTE(SUBSTITUTE(SUBSTITUTE($B194,"~","~~"),"*","~*"),"?","~?"))&gt;0,"✓","not in Projects"))</f>
        <v/>
      </c>
      <c r="D194" s="27"/>
      <c r="E194" s="28"/>
      <c r="F194" s="27"/>
      <c r="G194" s="30"/>
      <c r="H194" s="30"/>
      <c r="I194" s="22" t="str">
        <f t="shared" si="9"/>
        <v>—</v>
      </c>
      <c r="J194" s="18" t="str">
        <f t="shared" ca="1" si="10"/>
        <v>—</v>
      </c>
      <c r="K194" s="32" t="str">
        <f t="shared" si="11"/>
        <v>—</v>
      </c>
      <c r="L194" s="27"/>
      <c r="M194" s="27"/>
      <c r="N194" s="27"/>
      <c r="O194" s="27"/>
    </row>
    <row r="195" spans="1:15" ht="16" x14ac:dyDescent="0.2">
      <c r="A195" s="14" t="str">
        <f t="shared" si="8"/>
        <v/>
      </c>
      <c r="B195" s="16"/>
      <c r="C195" s="24" t="str">
        <f>IF($B195="","",IF(COUNTIF(Projects!$C$5:$C$64,SUBSTITUTE(SUBSTITUTE(SUBSTITUTE($B195,"~","~~"),"*","~*"),"?","~?"))&gt;0,"✓","not in Projects"))</f>
        <v/>
      </c>
      <c r="D195" s="16"/>
      <c r="E195" s="17"/>
      <c r="F195" s="16"/>
      <c r="G195" s="21"/>
      <c r="H195" s="21"/>
      <c r="I195" s="22" t="str">
        <f t="shared" si="9"/>
        <v>—</v>
      </c>
      <c r="J195" s="18" t="str">
        <f t="shared" ca="1" si="10"/>
        <v>—</v>
      </c>
      <c r="K195" s="32" t="str">
        <f t="shared" si="11"/>
        <v>—</v>
      </c>
      <c r="L195" s="16"/>
      <c r="M195" s="16"/>
      <c r="N195" s="16"/>
      <c r="O195" s="16"/>
    </row>
    <row r="196" spans="1:15" ht="16" x14ac:dyDescent="0.2">
      <c r="A196" s="14" t="str">
        <f t="shared" si="8"/>
        <v/>
      </c>
      <c r="B196" s="27"/>
      <c r="C196" s="24" t="str">
        <f>IF($B196="","",IF(COUNTIF(Projects!$C$5:$C$64,SUBSTITUTE(SUBSTITUTE(SUBSTITUTE($B196,"~","~~"),"*","~*"),"?","~?"))&gt;0,"✓","not in Projects"))</f>
        <v/>
      </c>
      <c r="D196" s="27"/>
      <c r="E196" s="28"/>
      <c r="F196" s="27"/>
      <c r="G196" s="30"/>
      <c r="H196" s="30"/>
      <c r="I196" s="22" t="str">
        <f t="shared" si="9"/>
        <v>—</v>
      </c>
      <c r="J196" s="18" t="str">
        <f t="shared" ca="1" si="10"/>
        <v>—</v>
      </c>
      <c r="K196" s="32" t="str">
        <f t="shared" si="11"/>
        <v>—</v>
      </c>
      <c r="L196" s="27"/>
      <c r="M196" s="27"/>
      <c r="N196" s="27"/>
      <c r="O196" s="27"/>
    </row>
    <row r="197" spans="1:15" ht="16" x14ac:dyDescent="0.2">
      <c r="A197" s="14" t="str">
        <f t="shared" ref="A197:A260" si="12">IF($D197="","",ROW()-4)</f>
        <v/>
      </c>
      <c r="B197" s="16"/>
      <c r="C197" s="24" t="str">
        <f>IF($B197="","",IF(COUNTIF(Projects!$C$5:$C$64,SUBSTITUTE(SUBSTITUTE(SUBSTITUTE($B197,"~","~~"),"*","~*"),"?","~?"))&gt;0,"✓","not in Projects"))</f>
        <v/>
      </c>
      <c r="D197" s="16"/>
      <c r="E197" s="17"/>
      <c r="F197" s="16"/>
      <c r="G197" s="21"/>
      <c r="H197" s="21"/>
      <c r="I197" s="22" t="str">
        <f t="shared" ref="I197:I260" si="13">IF($D197="","—",IF(OR($F197="Delivered",$F197="Approved",$F197="Cancelled"),"—",IF(AND($G197="",$H197=""),"—",IFERROR(MAX(0,N($G197)-N($H197)),"—"))))</f>
        <v>—</v>
      </c>
      <c r="J197" s="18" t="str">
        <f t="shared" ref="J197:J260" ca="1" si="14">IF($E197="","—",IF(OR($F197="Delivered",$F197="Approved",$F197="Cancelled"),"—",IFERROR(INT($E197)-TODAY(),"—")))</f>
        <v>—</v>
      </c>
      <c r="K197" s="32" t="str">
        <f t="shared" ref="K197:K260" si="15">IF($E197="","—",IFERROR(INT($E197)-WEEKDAY(INT($E197),3),"—"))</f>
        <v>—</v>
      </c>
      <c r="L197" s="16"/>
      <c r="M197" s="16"/>
      <c r="N197" s="16"/>
      <c r="O197" s="16"/>
    </row>
    <row r="198" spans="1:15" ht="16" x14ac:dyDescent="0.2">
      <c r="A198" s="14" t="str">
        <f t="shared" si="12"/>
        <v/>
      </c>
      <c r="B198" s="27"/>
      <c r="C198" s="24" t="str">
        <f>IF($B198="","",IF(COUNTIF(Projects!$C$5:$C$64,SUBSTITUTE(SUBSTITUTE(SUBSTITUTE($B198,"~","~~"),"*","~*"),"?","~?"))&gt;0,"✓","not in Projects"))</f>
        <v/>
      </c>
      <c r="D198" s="27"/>
      <c r="E198" s="28"/>
      <c r="F198" s="27"/>
      <c r="G198" s="30"/>
      <c r="H198" s="30"/>
      <c r="I198" s="22" t="str">
        <f t="shared" si="13"/>
        <v>—</v>
      </c>
      <c r="J198" s="18" t="str">
        <f t="shared" ca="1" si="14"/>
        <v>—</v>
      </c>
      <c r="K198" s="32" t="str">
        <f t="shared" si="15"/>
        <v>—</v>
      </c>
      <c r="L198" s="27"/>
      <c r="M198" s="27"/>
      <c r="N198" s="27"/>
      <c r="O198" s="27"/>
    </row>
    <row r="199" spans="1:15" ht="16" x14ac:dyDescent="0.2">
      <c r="A199" s="14" t="str">
        <f t="shared" si="12"/>
        <v/>
      </c>
      <c r="B199" s="16"/>
      <c r="C199" s="24" t="str">
        <f>IF($B199="","",IF(COUNTIF(Projects!$C$5:$C$64,SUBSTITUTE(SUBSTITUTE(SUBSTITUTE($B199,"~","~~"),"*","~*"),"?","~?"))&gt;0,"✓","not in Projects"))</f>
        <v/>
      </c>
      <c r="D199" s="16"/>
      <c r="E199" s="17"/>
      <c r="F199" s="16"/>
      <c r="G199" s="21"/>
      <c r="H199" s="21"/>
      <c r="I199" s="22" t="str">
        <f t="shared" si="13"/>
        <v>—</v>
      </c>
      <c r="J199" s="18" t="str">
        <f t="shared" ca="1" si="14"/>
        <v>—</v>
      </c>
      <c r="K199" s="32" t="str">
        <f t="shared" si="15"/>
        <v>—</v>
      </c>
      <c r="L199" s="16"/>
      <c r="M199" s="16"/>
      <c r="N199" s="16"/>
      <c r="O199" s="16"/>
    </row>
    <row r="200" spans="1:15" ht="16" x14ac:dyDescent="0.2">
      <c r="A200" s="14" t="str">
        <f t="shared" si="12"/>
        <v/>
      </c>
      <c r="B200" s="27"/>
      <c r="C200" s="24" t="str">
        <f>IF($B200="","",IF(COUNTIF(Projects!$C$5:$C$64,SUBSTITUTE(SUBSTITUTE(SUBSTITUTE($B200,"~","~~"),"*","~*"),"?","~?"))&gt;0,"✓","not in Projects"))</f>
        <v/>
      </c>
      <c r="D200" s="27"/>
      <c r="E200" s="28"/>
      <c r="F200" s="27"/>
      <c r="G200" s="30"/>
      <c r="H200" s="30"/>
      <c r="I200" s="22" t="str">
        <f t="shared" si="13"/>
        <v>—</v>
      </c>
      <c r="J200" s="18" t="str">
        <f t="shared" ca="1" si="14"/>
        <v>—</v>
      </c>
      <c r="K200" s="32" t="str">
        <f t="shared" si="15"/>
        <v>—</v>
      </c>
      <c r="L200" s="27"/>
      <c r="M200" s="27"/>
      <c r="N200" s="27"/>
      <c r="O200" s="27"/>
    </row>
    <row r="201" spans="1:15" ht="16" x14ac:dyDescent="0.2">
      <c r="A201" s="14" t="str">
        <f t="shared" si="12"/>
        <v/>
      </c>
      <c r="B201" s="16"/>
      <c r="C201" s="24" t="str">
        <f>IF($B201="","",IF(COUNTIF(Projects!$C$5:$C$64,SUBSTITUTE(SUBSTITUTE(SUBSTITUTE($B201,"~","~~"),"*","~*"),"?","~?"))&gt;0,"✓","not in Projects"))</f>
        <v/>
      </c>
      <c r="D201" s="16"/>
      <c r="E201" s="17"/>
      <c r="F201" s="16"/>
      <c r="G201" s="21"/>
      <c r="H201" s="21"/>
      <c r="I201" s="22" t="str">
        <f t="shared" si="13"/>
        <v>—</v>
      </c>
      <c r="J201" s="18" t="str">
        <f t="shared" ca="1" si="14"/>
        <v>—</v>
      </c>
      <c r="K201" s="32" t="str">
        <f t="shared" si="15"/>
        <v>—</v>
      </c>
      <c r="L201" s="16"/>
      <c r="M201" s="16"/>
      <c r="N201" s="16"/>
      <c r="O201" s="16"/>
    </row>
    <row r="202" spans="1:15" ht="16" x14ac:dyDescent="0.2">
      <c r="A202" s="14" t="str">
        <f t="shared" si="12"/>
        <v/>
      </c>
      <c r="B202" s="27"/>
      <c r="C202" s="24" t="str">
        <f>IF($B202="","",IF(COUNTIF(Projects!$C$5:$C$64,SUBSTITUTE(SUBSTITUTE(SUBSTITUTE($B202,"~","~~"),"*","~*"),"?","~?"))&gt;0,"✓","not in Projects"))</f>
        <v/>
      </c>
      <c r="D202" s="27"/>
      <c r="E202" s="28"/>
      <c r="F202" s="27"/>
      <c r="G202" s="30"/>
      <c r="H202" s="30"/>
      <c r="I202" s="22" t="str">
        <f t="shared" si="13"/>
        <v>—</v>
      </c>
      <c r="J202" s="18" t="str">
        <f t="shared" ca="1" si="14"/>
        <v>—</v>
      </c>
      <c r="K202" s="32" t="str">
        <f t="shared" si="15"/>
        <v>—</v>
      </c>
      <c r="L202" s="27"/>
      <c r="M202" s="27"/>
      <c r="N202" s="27"/>
      <c r="O202" s="27"/>
    </row>
    <row r="203" spans="1:15" ht="16" x14ac:dyDescent="0.2">
      <c r="A203" s="14" t="str">
        <f t="shared" si="12"/>
        <v/>
      </c>
      <c r="B203" s="16"/>
      <c r="C203" s="24" t="str">
        <f>IF($B203="","",IF(COUNTIF(Projects!$C$5:$C$64,SUBSTITUTE(SUBSTITUTE(SUBSTITUTE($B203,"~","~~"),"*","~*"),"?","~?"))&gt;0,"✓","not in Projects"))</f>
        <v/>
      </c>
      <c r="D203" s="16"/>
      <c r="E203" s="17"/>
      <c r="F203" s="16"/>
      <c r="G203" s="21"/>
      <c r="H203" s="21"/>
      <c r="I203" s="22" t="str">
        <f t="shared" si="13"/>
        <v>—</v>
      </c>
      <c r="J203" s="18" t="str">
        <f t="shared" ca="1" si="14"/>
        <v>—</v>
      </c>
      <c r="K203" s="32" t="str">
        <f t="shared" si="15"/>
        <v>—</v>
      </c>
      <c r="L203" s="16"/>
      <c r="M203" s="16"/>
      <c r="N203" s="16"/>
      <c r="O203" s="16"/>
    </row>
    <row r="204" spans="1:15" ht="16" x14ac:dyDescent="0.2">
      <c r="A204" s="14" t="str">
        <f t="shared" si="12"/>
        <v/>
      </c>
      <c r="B204" s="27"/>
      <c r="C204" s="24" t="str">
        <f>IF($B204="","",IF(COUNTIF(Projects!$C$5:$C$64,SUBSTITUTE(SUBSTITUTE(SUBSTITUTE($B204,"~","~~"),"*","~*"),"?","~?"))&gt;0,"✓","not in Projects"))</f>
        <v/>
      </c>
      <c r="D204" s="27"/>
      <c r="E204" s="28"/>
      <c r="F204" s="27"/>
      <c r="G204" s="30"/>
      <c r="H204" s="30"/>
      <c r="I204" s="22" t="str">
        <f t="shared" si="13"/>
        <v>—</v>
      </c>
      <c r="J204" s="18" t="str">
        <f t="shared" ca="1" si="14"/>
        <v>—</v>
      </c>
      <c r="K204" s="32" t="str">
        <f t="shared" si="15"/>
        <v>—</v>
      </c>
      <c r="L204" s="27"/>
      <c r="M204" s="27"/>
      <c r="N204" s="27"/>
      <c r="O204" s="27"/>
    </row>
    <row r="205" spans="1:15" ht="16" x14ac:dyDescent="0.2">
      <c r="A205" s="14" t="str">
        <f t="shared" si="12"/>
        <v/>
      </c>
      <c r="B205" s="16"/>
      <c r="C205" s="24" t="str">
        <f>IF($B205="","",IF(COUNTIF(Projects!$C$5:$C$64,SUBSTITUTE(SUBSTITUTE(SUBSTITUTE($B205,"~","~~"),"*","~*"),"?","~?"))&gt;0,"✓","not in Projects"))</f>
        <v/>
      </c>
      <c r="D205" s="16"/>
      <c r="E205" s="17"/>
      <c r="F205" s="16"/>
      <c r="G205" s="21"/>
      <c r="H205" s="21"/>
      <c r="I205" s="22" t="str">
        <f t="shared" si="13"/>
        <v>—</v>
      </c>
      <c r="J205" s="18" t="str">
        <f t="shared" ca="1" si="14"/>
        <v>—</v>
      </c>
      <c r="K205" s="32" t="str">
        <f t="shared" si="15"/>
        <v>—</v>
      </c>
      <c r="L205" s="16"/>
      <c r="M205" s="16"/>
      <c r="N205" s="16"/>
      <c r="O205" s="16"/>
    </row>
    <row r="206" spans="1:15" ht="16" x14ac:dyDescent="0.2">
      <c r="A206" s="14" t="str">
        <f t="shared" si="12"/>
        <v/>
      </c>
      <c r="B206" s="27"/>
      <c r="C206" s="24" t="str">
        <f>IF($B206="","",IF(COUNTIF(Projects!$C$5:$C$64,SUBSTITUTE(SUBSTITUTE(SUBSTITUTE($B206,"~","~~"),"*","~*"),"?","~?"))&gt;0,"✓","not in Projects"))</f>
        <v/>
      </c>
      <c r="D206" s="27"/>
      <c r="E206" s="28"/>
      <c r="F206" s="27"/>
      <c r="G206" s="30"/>
      <c r="H206" s="30"/>
      <c r="I206" s="22" t="str">
        <f t="shared" si="13"/>
        <v>—</v>
      </c>
      <c r="J206" s="18" t="str">
        <f t="shared" ca="1" si="14"/>
        <v>—</v>
      </c>
      <c r="K206" s="32" t="str">
        <f t="shared" si="15"/>
        <v>—</v>
      </c>
      <c r="L206" s="27"/>
      <c r="M206" s="27"/>
      <c r="N206" s="27"/>
      <c r="O206" s="27"/>
    </row>
    <row r="207" spans="1:15" ht="16" x14ac:dyDescent="0.2">
      <c r="A207" s="14" t="str">
        <f t="shared" si="12"/>
        <v/>
      </c>
      <c r="B207" s="16"/>
      <c r="C207" s="24" t="str">
        <f>IF($B207="","",IF(COUNTIF(Projects!$C$5:$C$64,SUBSTITUTE(SUBSTITUTE(SUBSTITUTE($B207,"~","~~"),"*","~*"),"?","~?"))&gt;0,"✓","not in Projects"))</f>
        <v/>
      </c>
      <c r="D207" s="16"/>
      <c r="E207" s="17"/>
      <c r="F207" s="16"/>
      <c r="G207" s="21"/>
      <c r="H207" s="21"/>
      <c r="I207" s="22" t="str">
        <f t="shared" si="13"/>
        <v>—</v>
      </c>
      <c r="J207" s="18" t="str">
        <f t="shared" ca="1" si="14"/>
        <v>—</v>
      </c>
      <c r="K207" s="32" t="str">
        <f t="shared" si="15"/>
        <v>—</v>
      </c>
      <c r="L207" s="16"/>
      <c r="M207" s="16"/>
      <c r="N207" s="16"/>
      <c r="O207" s="16"/>
    </row>
    <row r="208" spans="1:15" ht="16" x14ac:dyDescent="0.2">
      <c r="A208" s="14" t="str">
        <f t="shared" si="12"/>
        <v/>
      </c>
      <c r="B208" s="27"/>
      <c r="C208" s="24" t="str">
        <f>IF($B208="","",IF(COUNTIF(Projects!$C$5:$C$64,SUBSTITUTE(SUBSTITUTE(SUBSTITUTE($B208,"~","~~"),"*","~*"),"?","~?"))&gt;0,"✓","not in Projects"))</f>
        <v/>
      </c>
      <c r="D208" s="27"/>
      <c r="E208" s="28"/>
      <c r="F208" s="27"/>
      <c r="G208" s="30"/>
      <c r="H208" s="30"/>
      <c r="I208" s="22" t="str">
        <f t="shared" si="13"/>
        <v>—</v>
      </c>
      <c r="J208" s="18" t="str">
        <f t="shared" ca="1" si="14"/>
        <v>—</v>
      </c>
      <c r="K208" s="32" t="str">
        <f t="shared" si="15"/>
        <v>—</v>
      </c>
      <c r="L208" s="27"/>
      <c r="M208" s="27"/>
      <c r="N208" s="27"/>
      <c r="O208" s="27"/>
    </row>
    <row r="209" spans="1:15" ht="16" x14ac:dyDescent="0.2">
      <c r="A209" s="14" t="str">
        <f t="shared" si="12"/>
        <v/>
      </c>
      <c r="B209" s="16"/>
      <c r="C209" s="24" t="str">
        <f>IF($B209="","",IF(COUNTIF(Projects!$C$5:$C$64,SUBSTITUTE(SUBSTITUTE(SUBSTITUTE($B209,"~","~~"),"*","~*"),"?","~?"))&gt;0,"✓","not in Projects"))</f>
        <v/>
      </c>
      <c r="D209" s="16"/>
      <c r="E209" s="17"/>
      <c r="F209" s="16"/>
      <c r="G209" s="21"/>
      <c r="H209" s="21"/>
      <c r="I209" s="22" t="str">
        <f t="shared" si="13"/>
        <v>—</v>
      </c>
      <c r="J209" s="18" t="str">
        <f t="shared" ca="1" si="14"/>
        <v>—</v>
      </c>
      <c r="K209" s="32" t="str">
        <f t="shared" si="15"/>
        <v>—</v>
      </c>
      <c r="L209" s="16"/>
      <c r="M209" s="16"/>
      <c r="N209" s="16"/>
      <c r="O209" s="16"/>
    </row>
    <row r="210" spans="1:15" ht="16" x14ac:dyDescent="0.2">
      <c r="A210" s="14" t="str">
        <f t="shared" si="12"/>
        <v/>
      </c>
      <c r="B210" s="27"/>
      <c r="C210" s="24" t="str">
        <f>IF($B210="","",IF(COUNTIF(Projects!$C$5:$C$64,SUBSTITUTE(SUBSTITUTE(SUBSTITUTE($B210,"~","~~"),"*","~*"),"?","~?"))&gt;0,"✓","not in Projects"))</f>
        <v/>
      </c>
      <c r="D210" s="27"/>
      <c r="E210" s="28"/>
      <c r="F210" s="27"/>
      <c r="G210" s="30"/>
      <c r="H210" s="30"/>
      <c r="I210" s="22" t="str">
        <f t="shared" si="13"/>
        <v>—</v>
      </c>
      <c r="J210" s="18" t="str">
        <f t="shared" ca="1" si="14"/>
        <v>—</v>
      </c>
      <c r="K210" s="32" t="str">
        <f t="shared" si="15"/>
        <v>—</v>
      </c>
      <c r="L210" s="27"/>
      <c r="M210" s="27"/>
      <c r="N210" s="27"/>
      <c r="O210" s="27"/>
    </row>
    <row r="211" spans="1:15" ht="16" x14ac:dyDescent="0.2">
      <c r="A211" s="14" t="str">
        <f t="shared" si="12"/>
        <v/>
      </c>
      <c r="B211" s="16"/>
      <c r="C211" s="24" t="str">
        <f>IF($B211="","",IF(COUNTIF(Projects!$C$5:$C$64,SUBSTITUTE(SUBSTITUTE(SUBSTITUTE($B211,"~","~~"),"*","~*"),"?","~?"))&gt;0,"✓","not in Projects"))</f>
        <v/>
      </c>
      <c r="D211" s="16"/>
      <c r="E211" s="17"/>
      <c r="F211" s="16"/>
      <c r="G211" s="21"/>
      <c r="H211" s="21"/>
      <c r="I211" s="22" t="str">
        <f t="shared" si="13"/>
        <v>—</v>
      </c>
      <c r="J211" s="18" t="str">
        <f t="shared" ca="1" si="14"/>
        <v>—</v>
      </c>
      <c r="K211" s="32" t="str">
        <f t="shared" si="15"/>
        <v>—</v>
      </c>
      <c r="L211" s="16"/>
      <c r="M211" s="16"/>
      <c r="N211" s="16"/>
      <c r="O211" s="16"/>
    </row>
    <row r="212" spans="1:15" ht="16" x14ac:dyDescent="0.2">
      <c r="A212" s="14" t="str">
        <f t="shared" si="12"/>
        <v/>
      </c>
      <c r="B212" s="27"/>
      <c r="C212" s="24" t="str">
        <f>IF($B212="","",IF(COUNTIF(Projects!$C$5:$C$64,SUBSTITUTE(SUBSTITUTE(SUBSTITUTE($B212,"~","~~"),"*","~*"),"?","~?"))&gt;0,"✓","not in Projects"))</f>
        <v/>
      </c>
      <c r="D212" s="27"/>
      <c r="E212" s="28"/>
      <c r="F212" s="27"/>
      <c r="G212" s="30"/>
      <c r="H212" s="30"/>
      <c r="I212" s="22" t="str">
        <f t="shared" si="13"/>
        <v>—</v>
      </c>
      <c r="J212" s="18" t="str">
        <f t="shared" ca="1" si="14"/>
        <v>—</v>
      </c>
      <c r="K212" s="32" t="str">
        <f t="shared" si="15"/>
        <v>—</v>
      </c>
      <c r="L212" s="27"/>
      <c r="M212" s="27"/>
      <c r="N212" s="27"/>
      <c r="O212" s="27"/>
    </row>
    <row r="213" spans="1:15" ht="16" x14ac:dyDescent="0.2">
      <c r="A213" s="14" t="str">
        <f t="shared" si="12"/>
        <v/>
      </c>
      <c r="B213" s="16"/>
      <c r="C213" s="24" t="str">
        <f>IF($B213="","",IF(COUNTIF(Projects!$C$5:$C$64,SUBSTITUTE(SUBSTITUTE(SUBSTITUTE($B213,"~","~~"),"*","~*"),"?","~?"))&gt;0,"✓","not in Projects"))</f>
        <v/>
      </c>
      <c r="D213" s="16"/>
      <c r="E213" s="17"/>
      <c r="F213" s="16"/>
      <c r="G213" s="21"/>
      <c r="H213" s="21"/>
      <c r="I213" s="22" t="str">
        <f t="shared" si="13"/>
        <v>—</v>
      </c>
      <c r="J213" s="18" t="str">
        <f t="shared" ca="1" si="14"/>
        <v>—</v>
      </c>
      <c r="K213" s="32" t="str">
        <f t="shared" si="15"/>
        <v>—</v>
      </c>
      <c r="L213" s="16"/>
      <c r="M213" s="16"/>
      <c r="N213" s="16"/>
      <c r="O213" s="16"/>
    </row>
    <row r="214" spans="1:15" ht="16" x14ac:dyDescent="0.2">
      <c r="A214" s="14" t="str">
        <f t="shared" si="12"/>
        <v/>
      </c>
      <c r="B214" s="27"/>
      <c r="C214" s="24" t="str">
        <f>IF($B214="","",IF(COUNTIF(Projects!$C$5:$C$64,SUBSTITUTE(SUBSTITUTE(SUBSTITUTE($B214,"~","~~"),"*","~*"),"?","~?"))&gt;0,"✓","not in Projects"))</f>
        <v/>
      </c>
      <c r="D214" s="27"/>
      <c r="E214" s="28"/>
      <c r="F214" s="27"/>
      <c r="G214" s="30"/>
      <c r="H214" s="30"/>
      <c r="I214" s="22" t="str">
        <f t="shared" si="13"/>
        <v>—</v>
      </c>
      <c r="J214" s="18" t="str">
        <f t="shared" ca="1" si="14"/>
        <v>—</v>
      </c>
      <c r="K214" s="32" t="str">
        <f t="shared" si="15"/>
        <v>—</v>
      </c>
      <c r="L214" s="27"/>
      <c r="M214" s="27"/>
      <c r="N214" s="27"/>
      <c r="O214" s="27"/>
    </row>
    <row r="215" spans="1:15" ht="16" x14ac:dyDescent="0.2">
      <c r="A215" s="14" t="str">
        <f t="shared" si="12"/>
        <v/>
      </c>
      <c r="B215" s="16"/>
      <c r="C215" s="24" t="str">
        <f>IF($B215="","",IF(COUNTIF(Projects!$C$5:$C$64,SUBSTITUTE(SUBSTITUTE(SUBSTITUTE($B215,"~","~~"),"*","~*"),"?","~?"))&gt;0,"✓","not in Projects"))</f>
        <v/>
      </c>
      <c r="D215" s="16"/>
      <c r="E215" s="17"/>
      <c r="F215" s="16"/>
      <c r="G215" s="21"/>
      <c r="H215" s="21"/>
      <c r="I215" s="22" t="str">
        <f t="shared" si="13"/>
        <v>—</v>
      </c>
      <c r="J215" s="18" t="str">
        <f t="shared" ca="1" si="14"/>
        <v>—</v>
      </c>
      <c r="K215" s="32" t="str">
        <f t="shared" si="15"/>
        <v>—</v>
      </c>
      <c r="L215" s="16"/>
      <c r="M215" s="16"/>
      <c r="N215" s="16"/>
      <c r="O215" s="16"/>
    </row>
    <row r="216" spans="1:15" ht="16" x14ac:dyDescent="0.2">
      <c r="A216" s="14" t="str">
        <f t="shared" si="12"/>
        <v/>
      </c>
      <c r="B216" s="27"/>
      <c r="C216" s="24" t="str">
        <f>IF($B216="","",IF(COUNTIF(Projects!$C$5:$C$64,SUBSTITUTE(SUBSTITUTE(SUBSTITUTE($B216,"~","~~"),"*","~*"),"?","~?"))&gt;0,"✓","not in Projects"))</f>
        <v/>
      </c>
      <c r="D216" s="27"/>
      <c r="E216" s="28"/>
      <c r="F216" s="27"/>
      <c r="G216" s="30"/>
      <c r="H216" s="30"/>
      <c r="I216" s="22" t="str">
        <f t="shared" si="13"/>
        <v>—</v>
      </c>
      <c r="J216" s="18" t="str">
        <f t="shared" ca="1" si="14"/>
        <v>—</v>
      </c>
      <c r="K216" s="32" t="str">
        <f t="shared" si="15"/>
        <v>—</v>
      </c>
      <c r="L216" s="27"/>
      <c r="M216" s="27"/>
      <c r="N216" s="27"/>
      <c r="O216" s="27"/>
    </row>
    <row r="217" spans="1:15" ht="16" x14ac:dyDescent="0.2">
      <c r="A217" s="14" t="str">
        <f t="shared" si="12"/>
        <v/>
      </c>
      <c r="B217" s="16"/>
      <c r="C217" s="24" t="str">
        <f>IF($B217="","",IF(COUNTIF(Projects!$C$5:$C$64,SUBSTITUTE(SUBSTITUTE(SUBSTITUTE($B217,"~","~~"),"*","~*"),"?","~?"))&gt;0,"✓","not in Projects"))</f>
        <v/>
      </c>
      <c r="D217" s="16"/>
      <c r="E217" s="17"/>
      <c r="F217" s="16"/>
      <c r="G217" s="21"/>
      <c r="H217" s="21"/>
      <c r="I217" s="22" t="str">
        <f t="shared" si="13"/>
        <v>—</v>
      </c>
      <c r="J217" s="18" t="str">
        <f t="shared" ca="1" si="14"/>
        <v>—</v>
      </c>
      <c r="K217" s="32" t="str">
        <f t="shared" si="15"/>
        <v>—</v>
      </c>
      <c r="L217" s="16"/>
      <c r="M217" s="16"/>
      <c r="N217" s="16"/>
      <c r="O217" s="16"/>
    </row>
    <row r="218" spans="1:15" ht="16" x14ac:dyDescent="0.2">
      <c r="A218" s="14" t="str">
        <f t="shared" si="12"/>
        <v/>
      </c>
      <c r="B218" s="27"/>
      <c r="C218" s="24" t="str">
        <f>IF($B218="","",IF(COUNTIF(Projects!$C$5:$C$64,SUBSTITUTE(SUBSTITUTE(SUBSTITUTE($B218,"~","~~"),"*","~*"),"?","~?"))&gt;0,"✓","not in Projects"))</f>
        <v/>
      </c>
      <c r="D218" s="27"/>
      <c r="E218" s="28"/>
      <c r="F218" s="27"/>
      <c r="G218" s="30"/>
      <c r="H218" s="30"/>
      <c r="I218" s="22" t="str">
        <f t="shared" si="13"/>
        <v>—</v>
      </c>
      <c r="J218" s="18" t="str">
        <f t="shared" ca="1" si="14"/>
        <v>—</v>
      </c>
      <c r="K218" s="32" t="str">
        <f t="shared" si="15"/>
        <v>—</v>
      </c>
      <c r="L218" s="27"/>
      <c r="M218" s="27"/>
      <c r="N218" s="27"/>
      <c r="O218" s="27"/>
    </row>
    <row r="219" spans="1:15" ht="16" x14ac:dyDescent="0.2">
      <c r="A219" s="14" t="str">
        <f t="shared" si="12"/>
        <v/>
      </c>
      <c r="B219" s="16"/>
      <c r="C219" s="24" t="str">
        <f>IF($B219="","",IF(COUNTIF(Projects!$C$5:$C$64,SUBSTITUTE(SUBSTITUTE(SUBSTITUTE($B219,"~","~~"),"*","~*"),"?","~?"))&gt;0,"✓","not in Projects"))</f>
        <v/>
      </c>
      <c r="D219" s="16"/>
      <c r="E219" s="17"/>
      <c r="F219" s="16"/>
      <c r="G219" s="21"/>
      <c r="H219" s="21"/>
      <c r="I219" s="22" t="str">
        <f t="shared" si="13"/>
        <v>—</v>
      </c>
      <c r="J219" s="18" t="str">
        <f t="shared" ca="1" si="14"/>
        <v>—</v>
      </c>
      <c r="K219" s="32" t="str">
        <f t="shared" si="15"/>
        <v>—</v>
      </c>
      <c r="L219" s="16"/>
      <c r="M219" s="16"/>
      <c r="N219" s="16"/>
      <c r="O219" s="16"/>
    </row>
    <row r="220" spans="1:15" ht="16" x14ac:dyDescent="0.2">
      <c r="A220" s="14" t="str">
        <f t="shared" si="12"/>
        <v/>
      </c>
      <c r="B220" s="27"/>
      <c r="C220" s="24" t="str">
        <f>IF($B220="","",IF(COUNTIF(Projects!$C$5:$C$64,SUBSTITUTE(SUBSTITUTE(SUBSTITUTE($B220,"~","~~"),"*","~*"),"?","~?"))&gt;0,"✓","not in Projects"))</f>
        <v/>
      </c>
      <c r="D220" s="27"/>
      <c r="E220" s="28"/>
      <c r="F220" s="27"/>
      <c r="G220" s="30"/>
      <c r="H220" s="30"/>
      <c r="I220" s="22" t="str">
        <f t="shared" si="13"/>
        <v>—</v>
      </c>
      <c r="J220" s="18" t="str">
        <f t="shared" ca="1" si="14"/>
        <v>—</v>
      </c>
      <c r="K220" s="32" t="str">
        <f t="shared" si="15"/>
        <v>—</v>
      </c>
      <c r="L220" s="27"/>
      <c r="M220" s="27"/>
      <c r="N220" s="27"/>
      <c r="O220" s="27"/>
    </row>
    <row r="221" spans="1:15" ht="16" x14ac:dyDescent="0.2">
      <c r="A221" s="14" t="str">
        <f t="shared" si="12"/>
        <v/>
      </c>
      <c r="B221" s="16"/>
      <c r="C221" s="24" t="str">
        <f>IF($B221="","",IF(COUNTIF(Projects!$C$5:$C$64,SUBSTITUTE(SUBSTITUTE(SUBSTITUTE($B221,"~","~~"),"*","~*"),"?","~?"))&gt;0,"✓","not in Projects"))</f>
        <v/>
      </c>
      <c r="D221" s="16"/>
      <c r="E221" s="17"/>
      <c r="F221" s="16"/>
      <c r="G221" s="21"/>
      <c r="H221" s="21"/>
      <c r="I221" s="22" t="str">
        <f t="shared" si="13"/>
        <v>—</v>
      </c>
      <c r="J221" s="18" t="str">
        <f t="shared" ca="1" si="14"/>
        <v>—</v>
      </c>
      <c r="K221" s="32" t="str">
        <f t="shared" si="15"/>
        <v>—</v>
      </c>
      <c r="L221" s="16"/>
      <c r="M221" s="16"/>
      <c r="N221" s="16"/>
      <c r="O221" s="16"/>
    </row>
    <row r="222" spans="1:15" ht="16" x14ac:dyDescent="0.2">
      <c r="A222" s="14" t="str">
        <f t="shared" si="12"/>
        <v/>
      </c>
      <c r="B222" s="27"/>
      <c r="C222" s="24" t="str">
        <f>IF($B222="","",IF(COUNTIF(Projects!$C$5:$C$64,SUBSTITUTE(SUBSTITUTE(SUBSTITUTE($B222,"~","~~"),"*","~*"),"?","~?"))&gt;0,"✓","not in Projects"))</f>
        <v/>
      </c>
      <c r="D222" s="27"/>
      <c r="E222" s="28"/>
      <c r="F222" s="27"/>
      <c r="G222" s="30"/>
      <c r="H222" s="30"/>
      <c r="I222" s="22" t="str">
        <f t="shared" si="13"/>
        <v>—</v>
      </c>
      <c r="J222" s="18" t="str">
        <f t="shared" ca="1" si="14"/>
        <v>—</v>
      </c>
      <c r="K222" s="32" t="str">
        <f t="shared" si="15"/>
        <v>—</v>
      </c>
      <c r="L222" s="27"/>
      <c r="M222" s="27"/>
      <c r="N222" s="27"/>
      <c r="O222" s="27"/>
    </row>
    <row r="223" spans="1:15" ht="16" x14ac:dyDescent="0.2">
      <c r="A223" s="14" t="str">
        <f t="shared" si="12"/>
        <v/>
      </c>
      <c r="B223" s="16"/>
      <c r="C223" s="24" t="str">
        <f>IF($B223="","",IF(COUNTIF(Projects!$C$5:$C$64,SUBSTITUTE(SUBSTITUTE(SUBSTITUTE($B223,"~","~~"),"*","~*"),"?","~?"))&gt;0,"✓","not in Projects"))</f>
        <v/>
      </c>
      <c r="D223" s="16"/>
      <c r="E223" s="17"/>
      <c r="F223" s="16"/>
      <c r="G223" s="21"/>
      <c r="H223" s="21"/>
      <c r="I223" s="22" t="str">
        <f t="shared" si="13"/>
        <v>—</v>
      </c>
      <c r="J223" s="18" t="str">
        <f t="shared" ca="1" si="14"/>
        <v>—</v>
      </c>
      <c r="K223" s="32" t="str">
        <f t="shared" si="15"/>
        <v>—</v>
      </c>
      <c r="L223" s="16"/>
      <c r="M223" s="16"/>
      <c r="N223" s="16"/>
      <c r="O223" s="16"/>
    </row>
    <row r="224" spans="1:15" ht="16" x14ac:dyDescent="0.2">
      <c r="A224" s="14" t="str">
        <f t="shared" si="12"/>
        <v/>
      </c>
      <c r="B224" s="27"/>
      <c r="C224" s="24" t="str">
        <f>IF($B224="","",IF(COUNTIF(Projects!$C$5:$C$64,SUBSTITUTE(SUBSTITUTE(SUBSTITUTE($B224,"~","~~"),"*","~*"),"?","~?"))&gt;0,"✓","not in Projects"))</f>
        <v/>
      </c>
      <c r="D224" s="27"/>
      <c r="E224" s="28"/>
      <c r="F224" s="27"/>
      <c r="G224" s="30"/>
      <c r="H224" s="30"/>
      <c r="I224" s="22" t="str">
        <f t="shared" si="13"/>
        <v>—</v>
      </c>
      <c r="J224" s="18" t="str">
        <f t="shared" ca="1" si="14"/>
        <v>—</v>
      </c>
      <c r="K224" s="32" t="str">
        <f t="shared" si="15"/>
        <v>—</v>
      </c>
      <c r="L224" s="27"/>
      <c r="M224" s="27"/>
      <c r="N224" s="27"/>
      <c r="O224" s="27"/>
    </row>
    <row r="225" spans="1:15" ht="16" x14ac:dyDescent="0.2">
      <c r="A225" s="14" t="str">
        <f t="shared" si="12"/>
        <v/>
      </c>
      <c r="B225" s="16"/>
      <c r="C225" s="24" t="str">
        <f>IF($B225="","",IF(COUNTIF(Projects!$C$5:$C$64,SUBSTITUTE(SUBSTITUTE(SUBSTITUTE($B225,"~","~~"),"*","~*"),"?","~?"))&gt;0,"✓","not in Projects"))</f>
        <v/>
      </c>
      <c r="D225" s="16"/>
      <c r="E225" s="17"/>
      <c r="F225" s="16"/>
      <c r="G225" s="21"/>
      <c r="H225" s="21"/>
      <c r="I225" s="22" t="str">
        <f t="shared" si="13"/>
        <v>—</v>
      </c>
      <c r="J225" s="18" t="str">
        <f t="shared" ca="1" si="14"/>
        <v>—</v>
      </c>
      <c r="K225" s="32" t="str">
        <f t="shared" si="15"/>
        <v>—</v>
      </c>
      <c r="L225" s="16"/>
      <c r="M225" s="16"/>
      <c r="N225" s="16"/>
      <c r="O225" s="16"/>
    </row>
    <row r="226" spans="1:15" ht="16" x14ac:dyDescent="0.2">
      <c r="A226" s="14" t="str">
        <f t="shared" si="12"/>
        <v/>
      </c>
      <c r="B226" s="27"/>
      <c r="C226" s="24" t="str">
        <f>IF($B226="","",IF(COUNTIF(Projects!$C$5:$C$64,SUBSTITUTE(SUBSTITUTE(SUBSTITUTE($B226,"~","~~"),"*","~*"),"?","~?"))&gt;0,"✓","not in Projects"))</f>
        <v/>
      </c>
      <c r="D226" s="27"/>
      <c r="E226" s="28"/>
      <c r="F226" s="27"/>
      <c r="G226" s="30"/>
      <c r="H226" s="30"/>
      <c r="I226" s="22" t="str">
        <f t="shared" si="13"/>
        <v>—</v>
      </c>
      <c r="J226" s="18" t="str">
        <f t="shared" ca="1" si="14"/>
        <v>—</v>
      </c>
      <c r="K226" s="32" t="str">
        <f t="shared" si="15"/>
        <v>—</v>
      </c>
      <c r="L226" s="27"/>
      <c r="M226" s="27"/>
      <c r="N226" s="27"/>
      <c r="O226" s="27"/>
    </row>
    <row r="227" spans="1:15" ht="16" x14ac:dyDescent="0.2">
      <c r="A227" s="14" t="str">
        <f t="shared" si="12"/>
        <v/>
      </c>
      <c r="B227" s="16"/>
      <c r="C227" s="24" t="str">
        <f>IF($B227="","",IF(COUNTIF(Projects!$C$5:$C$64,SUBSTITUTE(SUBSTITUTE(SUBSTITUTE($B227,"~","~~"),"*","~*"),"?","~?"))&gt;0,"✓","not in Projects"))</f>
        <v/>
      </c>
      <c r="D227" s="16"/>
      <c r="E227" s="17"/>
      <c r="F227" s="16"/>
      <c r="G227" s="21"/>
      <c r="H227" s="21"/>
      <c r="I227" s="22" t="str">
        <f t="shared" si="13"/>
        <v>—</v>
      </c>
      <c r="J227" s="18" t="str">
        <f t="shared" ca="1" si="14"/>
        <v>—</v>
      </c>
      <c r="K227" s="32" t="str">
        <f t="shared" si="15"/>
        <v>—</v>
      </c>
      <c r="L227" s="16"/>
      <c r="M227" s="16"/>
      <c r="N227" s="16"/>
      <c r="O227" s="16"/>
    </row>
    <row r="228" spans="1:15" ht="16" x14ac:dyDescent="0.2">
      <c r="A228" s="14" t="str">
        <f t="shared" si="12"/>
        <v/>
      </c>
      <c r="B228" s="27"/>
      <c r="C228" s="24" t="str">
        <f>IF($B228="","",IF(COUNTIF(Projects!$C$5:$C$64,SUBSTITUTE(SUBSTITUTE(SUBSTITUTE($B228,"~","~~"),"*","~*"),"?","~?"))&gt;0,"✓","not in Projects"))</f>
        <v/>
      </c>
      <c r="D228" s="27"/>
      <c r="E228" s="28"/>
      <c r="F228" s="27"/>
      <c r="G228" s="30"/>
      <c r="H228" s="30"/>
      <c r="I228" s="22" t="str">
        <f t="shared" si="13"/>
        <v>—</v>
      </c>
      <c r="J228" s="18" t="str">
        <f t="shared" ca="1" si="14"/>
        <v>—</v>
      </c>
      <c r="K228" s="32" t="str">
        <f t="shared" si="15"/>
        <v>—</v>
      </c>
      <c r="L228" s="27"/>
      <c r="M228" s="27"/>
      <c r="N228" s="27"/>
      <c r="O228" s="27"/>
    </row>
    <row r="229" spans="1:15" ht="16" x14ac:dyDescent="0.2">
      <c r="A229" s="14" t="str">
        <f t="shared" si="12"/>
        <v/>
      </c>
      <c r="B229" s="16"/>
      <c r="C229" s="24" t="str">
        <f>IF($B229="","",IF(COUNTIF(Projects!$C$5:$C$64,SUBSTITUTE(SUBSTITUTE(SUBSTITUTE($B229,"~","~~"),"*","~*"),"?","~?"))&gt;0,"✓","not in Projects"))</f>
        <v/>
      </c>
      <c r="D229" s="16"/>
      <c r="E229" s="17"/>
      <c r="F229" s="16"/>
      <c r="G229" s="21"/>
      <c r="H229" s="21"/>
      <c r="I229" s="22" t="str">
        <f t="shared" si="13"/>
        <v>—</v>
      </c>
      <c r="J229" s="18" t="str">
        <f t="shared" ca="1" si="14"/>
        <v>—</v>
      </c>
      <c r="K229" s="32" t="str">
        <f t="shared" si="15"/>
        <v>—</v>
      </c>
      <c r="L229" s="16"/>
      <c r="M229" s="16"/>
      <c r="N229" s="16"/>
      <c r="O229" s="16"/>
    </row>
    <row r="230" spans="1:15" ht="16" x14ac:dyDescent="0.2">
      <c r="A230" s="14" t="str">
        <f t="shared" si="12"/>
        <v/>
      </c>
      <c r="B230" s="27"/>
      <c r="C230" s="24" t="str">
        <f>IF($B230="","",IF(COUNTIF(Projects!$C$5:$C$64,SUBSTITUTE(SUBSTITUTE(SUBSTITUTE($B230,"~","~~"),"*","~*"),"?","~?"))&gt;0,"✓","not in Projects"))</f>
        <v/>
      </c>
      <c r="D230" s="27"/>
      <c r="E230" s="28"/>
      <c r="F230" s="27"/>
      <c r="G230" s="30"/>
      <c r="H230" s="30"/>
      <c r="I230" s="22" t="str">
        <f t="shared" si="13"/>
        <v>—</v>
      </c>
      <c r="J230" s="18" t="str">
        <f t="shared" ca="1" si="14"/>
        <v>—</v>
      </c>
      <c r="K230" s="32" t="str">
        <f t="shared" si="15"/>
        <v>—</v>
      </c>
      <c r="L230" s="27"/>
      <c r="M230" s="27"/>
      <c r="N230" s="27"/>
      <c r="O230" s="27"/>
    </row>
    <row r="231" spans="1:15" ht="16" x14ac:dyDescent="0.2">
      <c r="A231" s="14" t="str">
        <f t="shared" si="12"/>
        <v/>
      </c>
      <c r="B231" s="16"/>
      <c r="C231" s="24" t="str">
        <f>IF($B231="","",IF(COUNTIF(Projects!$C$5:$C$64,SUBSTITUTE(SUBSTITUTE(SUBSTITUTE($B231,"~","~~"),"*","~*"),"?","~?"))&gt;0,"✓","not in Projects"))</f>
        <v/>
      </c>
      <c r="D231" s="16"/>
      <c r="E231" s="17"/>
      <c r="F231" s="16"/>
      <c r="G231" s="21"/>
      <c r="H231" s="21"/>
      <c r="I231" s="22" t="str">
        <f t="shared" si="13"/>
        <v>—</v>
      </c>
      <c r="J231" s="18" t="str">
        <f t="shared" ca="1" si="14"/>
        <v>—</v>
      </c>
      <c r="K231" s="32" t="str">
        <f t="shared" si="15"/>
        <v>—</v>
      </c>
      <c r="L231" s="16"/>
      <c r="M231" s="16"/>
      <c r="N231" s="16"/>
      <c r="O231" s="16"/>
    </row>
    <row r="232" spans="1:15" ht="16" x14ac:dyDescent="0.2">
      <c r="A232" s="14" t="str">
        <f t="shared" si="12"/>
        <v/>
      </c>
      <c r="B232" s="27"/>
      <c r="C232" s="24" t="str">
        <f>IF($B232="","",IF(COUNTIF(Projects!$C$5:$C$64,SUBSTITUTE(SUBSTITUTE(SUBSTITUTE($B232,"~","~~"),"*","~*"),"?","~?"))&gt;0,"✓","not in Projects"))</f>
        <v/>
      </c>
      <c r="D232" s="27"/>
      <c r="E232" s="28"/>
      <c r="F232" s="27"/>
      <c r="G232" s="30"/>
      <c r="H232" s="30"/>
      <c r="I232" s="22" t="str">
        <f t="shared" si="13"/>
        <v>—</v>
      </c>
      <c r="J232" s="18" t="str">
        <f t="shared" ca="1" si="14"/>
        <v>—</v>
      </c>
      <c r="K232" s="32" t="str">
        <f t="shared" si="15"/>
        <v>—</v>
      </c>
      <c r="L232" s="27"/>
      <c r="M232" s="27"/>
      <c r="N232" s="27"/>
      <c r="O232" s="27"/>
    </row>
    <row r="233" spans="1:15" ht="16" x14ac:dyDescent="0.2">
      <c r="A233" s="14" t="str">
        <f t="shared" si="12"/>
        <v/>
      </c>
      <c r="B233" s="16"/>
      <c r="C233" s="24" t="str">
        <f>IF($B233="","",IF(COUNTIF(Projects!$C$5:$C$64,SUBSTITUTE(SUBSTITUTE(SUBSTITUTE($B233,"~","~~"),"*","~*"),"?","~?"))&gt;0,"✓","not in Projects"))</f>
        <v/>
      </c>
      <c r="D233" s="16"/>
      <c r="E233" s="17"/>
      <c r="F233" s="16"/>
      <c r="G233" s="21"/>
      <c r="H233" s="21"/>
      <c r="I233" s="22" t="str">
        <f t="shared" si="13"/>
        <v>—</v>
      </c>
      <c r="J233" s="18" t="str">
        <f t="shared" ca="1" si="14"/>
        <v>—</v>
      </c>
      <c r="K233" s="32" t="str">
        <f t="shared" si="15"/>
        <v>—</v>
      </c>
      <c r="L233" s="16"/>
      <c r="M233" s="16"/>
      <c r="N233" s="16"/>
      <c r="O233" s="16"/>
    </row>
    <row r="234" spans="1:15" ht="16" x14ac:dyDescent="0.2">
      <c r="A234" s="14" t="str">
        <f t="shared" si="12"/>
        <v/>
      </c>
      <c r="B234" s="27"/>
      <c r="C234" s="24" t="str">
        <f>IF($B234="","",IF(COUNTIF(Projects!$C$5:$C$64,SUBSTITUTE(SUBSTITUTE(SUBSTITUTE($B234,"~","~~"),"*","~*"),"?","~?"))&gt;0,"✓","not in Projects"))</f>
        <v/>
      </c>
      <c r="D234" s="27"/>
      <c r="E234" s="28"/>
      <c r="F234" s="27"/>
      <c r="G234" s="30"/>
      <c r="H234" s="30"/>
      <c r="I234" s="22" t="str">
        <f t="shared" si="13"/>
        <v>—</v>
      </c>
      <c r="J234" s="18" t="str">
        <f t="shared" ca="1" si="14"/>
        <v>—</v>
      </c>
      <c r="K234" s="32" t="str">
        <f t="shared" si="15"/>
        <v>—</v>
      </c>
      <c r="L234" s="27"/>
      <c r="M234" s="27"/>
      <c r="N234" s="27"/>
      <c r="O234" s="27"/>
    </row>
    <row r="235" spans="1:15" ht="16" x14ac:dyDescent="0.2">
      <c r="A235" s="14" t="str">
        <f t="shared" si="12"/>
        <v/>
      </c>
      <c r="B235" s="16"/>
      <c r="C235" s="24" t="str">
        <f>IF($B235="","",IF(COUNTIF(Projects!$C$5:$C$64,SUBSTITUTE(SUBSTITUTE(SUBSTITUTE($B235,"~","~~"),"*","~*"),"?","~?"))&gt;0,"✓","not in Projects"))</f>
        <v/>
      </c>
      <c r="D235" s="16"/>
      <c r="E235" s="17"/>
      <c r="F235" s="16"/>
      <c r="G235" s="21"/>
      <c r="H235" s="21"/>
      <c r="I235" s="22" t="str">
        <f t="shared" si="13"/>
        <v>—</v>
      </c>
      <c r="J235" s="18" t="str">
        <f t="shared" ca="1" si="14"/>
        <v>—</v>
      </c>
      <c r="K235" s="32" t="str">
        <f t="shared" si="15"/>
        <v>—</v>
      </c>
      <c r="L235" s="16"/>
      <c r="M235" s="16"/>
      <c r="N235" s="16"/>
      <c r="O235" s="16"/>
    </row>
    <row r="236" spans="1:15" ht="16" x14ac:dyDescent="0.2">
      <c r="A236" s="14" t="str">
        <f t="shared" si="12"/>
        <v/>
      </c>
      <c r="B236" s="27"/>
      <c r="C236" s="24" t="str">
        <f>IF($B236="","",IF(COUNTIF(Projects!$C$5:$C$64,SUBSTITUTE(SUBSTITUTE(SUBSTITUTE($B236,"~","~~"),"*","~*"),"?","~?"))&gt;0,"✓","not in Projects"))</f>
        <v/>
      </c>
      <c r="D236" s="27"/>
      <c r="E236" s="28"/>
      <c r="F236" s="27"/>
      <c r="G236" s="30"/>
      <c r="H236" s="30"/>
      <c r="I236" s="22" t="str">
        <f t="shared" si="13"/>
        <v>—</v>
      </c>
      <c r="J236" s="18" t="str">
        <f t="shared" ca="1" si="14"/>
        <v>—</v>
      </c>
      <c r="K236" s="32" t="str">
        <f t="shared" si="15"/>
        <v>—</v>
      </c>
      <c r="L236" s="27"/>
      <c r="M236" s="27"/>
      <c r="N236" s="27"/>
      <c r="O236" s="27"/>
    </row>
    <row r="237" spans="1:15" ht="16" x14ac:dyDescent="0.2">
      <c r="A237" s="14" t="str">
        <f t="shared" si="12"/>
        <v/>
      </c>
      <c r="B237" s="16"/>
      <c r="C237" s="24" t="str">
        <f>IF($B237="","",IF(COUNTIF(Projects!$C$5:$C$64,SUBSTITUTE(SUBSTITUTE(SUBSTITUTE($B237,"~","~~"),"*","~*"),"?","~?"))&gt;0,"✓","not in Projects"))</f>
        <v/>
      </c>
      <c r="D237" s="16"/>
      <c r="E237" s="17"/>
      <c r="F237" s="16"/>
      <c r="G237" s="21"/>
      <c r="H237" s="21"/>
      <c r="I237" s="22" t="str">
        <f t="shared" si="13"/>
        <v>—</v>
      </c>
      <c r="J237" s="18" t="str">
        <f t="shared" ca="1" si="14"/>
        <v>—</v>
      </c>
      <c r="K237" s="32" t="str">
        <f t="shared" si="15"/>
        <v>—</v>
      </c>
      <c r="L237" s="16"/>
      <c r="M237" s="16"/>
      <c r="N237" s="16"/>
      <c r="O237" s="16"/>
    </row>
    <row r="238" spans="1:15" ht="16" x14ac:dyDescent="0.2">
      <c r="A238" s="14" t="str">
        <f t="shared" si="12"/>
        <v/>
      </c>
      <c r="B238" s="27"/>
      <c r="C238" s="24" t="str">
        <f>IF($B238="","",IF(COUNTIF(Projects!$C$5:$C$64,SUBSTITUTE(SUBSTITUTE(SUBSTITUTE($B238,"~","~~"),"*","~*"),"?","~?"))&gt;0,"✓","not in Projects"))</f>
        <v/>
      </c>
      <c r="D238" s="27"/>
      <c r="E238" s="28"/>
      <c r="F238" s="27"/>
      <c r="G238" s="30"/>
      <c r="H238" s="30"/>
      <c r="I238" s="22" t="str">
        <f t="shared" si="13"/>
        <v>—</v>
      </c>
      <c r="J238" s="18" t="str">
        <f t="shared" ca="1" si="14"/>
        <v>—</v>
      </c>
      <c r="K238" s="32" t="str">
        <f t="shared" si="15"/>
        <v>—</v>
      </c>
      <c r="L238" s="27"/>
      <c r="M238" s="27"/>
      <c r="N238" s="27"/>
      <c r="O238" s="27"/>
    </row>
    <row r="239" spans="1:15" ht="16" x14ac:dyDescent="0.2">
      <c r="A239" s="14" t="str">
        <f t="shared" si="12"/>
        <v/>
      </c>
      <c r="B239" s="16"/>
      <c r="C239" s="24" t="str">
        <f>IF($B239="","",IF(COUNTIF(Projects!$C$5:$C$64,SUBSTITUTE(SUBSTITUTE(SUBSTITUTE($B239,"~","~~"),"*","~*"),"?","~?"))&gt;0,"✓","not in Projects"))</f>
        <v/>
      </c>
      <c r="D239" s="16"/>
      <c r="E239" s="17"/>
      <c r="F239" s="16"/>
      <c r="G239" s="21"/>
      <c r="H239" s="21"/>
      <c r="I239" s="22" t="str">
        <f t="shared" si="13"/>
        <v>—</v>
      </c>
      <c r="J239" s="18" t="str">
        <f t="shared" ca="1" si="14"/>
        <v>—</v>
      </c>
      <c r="K239" s="32" t="str">
        <f t="shared" si="15"/>
        <v>—</v>
      </c>
      <c r="L239" s="16"/>
      <c r="M239" s="16"/>
      <c r="N239" s="16"/>
      <c r="O239" s="16"/>
    </row>
    <row r="240" spans="1:15" ht="16" x14ac:dyDescent="0.2">
      <c r="A240" s="14" t="str">
        <f t="shared" si="12"/>
        <v/>
      </c>
      <c r="B240" s="27"/>
      <c r="C240" s="24" t="str">
        <f>IF($B240="","",IF(COUNTIF(Projects!$C$5:$C$64,SUBSTITUTE(SUBSTITUTE(SUBSTITUTE($B240,"~","~~"),"*","~*"),"?","~?"))&gt;0,"✓","not in Projects"))</f>
        <v/>
      </c>
      <c r="D240" s="27"/>
      <c r="E240" s="28"/>
      <c r="F240" s="27"/>
      <c r="G240" s="30"/>
      <c r="H240" s="30"/>
      <c r="I240" s="22" t="str">
        <f t="shared" si="13"/>
        <v>—</v>
      </c>
      <c r="J240" s="18" t="str">
        <f t="shared" ca="1" si="14"/>
        <v>—</v>
      </c>
      <c r="K240" s="32" t="str">
        <f t="shared" si="15"/>
        <v>—</v>
      </c>
      <c r="L240" s="27"/>
      <c r="M240" s="27"/>
      <c r="N240" s="27"/>
      <c r="O240" s="27"/>
    </row>
    <row r="241" spans="1:15" ht="16" x14ac:dyDescent="0.2">
      <c r="A241" s="14" t="str">
        <f t="shared" si="12"/>
        <v/>
      </c>
      <c r="B241" s="16"/>
      <c r="C241" s="24" t="str">
        <f>IF($B241="","",IF(COUNTIF(Projects!$C$5:$C$64,SUBSTITUTE(SUBSTITUTE(SUBSTITUTE($B241,"~","~~"),"*","~*"),"?","~?"))&gt;0,"✓","not in Projects"))</f>
        <v/>
      </c>
      <c r="D241" s="16"/>
      <c r="E241" s="17"/>
      <c r="F241" s="16"/>
      <c r="G241" s="21"/>
      <c r="H241" s="21"/>
      <c r="I241" s="22" t="str">
        <f t="shared" si="13"/>
        <v>—</v>
      </c>
      <c r="J241" s="18" t="str">
        <f t="shared" ca="1" si="14"/>
        <v>—</v>
      </c>
      <c r="K241" s="32" t="str">
        <f t="shared" si="15"/>
        <v>—</v>
      </c>
      <c r="L241" s="16"/>
      <c r="M241" s="16"/>
      <c r="N241" s="16"/>
      <c r="O241" s="16"/>
    </row>
    <row r="242" spans="1:15" ht="16" x14ac:dyDescent="0.2">
      <c r="A242" s="14" t="str">
        <f t="shared" si="12"/>
        <v/>
      </c>
      <c r="B242" s="27"/>
      <c r="C242" s="24" t="str">
        <f>IF($B242="","",IF(COUNTIF(Projects!$C$5:$C$64,SUBSTITUTE(SUBSTITUTE(SUBSTITUTE($B242,"~","~~"),"*","~*"),"?","~?"))&gt;0,"✓","not in Projects"))</f>
        <v/>
      </c>
      <c r="D242" s="27"/>
      <c r="E242" s="28"/>
      <c r="F242" s="27"/>
      <c r="G242" s="30"/>
      <c r="H242" s="30"/>
      <c r="I242" s="22" t="str">
        <f t="shared" si="13"/>
        <v>—</v>
      </c>
      <c r="J242" s="18" t="str">
        <f t="shared" ca="1" si="14"/>
        <v>—</v>
      </c>
      <c r="K242" s="32" t="str">
        <f t="shared" si="15"/>
        <v>—</v>
      </c>
      <c r="L242" s="27"/>
      <c r="M242" s="27"/>
      <c r="N242" s="27"/>
      <c r="O242" s="27"/>
    </row>
    <row r="243" spans="1:15" ht="16" x14ac:dyDescent="0.2">
      <c r="A243" s="14" t="str">
        <f t="shared" si="12"/>
        <v/>
      </c>
      <c r="B243" s="16"/>
      <c r="C243" s="24" t="str">
        <f>IF($B243="","",IF(COUNTIF(Projects!$C$5:$C$64,SUBSTITUTE(SUBSTITUTE(SUBSTITUTE($B243,"~","~~"),"*","~*"),"?","~?"))&gt;0,"✓","not in Projects"))</f>
        <v/>
      </c>
      <c r="D243" s="16"/>
      <c r="E243" s="17"/>
      <c r="F243" s="16"/>
      <c r="G243" s="21"/>
      <c r="H243" s="21"/>
      <c r="I243" s="22" t="str">
        <f t="shared" si="13"/>
        <v>—</v>
      </c>
      <c r="J243" s="18" t="str">
        <f t="shared" ca="1" si="14"/>
        <v>—</v>
      </c>
      <c r="K243" s="32" t="str">
        <f t="shared" si="15"/>
        <v>—</v>
      </c>
      <c r="L243" s="16"/>
      <c r="M243" s="16"/>
      <c r="N243" s="16"/>
      <c r="O243" s="16"/>
    </row>
    <row r="244" spans="1:15" ht="16" x14ac:dyDescent="0.2">
      <c r="A244" s="14" t="str">
        <f t="shared" si="12"/>
        <v/>
      </c>
      <c r="B244" s="27"/>
      <c r="C244" s="24" t="str">
        <f>IF($B244="","",IF(COUNTIF(Projects!$C$5:$C$64,SUBSTITUTE(SUBSTITUTE(SUBSTITUTE($B244,"~","~~"),"*","~*"),"?","~?"))&gt;0,"✓","not in Projects"))</f>
        <v/>
      </c>
      <c r="D244" s="27"/>
      <c r="E244" s="28"/>
      <c r="F244" s="27"/>
      <c r="G244" s="30"/>
      <c r="H244" s="30"/>
      <c r="I244" s="22" t="str">
        <f t="shared" si="13"/>
        <v>—</v>
      </c>
      <c r="J244" s="18" t="str">
        <f t="shared" ca="1" si="14"/>
        <v>—</v>
      </c>
      <c r="K244" s="32" t="str">
        <f t="shared" si="15"/>
        <v>—</v>
      </c>
      <c r="L244" s="27"/>
      <c r="M244" s="27"/>
      <c r="N244" s="27"/>
      <c r="O244" s="27"/>
    </row>
    <row r="245" spans="1:15" ht="16" x14ac:dyDescent="0.2">
      <c r="A245" s="14" t="str">
        <f t="shared" si="12"/>
        <v/>
      </c>
      <c r="B245" s="16"/>
      <c r="C245" s="24" t="str">
        <f>IF($B245="","",IF(COUNTIF(Projects!$C$5:$C$64,SUBSTITUTE(SUBSTITUTE(SUBSTITUTE($B245,"~","~~"),"*","~*"),"?","~?"))&gt;0,"✓","not in Projects"))</f>
        <v/>
      </c>
      <c r="D245" s="16"/>
      <c r="E245" s="17"/>
      <c r="F245" s="16"/>
      <c r="G245" s="21"/>
      <c r="H245" s="21"/>
      <c r="I245" s="22" t="str">
        <f t="shared" si="13"/>
        <v>—</v>
      </c>
      <c r="J245" s="18" t="str">
        <f t="shared" ca="1" si="14"/>
        <v>—</v>
      </c>
      <c r="K245" s="32" t="str">
        <f t="shared" si="15"/>
        <v>—</v>
      </c>
      <c r="L245" s="16"/>
      <c r="M245" s="16"/>
      <c r="N245" s="16"/>
      <c r="O245" s="16"/>
    </row>
    <row r="246" spans="1:15" ht="16" x14ac:dyDescent="0.2">
      <c r="A246" s="14" t="str">
        <f t="shared" si="12"/>
        <v/>
      </c>
      <c r="B246" s="27"/>
      <c r="C246" s="24" t="str">
        <f>IF($B246="","",IF(COUNTIF(Projects!$C$5:$C$64,SUBSTITUTE(SUBSTITUTE(SUBSTITUTE($B246,"~","~~"),"*","~*"),"?","~?"))&gt;0,"✓","not in Projects"))</f>
        <v/>
      </c>
      <c r="D246" s="27"/>
      <c r="E246" s="28"/>
      <c r="F246" s="27"/>
      <c r="G246" s="30"/>
      <c r="H246" s="30"/>
      <c r="I246" s="22" t="str">
        <f t="shared" si="13"/>
        <v>—</v>
      </c>
      <c r="J246" s="18" t="str">
        <f t="shared" ca="1" si="14"/>
        <v>—</v>
      </c>
      <c r="K246" s="32" t="str">
        <f t="shared" si="15"/>
        <v>—</v>
      </c>
      <c r="L246" s="27"/>
      <c r="M246" s="27"/>
      <c r="N246" s="27"/>
      <c r="O246" s="27"/>
    </row>
    <row r="247" spans="1:15" ht="16" x14ac:dyDescent="0.2">
      <c r="A247" s="14" t="str">
        <f t="shared" si="12"/>
        <v/>
      </c>
      <c r="B247" s="16"/>
      <c r="C247" s="24" t="str">
        <f>IF($B247="","",IF(COUNTIF(Projects!$C$5:$C$64,SUBSTITUTE(SUBSTITUTE(SUBSTITUTE($B247,"~","~~"),"*","~*"),"?","~?"))&gt;0,"✓","not in Projects"))</f>
        <v/>
      </c>
      <c r="D247" s="16"/>
      <c r="E247" s="17"/>
      <c r="F247" s="16"/>
      <c r="G247" s="21"/>
      <c r="H247" s="21"/>
      <c r="I247" s="22" t="str">
        <f t="shared" si="13"/>
        <v>—</v>
      </c>
      <c r="J247" s="18" t="str">
        <f t="shared" ca="1" si="14"/>
        <v>—</v>
      </c>
      <c r="K247" s="32" t="str">
        <f t="shared" si="15"/>
        <v>—</v>
      </c>
      <c r="L247" s="16"/>
      <c r="M247" s="16"/>
      <c r="N247" s="16"/>
      <c r="O247" s="16"/>
    </row>
    <row r="248" spans="1:15" ht="16" x14ac:dyDescent="0.2">
      <c r="A248" s="14" t="str">
        <f t="shared" si="12"/>
        <v/>
      </c>
      <c r="B248" s="27"/>
      <c r="C248" s="24" t="str">
        <f>IF($B248="","",IF(COUNTIF(Projects!$C$5:$C$64,SUBSTITUTE(SUBSTITUTE(SUBSTITUTE($B248,"~","~~"),"*","~*"),"?","~?"))&gt;0,"✓","not in Projects"))</f>
        <v/>
      </c>
      <c r="D248" s="27"/>
      <c r="E248" s="28"/>
      <c r="F248" s="27"/>
      <c r="G248" s="30"/>
      <c r="H248" s="30"/>
      <c r="I248" s="22" t="str">
        <f t="shared" si="13"/>
        <v>—</v>
      </c>
      <c r="J248" s="18" t="str">
        <f t="shared" ca="1" si="14"/>
        <v>—</v>
      </c>
      <c r="K248" s="32" t="str">
        <f t="shared" si="15"/>
        <v>—</v>
      </c>
      <c r="L248" s="27"/>
      <c r="M248" s="27"/>
      <c r="N248" s="27"/>
      <c r="O248" s="27"/>
    </row>
    <row r="249" spans="1:15" ht="16" x14ac:dyDescent="0.2">
      <c r="A249" s="14" t="str">
        <f t="shared" si="12"/>
        <v/>
      </c>
      <c r="B249" s="16"/>
      <c r="C249" s="24" t="str">
        <f>IF($B249="","",IF(COUNTIF(Projects!$C$5:$C$64,SUBSTITUTE(SUBSTITUTE(SUBSTITUTE($B249,"~","~~"),"*","~*"),"?","~?"))&gt;0,"✓","not in Projects"))</f>
        <v/>
      </c>
      <c r="D249" s="16"/>
      <c r="E249" s="17"/>
      <c r="F249" s="16"/>
      <c r="G249" s="21"/>
      <c r="H249" s="21"/>
      <c r="I249" s="22" t="str">
        <f t="shared" si="13"/>
        <v>—</v>
      </c>
      <c r="J249" s="18" t="str">
        <f t="shared" ca="1" si="14"/>
        <v>—</v>
      </c>
      <c r="K249" s="32" t="str">
        <f t="shared" si="15"/>
        <v>—</v>
      </c>
      <c r="L249" s="16"/>
      <c r="M249" s="16"/>
      <c r="N249" s="16"/>
      <c r="O249" s="16"/>
    </row>
    <row r="250" spans="1:15" ht="16" x14ac:dyDescent="0.2">
      <c r="A250" s="14" t="str">
        <f t="shared" si="12"/>
        <v/>
      </c>
      <c r="B250" s="27"/>
      <c r="C250" s="24" t="str">
        <f>IF($B250="","",IF(COUNTIF(Projects!$C$5:$C$64,SUBSTITUTE(SUBSTITUTE(SUBSTITUTE($B250,"~","~~"),"*","~*"),"?","~?"))&gt;0,"✓","not in Projects"))</f>
        <v/>
      </c>
      <c r="D250" s="27"/>
      <c r="E250" s="28"/>
      <c r="F250" s="27"/>
      <c r="G250" s="30"/>
      <c r="H250" s="30"/>
      <c r="I250" s="22" t="str">
        <f t="shared" si="13"/>
        <v>—</v>
      </c>
      <c r="J250" s="18" t="str">
        <f t="shared" ca="1" si="14"/>
        <v>—</v>
      </c>
      <c r="K250" s="32" t="str">
        <f t="shared" si="15"/>
        <v>—</v>
      </c>
      <c r="L250" s="27"/>
      <c r="M250" s="27"/>
      <c r="N250" s="27"/>
      <c r="O250" s="27"/>
    </row>
    <row r="251" spans="1:15" ht="16" x14ac:dyDescent="0.2">
      <c r="A251" s="14" t="str">
        <f t="shared" si="12"/>
        <v/>
      </c>
      <c r="B251" s="16"/>
      <c r="C251" s="24" t="str">
        <f>IF($B251="","",IF(COUNTIF(Projects!$C$5:$C$64,SUBSTITUTE(SUBSTITUTE(SUBSTITUTE($B251,"~","~~"),"*","~*"),"?","~?"))&gt;0,"✓","not in Projects"))</f>
        <v/>
      </c>
      <c r="D251" s="16"/>
      <c r="E251" s="17"/>
      <c r="F251" s="16"/>
      <c r="G251" s="21"/>
      <c r="H251" s="21"/>
      <c r="I251" s="22" t="str">
        <f t="shared" si="13"/>
        <v>—</v>
      </c>
      <c r="J251" s="18" t="str">
        <f t="shared" ca="1" si="14"/>
        <v>—</v>
      </c>
      <c r="K251" s="32" t="str">
        <f t="shared" si="15"/>
        <v>—</v>
      </c>
      <c r="L251" s="16"/>
      <c r="M251" s="16"/>
      <c r="N251" s="16"/>
      <c r="O251" s="16"/>
    </row>
    <row r="252" spans="1:15" ht="16" x14ac:dyDescent="0.2">
      <c r="A252" s="14" t="str">
        <f t="shared" si="12"/>
        <v/>
      </c>
      <c r="B252" s="27"/>
      <c r="C252" s="24" t="str">
        <f>IF($B252="","",IF(COUNTIF(Projects!$C$5:$C$64,SUBSTITUTE(SUBSTITUTE(SUBSTITUTE($B252,"~","~~"),"*","~*"),"?","~?"))&gt;0,"✓","not in Projects"))</f>
        <v/>
      </c>
      <c r="D252" s="27"/>
      <c r="E252" s="28"/>
      <c r="F252" s="27"/>
      <c r="G252" s="30"/>
      <c r="H252" s="30"/>
      <c r="I252" s="22" t="str">
        <f t="shared" si="13"/>
        <v>—</v>
      </c>
      <c r="J252" s="18" t="str">
        <f t="shared" ca="1" si="14"/>
        <v>—</v>
      </c>
      <c r="K252" s="32" t="str">
        <f t="shared" si="15"/>
        <v>—</v>
      </c>
      <c r="L252" s="27"/>
      <c r="M252" s="27"/>
      <c r="N252" s="27"/>
      <c r="O252" s="27"/>
    </row>
    <row r="253" spans="1:15" ht="16" x14ac:dyDescent="0.2">
      <c r="A253" s="14" t="str">
        <f t="shared" si="12"/>
        <v/>
      </c>
      <c r="B253" s="16"/>
      <c r="C253" s="24" t="str">
        <f>IF($B253="","",IF(COUNTIF(Projects!$C$5:$C$64,SUBSTITUTE(SUBSTITUTE(SUBSTITUTE($B253,"~","~~"),"*","~*"),"?","~?"))&gt;0,"✓","not in Projects"))</f>
        <v/>
      </c>
      <c r="D253" s="16"/>
      <c r="E253" s="17"/>
      <c r="F253" s="16"/>
      <c r="G253" s="21"/>
      <c r="H253" s="21"/>
      <c r="I253" s="22" t="str">
        <f t="shared" si="13"/>
        <v>—</v>
      </c>
      <c r="J253" s="18" t="str">
        <f t="shared" ca="1" si="14"/>
        <v>—</v>
      </c>
      <c r="K253" s="32" t="str">
        <f t="shared" si="15"/>
        <v>—</v>
      </c>
      <c r="L253" s="16"/>
      <c r="M253" s="16"/>
      <c r="N253" s="16"/>
      <c r="O253" s="16"/>
    </row>
    <row r="254" spans="1:15" ht="16" x14ac:dyDescent="0.2">
      <c r="A254" s="14" t="str">
        <f t="shared" si="12"/>
        <v/>
      </c>
      <c r="B254" s="27"/>
      <c r="C254" s="24" t="str">
        <f>IF($B254="","",IF(COUNTIF(Projects!$C$5:$C$64,SUBSTITUTE(SUBSTITUTE(SUBSTITUTE($B254,"~","~~"),"*","~*"),"?","~?"))&gt;0,"✓","not in Projects"))</f>
        <v/>
      </c>
      <c r="D254" s="27"/>
      <c r="E254" s="28"/>
      <c r="F254" s="27"/>
      <c r="G254" s="30"/>
      <c r="H254" s="30"/>
      <c r="I254" s="22" t="str">
        <f t="shared" si="13"/>
        <v>—</v>
      </c>
      <c r="J254" s="18" t="str">
        <f t="shared" ca="1" si="14"/>
        <v>—</v>
      </c>
      <c r="K254" s="32" t="str">
        <f t="shared" si="15"/>
        <v>—</v>
      </c>
      <c r="L254" s="27"/>
      <c r="M254" s="27"/>
      <c r="N254" s="27"/>
      <c r="O254" s="27"/>
    </row>
    <row r="255" spans="1:15" ht="16" x14ac:dyDescent="0.2">
      <c r="A255" s="14" t="str">
        <f t="shared" si="12"/>
        <v/>
      </c>
      <c r="B255" s="16"/>
      <c r="C255" s="24" t="str">
        <f>IF($B255="","",IF(COUNTIF(Projects!$C$5:$C$64,SUBSTITUTE(SUBSTITUTE(SUBSTITUTE($B255,"~","~~"),"*","~*"),"?","~?"))&gt;0,"✓","not in Projects"))</f>
        <v/>
      </c>
      <c r="D255" s="16"/>
      <c r="E255" s="17"/>
      <c r="F255" s="16"/>
      <c r="G255" s="21"/>
      <c r="H255" s="21"/>
      <c r="I255" s="22" t="str">
        <f t="shared" si="13"/>
        <v>—</v>
      </c>
      <c r="J255" s="18" t="str">
        <f t="shared" ca="1" si="14"/>
        <v>—</v>
      </c>
      <c r="K255" s="32" t="str">
        <f t="shared" si="15"/>
        <v>—</v>
      </c>
      <c r="L255" s="16"/>
      <c r="M255" s="16"/>
      <c r="N255" s="16"/>
      <c r="O255" s="16"/>
    </row>
    <row r="256" spans="1:15" ht="16" x14ac:dyDescent="0.2">
      <c r="A256" s="14" t="str">
        <f t="shared" si="12"/>
        <v/>
      </c>
      <c r="B256" s="27"/>
      <c r="C256" s="24" t="str">
        <f>IF($B256="","",IF(COUNTIF(Projects!$C$5:$C$64,SUBSTITUTE(SUBSTITUTE(SUBSTITUTE($B256,"~","~~"),"*","~*"),"?","~?"))&gt;0,"✓","not in Projects"))</f>
        <v/>
      </c>
      <c r="D256" s="27"/>
      <c r="E256" s="28"/>
      <c r="F256" s="27"/>
      <c r="G256" s="30"/>
      <c r="H256" s="30"/>
      <c r="I256" s="22" t="str">
        <f t="shared" si="13"/>
        <v>—</v>
      </c>
      <c r="J256" s="18" t="str">
        <f t="shared" ca="1" si="14"/>
        <v>—</v>
      </c>
      <c r="K256" s="32" t="str">
        <f t="shared" si="15"/>
        <v>—</v>
      </c>
      <c r="L256" s="27"/>
      <c r="M256" s="27"/>
      <c r="N256" s="27"/>
      <c r="O256" s="27"/>
    </row>
    <row r="257" spans="1:15" ht="16" x14ac:dyDescent="0.2">
      <c r="A257" s="14" t="str">
        <f t="shared" si="12"/>
        <v/>
      </c>
      <c r="B257" s="16"/>
      <c r="C257" s="24" t="str">
        <f>IF($B257="","",IF(COUNTIF(Projects!$C$5:$C$64,SUBSTITUTE(SUBSTITUTE(SUBSTITUTE($B257,"~","~~"),"*","~*"),"?","~?"))&gt;0,"✓","not in Projects"))</f>
        <v/>
      </c>
      <c r="D257" s="16"/>
      <c r="E257" s="17"/>
      <c r="F257" s="16"/>
      <c r="G257" s="21"/>
      <c r="H257" s="21"/>
      <c r="I257" s="22" t="str">
        <f t="shared" si="13"/>
        <v>—</v>
      </c>
      <c r="J257" s="18" t="str">
        <f t="shared" ca="1" si="14"/>
        <v>—</v>
      </c>
      <c r="K257" s="32" t="str">
        <f t="shared" si="15"/>
        <v>—</v>
      </c>
      <c r="L257" s="16"/>
      <c r="M257" s="16"/>
      <c r="N257" s="16"/>
      <c r="O257" s="16"/>
    </row>
    <row r="258" spans="1:15" ht="16" x14ac:dyDescent="0.2">
      <c r="A258" s="14" t="str">
        <f t="shared" si="12"/>
        <v/>
      </c>
      <c r="B258" s="27"/>
      <c r="C258" s="24" t="str">
        <f>IF($B258="","",IF(COUNTIF(Projects!$C$5:$C$64,SUBSTITUTE(SUBSTITUTE(SUBSTITUTE($B258,"~","~~"),"*","~*"),"?","~?"))&gt;0,"✓","not in Projects"))</f>
        <v/>
      </c>
      <c r="D258" s="27"/>
      <c r="E258" s="28"/>
      <c r="F258" s="27"/>
      <c r="G258" s="30"/>
      <c r="H258" s="30"/>
      <c r="I258" s="22" t="str">
        <f t="shared" si="13"/>
        <v>—</v>
      </c>
      <c r="J258" s="18" t="str">
        <f t="shared" ca="1" si="14"/>
        <v>—</v>
      </c>
      <c r="K258" s="32" t="str">
        <f t="shared" si="15"/>
        <v>—</v>
      </c>
      <c r="L258" s="27"/>
      <c r="M258" s="27"/>
      <c r="N258" s="27"/>
      <c r="O258" s="27"/>
    </row>
    <row r="259" spans="1:15" ht="16" x14ac:dyDescent="0.2">
      <c r="A259" s="14" t="str">
        <f t="shared" si="12"/>
        <v/>
      </c>
      <c r="B259" s="16"/>
      <c r="C259" s="24" t="str">
        <f>IF($B259="","",IF(COUNTIF(Projects!$C$5:$C$64,SUBSTITUTE(SUBSTITUTE(SUBSTITUTE($B259,"~","~~"),"*","~*"),"?","~?"))&gt;0,"✓","not in Projects"))</f>
        <v/>
      </c>
      <c r="D259" s="16"/>
      <c r="E259" s="17"/>
      <c r="F259" s="16"/>
      <c r="G259" s="21"/>
      <c r="H259" s="21"/>
      <c r="I259" s="22" t="str">
        <f t="shared" si="13"/>
        <v>—</v>
      </c>
      <c r="J259" s="18" t="str">
        <f t="shared" ca="1" si="14"/>
        <v>—</v>
      </c>
      <c r="K259" s="32" t="str">
        <f t="shared" si="15"/>
        <v>—</v>
      </c>
      <c r="L259" s="16"/>
      <c r="M259" s="16"/>
      <c r="N259" s="16"/>
      <c r="O259" s="16"/>
    </row>
    <row r="260" spans="1:15" ht="16" x14ac:dyDescent="0.2">
      <c r="A260" s="14" t="str">
        <f t="shared" si="12"/>
        <v/>
      </c>
      <c r="B260" s="27"/>
      <c r="C260" s="24" t="str">
        <f>IF($B260="","",IF(COUNTIF(Projects!$C$5:$C$64,SUBSTITUTE(SUBSTITUTE(SUBSTITUTE($B260,"~","~~"),"*","~*"),"?","~?"))&gt;0,"✓","not in Projects"))</f>
        <v/>
      </c>
      <c r="D260" s="27"/>
      <c r="E260" s="28"/>
      <c r="F260" s="27"/>
      <c r="G260" s="30"/>
      <c r="H260" s="30"/>
      <c r="I260" s="22" t="str">
        <f t="shared" si="13"/>
        <v>—</v>
      </c>
      <c r="J260" s="18" t="str">
        <f t="shared" ca="1" si="14"/>
        <v>—</v>
      </c>
      <c r="K260" s="32" t="str">
        <f t="shared" si="15"/>
        <v>—</v>
      </c>
      <c r="L260" s="27"/>
      <c r="M260" s="27"/>
      <c r="N260" s="27"/>
      <c r="O260" s="27"/>
    </row>
    <row r="261" spans="1:15" ht="16" x14ac:dyDescent="0.2">
      <c r="A261" s="14" t="str">
        <f t="shared" ref="A261:A304" si="16">IF($D261="","",ROW()-4)</f>
        <v/>
      </c>
      <c r="B261" s="16"/>
      <c r="C261" s="24" t="str">
        <f>IF($B261="","",IF(COUNTIF(Projects!$C$5:$C$64,SUBSTITUTE(SUBSTITUTE(SUBSTITUTE($B261,"~","~~"),"*","~*"),"?","~?"))&gt;0,"✓","not in Projects"))</f>
        <v/>
      </c>
      <c r="D261" s="16"/>
      <c r="E261" s="17"/>
      <c r="F261" s="16"/>
      <c r="G261" s="21"/>
      <c r="H261" s="21"/>
      <c r="I261" s="22" t="str">
        <f t="shared" ref="I261:I304" si="17">IF($D261="","—",IF(OR($F261="Delivered",$F261="Approved",$F261="Cancelled"),"—",IF(AND($G261="",$H261=""),"—",IFERROR(MAX(0,N($G261)-N($H261)),"—"))))</f>
        <v>—</v>
      </c>
      <c r="J261" s="18" t="str">
        <f t="shared" ref="J261:J304" ca="1" si="18">IF($E261="","—",IF(OR($F261="Delivered",$F261="Approved",$F261="Cancelled"),"—",IFERROR(INT($E261)-TODAY(),"—")))</f>
        <v>—</v>
      </c>
      <c r="K261" s="32" t="str">
        <f t="shared" ref="K261:K304" si="19">IF($E261="","—",IFERROR(INT($E261)-WEEKDAY(INT($E261),3),"—"))</f>
        <v>—</v>
      </c>
      <c r="L261" s="16"/>
      <c r="M261" s="16"/>
      <c r="N261" s="16"/>
      <c r="O261" s="16"/>
    </row>
    <row r="262" spans="1:15" ht="16" x14ac:dyDescent="0.2">
      <c r="A262" s="14" t="str">
        <f t="shared" si="16"/>
        <v/>
      </c>
      <c r="B262" s="27"/>
      <c r="C262" s="24" t="str">
        <f>IF($B262="","",IF(COUNTIF(Projects!$C$5:$C$64,SUBSTITUTE(SUBSTITUTE(SUBSTITUTE($B262,"~","~~"),"*","~*"),"?","~?"))&gt;0,"✓","not in Projects"))</f>
        <v/>
      </c>
      <c r="D262" s="27"/>
      <c r="E262" s="28"/>
      <c r="F262" s="27"/>
      <c r="G262" s="30"/>
      <c r="H262" s="30"/>
      <c r="I262" s="22" t="str">
        <f t="shared" si="17"/>
        <v>—</v>
      </c>
      <c r="J262" s="18" t="str">
        <f t="shared" ca="1" si="18"/>
        <v>—</v>
      </c>
      <c r="K262" s="32" t="str">
        <f t="shared" si="19"/>
        <v>—</v>
      </c>
      <c r="L262" s="27"/>
      <c r="M262" s="27"/>
      <c r="N262" s="27"/>
      <c r="O262" s="27"/>
    </row>
    <row r="263" spans="1:15" ht="16" x14ac:dyDescent="0.2">
      <c r="A263" s="14" t="str">
        <f t="shared" si="16"/>
        <v/>
      </c>
      <c r="B263" s="16"/>
      <c r="C263" s="24" t="str">
        <f>IF($B263="","",IF(COUNTIF(Projects!$C$5:$C$64,SUBSTITUTE(SUBSTITUTE(SUBSTITUTE($B263,"~","~~"),"*","~*"),"?","~?"))&gt;0,"✓","not in Projects"))</f>
        <v/>
      </c>
      <c r="D263" s="16"/>
      <c r="E263" s="17"/>
      <c r="F263" s="16"/>
      <c r="G263" s="21"/>
      <c r="H263" s="21"/>
      <c r="I263" s="22" t="str">
        <f t="shared" si="17"/>
        <v>—</v>
      </c>
      <c r="J263" s="18" t="str">
        <f t="shared" ca="1" si="18"/>
        <v>—</v>
      </c>
      <c r="K263" s="32" t="str">
        <f t="shared" si="19"/>
        <v>—</v>
      </c>
      <c r="L263" s="16"/>
      <c r="M263" s="16"/>
      <c r="N263" s="16"/>
      <c r="O263" s="16"/>
    </row>
    <row r="264" spans="1:15" ht="16" x14ac:dyDescent="0.2">
      <c r="A264" s="14" t="str">
        <f t="shared" si="16"/>
        <v/>
      </c>
      <c r="B264" s="27"/>
      <c r="C264" s="24" t="str">
        <f>IF($B264="","",IF(COUNTIF(Projects!$C$5:$C$64,SUBSTITUTE(SUBSTITUTE(SUBSTITUTE($B264,"~","~~"),"*","~*"),"?","~?"))&gt;0,"✓","not in Projects"))</f>
        <v/>
      </c>
      <c r="D264" s="27"/>
      <c r="E264" s="28"/>
      <c r="F264" s="27"/>
      <c r="G264" s="30"/>
      <c r="H264" s="30"/>
      <c r="I264" s="22" t="str">
        <f t="shared" si="17"/>
        <v>—</v>
      </c>
      <c r="J264" s="18" t="str">
        <f t="shared" ca="1" si="18"/>
        <v>—</v>
      </c>
      <c r="K264" s="32" t="str">
        <f t="shared" si="19"/>
        <v>—</v>
      </c>
      <c r="L264" s="27"/>
      <c r="M264" s="27"/>
      <c r="N264" s="27"/>
      <c r="O264" s="27"/>
    </row>
    <row r="265" spans="1:15" ht="16" x14ac:dyDescent="0.2">
      <c r="A265" s="14" t="str">
        <f t="shared" si="16"/>
        <v/>
      </c>
      <c r="B265" s="16"/>
      <c r="C265" s="24" t="str">
        <f>IF($B265="","",IF(COUNTIF(Projects!$C$5:$C$64,SUBSTITUTE(SUBSTITUTE(SUBSTITUTE($B265,"~","~~"),"*","~*"),"?","~?"))&gt;0,"✓","not in Projects"))</f>
        <v/>
      </c>
      <c r="D265" s="16"/>
      <c r="E265" s="17"/>
      <c r="F265" s="16"/>
      <c r="G265" s="21"/>
      <c r="H265" s="21"/>
      <c r="I265" s="22" t="str">
        <f t="shared" si="17"/>
        <v>—</v>
      </c>
      <c r="J265" s="18" t="str">
        <f t="shared" ca="1" si="18"/>
        <v>—</v>
      </c>
      <c r="K265" s="32" t="str">
        <f t="shared" si="19"/>
        <v>—</v>
      </c>
      <c r="L265" s="16"/>
      <c r="M265" s="16"/>
      <c r="N265" s="16"/>
      <c r="O265" s="16"/>
    </row>
    <row r="266" spans="1:15" ht="16" x14ac:dyDescent="0.2">
      <c r="A266" s="14" t="str">
        <f t="shared" si="16"/>
        <v/>
      </c>
      <c r="B266" s="27"/>
      <c r="C266" s="24" t="str">
        <f>IF($B266="","",IF(COUNTIF(Projects!$C$5:$C$64,SUBSTITUTE(SUBSTITUTE(SUBSTITUTE($B266,"~","~~"),"*","~*"),"?","~?"))&gt;0,"✓","not in Projects"))</f>
        <v/>
      </c>
      <c r="D266" s="27"/>
      <c r="E266" s="28"/>
      <c r="F266" s="27"/>
      <c r="G266" s="30"/>
      <c r="H266" s="30"/>
      <c r="I266" s="22" t="str">
        <f t="shared" si="17"/>
        <v>—</v>
      </c>
      <c r="J266" s="18" t="str">
        <f t="shared" ca="1" si="18"/>
        <v>—</v>
      </c>
      <c r="K266" s="32" t="str">
        <f t="shared" si="19"/>
        <v>—</v>
      </c>
      <c r="L266" s="27"/>
      <c r="M266" s="27"/>
      <c r="N266" s="27"/>
      <c r="O266" s="27"/>
    </row>
    <row r="267" spans="1:15" ht="16" x14ac:dyDescent="0.2">
      <c r="A267" s="14" t="str">
        <f t="shared" si="16"/>
        <v/>
      </c>
      <c r="B267" s="16"/>
      <c r="C267" s="24" t="str">
        <f>IF($B267="","",IF(COUNTIF(Projects!$C$5:$C$64,SUBSTITUTE(SUBSTITUTE(SUBSTITUTE($B267,"~","~~"),"*","~*"),"?","~?"))&gt;0,"✓","not in Projects"))</f>
        <v/>
      </c>
      <c r="D267" s="16"/>
      <c r="E267" s="17"/>
      <c r="F267" s="16"/>
      <c r="G267" s="21"/>
      <c r="H267" s="21"/>
      <c r="I267" s="22" t="str">
        <f t="shared" si="17"/>
        <v>—</v>
      </c>
      <c r="J267" s="18" t="str">
        <f t="shared" ca="1" si="18"/>
        <v>—</v>
      </c>
      <c r="K267" s="32" t="str">
        <f t="shared" si="19"/>
        <v>—</v>
      </c>
      <c r="L267" s="16"/>
      <c r="M267" s="16"/>
      <c r="N267" s="16"/>
      <c r="O267" s="16"/>
    </row>
    <row r="268" spans="1:15" ht="16" x14ac:dyDescent="0.2">
      <c r="A268" s="14" t="str">
        <f t="shared" si="16"/>
        <v/>
      </c>
      <c r="B268" s="27"/>
      <c r="C268" s="24" t="str">
        <f>IF($B268="","",IF(COUNTIF(Projects!$C$5:$C$64,SUBSTITUTE(SUBSTITUTE(SUBSTITUTE($B268,"~","~~"),"*","~*"),"?","~?"))&gt;0,"✓","not in Projects"))</f>
        <v/>
      </c>
      <c r="D268" s="27"/>
      <c r="E268" s="28"/>
      <c r="F268" s="27"/>
      <c r="G268" s="30"/>
      <c r="H268" s="30"/>
      <c r="I268" s="22" t="str">
        <f t="shared" si="17"/>
        <v>—</v>
      </c>
      <c r="J268" s="18" t="str">
        <f t="shared" ca="1" si="18"/>
        <v>—</v>
      </c>
      <c r="K268" s="32" t="str">
        <f t="shared" si="19"/>
        <v>—</v>
      </c>
      <c r="L268" s="27"/>
      <c r="M268" s="27"/>
      <c r="N268" s="27"/>
      <c r="O268" s="27"/>
    </row>
    <row r="269" spans="1:15" ht="16" x14ac:dyDescent="0.2">
      <c r="A269" s="14" t="str">
        <f t="shared" si="16"/>
        <v/>
      </c>
      <c r="B269" s="16"/>
      <c r="C269" s="24" t="str">
        <f>IF($B269="","",IF(COUNTIF(Projects!$C$5:$C$64,SUBSTITUTE(SUBSTITUTE(SUBSTITUTE($B269,"~","~~"),"*","~*"),"?","~?"))&gt;0,"✓","not in Projects"))</f>
        <v/>
      </c>
      <c r="D269" s="16"/>
      <c r="E269" s="17"/>
      <c r="F269" s="16"/>
      <c r="G269" s="21"/>
      <c r="H269" s="21"/>
      <c r="I269" s="22" t="str">
        <f t="shared" si="17"/>
        <v>—</v>
      </c>
      <c r="J269" s="18" t="str">
        <f t="shared" ca="1" si="18"/>
        <v>—</v>
      </c>
      <c r="K269" s="32" t="str">
        <f t="shared" si="19"/>
        <v>—</v>
      </c>
      <c r="L269" s="16"/>
      <c r="M269" s="16"/>
      <c r="N269" s="16"/>
      <c r="O269" s="16"/>
    </row>
    <row r="270" spans="1:15" ht="16" x14ac:dyDescent="0.2">
      <c r="A270" s="14" t="str">
        <f t="shared" si="16"/>
        <v/>
      </c>
      <c r="B270" s="27"/>
      <c r="C270" s="24" t="str">
        <f>IF($B270="","",IF(COUNTIF(Projects!$C$5:$C$64,SUBSTITUTE(SUBSTITUTE(SUBSTITUTE($B270,"~","~~"),"*","~*"),"?","~?"))&gt;0,"✓","not in Projects"))</f>
        <v/>
      </c>
      <c r="D270" s="27"/>
      <c r="E270" s="28"/>
      <c r="F270" s="27"/>
      <c r="G270" s="30"/>
      <c r="H270" s="30"/>
      <c r="I270" s="22" t="str">
        <f t="shared" si="17"/>
        <v>—</v>
      </c>
      <c r="J270" s="18" t="str">
        <f t="shared" ca="1" si="18"/>
        <v>—</v>
      </c>
      <c r="K270" s="32" t="str">
        <f t="shared" si="19"/>
        <v>—</v>
      </c>
      <c r="L270" s="27"/>
      <c r="M270" s="27"/>
      <c r="N270" s="27"/>
      <c r="O270" s="27"/>
    </row>
    <row r="271" spans="1:15" ht="16" x14ac:dyDescent="0.2">
      <c r="A271" s="14" t="str">
        <f t="shared" si="16"/>
        <v/>
      </c>
      <c r="B271" s="16"/>
      <c r="C271" s="24" t="str">
        <f>IF($B271="","",IF(COUNTIF(Projects!$C$5:$C$64,SUBSTITUTE(SUBSTITUTE(SUBSTITUTE($B271,"~","~~"),"*","~*"),"?","~?"))&gt;0,"✓","not in Projects"))</f>
        <v/>
      </c>
      <c r="D271" s="16"/>
      <c r="E271" s="17"/>
      <c r="F271" s="16"/>
      <c r="G271" s="21"/>
      <c r="H271" s="21"/>
      <c r="I271" s="22" t="str">
        <f t="shared" si="17"/>
        <v>—</v>
      </c>
      <c r="J271" s="18" t="str">
        <f t="shared" ca="1" si="18"/>
        <v>—</v>
      </c>
      <c r="K271" s="32" t="str">
        <f t="shared" si="19"/>
        <v>—</v>
      </c>
      <c r="L271" s="16"/>
      <c r="M271" s="16"/>
      <c r="N271" s="16"/>
      <c r="O271" s="16"/>
    </row>
    <row r="272" spans="1:15" ht="16" x14ac:dyDescent="0.2">
      <c r="A272" s="14" t="str">
        <f t="shared" si="16"/>
        <v/>
      </c>
      <c r="B272" s="27"/>
      <c r="C272" s="24" t="str">
        <f>IF($B272="","",IF(COUNTIF(Projects!$C$5:$C$64,SUBSTITUTE(SUBSTITUTE(SUBSTITUTE($B272,"~","~~"),"*","~*"),"?","~?"))&gt;0,"✓","not in Projects"))</f>
        <v/>
      </c>
      <c r="D272" s="27"/>
      <c r="E272" s="28"/>
      <c r="F272" s="27"/>
      <c r="G272" s="30"/>
      <c r="H272" s="30"/>
      <c r="I272" s="22" t="str">
        <f t="shared" si="17"/>
        <v>—</v>
      </c>
      <c r="J272" s="18" t="str">
        <f t="shared" ca="1" si="18"/>
        <v>—</v>
      </c>
      <c r="K272" s="32" t="str">
        <f t="shared" si="19"/>
        <v>—</v>
      </c>
      <c r="L272" s="27"/>
      <c r="M272" s="27"/>
      <c r="N272" s="27"/>
      <c r="O272" s="27"/>
    </row>
    <row r="273" spans="1:15" ht="16" x14ac:dyDescent="0.2">
      <c r="A273" s="14" t="str">
        <f t="shared" si="16"/>
        <v/>
      </c>
      <c r="B273" s="16"/>
      <c r="C273" s="24" t="str">
        <f>IF($B273="","",IF(COUNTIF(Projects!$C$5:$C$64,SUBSTITUTE(SUBSTITUTE(SUBSTITUTE($B273,"~","~~"),"*","~*"),"?","~?"))&gt;0,"✓","not in Projects"))</f>
        <v/>
      </c>
      <c r="D273" s="16"/>
      <c r="E273" s="17"/>
      <c r="F273" s="16"/>
      <c r="G273" s="21"/>
      <c r="H273" s="21"/>
      <c r="I273" s="22" t="str">
        <f t="shared" si="17"/>
        <v>—</v>
      </c>
      <c r="J273" s="18" t="str">
        <f t="shared" ca="1" si="18"/>
        <v>—</v>
      </c>
      <c r="K273" s="32" t="str">
        <f t="shared" si="19"/>
        <v>—</v>
      </c>
      <c r="L273" s="16"/>
      <c r="M273" s="16"/>
      <c r="N273" s="16"/>
      <c r="O273" s="16"/>
    </row>
    <row r="274" spans="1:15" ht="16" x14ac:dyDescent="0.2">
      <c r="A274" s="14" t="str">
        <f t="shared" si="16"/>
        <v/>
      </c>
      <c r="B274" s="27"/>
      <c r="C274" s="24" t="str">
        <f>IF($B274="","",IF(COUNTIF(Projects!$C$5:$C$64,SUBSTITUTE(SUBSTITUTE(SUBSTITUTE($B274,"~","~~"),"*","~*"),"?","~?"))&gt;0,"✓","not in Projects"))</f>
        <v/>
      </c>
      <c r="D274" s="27"/>
      <c r="E274" s="28"/>
      <c r="F274" s="27"/>
      <c r="G274" s="30"/>
      <c r="H274" s="30"/>
      <c r="I274" s="22" t="str">
        <f t="shared" si="17"/>
        <v>—</v>
      </c>
      <c r="J274" s="18" t="str">
        <f t="shared" ca="1" si="18"/>
        <v>—</v>
      </c>
      <c r="K274" s="32" t="str">
        <f t="shared" si="19"/>
        <v>—</v>
      </c>
      <c r="L274" s="27"/>
      <c r="M274" s="27"/>
      <c r="N274" s="27"/>
      <c r="O274" s="27"/>
    </row>
    <row r="275" spans="1:15" ht="16" x14ac:dyDescent="0.2">
      <c r="A275" s="14" t="str">
        <f t="shared" si="16"/>
        <v/>
      </c>
      <c r="B275" s="16"/>
      <c r="C275" s="24" t="str">
        <f>IF($B275="","",IF(COUNTIF(Projects!$C$5:$C$64,SUBSTITUTE(SUBSTITUTE(SUBSTITUTE($B275,"~","~~"),"*","~*"),"?","~?"))&gt;0,"✓","not in Projects"))</f>
        <v/>
      </c>
      <c r="D275" s="16"/>
      <c r="E275" s="17"/>
      <c r="F275" s="16"/>
      <c r="G275" s="21"/>
      <c r="H275" s="21"/>
      <c r="I275" s="22" t="str">
        <f t="shared" si="17"/>
        <v>—</v>
      </c>
      <c r="J275" s="18" t="str">
        <f t="shared" ca="1" si="18"/>
        <v>—</v>
      </c>
      <c r="K275" s="32" t="str">
        <f t="shared" si="19"/>
        <v>—</v>
      </c>
      <c r="L275" s="16"/>
      <c r="M275" s="16"/>
      <c r="N275" s="16"/>
      <c r="O275" s="16"/>
    </row>
    <row r="276" spans="1:15" ht="16" x14ac:dyDescent="0.2">
      <c r="A276" s="14" t="str">
        <f t="shared" si="16"/>
        <v/>
      </c>
      <c r="B276" s="27"/>
      <c r="C276" s="24" t="str">
        <f>IF($B276="","",IF(COUNTIF(Projects!$C$5:$C$64,SUBSTITUTE(SUBSTITUTE(SUBSTITUTE($B276,"~","~~"),"*","~*"),"?","~?"))&gt;0,"✓","not in Projects"))</f>
        <v/>
      </c>
      <c r="D276" s="27"/>
      <c r="E276" s="28"/>
      <c r="F276" s="27"/>
      <c r="G276" s="30"/>
      <c r="H276" s="30"/>
      <c r="I276" s="22" t="str">
        <f t="shared" si="17"/>
        <v>—</v>
      </c>
      <c r="J276" s="18" t="str">
        <f t="shared" ca="1" si="18"/>
        <v>—</v>
      </c>
      <c r="K276" s="32" t="str">
        <f t="shared" si="19"/>
        <v>—</v>
      </c>
      <c r="L276" s="27"/>
      <c r="M276" s="27"/>
      <c r="N276" s="27"/>
      <c r="O276" s="27"/>
    </row>
    <row r="277" spans="1:15" ht="16" x14ac:dyDescent="0.2">
      <c r="A277" s="14" t="str">
        <f t="shared" si="16"/>
        <v/>
      </c>
      <c r="B277" s="16"/>
      <c r="C277" s="24" t="str">
        <f>IF($B277="","",IF(COUNTIF(Projects!$C$5:$C$64,SUBSTITUTE(SUBSTITUTE(SUBSTITUTE($B277,"~","~~"),"*","~*"),"?","~?"))&gt;0,"✓","not in Projects"))</f>
        <v/>
      </c>
      <c r="D277" s="16"/>
      <c r="E277" s="17"/>
      <c r="F277" s="16"/>
      <c r="G277" s="21"/>
      <c r="H277" s="21"/>
      <c r="I277" s="22" t="str">
        <f t="shared" si="17"/>
        <v>—</v>
      </c>
      <c r="J277" s="18" t="str">
        <f t="shared" ca="1" si="18"/>
        <v>—</v>
      </c>
      <c r="K277" s="32" t="str">
        <f t="shared" si="19"/>
        <v>—</v>
      </c>
      <c r="L277" s="16"/>
      <c r="M277" s="16"/>
      <c r="N277" s="16"/>
      <c r="O277" s="16"/>
    </row>
    <row r="278" spans="1:15" ht="16" x14ac:dyDescent="0.2">
      <c r="A278" s="14" t="str">
        <f t="shared" si="16"/>
        <v/>
      </c>
      <c r="B278" s="27"/>
      <c r="C278" s="24" t="str">
        <f>IF($B278="","",IF(COUNTIF(Projects!$C$5:$C$64,SUBSTITUTE(SUBSTITUTE(SUBSTITUTE($B278,"~","~~"),"*","~*"),"?","~?"))&gt;0,"✓","not in Projects"))</f>
        <v/>
      </c>
      <c r="D278" s="27"/>
      <c r="E278" s="28"/>
      <c r="F278" s="27"/>
      <c r="G278" s="30"/>
      <c r="H278" s="30"/>
      <c r="I278" s="22" t="str">
        <f t="shared" si="17"/>
        <v>—</v>
      </c>
      <c r="J278" s="18" t="str">
        <f t="shared" ca="1" si="18"/>
        <v>—</v>
      </c>
      <c r="K278" s="32" t="str">
        <f t="shared" si="19"/>
        <v>—</v>
      </c>
      <c r="L278" s="27"/>
      <c r="M278" s="27"/>
      <c r="N278" s="27"/>
      <c r="O278" s="27"/>
    </row>
    <row r="279" spans="1:15" ht="16" x14ac:dyDescent="0.2">
      <c r="A279" s="14" t="str">
        <f t="shared" si="16"/>
        <v/>
      </c>
      <c r="B279" s="16"/>
      <c r="C279" s="24" t="str">
        <f>IF($B279="","",IF(COUNTIF(Projects!$C$5:$C$64,SUBSTITUTE(SUBSTITUTE(SUBSTITUTE($B279,"~","~~"),"*","~*"),"?","~?"))&gt;0,"✓","not in Projects"))</f>
        <v/>
      </c>
      <c r="D279" s="16"/>
      <c r="E279" s="17"/>
      <c r="F279" s="16"/>
      <c r="G279" s="21"/>
      <c r="H279" s="21"/>
      <c r="I279" s="22" t="str">
        <f t="shared" si="17"/>
        <v>—</v>
      </c>
      <c r="J279" s="18" t="str">
        <f t="shared" ca="1" si="18"/>
        <v>—</v>
      </c>
      <c r="K279" s="32" t="str">
        <f t="shared" si="19"/>
        <v>—</v>
      </c>
      <c r="L279" s="16"/>
      <c r="M279" s="16"/>
      <c r="N279" s="16"/>
      <c r="O279" s="16"/>
    </row>
    <row r="280" spans="1:15" ht="16" x14ac:dyDescent="0.2">
      <c r="A280" s="14" t="str">
        <f t="shared" si="16"/>
        <v/>
      </c>
      <c r="B280" s="27"/>
      <c r="C280" s="24" t="str">
        <f>IF($B280="","",IF(COUNTIF(Projects!$C$5:$C$64,SUBSTITUTE(SUBSTITUTE(SUBSTITUTE($B280,"~","~~"),"*","~*"),"?","~?"))&gt;0,"✓","not in Projects"))</f>
        <v/>
      </c>
      <c r="D280" s="27"/>
      <c r="E280" s="28"/>
      <c r="F280" s="27"/>
      <c r="G280" s="30"/>
      <c r="H280" s="30"/>
      <c r="I280" s="22" t="str">
        <f t="shared" si="17"/>
        <v>—</v>
      </c>
      <c r="J280" s="18" t="str">
        <f t="shared" ca="1" si="18"/>
        <v>—</v>
      </c>
      <c r="K280" s="32" t="str">
        <f t="shared" si="19"/>
        <v>—</v>
      </c>
      <c r="L280" s="27"/>
      <c r="M280" s="27"/>
      <c r="N280" s="27"/>
      <c r="O280" s="27"/>
    </row>
    <row r="281" spans="1:15" ht="16" x14ac:dyDescent="0.2">
      <c r="A281" s="14" t="str">
        <f t="shared" si="16"/>
        <v/>
      </c>
      <c r="B281" s="16"/>
      <c r="C281" s="24" t="str">
        <f>IF($B281="","",IF(COUNTIF(Projects!$C$5:$C$64,SUBSTITUTE(SUBSTITUTE(SUBSTITUTE($B281,"~","~~"),"*","~*"),"?","~?"))&gt;0,"✓","not in Projects"))</f>
        <v/>
      </c>
      <c r="D281" s="16"/>
      <c r="E281" s="17"/>
      <c r="F281" s="16"/>
      <c r="G281" s="21"/>
      <c r="H281" s="21"/>
      <c r="I281" s="22" t="str">
        <f t="shared" si="17"/>
        <v>—</v>
      </c>
      <c r="J281" s="18" t="str">
        <f t="shared" ca="1" si="18"/>
        <v>—</v>
      </c>
      <c r="K281" s="32" t="str">
        <f t="shared" si="19"/>
        <v>—</v>
      </c>
      <c r="L281" s="16"/>
      <c r="M281" s="16"/>
      <c r="N281" s="16"/>
      <c r="O281" s="16"/>
    </row>
    <row r="282" spans="1:15" ht="16" x14ac:dyDescent="0.2">
      <c r="A282" s="14" t="str">
        <f t="shared" si="16"/>
        <v/>
      </c>
      <c r="B282" s="27"/>
      <c r="C282" s="24" t="str">
        <f>IF($B282="","",IF(COUNTIF(Projects!$C$5:$C$64,SUBSTITUTE(SUBSTITUTE(SUBSTITUTE($B282,"~","~~"),"*","~*"),"?","~?"))&gt;0,"✓","not in Projects"))</f>
        <v/>
      </c>
      <c r="D282" s="27"/>
      <c r="E282" s="28"/>
      <c r="F282" s="27"/>
      <c r="G282" s="30"/>
      <c r="H282" s="30"/>
      <c r="I282" s="22" t="str">
        <f t="shared" si="17"/>
        <v>—</v>
      </c>
      <c r="J282" s="18" t="str">
        <f t="shared" ca="1" si="18"/>
        <v>—</v>
      </c>
      <c r="K282" s="32" t="str">
        <f t="shared" si="19"/>
        <v>—</v>
      </c>
      <c r="L282" s="27"/>
      <c r="M282" s="27"/>
      <c r="N282" s="27"/>
      <c r="O282" s="27"/>
    </row>
    <row r="283" spans="1:15" ht="16" x14ac:dyDescent="0.2">
      <c r="A283" s="14" t="str">
        <f t="shared" si="16"/>
        <v/>
      </c>
      <c r="B283" s="16"/>
      <c r="C283" s="24" t="str">
        <f>IF($B283="","",IF(COUNTIF(Projects!$C$5:$C$64,SUBSTITUTE(SUBSTITUTE(SUBSTITUTE($B283,"~","~~"),"*","~*"),"?","~?"))&gt;0,"✓","not in Projects"))</f>
        <v/>
      </c>
      <c r="D283" s="16"/>
      <c r="E283" s="17"/>
      <c r="F283" s="16"/>
      <c r="G283" s="21"/>
      <c r="H283" s="21"/>
      <c r="I283" s="22" t="str">
        <f t="shared" si="17"/>
        <v>—</v>
      </c>
      <c r="J283" s="18" t="str">
        <f t="shared" ca="1" si="18"/>
        <v>—</v>
      </c>
      <c r="K283" s="32" t="str">
        <f t="shared" si="19"/>
        <v>—</v>
      </c>
      <c r="L283" s="16"/>
      <c r="M283" s="16"/>
      <c r="N283" s="16"/>
      <c r="O283" s="16"/>
    </row>
    <row r="284" spans="1:15" ht="16" x14ac:dyDescent="0.2">
      <c r="A284" s="14" t="str">
        <f t="shared" si="16"/>
        <v/>
      </c>
      <c r="B284" s="27"/>
      <c r="C284" s="24" t="str">
        <f>IF($B284="","",IF(COUNTIF(Projects!$C$5:$C$64,SUBSTITUTE(SUBSTITUTE(SUBSTITUTE($B284,"~","~~"),"*","~*"),"?","~?"))&gt;0,"✓","not in Projects"))</f>
        <v/>
      </c>
      <c r="D284" s="27"/>
      <c r="E284" s="28"/>
      <c r="F284" s="27"/>
      <c r="G284" s="30"/>
      <c r="H284" s="30"/>
      <c r="I284" s="22" t="str">
        <f t="shared" si="17"/>
        <v>—</v>
      </c>
      <c r="J284" s="18" t="str">
        <f t="shared" ca="1" si="18"/>
        <v>—</v>
      </c>
      <c r="K284" s="32" t="str">
        <f t="shared" si="19"/>
        <v>—</v>
      </c>
      <c r="L284" s="27"/>
      <c r="M284" s="27"/>
      <c r="N284" s="27"/>
      <c r="O284" s="27"/>
    </row>
    <row r="285" spans="1:15" ht="16" x14ac:dyDescent="0.2">
      <c r="A285" s="14" t="str">
        <f t="shared" si="16"/>
        <v/>
      </c>
      <c r="B285" s="16"/>
      <c r="C285" s="24" t="str">
        <f>IF($B285="","",IF(COUNTIF(Projects!$C$5:$C$64,SUBSTITUTE(SUBSTITUTE(SUBSTITUTE($B285,"~","~~"),"*","~*"),"?","~?"))&gt;0,"✓","not in Projects"))</f>
        <v/>
      </c>
      <c r="D285" s="16"/>
      <c r="E285" s="17"/>
      <c r="F285" s="16"/>
      <c r="G285" s="21"/>
      <c r="H285" s="21"/>
      <c r="I285" s="22" t="str">
        <f t="shared" si="17"/>
        <v>—</v>
      </c>
      <c r="J285" s="18" t="str">
        <f t="shared" ca="1" si="18"/>
        <v>—</v>
      </c>
      <c r="K285" s="32" t="str">
        <f t="shared" si="19"/>
        <v>—</v>
      </c>
      <c r="L285" s="16"/>
      <c r="M285" s="16"/>
      <c r="N285" s="16"/>
      <c r="O285" s="16"/>
    </row>
    <row r="286" spans="1:15" ht="16" x14ac:dyDescent="0.2">
      <c r="A286" s="14" t="str">
        <f t="shared" si="16"/>
        <v/>
      </c>
      <c r="B286" s="27"/>
      <c r="C286" s="24" t="str">
        <f>IF($B286="","",IF(COUNTIF(Projects!$C$5:$C$64,SUBSTITUTE(SUBSTITUTE(SUBSTITUTE($B286,"~","~~"),"*","~*"),"?","~?"))&gt;0,"✓","not in Projects"))</f>
        <v/>
      </c>
      <c r="D286" s="27"/>
      <c r="E286" s="28"/>
      <c r="F286" s="27"/>
      <c r="G286" s="30"/>
      <c r="H286" s="30"/>
      <c r="I286" s="22" t="str">
        <f t="shared" si="17"/>
        <v>—</v>
      </c>
      <c r="J286" s="18" t="str">
        <f t="shared" ca="1" si="18"/>
        <v>—</v>
      </c>
      <c r="K286" s="32" t="str">
        <f t="shared" si="19"/>
        <v>—</v>
      </c>
      <c r="L286" s="27"/>
      <c r="M286" s="27"/>
      <c r="N286" s="27"/>
      <c r="O286" s="27"/>
    </row>
    <row r="287" spans="1:15" ht="16" x14ac:dyDescent="0.2">
      <c r="A287" s="14" t="str">
        <f t="shared" si="16"/>
        <v/>
      </c>
      <c r="B287" s="16"/>
      <c r="C287" s="24" t="str">
        <f>IF($B287="","",IF(COUNTIF(Projects!$C$5:$C$64,SUBSTITUTE(SUBSTITUTE(SUBSTITUTE($B287,"~","~~"),"*","~*"),"?","~?"))&gt;0,"✓","not in Projects"))</f>
        <v/>
      </c>
      <c r="D287" s="16"/>
      <c r="E287" s="17"/>
      <c r="F287" s="16"/>
      <c r="G287" s="21"/>
      <c r="H287" s="21"/>
      <c r="I287" s="22" t="str">
        <f t="shared" si="17"/>
        <v>—</v>
      </c>
      <c r="J287" s="18" t="str">
        <f t="shared" ca="1" si="18"/>
        <v>—</v>
      </c>
      <c r="K287" s="32" t="str">
        <f t="shared" si="19"/>
        <v>—</v>
      </c>
      <c r="L287" s="16"/>
      <c r="M287" s="16"/>
      <c r="N287" s="16"/>
      <c r="O287" s="16"/>
    </row>
    <row r="288" spans="1:15" ht="16" x14ac:dyDescent="0.2">
      <c r="A288" s="14" t="str">
        <f t="shared" si="16"/>
        <v/>
      </c>
      <c r="B288" s="27"/>
      <c r="C288" s="24" t="str">
        <f>IF($B288="","",IF(COUNTIF(Projects!$C$5:$C$64,SUBSTITUTE(SUBSTITUTE(SUBSTITUTE($B288,"~","~~"),"*","~*"),"?","~?"))&gt;0,"✓","not in Projects"))</f>
        <v/>
      </c>
      <c r="D288" s="27"/>
      <c r="E288" s="28"/>
      <c r="F288" s="27"/>
      <c r="G288" s="30"/>
      <c r="H288" s="30"/>
      <c r="I288" s="22" t="str">
        <f t="shared" si="17"/>
        <v>—</v>
      </c>
      <c r="J288" s="18" t="str">
        <f t="shared" ca="1" si="18"/>
        <v>—</v>
      </c>
      <c r="K288" s="32" t="str">
        <f t="shared" si="19"/>
        <v>—</v>
      </c>
      <c r="L288" s="27"/>
      <c r="M288" s="27"/>
      <c r="N288" s="27"/>
      <c r="O288" s="27"/>
    </row>
    <row r="289" spans="1:15" ht="16" x14ac:dyDescent="0.2">
      <c r="A289" s="14" t="str">
        <f t="shared" si="16"/>
        <v/>
      </c>
      <c r="B289" s="16"/>
      <c r="C289" s="24" t="str">
        <f>IF($B289="","",IF(COUNTIF(Projects!$C$5:$C$64,SUBSTITUTE(SUBSTITUTE(SUBSTITUTE($B289,"~","~~"),"*","~*"),"?","~?"))&gt;0,"✓","not in Projects"))</f>
        <v/>
      </c>
      <c r="D289" s="16"/>
      <c r="E289" s="17"/>
      <c r="F289" s="16"/>
      <c r="G289" s="21"/>
      <c r="H289" s="21"/>
      <c r="I289" s="22" t="str">
        <f t="shared" si="17"/>
        <v>—</v>
      </c>
      <c r="J289" s="18" t="str">
        <f t="shared" ca="1" si="18"/>
        <v>—</v>
      </c>
      <c r="K289" s="32" t="str">
        <f t="shared" si="19"/>
        <v>—</v>
      </c>
      <c r="L289" s="16"/>
      <c r="M289" s="16"/>
      <c r="N289" s="16"/>
      <c r="O289" s="16"/>
    </row>
    <row r="290" spans="1:15" ht="16" x14ac:dyDescent="0.2">
      <c r="A290" s="14" t="str">
        <f t="shared" si="16"/>
        <v/>
      </c>
      <c r="B290" s="27"/>
      <c r="C290" s="24" t="str">
        <f>IF($B290="","",IF(COUNTIF(Projects!$C$5:$C$64,SUBSTITUTE(SUBSTITUTE(SUBSTITUTE($B290,"~","~~"),"*","~*"),"?","~?"))&gt;0,"✓","not in Projects"))</f>
        <v/>
      </c>
      <c r="D290" s="27"/>
      <c r="E290" s="28"/>
      <c r="F290" s="27"/>
      <c r="G290" s="30"/>
      <c r="H290" s="30"/>
      <c r="I290" s="22" t="str">
        <f t="shared" si="17"/>
        <v>—</v>
      </c>
      <c r="J290" s="18" t="str">
        <f t="shared" ca="1" si="18"/>
        <v>—</v>
      </c>
      <c r="K290" s="32" t="str">
        <f t="shared" si="19"/>
        <v>—</v>
      </c>
      <c r="L290" s="27"/>
      <c r="M290" s="27"/>
      <c r="N290" s="27"/>
      <c r="O290" s="27"/>
    </row>
    <row r="291" spans="1:15" ht="16" x14ac:dyDescent="0.2">
      <c r="A291" s="14" t="str">
        <f t="shared" si="16"/>
        <v/>
      </c>
      <c r="B291" s="16"/>
      <c r="C291" s="24" t="str">
        <f>IF($B291="","",IF(COUNTIF(Projects!$C$5:$C$64,SUBSTITUTE(SUBSTITUTE(SUBSTITUTE($B291,"~","~~"),"*","~*"),"?","~?"))&gt;0,"✓","not in Projects"))</f>
        <v/>
      </c>
      <c r="D291" s="16"/>
      <c r="E291" s="17"/>
      <c r="F291" s="16"/>
      <c r="G291" s="21"/>
      <c r="H291" s="21"/>
      <c r="I291" s="22" t="str">
        <f t="shared" si="17"/>
        <v>—</v>
      </c>
      <c r="J291" s="18" t="str">
        <f t="shared" ca="1" si="18"/>
        <v>—</v>
      </c>
      <c r="K291" s="32" t="str">
        <f t="shared" si="19"/>
        <v>—</v>
      </c>
      <c r="L291" s="16"/>
      <c r="M291" s="16"/>
      <c r="N291" s="16"/>
      <c r="O291" s="16"/>
    </row>
    <row r="292" spans="1:15" ht="16" x14ac:dyDescent="0.2">
      <c r="A292" s="14" t="str">
        <f t="shared" si="16"/>
        <v/>
      </c>
      <c r="B292" s="27"/>
      <c r="C292" s="24" t="str">
        <f>IF($B292="","",IF(COUNTIF(Projects!$C$5:$C$64,SUBSTITUTE(SUBSTITUTE(SUBSTITUTE($B292,"~","~~"),"*","~*"),"?","~?"))&gt;0,"✓","not in Projects"))</f>
        <v/>
      </c>
      <c r="D292" s="27"/>
      <c r="E292" s="28"/>
      <c r="F292" s="27"/>
      <c r="G292" s="30"/>
      <c r="H292" s="30"/>
      <c r="I292" s="22" t="str">
        <f t="shared" si="17"/>
        <v>—</v>
      </c>
      <c r="J292" s="18" t="str">
        <f t="shared" ca="1" si="18"/>
        <v>—</v>
      </c>
      <c r="K292" s="32" t="str">
        <f t="shared" si="19"/>
        <v>—</v>
      </c>
      <c r="L292" s="27"/>
      <c r="M292" s="27"/>
      <c r="N292" s="27"/>
      <c r="O292" s="27"/>
    </row>
    <row r="293" spans="1:15" ht="16" x14ac:dyDescent="0.2">
      <c r="A293" s="14" t="str">
        <f t="shared" si="16"/>
        <v/>
      </c>
      <c r="B293" s="16"/>
      <c r="C293" s="24" t="str">
        <f>IF($B293="","",IF(COUNTIF(Projects!$C$5:$C$64,SUBSTITUTE(SUBSTITUTE(SUBSTITUTE($B293,"~","~~"),"*","~*"),"?","~?"))&gt;0,"✓","not in Projects"))</f>
        <v/>
      </c>
      <c r="D293" s="16"/>
      <c r="E293" s="17"/>
      <c r="F293" s="16"/>
      <c r="G293" s="21"/>
      <c r="H293" s="21"/>
      <c r="I293" s="22" t="str">
        <f t="shared" si="17"/>
        <v>—</v>
      </c>
      <c r="J293" s="18" t="str">
        <f t="shared" ca="1" si="18"/>
        <v>—</v>
      </c>
      <c r="K293" s="32" t="str">
        <f t="shared" si="19"/>
        <v>—</v>
      </c>
      <c r="L293" s="16"/>
      <c r="M293" s="16"/>
      <c r="N293" s="16"/>
      <c r="O293" s="16"/>
    </row>
    <row r="294" spans="1:15" ht="16" x14ac:dyDescent="0.2">
      <c r="A294" s="14" t="str">
        <f t="shared" si="16"/>
        <v/>
      </c>
      <c r="B294" s="27"/>
      <c r="C294" s="24" t="str">
        <f>IF($B294="","",IF(COUNTIF(Projects!$C$5:$C$64,SUBSTITUTE(SUBSTITUTE(SUBSTITUTE($B294,"~","~~"),"*","~*"),"?","~?"))&gt;0,"✓","not in Projects"))</f>
        <v/>
      </c>
      <c r="D294" s="27"/>
      <c r="E294" s="28"/>
      <c r="F294" s="27"/>
      <c r="G294" s="30"/>
      <c r="H294" s="30"/>
      <c r="I294" s="22" t="str">
        <f t="shared" si="17"/>
        <v>—</v>
      </c>
      <c r="J294" s="18" t="str">
        <f t="shared" ca="1" si="18"/>
        <v>—</v>
      </c>
      <c r="K294" s="32" t="str">
        <f t="shared" si="19"/>
        <v>—</v>
      </c>
      <c r="L294" s="27"/>
      <c r="M294" s="27"/>
      <c r="N294" s="27"/>
      <c r="O294" s="27"/>
    </row>
    <row r="295" spans="1:15" ht="16" x14ac:dyDescent="0.2">
      <c r="A295" s="14" t="str">
        <f t="shared" si="16"/>
        <v/>
      </c>
      <c r="B295" s="16"/>
      <c r="C295" s="24" t="str">
        <f>IF($B295="","",IF(COUNTIF(Projects!$C$5:$C$64,SUBSTITUTE(SUBSTITUTE(SUBSTITUTE($B295,"~","~~"),"*","~*"),"?","~?"))&gt;0,"✓","not in Projects"))</f>
        <v/>
      </c>
      <c r="D295" s="16"/>
      <c r="E295" s="17"/>
      <c r="F295" s="16"/>
      <c r="G295" s="21"/>
      <c r="H295" s="21"/>
      <c r="I295" s="22" t="str">
        <f t="shared" si="17"/>
        <v>—</v>
      </c>
      <c r="J295" s="18" t="str">
        <f t="shared" ca="1" si="18"/>
        <v>—</v>
      </c>
      <c r="K295" s="32" t="str">
        <f t="shared" si="19"/>
        <v>—</v>
      </c>
      <c r="L295" s="16"/>
      <c r="M295" s="16"/>
      <c r="N295" s="16"/>
      <c r="O295" s="16"/>
    </row>
    <row r="296" spans="1:15" ht="16" x14ac:dyDescent="0.2">
      <c r="A296" s="14" t="str">
        <f t="shared" si="16"/>
        <v/>
      </c>
      <c r="B296" s="27"/>
      <c r="C296" s="24" t="str">
        <f>IF($B296="","",IF(COUNTIF(Projects!$C$5:$C$64,SUBSTITUTE(SUBSTITUTE(SUBSTITUTE($B296,"~","~~"),"*","~*"),"?","~?"))&gt;0,"✓","not in Projects"))</f>
        <v/>
      </c>
      <c r="D296" s="27"/>
      <c r="E296" s="28"/>
      <c r="F296" s="27"/>
      <c r="G296" s="30"/>
      <c r="H296" s="30"/>
      <c r="I296" s="22" t="str">
        <f t="shared" si="17"/>
        <v>—</v>
      </c>
      <c r="J296" s="18" t="str">
        <f t="shared" ca="1" si="18"/>
        <v>—</v>
      </c>
      <c r="K296" s="32" t="str">
        <f t="shared" si="19"/>
        <v>—</v>
      </c>
      <c r="L296" s="27"/>
      <c r="M296" s="27"/>
      <c r="N296" s="27"/>
      <c r="O296" s="27"/>
    </row>
    <row r="297" spans="1:15" ht="16" x14ac:dyDescent="0.2">
      <c r="A297" s="14" t="str">
        <f t="shared" si="16"/>
        <v/>
      </c>
      <c r="B297" s="16"/>
      <c r="C297" s="24" t="str">
        <f>IF($B297="","",IF(COUNTIF(Projects!$C$5:$C$64,SUBSTITUTE(SUBSTITUTE(SUBSTITUTE($B297,"~","~~"),"*","~*"),"?","~?"))&gt;0,"✓","not in Projects"))</f>
        <v/>
      </c>
      <c r="D297" s="16"/>
      <c r="E297" s="17"/>
      <c r="F297" s="16"/>
      <c r="G297" s="21"/>
      <c r="H297" s="21"/>
      <c r="I297" s="22" t="str">
        <f t="shared" si="17"/>
        <v>—</v>
      </c>
      <c r="J297" s="18" t="str">
        <f t="shared" ca="1" si="18"/>
        <v>—</v>
      </c>
      <c r="K297" s="32" t="str">
        <f t="shared" si="19"/>
        <v>—</v>
      </c>
      <c r="L297" s="16"/>
      <c r="M297" s="16"/>
      <c r="N297" s="16"/>
      <c r="O297" s="16"/>
    </row>
    <row r="298" spans="1:15" ht="16" x14ac:dyDescent="0.2">
      <c r="A298" s="14" t="str">
        <f t="shared" si="16"/>
        <v/>
      </c>
      <c r="B298" s="27"/>
      <c r="C298" s="24" t="str">
        <f>IF($B298="","",IF(COUNTIF(Projects!$C$5:$C$64,SUBSTITUTE(SUBSTITUTE(SUBSTITUTE($B298,"~","~~"),"*","~*"),"?","~?"))&gt;0,"✓","not in Projects"))</f>
        <v/>
      </c>
      <c r="D298" s="27"/>
      <c r="E298" s="28"/>
      <c r="F298" s="27"/>
      <c r="G298" s="30"/>
      <c r="H298" s="30"/>
      <c r="I298" s="22" t="str">
        <f t="shared" si="17"/>
        <v>—</v>
      </c>
      <c r="J298" s="18" t="str">
        <f t="shared" ca="1" si="18"/>
        <v>—</v>
      </c>
      <c r="K298" s="32" t="str">
        <f t="shared" si="19"/>
        <v>—</v>
      </c>
      <c r="L298" s="27"/>
      <c r="M298" s="27"/>
      <c r="N298" s="27"/>
      <c r="O298" s="27"/>
    </row>
    <row r="299" spans="1:15" ht="16" x14ac:dyDescent="0.2">
      <c r="A299" s="14" t="str">
        <f t="shared" si="16"/>
        <v/>
      </c>
      <c r="B299" s="16"/>
      <c r="C299" s="24" t="str">
        <f>IF($B299="","",IF(COUNTIF(Projects!$C$5:$C$64,SUBSTITUTE(SUBSTITUTE(SUBSTITUTE($B299,"~","~~"),"*","~*"),"?","~?"))&gt;0,"✓","not in Projects"))</f>
        <v/>
      </c>
      <c r="D299" s="16"/>
      <c r="E299" s="17"/>
      <c r="F299" s="16"/>
      <c r="G299" s="21"/>
      <c r="H299" s="21"/>
      <c r="I299" s="22" t="str">
        <f t="shared" si="17"/>
        <v>—</v>
      </c>
      <c r="J299" s="18" t="str">
        <f t="shared" ca="1" si="18"/>
        <v>—</v>
      </c>
      <c r="K299" s="32" t="str">
        <f t="shared" si="19"/>
        <v>—</v>
      </c>
      <c r="L299" s="16"/>
      <c r="M299" s="16"/>
      <c r="N299" s="16"/>
      <c r="O299" s="16"/>
    </row>
    <row r="300" spans="1:15" ht="16" x14ac:dyDescent="0.2">
      <c r="A300" s="14" t="str">
        <f t="shared" si="16"/>
        <v/>
      </c>
      <c r="B300" s="27"/>
      <c r="C300" s="24" t="str">
        <f>IF($B300="","",IF(COUNTIF(Projects!$C$5:$C$64,SUBSTITUTE(SUBSTITUTE(SUBSTITUTE($B300,"~","~~"),"*","~*"),"?","~?"))&gt;0,"✓","not in Projects"))</f>
        <v/>
      </c>
      <c r="D300" s="27"/>
      <c r="E300" s="28"/>
      <c r="F300" s="27"/>
      <c r="G300" s="30"/>
      <c r="H300" s="30"/>
      <c r="I300" s="22" t="str">
        <f t="shared" si="17"/>
        <v>—</v>
      </c>
      <c r="J300" s="18" t="str">
        <f t="shared" ca="1" si="18"/>
        <v>—</v>
      </c>
      <c r="K300" s="32" t="str">
        <f t="shared" si="19"/>
        <v>—</v>
      </c>
      <c r="L300" s="27"/>
      <c r="M300" s="27"/>
      <c r="N300" s="27"/>
      <c r="O300" s="27"/>
    </row>
    <row r="301" spans="1:15" ht="16" x14ac:dyDescent="0.2">
      <c r="A301" s="14" t="str">
        <f t="shared" si="16"/>
        <v/>
      </c>
      <c r="B301" s="16"/>
      <c r="C301" s="24" t="str">
        <f>IF($B301="","",IF(COUNTIF(Projects!$C$5:$C$64,SUBSTITUTE(SUBSTITUTE(SUBSTITUTE($B301,"~","~~"),"*","~*"),"?","~?"))&gt;0,"✓","not in Projects"))</f>
        <v/>
      </c>
      <c r="D301" s="16"/>
      <c r="E301" s="17"/>
      <c r="F301" s="16"/>
      <c r="G301" s="21"/>
      <c r="H301" s="21"/>
      <c r="I301" s="22" t="str">
        <f t="shared" si="17"/>
        <v>—</v>
      </c>
      <c r="J301" s="18" t="str">
        <f t="shared" ca="1" si="18"/>
        <v>—</v>
      </c>
      <c r="K301" s="32" t="str">
        <f t="shared" si="19"/>
        <v>—</v>
      </c>
      <c r="L301" s="16"/>
      <c r="M301" s="16"/>
      <c r="N301" s="16"/>
      <c r="O301" s="16"/>
    </row>
    <row r="302" spans="1:15" ht="16" x14ac:dyDescent="0.2">
      <c r="A302" s="14" t="str">
        <f t="shared" si="16"/>
        <v/>
      </c>
      <c r="B302" s="27"/>
      <c r="C302" s="24" t="str">
        <f>IF($B302="","",IF(COUNTIF(Projects!$C$5:$C$64,SUBSTITUTE(SUBSTITUTE(SUBSTITUTE($B302,"~","~~"),"*","~*"),"?","~?"))&gt;0,"✓","not in Projects"))</f>
        <v/>
      </c>
      <c r="D302" s="27"/>
      <c r="E302" s="28"/>
      <c r="F302" s="27"/>
      <c r="G302" s="30"/>
      <c r="H302" s="30"/>
      <c r="I302" s="22" t="str">
        <f t="shared" si="17"/>
        <v>—</v>
      </c>
      <c r="J302" s="18" t="str">
        <f t="shared" ca="1" si="18"/>
        <v>—</v>
      </c>
      <c r="K302" s="32" t="str">
        <f t="shared" si="19"/>
        <v>—</v>
      </c>
      <c r="L302" s="27"/>
      <c r="M302" s="27"/>
      <c r="N302" s="27"/>
      <c r="O302" s="27"/>
    </row>
    <row r="303" spans="1:15" ht="16" x14ac:dyDescent="0.2">
      <c r="A303" s="14" t="str">
        <f t="shared" si="16"/>
        <v/>
      </c>
      <c r="B303" s="16"/>
      <c r="C303" s="24" t="str">
        <f>IF($B303="","",IF(COUNTIF(Projects!$C$5:$C$64,SUBSTITUTE(SUBSTITUTE(SUBSTITUTE($B303,"~","~~"),"*","~*"),"?","~?"))&gt;0,"✓","not in Projects"))</f>
        <v/>
      </c>
      <c r="D303" s="16"/>
      <c r="E303" s="17"/>
      <c r="F303" s="16"/>
      <c r="G303" s="21"/>
      <c r="H303" s="21"/>
      <c r="I303" s="22" t="str">
        <f t="shared" si="17"/>
        <v>—</v>
      </c>
      <c r="J303" s="18" t="str">
        <f t="shared" ca="1" si="18"/>
        <v>—</v>
      </c>
      <c r="K303" s="32" t="str">
        <f t="shared" si="19"/>
        <v>—</v>
      </c>
      <c r="L303" s="16"/>
      <c r="M303" s="16"/>
      <c r="N303" s="16"/>
      <c r="O303" s="16"/>
    </row>
    <row r="304" spans="1:15" ht="16" x14ac:dyDescent="0.2">
      <c r="A304" s="14" t="str">
        <f t="shared" si="16"/>
        <v/>
      </c>
      <c r="B304" s="27"/>
      <c r="C304" s="24" t="str">
        <f>IF($B304="","",IF(COUNTIF(Projects!$C$5:$C$64,SUBSTITUTE(SUBSTITUTE(SUBSTITUTE($B304,"~","~~"),"*","~*"),"?","~?"))&gt;0,"✓","not in Projects"))</f>
        <v/>
      </c>
      <c r="D304" s="27"/>
      <c r="E304" s="28"/>
      <c r="F304" s="27"/>
      <c r="G304" s="30"/>
      <c r="H304" s="30"/>
      <c r="I304" s="22" t="str">
        <f t="shared" si="17"/>
        <v>—</v>
      </c>
      <c r="J304" s="18" t="str">
        <f t="shared" ca="1" si="18"/>
        <v>—</v>
      </c>
      <c r="K304" s="32" t="str">
        <f t="shared" si="19"/>
        <v>—</v>
      </c>
      <c r="L304" s="27"/>
      <c r="M304" s="27"/>
      <c r="N304" s="27"/>
      <c r="O304" s="27"/>
    </row>
  </sheetData>
  <autoFilter ref="A4:O304" xr:uid="{00000000-0009-0000-0000-000003000000}"/>
  <mergeCells count="2">
    <mergeCell ref="A1:O1"/>
    <mergeCell ref="A2:O2"/>
  </mergeCells>
  <conditionalFormatting sqref="C5:C304">
    <cfRule type="cellIs" dxfId="23" priority="8" operator="equal">
      <formula>"✓"</formula>
    </cfRule>
    <cfRule type="cellIs" dxfId="22" priority="9" operator="equal">
      <formula>"not in Projects"</formula>
    </cfRule>
  </conditionalFormatting>
  <conditionalFormatting sqref="F5:F304">
    <cfRule type="cellIs" dxfId="21" priority="1" operator="equal">
      <formula>"Not started"</formula>
    </cfRule>
    <cfRule type="cellIs" dxfId="20" priority="2" operator="equal">
      <formula>"In progress"</formula>
    </cfRule>
    <cfRule type="cellIs" dxfId="19" priority="3" operator="equal">
      <formula>"With client"</formula>
    </cfRule>
    <cfRule type="cellIs" dxfId="18" priority="4" operator="equal">
      <formula>"Delivered"</formula>
    </cfRule>
    <cfRule type="cellIs" dxfId="17" priority="5" operator="equal">
      <formula>"Approved"</formula>
    </cfRule>
    <cfRule type="cellIs" dxfId="16" priority="6" operator="equal">
      <formula>"Blocked"</formula>
    </cfRule>
    <cfRule type="cellIs" dxfId="15" priority="7" operator="equal">
      <formula>"Cancelled"</formula>
    </cfRule>
  </conditionalFormatting>
  <conditionalFormatting sqref="J5:J304">
    <cfRule type="expression" dxfId="14" priority="10" stopIfTrue="1">
      <formula>AND(ISNUMBER($J5),$J5&lt;0)</formula>
    </cfRule>
    <cfRule type="expression" dxfId="13" priority="11" stopIfTrue="1">
      <formula>AND(ISNUMBER($J5),$J5&gt;=0,$J5&lt;=3)</formula>
    </cfRule>
    <cfRule type="expression" dxfId="12" priority="12" stopIfTrue="1">
      <formula>AND(ISNUMBER($J5),$J5&gt;=4,$J5&lt;=10)</formula>
    </cfRule>
    <cfRule type="expression" dxfId="11" priority="13">
      <formula>AND(ISNUMBER($J5),$J5&gt;10)</formula>
    </cfRule>
  </conditionalFormatting>
  <conditionalFormatting sqref="L5:L304">
    <cfRule type="expression" dxfId="10" priority="14">
      <formula>AND($L5="Not yet",OR($F5="Delivered",$F5="Approved"))</formula>
    </cfRule>
  </conditionalFormatting>
  <pageMargins left="0.75" right="0.75" top="1" bottom="1" header="0.5" footer="0.5"/>
  <pageSetup fitToHeight="0" orientation="landscape"/>
  <extLst>
    <ext xmlns:x14="http://schemas.microsoft.com/office/spreadsheetml/2009/9/main" uri="{CCE6A557-97BC-4b89-ADB6-D9C93CAAB3DF}">
      <x14:dataValidations xmlns:xm="http://schemas.microsoft.com/office/excel/2006/main" count="5">
        <x14:dataValidation type="list" allowBlank="1" xr:uid="{00000000-0002-0000-0300-000000000000}">
          <x14:formula1>
            <xm:f>Projects!$C$5:$C$64</xm:f>
          </x14:formula1>
          <xm:sqref>B5:B304</xm:sqref>
        </x14:dataValidation>
        <x14:dataValidation type="list" allowBlank="1" xr:uid="{00000000-0002-0000-0300-000001000000}">
          <x14:formula1>
            <xm:f>Lists!$C$1:$C$7</xm:f>
          </x14:formula1>
          <xm:sqref>F5:F304</xm:sqref>
        </x14:dataValidation>
        <x14:dataValidation type="list" allowBlank="1" xr:uid="{00000000-0002-0000-0300-000002000000}">
          <x14:formula1>
            <xm:f>Lists!$D$1:$D$4</xm:f>
          </x14:formula1>
          <xm:sqref>L5:L304</xm:sqref>
        </x14:dataValidation>
        <x14:dataValidation type="list" allowBlank="1" xr:uid="{00000000-0002-0000-0300-000003000000}">
          <x14:formula1>
            <xm:f>Lists!$E$1:$E$2</xm:f>
          </x14:formula1>
          <xm:sqref>M5:M304</xm:sqref>
        </x14:dataValidation>
        <x14:dataValidation type="list" allowBlank="1" xr:uid="{00000000-0002-0000-0300-000004000000}">
          <x14:formula1>
            <xm:f>Lists!$F$1:$F$3</xm:f>
          </x14:formula1>
          <xm:sqref>N5:N304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42"/>
  <sheetViews>
    <sheetView workbookViewId="0">
      <pane ySplit="14" topLeftCell="A15" activePane="bottomLeft" state="frozen"/>
      <selection pane="bottomLeft"/>
    </sheetView>
  </sheetViews>
  <sheetFormatPr baseColWidth="10" defaultColWidth="8.83203125" defaultRowHeight="15" x14ac:dyDescent="0.2"/>
  <cols>
    <col min="1" max="1" width="30" customWidth="1"/>
    <col min="2" max="4" width="16" customWidth="1"/>
    <col min="5" max="5" width="17" customWidth="1"/>
    <col min="6" max="6" width="13" customWidth="1"/>
    <col min="7" max="7" width="10" customWidth="1"/>
    <col min="8" max="8" width="15" customWidth="1"/>
    <col min="9" max="9" width="14" customWidth="1"/>
    <col min="10" max="10" width="34" customWidth="1"/>
  </cols>
  <sheetData>
    <row r="1" spans="1:10" ht="26" customHeight="1" x14ac:dyDescent="0.25">
      <c r="A1" s="52" t="s">
        <v>98</v>
      </c>
      <c r="B1" s="51"/>
      <c r="C1" s="51"/>
      <c r="D1" s="51"/>
      <c r="E1" s="51"/>
      <c r="F1" s="51"/>
      <c r="G1" s="51"/>
      <c r="H1" s="51"/>
      <c r="I1" s="51"/>
      <c r="J1" s="51"/>
    </row>
    <row r="2" spans="1:10" x14ac:dyDescent="0.2">
      <c r="A2" s="55" t="s">
        <v>99</v>
      </c>
      <c r="B2" s="51"/>
      <c r="C2" s="51"/>
      <c r="D2" s="51"/>
      <c r="E2" s="51"/>
      <c r="F2" s="51"/>
      <c r="G2" s="51"/>
      <c r="H2" s="51"/>
      <c r="I2" s="51"/>
      <c r="J2" s="51"/>
    </row>
    <row r="4" spans="1:10" ht="22" customHeight="1" x14ac:dyDescent="0.2">
      <c r="A4" s="63" t="s">
        <v>100</v>
      </c>
      <c r="B4" s="64"/>
      <c r="C4" s="64"/>
      <c r="D4" s="64"/>
      <c r="E4" s="64"/>
      <c r="F4" s="64"/>
      <c r="G4" s="64"/>
      <c r="H4" s="64"/>
      <c r="I4" s="64"/>
      <c r="J4" s="64"/>
    </row>
    <row r="5" spans="1:10" x14ac:dyDescent="0.2">
      <c r="A5" s="33" t="s">
        <v>101</v>
      </c>
      <c r="B5" s="34"/>
    </row>
    <row r="6" spans="1:10" x14ac:dyDescent="0.2">
      <c r="A6" s="33" t="s">
        <v>102</v>
      </c>
      <c r="B6" s="35"/>
    </row>
    <row r="7" spans="1:10" x14ac:dyDescent="0.2">
      <c r="A7" s="36" t="s">
        <v>103</v>
      </c>
      <c r="B7" s="37" t="str">
        <f>IF($B$6="","—",IFERROR(INT($B$6)-WEEKDAY(INT($B$6),3),"—"))</f>
        <v>—</v>
      </c>
    </row>
    <row r="8" spans="1:10" x14ac:dyDescent="0.2">
      <c r="A8" s="36" t="s">
        <v>104</v>
      </c>
      <c r="B8" s="38" t="str">
        <f>IF(OR($B$5="",$B$6=""),"—",IF(NOT(ISNUMBER($B$7)),"—",IF(OR($B$7&lt;$A$15,$B$7&gt;$A$40),"outside the 26-week window",IFERROR(SUMIFS($F$15:$F$40,$A$15:$A$40,$B$7),"—"))))</f>
        <v>—</v>
      </c>
    </row>
    <row r="9" spans="1:10" x14ac:dyDescent="0.2">
      <c r="A9" s="36" t="s">
        <v>105</v>
      </c>
      <c r="B9" s="38" t="str">
        <f>IF(OR($B$5="",$B$6=""),"—",IF(NOT(ISNUMBER($B$7)),"—",IFERROR(SUMIFS($F$15:$F$40,$A$15:$A$40,"&gt;="&amp;INT($A$15),$A$15:$A$40,"&lt;"&amp;INT($B$7)),"—")))</f>
        <v>—</v>
      </c>
    </row>
    <row r="10" spans="1:10" x14ac:dyDescent="0.2">
      <c r="A10" s="36" t="s">
        <v>106</v>
      </c>
      <c r="B10" s="38" t="str">
        <f>IF(NOT(ISNUMBER($B$7)),"—",IFERROR(SUMIFS($H$15:$H$40,$A$15:$A$40,$B$7),"—"))</f>
        <v>—</v>
      </c>
    </row>
    <row r="11" spans="1:10" ht="24" customHeight="1" x14ac:dyDescent="0.2">
      <c r="A11" s="33" t="s">
        <v>107</v>
      </c>
      <c r="B11" s="65" t="str">
        <f>IF(OR($B$5="",$B$6=""),"Enter hours and a date above.",IF(NOT(ISNUMBER($B$8)),"That date is outside the 26-week window.",IF($B$8&gt;=$B$5,"YES — fits in that week ("&amp;TEXT($B$8-$B$5,"0.0")&amp;" h to spare).",IF($B$8+$B$10&gt;=$B$5,"TIGHT — only by moving "&amp;TEXT($B$5-$B$8,"0.0")&amp;" h of movable work out of that week.",IF($B$9+$B$8&gt;=$B$5,"NO for that week alone — but "&amp;TEXT($B$9+$B$8,"0.0")&amp;" h are free between now and that date: start earlier or split the job.","NO — "&amp;TEXT($B$5-$B$9-$B$8,"0.0")&amp;" h short even if you start today.")))))</f>
        <v>Enter hours and a date above.</v>
      </c>
      <c r="C11" s="66"/>
      <c r="D11" s="66"/>
      <c r="E11" s="66"/>
      <c r="F11" s="66"/>
    </row>
    <row r="12" spans="1:10" x14ac:dyDescent="0.2">
      <c r="A12" s="36" t="s">
        <v>108</v>
      </c>
      <c r="B12" s="38">
        <f ca="1">IFERROR(SUMIFS(Deliverables!$I$5:$I$304,Deliverables!$K$5:$K$304,"&lt;"&amp;INT($A$15)),0)</f>
        <v>3</v>
      </c>
    </row>
    <row r="13" spans="1:10" x14ac:dyDescent="0.2">
      <c r="A13" s="36" t="s">
        <v>109</v>
      </c>
      <c r="B13" s="37">
        <f ca="1">TODAY()-WEEKDAY(TODAY(),3)</f>
        <v>46230</v>
      </c>
      <c r="C13" s="9" t="s">
        <v>110</v>
      </c>
    </row>
    <row r="14" spans="1:10" ht="30" customHeight="1" x14ac:dyDescent="0.2">
      <c r="A14" s="13" t="s">
        <v>111</v>
      </c>
      <c r="B14" s="13" t="s">
        <v>112</v>
      </c>
      <c r="C14" s="13" t="s">
        <v>113</v>
      </c>
      <c r="D14" s="13" t="s">
        <v>114</v>
      </c>
      <c r="E14" s="13" t="s">
        <v>115</v>
      </c>
      <c r="F14" s="13" t="s">
        <v>116</v>
      </c>
      <c r="G14" s="13" t="s">
        <v>117</v>
      </c>
      <c r="H14" s="13" t="s">
        <v>118</v>
      </c>
      <c r="I14" s="13" t="s">
        <v>119</v>
      </c>
      <c r="J14" s="13" t="s">
        <v>120</v>
      </c>
    </row>
    <row r="15" spans="1:10" ht="16" x14ac:dyDescent="0.2">
      <c r="A15" s="32">
        <f ca="1">IFERROR(INT($B$13)-WEEKDAY(INT($B$13),3),TODAY()-WEEKDAY(TODAY(),3))</f>
        <v>46230</v>
      </c>
      <c r="B15" s="39" t="str">
        <f t="shared" ref="B15:B40" ca="1" si="0">IFERROR("Week "&amp;TEXT(WEEKNUM($A15,21),"0"),"—")</f>
        <v>Week 31</v>
      </c>
      <c r="C15" s="40">
        <v>25</v>
      </c>
      <c r="D15" s="22">
        <f ca="1">IFERROR(SUMIFS(Deliverables!$I$5:$I$304,Deliverables!$K$5:$K$304,$A15)+SUMIFS(Deliverables!$I$5:$I$304,Deliverables!$K$5:$K$304,"&lt;"&amp;INT($A15)),0)</f>
        <v>3</v>
      </c>
      <c r="E15" s="21"/>
      <c r="F15" s="41">
        <f t="shared" ref="F15:F40" ca="1" si="1">IF(NOT(ISNUMBER($C15)),"—",IFERROR($C15-N($D15)-N($E15),"—"))</f>
        <v>22</v>
      </c>
      <c r="G15" s="42">
        <f t="shared" ref="G15:G40" ca="1" si="2">IF(OR(NOT(ISNUMBER($C15)),$C15&lt;=0),"—",IFERROR(($D15+N($E15))/$C15,"—"))</f>
        <v>0.12</v>
      </c>
      <c r="H15" s="22">
        <f ca="1">IFERROR(SUMIFS(Deliverables!$I$5:$I$304,Deliverables!$K$5:$K$304,$A15,Deliverables!$M$5:$M$304,"Can move")+SUMIFS(Deliverables!$I$5:$I$304,Deliverables!$K$5:$K$304,"&lt;"&amp;INT($A15),Deliverables!$M$5:$M$304,"Can move"),0)</f>
        <v>0</v>
      </c>
      <c r="I15" s="43">
        <f ca="1">IFERROR(COUNTIFS(Deliverables!$K$5:$K$304,$A15,Deliverables!$F$5:$F$304,"&lt;&gt;Delivered",Deliverables!$F$5:$F$304,"&lt;&gt;Approved",Deliverables!$F$5:$F$304,"&lt;&gt;Cancelled"),0)</f>
        <v>0</v>
      </c>
      <c r="J15" s="16"/>
    </row>
    <row r="16" spans="1:10" ht="16" x14ac:dyDescent="0.2">
      <c r="A16" s="32">
        <f t="shared" ref="A16:A40" ca="1" si="3">A15+7</f>
        <v>46237</v>
      </c>
      <c r="B16" s="39" t="str">
        <f t="shared" ca="1" si="0"/>
        <v>Week 32</v>
      </c>
      <c r="C16" s="44">
        <v>25</v>
      </c>
      <c r="D16" s="22">
        <f ca="1">IFERROR(SUMIFS(Deliverables!$I$5:$I$304,Deliverables!$K$5:$K$304,$A16),0)</f>
        <v>20</v>
      </c>
      <c r="E16" s="30"/>
      <c r="F16" s="41">
        <f t="shared" ca="1" si="1"/>
        <v>5</v>
      </c>
      <c r="G16" s="42">
        <f t="shared" ca="1" si="2"/>
        <v>0.8</v>
      </c>
      <c r="H16" s="22">
        <f ca="1">IFERROR(SUMIFS(Deliverables!$I$5:$I$304,Deliverables!$K$5:$K$304,$A16,Deliverables!$M$5:$M$304,"Can move"),0)</f>
        <v>12</v>
      </c>
      <c r="I16" s="43">
        <f ca="1">IFERROR(COUNTIFS(Deliverables!$K$5:$K$304,$A16,Deliverables!$F$5:$F$304,"&lt;&gt;Delivered",Deliverables!$F$5:$F$304,"&lt;&gt;Approved",Deliverables!$F$5:$F$304,"&lt;&gt;Cancelled"),0)</f>
        <v>2</v>
      </c>
      <c r="J16" s="27"/>
    </row>
    <row r="17" spans="1:10" ht="16" x14ac:dyDescent="0.2">
      <c r="A17" s="32">
        <f t="shared" ca="1" si="3"/>
        <v>46244</v>
      </c>
      <c r="B17" s="39" t="str">
        <f t="shared" ca="1" si="0"/>
        <v>Week 33</v>
      </c>
      <c r="C17" s="40">
        <v>25</v>
      </c>
      <c r="D17" s="22">
        <f ca="1">IFERROR(SUMIFS(Deliverables!$I$5:$I$304,Deliverables!$K$5:$K$304,$A17),0)</f>
        <v>9</v>
      </c>
      <c r="E17" s="21"/>
      <c r="F17" s="41">
        <f t="shared" ca="1" si="1"/>
        <v>16</v>
      </c>
      <c r="G17" s="42">
        <f t="shared" ca="1" si="2"/>
        <v>0.36</v>
      </c>
      <c r="H17" s="22">
        <f ca="1">IFERROR(SUMIFS(Deliverables!$I$5:$I$304,Deliverables!$K$5:$K$304,$A17,Deliverables!$M$5:$M$304,"Can move"),0)</f>
        <v>9</v>
      </c>
      <c r="I17" s="43">
        <f ca="1">IFERROR(COUNTIFS(Deliverables!$K$5:$K$304,$A17,Deliverables!$F$5:$F$304,"&lt;&gt;Delivered",Deliverables!$F$5:$F$304,"&lt;&gt;Approved",Deliverables!$F$5:$F$304,"&lt;&gt;Cancelled"),0)</f>
        <v>1</v>
      </c>
      <c r="J17" s="16"/>
    </row>
    <row r="18" spans="1:10" ht="16" x14ac:dyDescent="0.2">
      <c r="A18" s="32">
        <f t="shared" ca="1" si="3"/>
        <v>46251</v>
      </c>
      <c r="B18" s="39" t="str">
        <f t="shared" ca="1" si="0"/>
        <v>Week 34</v>
      </c>
      <c r="C18" s="44">
        <v>25</v>
      </c>
      <c r="D18" s="22">
        <f ca="1">IFERROR(SUMIFS(Deliverables!$I$5:$I$304,Deliverables!$K$5:$K$304,$A18),0)</f>
        <v>0</v>
      </c>
      <c r="E18" s="30"/>
      <c r="F18" s="41">
        <f t="shared" ca="1" si="1"/>
        <v>25</v>
      </c>
      <c r="G18" s="42">
        <f t="shared" ca="1" si="2"/>
        <v>0</v>
      </c>
      <c r="H18" s="22">
        <f ca="1">IFERROR(SUMIFS(Deliverables!$I$5:$I$304,Deliverables!$K$5:$K$304,$A18,Deliverables!$M$5:$M$304,"Can move"),0)</f>
        <v>0</v>
      </c>
      <c r="I18" s="43">
        <f ca="1">IFERROR(COUNTIFS(Deliverables!$K$5:$K$304,$A18,Deliverables!$F$5:$F$304,"&lt;&gt;Delivered",Deliverables!$F$5:$F$304,"&lt;&gt;Approved",Deliverables!$F$5:$F$304,"&lt;&gt;Cancelled"),0)</f>
        <v>0</v>
      </c>
      <c r="J18" s="27"/>
    </row>
    <row r="19" spans="1:10" ht="16" x14ac:dyDescent="0.2">
      <c r="A19" s="32">
        <f t="shared" ca="1" si="3"/>
        <v>46258</v>
      </c>
      <c r="B19" s="39" t="str">
        <f t="shared" ca="1" si="0"/>
        <v>Week 35</v>
      </c>
      <c r="C19" s="40">
        <v>25</v>
      </c>
      <c r="D19" s="22">
        <f ca="1">IFERROR(SUMIFS(Deliverables!$I$5:$I$304,Deliverables!$K$5:$K$304,$A19),0)</f>
        <v>0</v>
      </c>
      <c r="E19" s="21"/>
      <c r="F19" s="41">
        <f t="shared" ca="1" si="1"/>
        <v>25</v>
      </c>
      <c r="G19" s="42">
        <f t="shared" ca="1" si="2"/>
        <v>0</v>
      </c>
      <c r="H19" s="22">
        <f ca="1">IFERROR(SUMIFS(Deliverables!$I$5:$I$304,Deliverables!$K$5:$K$304,$A19,Deliverables!$M$5:$M$304,"Can move"),0)</f>
        <v>0</v>
      </c>
      <c r="I19" s="43">
        <f ca="1">IFERROR(COUNTIFS(Deliverables!$K$5:$K$304,$A19,Deliverables!$F$5:$F$304,"&lt;&gt;Delivered",Deliverables!$F$5:$F$304,"&lt;&gt;Approved",Deliverables!$F$5:$F$304,"&lt;&gt;Cancelled"),0)</f>
        <v>0</v>
      </c>
      <c r="J19" s="16"/>
    </row>
    <row r="20" spans="1:10" ht="16" x14ac:dyDescent="0.2">
      <c r="A20" s="32">
        <f t="shared" ca="1" si="3"/>
        <v>46265</v>
      </c>
      <c r="B20" s="39" t="str">
        <f t="shared" ca="1" si="0"/>
        <v>Week 36</v>
      </c>
      <c r="C20" s="44">
        <v>25</v>
      </c>
      <c r="D20" s="22">
        <f ca="1">IFERROR(SUMIFS(Deliverables!$I$5:$I$304,Deliverables!$K$5:$K$304,$A20),0)</f>
        <v>0</v>
      </c>
      <c r="E20" s="30"/>
      <c r="F20" s="41">
        <f t="shared" ca="1" si="1"/>
        <v>25</v>
      </c>
      <c r="G20" s="42">
        <f t="shared" ca="1" si="2"/>
        <v>0</v>
      </c>
      <c r="H20" s="22">
        <f ca="1">IFERROR(SUMIFS(Deliverables!$I$5:$I$304,Deliverables!$K$5:$K$304,$A20,Deliverables!$M$5:$M$304,"Can move"),0)</f>
        <v>0</v>
      </c>
      <c r="I20" s="43">
        <f ca="1">IFERROR(COUNTIFS(Deliverables!$K$5:$K$304,$A20,Deliverables!$F$5:$F$304,"&lt;&gt;Delivered",Deliverables!$F$5:$F$304,"&lt;&gt;Approved",Deliverables!$F$5:$F$304,"&lt;&gt;Cancelled"),0)</f>
        <v>0</v>
      </c>
      <c r="J20" s="27"/>
    </row>
    <row r="21" spans="1:10" ht="16" x14ac:dyDescent="0.2">
      <c r="A21" s="32">
        <f t="shared" ca="1" si="3"/>
        <v>46272</v>
      </c>
      <c r="B21" s="39" t="str">
        <f t="shared" ca="1" si="0"/>
        <v>Week 37</v>
      </c>
      <c r="C21" s="40">
        <v>25</v>
      </c>
      <c r="D21" s="22">
        <f ca="1">IFERROR(SUMIFS(Deliverables!$I$5:$I$304,Deliverables!$K$5:$K$304,$A21),0)</f>
        <v>0</v>
      </c>
      <c r="E21" s="21"/>
      <c r="F21" s="41">
        <f t="shared" ca="1" si="1"/>
        <v>25</v>
      </c>
      <c r="G21" s="42">
        <f t="shared" ca="1" si="2"/>
        <v>0</v>
      </c>
      <c r="H21" s="22">
        <f ca="1">IFERROR(SUMIFS(Deliverables!$I$5:$I$304,Deliverables!$K$5:$K$304,$A21,Deliverables!$M$5:$M$304,"Can move"),0)</f>
        <v>0</v>
      </c>
      <c r="I21" s="43">
        <f ca="1">IFERROR(COUNTIFS(Deliverables!$K$5:$K$304,$A21,Deliverables!$F$5:$F$304,"&lt;&gt;Delivered",Deliverables!$F$5:$F$304,"&lt;&gt;Approved",Deliverables!$F$5:$F$304,"&lt;&gt;Cancelled"),0)</f>
        <v>0</v>
      </c>
      <c r="J21" s="16"/>
    </row>
    <row r="22" spans="1:10" ht="16" x14ac:dyDescent="0.2">
      <c r="A22" s="32">
        <f t="shared" ca="1" si="3"/>
        <v>46279</v>
      </c>
      <c r="B22" s="39" t="str">
        <f t="shared" ca="1" si="0"/>
        <v>Week 38</v>
      </c>
      <c r="C22" s="44">
        <v>25</v>
      </c>
      <c r="D22" s="22">
        <f ca="1">IFERROR(SUMIFS(Deliverables!$I$5:$I$304,Deliverables!$K$5:$K$304,$A22),0)</f>
        <v>0</v>
      </c>
      <c r="E22" s="30"/>
      <c r="F22" s="41">
        <f t="shared" ca="1" si="1"/>
        <v>25</v>
      </c>
      <c r="G22" s="42">
        <f t="shared" ca="1" si="2"/>
        <v>0</v>
      </c>
      <c r="H22" s="22">
        <f ca="1">IFERROR(SUMIFS(Deliverables!$I$5:$I$304,Deliverables!$K$5:$K$304,$A22,Deliverables!$M$5:$M$304,"Can move"),0)</f>
        <v>0</v>
      </c>
      <c r="I22" s="43">
        <f ca="1">IFERROR(COUNTIFS(Deliverables!$K$5:$K$304,$A22,Deliverables!$F$5:$F$304,"&lt;&gt;Delivered",Deliverables!$F$5:$F$304,"&lt;&gt;Approved",Deliverables!$F$5:$F$304,"&lt;&gt;Cancelled"),0)</f>
        <v>0</v>
      </c>
      <c r="J22" s="27"/>
    </row>
    <row r="23" spans="1:10" ht="16" x14ac:dyDescent="0.2">
      <c r="A23" s="32">
        <f t="shared" ca="1" si="3"/>
        <v>46286</v>
      </c>
      <c r="B23" s="39" t="str">
        <f t="shared" ca="1" si="0"/>
        <v>Week 39</v>
      </c>
      <c r="C23" s="40">
        <v>25</v>
      </c>
      <c r="D23" s="22">
        <f ca="1">IFERROR(SUMIFS(Deliverables!$I$5:$I$304,Deliverables!$K$5:$K$304,$A23),0)</f>
        <v>0</v>
      </c>
      <c r="E23" s="21"/>
      <c r="F23" s="41">
        <f t="shared" ca="1" si="1"/>
        <v>25</v>
      </c>
      <c r="G23" s="42">
        <f t="shared" ca="1" si="2"/>
        <v>0</v>
      </c>
      <c r="H23" s="22">
        <f ca="1">IFERROR(SUMIFS(Deliverables!$I$5:$I$304,Deliverables!$K$5:$K$304,$A23,Deliverables!$M$5:$M$304,"Can move"),0)</f>
        <v>0</v>
      </c>
      <c r="I23" s="43">
        <f ca="1">IFERROR(COUNTIFS(Deliverables!$K$5:$K$304,$A23,Deliverables!$F$5:$F$304,"&lt;&gt;Delivered",Deliverables!$F$5:$F$304,"&lt;&gt;Approved",Deliverables!$F$5:$F$304,"&lt;&gt;Cancelled"),0)</f>
        <v>0</v>
      </c>
      <c r="J23" s="16"/>
    </row>
    <row r="24" spans="1:10" ht="16" x14ac:dyDescent="0.2">
      <c r="A24" s="32">
        <f t="shared" ca="1" si="3"/>
        <v>46293</v>
      </c>
      <c r="B24" s="39" t="str">
        <f t="shared" ca="1" si="0"/>
        <v>Week 40</v>
      </c>
      <c r="C24" s="44">
        <v>25</v>
      </c>
      <c r="D24" s="22">
        <f ca="1">IFERROR(SUMIFS(Deliverables!$I$5:$I$304,Deliverables!$K$5:$K$304,$A24),0)</f>
        <v>0</v>
      </c>
      <c r="E24" s="30"/>
      <c r="F24" s="41">
        <f t="shared" ca="1" si="1"/>
        <v>25</v>
      </c>
      <c r="G24" s="42">
        <f t="shared" ca="1" si="2"/>
        <v>0</v>
      </c>
      <c r="H24" s="22">
        <f ca="1">IFERROR(SUMIFS(Deliverables!$I$5:$I$304,Deliverables!$K$5:$K$304,$A24,Deliverables!$M$5:$M$304,"Can move"),0)</f>
        <v>0</v>
      </c>
      <c r="I24" s="43">
        <f ca="1">IFERROR(COUNTIFS(Deliverables!$K$5:$K$304,$A24,Deliverables!$F$5:$F$304,"&lt;&gt;Delivered",Deliverables!$F$5:$F$304,"&lt;&gt;Approved",Deliverables!$F$5:$F$304,"&lt;&gt;Cancelled"),0)</f>
        <v>0</v>
      </c>
      <c r="J24" s="27"/>
    </row>
    <row r="25" spans="1:10" ht="16" x14ac:dyDescent="0.2">
      <c r="A25" s="32">
        <f t="shared" ca="1" si="3"/>
        <v>46300</v>
      </c>
      <c r="B25" s="39" t="str">
        <f t="shared" ca="1" si="0"/>
        <v>Week 41</v>
      </c>
      <c r="C25" s="40">
        <v>25</v>
      </c>
      <c r="D25" s="22">
        <f ca="1">IFERROR(SUMIFS(Deliverables!$I$5:$I$304,Deliverables!$K$5:$K$304,$A25),0)</f>
        <v>0</v>
      </c>
      <c r="E25" s="21"/>
      <c r="F25" s="41">
        <f t="shared" ca="1" si="1"/>
        <v>25</v>
      </c>
      <c r="G25" s="42">
        <f t="shared" ca="1" si="2"/>
        <v>0</v>
      </c>
      <c r="H25" s="22">
        <f ca="1">IFERROR(SUMIFS(Deliverables!$I$5:$I$304,Deliverables!$K$5:$K$304,$A25,Deliverables!$M$5:$M$304,"Can move"),0)</f>
        <v>0</v>
      </c>
      <c r="I25" s="43">
        <f ca="1">IFERROR(COUNTIFS(Deliverables!$K$5:$K$304,$A25,Deliverables!$F$5:$F$304,"&lt;&gt;Delivered",Deliverables!$F$5:$F$304,"&lt;&gt;Approved",Deliverables!$F$5:$F$304,"&lt;&gt;Cancelled"),0)</f>
        <v>0</v>
      </c>
      <c r="J25" s="16"/>
    </row>
    <row r="26" spans="1:10" ht="16" x14ac:dyDescent="0.2">
      <c r="A26" s="32">
        <f t="shared" ca="1" si="3"/>
        <v>46307</v>
      </c>
      <c r="B26" s="39" t="str">
        <f t="shared" ca="1" si="0"/>
        <v>Week 42</v>
      </c>
      <c r="C26" s="44">
        <v>25</v>
      </c>
      <c r="D26" s="22">
        <f ca="1">IFERROR(SUMIFS(Deliverables!$I$5:$I$304,Deliverables!$K$5:$K$304,$A26),0)</f>
        <v>0</v>
      </c>
      <c r="E26" s="30"/>
      <c r="F26" s="41">
        <f t="shared" ca="1" si="1"/>
        <v>25</v>
      </c>
      <c r="G26" s="42">
        <f t="shared" ca="1" si="2"/>
        <v>0</v>
      </c>
      <c r="H26" s="22">
        <f ca="1">IFERROR(SUMIFS(Deliverables!$I$5:$I$304,Deliverables!$K$5:$K$304,$A26,Deliverables!$M$5:$M$304,"Can move"),0)</f>
        <v>0</v>
      </c>
      <c r="I26" s="43">
        <f ca="1">IFERROR(COUNTIFS(Deliverables!$K$5:$K$304,$A26,Deliverables!$F$5:$F$304,"&lt;&gt;Delivered",Deliverables!$F$5:$F$304,"&lt;&gt;Approved",Deliverables!$F$5:$F$304,"&lt;&gt;Cancelled"),0)</f>
        <v>0</v>
      </c>
      <c r="J26" s="27"/>
    </row>
    <row r="27" spans="1:10" ht="16" x14ac:dyDescent="0.2">
      <c r="A27" s="32">
        <f t="shared" ca="1" si="3"/>
        <v>46314</v>
      </c>
      <c r="B27" s="39" t="str">
        <f t="shared" ca="1" si="0"/>
        <v>Week 43</v>
      </c>
      <c r="C27" s="40">
        <v>25</v>
      </c>
      <c r="D27" s="22">
        <f ca="1">IFERROR(SUMIFS(Deliverables!$I$5:$I$304,Deliverables!$K$5:$K$304,$A27),0)</f>
        <v>0</v>
      </c>
      <c r="E27" s="21"/>
      <c r="F27" s="41">
        <f t="shared" ca="1" si="1"/>
        <v>25</v>
      </c>
      <c r="G27" s="42">
        <f t="shared" ca="1" si="2"/>
        <v>0</v>
      </c>
      <c r="H27" s="22">
        <f ca="1">IFERROR(SUMIFS(Deliverables!$I$5:$I$304,Deliverables!$K$5:$K$304,$A27,Deliverables!$M$5:$M$304,"Can move"),0)</f>
        <v>0</v>
      </c>
      <c r="I27" s="43">
        <f ca="1">IFERROR(COUNTIFS(Deliverables!$K$5:$K$304,$A27,Deliverables!$F$5:$F$304,"&lt;&gt;Delivered",Deliverables!$F$5:$F$304,"&lt;&gt;Approved",Deliverables!$F$5:$F$304,"&lt;&gt;Cancelled"),0)</f>
        <v>0</v>
      </c>
      <c r="J27" s="16"/>
    </row>
    <row r="28" spans="1:10" ht="16" x14ac:dyDescent="0.2">
      <c r="A28" s="32">
        <f t="shared" ca="1" si="3"/>
        <v>46321</v>
      </c>
      <c r="B28" s="39" t="str">
        <f t="shared" ca="1" si="0"/>
        <v>Week 44</v>
      </c>
      <c r="C28" s="44">
        <v>25</v>
      </c>
      <c r="D28" s="22">
        <f ca="1">IFERROR(SUMIFS(Deliverables!$I$5:$I$304,Deliverables!$K$5:$K$304,$A28),0)</f>
        <v>0</v>
      </c>
      <c r="E28" s="30"/>
      <c r="F28" s="41">
        <f t="shared" ca="1" si="1"/>
        <v>25</v>
      </c>
      <c r="G28" s="42">
        <f t="shared" ca="1" si="2"/>
        <v>0</v>
      </c>
      <c r="H28" s="22">
        <f ca="1">IFERROR(SUMIFS(Deliverables!$I$5:$I$304,Deliverables!$K$5:$K$304,$A28,Deliverables!$M$5:$M$304,"Can move"),0)</f>
        <v>0</v>
      </c>
      <c r="I28" s="43">
        <f ca="1">IFERROR(COUNTIFS(Deliverables!$K$5:$K$304,$A28,Deliverables!$F$5:$F$304,"&lt;&gt;Delivered",Deliverables!$F$5:$F$304,"&lt;&gt;Approved",Deliverables!$F$5:$F$304,"&lt;&gt;Cancelled"),0)</f>
        <v>0</v>
      </c>
      <c r="J28" s="27"/>
    </row>
    <row r="29" spans="1:10" ht="16" x14ac:dyDescent="0.2">
      <c r="A29" s="32">
        <f t="shared" ca="1" si="3"/>
        <v>46328</v>
      </c>
      <c r="B29" s="39" t="str">
        <f t="shared" ca="1" si="0"/>
        <v>Week 45</v>
      </c>
      <c r="C29" s="40">
        <v>25</v>
      </c>
      <c r="D29" s="22">
        <f ca="1">IFERROR(SUMIFS(Deliverables!$I$5:$I$304,Deliverables!$K$5:$K$304,$A29),0)</f>
        <v>0</v>
      </c>
      <c r="E29" s="21"/>
      <c r="F29" s="41">
        <f t="shared" ca="1" si="1"/>
        <v>25</v>
      </c>
      <c r="G29" s="42">
        <f t="shared" ca="1" si="2"/>
        <v>0</v>
      </c>
      <c r="H29" s="22">
        <f ca="1">IFERROR(SUMIFS(Deliverables!$I$5:$I$304,Deliverables!$K$5:$K$304,$A29,Deliverables!$M$5:$M$304,"Can move"),0)</f>
        <v>0</v>
      </c>
      <c r="I29" s="43">
        <f ca="1">IFERROR(COUNTIFS(Deliverables!$K$5:$K$304,$A29,Deliverables!$F$5:$F$304,"&lt;&gt;Delivered",Deliverables!$F$5:$F$304,"&lt;&gt;Approved",Deliverables!$F$5:$F$304,"&lt;&gt;Cancelled"),0)</f>
        <v>0</v>
      </c>
      <c r="J29" s="16"/>
    </row>
    <row r="30" spans="1:10" ht="16" x14ac:dyDescent="0.2">
      <c r="A30" s="32">
        <f t="shared" ca="1" si="3"/>
        <v>46335</v>
      </c>
      <c r="B30" s="39" t="str">
        <f t="shared" ca="1" si="0"/>
        <v>Week 46</v>
      </c>
      <c r="C30" s="44">
        <v>25</v>
      </c>
      <c r="D30" s="22">
        <f ca="1">IFERROR(SUMIFS(Deliverables!$I$5:$I$304,Deliverables!$K$5:$K$304,$A30),0)</f>
        <v>0</v>
      </c>
      <c r="E30" s="30"/>
      <c r="F30" s="41">
        <f t="shared" ca="1" si="1"/>
        <v>25</v>
      </c>
      <c r="G30" s="42">
        <f t="shared" ca="1" si="2"/>
        <v>0</v>
      </c>
      <c r="H30" s="22">
        <f ca="1">IFERROR(SUMIFS(Deliverables!$I$5:$I$304,Deliverables!$K$5:$K$304,$A30,Deliverables!$M$5:$M$304,"Can move"),0)</f>
        <v>0</v>
      </c>
      <c r="I30" s="43">
        <f ca="1">IFERROR(COUNTIFS(Deliverables!$K$5:$K$304,$A30,Deliverables!$F$5:$F$304,"&lt;&gt;Delivered",Deliverables!$F$5:$F$304,"&lt;&gt;Approved",Deliverables!$F$5:$F$304,"&lt;&gt;Cancelled"),0)</f>
        <v>0</v>
      </c>
      <c r="J30" s="27"/>
    </row>
    <row r="31" spans="1:10" ht="16" x14ac:dyDescent="0.2">
      <c r="A31" s="32">
        <f t="shared" ca="1" si="3"/>
        <v>46342</v>
      </c>
      <c r="B31" s="39" t="str">
        <f t="shared" ca="1" si="0"/>
        <v>Week 47</v>
      </c>
      <c r="C31" s="40">
        <v>25</v>
      </c>
      <c r="D31" s="22">
        <f ca="1">IFERROR(SUMIFS(Deliverables!$I$5:$I$304,Deliverables!$K$5:$K$304,$A31),0)</f>
        <v>0</v>
      </c>
      <c r="E31" s="21"/>
      <c r="F31" s="41">
        <f t="shared" ca="1" si="1"/>
        <v>25</v>
      </c>
      <c r="G31" s="42">
        <f t="shared" ca="1" si="2"/>
        <v>0</v>
      </c>
      <c r="H31" s="22">
        <f ca="1">IFERROR(SUMIFS(Deliverables!$I$5:$I$304,Deliverables!$K$5:$K$304,$A31,Deliverables!$M$5:$M$304,"Can move"),0)</f>
        <v>0</v>
      </c>
      <c r="I31" s="43">
        <f ca="1">IFERROR(COUNTIFS(Deliverables!$K$5:$K$304,$A31,Deliverables!$F$5:$F$304,"&lt;&gt;Delivered",Deliverables!$F$5:$F$304,"&lt;&gt;Approved",Deliverables!$F$5:$F$304,"&lt;&gt;Cancelled"),0)</f>
        <v>0</v>
      </c>
      <c r="J31" s="16"/>
    </row>
    <row r="32" spans="1:10" ht="16" x14ac:dyDescent="0.2">
      <c r="A32" s="32">
        <f t="shared" ca="1" si="3"/>
        <v>46349</v>
      </c>
      <c r="B32" s="39" t="str">
        <f t="shared" ca="1" si="0"/>
        <v>Week 48</v>
      </c>
      <c r="C32" s="44">
        <v>25</v>
      </c>
      <c r="D32" s="22">
        <f ca="1">IFERROR(SUMIFS(Deliverables!$I$5:$I$304,Deliverables!$K$5:$K$304,$A32),0)</f>
        <v>0</v>
      </c>
      <c r="E32" s="30"/>
      <c r="F32" s="41">
        <f t="shared" ca="1" si="1"/>
        <v>25</v>
      </c>
      <c r="G32" s="42">
        <f t="shared" ca="1" si="2"/>
        <v>0</v>
      </c>
      <c r="H32" s="22">
        <f ca="1">IFERROR(SUMIFS(Deliverables!$I$5:$I$304,Deliverables!$K$5:$K$304,$A32,Deliverables!$M$5:$M$304,"Can move"),0)</f>
        <v>0</v>
      </c>
      <c r="I32" s="43">
        <f ca="1">IFERROR(COUNTIFS(Deliverables!$K$5:$K$304,$A32,Deliverables!$F$5:$F$304,"&lt;&gt;Delivered",Deliverables!$F$5:$F$304,"&lt;&gt;Approved",Deliverables!$F$5:$F$304,"&lt;&gt;Cancelled"),0)</f>
        <v>0</v>
      </c>
      <c r="J32" s="27"/>
    </row>
    <row r="33" spans="1:10" ht="16" x14ac:dyDescent="0.2">
      <c r="A33" s="32">
        <f t="shared" ca="1" si="3"/>
        <v>46356</v>
      </c>
      <c r="B33" s="39" t="str">
        <f t="shared" ca="1" si="0"/>
        <v>Week 49</v>
      </c>
      <c r="C33" s="40">
        <v>25</v>
      </c>
      <c r="D33" s="22">
        <f ca="1">IFERROR(SUMIFS(Deliverables!$I$5:$I$304,Deliverables!$K$5:$K$304,$A33),0)</f>
        <v>0</v>
      </c>
      <c r="E33" s="21"/>
      <c r="F33" s="41">
        <f t="shared" ca="1" si="1"/>
        <v>25</v>
      </c>
      <c r="G33" s="42">
        <f t="shared" ca="1" si="2"/>
        <v>0</v>
      </c>
      <c r="H33" s="22">
        <f ca="1">IFERROR(SUMIFS(Deliverables!$I$5:$I$304,Deliverables!$K$5:$K$304,$A33,Deliverables!$M$5:$M$304,"Can move"),0)</f>
        <v>0</v>
      </c>
      <c r="I33" s="43">
        <f ca="1">IFERROR(COUNTIFS(Deliverables!$K$5:$K$304,$A33,Deliverables!$F$5:$F$304,"&lt;&gt;Delivered",Deliverables!$F$5:$F$304,"&lt;&gt;Approved",Deliverables!$F$5:$F$304,"&lt;&gt;Cancelled"),0)</f>
        <v>0</v>
      </c>
      <c r="J33" s="16"/>
    </row>
    <row r="34" spans="1:10" ht="16" x14ac:dyDescent="0.2">
      <c r="A34" s="32">
        <f t="shared" ca="1" si="3"/>
        <v>46363</v>
      </c>
      <c r="B34" s="39" t="str">
        <f t="shared" ca="1" si="0"/>
        <v>Week 50</v>
      </c>
      <c r="C34" s="44">
        <v>25</v>
      </c>
      <c r="D34" s="22">
        <f ca="1">IFERROR(SUMIFS(Deliverables!$I$5:$I$304,Deliverables!$K$5:$K$304,$A34),0)</f>
        <v>0</v>
      </c>
      <c r="E34" s="30"/>
      <c r="F34" s="41">
        <f t="shared" ca="1" si="1"/>
        <v>25</v>
      </c>
      <c r="G34" s="42">
        <f t="shared" ca="1" si="2"/>
        <v>0</v>
      </c>
      <c r="H34" s="22">
        <f ca="1">IFERROR(SUMIFS(Deliverables!$I$5:$I$304,Deliverables!$K$5:$K$304,$A34,Deliverables!$M$5:$M$304,"Can move"),0)</f>
        <v>0</v>
      </c>
      <c r="I34" s="43">
        <f ca="1">IFERROR(COUNTIFS(Deliverables!$K$5:$K$304,$A34,Deliverables!$F$5:$F$304,"&lt;&gt;Delivered",Deliverables!$F$5:$F$304,"&lt;&gt;Approved",Deliverables!$F$5:$F$304,"&lt;&gt;Cancelled"),0)</f>
        <v>0</v>
      </c>
      <c r="J34" s="27"/>
    </row>
    <row r="35" spans="1:10" ht="16" x14ac:dyDescent="0.2">
      <c r="A35" s="32">
        <f t="shared" ca="1" si="3"/>
        <v>46370</v>
      </c>
      <c r="B35" s="39" t="str">
        <f t="shared" ca="1" si="0"/>
        <v>Week 51</v>
      </c>
      <c r="C35" s="40">
        <v>25</v>
      </c>
      <c r="D35" s="22">
        <f ca="1">IFERROR(SUMIFS(Deliverables!$I$5:$I$304,Deliverables!$K$5:$K$304,$A35),0)</f>
        <v>0</v>
      </c>
      <c r="E35" s="21"/>
      <c r="F35" s="41">
        <f t="shared" ca="1" si="1"/>
        <v>25</v>
      </c>
      <c r="G35" s="42">
        <f t="shared" ca="1" si="2"/>
        <v>0</v>
      </c>
      <c r="H35" s="22">
        <f ca="1">IFERROR(SUMIFS(Deliverables!$I$5:$I$304,Deliverables!$K$5:$K$304,$A35,Deliverables!$M$5:$M$304,"Can move"),0)</f>
        <v>0</v>
      </c>
      <c r="I35" s="43">
        <f ca="1">IFERROR(COUNTIFS(Deliverables!$K$5:$K$304,$A35,Deliverables!$F$5:$F$304,"&lt;&gt;Delivered",Deliverables!$F$5:$F$304,"&lt;&gt;Approved",Deliverables!$F$5:$F$304,"&lt;&gt;Cancelled"),0)</f>
        <v>0</v>
      </c>
      <c r="J35" s="16"/>
    </row>
    <row r="36" spans="1:10" ht="16" x14ac:dyDescent="0.2">
      <c r="A36" s="32">
        <f t="shared" ca="1" si="3"/>
        <v>46377</v>
      </c>
      <c r="B36" s="39" t="str">
        <f t="shared" ca="1" si="0"/>
        <v>Week 52</v>
      </c>
      <c r="C36" s="44">
        <v>25</v>
      </c>
      <c r="D36" s="22">
        <f ca="1">IFERROR(SUMIFS(Deliverables!$I$5:$I$304,Deliverables!$K$5:$K$304,$A36),0)</f>
        <v>0</v>
      </c>
      <c r="E36" s="30"/>
      <c r="F36" s="41">
        <f t="shared" ca="1" si="1"/>
        <v>25</v>
      </c>
      <c r="G36" s="42">
        <f t="shared" ca="1" si="2"/>
        <v>0</v>
      </c>
      <c r="H36" s="22">
        <f ca="1">IFERROR(SUMIFS(Deliverables!$I$5:$I$304,Deliverables!$K$5:$K$304,$A36,Deliverables!$M$5:$M$304,"Can move"),0)</f>
        <v>0</v>
      </c>
      <c r="I36" s="43">
        <f ca="1">IFERROR(COUNTIFS(Deliverables!$K$5:$K$304,$A36,Deliverables!$F$5:$F$304,"&lt;&gt;Delivered",Deliverables!$F$5:$F$304,"&lt;&gt;Approved",Deliverables!$F$5:$F$304,"&lt;&gt;Cancelled"),0)</f>
        <v>0</v>
      </c>
      <c r="J36" s="27"/>
    </row>
    <row r="37" spans="1:10" ht="16" x14ac:dyDescent="0.2">
      <c r="A37" s="32">
        <f t="shared" ca="1" si="3"/>
        <v>46384</v>
      </c>
      <c r="B37" s="39" t="str">
        <f t="shared" ca="1" si="0"/>
        <v>Week 53</v>
      </c>
      <c r="C37" s="40">
        <v>25</v>
      </c>
      <c r="D37" s="22">
        <f ca="1">IFERROR(SUMIFS(Deliverables!$I$5:$I$304,Deliverables!$K$5:$K$304,$A37),0)</f>
        <v>0</v>
      </c>
      <c r="E37" s="21"/>
      <c r="F37" s="41">
        <f t="shared" ca="1" si="1"/>
        <v>25</v>
      </c>
      <c r="G37" s="42">
        <f t="shared" ca="1" si="2"/>
        <v>0</v>
      </c>
      <c r="H37" s="22">
        <f ca="1">IFERROR(SUMIFS(Deliverables!$I$5:$I$304,Deliverables!$K$5:$K$304,$A37,Deliverables!$M$5:$M$304,"Can move"),0)</f>
        <v>0</v>
      </c>
      <c r="I37" s="43">
        <f ca="1">IFERROR(COUNTIFS(Deliverables!$K$5:$K$304,$A37,Deliverables!$F$5:$F$304,"&lt;&gt;Delivered",Deliverables!$F$5:$F$304,"&lt;&gt;Approved",Deliverables!$F$5:$F$304,"&lt;&gt;Cancelled"),0)</f>
        <v>0</v>
      </c>
      <c r="J37" s="16"/>
    </row>
    <row r="38" spans="1:10" ht="16" x14ac:dyDescent="0.2">
      <c r="A38" s="32">
        <f t="shared" ca="1" si="3"/>
        <v>46391</v>
      </c>
      <c r="B38" s="39" t="str">
        <f t="shared" ca="1" si="0"/>
        <v>Week 1</v>
      </c>
      <c r="C38" s="44">
        <v>25</v>
      </c>
      <c r="D38" s="22">
        <f ca="1">IFERROR(SUMIFS(Deliverables!$I$5:$I$304,Deliverables!$K$5:$K$304,$A38),0)</f>
        <v>0</v>
      </c>
      <c r="E38" s="30"/>
      <c r="F38" s="41">
        <f t="shared" ca="1" si="1"/>
        <v>25</v>
      </c>
      <c r="G38" s="42">
        <f t="shared" ca="1" si="2"/>
        <v>0</v>
      </c>
      <c r="H38" s="22">
        <f ca="1">IFERROR(SUMIFS(Deliverables!$I$5:$I$304,Deliverables!$K$5:$K$304,$A38,Deliverables!$M$5:$M$304,"Can move"),0)</f>
        <v>0</v>
      </c>
      <c r="I38" s="43">
        <f ca="1">IFERROR(COUNTIFS(Deliverables!$K$5:$K$304,$A38,Deliverables!$F$5:$F$304,"&lt;&gt;Delivered",Deliverables!$F$5:$F$304,"&lt;&gt;Approved",Deliverables!$F$5:$F$304,"&lt;&gt;Cancelled"),0)</f>
        <v>0</v>
      </c>
      <c r="J38" s="27"/>
    </row>
    <row r="39" spans="1:10" ht="16" x14ac:dyDescent="0.2">
      <c r="A39" s="32">
        <f t="shared" ca="1" si="3"/>
        <v>46398</v>
      </c>
      <c r="B39" s="39" t="str">
        <f t="shared" ca="1" si="0"/>
        <v>Week 2</v>
      </c>
      <c r="C39" s="40">
        <v>25</v>
      </c>
      <c r="D39" s="22">
        <f ca="1">IFERROR(SUMIFS(Deliverables!$I$5:$I$304,Deliverables!$K$5:$K$304,$A39),0)</f>
        <v>0</v>
      </c>
      <c r="E39" s="21"/>
      <c r="F39" s="41">
        <f t="shared" ca="1" si="1"/>
        <v>25</v>
      </c>
      <c r="G39" s="42">
        <f t="shared" ca="1" si="2"/>
        <v>0</v>
      </c>
      <c r="H39" s="22">
        <f ca="1">IFERROR(SUMIFS(Deliverables!$I$5:$I$304,Deliverables!$K$5:$K$304,$A39,Deliverables!$M$5:$M$304,"Can move"),0)</f>
        <v>0</v>
      </c>
      <c r="I39" s="43">
        <f ca="1">IFERROR(COUNTIFS(Deliverables!$K$5:$K$304,$A39,Deliverables!$F$5:$F$304,"&lt;&gt;Delivered",Deliverables!$F$5:$F$304,"&lt;&gt;Approved",Deliverables!$F$5:$F$304,"&lt;&gt;Cancelled"),0)</f>
        <v>0</v>
      </c>
      <c r="J39" s="16"/>
    </row>
    <row r="40" spans="1:10" ht="16" x14ac:dyDescent="0.2">
      <c r="A40" s="32">
        <f t="shared" ca="1" si="3"/>
        <v>46405</v>
      </c>
      <c r="B40" s="39" t="str">
        <f t="shared" ca="1" si="0"/>
        <v>Week 3</v>
      </c>
      <c r="C40" s="44">
        <v>25</v>
      </c>
      <c r="D40" s="22">
        <f ca="1">IFERROR(SUMIFS(Deliverables!$I$5:$I$304,Deliverables!$K$5:$K$304,$A40),0)</f>
        <v>0</v>
      </c>
      <c r="E40" s="30"/>
      <c r="F40" s="41">
        <f t="shared" ca="1" si="1"/>
        <v>25</v>
      </c>
      <c r="G40" s="42">
        <f t="shared" ca="1" si="2"/>
        <v>0</v>
      </c>
      <c r="H40" s="22">
        <f ca="1">IFERROR(SUMIFS(Deliverables!$I$5:$I$304,Deliverables!$K$5:$K$304,$A40,Deliverables!$M$5:$M$304,"Can move"),0)</f>
        <v>0</v>
      </c>
      <c r="I40" s="43">
        <f ca="1">IFERROR(COUNTIFS(Deliverables!$K$5:$K$304,$A40,Deliverables!$F$5:$F$304,"&lt;&gt;Delivered",Deliverables!$F$5:$F$304,"&lt;&gt;Approved",Deliverables!$F$5:$F$304,"&lt;&gt;Cancelled"),0)</f>
        <v>0</v>
      </c>
      <c r="J40" s="27"/>
    </row>
    <row r="42" spans="1:10" x14ac:dyDescent="0.2">
      <c r="A42" s="9" t="s">
        <v>121</v>
      </c>
    </row>
  </sheetData>
  <mergeCells count="4">
    <mergeCell ref="A1:J1"/>
    <mergeCell ref="A4:J4"/>
    <mergeCell ref="B11:F11"/>
    <mergeCell ref="A2:J2"/>
  </mergeCells>
  <conditionalFormatting sqref="A15:J40">
    <cfRule type="expression" dxfId="9" priority="10">
      <formula>$A15=TODAY()-WEEKDAY(TODAY(),3)</formula>
    </cfRule>
  </conditionalFormatting>
  <conditionalFormatting sqref="B12">
    <cfRule type="expression" dxfId="8" priority="4">
      <formula>AND(ISNUMBER($B$12),$B$12&gt;0)</formula>
    </cfRule>
  </conditionalFormatting>
  <conditionalFormatting sqref="B11:F11">
    <cfRule type="expression" dxfId="7" priority="1" stopIfTrue="1">
      <formula>LEFT($B$11,3)="YES"</formula>
    </cfRule>
    <cfRule type="expression" dxfId="6" priority="2" stopIfTrue="1">
      <formula>LEFT($B$11,5)="TIGHT"</formula>
    </cfRule>
    <cfRule type="expression" dxfId="5" priority="3" stopIfTrue="1">
      <formula>LEFT($B$11,2)="NO"</formula>
    </cfRule>
  </conditionalFormatting>
  <conditionalFormatting sqref="F15:F40">
    <cfRule type="expression" dxfId="4" priority="5" stopIfTrue="1">
      <formula>AND(ISNUMBER($F15),$F15&lt;0)</formula>
    </cfRule>
    <cfRule type="expression" dxfId="3" priority="6" stopIfTrue="1">
      <formula>AND(ISNUMBER($F15),$F15&gt;=0,$F15&lt;=2)</formula>
    </cfRule>
  </conditionalFormatting>
  <conditionalFormatting sqref="G15:G40">
    <cfRule type="expression" dxfId="2" priority="7" stopIfTrue="1">
      <formula>AND(ISNUMBER($G15),$G15&gt;=1)</formula>
    </cfRule>
    <cfRule type="expression" dxfId="1" priority="8" stopIfTrue="1">
      <formula>AND(ISNUMBER($G15),$G15&gt;=0.85,$G15&lt;1)</formula>
    </cfRule>
    <cfRule type="expression" dxfId="0" priority="9" stopIfTrue="1">
      <formula>AND(ISNUMBER($G15),$G15&gt;0,$G15&lt;0.85)</formula>
    </cfRule>
  </conditionalFormatting>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8"/>
  <sheetViews>
    <sheetView workbookViewId="0"/>
  </sheetViews>
  <sheetFormatPr baseColWidth="10" defaultColWidth="8.83203125" defaultRowHeight="15" x14ac:dyDescent="0.2"/>
  <cols>
    <col min="1" max="1" width="22" customWidth="1"/>
    <col min="2" max="3" width="16" customWidth="1"/>
    <col min="4" max="4" width="18" customWidth="1"/>
    <col min="5" max="5" width="14" customWidth="1"/>
    <col min="6" max="6" width="16" customWidth="1"/>
  </cols>
  <sheetData>
    <row r="1" spans="1:6" x14ac:dyDescent="0.2">
      <c r="A1" s="45" t="s">
        <v>122</v>
      </c>
      <c r="B1" s="45" t="s">
        <v>123</v>
      </c>
      <c r="C1" s="45" t="s">
        <v>89</v>
      </c>
      <c r="D1" s="45" t="s">
        <v>84</v>
      </c>
      <c r="E1" s="45" t="s">
        <v>85</v>
      </c>
      <c r="F1" s="45" t="s">
        <v>86</v>
      </c>
    </row>
    <row r="2" spans="1:6" x14ac:dyDescent="0.2">
      <c r="A2" s="45" t="s">
        <v>62</v>
      </c>
      <c r="B2" s="45" t="s">
        <v>124</v>
      </c>
      <c r="C2" s="45" t="s">
        <v>63</v>
      </c>
      <c r="D2" s="45" t="s">
        <v>125</v>
      </c>
      <c r="E2" s="45" t="s">
        <v>90</v>
      </c>
      <c r="F2" s="45" t="s">
        <v>41</v>
      </c>
    </row>
    <row r="3" spans="1:6" x14ac:dyDescent="0.2">
      <c r="A3" s="45" t="s">
        <v>126</v>
      </c>
      <c r="B3" s="45" t="s">
        <v>67</v>
      </c>
      <c r="C3" s="45" t="s">
        <v>127</v>
      </c>
      <c r="D3" s="45" t="s">
        <v>49</v>
      </c>
      <c r="F3" s="45" t="s">
        <v>128</v>
      </c>
    </row>
    <row r="4" spans="1:6" x14ac:dyDescent="0.2">
      <c r="A4" s="45" t="s">
        <v>66</v>
      </c>
      <c r="B4" s="45" t="s">
        <v>63</v>
      </c>
      <c r="C4" s="45" t="s">
        <v>95</v>
      </c>
      <c r="D4" s="45" t="s">
        <v>51</v>
      </c>
    </row>
    <row r="5" spans="1:6" x14ac:dyDescent="0.2">
      <c r="A5" s="45" t="s">
        <v>129</v>
      </c>
      <c r="B5" s="45" t="s">
        <v>127</v>
      </c>
      <c r="C5" s="45" t="s">
        <v>130</v>
      </c>
    </row>
    <row r="6" spans="1:6" x14ac:dyDescent="0.2">
      <c r="A6" s="45" t="s">
        <v>131</v>
      </c>
      <c r="B6" s="45" t="s">
        <v>95</v>
      </c>
      <c r="C6" s="45" t="s">
        <v>132</v>
      </c>
    </row>
    <row r="7" spans="1:6" x14ac:dyDescent="0.2">
      <c r="A7" s="45" t="s">
        <v>133</v>
      </c>
      <c r="B7" s="45" t="s">
        <v>130</v>
      </c>
      <c r="C7" s="45" t="s">
        <v>134</v>
      </c>
    </row>
    <row r="8" spans="1:6" x14ac:dyDescent="0.2">
      <c r="A8" s="45" t="s">
        <v>135</v>
      </c>
      <c r="B8" s="45" t="s">
        <v>136</v>
      </c>
    </row>
    <row r="9" spans="1:6" x14ac:dyDescent="0.2">
      <c r="A9" s="45" t="s">
        <v>137</v>
      </c>
      <c r="B9" s="45" t="s">
        <v>134</v>
      </c>
    </row>
    <row r="10" spans="1:6" x14ac:dyDescent="0.2">
      <c r="A10" s="45" t="s">
        <v>138</v>
      </c>
      <c r="B10" s="45" t="s">
        <v>139</v>
      </c>
    </row>
    <row r="11" spans="1:6" x14ac:dyDescent="0.2">
      <c r="A11" s="45" t="s">
        <v>70</v>
      </c>
    </row>
    <row r="12" spans="1:6" x14ac:dyDescent="0.2">
      <c r="A12" s="45" t="s">
        <v>140</v>
      </c>
    </row>
    <row r="14" spans="1:6" x14ac:dyDescent="0.2">
      <c r="A14" s="46" t="s">
        <v>141</v>
      </c>
    </row>
    <row r="15" spans="1:6" x14ac:dyDescent="0.2">
      <c r="A15" s="47" t="s">
        <v>142</v>
      </c>
    </row>
    <row r="16" spans="1:6" x14ac:dyDescent="0.2">
      <c r="A16" s="47" t="s">
        <v>143</v>
      </c>
    </row>
    <row r="17" spans="1:1" x14ac:dyDescent="0.2">
      <c r="A17" s="47" t="s">
        <v>144</v>
      </c>
    </row>
    <row r="18" spans="1:1" x14ac:dyDescent="0.2">
      <c r="A18" s="47" t="s">
        <v>145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6</vt:i4>
      </vt:variant>
      <vt:variant>
        <vt:lpstr>Benannte Bereiche</vt:lpstr>
      </vt:variant>
      <vt:variant>
        <vt:i4>5</vt:i4>
      </vt:variant>
    </vt:vector>
  </HeadingPairs>
  <TitlesOfParts>
    <vt:vector size="11" baseType="lpstr">
      <vt:lpstr>Start Here</vt:lpstr>
      <vt:lpstr>Dashboard</vt:lpstr>
      <vt:lpstr>Projects</vt:lpstr>
      <vt:lpstr>Deliverables</vt:lpstr>
      <vt:lpstr>Week Capacity</vt:lpstr>
      <vt:lpstr>Lists</vt:lpstr>
      <vt:lpstr>Dashboard!Druckbereich</vt:lpstr>
      <vt:lpstr>'Start Here'!Druckbereich</vt:lpstr>
      <vt:lpstr>'Week Capacity'!Druckbereich</vt:lpstr>
      <vt:lpstr>Deliverables!Drucktitel</vt:lpstr>
      <vt:lpstr>Projects!Drucktitel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Fabian Hönes</cp:lastModifiedBy>
  <dcterms:created xsi:type="dcterms:W3CDTF">2026-07-29T11:40:04Z</dcterms:created>
  <dcterms:modified xsi:type="dcterms:W3CDTF">2026-07-29T11:40:32Z</dcterms:modified>
</cp:coreProperties>
</file>