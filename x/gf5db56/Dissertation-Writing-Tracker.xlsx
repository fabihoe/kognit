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tart Here" sheetId="1" state="visible" r:id="rId3"/>
    <sheet name="Dashboard" sheetId="2" state="visible" r:id="rId4"/>
    <sheet name="Chapters" sheetId="3" state="visible" r:id="rId5"/>
    <sheet name="Writing Sessions" sheetId="4" state="visible" r:id="rId6"/>
    <sheet name="Revisions" sheetId="5" state="visible" r:id="rId7"/>
    <sheet name="Submission &amp; Defense" sheetId="6" state="visible" r:id="rId8"/>
    <sheet name="Lists" sheetId="7" state="visible" r:id="rId9"/>
  </sheets>
  <definedNames>
    <definedName function="false" hidden="false" localSheetId="2" name="_xlnm.Print_Area" vbProcedure="false">Chapters!$A$1:$J$29</definedName>
    <definedName function="false" hidden="false" localSheetId="1" name="_xlnm.Print_Area" vbProcedure="false">Dashboard!$A$1:$J$28</definedName>
    <definedName function="false" hidden="false" localSheetId="6" name="_xlnm.Print_Area" vbProcedure="false">Lists!$A$1:$G$6</definedName>
    <definedName function="false" hidden="false" localSheetId="4" name="_xlnm.Print_Area" vbProcedure="false">Revisions!$A$1:$I$104</definedName>
    <definedName function="false" hidden="false" localSheetId="4" name="_xlnm.Print_Titles" vbProcedure="false">Revisions!$4:$4</definedName>
    <definedName function="false" hidden="true" localSheetId="4" name="_xlnm._FilterDatabase" vbProcedure="false">Revisions!$A$4:$I$104</definedName>
    <definedName function="false" hidden="false" localSheetId="0" name="_xlnm.Print_Area" vbProcedure="false">'Start Here'!$A$1:$B$34</definedName>
    <definedName function="false" hidden="false" localSheetId="5" name="_xlnm.Print_Area" vbProcedure="false">'Submission &amp; Defense'!$A$1:$F$24</definedName>
    <definedName function="false" hidden="false" localSheetId="3" name="_xlnm.Print_Area" vbProcedure="false">'Writing Sessions'!$A$1:$G$104</definedName>
    <definedName function="false" hidden="false" localSheetId="3" name="_xlnm.Print_Titles" vbProcedure="false">'Writing Sessions'!$4:$4</definedName>
    <definedName function="false" hidden="true" localSheetId="3" name="_xlnm._FilterDatabase" vbProcedure="false">'Writing Sessions'!$A$4:$G$304</definedName>
  </definedName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<sst xmlns="http://schemas.openxmlformats.org/spreadsheetml/2006/main" count="186" uniqueCount="124">
  <si>
    <t xml:space="preserve">Dissertation Writing Tracker</t>
  </si>
  <si>
    <t xml:space="preserve">You can see, every time you open it, whether you are on pace to finish.</t>
  </si>
  <si>
    <t xml:space="preserve">HOW TO USE THIS WORKBOOK</t>
  </si>
  <si>
    <t xml:space="preserve">1 · Chapters — one row per chapter: name, word goal, due date, status. Writing something that already has words? Put them in 'Starting words' — progress starts from there.</t>
  </si>
  <si>
    <t xml:space="preserve">2 · Writing Sessions — after every session, one row: date, chapter, minutes, words. Cut more than you wrote? Negative numbers are allowed. 20 seconds of logging, that's the whole habit.</t>
  </si>
  <si>
    <t xml:space="preserve">3 · Dashboard — your pace, live: total words vs. goal, words per day needed, this week vs. last week, your streak, the next deadlines. Never type in a grey cell — grey means it calculates itself.</t>
  </si>
  <si>
    <t xml:space="preserve">4 · Revisions — one row per feedback round (R1–R4): who it came from, when it's due, where it stands.</t>
  </si>
  <si>
    <t xml:space="preserve">5 · Submission &amp; Defense — type your submission deadline into C5 and your defense date into C6. The submission and defense countdowns (and words/day needed) hang off these two cells. Below: the last-mile checklist.</t>
  </si>
  <si>
    <t xml:space="preserve">6 · Lists — all dropdown values, visible and yours to edit.</t>
  </si>
  <si>
    <t xml:space="preserve">GOOGLE SHEETS: File → Import → Upload this file. Formulas, dropdowns and colours all survive the trip.</t>
  </si>
  <si>
    <t xml:space="preserve">CAPACITY — 25 chapters, 300 writing sessions, 100 revision rounds. Always type into the next empty (pre-filled) row — do not insert new rows: inserted rows have no grey formulas, and rows beyond the capacity are not counted. Duplicate the file per thesis.</t>
  </si>
  <si>
    <t xml:space="preserve">DEMO DATA — the file ships with 5 example chapters and 14 example sessions whose dates move with today, so the Dashboard is alive when you open it. Before you start, delete the CONTENTS of these cells (select them and press Delete — never delete whole rows): Chapters rows 5–9, Writing Sessions rows 5–18, Revisions rows 5–7, the two demo dates on Submission &amp; Defense (C5, C6), and reset the three demo checklist statuses (E11, E13, E15) to 'Not started'.</t>
  </si>
  <si>
    <t xml:space="preserve">NAMING — give every chapter a unique name and avoid *, ? and ~ in names: sessions are matched to chapters by their exact name (~ is the SUMIF/COUNTIF escape character).</t>
  </si>
  <si>
    <t xml:space="preserve">STREAK — consecutive calendar days with at least one logged session, ending today; yesterday keeps it alive until you log today. Counts up to 30.</t>
  </si>
  <si>
    <t xml:space="preserve">PRINTING — print areas are set on every sheet. Google Sheets ignores imported print areas: File → Print → 'Selected cells' → Fit to width.</t>
  </si>
  <si>
    <t xml:space="preserve">LICENSE — Personal use. One buyer, unlimited own projects &amp; devices. Please don't resell or redistribute.</t>
  </si>
  <si>
    <t xml:space="preserve">Questions or a broken formula? Message us on Etsy — we reply within 48 h.</t>
  </si>
  <si>
    <t xml:space="preserve">Dashboard</t>
  </si>
  <si>
    <t xml:space="preserve">Your pace, live — every number updates itself from the other sheets. Never type here.</t>
  </si>
  <si>
    <t xml:space="preserve">PACE</t>
  </si>
  <si>
    <t xml:space="preserve">Total words written</t>
  </si>
  <si>
    <t xml:space="preserve">Total word goal</t>
  </si>
  <si>
    <t xml:space="preserve">% of goal</t>
  </si>
  <si>
    <t xml:space="preserve">Words/day needed</t>
  </si>
  <si>
    <t xml:space="preserve">Days to submission</t>
  </si>
  <si>
    <t xml:space="preserve">THIS WEEK</t>
  </si>
  <si>
    <t xml:space="preserve">Words this week</t>
  </si>
  <si>
    <t xml:space="preserve">Words last week</t>
  </si>
  <si>
    <t xml:space="preserve">Sessions this week</t>
  </si>
  <si>
    <t xml:space="preserve">Minutes this week</t>
  </si>
  <si>
    <t xml:space="preserve">Days to defense</t>
  </si>
  <si>
    <t xml:space="preserve">MOMENTUM</t>
  </si>
  <si>
    <t xml:space="preserve">Writing streak (days)</t>
  </si>
  <si>
    <t xml:space="preserve">Active days — last 7</t>
  </si>
  <si>
    <t xml:space="preserve">Best session (words)</t>
  </si>
  <si>
    <t xml:space="preserve">Avg words / session</t>
  </si>
  <si>
    <t xml:space="preserve">Next revision due (days)</t>
  </si>
  <si>
    <t xml:space="preserve">CHAPTERS</t>
  </si>
  <si>
    <t xml:space="preserve">NEXT CHAPTER DEADLINES</t>
  </si>
  <si>
    <t xml:space="preserve">Chapter</t>
  </si>
  <si>
    <t xml:space="preserve">Goal</t>
  </si>
  <si>
    <t xml:space="preserve">Written</t>
  </si>
  <si>
    <t xml:space="preserve">%</t>
  </si>
  <si>
    <t xml:space="preserve">Status</t>
  </si>
  <si>
    <t xml:space="preserve">Due</t>
  </si>
  <si>
    <t xml:space="preserve">Days</t>
  </si>
  <si>
    <t xml:space="preserve">Never type on this sheet — it computes itself.</t>
  </si>
  <si>
    <t xml:space="preserve">Chapters</t>
  </si>
  <si>
    <t xml:space="preserve">One row per chapter. Words written pulls itself from your session log — the bar fills as you write. Grey columns calculate themselves.</t>
  </si>
  <si>
    <t xml:space="preserve">#</t>
  </si>
  <si>
    <t xml:space="preserve">Word goal</t>
  </si>
  <si>
    <t xml:space="preserve">Due date</t>
  </si>
  <si>
    <t xml:space="preserve">Starting words</t>
  </si>
  <si>
    <t xml:space="preserve">Words written (auto)</t>
  </si>
  <si>
    <t xml:space="preserve">% done (auto)</t>
  </si>
  <si>
    <t xml:space="preserve">Days left (auto)</t>
  </si>
  <si>
    <t xml:space="preserve">Progress (auto)</t>
  </si>
  <si>
    <t xml:space="preserve">Sort key (auto)</t>
  </si>
  <si>
    <t xml:space="preserve">Introduction</t>
  </si>
  <si>
    <t xml:space="preserve">Revising</t>
  </si>
  <si>
    <t xml:space="preserve">Literature Review</t>
  </si>
  <si>
    <t xml:space="preserve">Drafting</t>
  </si>
  <si>
    <t xml:space="preserve">Methodology</t>
  </si>
  <si>
    <t xml:space="preserve">Results</t>
  </si>
  <si>
    <t xml:space="preserve">Outlining</t>
  </si>
  <si>
    <t xml:space="preserve">Discussion &amp; Conclusion</t>
  </si>
  <si>
    <t xml:space="preserve">Not started</t>
  </si>
  <si>
    <t xml:space="preserve">Writing Sessions</t>
  </si>
  <si>
    <t xml:space="preserve">One row per session — date, chapter, minutes, words. The demo rows use live dates so they never look stale; clear the contents of rows 5–18 before you start (don't delete the rows).</t>
  </si>
  <si>
    <t xml:space="preserve">Date</t>
  </si>
  <si>
    <t xml:space="preserve">Minutes</t>
  </si>
  <si>
    <t xml:space="preserve">Words written</t>
  </si>
  <si>
    <t xml:space="preserve">Week (auto)</t>
  </si>
  <si>
    <t xml:space="preserve">Note</t>
  </si>
  <si>
    <t xml:space="preserve">Tightened section 1.2</t>
  </si>
  <si>
    <t xml:space="preserve">New opening</t>
  </si>
  <si>
    <t xml:space="preserve">Theory block</t>
  </si>
  <si>
    <t xml:space="preserve">Sampling section</t>
  </si>
  <si>
    <t xml:space="preserve">Short but counts</t>
  </si>
  <si>
    <t xml:space="preserve">Best day so far</t>
  </si>
  <si>
    <t xml:space="preserve">Revisions</t>
  </si>
  <si>
    <t xml:space="preserve">One row per feedback round. 'Submitted' and 'Done' silence the countdown — open rounds stay loud until they are back.</t>
  </si>
  <si>
    <t xml:space="preserve">Round</t>
  </si>
  <si>
    <t xml:space="preserve">Feedback from</t>
  </si>
  <si>
    <t xml:space="preserve">Received</t>
  </si>
  <si>
    <t xml:space="preserve">Notes</t>
  </si>
  <si>
    <t xml:space="preserve">R1</t>
  </si>
  <si>
    <t xml:space="preserve">Advisor</t>
  </si>
  <si>
    <t xml:space="preserve">In progress</t>
  </si>
  <si>
    <t xml:space="preserve">Ch. 1 comments from advisor</t>
  </si>
  <si>
    <t xml:space="preserve">Peer</t>
  </si>
  <si>
    <t xml:space="preserve">Peer read of theory section</t>
  </si>
  <si>
    <t xml:space="preserve">Self</t>
  </si>
  <si>
    <t xml:space="preserve">Done</t>
  </si>
  <si>
    <t xml:space="preserve">Self-edit pass</t>
  </si>
  <si>
    <t xml:space="preserve">Submission &amp; Defense</t>
  </si>
  <si>
    <t xml:space="preserve">The last mile on one page. The Dashboard counts down from C5 (submission) and C6 (defense).</t>
  </si>
  <si>
    <t xml:space="preserve">KEY DATES</t>
  </si>
  <si>
    <t xml:space="preserve">Final submission deadline</t>
  </si>
  <si>
    <t xml:space="preserve">Defense date</t>
  </si>
  <si>
    <t xml:space="preserve">Post-defense revisions due</t>
  </si>
  <si>
    <t xml:space="preserve">CHECKLIST</t>
  </si>
  <si>
    <t xml:space="preserve">Task</t>
  </si>
  <si>
    <t xml:space="preserve">University formatting &amp; template check</t>
  </si>
  <si>
    <t xml:space="preserve">Title page, abstract &amp; front matter</t>
  </si>
  <si>
    <t xml:space="preserve">Citations &amp; reference list complete</t>
  </si>
  <si>
    <t xml:space="preserve">Figures, tables &amp; appendices numbered</t>
  </si>
  <si>
    <t xml:space="preserve">Plagiarism self-check run</t>
  </si>
  <si>
    <t xml:space="preserve">Advisor sign-off on final draft</t>
  </si>
  <si>
    <t xml:space="preserve">Submission logistics (upload, printing, forms)</t>
  </si>
  <si>
    <t xml:space="preserve">Committee scheduling &amp; paperwork</t>
  </si>
  <si>
    <t xml:space="preserve">Defense presentation drafted</t>
  </si>
  <si>
    <t xml:space="preserve">Defense practice run</t>
  </si>
  <si>
    <t xml:space="preserve">Post-defense revisions submitted</t>
  </si>
  <si>
    <t xml:space="preserve">Final deposit / archive copy</t>
  </si>
  <si>
    <t xml:space="preserve">Checklist progress</t>
  </si>
  <si>
    <t xml:space="preserve">This sheet feeds the dropdowns. Edit values here if you must — keep them short, the colours key on the exact text.</t>
  </si>
  <si>
    <t xml:space="preserve">R2</t>
  </si>
  <si>
    <t xml:space="preserve">Committee</t>
  </si>
  <si>
    <t xml:space="preserve">R3</t>
  </si>
  <si>
    <t xml:space="preserve">Submitted</t>
  </si>
  <si>
    <t xml:space="preserve">R4</t>
  </si>
  <si>
    <t xml:space="preserve">N/A</t>
  </si>
  <si>
    <t xml:space="preserve">Final</t>
  </si>
</sst>
</file>

<file path=xl/styles.xml><?xml version="1.0" encoding="utf-8"?>
<styleSheet xmlns="http://schemas.openxmlformats.org/spreadsheetml/2006/main">
  <numFmts count="6">
    <numFmt numFmtId="164" formatCode="General"/>
    <numFmt numFmtId="165" formatCode="#,##0"/>
    <numFmt numFmtId="166" formatCode="0\ %"/>
    <numFmt numFmtId="167" formatCode="0"/>
    <numFmt numFmtId="168" formatCode="yyyy\-mm\-dd"/>
    <numFmt numFmtId="169" formatCode="dd/mm/yy"/>
  </numFmts>
  <fonts count="22">
    <font>
      <sz val="11"/>
      <color theme="1"/>
      <name val="Calibri"/>
      <family val="2"/>
      <charset val="1"/>
    </font>
    <font>
      <sz val="10"/>
      <name val="Arial"/>
      <family val="0"/>
    </font>
    <font>
      <sz val="10"/>
      <name val="Arial"/>
      <family val="0"/>
    </font>
    <font>
      <sz val="10"/>
      <name val="Arial"/>
      <family val="0"/>
    </font>
    <font>
      <b val="true"/>
      <sz val="20"/>
      <color rgb="FF2D3A8C"/>
      <name val="Cambria"/>
      <family val="0"/>
      <charset val="1"/>
    </font>
    <font>
      <sz val="12"/>
      <color rgb="FF555B7A"/>
      <name val="Cambria"/>
      <family val="0"/>
      <charset val="1"/>
    </font>
    <font>
      <sz val="10"/>
      <color rgb="FF1E2340"/>
      <name val="Cambria"/>
      <family val="0"/>
      <charset val="1"/>
    </font>
    <font>
      <b val="true"/>
      <sz val="13"/>
      <color rgb="FF1F7A6D"/>
      <name val="Cambria"/>
      <family val="0"/>
      <charset val="1"/>
    </font>
    <font>
      <sz val="11"/>
      <color rgb="FF1E2340"/>
      <name val="Cambria"/>
      <family val="0"/>
      <charset val="1"/>
    </font>
    <font>
      <sz val="9"/>
      <color rgb="FF555B7A"/>
      <name val="Cambria"/>
      <family val="0"/>
      <charset val="1"/>
    </font>
    <font>
      <b val="true"/>
      <sz val="16"/>
      <color rgb="FF2D3A8C"/>
      <name val="Cambria"/>
      <family val="0"/>
      <charset val="1"/>
    </font>
    <font>
      <sz val="10"/>
      <color rgb="FF555B7A"/>
      <name val="Cambria"/>
      <family val="0"/>
      <charset val="1"/>
    </font>
    <font>
      <b val="true"/>
      <sz val="11"/>
      <color rgb="FF1F7A6D"/>
      <name val="Cambria"/>
      <family val="0"/>
      <charset val="1"/>
    </font>
    <font>
      <b val="true"/>
      <sz val="18"/>
      <color rgb="FF2D3A8C"/>
      <name val="Cambria"/>
      <family val="0"/>
      <charset val="1"/>
    </font>
    <font>
      <b val="true"/>
      <sz val="18"/>
      <color rgb="FF1F7A6D"/>
      <name val="Cambria"/>
      <family val="0"/>
      <charset val="1"/>
    </font>
    <font>
      <b val="true"/>
      <sz val="18"/>
      <color rgb="FFB4540A"/>
      <name val="Cambria"/>
      <family val="0"/>
      <charset val="1"/>
    </font>
    <font>
      <b val="true"/>
      <sz val="11"/>
      <color rgb="FFFFFFFF"/>
      <name val="Cambria"/>
      <family val="0"/>
      <charset val="1"/>
    </font>
    <font>
      <i val="true"/>
      <sz val="9"/>
      <color rgb="FF555B7A"/>
      <name val="Cambria"/>
      <family val="0"/>
      <charset val="1"/>
    </font>
    <font>
      <i val="true"/>
      <sz val="10"/>
      <color rgb="FF555B7A"/>
      <name val="Cambria"/>
      <family val="0"/>
      <charset val="1"/>
    </font>
    <font>
      <sz val="11"/>
      <color rgb="FF1F7A6D"/>
      <name val="Cambria"/>
      <family val="0"/>
      <charset val="1"/>
    </font>
    <font>
      <sz val="8"/>
      <color rgb="FF555B7A"/>
      <name val="Cambria"/>
      <family val="0"/>
      <charset val="1"/>
    </font>
    <font>
      <b val="true"/>
      <sz val="11"/>
      <color rgb="FF2D3A8C"/>
      <name val="Cambria"/>
      <family val="0"/>
      <charset val="1"/>
    </font>
  </fonts>
  <fills count="8">
    <fill>
      <patternFill patternType="none"/>
    </fill>
    <fill>
      <patternFill patternType="gray125"/>
    </fill>
    <fill>
      <patternFill patternType="solid">
        <fgColor rgb="FFEEF1FB"/>
        <bgColor rgb="FFECEDF3"/>
      </patternFill>
    </fill>
    <fill>
      <patternFill patternType="solid">
        <fgColor rgb="FFE3F1EE"/>
        <bgColor rgb="FFDCF2E4"/>
      </patternFill>
    </fill>
    <fill>
      <patternFill patternType="solid">
        <fgColor rgb="FFFFF1CC"/>
        <bgColor rgb="FFF7E6D9"/>
      </patternFill>
    </fill>
    <fill>
      <patternFill patternType="solid">
        <fgColor rgb="FF2D3A8C"/>
        <bgColor rgb="FF003366"/>
      </patternFill>
    </fill>
    <fill>
      <patternFill patternType="solid">
        <fgColor rgb="FFF7F8FC"/>
        <bgColor rgb="FFFFFFFF"/>
      </patternFill>
    </fill>
    <fill>
      <patternFill patternType="solid">
        <fgColor rgb="FFECEDF3"/>
        <bgColor rgb="FFEEF1FB"/>
      </patternFill>
    </fill>
  </fills>
  <borders count="2">
    <border diagonalUp="false" diagonalDown="false">
      <left/>
      <right/>
      <top/>
      <bottom/>
      <diagonal/>
    </border>
    <border diagonalUp="false" diagonalDown="false">
      <left style="thin">
        <color rgb="FFD9DCEA"/>
      </left>
      <right style="thin">
        <color rgb="FFD9DCEA"/>
      </right>
      <top style="thin">
        <color rgb="FFD9DCEA"/>
      </top>
      <bottom style="thin">
        <color rgb="FFD9DC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3" fillId="2" borderId="1" xfId="0" applyFont="true" applyBorder="true" applyAlignment="true" applyProtection="false">
      <alignment horizontal="center" vertical="center" textRotation="0" wrapText="false" indent="0" shrinkToFit="false"/>
      <protection locked="true" hidden="false"/>
    </xf>
    <xf numFmtId="166" fontId="14" fillId="3" borderId="1" xfId="0" applyFont="true" applyBorder="true" applyAlignment="true" applyProtection="false">
      <alignment horizontal="center" vertical="center" textRotation="0" wrapText="false" indent="0" shrinkToFit="false"/>
      <protection locked="true" hidden="false"/>
    </xf>
    <xf numFmtId="165" fontId="15" fillId="4" borderId="1" xfId="0" applyFont="true" applyBorder="true" applyAlignment="true" applyProtection="false">
      <alignment horizontal="center" vertical="center" textRotation="0" wrapText="false" indent="0" shrinkToFit="false"/>
      <protection locked="true" hidden="false"/>
    </xf>
    <xf numFmtId="167" fontId="13" fillId="2" borderId="1" xfId="0" applyFont="true" applyBorder="true" applyAlignment="true" applyProtection="false">
      <alignment horizontal="center" vertical="center" textRotation="0" wrapText="false" indent="0" shrinkToFit="false"/>
      <protection locked="true" hidden="false"/>
    </xf>
    <xf numFmtId="165" fontId="14" fillId="3" borderId="1" xfId="0" applyFont="true" applyBorder="true" applyAlignment="true" applyProtection="false">
      <alignment horizontal="center" vertical="center" textRotation="0" wrapText="false" indent="0" shrinkToFit="false"/>
      <protection locked="true" hidden="false"/>
    </xf>
    <xf numFmtId="167" fontId="14" fillId="3" borderId="1" xfId="0" applyFont="true" applyBorder="true" applyAlignment="true" applyProtection="false">
      <alignment horizontal="center" vertical="center" textRotation="0" wrapText="false" indent="0" shrinkToFit="false"/>
      <protection locked="true" hidden="false"/>
    </xf>
    <xf numFmtId="167" fontId="15" fillId="4" borderId="1" xfId="0" applyFont="true" applyBorder="true" applyAlignment="true" applyProtection="false">
      <alignment horizontal="center" vertical="center" textRotation="0" wrapText="false" indent="0" shrinkToFit="false"/>
      <protection locked="true" hidden="false"/>
    </xf>
    <xf numFmtId="164" fontId="16" fillId="5" borderId="1" xfId="0" applyFont="true" applyBorder="true" applyAlignment="true" applyProtection="false">
      <alignment horizontal="general" vertical="center" textRotation="0" wrapText="false" indent="0" shrinkToFit="false"/>
      <protection locked="true" hidden="false"/>
    </xf>
    <xf numFmtId="164" fontId="0" fillId="6" borderId="1" xfId="0" applyFont="false" applyBorder="true" applyAlignment="true" applyProtection="false">
      <alignment horizontal="general" vertical="center" textRotation="0" wrapText="false" indent="0" shrinkToFit="false"/>
      <protection locked="true" hidden="false"/>
    </xf>
    <xf numFmtId="165" fontId="0" fillId="6" borderId="1" xfId="0" applyFont="false" applyBorder="true" applyAlignment="true" applyProtection="false">
      <alignment horizontal="general" vertical="center" textRotation="0" wrapText="false" indent="0" shrinkToFit="false"/>
      <protection locked="true" hidden="false"/>
    </xf>
    <xf numFmtId="166" fontId="0" fillId="6" borderId="1" xfId="0" applyFont="false" applyBorder="true" applyAlignment="true" applyProtection="false">
      <alignment horizontal="general" vertical="center" textRotation="0" wrapText="false" indent="0" shrinkToFit="false"/>
      <protection locked="true" hidden="false"/>
    </xf>
    <xf numFmtId="168" fontId="0" fillId="6" borderId="1" xfId="0" applyFont="false" applyBorder="true" applyAlignment="true" applyProtection="false">
      <alignment horizontal="general" vertical="center" textRotation="0" wrapText="false" indent="0" shrinkToFit="false"/>
      <protection locked="true" hidden="false"/>
    </xf>
    <xf numFmtId="167" fontId="0" fillId="6" borderId="1" xfId="0" applyFont="fals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5" fontId="0" fillId="0" borderId="1" xfId="0" applyFont="false" applyBorder="true" applyAlignment="true" applyProtection="false">
      <alignment horizontal="general" vertical="center" textRotation="0" wrapText="false" indent="0" shrinkToFit="false"/>
      <protection locked="true" hidden="false"/>
    </xf>
    <xf numFmtId="166" fontId="0" fillId="0" borderId="1" xfId="0" applyFont="false" applyBorder="true" applyAlignment="true" applyProtection="false">
      <alignment horizontal="general" vertical="center" textRotation="0" wrapText="false" indent="0" shrinkToFit="false"/>
      <protection locked="true" hidden="false"/>
    </xf>
    <xf numFmtId="168" fontId="0" fillId="0" borderId="1" xfId="0" applyFont="false" applyBorder="true" applyAlignment="true" applyProtection="false">
      <alignment horizontal="general" vertical="center" textRotation="0" wrapText="false" indent="0" shrinkToFit="false"/>
      <protection locked="true" hidden="false"/>
    </xf>
    <xf numFmtId="167" fontId="0" fillId="0" borderId="1" xfId="0" applyFont="false" applyBorder="true" applyAlignment="true" applyProtection="false">
      <alignment horizontal="general" vertical="center"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center" textRotation="0" wrapText="true" indent="0" shrinkToFit="false"/>
      <protection locked="true" hidden="false"/>
    </xf>
    <xf numFmtId="164" fontId="0" fillId="7" borderId="1" xfId="0" applyFont="fals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5" fontId="0" fillId="0" borderId="1" xfId="0" applyFont="false" applyBorder="true" applyAlignment="true" applyProtection="false">
      <alignment horizontal="general" vertical="top" textRotation="0" wrapText="true" indent="0" shrinkToFit="false"/>
      <protection locked="true" hidden="false"/>
    </xf>
    <xf numFmtId="168" fontId="0" fillId="0" borderId="1" xfId="0" applyFont="false" applyBorder="true" applyAlignment="true" applyProtection="false">
      <alignment horizontal="general" vertical="top" textRotation="0" wrapText="true" indent="0" shrinkToFit="false"/>
      <protection locked="true" hidden="false"/>
    </xf>
    <xf numFmtId="165" fontId="0" fillId="7" borderId="1" xfId="0" applyFont="false" applyBorder="true" applyAlignment="true" applyProtection="false">
      <alignment horizontal="general" vertical="top" textRotation="0" wrapText="true" indent="0" shrinkToFit="false"/>
      <protection locked="true" hidden="false"/>
    </xf>
    <xf numFmtId="166" fontId="0" fillId="7" borderId="1" xfId="0" applyFont="false" applyBorder="true" applyAlignment="true" applyProtection="false">
      <alignment horizontal="general" vertical="top" textRotation="0" wrapText="true" indent="0" shrinkToFit="false"/>
      <protection locked="true" hidden="false"/>
    </xf>
    <xf numFmtId="167" fontId="0" fillId="7" borderId="1" xfId="0" applyFont="false" applyBorder="true" applyAlignment="true" applyProtection="false">
      <alignment horizontal="general" vertical="top" textRotation="0" wrapText="true" indent="0" shrinkToFit="false"/>
      <protection locked="true" hidden="false"/>
    </xf>
    <xf numFmtId="164" fontId="19" fillId="7" borderId="1" xfId="0" applyFont="true" applyBorder="true" applyAlignment="true" applyProtection="false">
      <alignment horizontal="general" vertical="top" textRotation="0" wrapText="true" indent="0" shrinkToFit="false"/>
      <protection locked="true" hidden="false"/>
    </xf>
    <xf numFmtId="169" fontId="20" fillId="7" borderId="1" xfId="0" applyFont="true" applyBorder="true" applyAlignment="true" applyProtection="false">
      <alignment horizontal="general" vertical="top" textRotation="0" wrapText="true" indent="0" shrinkToFit="false"/>
      <protection locked="true" hidden="false"/>
    </xf>
    <xf numFmtId="164" fontId="0" fillId="6" borderId="1" xfId="0" applyFont="true" applyBorder="true" applyAlignment="true" applyProtection="false">
      <alignment horizontal="general" vertical="top" textRotation="0" wrapText="true" indent="0" shrinkToFit="false"/>
      <protection locked="true" hidden="false"/>
    </xf>
    <xf numFmtId="165" fontId="0" fillId="6" borderId="1" xfId="0" applyFont="false" applyBorder="true" applyAlignment="true" applyProtection="false">
      <alignment horizontal="general" vertical="top" textRotation="0" wrapText="true" indent="0" shrinkToFit="false"/>
      <protection locked="true" hidden="false"/>
    </xf>
    <xf numFmtId="168" fontId="0" fillId="6" borderId="1" xfId="0" applyFont="false" applyBorder="true" applyAlignment="true" applyProtection="false">
      <alignment horizontal="general" vertical="top" textRotation="0" wrapText="true" indent="0" shrinkToFit="false"/>
      <protection locked="true" hidden="false"/>
    </xf>
    <xf numFmtId="164" fontId="20" fillId="7" borderId="1" xfId="0" applyFont="true" applyBorder="true" applyAlignment="true" applyProtection="false">
      <alignment horizontal="general" vertical="top" textRotation="0" wrapText="true" indent="0" shrinkToFit="false"/>
      <protection locked="true" hidden="false"/>
    </xf>
    <xf numFmtId="167" fontId="0" fillId="0" borderId="1" xfId="0" applyFont="false" applyBorder="true" applyAlignment="true" applyProtection="false">
      <alignment horizontal="general" vertical="top" textRotation="0" wrapText="true" indent="0" shrinkToFit="false"/>
      <protection locked="true" hidden="false"/>
    </xf>
    <xf numFmtId="167" fontId="0" fillId="6" borderId="1" xfId="0" applyFont="false" applyBorder="true" applyAlignment="true" applyProtection="false">
      <alignment horizontal="general" vertical="top" textRotation="0" wrapText="tru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7" fontId="0" fillId="7" borderId="1" xfId="0" applyFont="false" applyBorder="true" applyAlignment="false" applyProtection="false">
      <alignment horizontal="general" vertical="bottom" textRotation="0" wrapText="false" indent="0" shrinkToFit="false"/>
      <protection locked="true" hidden="false"/>
    </xf>
    <xf numFmtId="164" fontId="21" fillId="7"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bgColor rgb="FFF5DBDB"/>
        </patternFill>
      </fill>
    </dxf>
    <dxf>
      <fill>
        <patternFill>
          <bgColor rgb="FFFFF1CC"/>
        </patternFill>
      </fill>
    </dxf>
    <dxf>
      <fill>
        <patternFill>
          <bgColor rgb="FFDCF2E4"/>
        </patternFill>
      </fill>
    </dxf>
    <dxf>
      <fill>
        <patternFill>
          <bgColor rgb="FFE4E4EC"/>
        </patternFill>
      </fill>
    </dxf>
    <dxf>
      <fill>
        <patternFill>
          <bgColor rgb="FFDCE9FF"/>
        </patternFill>
      </fill>
    </dxf>
    <dxf>
      <fill>
        <patternFill>
          <bgColor rgb="FFF7E6D9"/>
        </patternFill>
      </fill>
    </dxf>
    <dxf>
      <fill>
        <patternFill patternType="solid">
          <fgColor rgb="FF2D3A8C"/>
          <bgColor rgb="FF000000"/>
        </patternFill>
      </fill>
    </dxf>
    <dxf>
      <fill>
        <patternFill patternType="solid">
          <fgColor rgb="FFECEDF3"/>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7F8FC"/>
          <bgColor rgb="FF000000"/>
        </patternFill>
      </fill>
    </dxf>
    <dxf>
      <fill>
        <patternFill patternType="solid">
          <bgColor rgb="FF000000"/>
        </patternFill>
      </fill>
    </dxf>
    <dxf>
      <fill>
        <patternFill patternType="solid">
          <fgColor rgb="FFDCE9FF"/>
          <bgColor rgb="FF000000"/>
        </patternFill>
      </fill>
    </dxf>
    <dxf>
      <fill>
        <patternFill patternType="solid">
          <fgColor rgb="FFDCF2E4"/>
          <bgColor rgb="FF000000"/>
        </patternFill>
      </fill>
    </dxf>
    <dxf>
      <fill>
        <patternFill patternType="solid">
          <fgColor rgb="FFFFF1CC"/>
          <bgColor rgb="FF000000"/>
        </patternFill>
      </fill>
    </dxf>
    <dxf>
      <fill>
        <patternFill patternType="solid">
          <fgColor rgb="FFF5DBD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7A6D"/>
      <rgbColor rgb="FFE4E4EC"/>
      <rgbColor rgb="FF808080"/>
      <rgbColor rgb="FF9999FF"/>
      <rgbColor rgb="FF993366"/>
      <rgbColor rgb="FFFFF1CC"/>
      <rgbColor rgb="FFE3F1EE"/>
      <rgbColor rgb="FF660066"/>
      <rgbColor rgb="FFFF8080"/>
      <rgbColor rgb="FF0066CC"/>
      <rgbColor rgb="FFD9DCEA"/>
      <rgbColor rgb="FF000080"/>
      <rgbColor rgb="FFFF00FF"/>
      <rgbColor rgb="FFFFFF00"/>
      <rgbColor rgb="FF00FFFF"/>
      <rgbColor rgb="FF800080"/>
      <rgbColor rgb="FF800000"/>
      <rgbColor rgb="FF008080"/>
      <rgbColor rgb="FF0000FF"/>
      <rgbColor rgb="FF00CCFF"/>
      <rgbColor rgb="FFDCE9FF"/>
      <rgbColor rgb="FFDCF2E4"/>
      <rgbColor rgb="FFF7E6D9"/>
      <rgbColor rgb="FFECEDF3"/>
      <rgbColor rgb="FFEEF1FB"/>
      <rgbColor rgb="FFF7F8FC"/>
      <rgbColor rgb="FFF5DBDB"/>
      <rgbColor rgb="FF3366FF"/>
      <rgbColor rgb="FF33CCCC"/>
      <rgbColor rgb="FF99CC00"/>
      <rgbColor rgb="FFFFCC00"/>
      <rgbColor rgb="FFFF9900"/>
      <rgbColor rgb="FFFF6600"/>
      <rgbColor rgb="FF555B7A"/>
      <rgbColor rgb="FF969696"/>
      <rgbColor rgb="FF003366"/>
      <rgbColor rgb="FF339966"/>
      <rgbColor rgb="FF003300"/>
      <rgbColor rgb="FF333300"/>
      <rgbColor rgb="FFB4540A"/>
      <rgbColor rgb="FF993366"/>
      <rgbColor rgb="FF2D3A8C"/>
      <rgbColor rgb="FF1E23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00"/>
  </cols>
  <sheetData>
    <row r="2" customFormat="false" ht="27.75" hidden="false" customHeight="true" outlineLevel="0" collapsed="false">
      <c r="B2" s="1" t="s">
        <v>0</v>
      </c>
    </row>
    <row r="3" customFormat="false" ht="19.5" hidden="false" customHeight="true" outlineLevel="0" collapsed="false">
      <c r="B3" s="2" t="s">
        <v>1</v>
      </c>
    </row>
    <row r="4" customFormat="false" ht="18" hidden="false" customHeight="true" outlineLevel="0" collapsed="false">
      <c r="B4" s="3"/>
    </row>
    <row r="5" customFormat="false" ht="21" hidden="false" customHeight="true" outlineLevel="0" collapsed="false">
      <c r="B5" s="4" t="s">
        <v>2</v>
      </c>
    </row>
    <row r="6" customFormat="false" ht="18.75" hidden="false" customHeight="true" outlineLevel="0" collapsed="false">
      <c r="B6" s="5" t="s">
        <v>3</v>
      </c>
    </row>
    <row r="7" customFormat="false" ht="18.75" hidden="false" customHeight="true" outlineLevel="0" collapsed="false">
      <c r="B7" s="5" t="s">
        <v>4</v>
      </c>
    </row>
    <row r="8" customFormat="false" ht="18.75" hidden="false" customHeight="true" outlineLevel="0" collapsed="false">
      <c r="B8" s="5" t="s">
        <v>5</v>
      </c>
    </row>
    <row r="9" customFormat="false" ht="18.75" hidden="false" customHeight="true" outlineLevel="0" collapsed="false">
      <c r="B9" s="5" t="s">
        <v>6</v>
      </c>
    </row>
    <row r="10" customFormat="false" ht="18.75" hidden="false" customHeight="true" outlineLevel="0" collapsed="false">
      <c r="B10" s="5" t="s">
        <v>7</v>
      </c>
    </row>
    <row r="11" customFormat="false" ht="18.75" hidden="false" customHeight="true" outlineLevel="0" collapsed="false">
      <c r="B11" s="5" t="s">
        <v>8</v>
      </c>
    </row>
    <row r="12" customFormat="false" ht="18" hidden="false" customHeight="true" outlineLevel="0" collapsed="false">
      <c r="B12" s="3"/>
    </row>
    <row r="13" customFormat="false" ht="18.75" hidden="false" customHeight="true" outlineLevel="0" collapsed="false">
      <c r="B13" s="5" t="s">
        <v>9</v>
      </c>
    </row>
    <row r="14" customFormat="false" ht="18.75" hidden="false" customHeight="true" outlineLevel="0" collapsed="false">
      <c r="B14" s="5" t="s">
        <v>10</v>
      </c>
    </row>
    <row r="15" customFormat="false" ht="18.75" hidden="false" customHeight="true" outlineLevel="0" collapsed="false">
      <c r="B15" s="5" t="s">
        <v>11</v>
      </c>
    </row>
    <row r="16" customFormat="false" ht="18.75" hidden="false" customHeight="true" outlineLevel="0" collapsed="false">
      <c r="B16" s="5" t="s">
        <v>12</v>
      </c>
    </row>
    <row r="17" customFormat="false" ht="18.75" hidden="false" customHeight="true" outlineLevel="0" collapsed="false">
      <c r="B17" s="5" t="s">
        <v>13</v>
      </c>
    </row>
    <row r="18" customFormat="false" ht="18.75" hidden="false" customHeight="true" outlineLevel="0" collapsed="false">
      <c r="B18" s="5" t="s">
        <v>14</v>
      </c>
    </row>
    <row r="19" customFormat="false" ht="18" hidden="false" customHeight="true" outlineLevel="0" collapsed="false">
      <c r="B19" s="3"/>
    </row>
    <row r="20" customFormat="false" ht="18" hidden="false" customHeight="true" outlineLevel="0" collapsed="false">
      <c r="B20" s="6" t="s">
        <v>15</v>
      </c>
    </row>
    <row r="21" customFormat="false" ht="18" hidden="false" customHeight="true" outlineLevel="0" collapsed="false">
      <c r="B21" s="6" t="s">
        <v>16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6" min="3" style="0" width="16"/>
    <col collapsed="false" customWidth="true" hidden="false" outlineLevel="0" max="7" min="7" style="0" width="3"/>
    <col collapsed="false" customWidth="true" hidden="false" outlineLevel="0" max="8" min="8" style="0" width="26"/>
    <col collapsed="false" customWidth="true" hidden="false" outlineLevel="0" max="9" min="9" style="0" width="13"/>
    <col collapsed="false" customWidth="true" hidden="false" outlineLevel="0" max="10" min="10" style="0" width="10"/>
  </cols>
  <sheetData>
    <row r="1" customFormat="false" ht="25.5" hidden="false" customHeight="true" outlineLevel="0" collapsed="false">
      <c r="A1" s="7" t="s">
        <v>17</v>
      </c>
      <c r="B1" s="7"/>
      <c r="C1" s="7"/>
      <c r="D1" s="7"/>
      <c r="E1" s="7"/>
      <c r="F1" s="7"/>
      <c r="G1" s="7"/>
      <c r="H1" s="7"/>
      <c r="I1" s="7"/>
      <c r="J1" s="7"/>
    </row>
    <row r="2" customFormat="false" ht="15" hidden="false" customHeight="false" outlineLevel="0" collapsed="false">
      <c r="A2" s="8" t="s">
        <v>18</v>
      </c>
      <c r="B2" s="8"/>
      <c r="C2" s="8"/>
      <c r="D2" s="8"/>
      <c r="E2" s="8"/>
      <c r="F2" s="8"/>
      <c r="G2" s="8"/>
      <c r="H2" s="8"/>
      <c r="I2" s="8"/>
      <c r="J2" s="8"/>
    </row>
    <row r="4" customFormat="false" ht="15" hidden="false" customHeight="false" outlineLevel="0" collapsed="false">
      <c r="B4" s="9" t="s">
        <v>19</v>
      </c>
    </row>
    <row r="5" customFormat="false" ht="15" hidden="false" customHeight="false" outlineLevel="0" collapsed="false">
      <c r="B5" s="10" t="s">
        <v>20</v>
      </c>
      <c r="C5" s="10" t="s">
        <v>21</v>
      </c>
      <c r="D5" s="10" t="s">
        <v>22</v>
      </c>
      <c r="E5" s="10" t="s">
        <v>23</v>
      </c>
      <c r="F5" s="10" t="s">
        <v>24</v>
      </c>
    </row>
    <row r="6" customFormat="false" ht="30" hidden="false" customHeight="true" outlineLevel="0" collapsed="false">
      <c r="B6" s="11" t="n">
        <f aca="false">IFERROR(SUM(Chapters!$G$5:$G$29),0)</f>
        <v>23420</v>
      </c>
      <c r="C6" s="11" t="n">
        <f aca="false">IFERROR(IF(SUM(Chapters!$C$5:$C$29)=0,"—",SUM(Chapters!$C$5:$C$29)),"—")</f>
        <v>50000</v>
      </c>
      <c r="D6" s="12" t="n">
        <f aca="false">IFERROR(IF(SUM(Chapters!$C$5:$C$29)=0,"—",MIN(1,SUM(Chapters!$G$5:$G$29)/SUM(Chapters!$C$5:$C$29))),"—")</f>
        <v>0.4684</v>
      </c>
      <c r="E6" s="13" t="n">
        <f aca="true">IFERROR(IF(OR('Submission &amp; Defense'!$C$5="",SUM(Chapters!$C$5:$C$29)=0),"—",IF('Submission &amp; Defense'!$C$5-TODAY()&lt;=0,"—",MAX(0,ROUND((SUM(Chapters!$C$5:$C$29)-SUM(Chapters!$G$5:$G$29))/('Submission &amp; Defense'!$C$5-TODAY()),0)))),"—")</f>
        <v>292</v>
      </c>
      <c r="F6" s="14" t="n">
        <f aca="true">IFERROR(IF('Submission &amp; Defense'!$C$5="","—",'Submission &amp; Defense'!$C$5-TODAY()),"—")</f>
        <v>91</v>
      </c>
    </row>
    <row r="8" customFormat="false" ht="15" hidden="false" customHeight="false" outlineLevel="0" collapsed="false">
      <c r="B8" s="9" t="s">
        <v>25</v>
      </c>
    </row>
    <row r="9" customFormat="false" ht="15" hidden="false" customHeight="false" outlineLevel="0" collapsed="false">
      <c r="B9" s="10" t="s">
        <v>26</v>
      </c>
      <c r="C9" s="10" t="s">
        <v>27</v>
      </c>
      <c r="D9" s="10" t="s">
        <v>28</v>
      </c>
      <c r="E9" s="10" t="s">
        <v>29</v>
      </c>
      <c r="F9" s="10" t="s">
        <v>30</v>
      </c>
    </row>
    <row r="10" customFormat="false" ht="30" hidden="false" customHeight="true" outlineLevel="0" collapsed="false">
      <c r="B10" s="15" t="n">
        <f aca="true">IFERROR(SUMIFS('Writing Sessions'!$E$5:$E$304,'Writing Sessions'!$B$5:$B$304,"&gt;="&amp;(TODAY()-WEEKDAY(TODAY(),3)),'Writing Sessions'!$B$5:$B$304,"&lt;="&amp;TODAY()),0)</f>
        <v>4620</v>
      </c>
      <c r="C10" s="11" t="n">
        <f aca="true">IFERROR(SUMIFS('Writing Sessions'!$E$5:$E$304,'Writing Sessions'!$B$5:$B$304,"&gt;="&amp;((TODAY()-WEEKDAY(TODAY(),3))-7),'Writing Sessions'!$B$5:$B$304,"&lt;="&amp;((TODAY()-WEEKDAY(TODAY(),3))-1)),0)</f>
        <v>4450</v>
      </c>
      <c r="D10" s="14" t="n">
        <f aca="true">IFERROR(COUNTIFS('Writing Sessions'!$B$5:$B$304,"&gt;="&amp;(TODAY()-WEEKDAY(TODAY(),3)),'Writing Sessions'!$B$5:$B$304,"&lt;="&amp;TODAY()),0)</f>
        <v>6</v>
      </c>
      <c r="E10" s="11" t="n">
        <f aca="true">IFERROR(SUMIFS('Writing Sessions'!$D$5:$D$304,'Writing Sessions'!$B$5:$B$304,"&gt;="&amp;(TODAY()-WEEKDAY(TODAY(),3)),'Writing Sessions'!$B$5:$B$304,"&lt;="&amp;TODAY()),0)</f>
        <v>465</v>
      </c>
      <c r="F10" s="14" t="n">
        <f aca="true">IFERROR(IF('Submission &amp; Defense'!$C$6="","—",'Submission &amp; Defense'!$C$6-TODAY()),"—")</f>
        <v>105</v>
      </c>
    </row>
    <row r="12" customFormat="false" ht="15" hidden="false" customHeight="false" outlineLevel="0" collapsed="false">
      <c r="B12" s="9" t="s">
        <v>31</v>
      </c>
    </row>
    <row r="13" customFormat="false" ht="15" hidden="false" customHeight="false" outlineLevel="0" collapsed="false">
      <c r="B13" s="10" t="s">
        <v>32</v>
      </c>
      <c r="C13" s="10" t="s">
        <v>33</v>
      </c>
      <c r="D13" s="10" t="s">
        <v>34</v>
      </c>
      <c r="E13" s="10" t="s">
        <v>35</v>
      </c>
      <c r="F13" s="10" t="s">
        <v>36</v>
      </c>
    </row>
    <row r="14" customFormat="false" ht="30" hidden="false" customHeight="true" outlineLevel="0" collapsed="false">
      <c r="B14" s="16" t="n">
        <f aca="true">IFERROR(MIN(30,IF(COUNTIF('Writing Sessions'!$B$5:$B$304,TODAY())&gt;0,1,0)+IF(COUNTIF('Writing Sessions'!$B$5:$B$304,TODAY()-1)=0,0,IF(COUNTIF('Writing Sessions'!$B$5:$B$304,TODAY()-2)=0,1,IF(COUNTIF('Writing Sessions'!$B$5:$B$304,TODAY()-3)=0,2,IF(COUNTIF('Writing Sessions'!$B$5:$B$304,TODAY()-4)=0,3,IF(COUNTIF('Writing Sessions'!$B$5:$B$304,TODAY()-5)=0,4,IF(COUNTIF('Writing Sessions'!$B$5:$B$304,TODAY()-6)=0,5,IF(COUNTIF('Writing Sessions'!$B$5:$B$304,TODAY()-7)=0,6,IF(COUNTIF('Writing Sessions'!$B$5:$B$304,TODAY()-8)=0,7,IF(COUNTIF('Writing Sessions'!$B$5:$B$304,TODAY()-9)=0,8,IF(COUNTIF('Writing Sessions'!$B$5:$B$304,TODAY()-10)=0,9,IF(COUNTIF('Writing Sessions'!$B$5:$B$304,TODAY()-11)=0,10,IF(COUNTIF('Writing Sessions'!$B$5:$B$304,TODAY()-12)=0,11,IF(COUNTIF('Writing Sessions'!$B$5:$B$304,TODAY()-13)=0,12,IF(COUNTIF('Writing Sessions'!$B$5:$B$304,TODAY()-14)=0,13,IF(COUNTIF('Writing Sessions'!$B$5:$B$304,TODAY()-15)=0,14,IF(COUNTIF('Writing Sessions'!$B$5:$B$304,TODAY()-16)=0,15,IF(COUNTIF('Writing Sessions'!$B$5:$B$304,TODAY()-17)=0,16,IF(COUNTIF('Writing Sessions'!$B$5:$B$304,TODAY()-18)=0,17,IF(COUNTIF('Writing Sessions'!$B$5:$B$304,TODAY()-19)=0,18,IF(COUNTIF('Writing Sessions'!$B$5:$B$304,TODAY()-20)=0,19,IF(COUNTIF('Writing Sessions'!$B$5:$B$304,TODAY()-21)=0,20,IF(COUNTIF('Writing Sessions'!$B$5:$B$304,TODAY()-22)=0,21,IF(COUNTIF('Writing Sessions'!$B$5:$B$304,TODAY()-23)=0,22,IF(COUNTIF('Writing Sessions'!$B$5:$B$304,TODAY()-24)=0,23,IF(COUNTIF('Writing Sessions'!$B$5:$B$304,TODAY()-25)=0,24,IF(COUNTIF('Writing Sessions'!$B$5:$B$304,TODAY()-26)=0,25,IF(COUNTIF('Writing Sessions'!$B$5:$B$304,TODAY()-27)=0,26,IF(COUNTIF('Writing Sessions'!$B$5:$B$304,TODAY()-28)=0,27,IF(COUNTIF('Writing Sessions'!$B$5:$B$304,TODAY()-29)=0,28,IF(COUNTIF('Writing Sessions'!$B$5:$B$304,TODAY()-30)=0,29,30))))))))))))))))))))))))))))))),0)</f>
        <v>5</v>
      </c>
      <c r="C14" s="14" t="n">
        <f aca="true">IFERROR(MIN(1,COUNTIF('Writing Sessions'!$B$5:$B$304,TODAY()))+MIN(1,COUNTIF('Writing Sessions'!$B$5:$B$304,TODAY()-1))+MIN(1,COUNTIF('Writing Sessions'!$B$5:$B$304,TODAY()-2))+MIN(1,COUNTIF('Writing Sessions'!$B$5:$B$304,TODAY()-3))+MIN(1,COUNTIF('Writing Sessions'!$B$5:$B$304,TODAY()-4))+MIN(1,COUNTIF('Writing Sessions'!$B$5:$B$304,TODAY()-5))+MIN(1,COUNTIF('Writing Sessions'!$B$5:$B$304,TODAY()-6)),0)</f>
        <v>6</v>
      </c>
      <c r="D14" s="11" t="n">
        <f aca="false">IFERROR(IF(COUNT('Writing Sessions'!$E$5:$E$304)=0,"—",MAX('Writing Sessions'!$E$5:$E$304)),"—")</f>
        <v>1150</v>
      </c>
      <c r="E14" s="11" t="n">
        <f aca="false">IFERROR(IF(COUNT('Writing Sessions'!$E$5:$E$304)=0,"—",ROUND(AVERAGE('Writing Sessions'!$E$5:$E$304),0)),"—")</f>
        <v>766</v>
      </c>
      <c r="F14" s="17" t="n">
        <f aca="true">IFERROR(IF(COUNT(Revisions!$J$5:$J$104)=0,"—",ROUNDDOWN(SMALL(Revisions!$J$5:$J$104,1),0)-TODAY()),"—")</f>
        <v>4</v>
      </c>
    </row>
    <row r="16" customFormat="false" ht="15" hidden="false" customHeight="false" outlineLevel="0" collapsed="false">
      <c r="B16" s="9" t="s">
        <v>37</v>
      </c>
      <c r="H16" s="9" t="s">
        <v>38</v>
      </c>
    </row>
    <row r="17" customFormat="false" ht="15" hidden="false" customHeight="false" outlineLevel="0" collapsed="false">
      <c r="B17" s="18" t="s">
        <v>39</v>
      </c>
      <c r="C17" s="18" t="s">
        <v>40</v>
      </c>
      <c r="D17" s="18" t="s">
        <v>41</v>
      </c>
      <c r="E17" s="18" t="s">
        <v>42</v>
      </c>
      <c r="F17" s="18" t="s">
        <v>43</v>
      </c>
      <c r="H17" s="18" t="s">
        <v>39</v>
      </c>
      <c r="I17" s="18" t="s">
        <v>44</v>
      </c>
      <c r="J17" s="18" t="s">
        <v>45</v>
      </c>
    </row>
    <row r="18" customFormat="false" ht="15" hidden="false" customHeight="false" outlineLevel="0" collapsed="false">
      <c r="B18" s="19" t="str">
        <f aca="false">IFERROR(IF(INDEX(Chapters!$B$5:$B$29,1)="","",INDEX(Chapters!$B$5:$B$29,1)&amp;""),"")</f>
        <v>Introduction</v>
      </c>
      <c r="C18" s="20" t="n">
        <f aca="false">IFERROR(IF(INDEX(Chapters!$B$5:$B$29,1)="","",IF(INDEX(Chapters!$C$5:$C$29,1)="","—",INDEX(Chapters!$C$5:$C$29,1))),"")</f>
        <v>8000</v>
      </c>
      <c r="D18" s="20" t="n">
        <f aca="false">IFERROR(IF(INDEX(Chapters!$B$5:$B$29,1)="","",INDEX(Chapters!$G$5:$G$29,1)),"")</f>
        <v>7690</v>
      </c>
      <c r="E18" s="21" t="n">
        <f aca="false">IFERROR(IF(INDEX(Chapters!$B$5:$B$29,1)="","",INDEX(Chapters!$H$5:$H$29,1)),"")</f>
        <v>0.96125</v>
      </c>
      <c r="F18" s="19" t="str">
        <f aca="false">IFERROR(IF(INDEX(Chapters!$B$5:$B$29,1)="","",IF(INDEX(Chapters!$E$5:$E$29,1)="","—",INDEX(Chapters!$E$5:$E$29,1)&amp;"")),"")</f>
        <v>Revising</v>
      </c>
      <c r="H18" s="19" t="str">
        <f aca="false">IFERROR(IF(COUNT(Chapters!$K$5:$K$29)&lt;1,"—",INDEX(Chapters!$B$5:$B$29,MATCH(SMALL(Chapters!$K$5:$K$29,1),Chapters!$K$5:$K$29,0))&amp;""),"—")</f>
        <v>Introduction</v>
      </c>
      <c r="I18" s="22" t="n">
        <f aca="false">IFERROR(IF(COUNT(Chapters!$K$5:$K$29)&lt;1,"—",ROUNDDOWN(SMALL(Chapters!$K$5:$K$29,1),0)),"—")</f>
        <v>46250</v>
      </c>
      <c r="J18" s="23" t="n">
        <f aca="true">IFERROR(IF(COUNT(Chapters!$K$5:$K$29)&lt;1,"—",ROUNDDOWN(SMALL(Chapters!$K$5:$K$29,1),0)-TODAY()),"—")</f>
        <v>14</v>
      </c>
    </row>
    <row r="19" customFormat="false" ht="15" hidden="false" customHeight="false" outlineLevel="0" collapsed="false">
      <c r="B19" s="24" t="str">
        <f aca="false">IFERROR(IF(INDEX(Chapters!$B$5:$B$29,2)="","",INDEX(Chapters!$B$5:$B$29,2)&amp;""),"")</f>
        <v>Literature Review</v>
      </c>
      <c r="C19" s="25" t="n">
        <f aca="false">IFERROR(IF(INDEX(Chapters!$B$5:$B$29,2)="","",IF(INDEX(Chapters!$C$5:$C$29,2)="","—",INDEX(Chapters!$C$5:$C$29,2))),"")</f>
        <v>12000</v>
      </c>
      <c r="D19" s="25" t="n">
        <f aca="false">IFERROR(IF(INDEX(Chapters!$B$5:$B$29,2)="","",INDEX(Chapters!$G$5:$G$29,2)),"")</f>
        <v>10580</v>
      </c>
      <c r="E19" s="26" t="n">
        <f aca="false">IFERROR(IF(INDEX(Chapters!$B$5:$B$29,2)="","",INDEX(Chapters!$H$5:$H$29,2)),"")</f>
        <v>0.881666666666667</v>
      </c>
      <c r="F19" s="24" t="str">
        <f aca="false">IFERROR(IF(INDEX(Chapters!$B$5:$B$29,2)="","",IF(INDEX(Chapters!$E$5:$E$29,2)="","—",INDEX(Chapters!$E$5:$E$29,2)&amp;"")),"")</f>
        <v>Drafting</v>
      </c>
      <c r="H19" s="24" t="str">
        <f aca="false">IFERROR(IF(COUNT(Chapters!$K$5:$K$29)&lt;2,"—",INDEX(Chapters!$B$5:$B$29,MATCH(SMALL(Chapters!$K$5:$K$29,2),Chapters!$K$5:$K$29,0))&amp;""),"—")</f>
        <v>Literature Review</v>
      </c>
      <c r="I19" s="27" t="n">
        <f aca="false">IFERROR(IF(COUNT(Chapters!$K$5:$K$29)&lt;2,"—",ROUNDDOWN(SMALL(Chapters!$K$5:$K$29,2),0)),"—")</f>
        <v>46264</v>
      </c>
      <c r="J19" s="28" t="n">
        <f aca="true">IFERROR(IF(COUNT(Chapters!$K$5:$K$29)&lt;2,"—",ROUNDDOWN(SMALL(Chapters!$K$5:$K$29,2),0)-TODAY()),"—")</f>
        <v>28</v>
      </c>
    </row>
    <row r="20" customFormat="false" ht="15" hidden="false" customHeight="false" outlineLevel="0" collapsed="false">
      <c r="B20" s="19" t="str">
        <f aca="false">IFERROR(IF(INDEX(Chapters!$B$5:$B$29,3)="","",INDEX(Chapters!$B$5:$B$29,3)&amp;""),"")</f>
        <v>Methodology</v>
      </c>
      <c r="C20" s="20" t="n">
        <f aca="false">IFERROR(IF(INDEX(Chapters!$B$5:$B$29,3)="","",IF(INDEX(Chapters!$C$5:$C$29,3)="","—",INDEX(Chapters!$C$5:$C$29,3))),"")</f>
        <v>10000</v>
      </c>
      <c r="D20" s="20" t="n">
        <f aca="false">IFERROR(IF(INDEX(Chapters!$B$5:$B$29,3)="","",INDEX(Chapters!$G$5:$G$29,3)),"")</f>
        <v>5150</v>
      </c>
      <c r="E20" s="21" t="n">
        <f aca="false">IFERROR(IF(INDEX(Chapters!$B$5:$B$29,3)="","",INDEX(Chapters!$H$5:$H$29,3)),"")</f>
        <v>0.515</v>
      </c>
      <c r="F20" s="19" t="str">
        <f aca="false">IFERROR(IF(INDEX(Chapters!$B$5:$B$29,3)="","",IF(INDEX(Chapters!$E$5:$E$29,3)="","—",INDEX(Chapters!$E$5:$E$29,3)&amp;"")),"")</f>
        <v>Drafting</v>
      </c>
      <c r="H20" s="19" t="str">
        <f aca="false">IFERROR(IF(COUNT(Chapters!$K$5:$K$29)&lt;3,"—",INDEX(Chapters!$B$5:$B$29,MATCH(SMALL(Chapters!$K$5:$K$29,3),Chapters!$K$5:$K$29,0))&amp;""),"—")</f>
        <v>Methodology</v>
      </c>
      <c r="I20" s="22" t="n">
        <f aca="false">IFERROR(IF(COUNT(Chapters!$K$5:$K$29)&lt;3,"—",ROUNDDOWN(SMALL(Chapters!$K$5:$K$29,3),0)),"—")</f>
        <v>46285</v>
      </c>
      <c r="J20" s="23" t="n">
        <f aca="true">IFERROR(IF(COUNT(Chapters!$K$5:$K$29)&lt;3,"—",ROUNDDOWN(SMALL(Chapters!$K$5:$K$29,3),0)-TODAY()),"—")</f>
        <v>49</v>
      </c>
    </row>
    <row r="21" customFormat="false" ht="15" hidden="false" customHeight="false" outlineLevel="0" collapsed="false">
      <c r="B21" s="24" t="str">
        <f aca="false">IFERROR(IF(INDEX(Chapters!$B$5:$B$29,4)="","",INDEX(Chapters!$B$5:$B$29,4)&amp;""),"")</f>
        <v>Results</v>
      </c>
      <c r="C21" s="25" t="n">
        <f aca="false">IFERROR(IF(INDEX(Chapters!$B$5:$B$29,4)="","",IF(INDEX(Chapters!$C$5:$C$29,4)="","—",INDEX(Chapters!$C$5:$C$29,4))),"")</f>
        <v>9000</v>
      </c>
      <c r="D21" s="25" t="n">
        <f aca="false">IFERROR(IF(INDEX(Chapters!$B$5:$B$29,4)="","",INDEX(Chapters!$G$5:$G$29,4)),"")</f>
        <v>0</v>
      </c>
      <c r="E21" s="26" t="n">
        <f aca="false">IFERROR(IF(INDEX(Chapters!$B$5:$B$29,4)="","",INDEX(Chapters!$H$5:$H$29,4)),"")</f>
        <v>0</v>
      </c>
      <c r="F21" s="24" t="str">
        <f aca="false">IFERROR(IF(INDEX(Chapters!$B$5:$B$29,4)="","",IF(INDEX(Chapters!$E$5:$E$29,4)="","—",INDEX(Chapters!$E$5:$E$29,4)&amp;"")),"")</f>
        <v>Outlining</v>
      </c>
    </row>
    <row r="22" customFormat="false" ht="15" hidden="false" customHeight="false" outlineLevel="0" collapsed="false">
      <c r="B22" s="19" t="str">
        <f aca="false">IFERROR(IF(INDEX(Chapters!$B$5:$B$29,5)="","",INDEX(Chapters!$B$5:$B$29,5)&amp;""),"")</f>
        <v>Discussion &amp; Conclusion</v>
      </c>
      <c r="C22" s="20" t="n">
        <f aca="false">IFERROR(IF(INDEX(Chapters!$B$5:$B$29,5)="","",IF(INDEX(Chapters!$C$5:$C$29,5)="","—",INDEX(Chapters!$C$5:$C$29,5))),"")</f>
        <v>11000</v>
      </c>
      <c r="D22" s="20" t="n">
        <f aca="false">IFERROR(IF(INDEX(Chapters!$B$5:$B$29,5)="","",INDEX(Chapters!$G$5:$G$29,5)),"")</f>
        <v>0</v>
      </c>
      <c r="E22" s="21" t="n">
        <f aca="false">IFERROR(IF(INDEX(Chapters!$B$5:$B$29,5)="","",INDEX(Chapters!$H$5:$H$29,5)),"")</f>
        <v>0</v>
      </c>
      <c r="F22" s="19" t="str">
        <f aca="false">IFERROR(IF(INDEX(Chapters!$B$5:$B$29,5)="","",IF(INDEX(Chapters!$E$5:$E$29,5)="","—",INDEX(Chapters!$E$5:$E$29,5)&amp;"")),"")</f>
        <v>Not started</v>
      </c>
    </row>
    <row r="23" customFormat="false" ht="15" hidden="false" customHeight="false" outlineLevel="0" collapsed="false">
      <c r="B23" s="24" t="str">
        <f aca="false">IFERROR(IF(INDEX(Chapters!$B$5:$B$29,6)="","",INDEX(Chapters!$B$5:$B$29,6)&amp;""),"")</f>
        <v/>
      </c>
      <c r="C23" s="25" t="str">
        <f aca="false">IFERROR(IF(INDEX(Chapters!$B$5:$B$29,6)="","",IF(INDEX(Chapters!$C$5:$C$29,6)="","—",INDEX(Chapters!$C$5:$C$29,6))),"")</f>
        <v/>
      </c>
      <c r="D23" s="25" t="str">
        <f aca="false">IFERROR(IF(INDEX(Chapters!$B$5:$B$29,6)="","",INDEX(Chapters!$G$5:$G$29,6)),"")</f>
        <v/>
      </c>
      <c r="E23" s="26" t="str">
        <f aca="false">IFERROR(IF(INDEX(Chapters!$B$5:$B$29,6)="","",INDEX(Chapters!$H$5:$H$29,6)),"")</f>
        <v/>
      </c>
      <c r="F23" s="24" t="str">
        <f aca="false">IFERROR(IF(INDEX(Chapters!$B$5:$B$29,6)="","",IF(INDEX(Chapters!$E$5:$E$29,6)="","—",INDEX(Chapters!$E$5:$E$29,6)&amp;"")),"")</f>
        <v/>
      </c>
    </row>
    <row r="24" customFormat="false" ht="15" hidden="false" customHeight="false" outlineLevel="0" collapsed="false">
      <c r="B24" s="19" t="str">
        <f aca="false">IFERROR(IF(INDEX(Chapters!$B$5:$B$29,7)="","",INDEX(Chapters!$B$5:$B$29,7)&amp;""),"")</f>
        <v/>
      </c>
      <c r="C24" s="20" t="str">
        <f aca="false">IFERROR(IF(INDEX(Chapters!$B$5:$B$29,7)="","",IF(INDEX(Chapters!$C$5:$C$29,7)="","—",INDEX(Chapters!$C$5:$C$29,7))),"")</f>
        <v/>
      </c>
      <c r="D24" s="20" t="str">
        <f aca="false">IFERROR(IF(INDEX(Chapters!$B$5:$B$29,7)="","",INDEX(Chapters!$G$5:$G$29,7)),"")</f>
        <v/>
      </c>
      <c r="E24" s="21" t="str">
        <f aca="false">IFERROR(IF(INDEX(Chapters!$B$5:$B$29,7)="","",INDEX(Chapters!$H$5:$H$29,7)),"")</f>
        <v/>
      </c>
      <c r="F24" s="19" t="str">
        <f aca="false">IFERROR(IF(INDEX(Chapters!$B$5:$B$29,7)="","",IF(INDEX(Chapters!$E$5:$E$29,7)="","—",INDEX(Chapters!$E$5:$E$29,7)&amp;"")),"")</f>
        <v/>
      </c>
    </row>
    <row r="25" customFormat="false" ht="15" hidden="false" customHeight="false" outlineLevel="0" collapsed="false">
      <c r="B25" s="24" t="str">
        <f aca="false">IFERROR(IF(INDEX(Chapters!$B$5:$B$29,8)="","",INDEX(Chapters!$B$5:$B$29,8)&amp;""),"")</f>
        <v/>
      </c>
      <c r="C25" s="25" t="str">
        <f aca="false">IFERROR(IF(INDEX(Chapters!$B$5:$B$29,8)="","",IF(INDEX(Chapters!$C$5:$C$29,8)="","—",INDEX(Chapters!$C$5:$C$29,8))),"")</f>
        <v/>
      </c>
      <c r="D25" s="25" t="str">
        <f aca="false">IFERROR(IF(INDEX(Chapters!$B$5:$B$29,8)="","",INDEX(Chapters!$G$5:$G$29,8)),"")</f>
        <v/>
      </c>
      <c r="E25" s="26" t="str">
        <f aca="false">IFERROR(IF(INDEX(Chapters!$B$5:$B$29,8)="","",INDEX(Chapters!$H$5:$H$29,8)),"")</f>
        <v/>
      </c>
      <c r="F25" s="24" t="str">
        <f aca="false">IFERROR(IF(INDEX(Chapters!$B$5:$B$29,8)="","",IF(INDEX(Chapters!$E$5:$E$29,8)="","—",INDEX(Chapters!$E$5:$E$29,8)&amp;"")),"")</f>
        <v/>
      </c>
    </row>
    <row r="26" customFormat="false" ht="15" hidden="false" customHeight="false" outlineLevel="0" collapsed="false">
      <c r="B26" s="29" t="str">
        <f aca="false">IFERROR(IF(COUNTA(Chapters!$B$13:$B$29)=0,"","+"&amp;COUNTA(Chapters!$B$13:$B$29)&amp;" more — see the Chapters sheet"),"")</f>
        <v/>
      </c>
    </row>
    <row r="27" customFormat="false" ht="15" hidden="false" customHeight="false" outlineLevel="0" collapsed="false">
      <c r="B27" s="30" t="str">
        <f aca="false">IFERROR(IF(COUNTA('Writing Sessions'!$B$5:$B$304)=0,"No sessions logged yet — add your chapters, log your first writing session, and this page fills itself.",""),"")</f>
        <v/>
      </c>
    </row>
    <row r="28" customFormat="false" ht="15" hidden="false" customHeight="false" outlineLevel="0" collapsed="false">
      <c r="B28" s="29" t="s">
        <v>46</v>
      </c>
    </row>
  </sheetData>
  <sheetProtection sheet="true"/>
  <mergeCells count="2">
    <mergeCell ref="A1:J1"/>
    <mergeCell ref="A2:J2"/>
  </mergeCells>
  <conditionalFormatting sqref="F6">
    <cfRule type="cellIs" priority="2" operator="lessThan" aboveAverage="0" equalAverage="0" bottom="0" percent="0" rank="0" text="" dxfId="0">
      <formula>8</formula>
    </cfRule>
    <cfRule type="cellIs" priority="3" operator="between" aboveAverage="0" equalAverage="0" bottom="0" percent="0" rank="0" text="" dxfId="1">
      <formula>8</formula>
      <formula>21</formula>
    </cfRule>
    <cfRule type="cellIs" priority="4" operator="between" aboveAverage="0" equalAverage="0" bottom="0" percent="0" rank="0" text="" dxfId="2">
      <formula>22</formula>
      <formula>99999</formula>
    </cfRule>
  </conditionalFormatting>
  <conditionalFormatting sqref="F10">
    <cfRule type="cellIs" priority="5" operator="lessThan" aboveAverage="0" equalAverage="0" bottom="0" percent="0" rank="0" text="" dxfId="0">
      <formula>8</formula>
    </cfRule>
    <cfRule type="cellIs" priority="6" operator="between" aboveAverage="0" equalAverage="0" bottom="0" percent="0" rank="0" text="" dxfId="1">
      <formula>8</formula>
      <formula>21</formula>
    </cfRule>
    <cfRule type="cellIs" priority="7" operator="between" aboveAverage="0" equalAverage="0" bottom="0" percent="0" rank="0" text="" dxfId="2">
      <formula>22</formula>
      <formula>99999</formula>
    </cfRule>
  </conditionalFormatting>
  <conditionalFormatting sqref="F14">
    <cfRule type="cellIs" priority="8" operator="lessThan" aboveAverage="0" equalAverage="0" bottom="0" percent="0" rank="0" text="" dxfId="0">
      <formula>8</formula>
    </cfRule>
    <cfRule type="cellIs" priority="9" operator="between" aboveAverage="0" equalAverage="0" bottom="0" percent="0" rank="0" text="" dxfId="1">
      <formula>8</formula>
      <formula>21</formula>
    </cfRule>
    <cfRule type="cellIs" priority="10" operator="between" aboveAverage="0" equalAverage="0" bottom="0" percent="0" rank="0" text="" dxfId="2">
      <formula>22</formula>
      <formula>99999</formula>
    </cfRule>
  </conditionalFormatting>
  <conditionalFormatting sqref="F18:F25">
    <cfRule type="cellIs" priority="11" operator="equal" aboveAverage="0" equalAverage="0" bottom="0" percent="0" rank="0" text="" dxfId="3">
      <formula>"Not started"</formula>
    </cfRule>
    <cfRule type="cellIs" priority="12" operator="equal" aboveAverage="0" equalAverage="0" bottom="0" percent="0" rank="0" text="" dxfId="1">
      <formula>"Outlining"</formula>
    </cfRule>
    <cfRule type="cellIs" priority="13" operator="equal" aboveAverage="0" equalAverage="0" bottom="0" percent="0" rank="0" text="" dxfId="4">
      <formula>"Drafting"</formula>
    </cfRule>
    <cfRule type="cellIs" priority="14" operator="equal" aboveAverage="0" equalAverage="0" bottom="0" percent="0" rank="0" text="" dxfId="5">
      <formula>"Revising"</formula>
    </cfRule>
    <cfRule type="cellIs" priority="15" operator="equal" aboveAverage="0" equalAverage="0" bottom="0" percent="0" rank="0" text="" dxfId="2">
      <formula>"Final"</formula>
    </cfRule>
  </conditionalFormatting>
  <conditionalFormatting sqref="J18:J20">
    <cfRule type="cellIs" priority="16" operator="lessThan" aboveAverage="0" equalAverage="0" bottom="0" percent="0" rank="0" text="" dxfId="0">
      <formula>8</formula>
    </cfRule>
    <cfRule type="cellIs" priority="17" operator="between" aboveAverage="0" equalAverage="0" bottom="0" percent="0" rank="0" text="" dxfId="1">
      <formula>8</formula>
      <formula>21</formula>
    </cfRule>
    <cfRule type="cellIs" priority="18" operator="between" aboveAverage="0" equalAverage="0" bottom="0" percent="0" rank="0" text="" dxfId="2">
      <formula>22</formula>
      <formula>99999</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4" min="3" style="0" width="12"/>
    <col collapsed="false" customWidth="true" hidden="false" outlineLevel="0" max="5" min="5" style="0" width="13"/>
    <col collapsed="false" customWidth="true" hidden="false" outlineLevel="0" max="6" min="6" style="0" width="12"/>
    <col collapsed="false" customWidth="true" hidden="false" outlineLevel="0" max="7" min="7" style="0" width="14"/>
    <col collapsed="false" customWidth="true" hidden="false" outlineLevel="0" max="9" min="8" style="0" width="10"/>
    <col collapsed="false" customWidth="true" hidden="false" outlineLevel="0" max="10" min="10" style="0" width="22"/>
    <col collapsed="false" customWidth="true" hidden="false" outlineLevel="0" max="11" min="11" style="0" width="7"/>
  </cols>
  <sheetData>
    <row r="1" customFormat="false" ht="25.5" hidden="false" customHeight="true" outlineLevel="0" collapsed="false">
      <c r="A1" s="7" t="s">
        <v>47</v>
      </c>
      <c r="B1" s="7"/>
      <c r="C1" s="7"/>
      <c r="D1" s="7"/>
      <c r="E1" s="7"/>
      <c r="F1" s="7"/>
      <c r="G1" s="7"/>
      <c r="H1" s="7"/>
      <c r="I1" s="7"/>
      <c r="J1" s="7"/>
      <c r="K1" s="7"/>
    </row>
    <row r="2" customFormat="false" ht="15" hidden="false" customHeight="false" outlineLevel="0" collapsed="false">
      <c r="A2" s="8" t="s">
        <v>48</v>
      </c>
      <c r="B2" s="8"/>
      <c r="C2" s="8"/>
      <c r="D2" s="8"/>
      <c r="E2" s="8"/>
      <c r="F2" s="8"/>
      <c r="G2" s="8"/>
      <c r="H2" s="8"/>
      <c r="I2" s="8"/>
      <c r="J2" s="8"/>
      <c r="K2" s="8"/>
    </row>
    <row r="4" customFormat="false" ht="30" hidden="false" customHeight="true" outlineLevel="0" collapsed="false">
      <c r="A4" s="31" t="s">
        <v>49</v>
      </c>
      <c r="B4" s="31" t="s">
        <v>39</v>
      </c>
      <c r="C4" s="31" t="s">
        <v>50</v>
      </c>
      <c r="D4" s="31" t="s">
        <v>51</v>
      </c>
      <c r="E4" s="31" t="s">
        <v>43</v>
      </c>
      <c r="F4" s="31" t="s">
        <v>52</v>
      </c>
      <c r="G4" s="31" t="s">
        <v>53</v>
      </c>
      <c r="H4" s="31" t="s">
        <v>54</v>
      </c>
      <c r="I4" s="31" t="s">
        <v>55</v>
      </c>
      <c r="J4" s="31" t="s">
        <v>56</v>
      </c>
      <c r="K4" s="31" t="s">
        <v>57</v>
      </c>
    </row>
    <row r="5" customFormat="false" ht="15" hidden="false" customHeight="false" outlineLevel="0" collapsed="false">
      <c r="A5" s="32" t="n">
        <f aca="false">IF(B5="","",ROW()-4)</f>
        <v>1</v>
      </c>
      <c r="B5" s="33" t="s">
        <v>58</v>
      </c>
      <c r="C5" s="34" t="n">
        <v>8000</v>
      </c>
      <c r="D5" s="35" t="n">
        <f aca="true">TODAY()+14</f>
        <v>46250</v>
      </c>
      <c r="E5" s="33" t="s">
        <v>59</v>
      </c>
      <c r="F5" s="34" t="n">
        <v>4200</v>
      </c>
      <c r="G5" s="36" t="n">
        <f aca="false">IF(B5="","",IFERROR(IF(F5="",0,F5)+SUMIF('Writing Sessions'!$C$5:$C$304,B5,'Writing Sessions'!$E$5:$E$304),IF(F5="",0,F5)))</f>
        <v>7690</v>
      </c>
      <c r="H5" s="37" t="n">
        <f aca="false">IF(B5="","",IFERROR(IF(C5=0,"—",MIN(1,G5/C5)),"—"))</f>
        <v>0.96125</v>
      </c>
      <c r="I5" s="38" t="n">
        <f aca="true">IF(B5="","",IF(E5="Final","—",IFERROR(IF(D5="","—",D5-TODAY()),"—")))</f>
        <v>14</v>
      </c>
      <c r="J5" s="39" t="str">
        <f aca="false">IF(B5="","",IFERROR(IF(ISNUMBER(H5),REPT("█",ROUNDDOWN(MAX(0,H5)*10,0))&amp;REPT("░",10-ROUNDDOWN(MAX(0,H5)*10,0)),""),""))</f>
        <v>█████████░</v>
      </c>
      <c r="K5" s="40" t="n">
        <f aca="false">IF(B5="","",IF(E5="Final","",IF(ISNUMBER(D5),D5+ROW()/100000,"")))</f>
        <v>46250.00005</v>
      </c>
    </row>
    <row r="6" customFormat="false" ht="15" hidden="false" customHeight="false" outlineLevel="0" collapsed="false">
      <c r="A6" s="32" t="n">
        <f aca="false">IF(B6="","",ROW()-4)</f>
        <v>2</v>
      </c>
      <c r="B6" s="41" t="s">
        <v>60</v>
      </c>
      <c r="C6" s="42" t="n">
        <v>12000</v>
      </c>
      <c r="D6" s="43" t="n">
        <f aca="true">TODAY()+28</f>
        <v>46264</v>
      </c>
      <c r="E6" s="41" t="s">
        <v>61</v>
      </c>
      <c r="F6" s="42" t="n">
        <v>5600</v>
      </c>
      <c r="G6" s="36" t="n">
        <f aca="false">IF(B6="","",IFERROR(IF(F6="",0,F6)+SUMIF('Writing Sessions'!$C$5:$C$304,B6,'Writing Sessions'!$E$5:$E$304),IF(F6="",0,F6)))</f>
        <v>10580</v>
      </c>
      <c r="H6" s="37" t="n">
        <f aca="false">IF(B6="","",IFERROR(IF(C6=0,"—",MIN(1,G6/C6)),"—"))</f>
        <v>0.881666666666667</v>
      </c>
      <c r="I6" s="38" t="n">
        <f aca="true">IF(B6="","",IF(E6="Final","—",IFERROR(IF(D6="","—",D6-TODAY()),"—")))</f>
        <v>28</v>
      </c>
      <c r="J6" s="39" t="str">
        <f aca="false">IF(B6="","",IFERROR(IF(ISNUMBER(H6),REPT("█",ROUNDDOWN(MAX(0,H6)*10,0))&amp;REPT("░",10-ROUNDDOWN(MAX(0,H6)*10,0)),""),""))</f>
        <v>████████░░</v>
      </c>
      <c r="K6" s="40" t="n">
        <f aca="false">IF(B6="","",IF(E6="Final","",IF(ISNUMBER(D6),D6+ROW()/100000,"")))</f>
        <v>46264.00006</v>
      </c>
    </row>
    <row r="7" customFormat="false" ht="15" hidden="false" customHeight="false" outlineLevel="0" collapsed="false">
      <c r="A7" s="32" t="n">
        <f aca="false">IF(B7="","",ROW()-4)</f>
        <v>3</v>
      </c>
      <c r="B7" s="33" t="s">
        <v>62</v>
      </c>
      <c r="C7" s="34" t="n">
        <v>10000</v>
      </c>
      <c r="D7" s="35" t="n">
        <f aca="true">TODAY()+49</f>
        <v>46285</v>
      </c>
      <c r="E7" s="33" t="s">
        <v>61</v>
      </c>
      <c r="F7" s="34" t="n">
        <v>2900</v>
      </c>
      <c r="G7" s="36" t="n">
        <f aca="false">IF(B7="","",IFERROR(IF(F7="",0,F7)+SUMIF('Writing Sessions'!$C$5:$C$304,B7,'Writing Sessions'!$E$5:$E$304),IF(F7="",0,F7)))</f>
        <v>5150</v>
      </c>
      <c r="H7" s="37" t="n">
        <f aca="false">IF(B7="","",IFERROR(IF(C7=0,"—",MIN(1,G7/C7)),"—"))</f>
        <v>0.515</v>
      </c>
      <c r="I7" s="38" t="n">
        <f aca="true">IF(B7="","",IF(E7="Final","—",IFERROR(IF(D7="","—",D7-TODAY()),"—")))</f>
        <v>49</v>
      </c>
      <c r="J7" s="39" t="str">
        <f aca="false">IF(B7="","",IFERROR(IF(ISNUMBER(H7),REPT("█",ROUNDDOWN(MAX(0,H7)*10,0))&amp;REPT("░",10-ROUNDDOWN(MAX(0,H7)*10,0)),""),""))</f>
        <v>█████░░░░░</v>
      </c>
      <c r="K7" s="40" t="n">
        <f aca="false">IF(B7="","",IF(E7="Final","",IF(ISNUMBER(D7),D7+ROW()/100000,"")))</f>
        <v>46285.00007</v>
      </c>
    </row>
    <row r="8" customFormat="false" ht="15" hidden="false" customHeight="false" outlineLevel="0" collapsed="false">
      <c r="A8" s="32" t="n">
        <f aca="false">IF(B8="","",ROW()-4)</f>
        <v>4</v>
      </c>
      <c r="B8" s="41" t="s">
        <v>63</v>
      </c>
      <c r="C8" s="42" t="n">
        <v>9000</v>
      </c>
      <c r="D8" s="43" t="n">
        <f aca="true">TODAY()+70</f>
        <v>46306</v>
      </c>
      <c r="E8" s="41" t="s">
        <v>64</v>
      </c>
      <c r="F8" s="42"/>
      <c r="G8" s="36" t="n">
        <f aca="false">IF(B8="","",IFERROR(IF(F8="",0,F8)+SUMIF('Writing Sessions'!$C$5:$C$304,B8,'Writing Sessions'!$E$5:$E$304),IF(F8="",0,F8)))</f>
        <v>0</v>
      </c>
      <c r="H8" s="37" t="n">
        <f aca="false">IF(B8="","",IFERROR(IF(C8=0,"—",MIN(1,G8/C8)),"—"))</f>
        <v>0</v>
      </c>
      <c r="I8" s="38" t="n">
        <f aca="true">IF(B8="","",IF(E8="Final","—",IFERROR(IF(D8="","—",D8-TODAY()),"—")))</f>
        <v>70</v>
      </c>
      <c r="J8" s="39" t="str">
        <f aca="false">IF(B8="","",IFERROR(IF(ISNUMBER(H8),REPT("█",ROUNDDOWN(MAX(0,H8)*10,0))&amp;REPT("░",10-ROUNDDOWN(MAX(0,H8)*10,0)),""),""))</f>
        <v>░░░░░░░░░░</v>
      </c>
      <c r="K8" s="40" t="n">
        <f aca="false">IF(B8="","",IF(E8="Final","",IF(ISNUMBER(D8),D8+ROW()/100000,"")))</f>
        <v>46306.00008</v>
      </c>
    </row>
    <row r="9" customFormat="false" ht="15" hidden="false" customHeight="false" outlineLevel="0" collapsed="false">
      <c r="A9" s="32" t="n">
        <f aca="false">IF(B9="","",ROW()-4)</f>
        <v>5</v>
      </c>
      <c r="B9" s="33" t="s">
        <v>65</v>
      </c>
      <c r="C9" s="34" t="n">
        <v>11000</v>
      </c>
      <c r="D9" s="35" t="n">
        <f aca="true">TODAY()+91</f>
        <v>46327</v>
      </c>
      <c r="E9" s="33" t="s">
        <v>66</v>
      </c>
      <c r="F9" s="34"/>
      <c r="G9" s="36" t="n">
        <f aca="false">IF(B9="","",IFERROR(IF(F9="",0,F9)+SUMIF('Writing Sessions'!$C$5:$C$304,B9,'Writing Sessions'!$E$5:$E$304),IF(F9="",0,F9)))</f>
        <v>0</v>
      </c>
      <c r="H9" s="37" t="n">
        <f aca="false">IF(B9="","",IFERROR(IF(C9=0,"—",MIN(1,G9/C9)),"—"))</f>
        <v>0</v>
      </c>
      <c r="I9" s="38" t="n">
        <f aca="true">IF(B9="","",IF(E9="Final","—",IFERROR(IF(D9="","—",D9-TODAY()),"—")))</f>
        <v>91</v>
      </c>
      <c r="J9" s="39" t="str">
        <f aca="false">IF(B9="","",IFERROR(IF(ISNUMBER(H9),REPT("█",ROUNDDOWN(MAX(0,H9)*10,0))&amp;REPT("░",10-ROUNDDOWN(MAX(0,H9)*10,0)),""),""))</f>
        <v>░░░░░░░░░░</v>
      </c>
      <c r="K9" s="40" t="n">
        <f aca="false">IF(B9="","",IF(E9="Final","",IF(ISNUMBER(D9),D9+ROW()/100000,"")))</f>
        <v>46327.00009</v>
      </c>
    </row>
    <row r="10" customFormat="false" ht="15" hidden="false" customHeight="false" outlineLevel="0" collapsed="false">
      <c r="A10" s="32" t="str">
        <f aca="false">IF(B10="","",ROW()-4)</f>
        <v/>
      </c>
      <c r="B10" s="41"/>
      <c r="C10" s="42"/>
      <c r="D10" s="43"/>
      <c r="E10" s="41"/>
      <c r="F10" s="42"/>
      <c r="G10" s="36" t="str">
        <f aca="false">IF(B10="","",IFERROR(IF(F10="",0,F10)+SUMIF('Writing Sessions'!$C$5:$C$304,B10,'Writing Sessions'!$E$5:$E$304),IF(F10="",0,F10)))</f>
        <v/>
      </c>
      <c r="H10" s="37" t="str">
        <f aca="false">IF(B10="","",IFERROR(IF(C10=0,"—",MIN(1,G10/C10)),"—"))</f>
        <v/>
      </c>
      <c r="I10" s="38" t="str">
        <f aca="true">IF(B10="","",IF(E10="Final","—",IFERROR(IF(D10="","—",D10-TODAY()),"—")))</f>
        <v/>
      </c>
      <c r="J10" s="39" t="str">
        <f aca="false">IF(B10="","",IFERROR(IF(ISNUMBER(H10),REPT("█",ROUNDDOWN(MAX(0,H10)*10,0))&amp;REPT("░",10-ROUNDDOWN(MAX(0,H10)*10,0)),""),""))</f>
        <v/>
      </c>
      <c r="K10" s="44" t="str">
        <f aca="false">IF(B10="","",IF(E10="Final","",IF(ISNUMBER(D10),D10+ROW()/100000,"")))</f>
        <v/>
      </c>
    </row>
    <row r="11" customFormat="false" ht="15" hidden="false" customHeight="false" outlineLevel="0" collapsed="false">
      <c r="A11" s="32" t="str">
        <f aca="false">IF(B11="","",ROW()-4)</f>
        <v/>
      </c>
      <c r="B11" s="33"/>
      <c r="C11" s="34"/>
      <c r="D11" s="35"/>
      <c r="E11" s="33"/>
      <c r="F11" s="34"/>
      <c r="G11" s="36" t="str">
        <f aca="false">IF(B11="","",IFERROR(IF(F11="",0,F11)+SUMIF('Writing Sessions'!$C$5:$C$304,B11,'Writing Sessions'!$E$5:$E$304),IF(F11="",0,F11)))</f>
        <v/>
      </c>
      <c r="H11" s="37" t="str">
        <f aca="false">IF(B11="","",IFERROR(IF(C11=0,"—",MIN(1,G11/C11)),"—"))</f>
        <v/>
      </c>
      <c r="I11" s="38" t="str">
        <f aca="true">IF(B11="","",IF(E11="Final","—",IFERROR(IF(D11="","—",D11-TODAY()),"—")))</f>
        <v/>
      </c>
      <c r="J11" s="39" t="str">
        <f aca="false">IF(B11="","",IFERROR(IF(ISNUMBER(H11),REPT("█",ROUNDDOWN(MAX(0,H11)*10,0))&amp;REPT("░",10-ROUNDDOWN(MAX(0,H11)*10,0)),""),""))</f>
        <v/>
      </c>
      <c r="K11" s="44" t="str">
        <f aca="false">IF(B11="","",IF(E11="Final","",IF(ISNUMBER(D11),D11+ROW()/100000,"")))</f>
        <v/>
      </c>
    </row>
    <row r="12" customFormat="false" ht="15" hidden="false" customHeight="false" outlineLevel="0" collapsed="false">
      <c r="A12" s="32" t="str">
        <f aca="false">IF(B12="","",ROW()-4)</f>
        <v/>
      </c>
      <c r="B12" s="41"/>
      <c r="C12" s="42"/>
      <c r="D12" s="43"/>
      <c r="E12" s="41"/>
      <c r="F12" s="42"/>
      <c r="G12" s="36" t="str">
        <f aca="false">IF(B12="","",IFERROR(IF(F12="",0,F12)+SUMIF('Writing Sessions'!$C$5:$C$304,B12,'Writing Sessions'!$E$5:$E$304),IF(F12="",0,F12)))</f>
        <v/>
      </c>
      <c r="H12" s="37" t="str">
        <f aca="false">IF(B12="","",IFERROR(IF(C12=0,"—",MIN(1,G12/C12)),"—"))</f>
        <v/>
      </c>
      <c r="I12" s="38" t="str">
        <f aca="true">IF(B12="","",IF(E12="Final","—",IFERROR(IF(D12="","—",D12-TODAY()),"—")))</f>
        <v/>
      </c>
      <c r="J12" s="39" t="str">
        <f aca="false">IF(B12="","",IFERROR(IF(ISNUMBER(H12),REPT("█",ROUNDDOWN(MAX(0,H12)*10,0))&amp;REPT("░",10-ROUNDDOWN(MAX(0,H12)*10,0)),""),""))</f>
        <v/>
      </c>
      <c r="K12" s="44" t="str">
        <f aca="false">IF(B12="","",IF(E12="Final","",IF(ISNUMBER(D12),D12+ROW()/100000,"")))</f>
        <v/>
      </c>
    </row>
    <row r="13" customFormat="false" ht="15" hidden="false" customHeight="false" outlineLevel="0" collapsed="false">
      <c r="A13" s="32" t="str">
        <f aca="false">IF(B13="","",ROW()-4)</f>
        <v/>
      </c>
      <c r="B13" s="33"/>
      <c r="C13" s="34"/>
      <c r="D13" s="35"/>
      <c r="E13" s="33"/>
      <c r="F13" s="34"/>
      <c r="G13" s="36" t="str">
        <f aca="false">IF(B13="","",IFERROR(IF(F13="",0,F13)+SUMIF('Writing Sessions'!$C$5:$C$304,B13,'Writing Sessions'!$E$5:$E$304),IF(F13="",0,F13)))</f>
        <v/>
      </c>
      <c r="H13" s="37" t="str">
        <f aca="false">IF(B13="","",IFERROR(IF(C13=0,"—",MIN(1,G13/C13)),"—"))</f>
        <v/>
      </c>
      <c r="I13" s="38" t="str">
        <f aca="true">IF(B13="","",IF(E13="Final","—",IFERROR(IF(D13="","—",D13-TODAY()),"—")))</f>
        <v/>
      </c>
      <c r="J13" s="39" t="str">
        <f aca="false">IF(B13="","",IFERROR(IF(ISNUMBER(H13),REPT("█",ROUNDDOWN(MAX(0,H13)*10,0))&amp;REPT("░",10-ROUNDDOWN(MAX(0,H13)*10,0)),""),""))</f>
        <v/>
      </c>
      <c r="K13" s="44" t="str">
        <f aca="false">IF(B13="","",IF(E13="Final","",IF(ISNUMBER(D13),D13+ROW()/100000,"")))</f>
        <v/>
      </c>
    </row>
    <row r="14" customFormat="false" ht="15" hidden="false" customHeight="false" outlineLevel="0" collapsed="false">
      <c r="A14" s="32" t="str">
        <f aca="false">IF(B14="","",ROW()-4)</f>
        <v/>
      </c>
      <c r="B14" s="41"/>
      <c r="C14" s="42"/>
      <c r="D14" s="43"/>
      <c r="E14" s="41"/>
      <c r="F14" s="42"/>
      <c r="G14" s="36" t="str">
        <f aca="false">IF(B14="","",IFERROR(IF(F14="",0,F14)+SUMIF('Writing Sessions'!$C$5:$C$304,B14,'Writing Sessions'!$E$5:$E$304),IF(F14="",0,F14)))</f>
        <v/>
      </c>
      <c r="H14" s="37" t="str">
        <f aca="false">IF(B14="","",IFERROR(IF(C14=0,"—",MIN(1,G14/C14)),"—"))</f>
        <v/>
      </c>
      <c r="I14" s="38" t="str">
        <f aca="true">IF(B14="","",IF(E14="Final","—",IFERROR(IF(D14="","—",D14-TODAY()),"—")))</f>
        <v/>
      </c>
      <c r="J14" s="39" t="str">
        <f aca="false">IF(B14="","",IFERROR(IF(ISNUMBER(H14),REPT("█",ROUNDDOWN(MAX(0,H14)*10,0))&amp;REPT("░",10-ROUNDDOWN(MAX(0,H14)*10,0)),""),""))</f>
        <v/>
      </c>
      <c r="K14" s="44" t="str">
        <f aca="false">IF(B14="","",IF(E14="Final","",IF(ISNUMBER(D14),D14+ROW()/100000,"")))</f>
        <v/>
      </c>
    </row>
    <row r="15" customFormat="false" ht="15" hidden="false" customHeight="false" outlineLevel="0" collapsed="false">
      <c r="A15" s="32" t="str">
        <f aca="false">IF(B15="","",ROW()-4)</f>
        <v/>
      </c>
      <c r="B15" s="33"/>
      <c r="C15" s="34"/>
      <c r="D15" s="35"/>
      <c r="E15" s="33"/>
      <c r="F15" s="34"/>
      <c r="G15" s="36" t="str">
        <f aca="false">IF(B15="","",IFERROR(IF(F15="",0,F15)+SUMIF('Writing Sessions'!$C$5:$C$304,B15,'Writing Sessions'!$E$5:$E$304),IF(F15="",0,F15)))</f>
        <v/>
      </c>
      <c r="H15" s="37" t="str">
        <f aca="false">IF(B15="","",IFERROR(IF(C15=0,"—",MIN(1,G15/C15)),"—"))</f>
        <v/>
      </c>
      <c r="I15" s="38" t="str">
        <f aca="true">IF(B15="","",IF(E15="Final","—",IFERROR(IF(D15="","—",D15-TODAY()),"—")))</f>
        <v/>
      </c>
      <c r="J15" s="39" t="str">
        <f aca="false">IF(B15="","",IFERROR(IF(ISNUMBER(H15),REPT("█",ROUNDDOWN(MAX(0,H15)*10,0))&amp;REPT("░",10-ROUNDDOWN(MAX(0,H15)*10,0)),""),""))</f>
        <v/>
      </c>
      <c r="K15" s="44" t="str">
        <f aca="false">IF(B15="","",IF(E15="Final","",IF(ISNUMBER(D15),D15+ROW()/100000,"")))</f>
        <v/>
      </c>
    </row>
    <row r="16" customFormat="false" ht="15" hidden="false" customHeight="false" outlineLevel="0" collapsed="false">
      <c r="A16" s="32" t="str">
        <f aca="false">IF(B16="","",ROW()-4)</f>
        <v/>
      </c>
      <c r="B16" s="41"/>
      <c r="C16" s="42"/>
      <c r="D16" s="43"/>
      <c r="E16" s="41"/>
      <c r="F16" s="42"/>
      <c r="G16" s="36" t="str">
        <f aca="false">IF(B16="","",IFERROR(IF(F16="",0,F16)+SUMIF('Writing Sessions'!$C$5:$C$304,B16,'Writing Sessions'!$E$5:$E$304),IF(F16="",0,F16)))</f>
        <v/>
      </c>
      <c r="H16" s="37" t="str">
        <f aca="false">IF(B16="","",IFERROR(IF(C16=0,"—",MIN(1,G16/C16)),"—"))</f>
        <v/>
      </c>
      <c r="I16" s="38" t="str">
        <f aca="true">IF(B16="","",IF(E16="Final","—",IFERROR(IF(D16="","—",D16-TODAY()),"—")))</f>
        <v/>
      </c>
      <c r="J16" s="39" t="str">
        <f aca="false">IF(B16="","",IFERROR(IF(ISNUMBER(H16),REPT("█",ROUNDDOWN(MAX(0,H16)*10,0))&amp;REPT("░",10-ROUNDDOWN(MAX(0,H16)*10,0)),""),""))</f>
        <v/>
      </c>
      <c r="K16" s="44" t="str">
        <f aca="false">IF(B16="","",IF(E16="Final","",IF(ISNUMBER(D16),D16+ROW()/100000,"")))</f>
        <v/>
      </c>
    </row>
    <row r="17" customFormat="false" ht="15" hidden="false" customHeight="false" outlineLevel="0" collapsed="false">
      <c r="A17" s="32" t="str">
        <f aca="false">IF(B17="","",ROW()-4)</f>
        <v/>
      </c>
      <c r="B17" s="33"/>
      <c r="C17" s="34"/>
      <c r="D17" s="35"/>
      <c r="E17" s="33"/>
      <c r="F17" s="34"/>
      <c r="G17" s="36" t="str">
        <f aca="false">IF(B17="","",IFERROR(IF(F17="",0,F17)+SUMIF('Writing Sessions'!$C$5:$C$304,B17,'Writing Sessions'!$E$5:$E$304),IF(F17="",0,F17)))</f>
        <v/>
      </c>
      <c r="H17" s="37" t="str">
        <f aca="false">IF(B17="","",IFERROR(IF(C17=0,"—",MIN(1,G17/C17)),"—"))</f>
        <v/>
      </c>
      <c r="I17" s="38" t="str">
        <f aca="true">IF(B17="","",IF(E17="Final","—",IFERROR(IF(D17="","—",D17-TODAY()),"—")))</f>
        <v/>
      </c>
      <c r="J17" s="39" t="str">
        <f aca="false">IF(B17="","",IFERROR(IF(ISNUMBER(H17),REPT("█",ROUNDDOWN(MAX(0,H17)*10,0))&amp;REPT("░",10-ROUNDDOWN(MAX(0,H17)*10,0)),""),""))</f>
        <v/>
      </c>
      <c r="K17" s="44" t="str">
        <f aca="false">IF(B17="","",IF(E17="Final","",IF(ISNUMBER(D17),D17+ROW()/100000,"")))</f>
        <v/>
      </c>
    </row>
    <row r="18" customFormat="false" ht="15" hidden="false" customHeight="false" outlineLevel="0" collapsed="false">
      <c r="A18" s="32" t="str">
        <f aca="false">IF(B18="","",ROW()-4)</f>
        <v/>
      </c>
      <c r="B18" s="41"/>
      <c r="C18" s="42"/>
      <c r="D18" s="43"/>
      <c r="E18" s="41"/>
      <c r="F18" s="42"/>
      <c r="G18" s="36" t="str">
        <f aca="false">IF(B18="","",IFERROR(IF(F18="",0,F18)+SUMIF('Writing Sessions'!$C$5:$C$304,B18,'Writing Sessions'!$E$5:$E$304),IF(F18="",0,F18)))</f>
        <v/>
      </c>
      <c r="H18" s="37" t="str">
        <f aca="false">IF(B18="","",IFERROR(IF(C18=0,"—",MIN(1,G18/C18)),"—"))</f>
        <v/>
      </c>
      <c r="I18" s="38" t="str">
        <f aca="true">IF(B18="","",IF(E18="Final","—",IFERROR(IF(D18="","—",D18-TODAY()),"—")))</f>
        <v/>
      </c>
      <c r="J18" s="39" t="str">
        <f aca="false">IF(B18="","",IFERROR(IF(ISNUMBER(H18),REPT("█",ROUNDDOWN(MAX(0,H18)*10,0))&amp;REPT("░",10-ROUNDDOWN(MAX(0,H18)*10,0)),""),""))</f>
        <v/>
      </c>
      <c r="K18" s="44" t="str">
        <f aca="false">IF(B18="","",IF(E18="Final","",IF(ISNUMBER(D18),D18+ROW()/100000,"")))</f>
        <v/>
      </c>
    </row>
    <row r="19" customFormat="false" ht="15" hidden="false" customHeight="false" outlineLevel="0" collapsed="false">
      <c r="A19" s="32" t="str">
        <f aca="false">IF(B19="","",ROW()-4)</f>
        <v/>
      </c>
      <c r="B19" s="33"/>
      <c r="C19" s="34"/>
      <c r="D19" s="35"/>
      <c r="E19" s="33"/>
      <c r="F19" s="34"/>
      <c r="G19" s="36" t="str">
        <f aca="false">IF(B19="","",IFERROR(IF(F19="",0,F19)+SUMIF('Writing Sessions'!$C$5:$C$304,B19,'Writing Sessions'!$E$5:$E$304),IF(F19="",0,F19)))</f>
        <v/>
      </c>
      <c r="H19" s="37" t="str">
        <f aca="false">IF(B19="","",IFERROR(IF(C19=0,"—",MIN(1,G19/C19)),"—"))</f>
        <v/>
      </c>
      <c r="I19" s="38" t="str">
        <f aca="true">IF(B19="","",IF(E19="Final","—",IFERROR(IF(D19="","—",D19-TODAY()),"—")))</f>
        <v/>
      </c>
      <c r="J19" s="39" t="str">
        <f aca="false">IF(B19="","",IFERROR(IF(ISNUMBER(H19),REPT("█",ROUNDDOWN(MAX(0,H19)*10,0))&amp;REPT("░",10-ROUNDDOWN(MAX(0,H19)*10,0)),""),""))</f>
        <v/>
      </c>
      <c r="K19" s="44" t="str">
        <f aca="false">IF(B19="","",IF(E19="Final","",IF(ISNUMBER(D19),D19+ROW()/100000,"")))</f>
        <v/>
      </c>
    </row>
    <row r="20" customFormat="false" ht="15" hidden="false" customHeight="false" outlineLevel="0" collapsed="false">
      <c r="A20" s="32" t="str">
        <f aca="false">IF(B20="","",ROW()-4)</f>
        <v/>
      </c>
      <c r="B20" s="41"/>
      <c r="C20" s="42"/>
      <c r="D20" s="43"/>
      <c r="E20" s="41"/>
      <c r="F20" s="42"/>
      <c r="G20" s="36" t="str">
        <f aca="false">IF(B20="","",IFERROR(IF(F20="",0,F20)+SUMIF('Writing Sessions'!$C$5:$C$304,B20,'Writing Sessions'!$E$5:$E$304),IF(F20="",0,F20)))</f>
        <v/>
      </c>
      <c r="H20" s="37" t="str">
        <f aca="false">IF(B20="","",IFERROR(IF(C20=0,"—",MIN(1,G20/C20)),"—"))</f>
        <v/>
      </c>
      <c r="I20" s="38" t="str">
        <f aca="true">IF(B20="","",IF(E20="Final","—",IFERROR(IF(D20="","—",D20-TODAY()),"—")))</f>
        <v/>
      </c>
      <c r="J20" s="39" t="str">
        <f aca="false">IF(B20="","",IFERROR(IF(ISNUMBER(H20),REPT("█",ROUNDDOWN(MAX(0,H20)*10,0))&amp;REPT("░",10-ROUNDDOWN(MAX(0,H20)*10,0)),""),""))</f>
        <v/>
      </c>
      <c r="K20" s="44" t="str">
        <f aca="false">IF(B20="","",IF(E20="Final","",IF(ISNUMBER(D20),D20+ROW()/100000,"")))</f>
        <v/>
      </c>
    </row>
    <row r="21" customFormat="false" ht="15" hidden="false" customHeight="false" outlineLevel="0" collapsed="false">
      <c r="A21" s="32" t="str">
        <f aca="false">IF(B21="","",ROW()-4)</f>
        <v/>
      </c>
      <c r="B21" s="33"/>
      <c r="C21" s="34"/>
      <c r="D21" s="35"/>
      <c r="E21" s="33"/>
      <c r="F21" s="34"/>
      <c r="G21" s="36" t="str">
        <f aca="false">IF(B21="","",IFERROR(IF(F21="",0,F21)+SUMIF('Writing Sessions'!$C$5:$C$304,B21,'Writing Sessions'!$E$5:$E$304),IF(F21="",0,F21)))</f>
        <v/>
      </c>
      <c r="H21" s="37" t="str">
        <f aca="false">IF(B21="","",IFERROR(IF(C21=0,"—",MIN(1,G21/C21)),"—"))</f>
        <v/>
      </c>
      <c r="I21" s="38" t="str">
        <f aca="true">IF(B21="","",IF(E21="Final","—",IFERROR(IF(D21="","—",D21-TODAY()),"—")))</f>
        <v/>
      </c>
      <c r="J21" s="39" t="str">
        <f aca="false">IF(B21="","",IFERROR(IF(ISNUMBER(H21),REPT("█",ROUNDDOWN(MAX(0,H21)*10,0))&amp;REPT("░",10-ROUNDDOWN(MAX(0,H21)*10,0)),""),""))</f>
        <v/>
      </c>
      <c r="K21" s="44" t="str">
        <f aca="false">IF(B21="","",IF(E21="Final","",IF(ISNUMBER(D21),D21+ROW()/100000,"")))</f>
        <v/>
      </c>
    </row>
    <row r="22" customFormat="false" ht="15" hidden="false" customHeight="false" outlineLevel="0" collapsed="false">
      <c r="A22" s="32" t="str">
        <f aca="false">IF(B22="","",ROW()-4)</f>
        <v/>
      </c>
      <c r="B22" s="41"/>
      <c r="C22" s="42"/>
      <c r="D22" s="43"/>
      <c r="E22" s="41"/>
      <c r="F22" s="42"/>
      <c r="G22" s="36" t="str">
        <f aca="false">IF(B22="","",IFERROR(IF(F22="",0,F22)+SUMIF('Writing Sessions'!$C$5:$C$304,B22,'Writing Sessions'!$E$5:$E$304),IF(F22="",0,F22)))</f>
        <v/>
      </c>
      <c r="H22" s="37" t="str">
        <f aca="false">IF(B22="","",IFERROR(IF(C22=0,"—",MIN(1,G22/C22)),"—"))</f>
        <v/>
      </c>
      <c r="I22" s="38" t="str">
        <f aca="true">IF(B22="","",IF(E22="Final","—",IFERROR(IF(D22="","—",D22-TODAY()),"—")))</f>
        <v/>
      </c>
      <c r="J22" s="39" t="str">
        <f aca="false">IF(B22="","",IFERROR(IF(ISNUMBER(H22),REPT("█",ROUNDDOWN(MAX(0,H22)*10,0))&amp;REPT("░",10-ROUNDDOWN(MAX(0,H22)*10,0)),""),""))</f>
        <v/>
      </c>
      <c r="K22" s="44" t="str">
        <f aca="false">IF(B22="","",IF(E22="Final","",IF(ISNUMBER(D22),D22+ROW()/100000,"")))</f>
        <v/>
      </c>
    </row>
    <row r="23" customFormat="false" ht="15" hidden="false" customHeight="false" outlineLevel="0" collapsed="false">
      <c r="A23" s="32" t="str">
        <f aca="false">IF(B23="","",ROW()-4)</f>
        <v/>
      </c>
      <c r="B23" s="33"/>
      <c r="C23" s="34"/>
      <c r="D23" s="35"/>
      <c r="E23" s="33"/>
      <c r="F23" s="34"/>
      <c r="G23" s="36" t="str">
        <f aca="false">IF(B23="","",IFERROR(IF(F23="",0,F23)+SUMIF('Writing Sessions'!$C$5:$C$304,B23,'Writing Sessions'!$E$5:$E$304),IF(F23="",0,F23)))</f>
        <v/>
      </c>
      <c r="H23" s="37" t="str">
        <f aca="false">IF(B23="","",IFERROR(IF(C23=0,"—",MIN(1,G23/C23)),"—"))</f>
        <v/>
      </c>
      <c r="I23" s="38" t="str">
        <f aca="true">IF(B23="","",IF(E23="Final","—",IFERROR(IF(D23="","—",D23-TODAY()),"—")))</f>
        <v/>
      </c>
      <c r="J23" s="39" t="str">
        <f aca="false">IF(B23="","",IFERROR(IF(ISNUMBER(H23),REPT("█",ROUNDDOWN(MAX(0,H23)*10,0))&amp;REPT("░",10-ROUNDDOWN(MAX(0,H23)*10,0)),""),""))</f>
        <v/>
      </c>
      <c r="K23" s="44" t="str">
        <f aca="false">IF(B23="","",IF(E23="Final","",IF(ISNUMBER(D23),D23+ROW()/100000,"")))</f>
        <v/>
      </c>
    </row>
    <row r="24" customFormat="false" ht="15" hidden="false" customHeight="false" outlineLevel="0" collapsed="false">
      <c r="A24" s="32" t="str">
        <f aca="false">IF(B24="","",ROW()-4)</f>
        <v/>
      </c>
      <c r="B24" s="41"/>
      <c r="C24" s="42"/>
      <c r="D24" s="43"/>
      <c r="E24" s="41"/>
      <c r="F24" s="42"/>
      <c r="G24" s="36" t="str">
        <f aca="false">IF(B24="","",IFERROR(IF(F24="",0,F24)+SUMIF('Writing Sessions'!$C$5:$C$304,B24,'Writing Sessions'!$E$5:$E$304),IF(F24="",0,F24)))</f>
        <v/>
      </c>
      <c r="H24" s="37" t="str">
        <f aca="false">IF(B24="","",IFERROR(IF(C24=0,"—",MIN(1,G24/C24)),"—"))</f>
        <v/>
      </c>
      <c r="I24" s="38" t="str">
        <f aca="true">IF(B24="","",IF(E24="Final","—",IFERROR(IF(D24="","—",D24-TODAY()),"—")))</f>
        <v/>
      </c>
      <c r="J24" s="39" t="str">
        <f aca="false">IF(B24="","",IFERROR(IF(ISNUMBER(H24),REPT("█",ROUNDDOWN(MAX(0,H24)*10,0))&amp;REPT("░",10-ROUNDDOWN(MAX(0,H24)*10,0)),""),""))</f>
        <v/>
      </c>
      <c r="K24" s="44" t="str">
        <f aca="false">IF(B24="","",IF(E24="Final","",IF(ISNUMBER(D24),D24+ROW()/100000,"")))</f>
        <v/>
      </c>
    </row>
    <row r="25" customFormat="false" ht="15" hidden="false" customHeight="false" outlineLevel="0" collapsed="false">
      <c r="A25" s="32" t="str">
        <f aca="false">IF(B25="","",ROW()-4)</f>
        <v/>
      </c>
      <c r="B25" s="33"/>
      <c r="C25" s="34"/>
      <c r="D25" s="35"/>
      <c r="E25" s="33"/>
      <c r="F25" s="34"/>
      <c r="G25" s="36" t="str">
        <f aca="false">IF(B25="","",IFERROR(IF(F25="",0,F25)+SUMIF('Writing Sessions'!$C$5:$C$304,B25,'Writing Sessions'!$E$5:$E$304),IF(F25="",0,F25)))</f>
        <v/>
      </c>
      <c r="H25" s="37" t="str">
        <f aca="false">IF(B25="","",IFERROR(IF(C25=0,"—",MIN(1,G25/C25)),"—"))</f>
        <v/>
      </c>
      <c r="I25" s="38" t="str">
        <f aca="true">IF(B25="","",IF(E25="Final","—",IFERROR(IF(D25="","—",D25-TODAY()),"—")))</f>
        <v/>
      </c>
      <c r="J25" s="39" t="str">
        <f aca="false">IF(B25="","",IFERROR(IF(ISNUMBER(H25),REPT("█",ROUNDDOWN(MAX(0,H25)*10,0))&amp;REPT("░",10-ROUNDDOWN(MAX(0,H25)*10,0)),""),""))</f>
        <v/>
      </c>
      <c r="K25" s="44" t="str">
        <f aca="false">IF(B25="","",IF(E25="Final","",IF(ISNUMBER(D25),D25+ROW()/100000,"")))</f>
        <v/>
      </c>
    </row>
    <row r="26" customFormat="false" ht="15" hidden="false" customHeight="false" outlineLevel="0" collapsed="false">
      <c r="A26" s="32" t="str">
        <f aca="false">IF(B26="","",ROW()-4)</f>
        <v/>
      </c>
      <c r="B26" s="41"/>
      <c r="C26" s="42"/>
      <c r="D26" s="43"/>
      <c r="E26" s="41"/>
      <c r="F26" s="42"/>
      <c r="G26" s="36" t="str">
        <f aca="false">IF(B26="","",IFERROR(IF(F26="",0,F26)+SUMIF('Writing Sessions'!$C$5:$C$304,B26,'Writing Sessions'!$E$5:$E$304),IF(F26="",0,F26)))</f>
        <v/>
      </c>
      <c r="H26" s="37" t="str">
        <f aca="false">IF(B26="","",IFERROR(IF(C26=0,"—",MIN(1,G26/C26)),"—"))</f>
        <v/>
      </c>
      <c r="I26" s="38" t="str">
        <f aca="true">IF(B26="","",IF(E26="Final","—",IFERROR(IF(D26="","—",D26-TODAY()),"—")))</f>
        <v/>
      </c>
      <c r="J26" s="39" t="str">
        <f aca="false">IF(B26="","",IFERROR(IF(ISNUMBER(H26),REPT("█",ROUNDDOWN(MAX(0,H26)*10,0))&amp;REPT("░",10-ROUNDDOWN(MAX(0,H26)*10,0)),""),""))</f>
        <v/>
      </c>
      <c r="K26" s="44" t="str">
        <f aca="false">IF(B26="","",IF(E26="Final","",IF(ISNUMBER(D26),D26+ROW()/100000,"")))</f>
        <v/>
      </c>
    </row>
    <row r="27" customFormat="false" ht="15" hidden="false" customHeight="false" outlineLevel="0" collapsed="false">
      <c r="A27" s="32" t="str">
        <f aca="false">IF(B27="","",ROW()-4)</f>
        <v/>
      </c>
      <c r="B27" s="33"/>
      <c r="C27" s="34"/>
      <c r="D27" s="35"/>
      <c r="E27" s="33"/>
      <c r="F27" s="34"/>
      <c r="G27" s="36" t="str">
        <f aca="false">IF(B27="","",IFERROR(IF(F27="",0,F27)+SUMIF('Writing Sessions'!$C$5:$C$304,B27,'Writing Sessions'!$E$5:$E$304),IF(F27="",0,F27)))</f>
        <v/>
      </c>
      <c r="H27" s="37" t="str">
        <f aca="false">IF(B27="","",IFERROR(IF(C27=0,"—",MIN(1,G27/C27)),"—"))</f>
        <v/>
      </c>
      <c r="I27" s="38" t="str">
        <f aca="true">IF(B27="","",IF(E27="Final","—",IFERROR(IF(D27="","—",D27-TODAY()),"—")))</f>
        <v/>
      </c>
      <c r="J27" s="39" t="str">
        <f aca="false">IF(B27="","",IFERROR(IF(ISNUMBER(H27),REPT("█",ROUNDDOWN(MAX(0,H27)*10,0))&amp;REPT("░",10-ROUNDDOWN(MAX(0,H27)*10,0)),""),""))</f>
        <v/>
      </c>
      <c r="K27" s="44" t="str">
        <f aca="false">IF(B27="","",IF(E27="Final","",IF(ISNUMBER(D27),D27+ROW()/100000,"")))</f>
        <v/>
      </c>
    </row>
    <row r="28" customFormat="false" ht="15" hidden="false" customHeight="false" outlineLevel="0" collapsed="false">
      <c r="A28" s="32" t="str">
        <f aca="false">IF(B28="","",ROW()-4)</f>
        <v/>
      </c>
      <c r="B28" s="41"/>
      <c r="C28" s="42"/>
      <c r="D28" s="43"/>
      <c r="E28" s="41"/>
      <c r="F28" s="42"/>
      <c r="G28" s="36" t="str">
        <f aca="false">IF(B28="","",IFERROR(IF(F28="",0,F28)+SUMIF('Writing Sessions'!$C$5:$C$304,B28,'Writing Sessions'!$E$5:$E$304),IF(F28="",0,F28)))</f>
        <v/>
      </c>
      <c r="H28" s="37" t="str">
        <f aca="false">IF(B28="","",IFERROR(IF(C28=0,"—",MIN(1,G28/C28)),"—"))</f>
        <v/>
      </c>
      <c r="I28" s="38" t="str">
        <f aca="true">IF(B28="","",IF(E28="Final","—",IFERROR(IF(D28="","—",D28-TODAY()),"—")))</f>
        <v/>
      </c>
      <c r="J28" s="39" t="str">
        <f aca="false">IF(B28="","",IFERROR(IF(ISNUMBER(H28),REPT("█",ROUNDDOWN(MAX(0,H28)*10,0))&amp;REPT("░",10-ROUNDDOWN(MAX(0,H28)*10,0)),""),""))</f>
        <v/>
      </c>
      <c r="K28" s="44" t="str">
        <f aca="false">IF(B28="","",IF(E28="Final","",IF(ISNUMBER(D28),D28+ROW()/100000,"")))</f>
        <v/>
      </c>
    </row>
    <row r="29" customFormat="false" ht="15" hidden="false" customHeight="false" outlineLevel="0" collapsed="false">
      <c r="A29" s="32" t="str">
        <f aca="false">IF(B29="","",ROW()-4)</f>
        <v/>
      </c>
      <c r="B29" s="33"/>
      <c r="C29" s="34"/>
      <c r="D29" s="35"/>
      <c r="E29" s="33"/>
      <c r="F29" s="34"/>
      <c r="G29" s="36" t="str">
        <f aca="false">IF(B29="","",IFERROR(IF(F29="",0,F29)+SUMIF('Writing Sessions'!$C$5:$C$304,B29,'Writing Sessions'!$E$5:$E$304),IF(F29="",0,F29)))</f>
        <v/>
      </c>
      <c r="H29" s="37" t="str">
        <f aca="false">IF(B29="","",IFERROR(IF(C29=0,"—",MIN(1,G29/C29)),"—"))</f>
        <v/>
      </c>
      <c r="I29" s="38" t="str">
        <f aca="true">IF(B29="","",IF(E29="Final","—",IFERROR(IF(D29="","—",D29-TODAY()),"—")))</f>
        <v/>
      </c>
      <c r="J29" s="39" t="str">
        <f aca="false">IF(B29="","",IFERROR(IF(ISNUMBER(H29),REPT("█",ROUNDDOWN(MAX(0,H29)*10,0))&amp;REPT("░",10-ROUNDDOWN(MAX(0,H29)*10,0)),""),""))</f>
        <v/>
      </c>
      <c r="K29" s="44" t="str">
        <f aca="false">IF(B29="","",IF(E29="Final","",IF(ISNUMBER(D29),D29+ROW()/100000,"")))</f>
        <v/>
      </c>
    </row>
  </sheetData>
  <mergeCells count="2">
    <mergeCell ref="A1:K1"/>
    <mergeCell ref="A2:K2"/>
  </mergeCells>
  <conditionalFormatting sqref="E5:E29">
    <cfRule type="cellIs" priority="2" operator="equal" aboveAverage="0" equalAverage="0" bottom="0" percent="0" rank="0" text="" dxfId="3">
      <formula>"Not started"</formula>
    </cfRule>
    <cfRule type="cellIs" priority="3" operator="equal" aboveAverage="0" equalAverage="0" bottom="0" percent="0" rank="0" text="" dxfId="1">
      <formula>"Outlining"</formula>
    </cfRule>
    <cfRule type="cellIs" priority="4" operator="equal" aboveAverage="0" equalAverage="0" bottom="0" percent="0" rank="0" text="" dxfId="4">
      <formula>"Drafting"</formula>
    </cfRule>
    <cfRule type="cellIs" priority="5" operator="equal" aboveAverage="0" equalAverage="0" bottom="0" percent="0" rank="0" text="" dxfId="5">
      <formula>"Revising"</formula>
    </cfRule>
    <cfRule type="cellIs" priority="6" operator="equal" aboveAverage="0" equalAverage="0" bottom="0" percent="0" rank="0" text="" dxfId="2">
      <formula>"Final"</formula>
    </cfRule>
  </conditionalFormatting>
  <conditionalFormatting sqref="I5:I29">
    <cfRule type="cellIs" priority="7" operator="lessThan" aboveAverage="0" equalAverage="0" bottom="0" percent="0" rank="0" text="" dxfId="0">
      <formula>8</formula>
    </cfRule>
    <cfRule type="cellIs" priority="8" operator="between" aboveAverage="0" equalAverage="0" bottom="0" percent="0" rank="0" text="" dxfId="1">
      <formula>8</formula>
      <formula>21</formula>
    </cfRule>
    <cfRule type="cellIs" priority="9" operator="between" aboveAverage="0" equalAverage="0" bottom="0" percent="0" rank="0" text="" dxfId="2">
      <formula>22</formula>
      <formula>99999</formula>
    </cfRule>
  </conditionalFormatting>
  <dataValidations count="1">
    <dataValidation allowBlank="true" errorStyle="stop" operator="between" showDropDown="false" showErrorMessage="false" showInputMessage="false" sqref="E5:E29" type="list">
      <formula1>Lists!$A$1:$A$5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24"/>
    <col collapsed="false" customWidth="true" hidden="false" outlineLevel="0" max="4" min="4" style="0" width="9"/>
    <col collapsed="false" customWidth="true" hidden="false" outlineLevel="0" max="5" min="5" style="0" width="12"/>
    <col collapsed="false" customWidth="true" hidden="false" outlineLevel="0" max="6" min="6" style="0" width="9"/>
    <col collapsed="false" customWidth="true" hidden="false" outlineLevel="0" max="7" min="7" style="0" width="40"/>
  </cols>
  <sheetData>
    <row r="1" customFormat="false" ht="25.5" hidden="false" customHeight="true" outlineLevel="0" collapsed="false">
      <c r="A1" s="7" t="s">
        <v>67</v>
      </c>
      <c r="B1" s="7"/>
      <c r="C1" s="7"/>
      <c r="D1" s="7"/>
      <c r="E1" s="7"/>
      <c r="F1" s="7"/>
      <c r="G1" s="7"/>
    </row>
    <row r="2" customFormat="false" ht="15" hidden="false" customHeight="false" outlineLevel="0" collapsed="false">
      <c r="A2" s="8" t="s">
        <v>68</v>
      </c>
      <c r="B2" s="8"/>
      <c r="C2" s="8"/>
      <c r="D2" s="8"/>
      <c r="E2" s="8"/>
      <c r="F2" s="8"/>
      <c r="G2" s="8"/>
    </row>
    <row r="4" customFormat="false" ht="30" hidden="false" customHeight="true" outlineLevel="0" collapsed="false">
      <c r="A4" s="31" t="s">
        <v>49</v>
      </c>
      <c r="B4" s="31" t="s">
        <v>69</v>
      </c>
      <c r="C4" s="31" t="s">
        <v>39</v>
      </c>
      <c r="D4" s="31" t="s">
        <v>70</v>
      </c>
      <c r="E4" s="31" t="s">
        <v>71</v>
      </c>
      <c r="F4" s="31" t="s">
        <v>72</v>
      </c>
      <c r="G4" s="31" t="s">
        <v>73</v>
      </c>
    </row>
    <row r="5" customFormat="false" ht="15" hidden="false" customHeight="false" outlineLevel="0" collapsed="false">
      <c r="A5" s="32" t="n">
        <f aca="false">IF(B5="","",ROW()-4)</f>
        <v>1</v>
      </c>
      <c r="B5" s="35" t="n">
        <f aca="true">TODAY()</f>
        <v>46236</v>
      </c>
      <c r="C5" s="33" t="s">
        <v>58</v>
      </c>
      <c r="D5" s="45" t="n">
        <v>90</v>
      </c>
      <c r="E5" s="34" t="n">
        <v>850</v>
      </c>
      <c r="F5" s="32" t="str">
        <f aca="false">IF(B5="","",IFERROR("W"&amp;TEXT(WEEKNUM(B5,21),"00"),""))</f>
        <v>W31</v>
      </c>
      <c r="G5" s="33" t="s">
        <v>74</v>
      </c>
    </row>
    <row r="6" customFormat="false" ht="15" hidden="false" customHeight="false" outlineLevel="0" collapsed="false">
      <c r="A6" s="32" t="n">
        <f aca="false">IF(B6="","",ROW()-4)</f>
        <v>2</v>
      </c>
      <c r="B6" s="43" t="n">
        <f aca="true">TODAY()-1</f>
        <v>46235</v>
      </c>
      <c r="C6" s="41" t="s">
        <v>58</v>
      </c>
      <c r="D6" s="46" t="n">
        <v>60</v>
      </c>
      <c r="E6" s="42" t="n">
        <v>700</v>
      </c>
      <c r="F6" s="32" t="str">
        <f aca="false">IF(B6="","",IFERROR("W"&amp;TEXT(WEEKNUM(B6,21),"00"),""))</f>
        <v>W31</v>
      </c>
      <c r="G6" s="41" t="s">
        <v>75</v>
      </c>
    </row>
    <row r="7" customFormat="false" ht="15" hidden="false" customHeight="false" outlineLevel="0" collapsed="false">
      <c r="A7" s="32" t="n">
        <f aca="false">IF(B7="","",ROW()-4)</f>
        <v>3</v>
      </c>
      <c r="B7" s="35" t="n">
        <f aca="true">TODAY()-2</f>
        <v>46234</v>
      </c>
      <c r="C7" s="33" t="s">
        <v>60</v>
      </c>
      <c r="D7" s="45" t="n">
        <v>120</v>
      </c>
      <c r="E7" s="34" t="n">
        <v>1100</v>
      </c>
      <c r="F7" s="32" t="str">
        <f aca="false">IF(B7="","",IFERROR("W"&amp;TEXT(WEEKNUM(B7,21),"00"),""))</f>
        <v>W31</v>
      </c>
      <c r="G7" s="33" t="s">
        <v>76</v>
      </c>
    </row>
    <row r="8" customFormat="false" ht="15" hidden="false" customHeight="false" outlineLevel="0" collapsed="false">
      <c r="A8" s="32" t="n">
        <f aca="false">IF(B8="","",ROW()-4)</f>
        <v>4</v>
      </c>
      <c r="B8" s="43" t="n">
        <f aca="true">TODAY()-3</f>
        <v>46233</v>
      </c>
      <c r="C8" s="41" t="s">
        <v>62</v>
      </c>
      <c r="D8" s="46" t="n">
        <v>45</v>
      </c>
      <c r="E8" s="42" t="n">
        <v>400</v>
      </c>
      <c r="F8" s="32" t="str">
        <f aca="false">IF(B8="","",IFERROR("W"&amp;TEXT(WEEKNUM(B8,21),"00"),""))</f>
        <v>W31</v>
      </c>
      <c r="G8" s="41" t="s">
        <v>77</v>
      </c>
    </row>
    <row r="9" customFormat="false" ht="15" hidden="false" customHeight="false" outlineLevel="0" collapsed="false">
      <c r="A9" s="32" t="n">
        <f aca="false">IF(B9="","",ROW()-4)</f>
        <v>5</v>
      </c>
      <c r="B9" s="35" t="n">
        <f aca="true">TODAY()-4</f>
        <v>46232</v>
      </c>
      <c r="C9" s="33" t="s">
        <v>60</v>
      </c>
      <c r="D9" s="45" t="n">
        <v>90</v>
      </c>
      <c r="E9" s="34" t="n">
        <v>950</v>
      </c>
      <c r="F9" s="32" t="str">
        <f aca="false">IF(B9="","",IFERROR("W"&amp;TEXT(WEEKNUM(B9,21),"00"),""))</f>
        <v>W31</v>
      </c>
      <c r="G9" s="33"/>
    </row>
    <row r="10" customFormat="false" ht="15" hidden="false" customHeight="false" outlineLevel="0" collapsed="false">
      <c r="A10" s="32" t="n">
        <f aca="false">IF(B10="","",ROW()-4)</f>
        <v>6</v>
      </c>
      <c r="B10" s="43" t="n">
        <f aca="true">TODAY()-6</f>
        <v>46230</v>
      </c>
      <c r="C10" s="41" t="s">
        <v>62</v>
      </c>
      <c r="D10" s="46" t="n">
        <v>60</v>
      </c>
      <c r="E10" s="42" t="n">
        <v>620</v>
      </c>
      <c r="F10" s="32" t="str">
        <f aca="false">IF(B10="","",IFERROR("W"&amp;TEXT(WEEKNUM(B10,21),"00"),""))</f>
        <v>W31</v>
      </c>
      <c r="G10" s="41"/>
    </row>
    <row r="11" customFormat="false" ht="15" hidden="false" customHeight="false" outlineLevel="0" collapsed="false">
      <c r="A11" s="32" t="n">
        <f aca="false">IF(B11="","",ROW()-4)</f>
        <v>7</v>
      </c>
      <c r="B11" s="35" t="n">
        <f aca="true">TODAY()-7</f>
        <v>46229</v>
      </c>
      <c r="C11" s="33" t="s">
        <v>58</v>
      </c>
      <c r="D11" s="45" t="n">
        <v>75</v>
      </c>
      <c r="E11" s="34" t="n">
        <v>800</v>
      </c>
      <c r="F11" s="32" t="str">
        <f aca="false">IF(B11="","",IFERROR("W"&amp;TEXT(WEEKNUM(B11,21),"00"),""))</f>
        <v>W30</v>
      </c>
      <c r="G11" s="33"/>
    </row>
    <row r="12" customFormat="false" ht="15" hidden="false" customHeight="false" outlineLevel="0" collapsed="false">
      <c r="A12" s="32" t="n">
        <f aca="false">IF(B12="","",ROW()-4)</f>
        <v>8</v>
      </c>
      <c r="B12" s="43" t="n">
        <f aca="true">TODAY()-8</f>
        <v>46228</v>
      </c>
      <c r="C12" s="41" t="s">
        <v>60</v>
      </c>
      <c r="D12" s="46" t="n">
        <v>100</v>
      </c>
      <c r="E12" s="42" t="n">
        <v>1000</v>
      </c>
      <c r="F12" s="32" t="str">
        <f aca="false">IF(B12="","",IFERROR("W"&amp;TEXT(WEEKNUM(B12,21),"00"),""))</f>
        <v>W30</v>
      </c>
      <c r="G12" s="41"/>
    </row>
    <row r="13" customFormat="false" ht="15" hidden="false" customHeight="false" outlineLevel="0" collapsed="false">
      <c r="A13" s="32" t="n">
        <f aca="false">IF(B13="","",ROW()-4)</f>
        <v>9</v>
      </c>
      <c r="B13" s="35" t="n">
        <f aca="true">TODAY()-9</f>
        <v>46227</v>
      </c>
      <c r="C13" s="33" t="s">
        <v>62</v>
      </c>
      <c r="D13" s="45" t="n">
        <v>30</v>
      </c>
      <c r="E13" s="34" t="n">
        <v>350</v>
      </c>
      <c r="F13" s="32" t="str">
        <f aca="false">IF(B13="","",IFERROR("W"&amp;TEXT(WEEKNUM(B13,21),"00"),""))</f>
        <v>W30</v>
      </c>
      <c r="G13" s="33" t="s">
        <v>78</v>
      </c>
    </row>
    <row r="14" customFormat="false" ht="15" hidden="false" customHeight="false" outlineLevel="0" collapsed="false">
      <c r="A14" s="32" t="n">
        <f aca="false">IF(B14="","",ROW()-4)</f>
        <v>10</v>
      </c>
      <c r="B14" s="43" t="n">
        <f aca="true">TODAY()-11</f>
        <v>46225</v>
      </c>
      <c r="C14" s="41" t="s">
        <v>60</v>
      </c>
      <c r="D14" s="46" t="n">
        <v>80</v>
      </c>
      <c r="E14" s="42" t="n">
        <v>780</v>
      </c>
      <c r="F14" s="32" t="str">
        <f aca="false">IF(B14="","",IFERROR("W"&amp;TEXT(WEEKNUM(B14,21),"00"),""))</f>
        <v>W30</v>
      </c>
      <c r="G14" s="41"/>
    </row>
    <row r="15" customFormat="false" ht="15" hidden="false" customHeight="false" outlineLevel="0" collapsed="false">
      <c r="A15" s="32" t="n">
        <f aca="false">IF(B15="","",ROW()-4)</f>
        <v>11</v>
      </c>
      <c r="B15" s="35" t="n">
        <f aca="true">TODAY()-12</f>
        <v>46224</v>
      </c>
      <c r="C15" s="33" t="s">
        <v>58</v>
      </c>
      <c r="D15" s="45" t="n">
        <v>60</v>
      </c>
      <c r="E15" s="34" t="n">
        <v>640</v>
      </c>
      <c r="F15" s="32" t="str">
        <f aca="false">IF(B15="","",IFERROR("W"&amp;TEXT(WEEKNUM(B15,21),"00"),""))</f>
        <v>W30</v>
      </c>
      <c r="G15" s="33"/>
    </row>
    <row r="16" customFormat="false" ht="15" hidden="false" customHeight="false" outlineLevel="0" collapsed="false">
      <c r="A16" s="32" t="n">
        <f aca="false">IF(B16="","",ROW()-4)</f>
        <v>12</v>
      </c>
      <c r="B16" s="43" t="n">
        <f aca="true">TODAY()-13</f>
        <v>46223</v>
      </c>
      <c r="C16" s="41" t="s">
        <v>62</v>
      </c>
      <c r="D16" s="46" t="n">
        <v>90</v>
      </c>
      <c r="E16" s="42" t="n">
        <v>880</v>
      </c>
      <c r="F16" s="32" t="str">
        <f aca="false">IF(B16="","",IFERROR("W"&amp;TEXT(WEEKNUM(B16,21),"00"),""))</f>
        <v>W30</v>
      </c>
      <c r="G16" s="41"/>
    </row>
    <row r="17" customFormat="false" ht="15" hidden="false" customHeight="false" outlineLevel="0" collapsed="false">
      <c r="A17" s="32" t="n">
        <f aca="false">IF(B17="","",ROW()-4)</f>
        <v>13</v>
      </c>
      <c r="B17" s="35" t="n">
        <f aca="true">TODAY()-14</f>
        <v>46222</v>
      </c>
      <c r="C17" s="33" t="s">
        <v>60</v>
      </c>
      <c r="D17" s="45" t="n">
        <v>110</v>
      </c>
      <c r="E17" s="34" t="n">
        <v>1150</v>
      </c>
      <c r="F17" s="32" t="str">
        <f aca="false">IF(B17="","",IFERROR("W"&amp;TEXT(WEEKNUM(B17,21),"00"),""))</f>
        <v>W29</v>
      </c>
      <c r="G17" s="33" t="s">
        <v>79</v>
      </c>
    </row>
    <row r="18" customFormat="false" ht="15" hidden="false" customHeight="false" outlineLevel="0" collapsed="false">
      <c r="A18" s="32" t="n">
        <f aca="false">IF(B18="","",ROW()-4)</f>
        <v>14</v>
      </c>
      <c r="B18" s="43" t="n">
        <f aca="true">TODAY()-16</f>
        <v>46220</v>
      </c>
      <c r="C18" s="41" t="s">
        <v>58</v>
      </c>
      <c r="D18" s="46" t="n">
        <v>45</v>
      </c>
      <c r="E18" s="42" t="n">
        <v>500</v>
      </c>
      <c r="F18" s="32" t="str">
        <f aca="false">IF(B18="","",IFERROR("W"&amp;TEXT(WEEKNUM(B18,21),"00"),""))</f>
        <v>W29</v>
      </c>
      <c r="G18" s="41"/>
    </row>
    <row r="19" customFormat="false" ht="15" hidden="false" customHeight="false" outlineLevel="0" collapsed="false">
      <c r="A19" s="32" t="str">
        <f aca="false">IF(B19="","",ROW()-4)</f>
        <v/>
      </c>
      <c r="B19" s="35"/>
      <c r="C19" s="33"/>
      <c r="D19" s="45"/>
      <c r="E19" s="34"/>
      <c r="F19" s="32" t="str">
        <f aca="false">IF(B19="","",IFERROR("W"&amp;TEXT(WEEKNUM(B19,21),"00"),""))</f>
        <v/>
      </c>
      <c r="G19" s="33"/>
    </row>
    <row r="20" customFormat="false" ht="15" hidden="false" customHeight="false" outlineLevel="0" collapsed="false">
      <c r="A20" s="32" t="str">
        <f aca="false">IF(B20="","",ROW()-4)</f>
        <v/>
      </c>
      <c r="B20" s="43"/>
      <c r="C20" s="41"/>
      <c r="D20" s="46"/>
      <c r="E20" s="42"/>
      <c r="F20" s="32" t="str">
        <f aca="false">IF(B20="","",IFERROR("W"&amp;TEXT(WEEKNUM(B20,21),"00"),""))</f>
        <v/>
      </c>
      <c r="G20" s="41"/>
    </row>
    <row r="21" customFormat="false" ht="15" hidden="false" customHeight="false" outlineLevel="0" collapsed="false">
      <c r="A21" s="32" t="str">
        <f aca="false">IF(B21="","",ROW()-4)</f>
        <v/>
      </c>
      <c r="B21" s="35"/>
      <c r="C21" s="33"/>
      <c r="D21" s="45"/>
      <c r="E21" s="34"/>
      <c r="F21" s="32" t="str">
        <f aca="false">IF(B21="","",IFERROR("W"&amp;TEXT(WEEKNUM(B21,21),"00"),""))</f>
        <v/>
      </c>
      <c r="G21" s="33"/>
    </row>
    <row r="22" customFormat="false" ht="15" hidden="false" customHeight="false" outlineLevel="0" collapsed="false">
      <c r="A22" s="32" t="str">
        <f aca="false">IF(B22="","",ROW()-4)</f>
        <v/>
      </c>
      <c r="B22" s="43"/>
      <c r="C22" s="41"/>
      <c r="D22" s="46"/>
      <c r="E22" s="42"/>
      <c r="F22" s="32" t="str">
        <f aca="false">IF(B22="","",IFERROR("W"&amp;TEXT(WEEKNUM(B22,21),"00"),""))</f>
        <v/>
      </c>
      <c r="G22" s="41"/>
    </row>
    <row r="23" customFormat="false" ht="15" hidden="false" customHeight="false" outlineLevel="0" collapsed="false">
      <c r="A23" s="32" t="str">
        <f aca="false">IF(B23="","",ROW()-4)</f>
        <v/>
      </c>
      <c r="B23" s="35"/>
      <c r="C23" s="33"/>
      <c r="D23" s="45"/>
      <c r="E23" s="34"/>
      <c r="F23" s="32" t="str">
        <f aca="false">IF(B23="","",IFERROR("W"&amp;TEXT(WEEKNUM(B23,21),"00"),""))</f>
        <v/>
      </c>
      <c r="G23" s="33"/>
    </row>
    <row r="24" customFormat="false" ht="15" hidden="false" customHeight="false" outlineLevel="0" collapsed="false">
      <c r="A24" s="32" t="str">
        <f aca="false">IF(B24="","",ROW()-4)</f>
        <v/>
      </c>
      <c r="B24" s="43"/>
      <c r="C24" s="41"/>
      <c r="D24" s="46"/>
      <c r="E24" s="42"/>
      <c r="F24" s="32" t="str">
        <f aca="false">IF(B24="","",IFERROR("W"&amp;TEXT(WEEKNUM(B24,21),"00"),""))</f>
        <v/>
      </c>
      <c r="G24" s="41"/>
    </row>
    <row r="25" customFormat="false" ht="15" hidden="false" customHeight="false" outlineLevel="0" collapsed="false">
      <c r="A25" s="32" t="str">
        <f aca="false">IF(B25="","",ROW()-4)</f>
        <v/>
      </c>
      <c r="B25" s="35"/>
      <c r="C25" s="33"/>
      <c r="D25" s="45"/>
      <c r="E25" s="34"/>
      <c r="F25" s="32" t="str">
        <f aca="false">IF(B25="","",IFERROR("W"&amp;TEXT(WEEKNUM(B25,21),"00"),""))</f>
        <v/>
      </c>
      <c r="G25" s="33"/>
    </row>
    <row r="26" customFormat="false" ht="15" hidden="false" customHeight="false" outlineLevel="0" collapsed="false">
      <c r="A26" s="32" t="str">
        <f aca="false">IF(B26="","",ROW()-4)</f>
        <v/>
      </c>
      <c r="B26" s="43"/>
      <c r="C26" s="41"/>
      <c r="D26" s="46"/>
      <c r="E26" s="42"/>
      <c r="F26" s="32" t="str">
        <f aca="false">IF(B26="","",IFERROR("W"&amp;TEXT(WEEKNUM(B26,21),"00"),""))</f>
        <v/>
      </c>
      <c r="G26" s="41"/>
    </row>
    <row r="27" customFormat="false" ht="15" hidden="false" customHeight="false" outlineLevel="0" collapsed="false">
      <c r="A27" s="32" t="str">
        <f aca="false">IF(B27="","",ROW()-4)</f>
        <v/>
      </c>
      <c r="B27" s="35"/>
      <c r="C27" s="33"/>
      <c r="D27" s="45"/>
      <c r="E27" s="34"/>
      <c r="F27" s="32" t="str">
        <f aca="false">IF(B27="","",IFERROR("W"&amp;TEXT(WEEKNUM(B27,21),"00"),""))</f>
        <v/>
      </c>
      <c r="G27" s="33"/>
    </row>
    <row r="28" customFormat="false" ht="15" hidden="false" customHeight="false" outlineLevel="0" collapsed="false">
      <c r="A28" s="32" t="str">
        <f aca="false">IF(B28="","",ROW()-4)</f>
        <v/>
      </c>
      <c r="B28" s="43"/>
      <c r="C28" s="41"/>
      <c r="D28" s="46"/>
      <c r="E28" s="42"/>
      <c r="F28" s="32" t="str">
        <f aca="false">IF(B28="","",IFERROR("W"&amp;TEXT(WEEKNUM(B28,21),"00"),""))</f>
        <v/>
      </c>
      <c r="G28" s="41"/>
    </row>
    <row r="29" customFormat="false" ht="15" hidden="false" customHeight="false" outlineLevel="0" collapsed="false">
      <c r="A29" s="32" t="str">
        <f aca="false">IF(B29="","",ROW()-4)</f>
        <v/>
      </c>
      <c r="B29" s="35"/>
      <c r="C29" s="33"/>
      <c r="D29" s="45"/>
      <c r="E29" s="34"/>
      <c r="F29" s="32" t="str">
        <f aca="false">IF(B29="","",IFERROR("W"&amp;TEXT(WEEKNUM(B29,21),"00"),""))</f>
        <v/>
      </c>
      <c r="G29" s="33"/>
    </row>
    <row r="30" customFormat="false" ht="15" hidden="false" customHeight="false" outlineLevel="0" collapsed="false">
      <c r="A30" s="32" t="str">
        <f aca="false">IF(B30="","",ROW()-4)</f>
        <v/>
      </c>
      <c r="B30" s="43"/>
      <c r="C30" s="41"/>
      <c r="D30" s="46"/>
      <c r="E30" s="42"/>
      <c r="F30" s="32" t="str">
        <f aca="false">IF(B30="","",IFERROR("W"&amp;TEXT(WEEKNUM(B30,21),"00"),""))</f>
        <v/>
      </c>
      <c r="G30" s="41"/>
    </row>
    <row r="31" customFormat="false" ht="15" hidden="false" customHeight="false" outlineLevel="0" collapsed="false">
      <c r="A31" s="32" t="str">
        <f aca="false">IF(B31="","",ROW()-4)</f>
        <v/>
      </c>
      <c r="B31" s="35"/>
      <c r="C31" s="33"/>
      <c r="D31" s="45"/>
      <c r="E31" s="34"/>
      <c r="F31" s="32" t="str">
        <f aca="false">IF(B31="","",IFERROR("W"&amp;TEXT(WEEKNUM(B31,21),"00"),""))</f>
        <v/>
      </c>
      <c r="G31" s="33"/>
    </row>
    <row r="32" customFormat="false" ht="15" hidden="false" customHeight="false" outlineLevel="0" collapsed="false">
      <c r="A32" s="32" t="str">
        <f aca="false">IF(B32="","",ROW()-4)</f>
        <v/>
      </c>
      <c r="B32" s="43"/>
      <c r="C32" s="41"/>
      <c r="D32" s="46"/>
      <c r="E32" s="42"/>
      <c r="F32" s="32" t="str">
        <f aca="false">IF(B32="","",IFERROR("W"&amp;TEXT(WEEKNUM(B32,21),"00"),""))</f>
        <v/>
      </c>
      <c r="G32" s="41"/>
    </row>
    <row r="33" customFormat="false" ht="15" hidden="false" customHeight="false" outlineLevel="0" collapsed="false">
      <c r="A33" s="32" t="str">
        <f aca="false">IF(B33="","",ROW()-4)</f>
        <v/>
      </c>
      <c r="B33" s="35"/>
      <c r="C33" s="33"/>
      <c r="D33" s="45"/>
      <c r="E33" s="34"/>
      <c r="F33" s="32" t="str">
        <f aca="false">IF(B33="","",IFERROR("W"&amp;TEXT(WEEKNUM(B33,21),"00"),""))</f>
        <v/>
      </c>
      <c r="G33" s="33"/>
    </row>
    <row r="34" customFormat="false" ht="15" hidden="false" customHeight="false" outlineLevel="0" collapsed="false">
      <c r="A34" s="32" t="str">
        <f aca="false">IF(B34="","",ROW()-4)</f>
        <v/>
      </c>
      <c r="B34" s="43"/>
      <c r="C34" s="41"/>
      <c r="D34" s="46"/>
      <c r="E34" s="42"/>
      <c r="F34" s="32" t="str">
        <f aca="false">IF(B34="","",IFERROR("W"&amp;TEXT(WEEKNUM(B34,21),"00"),""))</f>
        <v/>
      </c>
      <c r="G34" s="41"/>
    </row>
    <row r="35" customFormat="false" ht="15" hidden="false" customHeight="false" outlineLevel="0" collapsed="false">
      <c r="A35" s="32" t="str">
        <f aca="false">IF(B35="","",ROW()-4)</f>
        <v/>
      </c>
      <c r="B35" s="35"/>
      <c r="C35" s="33"/>
      <c r="D35" s="45"/>
      <c r="E35" s="34"/>
      <c r="F35" s="32" t="str">
        <f aca="false">IF(B35="","",IFERROR("W"&amp;TEXT(WEEKNUM(B35,21),"00"),""))</f>
        <v/>
      </c>
      <c r="G35" s="33"/>
    </row>
    <row r="36" customFormat="false" ht="15" hidden="false" customHeight="false" outlineLevel="0" collapsed="false">
      <c r="A36" s="32" t="str">
        <f aca="false">IF(B36="","",ROW()-4)</f>
        <v/>
      </c>
      <c r="B36" s="43"/>
      <c r="C36" s="41"/>
      <c r="D36" s="46"/>
      <c r="E36" s="42"/>
      <c r="F36" s="32" t="str">
        <f aca="false">IF(B36="","",IFERROR("W"&amp;TEXT(WEEKNUM(B36,21),"00"),""))</f>
        <v/>
      </c>
      <c r="G36" s="41"/>
    </row>
    <row r="37" customFormat="false" ht="15" hidden="false" customHeight="false" outlineLevel="0" collapsed="false">
      <c r="A37" s="32" t="str">
        <f aca="false">IF(B37="","",ROW()-4)</f>
        <v/>
      </c>
      <c r="B37" s="35"/>
      <c r="C37" s="33"/>
      <c r="D37" s="45"/>
      <c r="E37" s="34"/>
      <c r="F37" s="32" t="str">
        <f aca="false">IF(B37="","",IFERROR("W"&amp;TEXT(WEEKNUM(B37,21),"00"),""))</f>
        <v/>
      </c>
      <c r="G37" s="33"/>
    </row>
    <row r="38" customFormat="false" ht="15" hidden="false" customHeight="false" outlineLevel="0" collapsed="false">
      <c r="A38" s="32" t="str">
        <f aca="false">IF(B38="","",ROW()-4)</f>
        <v/>
      </c>
      <c r="B38" s="43"/>
      <c r="C38" s="41"/>
      <c r="D38" s="46"/>
      <c r="E38" s="42"/>
      <c r="F38" s="32" t="str">
        <f aca="false">IF(B38="","",IFERROR("W"&amp;TEXT(WEEKNUM(B38,21),"00"),""))</f>
        <v/>
      </c>
      <c r="G38" s="41"/>
    </row>
    <row r="39" customFormat="false" ht="15" hidden="false" customHeight="false" outlineLevel="0" collapsed="false">
      <c r="A39" s="32" t="str">
        <f aca="false">IF(B39="","",ROW()-4)</f>
        <v/>
      </c>
      <c r="B39" s="35"/>
      <c r="C39" s="33"/>
      <c r="D39" s="45"/>
      <c r="E39" s="34"/>
      <c r="F39" s="32" t="str">
        <f aca="false">IF(B39="","",IFERROR("W"&amp;TEXT(WEEKNUM(B39,21),"00"),""))</f>
        <v/>
      </c>
      <c r="G39" s="33"/>
    </row>
    <row r="40" customFormat="false" ht="15" hidden="false" customHeight="false" outlineLevel="0" collapsed="false">
      <c r="A40" s="32" t="str">
        <f aca="false">IF(B40="","",ROW()-4)</f>
        <v/>
      </c>
      <c r="B40" s="43"/>
      <c r="C40" s="41"/>
      <c r="D40" s="46"/>
      <c r="E40" s="42"/>
      <c r="F40" s="32" t="str">
        <f aca="false">IF(B40="","",IFERROR("W"&amp;TEXT(WEEKNUM(B40,21),"00"),""))</f>
        <v/>
      </c>
      <c r="G40" s="41"/>
    </row>
    <row r="41" customFormat="false" ht="15" hidden="false" customHeight="false" outlineLevel="0" collapsed="false">
      <c r="A41" s="32" t="str">
        <f aca="false">IF(B41="","",ROW()-4)</f>
        <v/>
      </c>
      <c r="B41" s="35"/>
      <c r="C41" s="33"/>
      <c r="D41" s="45"/>
      <c r="E41" s="34"/>
      <c r="F41" s="32" t="str">
        <f aca="false">IF(B41="","",IFERROR("W"&amp;TEXT(WEEKNUM(B41,21),"00"),""))</f>
        <v/>
      </c>
      <c r="G41" s="33"/>
    </row>
    <row r="42" customFormat="false" ht="15" hidden="false" customHeight="false" outlineLevel="0" collapsed="false">
      <c r="A42" s="32" t="str">
        <f aca="false">IF(B42="","",ROW()-4)</f>
        <v/>
      </c>
      <c r="B42" s="43"/>
      <c r="C42" s="41"/>
      <c r="D42" s="46"/>
      <c r="E42" s="42"/>
      <c r="F42" s="32" t="str">
        <f aca="false">IF(B42="","",IFERROR("W"&amp;TEXT(WEEKNUM(B42,21),"00"),""))</f>
        <v/>
      </c>
      <c r="G42" s="41"/>
    </row>
    <row r="43" customFormat="false" ht="15" hidden="false" customHeight="false" outlineLevel="0" collapsed="false">
      <c r="A43" s="32" t="str">
        <f aca="false">IF(B43="","",ROW()-4)</f>
        <v/>
      </c>
      <c r="B43" s="35"/>
      <c r="C43" s="33"/>
      <c r="D43" s="45"/>
      <c r="E43" s="34"/>
      <c r="F43" s="32" t="str">
        <f aca="false">IF(B43="","",IFERROR("W"&amp;TEXT(WEEKNUM(B43,21),"00"),""))</f>
        <v/>
      </c>
      <c r="G43" s="33"/>
    </row>
    <row r="44" customFormat="false" ht="15" hidden="false" customHeight="false" outlineLevel="0" collapsed="false">
      <c r="A44" s="32" t="str">
        <f aca="false">IF(B44="","",ROW()-4)</f>
        <v/>
      </c>
      <c r="B44" s="43"/>
      <c r="C44" s="41"/>
      <c r="D44" s="46"/>
      <c r="E44" s="42"/>
      <c r="F44" s="32" t="str">
        <f aca="false">IF(B44="","",IFERROR("W"&amp;TEXT(WEEKNUM(B44,21),"00"),""))</f>
        <v/>
      </c>
      <c r="G44" s="41"/>
    </row>
    <row r="45" customFormat="false" ht="15" hidden="false" customHeight="false" outlineLevel="0" collapsed="false">
      <c r="A45" s="32" t="str">
        <f aca="false">IF(B45="","",ROW()-4)</f>
        <v/>
      </c>
      <c r="B45" s="35"/>
      <c r="C45" s="33"/>
      <c r="D45" s="45"/>
      <c r="E45" s="34"/>
      <c r="F45" s="32" t="str">
        <f aca="false">IF(B45="","",IFERROR("W"&amp;TEXT(WEEKNUM(B45,21),"00"),""))</f>
        <v/>
      </c>
      <c r="G45" s="33"/>
    </row>
    <row r="46" customFormat="false" ht="15" hidden="false" customHeight="false" outlineLevel="0" collapsed="false">
      <c r="A46" s="32" t="str">
        <f aca="false">IF(B46="","",ROW()-4)</f>
        <v/>
      </c>
      <c r="B46" s="43"/>
      <c r="C46" s="41"/>
      <c r="D46" s="46"/>
      <c r="E46" s="42"/>
      <c r="F46" s="32" t="str">
        <f aca="false">IF(B46="","",IFERROR("W"&amp;TEXT(WEEKNUM(B46,21),"00"),""))</f>
        <v/>
      </c>
      <c r="G46" s="41"/>
    </row>
    <row r="47" customFormat="false" ht="15" hidden="false" customHeight="false" outlineLevel="0" collapsed="false">
      <c r="A47" s="32" t="str">
        <f aca="false">IF(B47="","",ROW()-4)</f>
        <v/>
      </c>
      <c r="B47" s="35"/>
      <c r="C47" s="33"/>
      <c r="D47" s="45"/>
      <c r="E47" s="34"/>
      <c r="F47" s="32" t="str">
        <f aca="false">IF(B47="","",IFERROR("W"&amp;TEXT(WEEKNUM(B47,21),"00"),""))</f>
        <v/>
      </c>
      <c r="G47" s="33"/>
    </row>
    <row r="48" customFormat="false" ht="15" hidden="false" customHeight="false" outlineLevel="0" collapsed="false">
      <c r="A48" s="32" t="str">
        <f aca="false">IF(B48="","",ROW()-4)</f>
        <v/>
      </c>
      <c r="B48" s="43"/>
      <c r="C48" s="41"/>
      <c r="D48" s="46"/>
      <c r="E48" s="42"/>
      <c r="F48" s="32" t="str">
        <f aca="false">IF(B48="","",IFERROR("W"&amp;TEXT(WEEKNUM(B48,21),"00"),""))</f>
        <v/>
      </c>
      <c r="G48" s="41"/>
    </row>
    <row r="49" customFormat="false" ht="15" hidden="false" customHeight="false" outlineLevel="0" collapsed="false">
      <c r="A49" s="32" t="str">
        <f aca="false">IF(B49="","",ROW()-4)</f>
        <v/>
      </c>
      <c r="B49" s="35"/>
      <c r="C49" s="33"/>
      <c r="D49" s="45"/>
      <c r="E49" s="34"/>
      <c r="F49" s="32" t="str">
        <f aca="false">IF(B49="","",IFERROR("W"&amp;TEXT(WEEKNUM(B49,21),"00"),""))</f>
        <v/>
      </c>
      <c r="G49" s="33"/>
    </row>
    <row r="50" customFormat="false" ht="15" hidden="false" customHeight="false" outlineLevel="0" collapsed="false">
      <c r="A50" s="32" t="str">
        <f aca="false">IF(B50="","",ROW()-4)</f>
        <v/>
      </c>
      <c r="B50" s="43"/>
      <c r="C50" s="41"/>
      <c r="D50" s="46"/>
      <c r="E50" s="42"/>
      <c r="F50" s="32" t="str">
        <f aca="false">IF(B50="","",IFERROR("W"&amp;TEXT(WEEKNUM(B50,21),"00"),""))</f>
        <v/>
      </c>
      <c r="G50" s="41"/>
    </row>
    <row r="51" customFormat="false" ht="15" hidden="false" customHeight="false" outlineLevel="0" collapsed="false">
      <c r="A51" s="32" t="str">
        <f aca="false">IF(B51="","",ROW()-4)</f>
        <v/>
      </c>
      <c r="B51" s="35"/>
      <c r="C51" s="33"/>
      <c r="D51" s="45"/>
      <c r="E51" s="34"/>
      <c r="F51" s="32" t="str">
        <f aca="false">IF(B51="","",IFERROR("W"&amp;TEXT(WEEKNUM(B51,21),"00"),""))</f>
        <v/>
      </c>
      <c r="G51" s="33"/>
    </row>
    <row r="52" customFormat="false" ht="15" hidden="false" customHeight="false" outlineLevel="0" collapsed="false">
      <c r="A52" s="32" t="str">
        <f aca="false">IF(B52="","",ROW()-4)</f>
        <v/>
      </c>
      <c r="B52" s="43"/>
      <c r="C52" s="41"/>
      <c r="D52" s="46"/>
      <c r="E52" s="42"/>
      <c r="F52" s="32" t="str">
        <f aca="false">IF(B52="","",IFERROR("W"&amp;TEXT(WEEKNUM(B52,21),"00"),""))</f>
        <v/>
      </c>
      <c r="G52" s="41"/>
    </row>
    <row r="53" customFormat="false" ht="15" hidden="false" customHeight="false" outlineLevel="0" collapsed="false">
      <c r="A53" s="32" t="str">
        <f aca="false">IF(B53="","",ROW()-4)</f>
        <v/>
      </c>
      <c r="B53" s="35"/>
      <c r="C53" s="33"/>
      <c r="D53" s="45"/>
      <c r="E53" s="34"/>
      <c r="F53" s="32" t="str">
        <f aca="false">IF(B53="","",IFERROR("W"&amp;TEXT(WEEKNUM(B53,21),"00"),""))</f>
        <v/>
      </c>
      <c r="G53" s="33"/>
    </row>
    <row r="54" customFormat="false" ht="15" hidden="false" customHeight="false" outlineLevel="0" collapsed="false">
      <c r="A54" s="32" t="str">
        <f aca="false">IF(B54="","",ROW()-4)</f>
        <v/>
      </c>
      <c r="B54" s="43"/>
      <c r="C54" s="41"/>
      <c r="D54" s="46"/>
      <c r="E54" s="42"/>
      <c r="F54" s="32" t="str">
        <f aca="false">IF(B54="","",IFERROR("W"&amp;TEXT(WEEKNUM(B54,21),"00"),""))</f>
        <v/>
      </c>
      <c r="G54" s="41"/>
    </row>
    <row r="55" customFormat="false" ht="15" hidden="false" customHeight="false" outlineLevel="0" collapsed="false">
      <c r="A55" s="32" t="str">
        <f aca="false">IF(B55="","",ROW()-4)</f>
        <v/>
      </c>
      <c r="B55" s="35"/>
      <c r="C55" s="33"/>
      <c r="D55" s="45"/>
      <c r="E55" s="34"/>
      <c r="F55" s="32" t="str">
        <f aca="false">IF(B55="","",IFERROR("W"&amp;TEXT(WEEKNUM(B55,21),"00"),""))</f>
        <v/>
      </c>
      <c r="G55" s="33"/>
    </row>
    <row r="56" customFormat="false" ht="15" hidden="false" customHeight="false" outlineLevel="0" collapsed="false">
      <c r="A56" s="32" t="str">
        <f aca="false">IF(B56="","",ROW()-4)</f>
        <v/>
      </c>
      <c r="B56" s="43"/>
      <c r="C56" s="41"/>
      <c r="D56" s="46"/>
      <c r="E56" s="42"/>
      <c r="F56" s="32" t="str">
        <f aca="false">IF(B56="","",IFERROR("W"&amp;TEXT(WEEKNUM(B56,21),"00"),""))</f>
        <v/>
      </c>
      <c r="G56" s="41"/>
    </row>
    <row r="57" customFormat="false" ht="15" hidden="false" customHeight="false" outlineLevel="0" collapsed="false">
      <c r="A57" s="32" t="str">
        <f aca="false">IF(B57="","",ROW()-4)</f>
        <v/>
      </c>
      <c r="B57" s="35"/>
      <c r="C57" s="33"/>
      <c r="D57" s="45"/>
      <c r="E57" s="34"/>
      <c r="F57" s="32" t="str">
        <f aca="false">IF(B57="","",IFERROR("W"&amp;TEXT(WEEKNUM(B57,21),"00"),""))</f>
        <v/>
      </c>
      <c r="G57" s="33"/>
    </row>
    <row r="58" customFormat="false" ht="15" hidden="false" customHeight="false" outlineLevel="0" collapsed="false">
      <c r="A58" s="32" t="str">
        <f aca="false">IF(B58="","",ROW()-4)</f>
        <v/>
      </c>
      <c r="B58" s="43"/>
      <c r="C58" s="41"/>
      <c r="D58" s="46"/>
      <c r="E58" s="42"/>
      <c r="F58" s="32" t="str">
        <f aca="false">IF(B58="","",IFERROR("W"&amp;TEXT(WEEKNUM(B58,21),"00"),""))</f>
        <v/>
      </c>
      <c r="G58" s="41"/>
    </row>
    <row r="59" customFormat="false" ht="15" hidden="false" customHeight="false" outlineLevel="0" collapsed="false">
      <c r="A59" s="32" t="str">
        <f aca="false">IF(B59="","",ROW()-4)</f>
        <v/>
      </c>
      <c r="B59" s="35"/>
      <c r="C59" s="33"/>
      <c r="D59" s="45"/>
      <c r="E59" s="34"/>
      <c r="F59" s="32" t="str">
        <f aca="false">IF(B59="","",IFERROR("W"&amp;TEXT(WEEKNUM(B59,21),"00"),""))</f>
        <v/>
      </c>
      <c r="G59" s="33"/>
    </row>
    <row r="60" customFormat="false" ht="15" hidden="false" customHeight="false" outlineLevel="0" collapsed="false">
      <c r="A60" s="32" t="str">
        <f aca="false">IF(B60="","",ROW()-4)</f>
        <v/>
      </c>
      <c r="B60" s="43"/>
      <c r="C60" s="41"/>
      <c r="D60" s="46"/>
      <c r="E60" s="42"/>
      <c r="F60" s="32" t="str">
        <f aca="false">IF(B60="","",IFERROR("W"&amp;TEXT(WEEKNUM(B60,21),"00"),""))</f>
        <v/>
      </c>
      <c r="G60" s="41"/>
    </row>
    <row r="61" customFormat="false" ht="15" hidden="false" customHeight="false" outlineLevel="0" collapsed="false">
      <c r="A61" s="32" t="str">
        <f aca="false">IF(B61="","",ROW()-4)</f>
        <v/>
      </c>
      <c r="B61" s="35"/>
      <c r="C61" s="33"/>
      <c r="D61" s="45"/>
      <c r="E61" s="34"/>
      <c r="F61" s="32" t="str">
        <f aca="false">IF(B61="","",IFERROR("W"&amp;TEXT(WEEKNUM(B61,21),"00"),""))</f>
        <v/>
      </c>
      <c r="G61" s="33"/>
    </row>
    <row r="62" customFormat="false" ht="15" hidden="false" customHeight="false" outlineLevel="0" collapsed="false">
      <c r="A62" s="32" t="str">
        <f aca="false">IF(B62="","",ROW()-4)</f>
        <v/>
      </c>
      <c r="B62" s="43"/>
      <c r="C62" s="41"/>
      <c r="D62" s="46"/>
      <c r="E62" s="42"/>
      <c r="F62" s="32" t="str">
        <f aca="false">IF(B62="","",IFERROR("W"&amp;TEXT(WEEKNUM(B62,21),"00"),""))</f>
        <v/>
      </c>
      <c r="G62" s="41"/>
    </row>
    <row r="63" customFormat="false" ht="15" hidden="false" customHeight="false" outlineLevel="0" collapsed="false">
      <c r="A63" s="32" t="str">
        <f aca="false">IF(B63="","",ROW()-4)</f>
        <v/>
      </c>
      <c r="B63" s="35"/>
      <c r="C63" s="33"/>
      <c r="D63" s="45"/>
      <c r="E63" s="34"/>
      <c r="F63" s="32" t="str">
        <f aca="false">IF(B63="","",IFERROR("W"&amp;TEXT(WEEKNUM(B63,21),"00"),""))</f>
        <v/>
      </c>
      <c r="G63" s="33"/>
    </row>
    <row r="64" customFormat="false" ht="15" hidden="false" customHeight="false" outlineLevel="0" collapsed="false">
      <c r="A64" s="32" t="str">
        <f aca="false">IF(B64="","",ROW()-4)</f>
        <v/>
      </c>
      <c r="B64" s="43"/>
      <c r="C64" s="41"/>
      <c r="D64" s="46"/>
      <c r="E64" s="42"/>
      <c r="F64" s="32" t="str">
        <f aca="false">IF(B64="","",IFERROR("W"&amp;TEXT(WEEKNUM(B64,21),"00"),""))</f>
        <v/>
      </c>
      <c r="G64" s="41"/>
    </row>
    <row r="65" customFormat="false" ht="15" hidden="false" customHeight="false" outlineLevel="0" collapsed="false">
      <c r="A65" s="32" t="str">
        <f aca="false">IF(B65="","",ROW()-4)</f>
        <v/>
      </c>
      <c r="B65" s="35"/>
      <c r="C65" s="33"/>
      <c r="D65" s="45"/>
      <c r="E65" s="34"/>
      <c r="F65" s="32" t="str">
        <f aca="false">IF(B65="","",IFERROR("W"&amp;TEXT(WEEKNUM(B65,21),"00"),""))</f>
        <v/>
      </c>
      <c r="G65" s="33"/>
    </row>
    <row r="66" customFormat="false" ht="15" hidden="false" customHeight="false" outlineLevel="0" collapsed="false">
      <c r="A66" s="32" t="str">
        <f aca="false">IF(B66="","",ROW()-4)</f>
        <v/>
      </c>
      <c r="B66" s="43"/>
      <c r="C66" s="41"/>
      <c r="D66" s="46"/>
      <c r="E66" s="42"/>
      <c r="F66" s="32" t="str">
        <f aca="false">IF(B66="","",IFERROR("W"&amp;TEXT(WEEKNUM(B66,21),"00"),""))</f>
        <v/>
      </c>
      <c r="G66" s="41"/>
    </row>
    <row r="67" customFormat="false" ht="15" hidden="false" customHeight="false" outlineLevel="0" collapsed="false">
      <c r="A67" s="32" t="str">
        <f aca="false">IF(B67="","",ROW()-4)</f>
        <v/>
      </c>
      <c r="B67" s="35"/>
      <c r="C67" s="33"/>
      <c r="D67" s="45"/>
      <c r="E67" s="34"/>
      <c r="F67" s="32" t="str">
        <f aca="false">IF(B67="","",IFERROR("W"&amp;TEXT(WEEKNUM(B67,21),"00"),""))</f>
        <v/>
      </c>
      <c r="G67" s="33"/>
    </row>
    <row r="68" customFormat="false" ht="15" hidden="false" customHeight="false" outlineLevel="0" collapsed="false">
      <c r="A68" s="32" t="str">
        <f aca="false">IF(B68="","",ROW()-4)</f>
        <v/>
      </c>
      <c r="B68" s="43"/>
      <c r="C68" s="41"/>
      <c r="D68" s="46"/>
      <c r="E68" s="42"/>
      <c r="F68" s="32" t="str">
        <f aca="false">IF(B68="","",IFERROR("W"&amp;TEXT(WEEKNUM(B68,21),"00"),""))</f>
        <v/>
      </c>
      <c r="G68" s="41"/>
    </row>
    <row r="69" customFormat="false" ht="15" hidden="false" customHeight="false" outlineLevel="0" collapsed="false">
      <c r="A69" s="32" t="str">
        <f aca="false">IF(B69="","",ROW()-4)</f>
        <v/>
      </c>
      <c r="B69" s="35"/>
      <c r="C69" s="33"/>
      <c r="D69" s="45"/>
      <c r="E69" s="34"/>
      <c r="F69" s="32" t="str">
        <f aca="false">IF(B69="","",IFERROR("W"&amp;TEXT(WEEKNUM(B69,21),"00"),""))</f>
        <v/>
      </c>
      <c r="G69" s="33"/>
    </row>
    <row r="70" customFormat="false" ht="15" hidden="false" customHeight="false" outlineLevel="0" collapsed="false">
      <c r="A70" s="32" t="str">
        <f aca="false">IF(B70="","",ROW()-4)</f>
        <v/>
      </c>
      <c r="B70" s="43"/>
      <c r="C70" s="41"/>
      <c r="D70" s="46"/>
      <c r="E70" s="42"/>
      <c r="F70" s="32" t="str">
        <f aca="false">IF(B70="","",IFERROR("W"&amp;TEXT(WEEKNUM(B70,21),"00"),""))</f>
        <v/>
      </c>
      <c r="G70" s="41"/>
    </row>
    <row r="71" customFormat="false" ht="15" hidden="false" customHeight="false" outlineLevel="0" collapsed="false">
      <c r="A71" s="32" t="str">
        <f aca="false">IF(B71="","",ROW()-4)</f>
        <v/>
      </c>
      <c r="B71" s="35"/>
      <c r="C71" s="33"/>
      <c r="D71" s="45"/>
      <c r="E71" s="34"/>
      <c r="F71" s="32" t="str">
        <f aca="false">IF(B71="","",IFERROR("W"&amp;TEXT(WEEKNUM(B71,21),"00"),""))</f>
        <v/>
      </c>
      <c r="G71" s="33"/>
    </row>
    <row r="72" customFormat="false" ht="15" hidden="false" customHeight="false" outlineLevel="0" collapsed="false">
      <c r="A72" s="32" t="str">
        <f aca="false">IF(B72="","",ROW()-4)</f>
        <v/>
      </c>
      <c r="B72" s="43"/>
      <c r="C72" s="41"/>
      <c r="D72" s="46"/>
      <c r="E72" s="42"/>
      <c r="F72" s="32" t="str">
        <f aca="false">IF(B72="","",IFERROR("W"&amp;TEXT(WEEKNUM(B72,21),"00"),""))</f>
        <v/>
      </c>
      <c r="G72" s="41"/>
    </row>
    <row r="73" customFormat="false" ht="15" hidden="false" customHeight="false" outlineLevel="0" collapsed="false">
      <c r="A73" s="32" t="str">
        <f aca="false">IF(B73="","",ROW()-4)</f>
        <v/>
      </c>
      <c r="B73" s="35"/>
      <c r="C73" s="33"/>
      <c r="D73" s="45"/>
      <c r="E73" s="34"/>
      <c r="F73" s="32" t="str">
        <f aca="false">IF(B73="","",IFERROR("W"&amp;TEXT(WEEKNUM(B73,21),"00"),""))</f>
        <v/>
      </c>
      <c r="G73" s="33"/>
    </row>
    <row r="74" customFormat="false" ht="15" hidden="false" customHeight="false" outlineLevel="0" collapsed="false">
      <c r="A74" s="32" t="str">
        <f aca="false">IF(B74="","",ROW()-4)</f>
        <v/>
      </c>
      <c r="B74" s="43"/>
      <c r="C74" s="41"/>
      <c r="D74" s="46"/>
      <c r="E74" s="42"/>
      <c r="F74" s="32" t="str">
        <f aca="false">IF(B74="","",IFERROR("W"&amp;TEXT(WEEKNUM(B74,21),"00"),""))</f>
        <v/>
      </c>
      <c r="G74" s="41"/>
    </row>
    <row r="75" customFormat="false" ht="15" hidden="false" customHeight="false" outlineLevel="0" collapsed="false">
      <c r="A75" s="32" t="str">
        <f aca="false">IF(B75="","",ROW()-4)</f>
        <v/>
      </c>
      <c r="B75" s="35"/>
      <c r="C75" s="33"/>
      <c r="D75" s="45"/>
      <c r="E75" s="34"/>
      <c r="F75" s="32" t="str">
        <f aca="false">IF(B75="","",IFERROR("W"&amp;TEXT(WEEKNUM(B75,21),"00"),""))</f>
        <v/>
      </c>
      <c r="G75" s="33"/>
    </row>
    <row r="76" customFormat="false" ht="15" hidden="false" customHeight="false" outlineLevel="0" collapsed="false">
      <c r="A76" s="32" t="str">
        <f aca="false">IF(B76="","",ROW()-4)</f>
        <v/>
      </c>
      <c r="B76" s="43"/>
      <c r="C76" s="41"/>
      <c r="D76" s="46"/>
      <c r="E76" s="42"/>
      <c r="F76" s="32" t="str">
        <f aca="false">IF(B76="","",IFERROR("W"&amp;TEXT(WEEKNUM(B76,21),"00"),""))</f>
        <v/>
      </c>
      <c r="G76" s="41"/>
    </row>
    <row r="77" customFormat="false" ht="15" hidden="false" customHeight="false" outlineLevel="0" collapsed="false">
      <c r="A77" s="32" t="str">
        <f aca="false">IF(B77="","",ROW()-4)</f>
        <v/>
      </c>
      <c r="B77" s="35"/>
      <c r="C77" s="33"/>
      <c r="D77" s="45"/>
      <c r="E77" s="34"/>
      <c r="F77" s="32" t="str">
        <f aca="false">IF(B77="","",IFERROR("W"&amp;TEXT(WEEKNUM(B77,21),"00"),""))</f>
        <v/>
      </c>
      <c r="G77" s="33"/>
    </row>
    <row r="78" customFormat="false" ht="15" hidden="false" customHeight="false" outlineLevel="0" collapsed="false">
      <c r="A78" s="32" t="str">
        <f aca="false">IF(B78="","",ROW()-4)</f>
        <v/>
      </c>
      <c r="B78" s="43"/>
      <c r="C78" s="41"/>
      <c r="D78" s="46"/>
      <c r="E78" s="42"/>
      <c r="F78" s="32" t="str">
        <f aca="false">IF(B78="","",IFERROR("W"&amp;TEXT(WEEKNUM(B78,21),"00"),""))</f>
        <v/>
      </c>
      <c r="G78" s="41"/>
    </row>
    <row r="79" customFormat="false" ht="15" hidden="false" customHeight="false" outlineLevel="0" collapsed="false">
      <c r="A79" s="32" t="str">
        <f aca="false">IF(B79="","",ROW()-4)</f>
        <v/>
      </c>
      <c r="B79" s="35"/>
      <c r="C79" s="33"/>
      <c r="D79" s="45"/>
      <c r="E79" s="34"/>
      <c r="F79" s="32" t="str">
        <f aca="false">IF(B79="","",IFERROR("W"&amp;TEXT(WEEKNUM(B79,21),"00"),""))</f>
        <v/>
      </c>
      <c r="G79" s="33"/>
    </row>
    <row r="80" customFormat="false" ht="15" hidden="false" customHeight="false" outlineLevel="0" collapsed="false">
      <c r="A80" s="32" t="str">
        <f aca="false">IF(B80="","",ROW()-4)</f>
        <v/>
      </c>
      <c r="B80" s="43"/>
      <c r="C80" s="41"/>
      <c r="D80" s="46"/>
      <c r="E80" s="42"/>
      <c r="F80" s="32" t="str">
        <f aca="false">IF(B80="","",IFERROR("W"&amp;TEXT(WEEKNUM(B80,21),"00"),""))</f>
        <v/>
      </c>
      <c r="G80" s="41"/>
    </row>
    <row r="81" customFormat="false" ht="15" hidden="false" customHeight="false" outlineLevel="0" collapsed="false">
      <c r="A81" s="32" t="str">
        <f aca="false">IF(B81="","",ROW()-4)</f>
        <v/>
      </c>
      <c r="B81" s="35"/>
      <c r="C81" s="33"/>
      <c r="D81" s="45"/>
      <c r="E81" s="34"/>
      <c r="F81" s="32" t="str">
        <f aca="false">IF(B81="","",IFERROR("W"&amp;TEXT(WEEKNUM(B81,21),"00"),""))</f>
        <v/>
      </c>
      <c r="G81" s="33"/>
    </row>
    <row r="82" customFormat="false" ht="15" hidden="false" customHeight="false" outlineLevel="0" collapsed="false">
      <c r="A82" s="32" t="str">
        <f aca="false">IF(B82="","",ROW()-4)</f>
        <v/>
      </c>
      <c r="B82" s="43"/>
      <c r="C82" s="41"/>
      <c r="D82" s="46"/>
      <c r="E82" s="42"/>
      <c r="F82" s="32" t="str">
        <f aca="false">IF(B82="","",IFERROR("W"&amp;TEXT(WEEKNUM(B82,21),"00"),""))</f>
        <v/>
      </c>
      <c r="G82" s="41"/>
    </row>
    <row r="83" customFormat="false" ht="15" hidden="false" customHeight="false" outlineLevel="0" collapsed="false">
      <c r="A83" s="32" t="str">
        <f aca="false">IF(B83="","",ROW()-4)</f>
        <v/>
      </c>
      <c r="B83" s="35"/>
      <c r="C83" s="33"/>
      <c r="D83" s="45"/>
      <c r="E83" s="34"/>
      <c r="F83" s="32" t="str">
        <f aca="false">IF(B83="","",IFERROR("W"&amp;TEXT(WEEKNUM(B83,21),"00"),""))</f>
        <v/>
      </c>
      <c r="G83" s="33"/>
    </row>
    <row r="84" customFormat="false" ht="15" hidden="false" customHeight="false" outlineLevel="0" collapsed="false">
      <c r="A84" s="32" t="str">
        <f aca="false">IF(B84="","",ROW()-4)</f>
        <v/>
      </c>
      <c r="B84" s="43"/>
      <c r="C84" s="41"/>
      <c r="D84" s="46"/>
      <c r="E84" s="42"/>
      <c r="F84" s="32" t="str">
        <f aca="false">IF(B84="","",IFERROR("W"&amp;TEXT(WEEKNUM(B84,21),"00"),""))</f>
        <v/>
      </c>
      <c r="G84" s="41"/>
    </row>
    <row r="85" customFormat="false" ht="15" hidden="false" customHeight="false" outlineLevel="0" collapsed="false">
      <c r="A85" s="32" t="str">
        <f aca="false">IF(B85="","",ROW()-4)</f>
        <v/>
      </c>
      <c r="B85" s="35"/>
      <c r="C85" s="33"/>
      <c r="D85" s="45"/>
      <c r="E85" s="34"/>
      <c r="F85" s="32" t="str">
        <f aca="false">IF(B85="","",IFERROR("W"&amp;TEXT(WEEKNUM(B85,21),"00"),""))</f>
        <v/>
      </c>
      <c r="G85" s="33"/>
    </row>
    <row r="86" customFormat="false" ht="15" hidden="false" customHeight="false" outlineLevel="0" collapsed="false">
      <c r="A86" s="32" t="str">
        <f aca="false">IF(B86="","",ROW()-4)</f>
        <v/>
      </c>
      <c r="B86" s="43"/>
      <c r="C86" s="41"/>
      <c r="D86" s="46"/>
      <c r="E86" s="42"/>
      <c r="F86" s="32" t="str">
        <f aca="false">IF(B86="","",IFERROR("W"&amp;TEXT(WEEKNUM(B86,21),"00"),""))</f>
        <v/>
      </c>
      <c r="G86" s="41"/>
    </row>
    <row r="87" customFormat="false" ht="15" hidden="false" customHeight="false" outlineLevel="0" collapsed="false">
      <c r="A87" s="32" t="str">
        <f aca="false">IF(B87="","",ROW()-4)</f>
        <v/>
      </c>
      <c r="B87" s="35"/>
      <c r="C87" s="33"/>
      <c r="D87" s="45"/>
      <c r="E87" s="34"/>
      <c r="F87" s="32" t="str">
        <f aca="false">IF(B87="","",IFERROR("W"&amp;TEXT(WEEKNUM(B87,21),"00"),""))</f>
        <v/>
      </c>
      <c r="G87" s="33"/>
    </row>
    <row r="88" customFormat="false" ht="15" hidden="false" customHeight="false" outlineLevel="0" collapsed="false">
      <c r="A88" s="32" t="str">
        <f aca="false">IF(B88="","",ROW()-4)</f>
        <v/>
      </c>
      <c r="B88" s="43"/>
      <c r="C88" s="41"/>
      <c r="D88" s="46"/>
      <c r="E88" s="42"/>
      <c r="F88" s="32" t="str">
        <f aca="false">IF(B88="","",IFERROR("W"&amp;TEXT(WEEKNUM(B88,21),"00"),""))</f>
        <v/>
      </c>
      <c r="G88" s="41"/>
    </row>
    <row r="89" customFormat="false" ht="15" hidden="false" customHeight="false" outlineLevel="0" collapsed="false">
      <c r="A89" s="32" t="str">
        <f aca="false">IF(B89="","",ROW()-4)</f>
        <v/>
      </c>
      <c r="B89" s="35"/>
      <c r="C89" s="33"/>
      <c r="D89" s="45"/>
      <c r="E89" s="34"/>
      <c r="F89" s="32" t="str">
        <f aca="false">IF(B89="","",IFERROR("W"&amp;TEXT(WEEKNUM(B89,21),"00"),""))</f>
        <v/>
      </c>
      <c r="G89" s="33"/>
    </row>
    <row r="90" customFormat="false" ht="15" hidden="false" customHeight="false" outlineLevel="0" collapsed="false">
      <c r="A90" s="32" t="str">
        <f aca="false">IF(B90="","",ROW()-4)</f>
        <v/>
      </c>
      <c r="B90" s="43"/>
      <c r="C90" s="41"/>
      <c r="D90" s="46"/>
      <c r="E90" s="42"/>
      <c r="F90" s="32" t="str">
        <f aca="false">IF(B90="","",IFERROR("W"&amp;TEXT(WEEKNUM(B90,21),"00"),""))</f>
        <v/>
      </c>
      <c r="G90" s="41"/>
    </row>
    <row r="91" customFormat="false" ht="15" hidden="false" customHeight="false" outlineLevel="0" collapsed="false">
      <c r="A91" s="32" t="str">
        <f aca="false">IF(B91="","",ROW()-4)</f>
        <v/>
      </c>
      <c r="B91" s="35"/>
      <c r="C91" s="33"/>
      <c r="D91" s="45"/>
      <c r="E91" s="34"/>
      <c r="F91" s="32" t="str">
        <f aca="false">IF(B91="","",IFERROR("W"&amp;TEXT(WEEKNUM(B91,21),"00"),""))</f>
        <v/>
      </c>
      <c r="G91" s="33"/>
    </row>
    <row r="92" customFormat="false" ht="15" hidden="false" customHeight="false" outlineLevel="0" collapsed="false">
      <c r="A92" s="32" t="str">
        <f aca="false">IF(B92="","",ROW()-4)</f>
        <v/>
      </c>
      <c r="B92" s="43"/>
      <c r="C92" s="41"/>
      <c r="D92" s="46"/>
      <c r="E92" s="42"/>
      <c r="F92" s="32" t="str">
        <f aca="false">IF(B92="","",IFERROR("W"&amp;TEXT(WEEKNUM(B92,21),"00"),""))</f>
        <v/>
      </c>
      <c r="G92" s="41"/>
    </row>
    <row r="93" customFormat="false" ht="15" hidden="false" customHeight="false" outlineLevel="0" collapsed="false">
      <c r="A93" s="32" t="str">
        <f aca="false">IF(B93="","",ROW()-4)</f>
        <v/>
      </c>
      <c r="B93" s="35"/>
      <c r="C93" s="33"/>
      <c r="D93" s="45"/>
      <c r="E93" s="34"/>
      <c r="F93" s="32" t="str">
        <f aca="false">IF(B93="","",IFERROR("W"&amp;TEXT(WEEKNUM(B93,21),"00"),""))</f>
        <v/>
      </c>
      <c r="G93" s="33"/>
    </row>
    <row r="94" customFormat="false" ht="15" hidden="false" customHeight="false" outlineLevel="0" collapsed="false">
      <c r="A94" s="32" t="str">
        <f aca="false">IF(B94="","",ROW()-4)</f>
        <v/>
      </c>
      <c r="B94" s="43"/>
      <c r="C94" s="41"/>
      <c r="D94" s="46"/>
      <c r="E94" s="42"/>
      <c r="F94" s="32" t="str">
        <f aca="false">IF(B94="","",IFERROR("W"&amp;TEXT(WEEKNUM(B94,21),"00"),""))</f>
        <v/>
      </c>
      <c r="G94" s="41"/>
    </row>
    <row r="95" customFormat="false" ht="15" hidden="false" customHeight="false" outlineLevel="0" collapsed="false">
      <c r="A95" s="32" t="str">
        <f aca="false">IF(B95="","",ROW()-4)</f>
        <v/>
      </c>
      <c r="B95" s="35"/>
      <c r="C95" s="33"/>
      <c r="D95" s="45"/>
      <c r="E95" s="34"/>
      <c r="F95" s="32" t="str">
        <f aca="false">IF(B95="","",IFERROR("W"&amp;TEXT(WEEKNUM(B95,21),"00"),""))</f>
        <v/>
      </c>
      <c r="G95" s="33"/>
    </row>
    <row r="96" customFormat="false" ht="15" hidden="false" customHeight="false" outlineLevel="0" collapsed="false">
      <c r="A96" s="32" t="str">
        <f aca="false">IF(B96="","",ROW()-4)</f>
        <v/>
      </c>
      <c r="B96" s="43"/>
      <c r="C96" s="41"/>
      <c r="D96" s="46"/>
      <c r="E96" s="42"/>
      <c r="F96" s="32" t="str">
        <f aca="false">IF(B96="","",IFERROR("W"&amp;TEXT(WEEKNUM(B96,21),"00"),""))</f>
        <v/>
      </c>
      <c r="G96" s="41"/>
    </row>
    <row r="97" customFormat="false" ht="15" hidden="false" customHeight="false" outlineLevel="0" collapsed="false">
      <c r="A97" s="32" t="str">
        <f aca="false">IF(B97="","",ROW()-4)</f>
        <v/>
      </c>
      <c r="B97" s="35"/>
      <c r="C97" s="33"/>
      <c r="D97" s="45"/>
      <c r="E97" s="34"/>
      <c r="F97" s="32" t="str">
        <f aca="false">IF(B97="","",IFERROR("W"&amp;TEXT(WEEKNUM(B97,21),"00"),""))</f>
        <v/>
      </c>
      <c r="G97" s="33"/>
    </row>
    <row r="98" customFormat="false" ht="15" hidden="false" customHeight="false" outlineLevel="0" collapsed="false">
      <c r="A98" s="32" t="str">
        <f aca="false">IF(B98="","",ROW()-4)</f>
        <v/>
      </c>
      <c r="B98" s="43"/>
      <c r="C98" s="41"/>
      <c r="D98" s="46"/>
      <c r="E98" s="42"/>
      <c r="F98" s="32" t="str">
        <f aca="false">IF(B98="","",IFERROR("W"&amp;TEXT(WEEKNUM(B98,21),"00"),""))</f>
        <v/>
      </c>
      <c r="G98" s="41"/>
    </row>
    <row r="99" customFormat="false" ht="15" hidden="false" customHeight="false" outlineLevel="0" collapsed="false">
      <c r="A99" s="32" t="str">
        <f aca="false">IF(B99="","",ROW()-4)</f>
        <v/>
      </c>
      <c r="B99" s="35"/>
      <c r="C99" s="33"/>
      <c r="D99" s="45"/>
      <c r="E99" s="34"/>
      <c r="F99" s="32" t="str">
        <f aca="false">IF(B99="","",IFERROR("W"&amp;TEXT(WEEKNUM(B99,21),"00"),""))</f>
        <v/>
      </c>
      <c r="G99" s="33"/>
    </row>
    <row r="100" customFormat="false" ht="15" hidden="false" customHeight="false" outlineLevel="0" collapsed="false">
      <c r="A100" s="32" t="str">
        <f aca="false">IF(B100="","",ROW()-4)</f>
        <v/>
      </c>
      <c r="B100" s="43"/>
      <c r="C100" s="41"/>
      <c r="D100" s="46"/>
      <c r="E100" s="42"/>
      <c r="F100" s="32" t="str">
        <f aca="false">IF(B100="","",IFERROR("W"&amp;TEXT(WEEKNUM(B100,21),"00"),""))</f>
        <v/>
      </c>
      <c r="G100" s="41"/>
    </row>
    <row r="101" customFormat="false" ht="15" hidden="false" customHeight="false" outlineLevel="0" collapsed="false">
      <c r="A101" s="32" t="str">
        <f aca="false">IF(B101="","",ROW()-4)</f>
        <v/>
      </c>
      <c r="B101" s="35"/>
      <c r="C101" s="33"/>
      <c r="D101" s="45"/>
      <c r="E101" s="34"/>
      <c r="F101" s="32" t="str">
        <f aca="false">IF(B101="","",IFERROR("W"&amp;TEXT(WEEKNUM(B101,21),"00"),""))</f>
        <v/>
      </c>
      <c r="G101" s="33"/>
    </row>
    <row r="102" customFormat="false" ht="15" hidden="false" customHeight="false" outlineLevel="0" collapsed="false">
      <c r="A102" s="32" t="str">
        <f aca="false">IF(B102="","",ROW()-4)</f>
        <v/>
      </c>
      <c r="B102" s="43"/>
      <c r="C102" s="41"/>
      <c r="D102" s="46"/>
      <c r="E102" s="42"/>
      <c r="F102" s="32" t="str">
        <f aca="false">IF(B102="","",IFERROR("W"&amp;TEXT(WEEKNUM(B102,21),"00"),""))</f>
        <v/>
      </c>
      <c r="G102" s="41"/>
    </row>
    <row r="103" customFormat="false" ht="15" hidden="false" customHeight="false" outlineLevel="0" collapsed="false">
      <c r="A103" s="32" t="str">
        <f aca="false">IF(B103="","",ROW()-4)</f>
        <v/>
      </c>
      <c r="B103" s="35"/>
      <c r="C103" s="33"/>
      <c r="D103" s="45"/>
      <c r="E103" s="34"/>
      <c r="F103" s="32" t="str">
        <f aca="false">IF(B103="","",IFERROR("W"&amp;TEXT(WEEKNUM(B103,21),"00"),""))</f>
        <v/>
      </c>
      <c r="G103" s="33"/>
    </row>
    <row r="104" customFormat="false" ht="15" hidden="false" customHeight="false" outlineLevel="0" collapsed="false">
      <c r="A104" s="32" t="str">
        <f aca="false">IF(B104="","",ROW()-4)</f>
        <v/>
      </c>
      <c r="B104" s="43"/>
      <c r="C104" s="41"/>
      <c r="D104" s="46"/>
      <c r="E104" s="42"/>
      <c r="F104" s="32" t="str">
        <f aca="false">IF(B104="","",IFERROR("W"&amp;TEXT(WEEKNUM(B104,21),"00"),""))</f>
        <v/>
      </c>
      <c r="G104" s="41"/>
    </row>
    <row r="105" customFormat="false" ht="15" hidden="false" customHeight="false" outlineLevel="0" collapsed="false">
      <c r="A105" s="32" t="str">
        <f aca="false">IF(B105="","",ROW()-4)</f>
        <v/>
      </c>
      <c r="B105" s="35"/>
      <c r="C105" s="33"/>
      <c r="D105" s="45"/>
      <c r="E105" s="34"/>
      <c r="F105" s="32" t="str">
        <f aca="false">IF(B105="","",IFERROR("W"&amp;TEXT(WEEKNUM(B105,21),"00"),""))</f>
        <v/>
      </c>
      <c r="G105" s="33"/>
    </row>
    <row r="106" customFormat="false" ht="15" hidden="false" customHeight="false" outlineLevel="0" collapsed="false">
      <c r="A106" s="32" t="str">
        <f aca="false">IF(B106="","",ROW()-4)</f>
        <v/>
      </c>
      <c r="B106" s="43"/>
      <c r="C106" s="41"/>
      <c r="D106" s="46"/>
      <c r="E106" s="42"/>
      <c r="F106" s="32" t="str">
        <f aca="false">IF(B106="","",IFERROR("W"&amp;TEXT(WEEKNUM(B106,21),"00"),""))</f>
        <v/>
      </c>
      <c r="G106" s="41"/>
    </row>
    <row r="107" customFormat="false" ht="15" hidden="false" customHeight="false" outlineLevel="0" collapsed="false">
      <c r="A107" s="32" t="str">
        <f aca="false">IF(B107="","",ROW()-4)</f>
        <v/>
      </c>
      <c r="B107" s="35"/>
      <c r="C107" s="33"/>
      <c r="D107" s="45"/>
      <c r="E107" s="34"/>
      <c r="F107" s="32" t="str">
        <f aca="false">IF(B107="","",IFERROR("W"&amp;TEXT(WEEKNUM(B107,21),"00"),""))</f>
        <v/>
      </c>
      <c r="G107" s="33"/>
    </row>
    <row r="108" customFormat="false" ht="15" hidden="false" customHeight="false" outlineLevel="0" collapsed="false">
      <c r="A108" s="32" t="str">
        <f aca="false">IF(B108="","",ROW()-4)</f>
        <v/>
      </c>
      <c r="B108" s="43"/>
      <c r="C108" s="41"/>
      <c r="D108" s="46"/>
      <c r="E108" s="42"/>
      <c r="F108" s="32" t="str">
        <f aca="false">IF(B108="","",IFERROR("W"&amp;TEXT(WEEKNUM(B108,21),"00"),""))</f>
        <v/>
      </c>
      <c r="G108" s="41"/>
    </row>
    <row r="109" customFormat="false" ht="15" hidden="false" customHeight="false" outlineLevel="0" collapsed="false">
      <c r="A109" s="32" t="str">
        <f aca="false">IF(B109="","",ROW()-4)</f>
        <v/>
      </c>
      <c r="B109" s="35"/>
      <c r="C109" s="33"/>
      <c r="D109" s="45"/>
      <c r="E109" s="34"/>
      <c r="F109" s="32" t="str">
        <f aca="false">IF(B109="","",IFERROR("W"&amp;TEXT(WEEKNUM(B109,21),"00"),""))</f>
        <v/>
      </c>
      <c r="G109" s="33"/>
    </row>
    <row r="110" customFormat="false" ht="15" hidden="false" customHeight="false" outlineLevel="0" collapsed="false">
      <c r="A110" s="32" t="str">
        <f aca="false">IF(B110="","",ROW()-4)</f>
        <v/>
      </c>
      <c r="B110" s="43"/>
      <c r="C110" s="41"/>
      <c r="D110" s="46"/>
      <c r="E110" s="42"/>
      <c r="F110" s="32" t="str">
        <f aca="false">IF(B110="","",IFERROR("W"&amp;TEXT(WEEKNUM(B110,21),"00"),""))</f>
        <v/>
      </c>
      <c r="G110" s="41"/>
    </row>
    <row r="111" customFormat="false" ht="15" hidden="false" customHeight="false" outlineLevel="0" collapsed="false">
      <c r="A111" s="32" t="str">
        <f aca="false">IF(B111="","",ROW()-4)</f>
        <v/>
      </c>
      <c r="B111" s="35"/>
      <c r="C111" s="33"/>
      <c r="D111" s="45"/>
      <c r="E111" s="34"/>
      <c r="F111" s="32" t="str">
        <f aca="false">IF(B111="","",IFERROR("W"&amp;TEXT(WEEKNUM(B111,21),"00"),""))</f>
        <v/>
      </c>
      <c r="G111" s="33"/>
    </row>
    <row r="112" customFormat="false" ht="15" hidden="false" customHeight="false" outlineLevel="0" collapsed="false">
      <c r="A112" s="32" t="str">
        <f aca="false">IF(B112="","",ROW()-4)</f>
        <v/>
      </c>
      <c r="B112" s="43"/>
      <c r="C112" s="41"/>
      <c r="D112" s="46"/>
      <c r="E112" s="42"/>
      <c r="F112" s="32" t="str">
        <f aca="false">IF(B112="","",IFERROR("W"&amp;TEXT(WEEKNUM(B112,21),"00"),""))</f>
        <v/>
      </c>
      <c r="G112" s="41"/>
    </row>
    <row r="113" customFormat="false" ht="15" hidden="false" customHeight="false" outlineLevel="0" collapsed="false">
      <c r="A113" s="32" t="str">
        <f aca="false">IF(B113="","",ROW()-4)</f>
        <v/>
      </c>
      <c r="B113" s="35"/>
      <c r="C113" s="33"/>
      <c r="D113" s="45"/>
      <c r="E113" s="34"/>
      <c r="F113" s="32" t="str">
        <f aca="false">IF(B113="","",IFERROR("W"&amp;TEXT(WEEKNUM(B113,21),"00"),""))</f>
        <v/>
      </c>
      <c r="G113" s="33"/>
    </row>
    <row r="114" customFormat="false" ht="15" hidden="false" customHeight="false" outlineLevel="0" collapsed="false">
      <c r="A114" s="32" t="str">
        <f aca="false">IF(B114="","",ROW()-4)</f>
        <v/>
      </c>
      <c r="B114" s="43"/>
      <c r="C114" s="41"/>
      <c r="D114" s="46"/>
      <c r="E114" s="42"/>
      <c r="F114" s="32" t="str">
        <f aca="false">IF(B114="","",IFERROR("W"&amp;TEXT(WEEKNUM(B114,21),"00"),""))</f>
        <v/>
      </c>
      <c r="G114" s="41"/>
    </row>
    <row r="115" customFormat="false" ht="15" hidden="false" customHeight="false" outlineLevel="0" collapsed="false">
      <c r="A115" s="32" t="str">
        <f aca="false">IF(B115="","",ROW()-4)</f>
        <v/>
      </c>
      <c r="B115" s="35"/>
      <c r="C115" s="33"/>
      <c r="D115" s="45"/>
      <c r="E115" s="34"/>
      <c r="F115" s="32" t="str">
        <f aca="false">IF(B115="","",IFERROR("W"&amp;TEXT(WEEKNUM(B115,21),"00"),""))</f>
        <v/>
      </c>
      <c r="G115" s="33"/>
    </row>
    <row r="116" customFormat="false" ht="15" hidden="false" customHeight="false" outlineLevel="0" collapsed="false">
      <c r="A116" s="32" t="str">
        <f aca="false">IF(B116="","",ROW()-4)</f>
        <v/>
      </c>
      <c r="B116" s="43"/>
      <c r="C116" s="41"/>
      <c r="D116" s="46"/>
      <c r="E116" s="42"/>
      <c r="F116" s="32" t="str">
        <f aca="false">IF(B116="","",IFERROR("W"&amp;TEXT(WEEKNUM(B116,21),"00"),""))</f>
        <v/>
      </c>
      <c r="G116" s="41"/>
    </row>
    <row r="117" customFormat="false" ht="15" hidden="false" customHeight="false" outlineLevel="0" collapsed="false">
      <c r="A117" s="32" t="str">
        <f aca="false">IF(B117="","",ROW()-4)</f>
        <v/>
      </c>
      <c r="B117" s="35"/>
      <c r="C117" s="33"/>
      <c r="D117" s="45"/>
      <c r="E117" s="34"/>
      <c r="F117" s="32" t="str">
        <f aca="false">IF(B117="","",IFERROR("W"&amp;TEXT(WEEKNUM(B117,21),"00"),""))</f>
        <v/>
      </c>
      <c r="G117" s="33"/>
    </row>
    <row r="118" customFormat="false" ht="15" hidden="false" customHeight="false" outlineLevel="0" collapsed="false">
      <c r="A118" s="32" t="str">
        <f aca="false">IF(B118="","",ROW()-4)</f>
        <v/>
      </c>
      <c r="B118" s="43"/>
      <c r="C118" s="41"/>
      <c r="D118" s="46"/>
      <c r="E118" s="42"/>
      <c r="F118" s="32" t="str">
        <f aca="false">IF(B118="","",IFERROR("W"&amp;TEXT(WEEKNUM(B118,21),"00"),""))</f>
        <v/>
      </c>
      <c r="G118" s="41"/>
    </row>
    <row r="119" customFormat="false" ht="15" hidden="false" customHeight="false" outlineLevel="0" collapsed="false">
      <c r="A119" s="32" t="str">
        <f aca="false">IF(B119="","",ROW()-4)</f>
        <v/>
      </c>
      <c r="B119" s="35"/>
      <c r="C119" s="33"/>
      <c r="D119" s="45"/>
      <c r="E119" s="34"/>
      <c r="F119" s="32" t="str">
        <f aca="false">IF(B119="","",IFERROR("W"&amp;TEXT(WEEKNUM(B119,21),"00"),""))</f>
        <v/>
      </c>
      <c r="G119" s="33"/>
    </row>
    <row r="120" customFormat="false" ht="15" hidden="false" customHeight="false" outlineLevel="0" collapsed="false">
      <c r="A120" s="32" t="str">
        <f aca="false">IF(B120="","",ROW()-4)</f>
        <v/>
      </c>
      <c r="B120" s="43"/>
      <c r="C120" s="41"/>
      <c r="D120" s="46"/>
      <c r="E120" s="42"/>
      <c r="F120" s="32" t="str">
        <f aca="false">IF(B120="","",IFERROR("W"&amp;TEXT(WEEKNUM(B120,21),"00"),""))</f>
        <v/>
      </c>
      <c r="G120" s="41"/>
    </row>
    <row r="121" customFormat="false" ht="15" hidden="false" customHeight="false" outlineLevel="0" collapsed="false">
      <c r="A121" s="32" t="str">
        <f aca="false">IF(B121="","",ROW()-4)</f>
        <v/>
      </c>
      <c r="B121" s="35"/>
      <c r="C121" s="33"/>
      <c r="D121" s="45"/>
      <c r="E121" s="34"/>
      <c r="F121" s="32" t="str">
        <f aca="false">IF(B121="","",IFERROR("W"&amp;TEXT(WEEKNUM(B121,21),"00"),""))</f>
        <v/>
      </c>
      <c r="G121" s="33"/>
    </row>
    <row r="122" customFormat="false" ht="15" hidden="false" customHeight="false" outlineLevel="0" collapsed="false">
      <c r="A122" s="32" t="str">
        <f aca="false">IF(B122="","",ROW()-4)</f>
        <v/>
      </c>
      <c r="B122" s="43"/>
      <c r="C122" s="41"/>
      <c r="D122" s="46"/>
      <c r="E122" s="42"/>
      <c r="F122" s="32" t="str">
        <f aca="false">IF(B122="","",IFERROR("W"&amp;TEXT(WEEKNUM(B122,21),"00"),""))</f>
        <v/>
      </c>
      <c r="G122" s="41"/>
    </row>
    <row r="123" customFormat="false" ht="15" hidden="false" customHeight="false" outlineLevel="0" collapsed="false">
      <c r="A123" s="32" t="str">
        <f aca="false">IF(B123="","",ROW()-4)</f>
        <v/>
      </c>
      <c r="B123" s="35"/>
      <c r="C123" s="33"/>
      <c r="D123" s="45"/>
      <c r="E123" s="34"/>
      <c r="F123" s="32" t="str">
        <f aca="false">IF(B123="","",IFERROR("W"&amp;TEXT(WEEKNUM(B123,21),"00"),""))</f>
        <v/>
      </c>
      <c r="G123" s="33"/>
    </row>
    <row r="124" customFormat="false" ht="15" hidden="false" customHeight="false" outlineLevel="0" collapsed="false">
      <c r="A124" s="32" t="str">
        <f aca="false">IF(B124="","",ROW()-4)</f>
        <v/>
      </c>
      <c r="B124" s="43"/>
      <c r="C124" s="41"/>
      <c r="D124" s="46"/>
      <c r="E124" s="42"/>
      <c r="F124" s="32" t="str">
        <f aca="false">IF(B124="","",IFERROR("W"&amp;TEXT(WEEKNUM(B124,21),"00"),""))</f>
        <v/>
      </c>
      <c r="G124" s="41"/>
    </row>
    <row r="125" customFormat="false" ht="15" hidden="false" customHeight="false" outlineLevel="0" collapsed="false">
      <c r="A125" s="32" t="str">
        <f aca="false">IF(B125="","",ROW()-4)</f>
        <v/>
      </c>
      <c r="B125" s="35"/>
      <c r="C125" s="33"/>
      <c r="D125" s="45"/>
      <c r="E125" s="34"/>
      <c r="F125" s="32" t="str">
        <f aca="false">IF(B125="","",IFERROR("W"&amp;TEXT(WEEKNUM(B125,21),"00"),""))</f>
        <v/>
      </c>
      <c r="G125" s="33"/>
    </row>
    <row r="126" customFormat="false" ht="15" hidden="false" customHeight="false" outlineLevel="0" collapsed="false">
      <c r="A126" s="32" t="str">
        <f aca="false">IF(B126="","",ROW()-4)</f>
        <v/>
      </c>
      <c r="B126" s="43"/>
      <c r="C126" s="41"/>
      <c r="D126" s="46"/>
      <c r="E126" s="42"/>
      <c r="F126" s="32" t="str">
        <f aca="false">IF(B126="","",IFERROR("W"&amp;TEXT(WEEKNUM(B126,21),"00"),""))</f>
        <v/>
      </c>
      <c r="G126" s="41"/>
    </row>
    <row r="127" customFormat="false" ht="15" hidden="false" customHeight="false" outlineLevel="0" collapsed="false">
      <c r="A127" s="32" t="str">
        <f aca="false">IF(B127="","",ROW()-4)</f>
        <v/>
      </c>
      <c r="B127" s="35"/>
      <c r="C127" s="33"/>
      <c r="D127" s="45"/>
      <c r="E127" s="34"/>
      <c r="F127" s="32" t="str">
        <f aca="false">IF(B127="","",IFERROR("W"&amp;TEXT(WEEKNUM(B127,21),"00"),""))</f>
        <v/>
      </c>
      <c r="G127" s="33"/>
    </row>
    <row r="128" customFormat="false" ht="15" hidden="false" customHeight="false" outlineLevel="0" collapsed="false">
      <c r="A128" s="32" t="str">
        <f aca="false">IF(B128="","",ROW()-4)</f>
        <v/>
      </c>
      <c r="B128" s="43"/>
      <c r="C128" s="41"/>
      <c r="D128" s="46"/>
      <c r="E128" s="42"/>
      <c r="F128" s="32" t="str">
        <f aca="false">IF(B128="","",IFERROR("W"&amp;TEXT(WEEKNUM(B128,21),"00"),""))</f>
        <v/>
      </c>
      <c r="G128" s="41"/>
    </row>
    <row r="129" customFormat="false" ht="15" hidden="false" customHeight="false" outlineLevel="0" collapsed="false">
      <c r="A129" s="32" t="str">
        <f aca="false">IF(B129="","",ROW()-4)</f>
        <v/>
      </c>
      <c r="B129" s="35"/>
      <c r="C129" s="33"/>
      <c r="D129" s="45"/>
      <c r="E129" s="34"/>
      <c r="F129" s="32" t="str">
        <f aca="false">IF(B129="","",IFERROR("W"&amp;TEXT(WEEKNUM(B129,21),"00"),""))</f>
        <v/>
      </c>
      <c r="G129" s="33"/>
    </row>
    <row r="130" customFormat="false" ht="15" hidden="false" customHeight="false" outlineLevel="0" collapsed="false">
      <c r="A130" s="32" t="str">
        <f aca="false">IF(B130="","",ROW()-4)</f>
        <v/>
      </c>
      <c r="B130" s="43"/>
      <c r="C130" s="41"/>
      <c r="D130" s="46"/>
      <c r="E130" s="42"/>
      <c r="F130" s="32" t="str">
        <f aca="false">IF(B130="","",IFERROR("W"&amp;TEXT(WEEKNUM(B130,21),"00"),""))</f>
        <v/>
      </c>
      <c r="G130" s="41"/>
    </row>
    <row r="131" customFormat="false" ht="15" hidden="false" customHeight="false" outlineLevel="0" collapsed="false">
      <c r="A131" s="32" t="str">
        <f aca="false">IF(B131="","",ROW()-4)</f>
        <v/>
      </c>
      <c r="B131" s="35"/>
      <c r="C131" s="33"/>
      <c r="D131" s="45"/>
      <c r="E131" s="34"/>
      <c r="F131" s="32" t="str">
        <f aca="false">IF(B131="","",IFERROR("W"&amp;TEXT(WEEKNUM(B131,21),"00"),""))</f>
        <v/>
      </c>
      <c r="G131" s="33"/>
    </row>
    <row r="132" customFormat="false" ht="15" hidden="false" customHeight="false" outlineLevel="0" collapsed="false">
      <c r="A132" s="32" t="str">
        <f aca="false">IF(B132="","",ROW()-4)</f>
        <v/>
      </c>
      <c r="B132" s="43"/>
      <c r="C132" s="41"/>
      <c r="D132" s="46"/>
      <c r="E132" s="42"/>
      <c r="F132" s="32" t="str">
        <f aca="false">IF(B132="","",IFERROR("W"&amp;TEXT(WEEKNUM(B132,21),"00"),""))</f>
        <v/>
      </c>
      <c r="G132" s="41"/>
    </row>
    <row r="133" customFormat="false" ht="15" hidden="false" customHeight="false" outlineLevel="0" collapsed="false">
      <c r="A133" s="32" t="str">
        <f aca="false">IF(B133="","",ROW()-4)</f>
        <v/>
      </c>
      <c r="B133" s="35"/>
      <c r="C133" s="33"/>
      <c r="D133" s="45"/>
      <c r="E133" s="34"/>
      <c r="F133" s="32" t="str">
        <f aca="false">IF(B133="","",IFERROR("W"&amp;TEXT(WEEKNUM(B133,21),"00"),""))</f>
        <v/>
      </c>
      <c r="G133" s="33"/>
    </row>
    <row r="134" customFormat="false" ht="15" hidden="false" customHeight="false" outlineLevel="0" collapsed="false">
      <c r="A134" s="32" t="str">
        <f aca="false">IF(B134="","",ROW()-4)</f>
        <v/>
      </c>
      <c r="B134" s="43"/>
      <c r="C134" s="41"/>
      <c r="D134" s="46"/>
      <c r="E134" s="42"/>
      <c r="F134" s="32" t="str">
        <f aca="false">IF(B134="","",IFERROR("W"&amp;TEXT(WEEKNUM(B134,21),"00"),""))</f>
        <v/>
      </c>
      <c r="G134" s="41"/>
    </row>
    <row r="135" customFormat="false" ht="15" hidden="false" customHeight="false" outlineLevel="0" collapsed="false">
      <c r="A135" s="32" t="str">
        <f aca="false">IF(B135="","",ROW()-4)</f>
        <v/>
      </c>
      <c r="B135" s="35"/>
      <c r="C135" s="33"/>
      <c r="D135" s="45"/>
      <c r="E135" s="34"/>
      <c r="F135" s="32" t="str">
        <f aca="false">IF(B135="","",IFERROR("W"&amp;TEXT(WEEKNUM(B135,21),"00"),""))</f>
        <v/>
      </c>
      <c r="G135" s="33"/>
    </row>
    <row r="136" customFormat="false" ht="15" hidden="false" customHeight="false" outlineLevel="0" collapsed="false">
      <c r="A136" s="32" t="str">
        <f aca="false">IF(B136="","",ROW()-4)</f>
        <v/>
      </c>
      <c r="B136" s="43"/>
      <c r="C136" s="41"/>
      <c r="D136" s="46"/>
      <c r="E136" s="42"/>
      <c r="F136" s="32" t="str">
        <f aca="false">IF(B136="","",IFERROR("W"&amp;TEXT(WEEKNUM(B136,21),"00"),""))</f>
        <v/>
      </c>
      <c r="G136" s="41"/>
    </row>
    <row r="137" customFormat="false" ht="15" hidden="false" customHeight="false" outlineLevel="0" collapsed="false">
      <c r="A137" s="32" t="str">
        <f aca="false">IF(B137="","",ROW()-4)</f>
        <v/>
      </c>
      <c r="B137" s="35"/>
      <c r="C137" s="33"/>
      <c r="D137" s="45"/>
      <c r="E137" s="34"/>
      <c r="F137" s="32" t="str">
        <f aca="false">IF(B137="","",IFERROR("W"&amp;TEXT(WEEKNUM(B137,21),"00"),""))</f>
        <v/>
      </c>
      <c r="G137" s="33"/>
    </row>
    <row r="138" customFormat="false" ht="15" hidden="false" customHeight="false" outlineLevel="0" collapsed="false">
      <c r="A138" s="32" t="str">
        <f aca="false">IF(B138="","",ROW()-4)</f>
        <v/>
      </c>
      <c r="B138" s="43"/>
      <c r="C138" s="41"/>
      <c r="D138" s="46"/>
      <c r="E138" s="42"/>
      <c r="F138" s="32" t="str">
        <f aca="false">IF(B138="","",IFERROR("W"&amp;TEXT(WEEKNUM(B138,21),"00"),""))</f>
        <v/>
      </c>
      <c r="G138" s="41"/>
    </row>
    <row r="139" customFormat="false" ht="15" hidden="false" customHeight="false" outlineLevel="0" collapsed="false">
      <c r="A139" s="32" t="str">
        <f aca="false">IF(B139="","",ROW()-4)</f>
        <v/>
      </c>
      <c r="B139" s="35"/>
      <c r="C139" s="33"/>
      <c r="D139" s="45"/>
      <c r="E139" s="34"/>
      <c r="F139" s="32" t="str">
        <f aca="false">IF(B139="","",IFERROR("W"&amp;TEXT(WEEKNUM(B139,21),"00"),""))</f>
        <v/>
      </c>
      <c r="G139" s="33"/>
    </row>
    <row r="140" customFormat="false" ht="15" hidden="false" customHeight="false" outlineLevel="0" collapsed="false">
      <c r="A140" s="32" t="str">
        <f aca="false">IF(B140="","",ROW()-4)</f>
        <v/>
      </c>
      <c r="B140" s="43"/>
      <c r="C140" s="41"/>
      <c r="D140" s="46"/>
      <c r="E140" s="42"/>
      <c r="F140" s="32" t="str">
        <f aca="false">IF(B140="","",IFERROR("W"&amp;TEXT(WEEKNUM(B140,21),"00"),""))</f>
        <v/>
      </c>
      <c r="G140" s="41"/>
    </row>
    <row r="141" customFormat="false" ht="15" hidden="false" customHeight="false" outlineLevel="0" collapsed="false">
      <c r="A141" s="32" t="str">
        <f aca="false">IF(B141="","",ROW()-4)</f>
        <v/>
      </c>
      <c r="B141" s="35"/>
      <c r="C141" s="33"/>
      <c r="D141" s="45"/>
      <c r="E141" s="34"/>
      <c r="F141" s="32" t="str">
        <f aca="false">IF(B141="","",IFERROR("W"&amp;TEXT(WEEKNUM(B141,21),"00"),""))</f>
        <v/>
      </c>
      <c r="G141" s="33"/>
    </row>
    <row r="142" customFormat="false" ht="15" hidden="false" customHeight="false" outlineLevel="0" collapsed="false">
      <c r="A142" s="32" t="str">
        <f aca="false">IF(B142="","",ROW()-4)</f>
        <v/>
      </c>
      <c r="B142" s="43"/>
      <c r="C142" s="41"/>
      <c r="D142" s="46"/>
      <c r="E142" s="42"/>
      <c r="F142" s="32" t="str">
        <f aca="false">IF(B142="","",IFERROR("W"&amp;TEXT(WEEKNUM(B142,21),"00"),""))</f>
        <v/>
      </c>
      <c r="G142" s="41"/>
    </row>
    <row r="143" customFormat="false" ht="15" hidden="false" customHeight="false" outlineLevel="0" collapsed="false">
      <c r="A143" s="32" t="str">
        <f aca="false">IF(B143="","",ROW()-4)</f>
        <v/>
      </c>
      <c r="B143" s="35"/>
      <c r="C143" s="33"/>
      <c r="D143" s="45"/>
      <c r="E143" s="34"/>
      <c r="F143" s="32" t="str">
        <f aca="false">IF(B143="","",IFERROR("W"&amp;TEXT(WEEKNUM(B143,21),"00"),""))</f>
        <v/>
      </c>
      <c r="G143" s="33"/>
    </row>
    <row r="144" customFormat="false" ht="15" hidden="false" customHeight="false" outlineLevel="0" collapsed="false">
      <c r="A144" s="32" t="str">
        <f aca="false">IF(B144="","",ROW()-4)</f>
        <v/>
      </c>
      <c r="B144" s="43"/>
      <c r="C144" s="41"/>
      <c r="D144" s="46"/>
      <c r="E144" s="42"/>
      <c r="F144" s="32" t="str">
        <f aca="false">IF(B144="","",IFERROR("W"&amp;TEXT(WEEKNUM(B144,21),"00"),""))</f>
        <v/>
      </c>
      <c r="G144" s="41"/>
    </row>
    <row r="145" customFormat="false" ht="15" hidden="false" customHeight="false" outlineLevel="0" collapsed="false">
      <c r="A145" s="32" t="str">
        <f aca="false">IF(B145="","",ROW()-4)</f>
        <v/>
      </c>
      <c r="B145" s="35"/>
      <c r="C145" s="33"/>
      <c r="D145" s="45"/>
      <c r="E145" s="34"/>
      <c r="F145" s="32" t="str">
        <f aca="false">IF(B145="","",IFERROR("W"&amp;TEXT(WEEKNUM(B145,21),"00"),""))</f>
        <v/>
      </c>
      <c r="G145" s="33"/>
    </row>
    <row r="146" customFormat="false" ht="15" hidden="false" customHeight="false" outlineLevel="0" collapsed="false">
      <c r="A146" s="32" t="str">
        <f aca="false">IF(B146="","",ROW()-4)</f>
        <v/>
      </c>
      <c r="B146" s="43"/>
      <c r="C146" s="41"/>
      <c r="D146" s="46"/>
      <c r="E146" s="42"/>
      <c r="F146" s="32" t="str">
        <f aca="false">IF(B146="","",IFERROR("W"&amp;TEXT(WEEKNUM(B146,21),"00"),""))</f>
        <v/>
      </c>
      <c r="G146" s="41"/>
    </row>
    <row r="147" customFormat="false" ht="15" hidden="false" customHeight="false" outlineLevel="0" collapsed="false">
      <c r="A147" s="32" t="str">
        <f aca="false">IF(B147="","",ROW()-4)</f>
        <v/>
      </c>
      <c r="B147" s="35"/>
      <c r="C147" s="33"/>
      <c r="D147" s="45"/>
      <c r="E147" s="34"/>
      <c r="F147" s="32" t="str">
        <f aca="false">IF(B147="","",IFERROR("W"&amp;TEXT(WEEKNUM(B147,21),"00"),""))</f>
        <v/>
      </c>
      <c r="G147" s="33"/>
    </row>
    <row r="148" customFormat="false" ht="15" hidden="false" customHeight="false" outlineLevel="0" collapsed="false">
      <c r="A148" s="32" t="str">
        <f aca="false">IF(B148="","",ROW()-4)</f>
        <v/>
      </c>
      <c r="B148" s="43"/>
      <c r="C148" s="41"/>
      <c r="D148" s="46"/>
      <c r="E148" s="42"/>
      <c r="F148" s="32" t="str">
        <f aca="false">IF(B148="","",IFERROR("W"&amp;TEXT(WEEKNUM(B148,21),"00"),""))</f>
        <v/>
      </c>
      <c r="G148" s="41"/>
    </row>
    <row r="149" customFormat="false" ht="15" hidden="false" customHeight="false" outlineLevel="0" collapsed="false">
      <c r="A149" s="32" t="str">
        <f aca="false">IF(B149="","",ROW()-4)</f>
        <v/>
      </c>
      <c r="B149" s="35"/>
      <c r="C149" s="33"/>
      <c r="D149" s="45"/>
      <c r="E149" s="34"/>
      <c r="F149" s="32" t="str">
        <f aca="false">IF(B149="","",IFERROR("W"&amp;TEXT(WEEKNUM(B149,21),"00"),""))</f>
        <v/>
      </c>
      <c r="G149" s="33"/>
    </row>
    <row r="150" customFormat="false" ht="15" hidden="false" customHeight="false" outlineLevel="0" collapsed="false">
      <c r="A150" s="32" t="str">
        <f aca="false">IF(B150="","",ROW()-4)</f>
        <v/>
      </c>
      <c r="B150" s="43"/>
      <c r="C150" s="41"/>
      <c r="D150" s="46"/>
      <c r="E150" s="42"/>
      <c r="F150" s="32" t="str">
        <f aca="false">IF(B150="","",IFERROR("W"&amp;TEXT(WEEKNUM(B150,21),"00"),""))</f>
        <v/>
      </c>
      <c r="G150" s="41"/>
    </row>
    <row r="151" customFormat="false" ht="15" hidden="false" customHeight="false" outlineLevel="0" collapsed="false">
      <c r="A151" s="32" t="str">
        <f aca="false">IF(B151="","",ROW()-4)</f>
        <v/>
      </c>
      <c r="B151" s="35"/>
      <c r="C151" s="33"/>
      <c r="D151" s="45"/>
      <c r="E151" s="34"/>
      <c r="F151" s="32" t="str">
        <f aca="false">IF(B151="","",IFERROR("W"&amp;TEXT(WEEKNUM(B151,21),"00"),""))</f>
        <v/>
      </c>
      <c r="G151" s="33"/>
    </row>
    <row r="152" customFormat="false" ht="15" hidden="false" customHeight="false" outlineLevel="0" collapsed="false">
      <c r="A152" s="32" t="str">
        <f aca="false">IF(B152="","",ROW()-4)</f>
        <v/>
      </c>
      <c r="B152" s="43"/>
      <c r="C152" s="41"/>
      <c r="D152" s="46"/>
      <c r="E152" s="42"/>
      <c r="F152" s="32" t="str">
        <f aca="false">IF(B152="","",IFERROR("W"&amp;TEXT(WEEKNUM(B152,21),"00"),""))</f>
        <v/>
      </c>
      <c r="G152" s="41"/>
    </row>
    <row r="153" customFormat="false" ht="15" hidden="false" customHeight="false" outlineLevel="0" collapsed="false">
      <c r="A153" s="32" t="str">
        <f aca="false">IF(B153="","",ROW()-4)</f>
        <v/>
      </c>
      <c r="B153" s="35"/>
      <c r="C153" s="33"/>
      <c r="D153" s="45"/>
      <c r="E153" s="34"/>
      <c r="F153" s="32" t="str">
        <f aca="false">IF(B153="","",IFERROR("W"&amp;TEXT(WEEKNUM(B153,21),"00"),""))</f>
        <v/>
      </c>
      <c r="G153" s="33"/>
    </row>
    <row r="154" customFormat="false" ht="15" hidden="false" customHeight="false" outlineLevel="0" collapsed="false">
      <c r="A154" s="32" t="str">
        <f aca="false">IF(B154="","",ROW()-4)</f>
        <v/>
      </c>
      <c r="B154" s="43"/>
      <c r="C154" s="41"/>
      <c r="D154" s="46"/>
      <c r="E154" s="42"/>
      <c r="F154" s="32" t="str">
        <f aca="false">IF(B154="","",IFERROR("W"&amp;TEXT(WEEKNUM(B154,21),"00"),""))</f>
        <v/>
      </c>
      <c r="G154" s="41"/>
    </row>
    <row r="155" customFormat="false" ht="15" hidden="false" customHeight="false" outlineLevel="0" collapsed="false">
      <c r="A155" s="32" t="str">
        <f aca="false">IF(B155="","",ROW()-4)</f>
        <v/>
      </c>
      <c r="B155" s="35"/>
      <c r="C155" s="33"/>
      <c r="D155" s="45"/>
      <c r="E155" s="34"/>
      <c r="F155" s="32" t="str">
        <f aca="false">IF(B155="","",IFERROR("W"&amp;TEXT(WEEKNUM(B155,21),"00"),""))</f>
        <v/>
      </c>
      <c r="G155" s="33"/>
    </row>
    <row r="156" customFormat="false" ht="15" hidden="false" customHeight="false" outlineLevel="0" collapsed="false">
      <c r="A156" s="32" t="str">
        <f aca="false">IF(B156="","",ROW()-4)</f>
        <v/>
      </c>
      <c r="B156" s="43"/>
      <c r="C156" s="41"/>
      <c r="D156" s="46"/>
      <c r="E156" s="42"/>
      <c r="F156" s="32" t="str">
        <f aca="false">IF(B156="","",IFERROR("W"&amp;TEXT(WEEKNUM(B156,21),"00"),""))</f>
        <v/>
      </c>
      <c r="G156" s="41"/>
    </row>
    <row r="157" customFormat="false" ht="15" hidden="false" customHeight="false" outlineLevel="0" collapsed="false">
      <c r="A157" s="32" t="str">
        <f aca="false">IF(B157="","",ROW()-4)</f>
        <v/>
      </c>
      <c r="B157" s="35"/>
      <c r="C157" s="33"/>
      <c r="D157" s="45"/>
      <c r="E157" s="34"/>
      <c r="F157" s="32" t="str">
        <f aca="false">IF(B157="","",IFERROR("W"&amp;TEXT(WEEKNUM(B157,21),"00"),""))</f>
        <v/>
      </c>
      <c r="G157" s="33"/>
    </row>
    <row r="158" customFormat="false" ht="15" hidden="false" customHeight="false" outlineLevel="0" collapsed="false">
      <c r="A158" s="32" t="str">
        <f aca="false">IF(B158="","",ROW()-4)</f>
        <v/>
      </c>
      <c r="B158" s="43"/>
      <c r="C158" s="41"/>
      <c r="D158" s="46"/>
      <c r="E158" s="42"/>
      <c r="F158" s="32" t="str">
        <f aca="false">IF(B158="","",IFERROR("W"&amp;TEXT(WEEKNUM(B158,21),"00"),""))</f>
        <v/>
      </c>
      <c r="G158" s="41"/>
    </row>
    <row r="159" customFormat="false" ht="15" hidden="false" customHeight="false" outlineLevel="0" collapsed="false">
      <c r="A159" s="32" t="str">
        <f aca="false">IF(B159="","",ROW()-4)</f>
        <v/>
      </c>
      <c r="B159" s="35"/>
      <c r="C159" s="33"/>
      <c r="D159" s="45"/>
      <c r="E159" s="34"/>
      <c r="F159" s="32" t="str">
        <f aca="false">IF(B159="","",IFERROR("W"&amp;TEXT(WEEKNUM(B159,21),"00"),""))</f>
        <v/>
      </c>
      <c r="G159" s="33"/>
    </row>
    <row r="160" customFormat="false" ht="15" hidden="false" customHeight="false" outlineLevel="0" collapsed="false">
      <c r="A160" s="32" t="str">
        <f aca="false">IF(B160="","",ROW()-4)</f>
        <v/>
      </c>
      <c r="B160" s="43"/>
      <c r="C160" s="41"/>
      <c r="D160" s="46"/>
      <c r="E160" s="42"/>
      <c r="F160" s="32" t="str">
        <f aca="false">IF(B160="","",IFERROR("W"&amp;TEXT(WEEKNUM(B160,21),"00"),""))</f>
        <v/>
      </c>
      <c r="G160" s="41"/>
    </row>
    <row r="161" customFormat="false" ht="15" hidden="false" customHeight="false" outlineLevel="0" collapsed="false">
      <c r="A161" s="32" t="str">
        <f aca="false">IF(B161="","",ROW()-4)</f>
        <v/>
      </c>
      <c r="B161" s="35"/>
      <c r="C161" s="33"/>
      <c r="D161" s="45"/>
      <c r="E161" s="34"/>
      <c r="F161" s="32" t="str">
        <f aca="false">IF(B161="","",IFERROR("W"&amp;TEXT(WEEKNUM(B161,21),"00"),""))</f>
        <v/>
      </c>
      <c r="G161" s="33"/>
    </row>
    <row r="162" customFormat="false" ht="15" hidden="false" customHeight="false" outlineLevel="0" collapsed="false">
      <c r="A162" s="32" t="str">
        <f aca="false">IF(B162="","",ROW()-4)</f>
        <v/>
      </c>
      <c r="B162" s="43"/>
      <c r="C162" s="41"/>
      <c r="D162" s="46"/>
      <c r="E162" s="42"/>
      <c r="F162" s="32" t="str">
        <f aca="false">IF(B162="","",IFERROR("W"&amp;TEXT(WEEKNUM(B162,21),"00"),""))</f>
        <v/>
      </c>
      <c r="G162" s="41"/>
    </row>
    <row r="163" customFormat="false" ht="15" hidden="false" customHeight="false" outlineLevel="0" collapsed="false">
      <c r="A163" s="32" t="str">
        <f aca="false">IF(B163="","",ROW()-4)</f>
        <v/>
      </c>
      <c r="B163" s="35"/>
      <c r="C163" s="33"/>
      <c r="D163" s="45"/>
      <c r="E163" s="34"/>
      <c r="F163" s="32" t="str">
        <f aca="false">IF(B163="","",IFERROR("W"&amp;TEXT(WEEKNUM(B163,21),"00"),""))</f>
        <v/>
      </c>
      <c r="G163" s="33"/>
    </row>
    <row r="164" customFormat="false" ht="15" hidden="false" customHeight="false" outlineLevel="0" collapsed="false">
      <c r="A164" s="32" t="str">
        <f aca="false">IF(B164="","",ROW()-4)</f>
        <v/>
      </c>
      <c r="B164" s="43"/>
      <c r="C164" s="41"/>
      <c r="D164" s="46"/>
      <c r="E164" s="42"/>
      <c r="F164" s="32" t="str">
        <f aca="false">IF(B164="","",IFERROR("W"&amp;TEXT(WEEKNUM(B164,21),"00"),""))</f>
        <v/>
      </c>
      <c r="G164" s="41"/>
    </row>
    <row r="165" customFormat="false" ht="15" hidden="false" customHeight="false" outlineLevel="0" collapsed="false">
      <c r="A165" s="32" t="str">
        <f aca="false">IF(B165="","",ROW()-4)</f>
        <v/>
      </c>
      <c r="B165" s="35"/>
      <c r="C165" s="33"/>
      <c r="D165" s="45"/>
      <c r="E165" s="34"/>
      <c r="F165" s="32" t="str">
        <f aca="false">IF(B165="","",IFERROR("W"&amp;TEXT(WEEKNUM(B165,21),"00"),""))</f>
        <v/>
      </c>
      <c r="G165" s="33"/>
    </row>
    <row r="166" customFormat="false" ht="15" hidden="false" customHeight="false" outlineLevel="0" collapsed="false">
      <c r="A166" s="32" t="str">
        <f aca="false">IF(B166="","",ROW()-4)</f>
        <v/>
      </c>
      <c r="B166" s="43"/>
      <c r="C166" s="41"/>
      <c r="D166" s="46"/>
      <c r="E166" s="42"/>
      <c r="F166" s="32" t="str">
        <f aca="false">IF(B166="","",IFERROR("W"&amp;TEXT(WEEKNUM(B166,21),"00"),""))</f>
        <v/>
      </c>
      <c r="G166" s="41"/>
    </row>
    <row r="167" customFormat="false" ht="15" hidden="false" customHeight="false" outlineLevel="0" collapsed="false">
      <c r="A167" s="32" t="str">
        <f aca="false">IF(B167="","",ROW()-4)</f>
        <v/>
      </c>
      <c r="B167" s="35"/>
      <c r="C167" s="33"/>
      <c r="D167" s="45"/>
      <c r="E167" s="34"/>
      <c r="F167" s="32" t="str">
        <f aca="false">IF(B167="","",IFERROR("W"&amp;TEXT(WEEKNUM(B167,21),"00"),""))</f>
        <v/>
      </c>
      <c r="G167" s="33"/>
    </row>
    <row r="168" customFormat="false" ht="15" hidden="false" customHeight="false" outlineLevel="0" collapsed="false">
      <c r="A168" s="32" t="str">
        <f aca="false">IF(B168="","",ROW()-4)</f>
        <v/>
      </c>
      <c r="B168" s="43"/>
      <c r="C168" s="41"/>
      <c r="D168" s="46"/>
      <c r="E168" s="42"/>
      <c r="F168" s="32" t="str">
        <f aca="false">IF(B168="","",IFERROR("W"&amp;TEXT(WEEKNUM(B168,21),"00"),""))</f>
        <v/>
      </c>
      <c r="G168" s="41"/>
    </row>
    <row r="169" customFormat="false" ht="15" hidden="false" customHeight="false" outlineLevel="0" collapsed="false">
      <c r="A169" s="32" t="str">
        <f aca="false">IF(B169="","",ROW()-4)</f>
        <v/>
      </c>
      <c r="B169" s="35"/>
      <c r="C169" s="33"/>
      <c r="D169" s="45"/>
      <c r="E169" s="34"/>
      <c r="F169" s="32" t="str">
        <f aca="false">IF(B169="","",IFERROR("W"&amp;TEXT(WEEKNUM(B169,21),"00"),""))</f>
        <v/>
      </c>
      <c r="G169" s="33"/>
    </row>
    <row r="170" customFormat="false" ht="15" hidden="false" customHeight="false" outlineLevel="0" collapsed="false">
      <c r="A170" s="32" t="str">
        <f aca="false">IF(B170="","",ROW()-4)</f>
        <v/>
      </c>
      <c r="B170" s="43"/>
      <c r="C170" s="41"/>
      <c r="D170" s="46"/>
      <c r="E170" s="42"/>
      <c r="F170" s="32" t="str">
        <f aca="false">IF(B170="","",IFERROR("W"&amp;TEXT(WEEKNUM(B170,21),"00"),""))</f>
        <v/>
      </c>
      <c r="G170" s="41"/>
    </row>
    <row r="171" customFormat="false" ht="15" hidden="false" customHeight="false" outlineLevel="0" collapsed="false">
      <c r="A171" s="32" t="str">
        <f aca="false">IF(B171="","",ROW()-4)</f>
        <v/>
      </c>
      <c r="B171" s="35"/>
      <c r="C171" s="33"/>
      <c r="D171" s="45"/>
      <c r="E171" s="34"/>
      <c r="F171" s="32" t="str">
        <f aca="false">IF(B171="","",IFERROR("W"&amp;TEXT(WEEKNUM(B171,21),"00"),""))</f>
        <v/>
      </c>
      <c r="G171" s="33"/>
    </row>
    <row r="172" customFormat="false" ht="15" hidden="false" customHeight="false" outlineLevel="0" collapsed="false">
      <c r="A172" s="32" t="str">
        <f aca="false">IF(B172="","",ROW()-4)</f>
        <v/>
      </c>
      <c r="B172" s="43"/>
      <c r="C172" s="41"/>
      <c r="D172" s="46"/>
      <c r="E172" s="42"/>
      <c r="F172" s="32" t="str">
        <f aca="false">IF(B172="","",IFERROR("W"&amp;TEXT(WEEKNUM(B172,21),"00"),""))</f>
        <v/>
      </c>
      <c r="G172" s="41"/>
    </row>
    <row r="173" customFormat="false" ht="15" hidden="false" customHeight="false" outlineLevel="0" collapsed="false">
      <c r="A173" s="32" t="str">
        <f aca="false">IF(B173="","",ROW()-4)</f>
        <v/>
      </c>
      <c r="B173" s="35"/>
      <c r="C173" s="33"/>
      <c r="D173" s="45"/>
      <c r="E173" s="34"/>
      <c r="F173" s="32" t="str">
        <f aca="false">IF(B173="","",IFERROR("W"&amp;TEXT(WEEKNUM(B173,21),"00"),""))</f>
        <v/>
      </c>
      <c r="G173" s="33"/>
    </row>
    <row r="174" customFormat="false" ht="15" hidden="false" customHeight="false" outlineLevel="0" collapsed="false">
      <c r="A174" s="32" t="str">
        <f aca="false">IF(B174="","",ROW()-4)</f>
        <v/>
      </c>
      <c r="B174" s="43"/>
      <c r="C174" s="41"/>
      <c r="D174" s="46"/>
      <c r="E174" s="42"/>
      <c r="F174" s="32" t="str">
        <f aca="false">IF(B174="","",IFERROR("W"&amp;TEXT(WEEKNUM(B174,21),"00"),""))</f>
        <v/>
      </c>
      <c r="G174" s="41"/>
    </row>
    <row r="175" customFormat="false" ht="15" hidden="false" customHeight="false" outlineLevel="0" collapsed="false">
      <c r="A175" s="32" t="str">
        <f aca="false">IF(B175="","",ROW()-4)</f>
        <v/>
      </c>
      <c r="B175" s="35"/>
      <c r="C175" s="33"/>
      <c r="D175" s="45"/>
      <c r="E175" s="34"/>
      <c r="F175" s="32" t="str">
        <f aca="false">IF(B175="","",IFERROR("W"&amp;TEXT(WEEKNUM(B175,21),"00"),""))</f>
        <v/>
      </c>
      <c r="G175" s="33"/>
    </row>
    <row r="176" customFormat="false" ht="15" hidden="false" customHeight="false" outlineLevel="0" collapsed="false">
      <c r="A176" s="32" t="str">
        <f aca="false">IF(B176="","",ROW()-4)</f>
        <v/>
      </c>
      <c r="B176" s="43"/>
      <c r="C176" s="41"/>
      <c r="D176" s="46"/>
      <c r="E176" s="42"/>
      <c r="F176" s="32" t="str">
        <f aca="false">IF(B176="","",IFERROR("W"&amp;TEXT(WEEKNUM(B176,21),"00"),""))</f>
        <v/>
      </c>
      <c r="G176" s="41"/>
    </row>
    <row r="177" customFormat="false" ht="15" hidden="false" customHeight="false" outlineLevel="0" collapsed="false">
      <c r="A177" s="32" t="str">
        <f aca="false">IF(B177="","",ROW()-4)</f>
        <v/>
      </c>
      <c r="B177" s="35"/>
      <c r="C177" s="33"/>
      <c r="D177" s="45"/>
      <c r="E177" s="34"/>
      <c r="F177" s="32" t="str">
        <f aca="false">IF(B177="","",IFERROR("W"&amp;TEXT(WEEKNUM(B177,21),"00"),""))</f>
        <v/>
      </c>
      <c r="G177" s="33"/>
    </row>
    <row r="178" customFormat="false" ht="15" hidden="false" customHeight="false" outlineLevel="0" collapsed="false">
      <c r="A178" s="32" t="str">
        <f aca="false">IF(B178="","",ROW()-4)</f>
        <v/>
      </c>
      <c r="B178" s="43"/>
      <c r="C178" s="41"/>
      <c r="D178" s="46"/>
      <c r="E178" s="42"/>
      <c r="F178" s="32" t="str">
        <f aca="false">IF(B178="","",IFERROR("W"&amp;TEXT(WEEKNUM(B178,21),"00"),""))</f>
        <v/>
      </c>
      <c r="G178" s="41"/>
    </row>
    <row r="179" customFormat="false" ht="15" hidden="false" customHeight="false" outlineLevel="0" collapsed="false">
      <c r="A179" s="32" t="str">
        <f aca="false">IF(B179="","",ROW()-4)</f>
        <v/>
      </c>
      <c r="B179" s="35"/>
      <c r="C179" s="33"/>
      <c r="D179" s="45"/>
      <c r="E179" s="34"/>
      <c r="F179" s="32" t="str">
        <f aca="false">IF(B179="","",IFERROR("W"&amp;TEXT(WEEKNUM(B179,21),"00"),""))</f>
        <v/>
      </c>
      <c r="G179" s="33"/>
    </row>
    <row r="180" customFormat="false" ht="15" hidden="false" customHeight="false" outlineLevel="0" collapsed="false">
      <c r="A180" s="32" t="str">
        <f aca="false">IF(B180="","",ROW()-4)</f>
        <v/>
      </c>
      <c r="B180" s="43"/>
      <c r="C180" s="41"/>
      <c r="D180" s="46"/>
      <c r="E180" s="42"/>
      <c r="F180" s="32" t="str">
        <f aca="false">IF(B180="","",IFERROR("W"&amp;TEXT(WEEKNUM(B180,21),"00"),""))</f>
        <v/>
      </c>
      <c r="G180" s="41"/>
    </row>
    <row r="181" customFormat="false" ht="15" hidden="false" customHeight="false" outlineLevel="0" collapsed="false">
      <c r="A181" s="32" t="str">
        <f aca="false">IF(B181="","",ROW()-4)</f>
        <v/>
      </c>
      <c r="B181" s="35"/>
      <c r="C181" s="33"/>
      <c r="D181" s="45"/>
      <c r="E181" s="34"/>
      <c r="F181" s="32" t="str">
        <f aca="false">IF(B181="","",IFERROR("W"&amp;TEXT(WEEKNUM(B181,21),"00"),""))</f>
        <v/>
      </c>
      <c r="G181" s="33"/>
    </row>
    <row r="182" customFormat="false" ht="15" hidden="false" customHeight="false" outlineLevel="0" collapsed="false">
      <c r="A182" s="32" t="str">
        <f aca="false">IF(B182="","",ROW()-4)</f>
        <v/>
      </c>
      <c r="B182" s="43"/>
      <c r="C182" s="41"/>
      <c r="D182" s="46"/>
      <c r="E182" s="42"/>
      <c r="F182" s="32" t="str">
        <f aca="false">IF(B182="","",IFERROR("W"&amp;TEXT(WEEKNUM(B182,21),"00"),""))</f>
        <v/>
      </c>
      <c r="G182" s="41"/>
    </row>
    <row r="183" customFormat="false" ht="15" hidden="false" customHeight="false" outlineLevel="0" collapsed="false">
      <c r="A183" s="32" t="str">
        <f aca="false">IF(B183="","",ROW()-4)</f>
        <v/>
      </c>
      <c r="B183" s="35"/>
      <c r="C183" s="33"/>
      <c r="D183" s="45"/>
      <c r="E183" s="34"/>
      <c r="F183" s="32" t="str">
        <f aca="false">IF(B183="","",IFERROR("W"&amp;TEXT(WEEKNUM(B183,21),"00"),""))</f>
        <v/>
      </c>
      <c r="G183" s="33"/>
    </row>
    <row r="184" customFormat="false" ht="15" hidden="false" customHeight="false" outlineLevel="0" collapsed="false">
      <c r="A184" s="32" t="str">
        <f aca="false">IF(B184="","",ROW()-4)</f>
        <v/>
      </c>
      <c r="B184" s="43"/>
      <c r="C184" s="41"/>
      <c r="D184" s="46"/>
      <c r="E184" s="42"/>
      <c r="F184" s="32" t="str">
        <f aca="false">IF(B184="","",IFERROR("W"&amp;TEXT(WEEKNUM(B184,21),"00"),""))</f>
        <v/>
      </c>
      <c r="G184" s="41"/>
    </row>
    <row r="185" customFormat="false" ht="15" hidden="false" customHeight="false" outlineLevel="0" collapsed="false">
      <c r="A185" s="32" t="str">
        <f aca="false">IF(B185="","",ROW()-4)</f>
        <v/>
      </c>
      <c r="B185" s="35"/>
      <c r="C185" s="33"/>
      <c r="D185" s="45"/>
      <c r="E185" s="34"/>
      <c r="F185" s="32" t="str">
        <f aca="false">IF(B185="","",IFERROR("W"&amp;TEXT(WEEKNUM(B185,21),"00"),""))</f>
        <v/>
      </c>
      <c r="G185" s="33"/>
    </row>
    <row r="186" customFormat="false" ht="15" hidden="false" customHeight="false" outlineLevel="0" collapsed="false">
      <c r="A186" s="32" t="str">
        <f aca="false">IF(B186="","",ROW()-4)</f>
        <v/>
      </c>
      <c r="B186" s="43"/>
      <c r="C186" s="41"/>
      <c r="D186" s="46"/>
      <c r="E186" s="42"/>
      <c r="F186" s="32" t="str">
        <f aca="false">IF(B186="","",IFERROR("W"&amp;TEXT(WEEKNUM(B186,21),"00"),""))</f>
        <v/>
      </c>
      <c r="G186" s="41"/>
    </row>
    <row r="187" customFormat="false" ht="15" hidden="false" customHeight="false" outlineLevel="0" collapsed="false">
      <c r="A187" s="32" t="str">
        <f aca="false">IF(B187="","",ROW()-4)</f>
        <v/>
      </c>
      <c r="B187" s="35"/>
      <c r="C187" s="33"/>
      <c r="D187" s="45"/>
      <c r="E187" s="34"/>
      <c r="F187" s="32" t="str">
        <f aca="false">IF(B187="","",IFERROR("W"&amp;TEXT(WEEKNUM(B187,21),"00"),""))</f>
        <v/>
      </c>
      <c r="G187" s="33"/>
    </row>
    <row r="188" customFormat="false" ht="15" hidden="false" customHeight="false" outlineLevel="0" collapsed="false">
      <c r="A188" s="32" t="str">
        <f aca="false">IF(B188="","",ROW()-4)</f>
        <v/>
      </c>
      <c r="B188" s="43"/>
      <c r="C188" s="41"/>
      <c r="D188" s="46"/>
      <c r="E188" s="42"/>
      <c r="F188" s="32" t="str">
        <f aca="false">IF(B188="","",IFERROR("W"&amp;TEXT(WEEKNUM(B188,21),"00"),""))</f>
        <v/>
      </c>
      <c r="G188" s="41"/>
    </row>
    <row r="189" customFormat="false" ht="15" hidden="false" customHeight="false" outlineLevel="0" collapsed="false">
      <c r="A189" s="32" t="str">
        <f aca="false">IF(B189="","",ROW()-4)</f>
        <v/>
      </c>
      <c r="B189" s="35"/>
      <c r="C189" s="33"/>
      <c r="D189" s="45"/>
      <c r="E189" s="34"/>
      <c r="F189" s="32" t="str">
        <f aca="false">IF(B189="","",IFERROR("W"&amp;TEXT(WEEKNUM(B189,21),"00"),""))</f>
        <v/>
      </c>
      <c r="G189" s="33"/>
    </row>
    <row r="190" customFormat="false" ht="15" hidden="false" customHeight="false" outlineLevel="0" collapsed="false">
      <c r="A190" s="32" t="str">
        <f aca="false">IF(B190="","",ROW()-4)</f>
        <v/>
      </c>
      <c r="B190" s="43"/>
      <c r="C190" s="41"/>
      <c r="D190" s="46"/>
      <c r="E190" s="42"/>
      <c r="F190" s="32" t="str">
        <f aca="false">IF(B190="","",IFERROR("W"&amp;TEXT(WEEKNUM(B190,21),"00"),""))</f>
        <v/>
      </c>
      <c r="G190" s="41"/>
    </row>
    <row r="191" customFormat="false" ht="15" hidden="false" customHeight="false" outlineLevel="0" collapsed="false">
      <c r="A191" s="32" t="str">
        <f aca="false">IF(B191="","",ROW()-4)</f>
        <v/>
      </c>
      <c r="B191" s="35"/>
      <c r="C191" s="33"/>
      <c r="D191" s="45"/>
      <c r="E191" s="34"/>
      <c r="F191" s="32" t="str">
        <f aca="false">IF(B191="","",IFERROR("W"&amp;TEXT(WEEKNUM(B191,21),"00"),""))</f>
        <v/>
      </c>
      <c r="G191" s="33"/>
    </row>
    <row r="192" customFormat="false" ht="15" hidden="false" customHeight="false" outlineLevel="0" collapsed="false">
      <c r="A192" s="32" t="str">
        <f aca="false">IF(B192="","",ROW()-4)</f>
        <v/>
      </c>
      <c r="B192" s="43"/>
      <c r="C192" s="41"/>
      <c r="D192" s="46"/>
      <c r="E192" s="42"/>
      <c r="F192" s="32" t="str">
        <f aca="false">IF(B192="","",IFERROR("W"&amp;TEXT(WEEKNUM(B192,21),"00"),""))</f>
        <v/>
      </c>
      <c r="G192" s="41"/>
    </row>
    <row r="193" customFormat="false" ht="15" hidden="false" customHeight="false" outlineLevel="0" collapsed="false">
      <c r="A193" s="32" t="str">
        <f aca="false">IF(B193="","",ROW()-4)</f>
        <v/>
      </c>
      <c r="B193" s="35"/>
      <c r="C193" s="33"/>
      <c r="D193" s="45"/>
      <c r="E193" s="34"/>
      <c r="F193" s="32" t="str">
        <f aca="false">IF(B193="","",IFERROR("W"&amp;TEXT(WEEKNUM(B193,21),"00"),""))</f>
        <v/>
      </c>
      <c r="G193" s="33"/>
    </row>
    <row r="194" customFormat="false" ht="15" hidden="false" customHeight="false" outlineLevel="0" collapsed="false">
      <c r="A194" s="32" t="str">
        <f aca="false">IF(B194="","",ROW()-4)</f>
        <v/>
      </c>
      <c r="B194" s="43"/>
      <c r="C194" s="41"/>
      <c r="D194" s="46"/>
      <c r="E194" s="42"/>
      <c r="F194" s="32" t="str">
        <f aca="false">IF(B194="","",IFERROR("W"&amp;TEXT(WEEKNUM(B194,21),"00"),""))</f>
        <v/>
      </c>
      <c r="G194" s="41"/>
    </row>
    <row r="195" customFormat="false" ht="15" hidden="false" customHeight="false" outlineLevel="0" collapsed="false">
      <c r="A195" s="32" t="str">
        <f aca="false">IF(B195="","",ROW()-4)</f>
        <v/>
      </c>
      <c r="B195" s="35"/>
      <c r="C195" s="33"/>
      <c r="D195" s="45"/>
      <c r="E195" s="34"/>
      <c r="F195" s="32" t="str">
        <f aca="false">IF(B195="","",IFERROR("W"&amp;TEXT(WEEKNUM(B195,21),"00"),""))</f>
        <v/>
      </c>
      <c r="G195" s="33"/>
    </row>
    <row r="196" customFormat="false" ht="15" hidden="false" customHeight="false" outlineLevel="0" collapsed="false">
      <c r="A196" s="32" t="str">
        <f aca="false">IF(B196="","",ROW()-4)</f>
        <v/>
      </c>
      <c r="B196" s="43"/>
      <c r="C196" s="41"/>
      <c r="D196" s="46"/>
      <c r="E196" s="42"/>
      <c r="F196" s="32" t="str">
        <f aca="false">IF(B196="","",IFERROR("W"&amp;TEXT(WEEKNUM(B196,21),"00"),""))</f>
        <v/>
      </c>
      <c r="G196" s="41"/>
    </row>
    <row r="197" customFormat="false" ht="15" hidden="false" customHeight="false" outlineLevel="0" collapsed="false">
      <c r="A197" s="32" t="str">
        <f aca="false">IF(B197="","",ROW()-4)</f>
        <v/>
      </c>
      <c r="B197" s="35"/>
      <c r="C197" s="33"/>
      <c r="D197" s="45"/>
      <c r="E197" s="34"/>
      <c r="F197" s="32" t="str">
        <f aca="false">IF(B197="","",IFERROR("W"&amp;TEXT(WEEKNUM(B197,21),"00"),""))</f>
        <v/>
      </c>
      <c r="G197" s="33"/>
    </row>
    <row r="198" customFormat="false" ht="15" hidden="false" customHeight="false" outlineLevel="0" collapsed="false">
      <c r="A198" s="32" t="str">
        <f aca="false">IF(B198="","",ROW()-4)</f>
        <v/>
      </c>
      <c r="B198" s="43"/>
      <c r="C198" s="41"/>
      <c r="D198" s="46"/>
      <c r="E198" s="42"/>
      <c r="F198" s="32" t="str">
        <f aca="false">IF(B198="","",IFERROR("W"&amp;TEXT(WEEKNUM(B198,21),"00"),""))</f>
        <v/>
      </c>
      <c r="G198" s="41"/>
    </row>
    <row r="199" customFormat="false" ht="15" hidden="false" customHeight="false" outlineLevel="0" collapsed="false">
      <c r="A199" s="32" t="str">
        <f aca="false">IF(B199="","",ROW()-4)</f>
        <v/>
      </c>
      <c r="B199" s="35"/>
      <c r="C199" s="33"/>
      <c r="D199" s="45"/>
      <c r="E199" s="34"/>
      <c r="F199" s="32" t="str">
        <f aca="false">IF(B199="","",IFERROR("W"&amp;TEXT(WEEKNUM(B199,21),"00"),""))</f>
        <v/>
      </c>
      <c r="G199" s="33"/>
    </row>
    <row r="200" customFormat="false" ht="15" hidden="false" customHeight="false" outlineLevel="0" collapsed="false">
      <c r="A200" s="32" t="str">
        <f aca="false">IF(B200="","",ROW()-4)</f>
        <v/>
      </c>
      <c r="B200" s="43"/>
      <c r="C200" s="41"/>
      <c r="D200" s="46"/>
      <c r="E200" s="42"/>
      <c r="F200" s="32" t="str">
        <f aca="false">IF(B200="","",IFERROR("W"&amp;TEXT(WEEKNUM(B200,21),"00"),""))</f>
        <v/>
      </c>
      <c r="G200" s="41"/>
    </row>
    <row r="201" customFormat="false" ht="15" hidden="false" customHeight="false" outlineLevel="0" collapsed="false">
      <c r="A201" s="32" t="str">
        <f aca="false">IF(B201="","",ROW()-4)</f>
        <v/>
      </c>
      <c r="B201" s="35"/>
      <c r="C201" s="33"/>
      <c r="D201" s="45"/>
      <c r="E201" s="34"/>
      <c r="F201" s="32" t="str">
        <f aca="false">IF(B201="","",IFERROR("W"&amp;TEXT(WEEKNUM(B201,21),"00"),""))</f>
        <v/>
      </c>
      <c r="G201" s="33"/>
    </row>
    <row r="202" customFormat="false" ht="15" hidden="false" customHeight="false" outlineLevel="0" collapsed="false">
      <c r="A202" s="32" t="str">
        <f aca="false">IF(B202="","",ROW()-4)</f>
        <v/>
      </c>
      <c r="B202" s="43"/>
      <c r="C202" s="41"/>
      <c r="D202" s="46"/>
      <c r="E202" s="42"/>
      <c r="F202" s="32" t="str">
        <f aca="false">IF(B202="","",IFERROR("W"&amp;TEXT(WEEKNUM(B202,21),"00"),""))</f>
        <v/>
      </c>
      <c r="G202" s="41"/>
    </row>
    <row r="203" customFormat="false" ht="15" hidden="false" customHeight="false" outlineLevel="0" collapsed="false">
      <c r="A203" s="32" t="str">
        <f aca="false">IF(B203="","",ROW()-4)</f>
        <v/>
      </c>
      <c r="B203" s="35"/>
      <c r="C203" s="33"/>
      <c r="D203" s="45"/>
      <c r="E203" s="34"/>
      <c r="F203" s="32" t="str">
        <f aca="false">IF(B203="","",IFERROR("W"&amp;TEXT(WEEKNUM(B203,21),"00"),""))</f>
        <v/>
      </c>
      <c r="G203" s="33"/>
    </row>
    <row r="204" customFormat="false" ht="15" hidden="false" customHeight="false" outlineLevel="0" collapsed="false">
      <c r="A204" s="32" t="str">
        <f aca="false">IF(B204="","",ROW()-4)</f>
        <v/>
      </c>
      <c r="B204" s="43"/>
      <c r="C204" s="41"/>
      <c r="D204" s="46"/>
      <c r="E204" s="42"/>
      <c r="F204" s="32" t="str">
        <f aca="false">IF(B204="","",IFERROR("W"&amp;TEXT(WEEKNUM(B204,21),"00"),""))</f>
        <v/>
      </c>
      <c r="G204" s="41"/>
    </row>
    <row r="205" customFormat="false" ht="15" hidden="false" customHeight="false" outlineLevel="0" collapsed="false">
      <c r="A205" s="32" t="str">
        <f aca="false">IF(B205="","",ROW()-4)</f>
        <v/>
      </c>
      <c r="B205" s="35"/>
      <c r="C205" s="33"/>
      <c r="D205" s="45"/>
      <c r="E205" s="34"/>
      <c r="F205" s="32" t="str">
        <f aca="false">IF(B205="","",IFERROR("W"&amp;TEXT(WEEKNUM(B205,21),"00"),""))</f>
        <v/>
      </c>
      <c r="G205" s="33"/>
    </row>
    <row r="206" customFormat="false" ht="15" hidden="false" customHeight="false" outlineLevel="0" collapsed="false">
      <c r="A206" s="32" t="str">
        <f aca="false">IF(B206="","",ROW()-4)</f>
        <v/>
      </c>
      <c r="B206" s="43"/>
      <c r="C206" s="41"/>
      <c r="D206" s="46"/>
      <c r="E206" s="42"/>
      <c r="F206" s="32" t="str">
        <f aca="false">IF(B206="","",IFERROR("W"&amp;TEXT(WEEKNUM(B206,21),"00"),""))</f>
        <v/>
      </c>
      <c r="G206" s="41"/>
    </row>
    <row r="207" customFormat="false" ht="15" hidden="false" customHeight="false" outlineLevel="0" collapsed="false">
      <c r="A207" s="32" t="str">
        <f aca="false">IF(B207="","",ROW()-4)</f>
        <v/>
      </c>
      <c r="B207" s="35"/>
      <c r="C207" s="33"/>
      <c r="D207" s="45"/>
      <c r="E207" s="34"/>
      <c r="F207" s="32" t="str">
        <f aca="false">IF(B207="","",IFERROR("W"&amp;TEXT(WEEKNUM(B207,21),"00"),""))</f>
        <v/>
      </c>
      <c r="G207" s="33"/>
    </row>
    <row r="208" customFormat="false" ht="15" hidden="false" customHeight="false" outlineLevel="0" collapsed="false">
      <c r="A208" s="32" t="str">
        <f aca="false">IF(B208="","",ROW()-4)</f>
        <v/>
      </c>
      <c r="B208" s="43"/>
      <c r="C208" s="41"/>
      <c r="D208" s="46"/>
      <c r="E208" s="42"/>
      <c r="F208" s="32" t="str">
        <f aca="false">IF(B208="","",IFERROR("W"&amp;TEXT(WEEKNUM(B208,21),"00"),""))</f>
        <v/>
      </c>
      <c r="G208" s="41"/>
    </row>
    <row r="209" customFormat="false" ht="15" hidden="false" customHeight="false" outlineLevel="0" collapsed="false">
      <c r="A209" s="32" t="str">
        <f aca="false">IF(B209="","",ROW()-4)</f>
        <v/>
      </c>
      <c r="B209" s="35"/>
      <c r="C209" s="33"/>
      <c r="D209" s="45"/>
      <c r="E209" s="34"/>
      <c r="F209" s="32" t="str">
        <f aca="false">IF(B209="","",IFERROR("W"&amp;TEXT(WEEKNUM(B209,21),"00"),""))</f>
        <v/>
      </c>
      <c r="G209" s="33"/>
    </row>
    <row r="210" customFormat="false" ht="15" hidden="false" customHeight="false" outlineLevel="0" collapsed="false">
      <c r="A210" s="32" t="str">
        <f aca="false">IF(B210="","",ROW()-4)</f>
        <v/>
      </c>
      <c r="B210" s="43"/>
      <c r="C210" s="41"/>
      <c r="D210" s="46"/>
      <c r="E210" s="42"/>
      <c r="F210" s="32" t="str">
        <f aca="false">IF(B210="","",IFERROR("W"&amp;TEXT(WEEKNUM(B210,21),"00"),""))</f>
        <v/>
      </c>
      <c r="G210" s="41"/>
    </row>
    <row r="211" customFormat="false" ht="15" hidden="false" customHeight="false" outlineLevel="0" collapsed="false">
      <c r="A211" s="32" t="str">
        <f aca="false">IF(B211="","",ROW()-4)</f>
        <v/>
      </c>
      <c r="B211" s="35"/>
      <c r="C211" s="33"/>
      <c r="D211" s="45"/>
      <c r="E211" s="34"/>
      <c r="F211" s="32" t="str">
        <f aca="false">IF(B211="","",IFERROR("W"&amp;TEXT(WEEKNUM(B211,21),"00"),""))</f>
        <v/>
      </c>
      <c r="G211" s="33"/>
    </row>
    <row r="212" customFormat="false" ht="15" hidden="false" customHeight="false" outlineLevel="0" collapsed="false">
      <c r="A212" s="32" t="str">
        <f aca="false">IF(B212="","",ROW()-4)</f>
        <v/>
      </c>
      <c r="B212" s="43"/>
      <c r="C212" s="41"/>
      <c r="D212" s="46"/>
      <c r="E212" s="42"/>
      <c r="F212" s="32" t="str">
        <f aca="false">IF(B212="","",IFERROR("W"&amp;TEXT(WEEKNUM(B212,21),"00"),""))</f>
        <v/>
      </c>
      <c r="G212" s="41"/>
    </row>
    <row r="213" customFormat="false" ht="15" hidden="false" customHeight="false" outlineLevel="0" collapsed="false">
      <c r="A213" s="32" t="str">
        <f aca="false">IF(B213="","",ROW()-4)</f>
        <v/>
      </c>
      <c r="B213" s="35"/>
      <c r="C213" s="33"/>
      <c r="D213" s="45"/>
      <c r="E213" s="34"/>
      <c r="F213" s="32" t="str">
        <f aca="false">IF(B213="","",IFERROR("W"&amp;TEXT(WEEKNUM(B213,21),"00"),""))</f>
        <v/>
      </c>
      <c r="G213" s="33"/>
    </row>
    <row r="214" customFormat="false" ht="15" hidden="false" customHeight="false" outlineLevel="0" collapsed="false">
      <c r="A214" s="32" t="str">
        <f aca="false">IF(B214="","",ROW()-4)</f>
        <v/>
      </c>
      <c r="B214" s="43"/>
      <c r="C214" s="41"/>
      <c r="D214" s="46"/>
      <c r="E214" s="42"/>
      <c r="F214" s="32" t="str">
        <f aca="false">IF(B214="","",IFERROR("W"&amp;TEXT(WEEKNUM(B214,21),"00"),""))</f>
        <v/>
      </c>
      <c r="G214" s="41"/>
    </row>
    <row r="215" customFormat="false" ht="15" hidden="false" customHeight="false" outlineLevel="0" collapsed="false">
      <c r="A215" s="32" t="str">
        <f aca="false">IF(B215="","",ROW()-4)</f>
        <v/>
      </c>
      <c r="B215" s="35"/>
      <c r="C215" s="33"/>
      <c r="D215" s="45"/>
      <c r="E215" s="34"/>
      <c r="F215" s="32" t="str">
        <f aca="false">IF(B215="","",IFERROR("W"&amp;TEXT(WEEKNUM(B215,21),"00"),""))</f>
        <v/>
      </c>
      <c r="G215" s="33"/>
    </row>
    <row r="216" customFormat="false" ht="15" hidden="false" customHeight="false" outlineLevel="0" collapsed="false">
      <c r="A216" s="32" t="str">
        <f aca="false">IF(B216="","",ROW()-4)</f>
        <v/>
      </c>
      <c r="B216" s="43"/>
      <c r="C216" s="41"/>
      <c r="D216" s="46"/>
      <c r="E216" s="42"/>
      <c r="F216" s="32" t="str">
        <f aca="false">IF(B216="","",IFERROR("W"&amp;TEXT(WEEKNUM(B216,21),"00"),""))</f>
        <v/>
      </c>
      <c r="G216" s="41"/>
    </row>
    <row r="217" customFormat="false" ht="15" hidden="false" customHeight="false" outlineLevel="0" collapsed="false">
      <c r="A217" s="32" t="str">
        <f aca="false">IF(B217="","",ROW()-4)</f>
        <v/>
      </c>
      <c r="B217" s="35"/>
      <c r="C217" s="33"/>
      <c r="D217" s="45"/>
      <c r="E217" s="34"/>
      <c r="F217" s="32" t="str">
        <f aca="false">IF(B217="","",IFERROR("W"&amp;TEXT(WEEKNUM(B217,21),"00"),""))</f>
        <v/>
      </c>
      <c r="G217" s="33"/>
    </row>
    <row r="218" customFormat="false" ht="15" hidden="false" customHeight="false" outlineLevel="0" collapsed="false">
      <c r="A218" s="32" t="str">
        <f aca="false">IF(B218="","",ROW()-4)</f>
        <v/>
      </c>
      <c r="B218" s="43"/>
      <c r="C218" s="41"/>
      <c r="D218" s="46"/>
      <c r="E218" s="42"/>
      <c r="F218" s="32" t="str">
        <f aca="false">IF(B218="","",IFERROR("W"&amp;TEXT(WEEKNUM(B218,21),"00"),""))</f>
        <v/>
      </c>
      <c r="G218" s="41"/>
    </row>
    <row r="219" customFormat="false" ht="15" hidden="false" customHeight="false" outlineLevel="0" collapsed="false">
      <c r="A219" s="32" t="str">
        <f aca="false">IF(B219="","",ROW()-4)</f>
        <v/>
      </c>
      <c r="B219" s="35"/>
      <c r="C219" s="33"/>
      <c r="D219" s="45"/>
      <c r="E219" s="34"/>
      <c r="F219" s="32" t="str">
        <f aca="false">IF(B219="","",IFERROR("W"&amp;TEXT(WEEKNUM(B219,21),"00"),""))</f>
        <v/>
      </c>
      <c r="G219" s="33"/>
    </row>
    <row r="220" customFormat="false" ht="15" hidden="false" customHeight="false" outlineLevel="0" collapsed="false">
      <c r="A220" s="32" t="str">
        <f aca="false">IF(B220="","",ROW()-4)</f>
        <v/>
      </c>
      <c r="B220" s="43"/>
      <c r="C220" s="41"/>
      <c r="D220" s="46"/>
      <c r="E220" s="42"/>
      <c r="F220" s="32" t="str">
        <f aca="false">IF(B220="","",IFERROR("W"&amp;TEXT(WEEKNUM(B220,21),"00"),""))</f>
        <v/>
      </c>
      <c r="G220" s="41"/>
    </row>
    <row r="221" customFormat="false" ht="15" hidden="false" customHeight="false" outlineLevel="0" collapsed="false">
      <c r="A221" s="32" t="str">
        <f aca="false">IF(B221="","",ROW()-4)</f>
        <v/>
      </c>
      <c r="B221" s="35"/>
      <c r="C221" s="33"/>
      <c r="D221" s="45"/>
      <c r="E221" s="34"/>
      <c r="F221" s="32" t="str">
        <f aca="false">IF(B221="","",IFERROR("W"&amp;TEXT(WEEKNUM(B221,21),"00"),""))</f>
        <v/>
      </c>
      <c r="G221" s="33"/>
    </row>
    <row r="222" customFormat="false" ht="15" hidden="false" customHeight="false" outlineLevel="0" collapsed="false">
      <c r="A222" s="32" t="str">
        <f aca="false">IF(B222="","",ROW()-4)</f>
        <v/>
      </c>
      <c r="B222" s="43"/>
      <c r="C222" s="41"/>
      <c r="D222" s="46"/>
      <c r="E222" s="42"/>
      <c r="F222" s="32" t="str">
        <f aca="false">IF(B222="","",IFERROR("W"&amp;TEXT(WEEKNUM(B222,21),"00"),""))</f>
        <v/>
      </c>
      <c r="G222" s="41"/>
    </row>
    <row r="223" customFormat="false" ht="15" hidden="false" customHeight="false" outlineLevel="0" collapsed="false">
      <c r="A223" s="32" t="str">
        <f aca="false">IF(B223="","",ROW()-4)</f>
        <v/>
      </c>
      <c r="B223" s="35"/>
      <c r="C223" s="33"/>
      <c r="D223" s="45"/>
      <c r="E223" s="34"/>
      <c r="F223" s="32" t="str">
        <f aca="false">IF(B223="","",IFERROR("W"&amp;TEXT(WEEKNUM(B223,21),"00"),""))</f>
        <v/>
      </c>
      <c r="G223" s="33"/>
    </row>
    <row r="224" customFormat="false" ht="15" hidden="false" customHeight="false" outlineLevel="0" collapsed="false">
      <c r="A224" s="32" t="str">
        <f aca="false">IF(B224="","",ROW()-4)</f>
        <v/>
      </c>
      <c r="B224" s="43"/>
      <c r="C224" s="41"/>
      <c r="D224" s="46"/>
      <c r="E224" s="42"/>
      <c r="F224" s="32" t="str">
        <f aca="false">IF(B224="","",IFERROR("W"&amp;TEXT(WEEKNUM(B224,21),"00"),""))</f>
        <v/>
      </c>
      <c r="G224" s="41"/>
    </row>
    <row r="225" customFormat="false" ht="15" hidden="false" customHeight="false" outlineLevel="0" collapsed="false">
      <c r="A225" s="32" t="str">
        <f aca="false">IF(B225="","",ROW()-4)</f>
        <v/>
      </c>
      <c r="B225" s="35"/>
      <c r="C225" s="33"/>
      <c r="D225" s="45"/>
      <c r="E225" s="34"/>
      <c r="F225" s="32" t="str">
        <f aca="false">IF(B225="","",IFERROR("W"&amp;TEXT(WEEKNUM(B225,21),"00"),""))</f>
        <v/>
      </c>
      <c r="G225" s="33"/>
    </row>
    <row r="226" customFormat="false" ht="15" hidden="false" customHeight="false" outlineLevel="0" collapsed="false">
      <c r="A226" s="32" t="str">
        <f aca="false">IF(B226="","",ROW()-4)</f>
        <v/>
      </c>
      <c r="B226" s="43"/>
      <c r="C226" s="41"/>
      <c r="D226" s="46"/>
      <c r="E226" s="42"/>
      <c r="F226" s="32" t="str">
        <f aca="false">IF(B226="","",IFERROR("W"&amp;TEXT(WEEKNUM(B226,21),"00"),""))</f>
        <v/>
      </c>
      <c r="G226" s="41"/>
    </row>
    <row r="227" customFormat="false" ht="15" hidden="false" customHeight="false" outlineLevel="0" collapsed="false">
      <c r="A227" s="32" t="str">
        <f aca="false">IF(B227="","",ROW()-4)</f>
        <v/>
      </c>
      <c r="B227" s="35"/>
      <c r="C227" s="33"/>
      <c r="D227" s="45"/>
      <c r="E227" s="34"/>
      <c r="F227" s="32" t="str">
        <f aca="false">IF(B227="","",IFERROR("W"&amp;TEXT(WEEKNUM(B227,21),"00"),""))</f>
        <v/>
      </c>
      <c r="G227" s="33"/>
    </row>
    <row r="228" customFormat="false" ht="15" hidden="false" customHeight="false" outlineLevel="0" collapsed="false">
      <c r="A228" s="32" t="str">
        <f aca="false">IF(B228="","",ROW()-4)</f>
        <v/>
      </c>
      <c r="B228" s="43"/>
      <c r="C228" s="41"/>
      <c r="D228" s="46"/>
      <c r="E228" s="42"/>
      <c r="F228" s="32" t="str">
        <f aca="false">IF(B228="","",IFERROR("W"&amp;TEXT(WEEKNUM(B228,21),"00"),""))</f>
        <v/>
      </c>
      <c r="G228" s="41"/>
    </row>
    <row r="229" customFormat="false" ht="15" hidden="false" customHeight="false" outlineLevel="0" collapsed="false">
      <c r="A229" s="32" t="str">
        <f aca="false">IF(B229="","",ROW()-4)</f>
        <v/>
      </c>
      <c r="B229" s="35"/>
      <c r="C229" s="33"/>
      <c r="D229" s="45"/>
      <c r="E229" s="34"/>
      <c r="F229" s="32" t="str">
        <f aca="false">IF(B229="","",IFERROR("W"&amp;TEXT(WEEKNUM(B229,21),"00"),""))</f>
        <v/>
      </c>
      <c r="G229" s="33"/>
    </row>
    <row r="230" customFormat="false" ht="15" hidden="false" customHeight="false" outlineLevel="0" collapsed="false">
      <c r="A230" s="32" t="str">
        <f aca="false">IF(B230="","",ROW()-4)</f>
        <v/>
      </c>
      <c r="B230" s="43"/>
      <c r="C230" s="41"/>
      <c r="D230" s="46"/>
      <c r="E230" s="42"/>
      <c r="F230" s="32" t="str">
        <f aca="false">IF(B230="","",IFERROR("W"&amp;TEXT(WEEKNUM(B230,21),"00"),""))</f>
        <v/>
      </c>
      <c r="G230" s="41"/>
    </row>
    <row r="231" customFormat="false" ht="15" hidden="false" customHeight="false" outlineLevel="0" collapsed="false">
      <c r="A231" s="32" t="str">
        <f aca="false">IF(B231="","",ROW()-4)</f>
        <v/>
      </c>
      <c r="B231" s="35"/>
      <c r="C231" s="33"/>
      <c r="D231" s="45"/>
      <c r="E231" s="34"/>
      <c r="F231" s="32" t="str">
        <f aca="false">IF(B231="","",IFERROR("W"&amp;TEXT(WEEKNUM(B231,21),"00"),""))</f>
        <v/>
      </c>
      <c r="G231" s="33"/>
    </row>
    <row r="232" customFormat="false" ht="15" hidden="false" customHeight="false" outlineLevel="0" collapsed="false">
      <c r="A232" s="32" t="str">
        <f aca="false">IF(B232="","",ROW()-4)</f>
        <v/>
      </c>
      <c r="B232" s="43"/>
      <c r="C232" s="41"/>
      <c r="D232" s="46"/>
      <c r="E232" s="42"/>
      <c r="F232" s="32" t="str">
        <f aca="false">IF(B232="","",IFERROR("W"&amp;TEXT(WEEKNUM(B232,21),"00"),""))</f>
        <v/>
      </c>
      <c r="G232" s="41"/>
    </row>
    <row r="233" customFormat="false" ht="15" hidden="false" customHeight="false" outlineLevel="0" collapsed="false">
      <c r="A233" s="32" t="str">
        <f aca="false">IF(B233="","",ROW()-4)</f>
        <v/>
      </c>
      <c r="B233" s="35"/>
      <c r="C233" s="33"/>
      <c r="D233" s="45"/>
      <c r="E233" s="34"/>
      <c r="F233" s="32" t="str">
        <f aca="false">IF(B233="","",IFERROR("W"&amp;TEXT(WEEKNUM(B233,21),"00"),""))</f>
        <v/>
      </c>
      <c r="G233" s="33"/>
    </row>
    <row r="234" customFormat="false" ht="15" hidden="false" customHeight="false" outlineLevel="0" collapsed="false">
      <c r="A234" s="32" t="str">
        <f aca="false">IF(B234="","",ROW()-4)</f>
        <v/>
      </c>
      <c r="B234" s="43"/>
      <c r="C234" s="41"/>
      <c r="D234" s="46"/>
      <c r="E234" s="42"/>
      <c r="F234" s="32" t="str">
        <f aca="false">IF(B234="","",IFERROR("W"&amp;TEXT(WEEKNUM(B234,21),"00"),""))</f>
        <v/>
      </c>
      <c r="G234" s="41"/>
    </row>
    <row r="235" customFormat="false" ht="15" hidden="false" customHeight="false" outlineLevel="0" collapsed="false">
      <c r="A235" s="32" t="str">
        <f aca="false">IF(B235="","",ROW()-4)</f>
        <v/>
      </c>
      <c r="B235" s="35"/>
      <c r="C235" s="33"/>
      <c r="D235" s="45"/>
      <c r="E235" s="34"/>
      <c r="F235" s="32" t="str">
        <f aca="false">IF(B235="","",IFERROR("W"&amp;TEXT(WEEKNUM(B235,21),"00"),""))</f>
        <v/>
      </c>
      <c r="G235" s="33"/>
    </row>
    <row r="236" customFormat="false" ht="15" hidden="false" customHeight="false" outlineLevel="0" collapsed="false">
      <c r="A236" s="32" t="str">
        <f aca="false">IF(B236="","",ROW()-4)</f>
        <v/>
      </c>
      <c r="B236" s="43"/>
      <c r="C236" s="41"/>
      <c r="D236" s="46"/>
      <c r="E236" s="42"/>
      <c r="F236" s="32" t="str">
        <f aca="false">IF(B236="","",IFERROR("W"&amp;TEXT(WEEKNUM(B236,21),"00"),""))</f>
        <v/>
      </c>
      <c r="G236" s="41"/>
    </row>
    <row r="237" customFormat="false" ht="15" hidden="false" customHeight="false" outlineLevel="0" collapsed="false">
      <c r="A237" s="32" t="str">
        <f aca="false">IF(B237="","",ROW()-4)</f>
        <v/>
      </c>
      <c r="B237" s="35"/>
      <c r="C237" s="33"/>
      <c r="D237" s="45"/>
      <c r="E237" s="34"/>
      <c r="F237" s="32" t="str">
        <f aca="false">IF(B237="","",IFERROR("W"&amp;TEXT(WEEKNUM(B237,21),"00"),""))</f>
        <v/>
      </c>
      <c r="G237" s="33"/>
    </row>
    <row r="238" customFormat="false" ht="15" hidden="false" customHeight="false" outlineLevel="0" collapsed="false">
      <c r="A238" s="32" t="str">
        <f aca="false">IF(B238="","",ROW()-4)</f>
        <v/>
      </c>
      <c r="B238" s="43"/>
      <c r="C238" s="41"/>
      <c r="D238" s="46"/>
      <c r="E238" s="42"/>
      <c r="F238" s="32" t="str">
        <f aca="false">IF(B238="","",IFERROR("W"&amp;TEXT(WEEKNUM(B238,21),"00"),""))</f>
        <v/>
      </c>
      <c r="G238" s="41"/>
    </row>
    <row r="239" customFormat="false" ht="15" hidden="false" customHeight="false" outlineLevel="0" collapsed="false">
      <c r="A239" s="32" t="str">
        <f aca="false">IF(B239="","",ROW()-4)</f>
        <v/>
      </c>
      <c r="B239" s="35"/>
      <c r="C239" s="33"/>
      <c r="D239" s="45"/>
      <c r="E239" s="34"/>
      <c r="F239" s="32" t="str">
        <f aca="false">IF(B239="","",IFERROR("W"&amp;TEXT(WEEKNUM(B239,21),"00"),""))</f>
        <v/>
      </c>
      <c r="G239" s="33"/>
    </row>
    <row r="240" customFormat="false" ht="15" hidden="false" customHeight="false" outlineLevel="0" collapsed="false">
      <c r="A240" s="32" t="str">
        <f aca="false">IF(B240="","",ROW()-4)</f>
        <v/>
      </c>
      <c r="B240" s="43"/>
      <c r="C240" s="41"/>
      <c r="D240" s="46"/>
      <c r="E240" s="42"/>
      <c r="F240" s="32" t="str">
        <f aca="false">IF(B240="","",IFERROR("W"&amp;TEXT(WEEKNUM(B240,21),"00"),""))</f>
        <v/>
      </c>
      <c r="G240" s="41"/>
    </row>
    <row r="241" customFormat="false" ht="15" hidden="false" customHeight="false" outlineLevel="0" collapsed="false">
      <c r="A241" s="32" t="str">
        <f aca="false">IF(B241="","",ROW()-4)</f>
        <v/>
      </c>
      <c r="B241" s="35"/>
      <c r="C241" s="33"/>
      <c r="D241" s="45"/>
      <c r="E241" s="34"/>
      <c r="F241" s="32" t="str">
        <f aca="false">IF(B241="","",IFERROR("W"&amp;TEXT(WEEKNUM(B241,21),"00"),""))</f>
        <v/>
      </c>
      <c r="G241" s="33"/>
    </row>
    <row r="242" customFormat="false" ht="15" hidden="false" customHeight="false" outlineLevel="0" collapsed="false">
      <c r="A242" s="32" t="str">
        <f aca="false">IF(B242="","",ROW()-4)</f>
        <v/>
      </c>
      <c r="B242" s="43"/>
      <c r="C242" s="41"/>
      <c r="D242" s="46"/>
      <c r="E242" s="42"/>
      <c r="F242" s="32" t="str">
        <f aca="false">IF(B242="","",IFERROR("W"&amp;TEXT(WEEKNUM(B242,21),"00"),""))</f>
        <v/>
      </c>
      <c r="G242" s="41"/>
    </row>
    <row r="243" customFormat="false" ht="15" hidden="false" customHeight="false" outlineLevel="0" collapsed="false">
      <c r="A243" s="32" t="str">
        <f aca="false">IF(B243="","",ROW()-4)</f>
        <v/>
      </c>
      <c r="B243" s="35"/>
      <c r="C243" s="33"/>
      <c r="D243" s="45"/>
      <c r="E243" s="34"/>
      <c r="F243" s="32" t="str">
        <f aca="false">IF(B243="","",IFERROR("W"&amp;TEXT(WEEKNUM(B243,21),"00"),""))</f>
        <v/>
      </c>
      <c r="G243" s="33"/>
    </row>
    <row r="244" customFormat="false" ht="15" hidden="false" customHeight="false" outlineLevel="0" collapsed="false">
      <c r="A244" s="32" t="str">
        <f aca="false">IF(B244="","",ROW()-4)</f>
        <v/>
      </c>
      <c r="B244" s="43"/>
      <c r="C244" s="41"/>
      <c r="D244" s="46"/>
      <c r="E244" s="42"/>
      <c r="F244" s="32" t="str">
        <f aca="false">IF(B244="","",IFERROR("W"&amp;TEXT(WEEKNUM(B244,21),"00"),""))</f>
        <v/>
      </c>
      <c r="G244" s="41"/>
    </row>
    <row r="245" customFormat="false" ht="15" hidden="false" customHeight="false" outlineLevel="0" collapsed="false">
      <c r="A245" s="32" t="str">
        <f aca="false">IF(B245="","",ROW()-4)</f>
        <v/>
      </c>
      <c r="B245" s="35"/>
      <c r="C245" s="33"/>
      <c r="D245" s="45"/>
      <c r="E245" s="34"/>
      <c r="F245" s="32" t="str">
        <f aca="false">IF(B245="","",IFERROR("W"&amp;TEXT(WEEKNUM(B245,21),"00"),""))</f>
        <v/>
      </c>
      <c r="G245" s="33"/>
    </row>
    <row r="246" customFormat="false" ht="15" hidden="false" customHeight="false" outlineLevel="0" collapsed="false">
      <c r="A246" s="32" t="str">
        <f aca="false">IF(B246="","",ROW()-4)</f>
        <v/>
      </c>
      <c r="B246" s="43"/>
      <c r="C246" s="41"/>
      <c r="D246" s="46"/>
      <c r="E246" s="42"/>
      <c r="F246" s="32" t="str">
        <f aca="false">IF(B246="","",IFERROR("W"&amp;TEXT(WEEKNUM(B246,21),"00"),""))</f>
        <v/>
      </c>
      <c r="G246" s="41"/>
    </row>
    <row r="247" customFormat="false" ht="15" hidden="false" customHeight="false" outlineLevel="0" collapsed="false">
      <c r="A247" s="32" t="str">
        <f aca="false">IF(B247="","",ROW()-4)</f>
        <v/>
      </c>
      <c r="B247" s="35"/>
      <c r="C247" s="33"/>
      <c r="D247" s="45"/>
      <c r="E247" s="34"/>
      <c r="F247" s="32" t="str">
        <f aca="false">IF(B247="","",IFERROR("W"&amp;TEXT(WEEKNUM(B247,21),"00"),""))</f>
        <v/>
      </c>
      <c r="G247" s="33"/>
    </row>
    <row r="248" customFormat="false" ht="15" hidden="false" customHeight="false" outlineLevel="0" collapsed="false">
      <c r="A248" s="32" t="str">
        <f aca="false">IF(B248="","",ROW()-4)</f>
        <v/>
      </c>
      <c r="B248" s="43"/>
      <c r="C248" s="41"/>
      <c r="D248" s="46"/>
      <c r="E248" s="42"/>
      <c r="F248" s="32" t="str">
        <f aca="false">IF(B248="","",IFERROR("W"&amp;TEXT(WEEKNUM(B248,21),"00"),""))</f>
        <v/>
      </c>
      <c r="G248" s="41"/>
    </row>
    <row r="249" customFormat="false" ht="15" hidden="false" customHeight="false" outlineLevel="0" collapsed="false">
      <c r="A249" s="32" t="str">
        <f aca="false">IF(B249="","",ROW()-4)</f>
        <v/>
      </c>
      <c r="B249" s="35"/>
      <c r="C249" s="33"/>
      <c r="D249" s="45"/>
      <c r="E249" s="34"/>
      <c r="F249" s="32" t="str">
        <f aca="false">IF(B249="","",IFERROR("W"&amp;TEXT(WEEKNUM(B249,21),"00"),""))</f>
        <v/>
      </c>
      <c r="G249" s="33"/>
    </row>
    <row r="250" customFormat="false" ht="15" hidden="false" customHeight="false" outlineLevel="0" collapsed="false">
      <c r="A250" s="32" t="str">
        <f aca="false">IF(B250="","",ROW()-4)</f>
        <v/>
      </c>
      <c r="B250" s="43"/>
      <c r="C250" s="41"/>
      <c r="D250" s="46"/>
      <c r="E250" s="42"/>
      <c r="F250" s="32" t="str">
        <f aca="false">IF(B250="","",IFERROR("W"&amp;TEXT(WEEKNUM(B250,21),"00"),""))</f>
        <v/>
      </c>
      <c r="G250" s="41"/>
    </row>
    <row r="251" customFormat="false" ht="15" hidden="false" customHeight="false" outlineLevel="0" collapsed="false">
      <c r="A251" s="32" t="str">
        <f aca="false">IF(B251="","",ROW()-4)</f>
        <v/>
      </c>
      <c r="B251" s="35"/>
      <c r="C251" s="33"/>
      <c r="D251" s="45"/>
      <c r="E251" s="34"/>
      <c r="F251" s="32" t="str">
        <f aca="false">IF(B251="","",IFERROR("W"&amp;TEXT(WEEKNUM(B251,21),"00"),""))</f>
        <v/>
      </c>
      <c r="G251" s="33"/>
    </row>
    <row r="252" customFormat="false" ht="15" hidden="false" customHeight="false" outlineLevel="0" collapsed="false">
      <c r="A252" s="32" t="str">
        <f aca="false">IF(B252="","",ROW()-4)</f>
        <v/>
      </c>
      <c r="B252" s="43"/>
      <c r="C252" s="41"/>
      <c r="D252" s="46"/>
      <c r="E252" s="42"/>
      <c r="F252" s="32" t="str">
        <f aca="false">IF(B252="","",IFERROR("W"&amp;TEXT(WEEKNUM(B252,21),"00"),""))</f>
        <v/>
      </c>
      <c r="G252" s="41"/>
    </row>
    <row r="253" customFormat="false" ht="15" hidden="false" customHeight="false" outlineLevel="0" collapsed="false">
      <c r="A253" s="32" t="str">
        <f aca="false">IF(B253="","",ROW()-4)</f>
        <v/>
      </c>
      <c r="B253" s="35"/>
      <c r="C253" s="33"/>
      <c r="D253" s="45"/>
      <c r="E253" s="34"/>
      <c r="F253" s="32" t="str">
        <f aca="false">IF(B253="","",IFERROR("W"&amp;TEXT(WEEKNUM(B253,21),"00"),""))</f>
        <v/>
      </c>
      <c r="G253" s="33"/>
    </row>
    <row r="254" customFormat="false" ht="15" hidden="false" customHeight="false" outlineLevel="0" collapsed="false">
      <c r="A254" s="32" t="str">
        <f aca="false">IF(B254="","",ROW()-4)</f>
        <v/>
      </c>
      <c r="B254" s="43"/>
      <c r="C254" s="41"/>
      <c r="D254" s="46"/>
      <c r="E254" s="42"/>
      <c r="F254" s="32" t="str">
        <f aca="false">IF(B254="","",IFERROR("W"&amp;TEXT(WEEKNUM(B254,21),"00"),""))</f>
        <v/>
      </c>
      <c r="G254" s="41"/>
    </row>
    <row r="255" customFormat="false" ht="15" hidden="false" customHeight="false" outlineLevel="0" collapsed="false">
      <c r="A255" s="32" t="str">
        <f aca="false">IF(B255="","",ROW()-4)</f>
        <v/>
      </c>
      <c r="B255" s="35"/>
      <c r="C255" s="33"/>
      <c r="D255" s="45"/>
      <c r="E255" s="34"/>
      <c r="F255" s="32" t="str">
        <f aca="false">IF(B255="","",IFERROR("W"&amp;TEXT(WEEKNUM(B255,21),"00"),""))</f>
        <v/>
      </c>
      <c r="G255" s="33"/>
    </row>
    <row r="256" customFormat="false" ht="15" hidden="false" customHeight="false" outlineLevel="0" collapsed="false">
      <c r="A256" s="32" t="str">
        <f aca="false">IF(B256="","",ROW()-4)</f>
        <v/>
      </c>
      <c r="B256" s="43"/>
      <c r="C256" s="41"/>
      <c r="D256" s="46"/>
      <c r="E256" s="42"/>
      <c r="F256" s="32" t="str">
        <f aca="false">IF(B256="","",IFERROR("W"&amp;TEXT(WEEKNUM(B256,21),"00"),""))</f>
        <v/>
      </c>
      <c r="G256" s="41"/>
    </row>
    <row r="257" customFormat="false" ht="15" hidden="false" customHeight="false" outlineLevel="0" collapsed="false">
      <c r="A257" s="32" t="str">
        <f aca="false">IF(B257="","",ROW()-4)</f>
        <v/>
      </c>
      <c r="B257" s="35"/>
      <c r="C257" s="33"/>
      <c r="D257" s="45"/>
      <c r="E257" s="34"/>
      <c r="F257" s="32" t="str">
        <f aca="false">IF(B257="","",IFERROR("W"&amp;TEXT(WEEKNUM(B257,21),"00"),""))</f>
        <v/>
      </c>
      <c r="G257" s="33"/>
    </row>
    <row r="258" customFormat="false" ht="15" hidden="false" customHeight="false" outlineLevel="0" collapsed="false">
      <c r="A258" s="32" t="str">
        <f aca="false">IF(B258="","",ROW()-4)</f>
        <v/>
      </c>
      <c r="B258" s="43"/>
      <c r="C258" s="41"/>
      <c r="D258" s="46"/>
      <c r="E258" s="42"/>
      <c r="F258" s="32" t="str">
        <f aca="false">IF(B258="","",IFERROR("W"&amp;TEXT(WEEKNUM(B258,21),"00"),""))</f>
        <v/>
      </c>
      <c r="G258" s="41"/>
    </row>
    <row r="259" customFormat="false" ht="15" hidden="false" customHeight="false" outlineLevel="0" collapsed="false">
      <c r="A259" s="32" t="str">
        <f aca="false">IF(B259="","",ROW()-4)</f>
        <v/>
      </c>
      <c r="B259" s="35"/>
      <c r="C259" s="33"/>
      <c r="D259" s="45"/>
      <c r="E259" s="34"/>
      <c r="F259" s="32" t="str">
        <f aca="false">IF(B259="","",IFERROR("W"&amp;TEXT(WEEKNUM(B259,21),"00"),""))</f>
        <v/>
      </c>
      <c r="G259" s="33"/>
    </row>
    <row r="260" customFormat="false" ht="15" hidden="false" customHeight="false" outlineLevel="0" collapsed="false">
      <c r="A260" s="32" t="str">
        <f aca="false">IF(B260="","",ROW()-4)</f>
        <v/>
      </c>
      <c r="B260" s="43"/>
      <c r="C260" s="41"/>
      <c r="D260" s="46"/>
      <c r="E260" s="42"/>
      <c r="F260" s="32" t="str">
        <f aca="false">IF(B260="","",IFERROR("W"&amp;TEXT(WEEKNUM(B260,21),"00"),""))</f>
        <v/>
      </c>
      <c r="G260" s="41"/>
    </row>
    <row r="261" customFormat="false" ht="15" hidden="false" customHeight="false" outlineLevel="0" collapsed="false">
      <c r="A261" s="32" t="str">
        <f aca="false">IF(B261="","",ROW()-4)</f>
        <v/>
      </c>
      <c r="B261" s="35"/>
      <c r="C261" s="33"/>
      <c r="D261" s="45"/>
      <c r="E261" s="34"/>
      <c r="F261" s="32" t="str">
        <f aca="false">IF(B261="","",IFERROR("W"&amp;TEXT(WEEKNUM(B261,21),"00"),""))</f>
        <v/>
      </c>
      <c r="G261" s="33"/>
    </row>
    <row r="262" customFormat="false" ht="15" hidden="false" customHeight="false" outlineLevel="0" collapsed="false">
      <c r="A262" s="32" t="str">
        <f aca="false">IF(B262="","",ROW()-4)</f>
        <v/>
      </c>
      <c r="B262" s="43"/>
      <c r="C262" s="41"/>
      <c r="D262" s="46"/>
      <c r="E262" s="42"/>
      <c r="F262" s="32" t="str">
        <f aca="false">IF(B262="","",IFERROR("W"&amp;TEXT(WEEKNUM(B262,21),"00"),""))</f>
        <v/>
      </c>
      <c r="G262" s="41"/>
    </row>
    <row r="263" customFormat="false" ht="15" hidden="false" customHeight="false" outlineLevel="0" collapsed="false">
      <c r="A263" s="32" t="str">
        <f aca="false">IF(B263="","",ROW()-4)</f>
        <v/>
      </c>
      <c r="B263" s="35"/>
      <c r="C263" s="33"/>
      <c r="D263" s="45"/>
      <c r="E263" s="34"/>
      <c r="F263" s="32" t="str">
        <f aca="false">IF(B263="","",IFERROR("W"&amp;TEXT(WEEKNUM(B263,21),"00"),""))</f>
        <v/>
      </c>
      <c r="G263" s="33"/>
    </row>
    <row r="264" customFormat="false" ht="15" hidden="false" customHeight="false" outlineLevel="0" collapsed="false">
      <c r="A264" s="32" t="str">
        <f aca="false">IF(B264="","",ROW()-4)</f>
        <v/>
      </c>
      <c r="B264" s="43"/>
      <c r="C264" s="41"/>
      <c r="D264" s="46"/>
      <c r="E264" s="42"/>
      <c r="F264" s="32" t="str">
        <f aca="false">IF(B264="","",IFERROR("W"&amp;TEXT(WEEKNUM(B264,21),"00"),""))</f>
        <v/>
      </c>
      <c r="G264" s="41"/>
    </row>
    <row r="265" customFormat="false" ht="15" hidden="false" customHeight="false" outlineLevel="0" collapsed="false">
      <c r="A265" s="32" t="str">
        <f aca="false">IF(B265="","",ROW()-4)</f>
        <v/>
      </c>
      <c r="B265" s="35"/>
      <c r="C265" s="33"/>
      <c r="D265" s="45"/>
      <c r="E265" s="34"/>
      <c r="F265" s="32" t="str">
        <f aca="false">IF(B265="","",IFERROR("W"&amp;TEXT(WEEKNUM(B265,21),"00"),""))</f>
        <v/>
      </c>
      <c r="G265" s="33"/>
    </row>
    <row r="266" customFormat="false" ht="15" hidden="false" customHeight="false" outlineLevel="0" collapsed="false">
      <c r="A266" s="32" t="str">
        <f aca="false">IF(B266="","",ROW()-4)</f>
        <v/>
      </c>
      <c r="B266" s="43"/>
      <c r="C266" s="41"/>
      <c r="D266" s="46"/>
      <c r="E266" s="42"/>
      <c r="F266" s="32" t="str">
        <f aca="false">IF(B266="","",IFERROR("W"&amp;TEXT(WEEKNUM(B266,21),"00"),""))</f>
        <v/>
      </c>
      <c r="G266" s="41"/>
    </row>
    <row r="267" customFormat="false" ht="15" hidden="false" customHeight="false" outlineLevel="0" collapsed="false">
      <c r="A267" s="32" t="str">
        <f aca="false">IF(B267="","",ROW()-4)</f>
        <v/>
      </c>
      <c r="B267" s="35"/>
      <c r="C267" s="33"/>
      <c r="D267" s="45"/>
      <c r="E267" s="34"/>
      <c r="F267" s="32" t="str">
        <f aca="false">IF(B267="","",IFERROR("W"&amp;TEXT(WEEKNUM(B267,21),"00"),""))</f>
        <v/>
      </c>
      <c r="G267" s="33"/>
    </row>
    <row r="268" customFormat="false" ht="15" hidden="false" customHeight="false" outlineLevel="0" collapsed="false">
      <c r="A268" s="32" t="str">
        <f aca="false">IF(B268="","",ROW()-4)</f>
        <v/>
      </c>
      <c r="B268" s="43"/>
      <c r="C268" s="41"/>
      <c r="D268" s="46"/>
      <c r="E268" s="42"/>
      <c r="F268" s="32" t="str">
        <f aca="false">IF(B268="","",IFERROR("W"&amp;TEXT(WEEKNUM(B268,21),"00"),""))</f>
        <v/>
      </c>
      <c r="G268" s="41"/>
    </row>
    <row r="269" customFormat="false" ht="15" hidden="false" customHeight="false" outlineLevel="0" collapsed="false">
      <c r="A269" s="32" t="str">
        <f aca="false">IF(B269="","",ROW()-4)</f>
        <v/>
      </c>
      <c r="B269" s="35"/>
      <c r="C269" s="33"/>
      <c r="D269" s="45"/>
      <c r="E269" s="34"/>
      <c r="F269" s="32" t="str">
        <f aca="false">IF(B269="","",IFERROR("W"&amp;TEXT(WEEKNUM(B269,21),"00"),""))</f>
        <v/>
      </c>
      <c r="G269" s="33"/>
    </row>
    <row r="270" customFormat="false" ht="15" hidden="false" customHeight="false" outlineLevel="0" collapsed="false">
      <c r="A270" s="32" t="str">
        <f aca="false">IF(B270="","",ROW()-4)</f>
        <v/>
      </c>
      <c r="B270" s="43"/>
      <c r="C270" s="41"/>
      <c r="D270" s="46"/>
      <c r="E270" s="42"/>
      <c r="F270" s="32" t="str">
        <f aca="false">IF(B270="","",IFERROR("W"&amp;TEXT(WEEKNUM(B270,21),"00"),""))</f>
        <v/>
      </c>
      <c r="G270" s="41"/>
    </row>
    <row r="271" customFormat="false" ht="15" hidden="false" customHeight="false" outlineLevel="0" collapsed="false">
      <c r="A271" s="32" t="str">
        <f aca="false">IF(B271="","",ROW()-4)</f>
        <v/>
      </c>
      <c r="B271" s="35"/>
      <c r="C271" s="33"/>
      <c r="D271" s="45"/>
      <c r="E271" s="34"/>
      <c r="F271" s="32" t="str">
        <f aca="false">IF(B271="","",IFERROR("W"&amp;TEXT(WEEKNUM(B271,21),"00"),""))</f>
        <v/>
      </c>
      <c r="G271" s="33"/>
    </row>
    <row r="272" customFormat="false" ht="15" hidden="false" customHeight="false" outlineLevel="0" collapsed="false">
      <c r="A272" s="32" t="str">
        <f aca="false">IF(B272="","",ROW()-4)</f>
        <v/>
      </c>
      <c r="B272" s="43"/>
      <c r="C272" s="41"/>
      <c r="D272" s="46"/>
      <c r="E272" s="42"/>
      <c r="F272" s="32" t="str">
        <f aca="false">IF(B272="","",IFERROR("W"&amp;TEXT(WEEKNUM(B272,21),"00"),""))</f>
        <v/>
      </c>
      <c r="G272" s="41"/>
    </row>
    <row r="273" customFormat="false" ht="15" hidden="false" customHeight="false" outlineLevel="0" collapsed="false">
      <c r="A273" s="32" t="str">
        <f aca="false">IF(B273="","",ROW()-4)</f>
        <v/>
      </c>
      <c r="B273" s="35"/>
      <c r="C273" s="33"/>
      <c r="D273" s="45"/>
      <c r="E273" s="34"/>
      <c r="F273" s="32" t="str">
        <f aca="false">IF(B273="","",IFERROR("W"&amp;TEXT(WEEKNUM(B273,21),"00"),""))</f>
        <v/>
      </c>
      <c r="G273" s="33"/>
    </row>
    <row r="274" customFormat="false" ht="15" hidden="false" customHeight="false" outlineLevel="0" collapsed="false">
      <c r="A274" s="32" t="str">
        <f aca="false">IF(B274="","",ROW()-4)</f>
        <v/>
      </c>
      <c r="B274" s="43"/>
      <c r="C274" s="41"/>
      <c r="D274" s="46"/>
      <c r="E274" s="42"/>
      <c r="F274" s="32" t="str">
        <f aca="false">IF(B274="","",IFERROR("W"&amp;TEXT(WEEKNUM(B274,21),"00"),""))</f>
        <v/>
      </c>
      <c r="G274" s="41"/>
    </row>
    <row r="275" customFormat="false" ht="15" hidden="false" customHeight="false" outlineLevel="0" collapsed="false">
      <c r="A275" s="32" t="str">
        <f aca="false">IF(B275="","",ROW()-4)</f>
        <v/>
      </c>
      <c r="B275" s="35"/>
      <c r="C275" s="33"/>
      <c r="D275" s="45"/>
      <c r="E275" s="34"/>
      <c r="F275" s="32" t="str">
        <f aca="false">IF(B275="","",IFERROR("W"&amp;TEXT(WEEKNUM(B275,21),"00"),""))</f>
        <v/>
      </c>
      <c r="G275" s="33"/>
    </row>
    <row r="276" customFormat="false" ht="15" hidden="false" customHeight="false" outlineLevel="0" collapsed="false">
      <c r="A276" s="32" t="str">
        <f aca="false">IF(B276="","",ROW()-4)</f>
        <v/>
      </c>
      <c r="B276" s="43"/>
      <c r="C276" s="41"/>
      <c r="D276" s="46"/>
      <c r="E276" s="42"/>
      <c r="F276" s="32" t="str">
        <f aca="false">IF(B276="","",IFERROR("W"&amp;TEXT(WEEKNUM(B276,21),"00"),""))</f>
        <v/>
      </c>
      <c r="G276" s="41"/>
    </row>
    <row r="277" customFormat="false" ht="15" hidden="false" customHeight="false" outlineLevel="0" collapsed="false">
      <c r="A277" s="32" t="str">
        <f aca="false">IF(B277="","",ROW()-4)</f>
        <v/>
      </c>
      <c r="B277" s="35"/>
      <c r="C277" s="33"/>
      <c r="D277" s="45"/>
      <c r="E277" s="34"/>
      <c r="F277" s="32" t="str">
        <f aca="false">IF(B277="","",IFERROR("W"&amp;TEXT(WEEKNUM(B277,21),"00"),""))</f>
        <v/>
      </c>
      <c r="G277" s="33"/>
    </row>
    <row r="278" customFormat="false" ht="15" hidden="false" customHeight="false" outlineLevel="0" collapsed="false">
      <c r="A278" s="32" t="str">
        <f aca="false">IF(B278="","",ROW()-4)</f>
        <v/>
      </c>
      <c r="B278" s="43"/>
      <c r="C278" s="41"/>
      <c r="D278" s="46"/>
      <c r="E278" s="42"/>
      <c r="F278" s="32" t="str">
        <f aca="false">IF(B278="","",IFERROR("W"&amp;TEXT(WEEKNUM(B278,21),"00"),""))</f>
        <v/>
      </c>
      <c r="G278" s="41"/>
    </row>
    <row r="279" customFormat="false" ht="15" hidden="false" customHeight="false" outlineLevel="0" collapsed="false">
      <c r="A279" s="32" t="str">
        <f aca="false">IF(B279="","",ROW()-4)</f>
        <v/>
      </c>
      <c r="B279" s="35"/>
      <c r="C279" s="33"/>
      <c r="D279" s="45"/>
      <c r="E279" s="34"/>
      <c r="F279" s="32" t="str">
        <f aca="false">IF(B279="","",IFERROR("W"&amp;TEXT(WEEKNUM(B279,21),"00"),""))</f>
        <v/>
      </c>
      <c r="G279" s="33"/>
    </row>
    <row r="280" customFormat="false" ht="15" hidden="false" customHeight="false" outlineLevel="0" collapsed="false">
      <c r="A280" s="32" t="str">
        <f aca="false">IF(B280="","",ROW()-4)</f>
        <v/>
      </c>
      <c r="B280" s="43"/>
      <c r="C280" s="41"/>
      <c r="D280" s="46"/>
      <c r="E280" s="42"/>
      <c r="F280" s="32" t="str">
        <f aca="false">IF(B280="","",IFERROR("W"&amp;TEXT(WEEKNUM(B280,21),"00"),""))</f>
        <v/>
      </c>
      <c r="G280" s="41"/>
    </row>
    <row r="281" customFormat="false" ht="15" hidden="false" customHeight="false" outlineLevel="0" collapsed="false">
      <c r="A281" s="32" t="str">
        <f aca="false">IF(B281="","",ROW()-4)</f>
        <v/>
      </c>
      <c r="B281" s="35"/>
      <c r="C281" s="33"/>
      <c r="D281" s="45"/>
      <c r="E281" s="34"/>
      <c r="F281" s="32" t="str">
        <f aca="false">IF(B281="","",IFERROR("W"&amp;TEXT(WEEKNUM(B281,21),"00"),""))</f>
        <v/>
      </c>
      <c r="G281" s="33"/>
    </row>
    <row r="282" customFormat="false" ht="15" hidden="false" customHeight="false" outlineLevel="0" collapsed="false">
      <c r="A282" s="32" t="str">
        <f aca="false">IF(B282="","",ROW()-4)</f>
        <v/>
      </c>
      <c r="B282" s="43"/>
      <c r="C282" s="41"/>
      <c r="D282" s="46"/>
      <c r="E282" s="42"/>
      <c r="F282" s="32" t="str">
        <f aca="false">IF(B282="","",IFERROR("W"&amp;TEXT(WEEKNUM(B282,21),"00"),""))</f>
        <v/>
      </c>
      <c r="G282" s="41"/>
    </row>
    <row r="283" customFormat="false" ht="15" hidden="false" customHeight="false" outlineLevel="0" collapsed="false">
      <c r="A283" s="32" t="str">
        <f aca="false">IF(B283="","",ROW()-4)</f>
        <v/>
      </c>
      <c r="B283" s="35"/>
      <c r="C283" s="33"/>
      <c r="D283" s="45"/>
      <c r="E283" s="34"/>
      <c r="F283" s="32" t="str">
        <f aca="false">IF(B283="","",IFERROR("W"&amp;TEXT(WEEKNUM(B283,21),"00"),""))</f>
        <v/>
      </c>
      <c r="G283" s="33"/>
    </row>
    <row r="284" customFormat="false" ht="15" hidden="false" customHeight="false" outlineLevel="0" collapsed="false">
      <c r="A284" s="32" t="str">
        <f aca="false">IF(B284="","",ROW()-4)</f>
        <v/>
      </c>
      <c r="B284" s="43"/>
      <c r="C284" s="41"/>
      <c r="D284" s="46"/>
      <c r="E284" s="42"/>
      <c r="F284" s="32" t="str">
        <f aca="false">IF(B284="","",IFERROR("W"&amp;TEXT(WEEKNUM(B284,21),"00"),""))</f>
        <v/>
      </c>
      <c r="G284" s="41"/>
    </row>
    <row r="285" customFormat="false" ht="15" hidden="false" customHeight="false" outlineLevel="0" collapsed="false">
      <c r="A285" s="32" t="str">
        <f aca="false">IF(B285="","",ROW()-4)</f>
        <v/>
      </c>
      <c r="B285" s="35"/>
      <c r="C285" s="33"/>
      <c r="D285" s="45"/>
      <c r="E285" s="34"/>
      <c r="F285" s="32" t="str">
        <f aca="false">IF(B285="","",IFERROR("W"&amp;TEXT(WEEKNUM(B285,21),"00"),""))</f>
        <v/>
      </c>
      <c r="G285" s="33"/>
    </row>
    <row r="286" customFormat="false" ht="15" hidden="false" customHeight="false" outlineLevel="0" collapsed="false">
      <c r="A286" s="32" t="str">
        <f aca="false">IF(B286="","",ROW()-4)</f>
        <v/>
      </c>
      <c r="B286" s="43"/>
      <c r="C286" s="41"/>
      <c r="D286" s="46"/>
      <c r="E286" s="42"/>
      <c r="F286" s="32" t="str">
        <f aca="false">IF(B286="","",IFERROR("W"&amp;TEXT(WEEKNUM(B286,21),"00"),""))</f>
        <v/>
      </c>
      <c r="G286" s="41"/>
    </row>
    <row r="287" customFormat="false" ht="15" hidden="false" customHeight="false" outlineLevel="0" collapsed="false">
      <c r="A287" s="32" t="str">
        <f aca="false">IF(B287="","",ROW()-4)</f>
        <v/>
      </c>
      <c r="B287" s="35"/>
      <c r="C287" s="33"/>
      <c r="D287" s="45"/>
      <c r="E287" s="34"/>
      <c r="F287" s="32" t="str">
        <f aca="false">IF(B287="","",IFERROR("W"&amp;TEXT(WEEKNUM(B287,21),"00"),""))</f>
        <v/>
      </c>
      <c r="G287" s="33"/>
    </row>
    <row r="288" customFormat="false" ht="15" hidden="false" customHeight="false" outlineLevel="0" collapsed="false">
      <c r="A288" s="32" t="str">
        <f aca="false">IF(B288="","",ROW()-4)</f>
        <v/>
      </c>
      <c r="B288" s="43"/>
      <c r="C288" s="41"/>
      <c r="D288" s="46"/>
      <c r="E288" s="42"/>
      <c r="F288" s="32" t="str">
        <f aca="false">IF(B288="","",IFERROR("W"&amp;TEXT(WEEKNUM(B288,21),"00"),""))</f>
        <v/>
      </c>
      <c r="G288" s="41"/>
    </row>
    <row r="289" customFormat="false" ht="15" hidden="false" customHeight="false" outlineLevel="0" collapsed="false">
      <c r="A289" s="32" t="str">
        <f aca="false">IF(B289="","",ROW()-4)</f>
        <v/>
      </c>
      <c r="B289" s="35"/>
      <c r="C289" s="33"/>
      <c r="D289" s="45"/>
      <c r="E289" s="34"/>
      <c r="F289" s="32" t="str">
        <f aca="false">IF(B289="","",IFERROR("W"&amp;TEXT(WEEKNUM(B289,21),"00"),""))</f>
        <v/>
      </c>
      <c r="G289" s="33"/>
    </row>
    <row r="290" customFormat="false" ht="15" hidden="false" customHeight="false" outlineLevel="0" collapsed="false">
      <c r="A290" s="32" t="str">
        <f aca="false">IF(B290="","",ROW()-4)</f>
        <v/>
      </c>
      <c r="B290" s="43"/>
      <c r="C290" s="41"/>
      <c r="D290" s="46"/>
      <c r="E290" s="42"/>
      <c r="F290" s="32" t="str">
        <f aca="false">IF(B290="","",IFERROR("W"&amp;TEXT(WEEKNUM(B290,21),"00"),""))</f>
        <v/>
      </c>
      <c r="G290" s="41"/>
    </row>
    <row r="291" customFormat="false" ht="15" hidden="false" customHeight="false" outlineLevel="0" collapsed="false">
      <c r="A291" s="32" t="str">
        <f aca="false">IF(B291="","",ROW()-4)</f>
        <v/>
      </c>
      <c r="B291" s="35"/>
      <c r="C291" s="33"/>
      <c r="D291" s="45"/>
      <c r="E291" s="34"/>
      <c r="F291" s="32" t="str">
        <f aca="false">IF(B291="","",IFERROR("W"&amp;TEXT(WEEKNUM(B291,21),"00"),""))</f>
        <v/>
      </c>
      <c r="G291" s="33"/>
    </row>
    <row r="292" customFormat="false" ht="15" hidden="false" customHeight="false" outlineLevel="0" collapsed="false">
      <c r="A292" s="32" t="str">
        <f aca="false">IF(B292="","",ROW()-4)</f>
        <v/>
      </c>
      <c r="B292" s="43"/>
      <c r="C292" s="41"/>
      <c r="D292" s="46"/>
      <c r="E292" s="42"/>
      <c r="F292" s="32" t="str">
        <f aca="false">IF(B292="","",IFERROR("W"&amp;TEXT(WEEKNUM(B292,21),"00"),""))</f>
        <v/>
      </c>
      <c r="G292" s="41"/>
    </row>
    <row r="293" customFormat="false" ht="15" hidden="false" customHeight="false" outlineLevel="0" collapsed="false">
      <c r="A293" s="32" t="str">
        <f aca="false">IF(B293="","",ROW()-4)</f>
        <v/>
      </c>
      <c r="B293" s="35"/>
      <c r="C293" s="33"/>
      <c r="D293" s="45"/>
      <c r="E293" s="34"/>
      <c r="F293" s="32" t="str">
        <f aca="false">IF(B293="","",IFERROR("W"&amp;TEXT(WEEKNUM(B293,21),"00"),""))</f>
        <v/>
      </c>
      <c r="G293" s="33"/>
    </row>
    <row r="294" customFormat="false" ht="15" hidden="false" customHeight="false" outlineLevel="0" collapsed="false">
      <c r="A294" s="32" t="str">
        <f aca="false">IF(B294="","",ROW()-4)</f>
        <v/>
      </c>
      <c r="B294" s="43"/>
      <c r="C294" s="41"/>
      <c r="D294" s="46"/>
      <c r="E294" s="42"/>
      <c r="F294" s="32" t="str">
        <f aca="false">IF(B294="","",IFERROR("W"&amp;TEXT(WEEKNUM(B294,21),"00"),""))</f>
        <v/>
      </c>
      <c r="G294" s="41"/>
    </row>
    <row r="295" customFormat="false" ht="15" hidden="false" customHeight="false" outlineLevel="0" collapsed="false">
      <c r="A295" s="32" t="str">
        <f aca="false">IF(B295="","",ROW()-4)</f>
        <v/>
      </c>
      <c r="B295" s="35"/>
      <c r="C295" s="33"/>
      <c r="D295" s="45"/>
      <c r="E295" s="34"/>
      <c r="F295" s="32" t="str">
        <f aca="false">IF(B295="","",IFERROR("W"&amp;TEXT(WEEKNUM(B295,21),"00"),""))</f>
        <v/>
      </c>
      <c r="G295" s="33"/>
    </row>
    <row r="296" customFormat="false" ht="15" hidden="false" customHeight="false" outlineLevel="0" collapsed="false">
      <c r="A296" s="32" t="str">
        <f aca="false">IF(B296="","",ROW()-4)</f>
        <v/>
      </c>
      <c r="B296" s="43"/>
      <c r="C296" s="41"/>
      <c r="D296" s="46"/>
      <c r="E296" s="42"/>
      <c r="F296" s="32" t="str">
        <f aca="false">IF(B296="","",IFERROR("W"&amp;TEXT(WEEKNUM(B296,21),"00"),""))</f>
        <v/>
      </c>
      <c r="G296" s="41"/>
    </row>
    <row r="297" customFormat="false" ht="15" hidden="false" customHeight="false" outlineLevel="0" collapsed="false">
      <c r="A297" s="32" t="str">
        <f aca="false">IF(B297="","",ROW()-4)</f>
        <v/>
      </c>
      <c r="B297" s="35"/>
      <c r="C297" s="33"/>
      <c r="D297" s="45"/>
      <c r="E297" s="34"/>
      <c r="F297" s="32" t="str">
        <f aca="false">IF(B297="","",IFERROR("W"&amp;TEXT(WEEKNUM(B297,21),"00"),""))</f>
        <v/>
      </c>
      <c r="G297" s="33"/>
    </row>
    <row r="298" customFormat="false" ht="15" hidden="false" customHeight="false" outlineLevel="0" collapsed="false">
      <c r="A298" s="32" t="str">
        <f aca="false">IF(B298="","",ROW()-4)</f>
        <v/>
      </c>
      <c r="B298" s="43"/>
      <c r="C298" s="41"/>
      <c r="D298" s="46"/>
      <c r="E298" s="42"/>
      <c r="F298" s="32" t="str">
        <f aca="false">IF(B298="","",IFERROR("W"&amp;TEXT(WEEKNUM(B298,21),"00"),""))</f>
        <v/>
      </c>
      <c r="G298" s="41"/>
    </row>
    <row r="299" customFormat="false" ht="15" hidden="false" customHeight="false" outlineLevel="0" collapsed="false">
      <c r="A299" s="32" t="str">
        <f aca="false">IF(B299="","",ROW()-4)</f>
        <v/>
      </c>
      <c r="B299" s="35"/>
      <c r="C299" s="33"/>
      <c r="D299" s="45"/>
      <c r="E299" s="34"/>
      <c r="F299" s="32" t="str">
        <f aca="false">IF(B299="","",IFERROR("W"&amp;TEXT(WEEKNUM(B299,21),"00"),""))</f>
        <v/>
      </c>
      <c r="G299" s="33"/>
    </row>
    <row r="300" customFormat="false" ht="15" hidden="false" customHeight="false" outlineLevel="0" collapsed="false">
      <c r="A300" s="32" t="str">
        <f aca="false">IF(B300="","",ROW()-4)</f>
        <v/>
      </c>
      <c r="B300" s="43"/>
      <c r="C300" s="41"/>
      <c r="D300" s="46"/>
      <c r="E300" s="42"/>
      <c r="F300" s="32" t="str">
        <f aca="false">IF(B300="","",IFERROR("W"&amp;TEXT(WEEKNUM(B300,21),"00"),""))</f>
        <v/>
      </c>
      <c r="G300" s="41"/>
    </row>
    <row r="301" customFormat="false" ht="15" hidden="false" customHeight="false" outlineLevel="0" collapsed="false">
      <c r="A301" s="32" t="str">
        <f aca="false">IF(B301="","",ROW()-4)</f>
        <v/>
      </c>
      <c r="B301" s="35"/>
      <c r="C301" s="33"/>
      <c r="D301" s="45"/>
      <c r="E301" s="34"/>
      <c r="F301" s="32" t="str">
        <f aca="false">IF(B301="","",IFERROR("W"&amp;TEXT(WEEKNUM(B301,21),"00"),""))</f>
        <v/>
      </c>
      <c r="G301" s="33"/>
    </row>
    <row r="302" customFormat="false" ht="15" hidden="false" customHeight="false" outlineLevel="0" collapsed="false">
      <c r="A302" s="32" t="str">
        <f aca="false">IF(B302="","",ROW()-4)</f>
        <v/>
      </c>
      <c r="B302" s="43"/>
      <c r="C302" s="41"/>
      <c r="D302" s="46"/>
      <c r="E302" s="42"/>
      <c r="F302" s="32" t="str">
        <f aca="false">IF(B302="","",IFERROR("W"&amp;TEXT(WEEKNUM(B302,21),"00"),""))</f>
        <v/>
      </c>
      <c r="G302" s="41"/>
    </row>
    <row r="303" customFormat="false" ht="15" hidden="false" customHeight="false" outlineLevel="0" collapsed="false">
      <c r="A303" s="32" t="str">
        <f aca="false">IF(B303="","",ROW()-4)</f>
        <v/>
      </c>
      <c r="B303" s="35"/>
      <c r="C303" s="33"/>
      <c r="D303" s="45"/>
      <c r="E303" s="34"/>
      <c r="F303" s="32" t="str">
        <f aca="false">IF(B303="","",IFERROR("W"&amp;TEXT(WEEKNUM(B303,21),"00"),""))</f>
        <v/>
      </c>
      <c r="G303" s="33"/>
    </row>
    <row r="304" customFormat="false" ht="15" hidden="false" customHeight="false" outlineLevel="0" collapsed="false">
      <c r="A304" s="32" t="str">
        <f aca="false">IF(B304="","",ROW()-4)</f>
        <v/>
      </c>
      <c r="B304" s="43"/>
      <c r="C304" s="41"/>
      <c r="D304" s="46"/>
      <c r="E304" s="42"/>
      <c r="F304" s="32" t="str">
        <f aca="false">IF(B304="","",IFERROR("W"&amp;TEXT(WEEKNUM(B304,21),"00"),""))</f>
        <v/>
      </c>
      <c r="G304" s="41"/>
    </row>
  </sheetData>
  <autoFilter ref="A4:G304"/>
  <mergeCells count="2">
    <mergeCell ref="A1:G1"/>
    <mergeCell ref="A2:G2"/>
  </mergeCells>
  <dataValidations count="1">
    <dataValidation allowBlank="true" errorStyle="stop" operator="between" showDropDown="false" showErrorMessage="true" showInputMessage="false" sqref="C5:C304" type="list">
      <formula1>Chapters!$B$5:$B$29</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8"/>
    <col collapsed="false" customWidth="true" hidden="false" outlineLevel="0" max="7" min="4" style="0" width="12"/>
    <col collapsed="false" customWidth="true" hidden="false" outlineLevel="0" max="8" min="8" style="0" width="10"/>
    <col collapsed="false" customWidth="true" hidden="false" outlineLevel="0" max="9" min="9" style="0" width="36"/>
    <col collapsed="false" customWidth="true" hidden="false" outlineLevel="0" max="10" min="10" style="0" width="7"/>
  </cols>
  <sheetData>
    <row r="1" customFormat="false" ht="25.5" hidden="false" customHeight="true" outlineLevel="0" collapsed="false">
      <c r="A1" s="7" t="s">
        <v>80</v>
      </c>
      <c r="B1" s="7"/>
      <c r="C1" s="7"/>
      <c r="D1" s="7"/>
      <c r="E1" s="7"/>
      <c r="F1" s="7"/>
      <c r="G1" s="7"/>
      <c r="H1" s="7"/>
      <c r="I1" s="7"/>
      <c r="J1" s="7"/>
    </row>
    <row r="2" customFormat="false" ht="15" hidden="false" customHeight="false" outlineLevel="0" collapsed="false">
      <c r="A2" s="8" t="s">
        <v>81</v>
      </c>
      <c r="B2" s="8"/>
      <c r="C2" s="8"/>
      <c r="D2" s="8"/>
      <c r="E2" s="8"/>
      <c r="F2" s="8"/>
      <c r="G2" s="8"/>
      <c r="H2" s="8"/>
      <c r="I2" s="8"/>
      <c r="J2" s="8"/>
    </row>
    <row r="4" customFormat="false" ht="30" hidden="false" customHeight="true" outlineLevel="0" collapsed="false">
      <c r="A4" s="31" t="s">
        <v>49</v>
      </c>
      <c r="B4" s="31" t="s">
        <v>39</v>
      </c>
      <c r="C4" s="31" t="s">
        <v>82</v>
      </c>
      <c r="D4" s="31" t="s">
        <v>83</v>
      </c>
      <c r="E4" s="31" t="s">
        <v>84</v>
      </c>
      <c r="F4" s="31" t="s">
        <v>44</v>
      </c>
      <c r="G4" s="31" t="s">
        <v>43</v>
      </c>
      <c r="H4" s="31" t="s">
        <v>55</v>
      </c>
      <c r="I4" s="31" t="s">
        <v>85</v>
      </c>
      <c r="J4" s="31" t="s">
        <v>57</v>
      </c>
    </row>
    <row r="5" customFormat="false" ht="15" hidden="false" customHeight="false" outlineLevel="0" collapsed="false">
      <c r="A5" s="32" t="n">
        <f aca="false">IF(B5="","",ROW()-4)</f>
        <v>1</v>
      </c>
      <c r="B5" s="33" t="s">
        <v>58</v>
      </c>
      <c r="C5" s="33" t="s">
        <v>86</v>
      </c>
      <c r="D5" s="33" t="s">
        <v>87</v>
      </c>
      <c r="E5" s="35" t="n">
        <f aca="true">TODAY()-10</f>
        <v>46226</v>
      </c>
      <c r="F5" s="35" t="n">
        <f aca="true">TODAY()+4</f>
        <v>46240</v>
      </c>
      <c r="G5" s="33" t="s">
        <v>88</v>
      </c>
      <c r="H5" s="38" t="n">
        <f aca="true">IF(B5="","",IF(OR(G5="Submitted",G5="Done"),"—",IFERROR(IF(F5="","—",F5-TODAY()),"—")))</f>
        <v>4</v>
      </c>
      <c r="I5" s="33" t="s">
        <v>89</v>
      </c>
      <c r="J5" s="40" t="n">
        <f aca="false">IF(B5="","",IF(OR(G5="Submitted",G5="Done"),"",IF(ISNUMBER(F5),F5+ROW()/100000,"")))</f>
        <v>46240.00005</v>
      </c>
    </row>
    <row r="6" customFormat="false" ht="15" hidden="false" customHeight="false" outlineLevel="0" collapsed="false">
      <c r="A6" s="32" t="n">
        <f aca="false">IF(B6="","",ROW()-4)</f>
        <v>2</v>
      </c>
      <c r="B6" s="41" t="s">
        <v>60</v>
      </c>
      <c r="C6" s="41" t="s">
        <v>86</v>
      </c>
      <c r="D6" s="41" t="s">
        <v>90</v>
      </c>
      <c r="E6" s="43" t="n">
        <f aca="true">TODAY()-6</f>
        <v>46230</v>
      </c>
      <c r="F6" s="43" t="n">
        <f aca="true">TODAY()+9</f>
        <v>46245</v>
      </c>
      <c r="G6" s="41" t="s">
        <v>66</v>
      </c>
      <c r="H6" s="38" t="n">
        <f aca="true">IF(B6="","",IF(OR(G6="Submitted",G6="Done"),"—",IFERROR(IF(F6="","—",F6-TODAY()),"—")))</f>
        <v>9</v>
      </c>
      <c r="I6" s="41" t="s">
        <v>91</v>
      </c>
      <c r="J6" s="40" t="n">
        <f aca="false">IF(B6="","",IF(OR(G6="Submitted",G6="Done"),"",IF(ISNUMBER(F6),F6+ROW()/100000,"")))</f>
        <v>46245.00006</v>
      </c>
    </row>
    <row r="7" customFormat="false" ht="15" hidden="false" customHeight="false" outlineLevel="0" collapsed="false">
      <c r="A7" s="32" t="n">
        <f aca="false">IF(B7="","",ROW()-4)</f>
        <v>3</v>
      </c>
      <c r="B7" s="33" t="s">
        <v>62</v>
      </c>
      <c r="C7" s="33" t="s">
        <v>86</v>
      </c>
      <c r="D7" s="33" t="s">
        <v>92</v>
      </c>
      <c r="E7" s="35" t="n">
        <f aca="true">TODAY()-20</f>
        <v>46216</v>
      </c>
      <c r="F7" s="35" t="n">
        <f aca="true">TODAY()-15</f>
        <v>46221</v>
      </c>
      <c r="G7" s="33" t="s">
        <v>93</v>
      </c>
      <c r="H7" s="38" t="str">
        <f aca="true">IF(B7="","",IF(OR(G7="Submitted",G7="Done"),"—",IFERROR(IF(F7="","—",F7-TODAY()),"—")))</f>
        <v>—</v>
      </c>
      <c r="I7" s="33" t="s">
        <v>94</v>
      </c>
      <c r="J7" s="44" t="str">
        <f aca="false">IF(B7="","",IF(OR(G7="Submitted",G7="Done"),"",IF(ISNUMBER(F7),F7+ROW()/100000,"")))</f>
        <v/>
      </c>
    </row>
    <row r="8" customFormat="false" ht="15" hidden="false" customHeight="false" outlineLevel="0" collapsed="false">
      <c r="A8" s="32" t="str">
        <f aca="false">IF(B8="","",ROW()-4)</f>
        <v/>
      </c>
      <c r="B8" s="41"/>
      <c r="C8" s="41"/>
      <c r="D8" s="41"/>
      <c r="E8" s="43"/>
      <c r="F8" s="43"/>
      <c r="G8" s="41"/>
      <c r="H8" s="38" t="str">
        <f aca="true">IF(B8="","",IF(OR(G8="Submitted",G8="Done"),"—",IFERROR(IF(F8="","—",F8-TODAY()),"—")))</f>
        <v/>
      </c>
      <c r="I8" s="41"/>
      <c r="J8" s="44" t="str">
        <f aca="false">IF(B8="","",IF(OR(G8="Submitted",G8="Done"),"",IF(ISNUMBER(F8),F8+ROW()/100000,"")))</f>
        <v/>
      </c>
    </row>
    <row r="9" customFormat="false" ht="15" hidden="false" customHeight="false" outlineLevel="0" collapsed="false">
      <c r="A9" s="32" t="str">
        <f aca="false">IF(B9="","",ROW()-4)</f>
        <v/>
      </c>
      <c r="B9" s="33"/>
      <c r="C9" s="33"/>
      <c r="D9" s="33"/>
      <c r="E9" s="35"/>
      <c r="F9" s="35"/>
      <c r="G9" s="33"/>
      <c r="H9" s="38" t="str">
        <f aca="true">IF(B9="","",IF(OR(G9="Submitted",G9="Done"),"—",IFERROR(IF(F9="","—",F9-TODAY()),"—")))</f>
        <v/>
      </c>
      <c r="I9" s="33"/>
      <c r="J9" s="44" t="str">
        <f aca="false">IF(B9="","",IF(OR(G9="Submitted",G9="Done"),"",IF(ISNUMBER(F9),F9+ROW()/100000,"")))</f>
        <v/>
      </c>
    </row>
    <row r="10" customFormat="false" ht="15" hidden="false" customHeight="false" outlineLevel="0" collapsed="false">
      <c r="A10" s="32" t="str">
        <f aca="false">IF(B10="","",ROW()-4)</f>
        <v/>
      </c>
      <c r="B10" s="41"/>
      <c r="C10" s="41"/>
      <c r="D10" s="41"/>
      <c r="E10" s="43"/>
      <c r="F10" s="43"/>
      <c r="G10" s="41"/>
      <c r="H10" s="38" t="str">
        <f aca="true">IF(B10="","",IF(OR(G10="Submitted",G10="Done"),"—",IFERROR(IF(F10="","—",F10-TODAY()),"—")))</f>
        <v/>
      </c>
      <c r="I10" s="41"/>
      <c r="J10" s="44" t="str">
        <f aca="false">IF(B10="","",IF(OR(G10="Submitted",G10="Done"),"",IF(ISNUMBER(F10),F10+ROW()/100000,"")))</f>
        <v/>
      </c>
    </row>
    <row r="11" customFormat="false" ht="15" hidden="false" customHeight="false" outlineLevel="0" collapsed="false">
      <c r="A11" s="32" t="str">
        <f aca="false">IF(B11="","",ROW()-4)</f>
        <v/>
      </c>
      <c r="B11" s="33"/>
      <c r="C11" s="33"/>
      <c r="D11" s="33"/>
      <c r="E11" s="35"/>
      <c r="F11" s="35"/>
      <c r="G11" s="33"/>
      <c r="H11" s="38" t="str">
        <f aca="true">IF(B11="","",IF(OR(G11="Submitted",G11="Done"),"—",IFERROR(IF(F11="","—",F11-TODAY()),"—")))</f>
        <v/>
      </c>
      <c r="I11" s="33"/>
      <c r="J11" s="44" t="str">
        <f aca="false">IF(B11="","",IF(OR(G11="Submitted",G11="Done"),"",IF(ISNUMBER(F11),F11+ROW()/100000,"")))</f>
        <v/>
      </c>
    </row>
    <row r="12" customFormat="false" ht="15" hidden="false" customHeight="false" outlineLevel="0" collapsed="false">
      <c r="A12" s="32" t="str">
        <f aca="false">IF(B12="","",ROW()-4)</f>
        <v/>
      </c>
      <c r="B12" s="41"/>
      <c r="C12" s="41"/>
      <c r="D12" s="41"/>
      <c r="E12" s="43"/>
      <c r="F12" s="43"/>
      <c r="G12" s="41"/>
      <c r="H12" s="38" t="str">
        <f aca="true">IF(B12="","",IF(OR(G12="Submitted",G12="Done"),"—",IFERROR(IF(F12="","—",F12-TODAY()),"—")))</f>
        <v/>
      </c>
      <c r="I12" s="41"/>
      <c r="J12" s="44" t="str">
        <f aca="false">IF(B12="","",IF(OR(G12="Submitted",G12="Done"),"",IF(ISNUMBER(F12),F12+ROW()/100000,"")))</f>
        <v/>
      </c>
    </row>
    <row r="13" customFormat="false" ht="15" hidden="false" customHeight="false" outlineLevel="0" collapsed="false">
      <c r="A13" s="32" t="str">
        <f aca="false">IF(B13="","",ROW()-4)</f>
        <v/>
      </c>
      <c r="B13" s="33"/>
      <c r="C13" s="33"/>
      <c r="D13" s="33"/>
      <c r="E13" s="35"/>
      <c r="F13" s="35"/>
      <c r="G13" s="33"/>
      <c r="H13" s="38" t="str">
        <f aca="true">IF(B13="","",IF(OR(G13="Submitted",G13="Done"),"—",IFERROR(IF(F13="","—",F13-TODAY()),"—")))</f>
        <v/>
      </c>
      <c r="I13" s="33"/>
      <c r="J13" s="44" t="str">
        <f aca="false">IF(B13="","",IF(OR(G13="Submitted",G13="Done"),"",IF(ISNUMBER(F13),F13+ROW()/100000,"")))</f>
        <v/>
      </c>
    </row>
    <row r="14" customFormat="false" ht="15" hidden="false" customHeight="false" outlineLevel="0" collapsed="false">
      <c r="A14" s="32" t="str">
        <f aca="false">IF(B14="","",ROW()-4)</f>
        <v/>
      </c>
      <c r="B14" s="41"/>
      <c r="C14" s="41"/>
      <c r="D14" s="41"/>
      <c r="E14" s="43"/>
      <c r="F14" s="43"/>
      <c r="G14" s="41"/>
      <c r="H14" s="38" t="str">
        <f aca="true">IF(B14="","",IF(OR(G14="Submitted",G14="Done"),"—",IFERROR(IF(F14="","—",F14-TODAY()),"—")))</f>
        <v/>
      </c>
      <c r="I14" s="41"/>
      <c r="J14" s="44" t="str">
        <f aca="false">IF(B14="","",IF(OR(G14="Submitted",G14="Done"),"",IF(ISNUMBER(F14),F14+ROW()/100000,"")))</f>
        <v/>
      </c>
    </row>
    <row r="15" customFormat="false" ht="15" hidden="false" customHeight="false" outlineLevel="0" collapsed="false">
      <c r="A15" s="32" t="str">
        <f aca="false">IF(B15="","",ROW()-4)</f>
        <v/>
      </c>
      <c r="B15" s="33"/>
      <c r="C15" s="33"/>
      <c r="D15" s="33"/>
      <c r="E15" s="35"/>
      <c r="F15" s="35"/>
      <c r="G15" s="33"/>
      <c r="H15" s="38" t="str">
        <f aca="true">IF(B15="","",IF(OR(G15="Submitted",G15="Done"),"—",IFERROR(IF(F15="","—",F15-TODAY()),"—")))</f>
        <v/>
      </c>
      <c r="I15" s="33"/>
      <c r="J15" s="44" t="str">
        <f aca="false">IF(B15="","",IF(OR(G15="Submitted",G15="Done"),"",IF(ISNUMBER(F15),F15+ROW()/100000,"")))</f>
        <v/>
      </c>
    </row>
    <row r="16" customFormat="false" ht="15" hidden="false" customHeight="false" outlineLevel="0" collapsed="false">
      <c r="A16" s="32" t="str">
        <f aca="false">IF(B16="","",ROW()-4)</f>
        <v/>
      </c>
      <c r="B16" s="41"/>
      <c r="C16" s="41"/>
      <c r="D16" s="41"/>
      <c r="E16" s="43"/>
      <c r="F16" s="43"/>
      <c r="G16" s="41"/>
      <c r="H16" s="38" t="str">
        <f aca="true">IF(B16="","",IF(OR(G16="Submitted",G16="Done"),"—",IFERROR(IF(F16="","—",F16-TODAY()),"—")))</f>
        <v/>
      </c>
      <c r="I16" s="41"/>
      <c r="J16" s="44" t="str">
        <f aca="false">IF(B16="","",IF(OR(G16="Submitted",G16="Done"),"",IF(ISNUMBER(F16),F16+ROW()/100000,"")))</f>
        <v/>
      </c>
    </row>
    <row r="17" customFormat="false" ht="15" hidden="false" customHeight="false" outlineLevel="0" collapsed="false">
      <c r="A17" s="32" t="str">
        <f aca="false">IF(B17="","",ROW()-4)</f>
        <v/>
      </c>
      <c r="B17" s="33"/>
      <c r="C17" s="33"/>
      <c r="D17" s="33"/>
      <c r="E17" s="35"/>
      <c r="F17" s="35"/>
      <c r="G17" s="33"/>
      <c r="H17" s="38" t="str">
        <f aca="true">IF(B17="","",IF(OR(G17="Submitted",G17="Done"),"—",IFERROR(IF(F17="","—",F17-TODAY()),"—")))</f>
        <v/>
      </c>
      <c r="I17" s="33"/>
      <c r="J17" s="44" t="str">
        <f aca="false">IF(B17="","",IF(OR(G17="Submitted",G17="Done"),"",IF(ISNUMBER(F17),F17+ROW()/100000,"")))</f>
        <v/>
      </c>
    </row>
    <row r="18" customFormat="false" ht="15" hidden="false" customHeight="false" outlineLevel="0" collapsed="false">
      <c r="A18" s="32" t="str">
        <f aca="false">IF(B18="","",ROW()-4)</f>
        <v/>
      </c>
      <c r="B18" s="41"/>
      <c r="C18" s="41"/>
      <c r="D18" s="41"/>
      <c r="E18" s="43"/>
      <c r="F18" s="43"/>
      <c r="G18" s="41"/>
      <c r="H18" s="38" t="str">
        <f aca="true">IF(B18="","",IF(OR(G18="Submitted",G18="Done"),"—",IFERROR(IF(F18="","—",F18-TODAY()),"—")))</f>
        <v/>
      </c>
      <c r="I18" s="41"/>
      <c r="J18" s="44" t="str">
        <f aca="false">IF(B18="","",IF(OR(G18="Submitted",G18="Done"),"",IF(ISNUMBER(F18),F18+ROW()/100000,"")))</f>
        <v/>
      </c>
    </row>
    <row r="19" customFormat="false" ht="15" hidden="false" customHeight="false" outlineLevel="0" collapsed="false">
      <c r="A19" s="32" t="str">
        <f aca="false">IF(B19="","",ROW()-4)</f>
        <v/>
      </c>
      <c r="B19" s="33"/>
      <c r="C19" s="33"/>
      <c r="D19" s="33"/>
      <c r="E19" s="35"/>
      <c r="F19" s="35"/>
      <c r="G19" s="33"/>
      <c r="H19" s="38" t="str">
        <f aca="true">IF(B19="","",IF(OR(G19="Submitted",G19="Done"),"—",IFERROR(IF(F19="","—",F19-TODAY()),"—")))</f>
        <v/>
      </c>
      <c r="I19" s="33"/>
      <c r="J19" s="44" t="str">
        <f aca="false">IF(B19="","",IF(OR(G19="Submitted",G19="Done"),"",IF(ISNUMBER(F19),F19+ROW()/100000,"")))</f>
        <v/>
      </c>
    </row>
    <row r="20" customFormat="false" ht="15" hidden="false" customHeight="false" outlineLevel="0" collapsed="false">
      <c r="A20" s="32" t="str">
        <f aca="false">IF(B20="","",ROW()-4)</f>
        <v/>
      </c>
      <c r="B20" s="41"/>
      <c r="C20" s="41"/>
      <c r="D20" s="41"/>
      <c r="E20" s="43"/>
      <c r="F20" s="43"/>
      <c r="G20" s="41"/>
      <c r="H20" s="38" t="str">
        <f aca="true">IF(B20="","",IF(OR(G20="Submitted",G20="Done"),"—",IFERROR(IF(F20="","—",F20-TODAY()),"—")))</f>
        <v/>
      </c>
      <c r="I20" s="41"/>
      <c r="J20" s="44" t="str">
        <f aca="false">IF(B20="","",IF(OR(G20="Submitted",G20="Done"),"",IF(ISNUMBER(F20),F20+ROW()/100000,"")))</f>
        <v/>
      </c>
    </row>
    <row r="21" customFormat="false" ht="15" hidden="false" customHeight="false" outlineLevel="0" collapsed="false">
      <c r="A21" s="32" t="str">
        <f aca="false">IF(B21="","",ROW()-4)</f>
        <v/>
      </c>
      <c r="B21" s="33"/>
      <c r="C21" s="33"/>
      <c r="D21" s="33"/>
      <c r="E21" s="35"/>
      <c r="F21" s="35"/>
      <c r="G21" s="33"/>
      <c r="H21" s="38" t="str">
        <f aca="true">IF(B21="","",IF(OR(G21="Submitted",G21="Done"),"—",IFERROR(IF(F21="","—",F21-TODAY()),"—")))</f>
        <v/>
      </c>
      <c r="I21" s="33"/>
      <c r="J21" s="44" t="str">
        <f aca="false">IF(B21="","",IF(OR(G21="Submitted",G21="Done"),"",IF(ISNUMBER(F21),F21+ROW()/100000,"")))</f>
        <v/>
      </c>
    </row>
    <row r="22" customFormat="false" ht="15" hidden="false" customHeight="false" outlineLevel="0" collapsed="false">
      <c r="A22" s="32" t="str">
        <f aca="false">IF(B22="","",ROW()-4)</f>
        <v/>
      </c>
      <c r="B22" s="41"/>
      <c r="C22" s="41"/>
      <c r="D22" s="41"/>
      <c r="E22" s="43"/>
      <c r="F22" s="43"/>
      <c r="G22" s="41"/>
      <c r="H22" s="38" t="str">
        <f aca="true">IF(B22="","",IF(OR(G22="Submitted",G22="Done"),"—",IFERROR(IF(F22="","—",F22-TODAY()),"—")))</f>
        <v/>
      </c>
      <c r="I22" s="41"/>
      <c r="J22" s="44" t="str">
        <f aca="false">IF(B22="","",IF(OR(G22="Submitted",G22="Done"),"",IF(ISNUMBER(F22),F22+ROW()/100000,"")))</f>
        <v/>
      </c>
    </row>
    <row r="23" customFormat="false" ht="15" hidden="false" customHeight="false" outlineLevel="0" collapsed="false">
      <c r="A23" s="32" t="str">
        <f aca="false">IF(B23="","",ROW()-4)</f>
        <v/>
      </c>
      <c r="B23" s="33"/>
      <c r="C23" s="33"/>
      <c r="D23" s="33"/>
      <c r="E23" s="35"/>
      <c r="F23" s="35"/>
      <c r="G23" s="33"/>
      <c r="H23" s="38" t="str">
        <f aca="true">IF(B23="","",IF(OR(G23="Submitted",G23="Done"),"—",IFERROR(IF(F23="","—",F23-TODAY()),"—")))</f>
        <v/>
      </c>
      <c r="I23" s="33"/>
      <c r="J23" s="44" t="str">
        <f aca="false">IF(B23="","",IF(OR(G23="Submitted",G23="Done"),"",IF(ISNUMBER(F23),F23+ROW()/100000,"")))</f>
        <v/>
      </c>
    </row>
    <row r="24" customFormat="false" ht="15" hidden="false" customHeight="false" outlineLevel="0" collapsed="false">
      <c r="A24" s="32" t="str">
        <f aca="false">IF(B24="","",ROW()-4)</f>
        <v/>
      </c>
      <c r="B24" s="41"/>
      <c r="C24" s="41"/>
      <c r="D24" s="41"/>
      <c r="E24" s="43"/>
      <c r="F24" s="43"/>
      <c r="G24" s="41"/>
      <c r="H24" s="38" t="str">
        <f aca="true">IF(B24="","",IF(OR(G24="Submitted",G24="Done"),"—",IFERROR(IF(F24="","—",F24-TODAY()),"—")))</f>
        <v/>
      </c>
      <c r="I24" s="41"/>
      <c r="J24" s="44" t="str">
        <f aca="false">IF(B24="","",IF(OR(G24="Submitted",G24="Done"),"",IF(ISNUMBER(F24),F24+ROW()/100000,"")))</f>
        <v/>
      </c>
    </row>
    <row r="25" customFormat="false" ht="15" hidden="false" customHeight="false" outlineLevel="0" collapsed="false">
      <c r="A25" s="32" t="str">
        <f aca="false">IF(B25="","",ROW()-4)</f>
        <v/>
      </c>
      <c r="B25" s="33"/>
      <c r="C25" s="33"/>
      <c r="D25" s="33"/>
      <c r="E25" s="35"/>
      <c r="F25" s="35"/>
      <c r="G25" s="33"/>
      <c r="H25" s="38" t="str">
        <f aca="true">IF(B25="","",IF(OR(G25="Submitted",G25="Done"),"—",IFERROR(IF(F25="","—",F25-TODAY()),"—")))</f>
        <v/>
      </c>
      <c r="I25" s="33"/>
      <c r="J25" s="44" t="str">
        <f aca="false">IF(B25="","",IF(OR(G25="Submitted",G25="Done"),"",IF(ISNUMBER(F25),F25+ROW()/100000,"")))</f>
        <v/>
      </c>
    </row>
    <row r="26" customFormat="false" ht="15" hidden="false" customHeight="false" outlineLevel="0" collapsed="false">
      <c r="A26" s="32" t="str">
        <f aca="false">IF(B26="","",ROW()-4)</f>
        <v/>
      </c>
      <c r="B26" s="41"/>
      <c r="C26" s="41"/>
      <c r="D26" s="41"/>
      <c r="E26" s="43"/>
      <c r="F26" s="43"/>
      <c r="G26" s="41"/>
      <c r="H26" s="38" t="str">
        <f aca="true">IF(B26="","",IF(OR(G26="Submitted",G26="Done"),"—",IFERROR(IF(F26="","—",F26-TODAY()),"—")))</f>
        <v/>
      </c>
      <c r="I26" s="41"/>
      <c r="J26" s="44" t="str">
        <f aca="false">IF(B26="","",IF(OR(G26="Submitted",G26="Done"),"",IF(ISNUMBER(F26),F26+ROW()/100000,"")))</f>
        <v/>
      </c>
    </row>
    <row r="27" customFormat="false" ht="15" hidden="false" customHeight="false" outlineLevel="0" collapsed="false">
      <c r="A27" s="32" t="str">
        <f aca="false">IF(B27="","",ROW()-4)</f>
        <v/>
      </c>
      <c r="B27" s="33"/>
      <c r="C27" s="33"/>
      <c r="D27" s="33"/>
      <c r="E27" s="35"/>
      <c r="F27" s="35"/>
      <c r="G27" s="33"/>
      <c r="H27" s="38" t="str">
        <f aca="true">IF(B27="","",IF(OR(G27="Submitted",G27="Done"),"—",IFERROR(IF(F27="","—",F27-TODAY()),"—")))</f>
        <v/>
      </c>
      <c r="I27" s="33"/>
      <c r="J27" s="44" t="str">
        <f aca="false">IF(B27="","",IF(OR(G27="Submitted",G27="Done"),"",IF(ISNUMBER(F27),F27+ROW()/100000,"")))</f>
        <v/>
      </c>
    </row>
    <row r="28" customFormat="false" ht="15" hidden="false" customHeight="false" outlineLevel="0" collapsed="false">
      <c r="A28" s="32" t="str">
        <f aca="false">IF(B28="","",ROW()-4)</f>
        <v/>
      </c>
      <c r="B28" s="41"/>
      <c r="C28" s="41"/>
      <c r="D28" s="41"/>
      <c r="E28" s="43"/>
      <c r="F28" s="43"/>
      <c r="G28" s="41"/>
      <c r="H28" s="38" t="str">
        <f aca="true">IF(B28="","",IF(OR(G28="Submitted",G28="Done"),"—",IFERROR(IF(F28="","—",F28-TODAY()),"—")))</f>
        <v/>
      </c>
      <c r="I28" s="41"/>
      <c r="J28" s="44" t="str">
        <f aca="false">IF(B28="","",IF(OR(G28="Submitted",G28="Done"),"",IF(ISNUMBER(F28),F28+ROW()/100000,"")))</f>
        <v/>
      </c>
    </row>
    <row r="29" customFormat="false" ht="15" hidden="false" customHeight="false" outlineLevel="0" collapsed="false">
      <c r="A29" s="32" t="str">
        <f aca="false">IF(B29="","",ROW()-4)</f>
        <v/>
      </c>
      <c r="B29" s="33"/>
      <c r="C29" s="33"/>
      <c r="D29" s="33"/>
      <c r="E29" s="35"/>
      <c r="F29" s="35"/>
      <c r="G29" s="33"/>
      <c r="H29" s="38" t="str">
        <f aca="true">IF(B29="","",IF(OR(G29="Submitted",G29="Done"),"—",IFERROR(IF(F29="","—",F29-TODAY()),"—")))</f>
        <v/>
      </c>
      <c r="I29" s="33"/>
      <c r="J29" s="44" t="str">
        <f aca="false">IF(B29="","",IF(OR(G29="Submitted",G29="Done"),"",IF(ISNUMBER(F29),F29+ROW()/100000,"")))</f>
        <v/>
      </c>
    </row>
    <row r="30" customFormat="false" ht="15" hidden="false" customHeight="false" outlineLevel="0" collapsed="false">
      <c r="A30" s="32" t="str">
        <f aca="false">IF(B30="","",ROW()-4)</f>
        <v/>
      </c>
      <c r="B30" s="41"/>
      <c r="C30" s="41"/>
      <c r="D30" s="41"/>
      <c r="E30" s="43"/>
      <c r="F30" s="43"/>
      <c r="G30" s="41"/>
      <c r="H30" s="38" t="str">
        <f aca="true">IF(B30="","",IF(OR(G30="Submitted",G30="Done"),"—",IFERROR(IF(F30="","—",F30-TODAY()),"—")))</f>
        <v/>
      </c>
      <c r="I30" s="41"/>
      <c r="J30" s="44" t="str">
        <f aca="false">IF(B30="","",IF(OR(G30="Submitted",G30="Done"),"",IF(ISNUMBER(F30),F30+ROW()/100000,"")))</f>
        <v/>
      </c>
    </row>
    <row r="31" customFormat="false" ht="15" hidden="false" customHeight="false" outlineLevel="0" collapsed="false">
      <c r="A31" s="32" t="str">
        <f aca="false">IF(B31="","",ROW()-4)</f>
        <v/>
      </c>
      <c r="B31" s="33"/>
      <c r="C31" s="33"/>
      <c r="D31" s="33"/>
      <c r="E31" s="35"/>
      <c r="F31" s="35"/>
      <c r="G31" s="33"/>
      <c r="H31" s="38" t="str">
        <f aca="true">IF(B31="","",IF(OR(G31="Submitted",G31="Done"),"—",IFERROR(IF(F31="","—",F31-TODAY()),"—")))</f>
        <v/>
      </c>
      <c r="I31" s="33"/>
      <c r="J31" s="44" t="str">
        <f aca="false">IF(B31="","",IF(OR(G31="Submitted",G31="Done"),"",IF(ISNUMBER(F31),F31+ROW()/100000,"")))</f>
        <v/>
      </c>
    </row>
    <row r="32" customFormat="false" ht="15" hidden="false" customHeight="false" outlineLevel="0" collapsed="false">
      <c r="A32" s="32" t="str">
        <f aca="false">IF(B32="","",ROW()-4)</f>
        <v/>
      </c>
      <c r="B32" s="41"/>
      <c r="C32" s="41"/>
      <c r="D32" s="41"/>
      <c r="E32" s="43"/>
      <c r="F32" s="43"/>
      <c r="G32" s="41"/>
      <c r="H32" s="38" t="str">
        <f aca="true">IF(B32="","",IF(OR(G32="Submitted",G32="Done"),"—",IFERROR(IF(F32="","—",F32-TODAY()),"—")))</f>
        <v/>
      </c>
      <c r="I32" s="41"/>
      <c r="J32" s="44" t="str">
        <f aca="false">IF(B32="","",IF(OR(G32="Submitted",G32="Done"),"",IF(ISNUMBER(F32),F32+ROW()/100000,"")))</f>
        <v/>
      </c>
    </row>
    <row r="33" customFormat="false" ht="15" hidden="false" customHeight="false" outlineLevel="0" collapsed="false">
      <c r="A33" s="32" t="str">
        <f aca="false">IF(B33="","",ROW()-4)</f>
        <v/>
      </c>
      <c r="B33" s="33"/>
      <c r="C33" s="33"/>
      <c r="D33" s="33"/>
      <c r="E33" s="35"/>
      <c r="F33" s="35"/>
      <c r="G33" s="33"/>
      <c r="H33" s="38" t="str">
        <f aca="true">IF(B33="","",IF(OR(G33="Submitted",G33="Done"),"—",IFERROR(IF(F33="","—",F33-TODAY()),"—")))</f>
        <v/>
      </c>
      <c r="I33" s="33"/>
      <c r="J33" s="44" t="str">
        <f aca="false">IF(B33="","",IF(OR(G33="Submitted",G33="Done"),"",IF(ISNUMBER(F33),F33+ROW()/100000,"")))</f>
        <v/>
      </c>
    </row>
    <row r="34" customFormat="false" ht="15" hidden="false" customHeight="false" outlineLevel="0" collapsed="false">
      <c r="A34" s="32" t="str">
        <f aca="false">IF(B34="","",ROW()-4)</f>
        <v/>
      </c>
      <c r="B34" s="41"/>
      <c r="C34" s="41"/>
      <c r="D34" s="41"/>
      <c r="E34" s="43"/>
      <c r="F34" s="43"/>
      <c r="G34" s="41"/>
      <c r="H34" s="38" t="str">
        <f aca="true">IF(B34="","",IF(OR(G34="Submitted",G34="Done"),"—",IFERROR(IF(F34="","—",F34-TODAY()),"—")))</f>
        <v/>
      </c>
      <c r="I34" s="41"/>
      <c r="J34" s="44" t="str">
        <f aca="false">IF(B34="","",IF(OR(G34="Submitted",G34="Done"),"",IF(ISNUMBER(F34),F34+ROW()/100000,"")))</f>
        <v/>
      </c>
    </row>
    <row r="35" customFormat="false" ht="15" hidden="false" customHeight="false" outlineLevel="0" collapsed="false">
      <c r="A35" s="32" t="str">
        <f aca="false">IF(B35="","",ROW()-4)</f>
        <v/>
      </c>
      <c r="B35" s="33"/>
      <c r="C35" s="33"/>
      <c r="D35" s="33"/>
      <c r="E35" s="35"/>
      <c r="F35" s="35"/>
      <c r="G35" s="33"/>
      <c r="H35" s="38" t="str">
        <f aca="true">IF(B35="","",IF(OR(G35="Submitted",G35="Done"),"—",IFERROR(IF(F35="","—",F35-TODAY()),"—")))</f>
        <v/>
      </c>
      <c r="I35" s="33"/>
      <c r="J35" s="44" t="str">
        <f aca="false">IF(B35="","",IF(OR(G35="Submitted",G35="Done"),"",IF(ISNUMBER(F35),F35+ROW()/100000,"")))</f>
        <v/>
      </c>
    </row>
    <row r="36" customFormat="false" ht="15" hidden="false" customHeight="false" outlineLevel="0" collapsed="false">
      <c r="A36" s="32" t="str">
        <f aca="false">IF(B36="","",ROW()-4)</f>
        <v/>
      </c>
      <c r="B36" s="41"/>
      <c r="C36" s="41"/>
      <c r="D36" s="41"/>
      <c r="E36" s="43"/>
      <c r="F36" s="43"/>
      <c r="G36" s="41"/>
      <c r="H36" s="38" t="str">
        <f aca="true">IF(B36="","",IF(OR(G36="Submitted",G36="Done"),"—",IFERROR(IF(F36="","—",F36-TODAY()),"—")))</f>
        <v/>
      </c>
      <c r="I36" s="41"/>
      <c r="J36" s="44" t="str">
        <f aca="false">IF(B36="","",IF(OR(G36="Submitted",G36="Done"),"",IF(ISNUMBER(F36),F36+ROW()/100000,"")))</f>
        <v/>
      </c>
    </row>
    <row r="37" customFormat="false" ht="15" hidden="false" customHeight="false" outlineLevel="0" collapsed="false">
      <c r="A37" s="32" t="str">
        <f aca="false">IF(B37="","",ROW()-4)</f>
        <v/>
      </c>
      <c r="B37" s="33"/>
      <c r="C37" s="33"/>
      <c r="D37" s="33"/>
      <c r="E37" s="35"/>
      <c r="F37" s="35"/>
      <c r="G37" s="33"/>
      <c r="H37" s="38" t="str">
        <f aca="true">IF(B37="","",IF(OR(G37="Submitted",G37="Done"),"—",IFERROR(IF(F37="","—",F37-TODAY()),"—")))</f>
        <v/>
      </c>
      <c r="I37" s="33"/>
      <c r="J37" s="44" t="str">
        <f aca="false">IF(B37="","",IF(OR(G37="Submitted",G37="Done"),"",IF(ISNUMBER(F37),F37+ROW()/100000,"")))</f>
        <v/>
      </c>
    </row>
    <row r="38" customFormat="false" ht="15" hidden="false" customHeight="false" outlineLevel="0" collapsed="false">
      <c r="A38" s="32" t="str">
        <f aca="false">IF(B38="","",ROW()-4)</f>
        <v/>
      </c>
      <c r="B38" s="41"/>
      <c r="C38" s="41"/>
      <c r="D38" s="41"/>
      <c r="E38" s="43"/>
      <c r="F38" s="43"/>
      <c r="G38" s="41"/>
      <c r="H38" s="38" t="str">
        <f aca="true">IF(B38="","",IF(OR(G38="Submitted",G38="Done"),"—",IFERROR(IF(F38="","—",F38-TODAY()),"—")))</f>
        <v/>
      </c>
      <c r="I38" s="41"/>
      <c r="J38" s="44" t="str">
        <f aca="false">IF(B38="","",IF(OR(G38="Submitted",G38="Done"),"",IF(ISNUMBER(F38),F38+ROW()/100000,"")))</f>
        <v/>
      </c>
    </row>
    <row r="39" customFormat="false" ht="15" hidden="false" customHeight="false" outlineLevel="0" collapsed="false">
      <c r="A39" s="32" t="str">
        <f aca="false">IF(B39="","",ROW()-4)</f>
        <v/>
      </c>
      <c r="B39" s="33"/>
      <c r="C39" s="33"/>
      <c r="D39" s="33"/>
      <c r="E39" s="35"/>
      <c r="F39" s="35"/>
      <c r="G39" s="33"/>
      <c r="H39" s="38" t="str">
        <f aca="true">IF(B39="","",IF(OR(G39="Submitted",G39="Done"),"—",IFERROR(IF(F39="","—",F39-TODAY()),"—")))</f>
        <v/>
      </c>
      <c r="I39" s="33"/>
      <c r="J39" s="44" t="str">
        <f aca="false">IF(B39="","",IF(OR(G39="Submitted",G39="Done"),"",IF(ISNUMBER(F39),F39+ROW()/100000,"")))</f>
        <v/>
      </c>
    </row>
    <row r="40" customFormat="false" ht="15" hidden="false" customHeight="false" outlineLevel="0" collapsed="false">
      <c r="A40" s="32" t="str">
        <f aca="false">IF(B40="","",ROW()-4)</f>
        <v/>
      </c>
      <c r="B40" s="41"/>
      <c r="C40" s="41"/>
      <c r="D40" s="41"/>
      <c r="E40" s="43"/>
      <c r="F40" s="43"/>
      <c r="G40" s="41"/>
      <c r="H40" s="38" t="str">
        <f aca="true">IF(B40="","",IF(OR(G40="Submitted",G40="Done"),"—",IFERROR(IF(F40="","—",F40-TODAY()),"—")))</f>
        <v/>
      </c>
      <c r="I40" s="41"/>
      <c r="J40" s="44" t="str">
        <f aca="false">IF(B40="","",IF(OR(G40="Submitted",G40="Done"),"",IF(ISNUMBER(F40),F40+ROW()/100000,"")))</f>
        <v/>
      </c>
    </row>
    <row r="41" customFormat="false" ht="15" hidden="false" customHeight="false" outlineLevel="0" collapsed="false">
      <c r="A41" s="32" t="str">
        <f aca="false">IF(B41="","",ROW()-4)</f>
        <v/>
      </c>
      <c r="B41" s="33"/>
      <c r="C41" s="33"/>
      <c r="D41" s="33"/>
      <c r="E41" s="35"/>
      <c r="F41" s="35"/>
      <c r="G41" s="33"/>
      <c r="H41" s="38" t="str">
        <f aca="true">IF(B41="","",IF(OR(G41="Submitted",G41="Done"),"—",IFERROR(IF(F41="","—",F41-TODAY()),"—")))</f>
        <v/>
      </c>
      <c r="I41" s="33"/>
      <c r="J41" s="44" t="str">
        <f aca="false">IF(B41="","",IF(OR(G41="Submitted",G41="Done"),"",IF(ISNUMBER(F41),F41+ROW()/100000,"")))</f>
        <v/>
      </c>
    </row>
    <row r="42" customFormat="false" ht="15" hidden="false" customHeight="false" outlineLevel="0" collapsed="false">
      <c r="A42" s="32" t="str">
        <f aca="false">IF(B42="","",ROW()-4)</f>
        <v/>
      </c>
      <c r="B42" s="41"/>
      <c r="C42" s="41"/>
      <c r="D42" s="41"/>
      <c r="E42" s="43"/>
      <c r="F42" s="43"/>
      <c r="G42" s="41"/>
      <c r="H42" s="38" t="str">
        <f aca="true">IF(B42="","",IF(OR(G42="Submitted",G42="Done"),"—",IFERROR(IF(F42="","—",F42-TODAY()),"—")))</f>
        <v/>
      </c>
      <c r="I42" s="41"/>
      <c r="J42" s="44" t="str">
        <f aca="false">IF(B42="","",IF(OR(G42="Submitted",G42="Done"),"",IF(ISNUMBER(F42),F42+ROW()/100000,"")))</f>
        <v/>
      </c>
    </row>
    <row r="43" customFormat="false" ht="15" hidden="false" customHeight="false" outlineLevel="0" collapsed="false">
      <c r="A43" s="32" t="str">
        <f aca="false">IF(B43="","",ROW()-4)</f>
        <v/>
      </c>
      <c r="B43" s="33"/>
      <c r="C43" s="33"/>
      <c r="D43" s="33"/>
      <c r="E43" s="35"/>
      <c r="F43" s="35"/>
      <c r="G43" s="33"/>
      <c r="H43" s="38" t="str">
        <f aca="true">IF(B43="","",IF(OR(G43="Submitted",G43="Done"),"—",IFERROR(IF(F43="","—",F43-TODAY()),"—")))</f>
        <v/>
      </c>
      <c r="I43" s="33"/>
      <c r="J43" s="44" t="str">
        <f aca="false">IF(B43="","",IF(OR(G43="Submitted",G43="Done"),"",IF(ISNUMBER(F43),F43+ROW()/100000,"")))</f>
        <v/>
      </c>
    </row>
    <row r="44" customFormat="false" ht="15" hidden="false" customHeight="false" outlineLevel="0" collapsed="false">
      <c r="A44" s="32" t="str">
        <f aca="false">IF(B44="","",ROW()-4)</f>
        <v/>
      </c>
      <c r="B44" s="41"/>
      <c r="C44" s="41"/>
      <c r="D44" s="41"/>
      <c r="E44" s="43"/>
      <c r="F44" s="43"/>
      <c r="G44" s="41"/>
      <c r="H44" s="38" t="str">
        <f aca="true">IF(B44="","",IF(OR(G44="Submitted",G44="Done"),"—",IFERROR(IF(F44="","—",F44-TODAY()),"—")))</f>
        <v/>
      </c>
      <c r="I44" s="41"/>
      <c r="J44" s="44" t="str">
        <f aca="false">IF(B44="","",IF(OR(G44="Submitted",G44="Done"),"",IF(ISNUMBER(F44),F44+ROW()/100000,"")))</f>
        <v/>
      </c>
    </row>
    <row r="45" customFormat="false" ht="15" hidden="false" customHeight="false" outlineLevel="0" collapsed="false">
      <c r="A45" s="32" t="str">
        <f aca="false">IF(B45="","",ROW()-4)</f>
        <v/>
      </c>
      <c r="B45" s="33"/>
      <c r="C45" s="33"/>
      <c r="D45" s="33"/>
      <c r="E45" s="35"/>
      <c r="F45" s="35"/>
      <c r="G45" s="33"/>
      <c r="H45" s="38" t="str">
        <f aca="true">IF(B45="","",IF(OR(G45="Submitted",G45="Done"),"—",IFERROR(IF(F45="","—",F45-TODAY()),"—")))</f>
        <v/>
      </c>
      <c r="I45" s="33"/>
      <c r="J45" s="44" t="str">
        <f aca="false">IF(B45="","",IF(OR(G45="Submitted",G45="Done"),"",IF(ISNUMBER(F45),F45+ROW()/100000,"")))</f>
        <v/>
      </c>
    </row>
    <row r="46" customFormat="false" ht="15" hidden="false" customHeight="false" outlineLevel="0" collapsed="false">
      <c r="A46" s="32" t="str">
        <f aca="false">IF(B46="","",ROW()-4)</f>
        <v/>
      </c>
      <c r="B46" s="41"/>
      <c r="C46" s="41"/>
      <c r="D46" s="41"/>
      <c r="E46" s="43"/>
      <c r="F46" s="43"/>
      <c r="G46" s="41"/>
      <c r="H46" s="38" t="str">
        <f aca="true">IF(B46="","",IF(OR(G46="Submitted",G46="Done"),"—",IFERROR(IF(F46="","—",F46-TODAY()),"—")))</f>
        <v/>
      </c>
      <c r="I46" s="41"/>
      <c r="J46" s="44" t="str">
        <f aca="false">IF(B46="","",IF(OR(G46="Submitted",G46="Done"),"",IF(ISNUMBER(F46),F46+ROW()/100000,"")))</f>
        <v/>
      </c>
    </row>
    <row r="47" customFormat="false" ht="15" hidden="false" customHeight="false" outlineLevel="0" collapsed="false">
      <c r="A47" s="32" t="str">
        <f aca="false">IF(B47="","",ROW()-4)</f>
        <v/>
      </c>
      <c r="B47" s="33"/>
      <c r="C47" s="33"/>
      <c r="D47" s="33"/>
      <c r="E47" s="35"/>
      <c r="F47" s="35"/>
      <c r="G47" s="33"/>
      <c r="H47" s="38" t="str">
        <f aca="true">IF(B47="","",IF(OR(G47="Submitted",G47="Done"),"—",IFERROR(IF(F47="","—",F47-TODAY()),"—")))</f>
        <v/>
      </c>
      <c r="I47" s="33"/>
      <c r="J47" s="44" t="str">
        <f aca="false">IF(B47="","",IF(OR(G47="Submitted",G47="Done"),"",IF(ISNUMBER(F47),F47+ROW()/100000,"")))</f>
        <v/>
      </c>
    </row>
    <row r="48" customFormat="false" ht="15" hidden="false" customHeight="false" outlineLevel="0" collapsed="false">
      <c r="A48" s="32" t="str">
        <f aca="false">IF(B48="","",ROW()-4)</f>
        <v/>
      </c>
      <c r="B48" s="41"/>
      <c r="C48" s="41"/>
      <c r="D48" s="41"/>
      <c r="E48" s="43"/>
      <c r="F48" s="43"/>
      <c r="G48" s="41"/>
      <c r="H48" s="38" t="str">
        <f aca="true">IF(B48="","",IF(OR(G48="Submitted",G48="Done"),"—",IFERROR(IF(F48="","—",F48-TODAY()),"—")))</f>
        <v/>
      </c>
      <c r="I48" s="41"/>
      <c r="J48" s="44" t="str">
        <f aca="false">IF(B48="","",IF(OR(G48="Submitted",G48="Done"),"",IF(ISNUMBER(F48),F48+ROW()/100000,"")))</f>
        <v/>
      </c>
    </row>
    <row r="49" customFormat="false" ht="15" hidden="false" customHeight="false" outlineLevel="0" collapsed="false">
      <c r="A49" s="32" t="str">
        <f aca="false">IF(B49="","",ROW()-4)</f>
        <v/>
      </c>
      <c r="B49" s="33"/>
      <c r="C49" s="33"/>
      <c r="D49" s="33"/>
      <c r="E49" s="35"/>
      <c r="F49" s="35"/>
      <c r="G49" s="33"/>
      <c r="H49" s="38" t="str">
        <f aca="true">IF(B49="","",IF(OR(G49="Submitted",G49="Done"),"—",IFERROR(IF(F49="","—",F49-TODAY()),"—")))</f>
        <v/>
      </c>
      <c r="I49" s="33"/>
      <c r="J49" s="44" t="str">
        <f aca="false">IF(B49="","",IF(OR(G49="Submitted",G49="Done"),"",IF(ISNUMBER(F49),F49+ROW()/100000,"")))</f>
        <v/>
      </c>
    </row>
    <row r="50" customFormat="false" ht="15" hidden="false" customHeight="false" outlineLevel="0" collapsed="false">
      <c r="A50" s="32" t="str">
        <f aca="false">IF(B50="","",ROW()-4)</f>
        <v/>
      </c>
      <c r="B50" s="41"/>
      <c r="C50" s="41"/>
      <c r="D50" s="41"/>
      <c r="E50" s="43"/>
      <c r="F50" s="43"/>
      <c r="G50" s="41"/>
      <c r="H50" s="38" t="str">
        <f aca="true">IF(B50="","",IF(OR(G50="Submitted",G50="Done"),"—",IFERROR(IF(F50="","—",F50-TODAY()),"—")))</f>
        <v/>
      </c>
      <c r="I50" s="41"/>
      <c r="J50" s="44" t="str">
        <f aca="false">IF(B50="","",IF(OR(G50="Submitted",G50="Done"),"",IF(ISNUMBER(F50),F50+ROW()/100000,"")))</f>
        <v/>
      </c>
    </row>
    <row r="51" customFormat="false" ht="15" hidden="false" customHeight="false" outlineLevel="0" collapsed="false">
      <c r="A51" s="32" t="str">
        <f aca="false">IF(B51="","",ROW()-4)</f>
        <v/>
      </c>
      <c r="B51" s="33"/>
      <c r="C51" s="33"/>
      <c r="D51" s="33"/>
      <c r="E51" s="35"/>
      <c r="F51" s="35"/>
      <c r="G51" s="33"/>
      <c r="H51" s="38" t="str">
        <f aca="true">IF(B51="","",IF(OR(G51="Submitted",G51="Done"),"—",IFERROR(IF(F51="","—",F51-TODAY()),"—")))</f>
        <v/>
      </c>
      <c r="I51" s="33"/>
      <c r="J51" s="44" t="str">
        <f aca="false">IF(B51="","",IF(OR(G51="Submitted",G51="Done"),"",IF(ISNUMBER(F51),F51+ROW()/100000,"")))</f>
        <v/>
      </c>
    </row>
    <row r="52" customFormat="false" ht="15" hidden="false" customHeight="false" outlineLevel="0" collapsed="false">
      <c r="A52" s="32" t="str">
        <f aca="false">IF(B52="","",ROW()-4)</f>
        <v/>
      </c>
      <c r="B52" s="41"/>
      <c r="C52" s="41"/>
      <c r="D52" s="41"/>
      <c r="E52" s="43"/>
      <c r="F52" s="43"/>
      <c r="G52" s="41"/>
      <c r="H52" s="38" t="str">
        <f aca="true">IF(B52="","",IF(OR(G52="Submitted",G52="Done"),"—",IFERROR(IF(F52="","—",F52-TODAY()),"—")))</f>
        <v/>
      </c>
      <c r="I52" s="41"/>
      <c r="J52" s="44" t="str">
        <f aca="false">IF(B52="","",IF(OR(G52="Submitted",G52="Done"),"",IF(ISNUMBER(F52),F52+ROW()/100000,"")))</f>
        <v/>
      </c>
    </row>
    <row r="53" customFormat="false" ht="15" hidden="false" customHeight="false" outlineLevel="0" collapsed="false">
      <c r="A53" s="32" t="str">
        <f aca="false">IF(B53="","",ROW()-4)</f>
        <v/>
      </c>
      <c r="B53" s="33"/>
      <c r="C53" s="33"/>
      <c r="D53" s="33"/>
      <c r="E53" s="35"/>
      <c r="F53" s="35"/>
      <c r="G53" s="33"/>
      <c r="H53" s="38" t="str">
        <f aca="true">IF(B53="","",IF(OR(G53="Submitted",G53="Done"),"—",IFERROR(IF(F53="","—",F53-TODAY()),"—")))</f>
        <v/>
      </c>
      <c r="I53" s="33"/>
      <c r="J53" s="44" t="str">
        <f aca="false">IF(B53="","",IF(OR(G53="Submitted",G53="Done"),"",IF(ISNUMBER(F53),F53+ROW()/100000,"")))</f>
        <v/>
      </c>
    </row>
    <row r="54" customFormat="false" ht="15" hidden="false" customHeight="false" outlineLevel="0" collapsed="false">
      <c r="A54" s="32" t="str">
        <f aca="false">IF(B54="","",ROW()-4)</f>
        <v/>
      </c>
      <c r="B54" s="41"/>
      <c r="C54" s="41"/>
      <c r="D54" s="41"/>
      <c r="E54" s="43"/>
      <c r="F54" s="43"/>
      <c r="G54" s="41"/>
      <c r="H54" s="38" t="str">
        <f aca="true">IF(B54="","",IF(OR(G54="Submitted",G54="Done"),"—",IFERROR(IF(F54="","—",F54-TODAY()),"—")))</f>
        <v/>
      </c>
      <c r="I54" s="41"/>
      <c r="J54" s="44" t="str">
        <f aca="false">IF(B54="","",IF(OR(G54="Submitted",G54="Done"),"",IF(ISNUMBER(F54),F54+ROW()/100000,"")))</f>
        <v/>
      </c>
    </row>
    <row r="55" customFormat="false" ht="15" hidden="false" customHeight="false" outlineLevel="0" collapsed="false">
      <c r="A55" s="32" t="str">
        <f aca="false">IF(B55="","",ROW()-4)</f>
        <v/>
      </c>
      <c r="B55" s="33"/>
      <c r="C55" s="33"/>
      <c r="D55" s="33"/>
      <c r="E55" s="35"/>
      <c r="F55" s="35"/>
      <c r="G55" s="33"/>
      <c r="H55" s="38" t="str">
        <f aca="true">IF(B55="","",IF(OR(G55="Submitted",G55="Done"),"—",IFERROR(IF(F55="","—",F55-TODAY()),"—")))</f>
        <v/>
      </c>
      <c r="I55" s="33"/>
      <c r="J55" s="44" t="str">
        <f aca="false">IF(B55="","",IF(OR(G55="Submitted",G55="Done"),"",IF(ISNUMBER(F55),F55+ROW()/100000,"")))</f>
        <v/>
      </c>
    </row>
    <row r="56" customFormat="false" ht="15" hidden="false" customHeight="false" outlineLevel="0" collapsed="false">
      <c r="A56" s="32" t="str">
        <f aca="false">IF(B56="","",ROW()-4)</f>
        <v/>
      </c>
      <c r="B56" s="41"/>
      <c r="C56" s="41"/>
      <c r="D56" s="41"/>
      <c r="E56" s="43"/>
      <c r="F56" s="43"/>
      <c r="G56" s="41"/>
      <c r="H56" s="38" t="str">
        <f aca="true">IF(B56="","",IF(OR(G56="Submitted",G56="Done"),"—",IFERROR(IF(F56="","—",F56-TODAY()),"—")))</f>
        <v/>
      </c>
      <c r="I56" s="41"/>
      <c r="J56" s="44" t="str">
        <f aca="false">IF(B56="","",IF(OR(G56="Submitted",G56="Done"),"",IF(ISNUMBER(F56),F56+ROW()/100000,"")))</f>
        <v/>
      </c>
    </row>
    <row r="57" customFormat="false" ht="15" hidden="false" customHeight="false" outlineLevel="0" collapsed="false">
      <c r="A57" s="32" t="str">
        <f aca="false">IF(B57="","",ROW()-4)</f>
        <v/>
      </c>
      <c r="B57" s="33"/>
      <c r="C57" s="33"/>
      <c r="D57" s="33"/>
      <c r="E57" s="35"/>
      <c r="F57" s="35"/>
      <c r="G57" s="33"/>
      <c r="H57" s="38" t="str">
        <f aca="true">IF(B57="","",IF(OR(G57="Submitted",G57="Done"),"—",IFERROR(IF(F57="","—",F57-TODAY()),"—")))</f>
        <v/>
      </c>
      <c r="I57" s="33"/>
      <c r="J57" s="44" t="str">
        <f aca="false">IF(B57="","",IF(OR(G57="Submitted",G57="Done"),"",IF(ISNUMBER(F57),F57+ROW()/100000,"")))</f>
        <v/>
      </c>
    </row>
    <row r="58" customFormat="false" ht="15" hidden="false" customHeight="false" outlineLevel="0" collapsed="false">
      <c r="A58" s="32" t="str">
        <f aca="false">IF(B58="","",ROW()-4)</f>
        <v/>
      </c>
      <c r="B58" s="41"/>
      <c r="C58" s="41"/>
      <c r="D58" s="41"/>
      <c r="E58" s="43"/>
      <c r="F58" s="43"/>
      <c r="G58" s="41"/>
      <c r="H58" s="38" t="str">
        <f aca="true">IF(B58="","",IF(OR(G58="Submitted",G58="Done"),"—",IFERROR(IF(F58="","—",F58-TODAY()),"—")))</f>
        <v/>
      </c>
      <c r="I58" s="41"/>
      <c r="J58" s="44" t="str">
        <f aca="false">IF(B58="","",IF(OR(G58="Submitted",G58="Done"),"",IF(ISNUMBER(F58),F58+ROW()/100000,"")))</f>
        <v/>
      </c>
    </row>
    <row r="59" customFormat="false" ht="15" hidden="false" customHeight="false" outlineLevel="0" collapsed="false">
      <c r="A59" s="32" t="str">
        <f aca="false">IF(B59="","",ROW()-4)</f>
        <v/>
      </c>
      <c r="B59" s="33"/>
      <c r="C59" s="33"/>
      <c r="D59" s="33"/>
      <c r="E59" s="35"/>
      <c r="F59" s="35"/>
      <c r="G59" s="33"/>
      <c r="H59" s="38" t="str">
        <f aca="true">IF(B59="","",IF(OR(G59="Submitted",G59="Done"),"—",IFERROR(IF(F59="","—",F59-TODAY()),"—")))</f>
        <v/>
      </c>
      <c r="I59" s="33"/>
      <c r="J59" s="44" t="str">
        <f aca="false">IF(B59="","",IF(OR(G59="Submitted",G59="Done"),"",IF(ISNUMBER(F59),F59+ROW()/100000,"")))</f>
        <v/>
      </c>
    </row>
    <row r="60" customFormat="false" ht="15" hidden="false" customHeight="false" outlineLevel="0" collapsed="false">
      <c r="A60" s="32" t="str">
        <f aca="false">IF(B60="","",ROW()-4)</f>
        <v/>
      </c>
      <c r="B60" s="41"/>
      <c r="C60" s="41"/>
      <c r="D60" s="41"/>
      <c r="E60" s="43"/>
      <c r="F60" s="43"/>
      <c r="G60" s="41"/>
      <c r="H60" s="38" t="str">
        <f aca="true">IF(B60="","",IF(OR(G60="Submitted",G60="Done"),"—",IFERROR(IF(F60="","—",F60-TODAY()),"—")))</f>
        <v/>
      </c>
      <c r="I60" s="41"/>
      <c r="J60" s="44" t="str">
        <f aca="false">IF(B60="","",IF(OR(G60="Submitted",G60="Done"),"",IF(ISNUMBER(F60),F60+ROW()/100000,"")))</f>
        <v/>
      </c>
    </row>
    <row r="61" customFormat="false" ht="15" hidden="false" customHeight="false" outlineLevel="0" collapsed="false">
      <c r="A61" s="32" t="str">
        <f aca="false">IF(B61="","",ROW()-4)</f>
        <v/>
      </c>
      <c r="B61" s="33"/>
      <c r="C61" s="33"/>
      <c r="D61" s="33"/>
      <c r="E61" s="35"/>
      <c r="F61" s="35"/>
      <c r="G61" s="33"/>
      <c r="H61" s="38" t="str">
        <f aca="true">IF(B61="","",IF(OR(G61="Submitted",G61="Done"),"—",IFERROR(IF(F61="","—",F61-TODAY()),"—")))</f>
        <v/>
      </c>
      <c r="I61" s="33"/>
      <c r="J61" s="44" t="str">
        <f aca="false">IF(B61="","",IF(OR(G61="Submitted",G61="Done"),"",IF(ISNUMBER(F61),F61+ROW()/100000,"")))</f>
        <v/>
      </c>
    </row>
    <row r="62" customFormat="false" ht="15" hidden="false" customHeight="false" outlineLevel="0" collapsed="false">
      <c r="A62" s="32" t="str">
        <f aca="false">IF(B62="","",ROW()-4)</f>
        <v/>
      </c>
      <c r="B62" s="41"/>
      <c r="C62" s="41"/>
      <c r="D62" s="41"/>
      <c r="E62" s="43"/>
      <c r="F62" s="43"/>
      <c r="G62" s="41"/>
      <c r="H62" s="38" t="str">
        <f aca="true">IF(B62="","",IF(OR(G62="Submitted",G62="Done"),"—",IFERROR(IF(F62="","—",F62-TODAY()),"—")))</f>
        <v/>
      </c>
      <c r="I62" s="41"/>
      <c r="J62" s="44" t="str">
        <f aca="false">IF(B62="","",IF(OR(G62="Submitted",G62="Done"),"",IF(ISNUMBER(F62),F62+ROW()/100000,"")))</f>
        <v/>
      </c>
    </row>
    <row r="63" customFormat="false" ht="15" hidden="false" customHeight="false" outlineLevel="0" collapsed="false">
      <c r="A63" s="32" t="str">
        <f aca="false">IF(B63="","",ROW()-4)</f>
        <v/>
      </c>
      <c r="B63" s="33"/>
      <c r="C63" s="33"/>
      <c r="D63" s="33"/>
      <c r="E63" s="35"/>
      <c r="F63" s="35"/>
      <c r="G63" s="33"/>
      <c r="H63" s="38" t="str">
        <f aca="true">IF(B63="","",IF(OR(G63="Submitted",G63="Done"),"—",IFERROR(IF(F63="","—",F63-TODAY()),"—")))</f>
        <v/>
      </c>
      <c r="I63" s="33"/>
      <c r="J63" s="44" t="str">
        <f aca="false">IF(B63="","",IF(OR(G63="Submitted",G63="Done"),"",IF(ISNUMBER(F63),F63+ROW()/100000,"")))</f>
        <v/>
      </c>
    </row>
    <row r="64" customFormat="false" ht="15" hidden="false" customHeight="false" outlineLevel="0" collapsed="false">
      <c r="A64" s="32" t="str">
        <f aca="false">IF(B64="","",ROW()-4)</f>
        <v/>
      </c>
      <c r="B64" s="41"/>
      <c r="C64" s="41"/>
      <c r="D64" s="41"/>
      <c r="E64" s="43"/>
      <c r="F64" s="43"/>
      <c r="G64" s="41"/>
      <c r="H64" s="38" t="str">
        <f aca="true">IF(B64="","",IF(OR(G64="Submitted",G64="Done"),"—",IFERROR(IF(F64="","—",F64-TODAY()),"—")))</f>
        <v/>
      </c>
      <c r="I64" s="41"/>
      <c r="J64" s="44" t="str">
        <f aca="false">IF(B64="","",IF(OR(G64="Submitted",G64="Done"),"",IF(ISNUMBER(F64),F64+ROW()/100000,"")))</f>
        <v/>
      </c>
    </row>
    <row r="65" customFormat="false" ht="15" hidden="false" customHeight="false" outlineLevel="0" collapsed="false">
      <c r="A65" s="32" t="str">
        <f aca="false">IF(B65="","",ROW()-4)</f>
        <v/>
      </c>
      <c r="B65" s="33"/>
      <c r="C65" s="33"/>
      <c r="D65" s="33"/>
      <c r="E65" s="35"/>
      <c r="F65" s="35"/>
      <c r="G65" s="33"/>
      <c r="H65" s="38" t="str">
        <f aca="true">IF(B65="","",IF(OR(G65="Submitted",G65="Done"),"—",IFERROR(IF(F65="","—",F65-TODAY()),"—")))</f>
        <v/>
      </c>
      <c r="I65" s="33"/>
      <c r="J65" s="44" t="str">
        <f aca="false">IF(B65="","",IF(OR(G65="Submitted",G65="Done"),"",IF(ISNUMBER(F65),F65+ROW()/100000,"")))</f>
        <v/>
      </c>
    </row>
    <row r="66" customFormat="false" ht="15" hidden="false" customHeight="false" outlineLevel="0" collapsed="false">
      <c r="A66" s="32" t="str">
        <f aca="false">IF(B66="","",ROW()-4)</f>
        <v/>
      </c>
      <c r="B66" s="41"/>
      <c r="C66" s="41"/>
      <c r="D66" s="41"/>
      <c r="E66" s="43"/>
      <c r="F66" s="43"/>
      <c r="G66" s="41"/>
      <c r="H66" s="38" t="str">
        <f aca="true">IF(B66="","",IF(OR(G66="Submitted",G66="Done"),"—",IFERROR(IF(F66="","—",F66-TODAY()),"—")))</f>
        <v/>
      </c>
      <c r="I66" s="41"/>
      <c r="J66" s="44" t="str">
        <f aca="false">IF(B66="","",IF(OR(G66="Submitted",G66="Done"),"",IF(ISNUMBER(F66),F66+ROW()/100000,"")))</f>
        <v/>
      </c>
    </row>
    <row r="67" customFormat="false" ht="15" hidden="false" customHeight="false" outlineLevel="0" collapsed="false">
      <c r="A67" s="32" t="str">
        <f aca="false">IF(B67="","",ROW()-4)</f>
        <v/>
      </c>
      <c r="B67" s="33"/>
      <c r="C67" s="33"/>
      <c r="D67" s="33"/>
      <c r="E67" s="35"/>
      <c r="F67" s="35"/>
      <c r="G67" s="33"/>
      <c r="H67" s="38" t="str">
        <f aca="true">IF(B67="","",IF(OR(G67="Submitted",G67="Done"),"—",IFERROR(IF(F67="","—",F67-TODAY()),"—")))</f>
        <v/>
      </c>
      <c r="I67" s="33"/>
      <c r="J67" s="44" t="str">
        <f aca="false">IF(B67="","",IF(OR(G67="Submitted",G67="Done"),"",IF(ISNUMBER(F67),F67+ROW()/100000,"")))</f>
        <v/>
      </c>
    </row>
    <row r="68" customFormat="false" ht="15" hidden="false" customHeight="false" outlineLevel="0" collapsed="false">
      <c r="A68" s="32" t="str">
        <f aca="false">IF(B68="","",ROW()-4)</f>
        <v/>
      </c>
      <c r="B68" s="41"/>
      <c r="C68" s="41"/>
      <c r="D68" s="41"/>
      <c r="E68" s="43"/>
      <c r="F68" s="43"/>
      <c r="G68" s="41"/>
      <c r="H68" s="38" t="str">
        <f aca="true">IF(B68="","",IF(OR(G68="Submitted",G68="Done"),"—",IFERROR(IF(F68="","—",F68-TODAY()),"—")))</f>
        <v/>
      </c>
      <c r="I68" s="41"/>
      <c r="J68" s="44" t="str">
        <f aca="false">IF(B68="","",IF(OR(G68="Submitted",G68="Done"),"",IF(ISNUMBER(F68),F68+ROW()/100000,"")))</f>
        <v/>
      </c>
    </row>
    <row r="69" customFormat="false" ht="15" hidden="false" customHeight="false" outlineLevel="0" collapsed="false">
      <c r="A69" s="32" t="str">
        <f aca="false">IF(B69="","",ROW()-4)</f>
        <v/>
      </c>
      <c r="B69" s="33"/>
      <c r="C69" s="33"/>
      <c r="D69" s="33"/>
      <c r="E69" s="35"/>
      <c r="F69" s="35"/>
      <c r="G69" s="33"/>
      <c r="H69" s="38" t="str">
        <f aca="true">IF(B69="","",IF(OR(G69="Submitted",G69="Done"),"—",IFERROR(IF(F69="","—",F69-TODAY()),"—")))</f>
        <v/>
      </c>
      <c r="I69" s="33"/>
      <c r="J69" s="44" t="str">
        <f aca="false">IF(B69="","",IF(OR(G69="Submitted",G69="Done"),"",IF(ISNUMBER(F69),F69+ROW()/100000,"")))</f>
        <v/>
      </c>
    </row>
    <row r="70" customFormat="false" ht="15" hidden="false" customHeight="false" outlineLevel="0" collapsed="false">
      <c r="A70" s="32" t="str">
        <f aca="false">IF(B70="","",ROW()-4)</f>
        <v/>
      </c>
      <c r="B70" s="41"/>
      <c r="C70" s="41"/>
      <c r="D70" s="41"/>
      <c r="E70" s="43"/>
      <c r="F70" s="43"/>
      <c r="G70" s="41"/>
      <c r="H70" s="38" t="str">
        <f aca="true">IF(B70="","",IF(OR(G70="Submitted",G70="Done"),"—",IFERROR(IF(F70="","—",F70-TODAY()),"—")))</f>
        <v/>
      </c>
      <c r="I70" s="41"/>
      <c r="J70" s="44" t="str">
        <f aca="false">IF(B70="","",IF(OR(G70="Submitted",G70="Done"),"",IF(ISNUMBER(F70),F70+ROW()/100000,"")))</f>
        <v/>
      </c>
    </row>
    <row r="71" customFormat="false" ht="15" hidden="false" customHeight="false" outlineLevel="0" collapsed="false">
      <c r="A71" s="32" t="str">
        <f aca="false">IF(B71="","",ROW()-4)</f>
        <v/>
      </c>
      <c r="B71" s="33"/>
      <c r="C71" s="33"/>
      <c r="D71" s="33"/>
      <c r="E71" s="35"/>
      <c r="F71" s="35"/>
      <c r="G71" s="33"/>
      <c r="H71" s="38" t="str">
        <f aca="true">IF(B71="","",IF(OR(G71="Submitted",G71="Done"),"—",IFERROR(IF(F71="","—",F71-TODAY()),"—")))</f>
        <v/>
      </c>
      <c r="I71" s="33"/>
      <c r="J71" s="44" t="str">
        <f aca="false">IF(B71="","",IF(OR(G71="Submitted",G71="Done"),"",IF(ISNUMBER(F71),F71+ROW()/100000,"")))</f>
        <v/>
      </c>
    </row>
    <row r="72" customFormat="false" ht="15" hidden="false" customHeight="false" outlineLevel="0" collapsed="false">
      <c r="A72" s="32" t="str">
        <f aca="false">IF(B72="","",ROW()-4)</f>
        <v/>
      </c>
      <c r="B72" s="41"/>
      <c r="C72" s="41"/>
      <c r="D72" s="41"/>
      <c r="E72" s="43"/>
      <c r="F72" s="43"/>
      <c r="G72" s="41"/>
      <c r="H72" s="38" t="str">
        <f aca="true">IF(B72="","",IF(OR(G72="Submitted",G72="Done"),"—",IFERROR(IF(F72="","—",F72-TODAY()),"—")))</f>
        <v/>
      </c>
      <c r="I72" s="41"/>
      <c r="J72" s="44" t="str">
        <f aca="false">IF(B72="","",IF(OR(G72="Submitted",G72="Done"),"",IF(ISNUMBER(F72),F72+ROW()/100000,"")))</f>
        <v/>
      </c>
    </row>
    <row r="73" customFormat="false" ht="15" hidden="false" customHeight="false" outlineLevel="0" collapsed="false">
      <c r="A73" s="32" t="str">
        <f aca="false">IF(B73="","",ROW()-4)</f>
        <v/>
      </c>
      <c r="B73" s="33"/>
      <c r="C73" s="33"/>
      <c r="D73" s="33"/>
      <c r="E73" s="35"/>
      <c r="F73" s="35"/>
      <c r="G73" s="33"/>
      <c r="H73" s="38" t="str">
        <f aca="true">IF(B73="","",IF(OR(G73="Submitted",G73="Done"),"—",IFERROR(IF(F73="","—",F73-TODAY()),"—")))</f>
        <v/>
      </c>
      <c r="I73" s="33"/>
      <c r="J73" s="44" t="str">
        <f aca="false">IF(B73="","",IF(OR(G73="Submitted",G73="Done"),"",IF(ISNUMBER(F73),F73+ROW()/100000,"")))</f>
        <v/>
      </c>
    </row>
    <row r="74" customFormat="false" ht="15" hidden="false" customHeight="false" outlineLevel="0" collapsed="false">
      <c r="A74" s="32" t="str">
        <f aca="false">IF(B74="","",ROW()-4)</f>
        <v/>
      </c>
      <c r="B74" s="41"/>
      <c r="C74" s="41"/>
      <c r="D74" s="41"/>
      <c r="E74" s="43"/>
      <c r="F74" s="43"/>
      <c r="G74" s="41"/>
      <c r="H74" s="38" t="str">
        <f aca="true">IF(B74="","",IF(OR(G74="Submitted",G74="Done"),"—",IFERROR(IF(F74="","—",F74-TODAY()),"—")))</f>
        <v/>
      </c>
      <c r="I74" s="41"/>
      <c r="J74" s="44" t="str">
        <f aca="false">IF(B74="","",IF(OR(G74="Submitted",G74="Done"),"",IF(ISNUMBER(F74),F74+ROW()/100000,"")))</f>
        <v/>
      </c>
    </row>
    <row r="75" customFormat="false" ht="15" hidden="false" customHeight="false" outlineLevel="0" collapsed="false">
      <c r="A75" s="32" t="str">
        <f aca="false">IF(B75="","",ROW()-4)</f>
        <v/>
      </c>
      <c r="B75" s="33"/>
      <c r="C75" s="33"/>
      <c r="D75" s="33"/>
      <c r="E75" s="35"/>
      <c r="F75" s="35"/>
      <c r="G75" s="33"/>
      <c r="H75" s="38" t="str">
        <f aca="true">IF(B75="","",IF(OR(G75="Submitted",G75="Done"),"—",IFERROR(IF(F75="","—",F75-TODAY()),"—")))</f>
        <v/>
      </c>
      <c r="I75" s="33"/>
      <c r="J75" s="44" t="str">
        <f aca="false">IF(B75="","",IF(OR(G75="Submitted",G75="Done"),"",IF(ISNUMBER(F75),F75+ROW()/100000,"")))</f>
        <v/>
      </c>
    </row>
    <row r="76" customFormat="false" ht="15" hidden="false" customHeight="false" outlineLevel="0" collapsed="false">
      <c r="A76" s="32" t="str">
        <f aca="false">IF(B76="","",ROW()-4)</f>
        <v/>
      </c>
      <c r="B76" s="41"/>
      <c r="C76" s="41"/>
      <c r="D76" s="41"/>
      <c r="E76" s="43"/>
      <c r="F76" s="43"/>
      <c r="G76" s="41"/>
      <c r="H76" s="38" t="str">
        <f aca="true">IF(B76="","",IF(OR(G76="Submitted",G76="Done"),"—",IFERROR(IF(F76="","—",F76-TODAY()),"—")))</f>
        <v/>
      </c>
      <c r="I76" s="41"/>
      <c r="J76" s="44" t="str">
        <f aca="false">IF(B76="","",IF(OR(G76="Submitted",G76="Done"),"",IF(ISNUMBER(F76),F76+ROW()/100000,"")))</f>
        <v/>
      </c>
    </row>
    <row r="77" customFormat="false" ht="15" hidden="false" customHeight="false" outlineLevel="0" collapsed="false">
      <c r="A77" s="32" t="str">
        <f aca="false">IF(B77="","",ROW()-4)</f>
        <v/>
      </c>
      <c r="B77" s="33"/>
      <c r="C77" s="33"/>
      <c r="D77" s="33"/>
      <c r="E77" s="35"/>
      <c r="F77" s="35"/>
      <c r="G77" s="33"/>
      <c r="H77" s="38" t="str">
        <f aca="true">IF(B77="","",IF(OR(G77="Submitted",G77="Done"),"—",IFERROR(IF(F77="","—",F77-TODAY()),"—")))</f>
        <v/>
      </c>
      <c r="I77" s="33"/>
      <c r="J77" s="44" t="str">
        <f aca="false">IF(B77="","",IF(OR(G77="Submitted",G77="Done"),"",IF(ISNUMBER(F77),F77+ROW()/100000,"")))</f>
        <v/>
      </c>
    </row>
    <row r="78" customFormat="false" ht="15" hidden="false" customHeight="false" outlineLevel="0" collapsed="false">
      <c r="A78" s="32" t="str">
        <f aca="false">IF(B78="","",ROW()-4)</f>
        <v/>
      </c>
      <c r="B78" s="41"/>
      <c r="C78" s="41"/>
      <c r="D78" s="41"/>
      <c r="E78" s="43"/>
      <c r="F78" s="43"/>
      <c r="G78" s="41"/>
      <c r="H78" s="38" t="str">
        <f aca="true">IF(B78="","",IF(OR(G78="Submitted",G78="Done"),"—",IFERROR(IF(F78="","—",F78-TODAY()),"—")))</f>
        <v/>
      </c>
      <c r="I78" s="41"/>
      <c r="J78" s="44" t="str">
        <f aca="false">IF(B78="","",IF(OR(G78="Submitted",G78="Done"),"",IF(ISNUMBER(F78),F78+ROW()/100000,"")))</f>
        <v/>
      </c>
    </row>
    <row r="79" customFormat="false" ht="15" hidden="false" customHeight="false" outlineLevel="0" collapsed="false">
      <c r="A79" s="32" t="str">
        <f aca="false">IF(B79="","",ROW()-4)</f>
        <v/>
      </c>
      <c r="B79" s="33"/>
      <c r="C79" s="33"/>
      <c r="D79" s="33"/>
      <c r="E79" s="35"/>
      <c r="F79" s="35"/>
      <c r="G79" s="33"/>
      <c r="H79" s="38" t="str">
        <f aca="true">IF(B79="","",IF(OR(G79="Submitted",G79="Done"),"—",IFERROR(IF(F79="","—",F79-TODAY()),"—")))</f>
        <v/>
      </c>
      <c r="I79" s="33"/>
      <c r="J79" s="44" t="str">
        <f aca="false">IF(B79="","",IF(OR(G79="Submitted",G79="Done"),"",IF(ISNUMBER(F79),F79+ROW()/100000,"")))</f>
        <v/>
      </c>
    </row>
    <row r="80" customFormat="false" ht="15" hidden="false" customHeight="false" outlineLevel="0" collapsed="false">
      <c r="A80" s="32" t="str">
        <f aca="false">IF(B80="","",ROW()-4)</f>
        <v/>
      </c>
      <c r="B80" s="41"/>
      <c r="C80" s="41"/>
      <c r="D80" s="41"/>
      <c r="E80" s="43"/>
      <c r="F80" s="43"/>
      <c r="G80" s="41"/>
      <c r="H80" s="38" t="str">
        <f aca="true">IF(B80="","",IF(OR(G80="Submitted",G80="Done"),"—",IFERROR(IF(F80="","—",F80-TODAY()),"—")))</f>
        <v/>
      </c>
      <c r="I80" s="41"/>
      <c r="J80" s="44" t="str">
        <f aca="false">IF(B80="","",IF(OR(G80="Submitted",G80="Done"),"",IF(ISNUMBER(F80),F80+ROW()/100000,"")))</f>
        <v/>
      </c>
    </row>
    <row r="81" customFormat="false" ht="15" hidden="false" customHeight="false" outlineLevel="0" collapsed="false">
      <c r="A81" s="32" t="str">
        <f aca="false">IF(B81="","",ROW()-4)</f>
        <v/>
      </c>
      <c r="B81" s="33"/>
      <c r="C81" s="33"/>
      <c r="D81" s="33"/>
      <c r="E81" s="35"/>
      <c r="F81" s="35"/>
      <c r="G81" s="33"/>
      <c r="H81" s="38" t="str">
        <f aca="true">IF(B81="","",IF(OR(G81="Submitted",G81="Done"),"—",IFERROR(IF(F81="","—",F81-TODAY()),"—")))</f>
        <v/>
      </c>
      <c r="I81" s="33"/>
      <c r="J81" s="44" t="str">
        <f aca="false">IF(B81="","",IF(OR(G81="Submitted",G81="Done"),"",IF(ISNUMBER(F81),F81+ROW()/100000,"")))</f>
        <v/>
      </c>
    </row>
    <row r="82" customFormat="false" ht="15" hidden="false" customHeight="false" outlineLevel="0" collapsed="false">
      <c r="A82" s="32" t="str">
        <f aca="false">IF(B82="","",ROW()-4)</f>
        <v/>
      </c>
      <c r="B82" s="41"/>
      <c r="C82" s="41"/>
      <c r="D82" s="41"/>
      <c r="E82" s="43"/>
      <c r="F82" s="43"/>
      <c r="G82" s="41"/>
      <c r="H82" s="38" t="str">
        <f aca="true">IF(B82="","",IF(OR(G82="Submitted",G82="Done"),"—",IFERROR(IF(F82="","—",F82-TODAY()),"—")))</f>
        <v/>
      </c>
      <c r="I82" s="41"/>
      <c r="J82" s="44" t="str">
        <f aca="false">IF(B82="","",IF(OR(G82="Submitted",G82="Done"),"",IF(ISNUMBER(F82),F82+ROW()/100000,"")))</f>
        <v/>
      </c>
    </row>
    <row r="83" customFormat="false" ht="15" hidden="false" customHeight="false" outlineLevel="0" collapsed="false">
      <c r="A83" s="32" t="str">
        <f aca="false">IF(B83="","",ROW()-4)</f>
        <v/>
      </c>
      <c r="B83" s="33"/>
      <c r="C83" s="33"/>
      <c r="D83" s="33"/>
      <c r="E83" s="35"/>
      <c r="F83" s="35"/>
      <c r="G83" s="33"/>
      <c r="H83" s="38" t="str">
        <f aca="true">IF(B83="","",IF(OR(G83="Submitted",G83="Done"),"—",IFERROR(IF(F83="","—",F83-TODAY()),"—")))</f>
        <v/>
      </c>
      <c r="I83" s="33"/>
      <c r="J83" s="44" t="str">
        <f aca="false">IF(B83="","",IF(OR(G83="Submitted",G83="Done"),"",IF(ISNUMBER(F83),F83+ROW()/100000,"")))</f>
        <v/>
      </c>
    </row>
    <row r="84" customFormat="false" ht="15" hidden="false" customHeight="false" outlineLevel="0" collapsed="false">
      <c r="A84" s="32" t="str">
        <f aca="false">IF(B84="","",ROW()-4)</f>
        <v/>
      </c>
      <c r="B84" s="41"/>
      <c r="C84" s="41"/>
      <c r="D84" s="41"/>
      <c r="E84" s="43"/>
      <c r="F84" s="43"/>
      <c r="G84" s="41"/>
      <c r="H84" s="38" t="str">
        <f aca="true">IF(B84="","",IF(OR(G84="Submitted",G84="Done"),"—",IFERROR(IF(F84="","—",F84-TODAY()),"—")))</f>
        <v/>
      </c>
      <c r="I84" s="41"/>
      <c r="J84" s="44" t="str">
        <f aca="false">IF(B84="","",IF(OR(G84="Submitted",G84="Done"),"",IF(ISNUMBER(F84),F84+ROW()/100000,"")))</f>
        <v/>
      </c>
    </row>
    <row r="85" customFormat="false" ht="15" hidden="false" customHeight="false" outlineLevel="0" collapsed="false">
      <c r="A85" s="32" t="str">
        <f aca="false">IF(B85="","",ROW()-4)</f>
        <v/>
      </c>
      <c r="B85" s="33"/>
      <c r="C85" s="33"/>
      <c r="D85" s="33"/>
      <c r="E85" s="35"/>
      <c r="F85" s="35"/>
      <c r="G85" s="33"/>
      <c r="H85" s="38" t="str">
        <f aca="true">IF(B85="","",IF(OR(G85="Submitted",G85="Done"),"—",IFERROR(IF(F85="","—",F85-TODAY()),"—")))</f>
        <v/>
      </c>
      <c r="I85" s="33"/>
      <c r="J85" s="44" t="str">
        <f aca="false">IF(B85="","",IF(OR(G85="Submitted",G85="Done"),"",IF(ISNUMBER(F85),F85+ROW()/100000,"")))</f>
        <v/>
      </c>
    </row>
    <row r="86" customFormat="false" ht="15" hidden="false" customHeight="false" outlineLevel="0" collapsed="false">
      <c r="A86" s="32" t="str">
        <f aca="false">IF(B86="","",ROW()-4)</f>
        <v/>
      </c>
      <c r="B86" s="41"/>
      <c r="C86" s="41"/>
      <c r="D86" s="41"/>
      <c r="E86" s="43"/>
      <c r="F86" s="43"/>
      <c r="G86" s="41"/>
      <c r="H86" s="38" t="str">
        <f aca="true">IF(B86="","",IF(OR(G86="Submitted",G86="Done"),"—",IFERROR(IF(F86="","—",F86-TODAY()),"—")))</f>
        <v/>
      </c>
      <c r="I86" s="41"/>
      <c r="J86" s="44" t="str">
        <f aca="false">IF(B86="","",IF(OR(G86="Submitted",G86="Done"),"",IF(ISNUMBER(F86),F86+ROW()/100000,"")))</f>
        <v/>
      </c>
    </row>
    <row r="87" customFormat="false" ht="15" hidden="false" customHeight="false" outlineLevel="0" collapsed="false">
      <c r="A87" s="32" t="str">
        <f aca="false">IF(B87="","",ROW()-4)</f>
        <v/>
      </c>
      <c r="B87" s="33"/>
      <c r="C87" s="33"/>
      <c r="D87" s="33"/>
      <c r="E87" s="35"/>
      <c r="F87" s="35"/>
      <c r="G87" s="33"/>
      <c r="H87" s="38" t="str">
        <f aca="true">IF(B87="","",IF(OR(G87="Submitted",G87="Done"),"—",IFERROR(IF(F87="","—",F87-TODAY()),"—")))</f>
        <v/>
      </c>
      <c r="I87" s="33"/>
      <c r="J87" s="44" t="str">
        <f aca="false">IF(B87="","",IF(OR(G87="Submitted",G87="Done"),"",IF(ISNUMBER(F87),F87+ROW()/100000,"")))</f>
        <v/>
      </c>
    </row>
    <row r="88" customFormat="false" ht="15" hidden="false" customHeight="false" outlineLevel="0" collapsed="false">
      <c r="A88" s="32" t="str">
        <f aca="false">IF(B88="","",ROW()-4)</f>
        <v/>
      </c>
      <c r="B88" s="41"/>
      <c r="C88" s="41"/>
      <c r="D88" s="41"/>
      <c r="E88" s="43"/>
      <c r="F88" s="43"/>
      <c r="G88" s="41"/>
      <c r="H88" s="38" t="str">
        <f aca="true">IF(B88="","",IF(OR(G88="Submitted",G88="Done"),"—",IFERROR(IF(F88="","—",F88-TODAY()),"—")))</f>
        <v/>
      </c>
      <c r="I88" s="41"/>
      <c r="J88" s="44" t="str">
        <f aca="false">IF(B88="","",IF(OR(G88="Submitted",G88="Done"),"",IF(ISNUMBER(F88),F88+ROW()/100000,"")))</f>
        <v/>
      </c>
    </row>
    <row r="89" customFormat="false" ht="15" hidden="false" customHeight="false" outlineLevel="0" collapsed="false">
      <c r="A89" s="32" t="str">
        <f aca="false">IF(B89="","",ROW()-4)</f>
        <v/>
      </c>
      <c r="B89" s="33"/>
      <c r="C89" s="33"/>
      <c r="D89" s="33"/>
      <c r="E89" s="35"/>
      <c r="F89" s="35"/>
      <c r="G89" s="33"/>
      <c r="H89" s="38" t="str">
        <f aca="true">IF(B89="","",IF(OR(G89="Submitted",G89="Done"),"—",IFERROR(IF(F89="","—",F89-TODAY()),"—")))</f>
        <v/>
      </c>
      <c r="I89" s="33"/>
      <c r="J89" s="44" t="str">
        <f aca="false">IF(B89="","",IF(OR(G89="Submitted",G89="Done"),"",IF(ISNUMBER(F89),F89+ROW()/100000,"")))</f>
        <v/>
      </c>
    </row>
    <row r="90" customFormat="false" ht="15" hidden="false" customHeight="false" outlineLevel="0" collapsed="false">
      <c r="A90" s="32" t="str">
        <f aca="false">IF(B90="","",ROW()-4)</f>
        <v/>
      </c>
      <c r="B90" s="41"/>
      <c r="C90" s="41"/>
      <c r="D90" s="41"/>
      <c r="E90" s="43"/>
      <c r="F90" s="43"/>
      <c r="G90" s="41"/>
      <c r="H90" s="38" t="str">
        <f aca="true">IF(B90="","",IF(OR(G90="Submitted",G90="Done"),"—",IFERROR(IF(F90="","—",F90-TODAY()),"—")))</f>
        <v/>
      </c>
      <c r="I90" s="41"/>
      <c r="J90" s="44" t="str">
        <f aca="false">IF(B90="","",IF(OR(G90="Submitted",G90="Done"),"",IF(ISNUMBER(F90),F90+ROW()/100000,"")))</f>
        <v/>
      </c>
    </row>
    <row r="91" customFormat="false" ht="15" hidden="false" customHeight="false" outlineLevel="0" collapsed="false">
      <c r="A91" s="32" t="str">
        <f aca="false">IF(B91="","",ROW()-4)</f>
        <v/>
      </c>
      <c r="B91" s="33"/>
      <c r="C91" s="33"/>
      <c r="D91" s="33"/>
      <c r="E91" s="35"/>
      <c r="F91" s="35"/>
      <c r="G91" s="33"/>
      <c r="H91" s="38" t="str">
        <f aca="true">IF(B91="","",IF(OR(G91="Submitted",G91="Done"),"—",IFERROR(IF(F91="","—",F91-TODAY()),"—")))</f>
        <v/>
      </c>
      <c r="I91" s="33"/>
      <c r="J91" s="44" t="str">
        <f aca="false">IF(B91="","",IF(OR(G91="Submitted",G91="Done"),"",IF(ISNUMBER(F91),F91+ROW()/100000,"")))</f>
        <v/>
      </c>
    </row>
    <row r="92" customFormat="false" ht="15" hidden="false" customHeight="false" outlineLevel="0" collapsed="false">
      <c r="A92" s="32" t="str">
        <f aca="false">IF(B92="","",ROW()-4)</f>
        <v/>
      </c>
      <c r="B92" s="41"/>
      <c r="C92" s="41"/>
      <c r="D92" s="41"/>
      <c r="E92" s="43"/>
      <c r="F92" s="43"/>
      <c r="G92" s="41"/>
      <c r="H92" s="38" t="str">
        <f aca="true">IF(B92="","",IF(OR(G92="Submitted",G92="Done"),"—",IFERROR(IF(F92="","—",F92-TODAY()),"—")))</f>
        <v/>
      </c>
      <c r="I92" s="41"/>
      <c r="J92" s="44" t="str">
        <f aca="false">IF(B92="","",IF(OR(G92="Submitted",G92="Done"),"",IF(ISNUMBER(F92),F92+ROW()/100000,"")))</f>
        <v/>
      </c>
    </row>
    <row r="93" customFormat="false" ht="15" hidden="false" customHeight="false" outlineLevel="0" collapsed="false">
      <c r="A93" s="32" t="str">
        <f aca="false">IF(B93="","",ROW()-4)</f>
        <v/>
      </c>
      <c r="B93" s="33"/>
      <c r="C93" s="33"/>
      <c r="D93" s="33"/>
      <c r="E93" s="35"/>
      <c r="F93" s="35"/>
      <c r="G93" s="33"/>
      <c r="H93" s="38" t="str">
        <f aca="true">IF(B93="","",IF(OR(G93="Submitted",G93="Done"),"—",IFERROR(IF(F93="","—",F93-TODAY()),"—")))</f>
        <v/>
      </c>
      <c r="I93" s="33"/>
      <c r="J93" s="44" t="str">
        <f aca="false">IF(B93="","",IF(OR(G93="Submitted",G93="Done"),"",IF(ISNUMBER(F93),F93+ROW()/100000,"")))</f>
        <v/>
      </c>
    </row>
    <row r="94" customFormat="false" ht="15" hidden="false" customHeight="false" outlineLevel="0" collapsed="false">
      <c r="A94" s="32" t="str">
        <f aca="false">IF(B94="","",ROW()-4)</f>
        <v/>
      </c>
      <c r="B94" s="41"/>
      <c r="C94" s="41"/>
      <c r="D94" s="41"/>
      <c r="E94" s="43"/>
      <c r="F94" s="43"/>
      <c r="G94" s="41"/>
      <c r="H94" s="38" t="str">
        <f aca="true">IF(B94="","",IF(OR(G94="Submitted",G94="Done"),"—",IFERROR(IF(F94="","—",F94-TODAY()),"—")))</f>
        <v/>
      </c>
      <c r="I94" s="41"/>
      <c r="J94" s="44" t="str">
        <f aca="false">IF(B94="","",IF(OR(G94="Submitted",G94="Done"),"",IF(ISNUMBER(F94),F94+ROW()/100000,"")))</f>
        <v/>
      </c>
    </row>
    <row r="95" customFormat="false" ht="15" hidden="false" customHeight="false" outlineLevel="0" collapsed="false">
      <c r="A95" s="32" t="str">
        <f aca="false">IF(B95="","",ROW()-4)</f>
        <v/>
      </c>
      <c r="B95" s="33"/>
      <c r="C95" s="33"/>
      <c r="D95" s="33"/>
      <c r="E95" s="35"/>
      <c r="F95" s="35"/>
      <c r="G95" s="33"/>
      <c r="H95" s="38" t="str">
        <f aca="true">IF(B95="","",IF(OR(G95="Submitted",G95="Done"),"—",IFERROR(IF(F95="","—",F95-TODAY()),"—")))</f>
        <v/>
      </c>
      <c r="I95" s="33"/>
      <c r="J95" s="44" t="str">
        <f aca="false">IF(B95="","",IF(OR(G95="Submitted",G95="Done"),"",IF(ISNUMBER(F95),F95+ROW()/100000,"")))</f>
        <v/>
      </c>
    </row>
    <row r="96" customFormat="false" ht="15" hidden="false" customHeight="false" outlineLevel="0" collapsed="false">
      <c r="A96" s="32" t="str">
        <f aca="false">IF(B96="","",ROW()-4)</f>
        <v/>
      </c>
      <c r="B96" s="41"/>
      <c r="C96" s="41"/>
      <c r="D96" s="41"/>
      <c r="E96" s="43"/>
      <c r="F96" s="43"/>
      <c r="G96" s="41"/>
      <c r="H96" s="38" t="str">
        <f aca="true">IF(B96="","",IF(OR(G96="Submitted",G96="Done"),"—",IFERROR(IF(F96="","—",F96-TODAY()),"—")))</f>
        <v/>
      </c>
      <c r="I96" s="41"/>
      <c r="J96" s="44" t="str">
        <f aca="false">IF(B96="","",IF(OR(G96="Submitted",G96="Done"),"",IF(ISNUMBER(F96),F96+ROW()/100000,"")))</f>
        <v/>
      </c>
    </row>
    <row r="97" customFormat="false" ht="15" hidden="false" customHeight="false" outlineLevel="0" collapsed="false">
      <c r="A97" s="32" t="str">
        <f aca="false">IF(B97="","",ROW()-4)</f>
        <v/>
      </c>
      <c r="B97" s="33"/>
      <c r="C97" s="33"/>
      <c r="D97" s="33"/>
      <c r="E97" s="35"/>
      <c r="F97" s="35"/>
      <c r="G97" s="33"/>
      <c r="H97" s="38" t="str">
        <f aca="true">IF(B97="","",IF(OR(G97="Submitted",G97="Done"),"—",IFERROR(IF(F97="","—",F97-TODAY()),"—")))</f>
        <v/>
      </c>
      <c r="I97" s="33"/>
      <c r="J97" s="44" t="str">
        <f aca="false">IF(B97="","",IF(OR(G97="Submitted",G97="Done"),"",IF(ISNUMBER(F97),F97+ROW()/100000,"")))</f>
        <v/>
      </c>
    </row>
    <row r="98" customFormat="false" ht="15" hidden="false" customHeight="false" outlineLevel="0" collapsed="false">
      <c r="A98" s="32" t="str">
        <f aca="false">IF(B98="","",ROW()-4)</f>
        <v/>
      </c>
      <c r="B98" s="41"/>
      <c r="C98" s="41"/>
      <c r="D98" s="41"/>
      <c r="E98" s="43"/>
      <c r="F98" s="43"/>
      <c r="G98" s="41"/>
      <c r="H98" s="38" t="str">
        <f aca="true">IF(B98="","",IF(OR(G98="Submitted",G98="Done"),"—",IFERROR(IF(F98="","—",F98-TODAY()),"—")))</f>
        <v/>
      </c>
      <c r="I98" s="41"/>
      <c r="J98" s="44" t="str">
        <f aca="false">IF(B98="","",IF(OR(G98="Submitted",G98="Done"),"",IF(ISNUMBER(F98),F98+ROW()/100000,"")))</f>
        <v/>
      </c>
    </row>
    <row r="99" customFormat="false" ht="15" hidden="false" customHeight="false" outlineLevel="0" collapsed="false">
      <c r="A99" s="32" t="str">
        <f aca="false">IF(B99="","",ROW()-4)</f>
        <v/>
      </c>
      <c r="B99" s="33"/>
      <c r="C99" s="33"/>
      <c r="D99" s="33"/>
      <c r="E99" s="35"/>
      <c r="F99" s="35"/>
      <c r="G99" s="33"/>
      <c r="H99" s="38" t="str">
        <f aca="true">IF(B99="","",IF(OR(G99="Submitted",G99="Done"),"—",IFERROR(IF(F99="","—",F99-TODAY()),"—")))</f>
        <v/>
      </c>
      <c r="I99" s="33"/>
      <c r="J99" s="44" t="str">
        <f aca="false">IF(B99="","",IF(OR(G99="Submitted",G99="Done"),"",IF(ISNUMBER(F99),F99+ROW()/100000,"")))</f>
        <v/>
      </c>
    </row>
    <row r="100" customFormat="false" ht="15" hidden="false" customHeight="false" outlineLevel="0" collapsed="false">
      <c r="A100" s="32" t="str">
        <f aca="false">IF(B100="","",ROW()-4)</f>
        <v/>
      </c>
      <c r="B100" s="41"/>
      <c r="C100" s="41"/>
      <c r="D100" s="41"/>
      <c r="E100" s="43"/>
      <c r="F100" s="43"/>
      <c r="G100" s="41"/>
      <c r="H100" s="38" t="str">
        <f aca="true">IF(B100="","",IF(OR(G100="Submitted",G100="Done"),"—",IFERROR(IF(F100="","—",F100-TODAY()),"—")))</f>
        <v/>
      </c>
      <c r="I100" s="41"/>
      <c r="J100" s="44" t="str">
        <f aca="false">IF(B100="","",IF(OR(G100="Submitted",G100="Done"),"",IF(ISNUMBER(F100),F100+ROW()/100000,"")))</f>
        <v/>
      </c>
    </row>
    <row r="101" customFormat="false" ht="15" hidden="false" customHeight="false" outlineLevel="0" collapsed="false">
      <c r="A101" s="32" t="str">
        <f aca="false">IF(B101="","",ROW()-4)</f>
        <v/>
      </c>
      <c r="B101" s="33"/>
      <c r="C101" s="33"/>
      <c r="D101" s="33"/>
      <c r="E101" s="35"/>
      <c r="F101" s="35"/>
      <c r="G101" s="33"/>
      <c r="H101" s="38" t="str">
        <f aca="true">IF(B101="","",IF(OR(G101="Submitted",G101="Done"),"—",IFERROR(IF(F101="","—",F101-TODAY()),"—")))</f>
        <v/>
      </c>
      <c r="I101" s="33"/>
      <c r="J101" s="44" t="str">
        <f aca="false">IF(B101="","",IF(OR(G101="Submitted",G101="Done"),"",IF(ISNUMBER(F101),F101+ROW()/100000,"")))</f>
        <v/>
      </c>
    </row>
    <row r="102" customFormat="false" ht="15" hidden="false" customHeight="false" outlineLevel="0" collapsed="false">
      <c r="A102" s="32" t="str">
        <f aca="false">IF(B102="","",ROW()-4)</f>
        <v/>
      </c>
      <c r="B102" s="41"/>
      <c r="C102" s="41"/>
      <c r="D102" s="41"/>
      <c r="E102" s="43"/>
      <c r="F102" s="43"/>
      <c r="G102" s="41"/>
      <c r="H102" s="38" t="str">
        <f aca="true">IF(B102="","",IF(OR(G102="Submitted",G102="Done"),"—",IFERROR(IF(F102="","—",F102-TODAY()),"—")))</f>
        <v/>
      </c>
      <c r="I102" s="41"/>
      <c r="J102" s="44" t="str">
        <f aca="false">IF(B102="","",IF(OR(G102="Submitted",G102="Done"),"",IF(ISNUMBER(F102),F102+ROW()/100000,"")))</f>
        <v/>
      </c>
    </row>
    <row r="103" customFormat="false" ht="15" hidden="false" customHeight="false" outlineLevel="0" collapsed="false">
      <c r="A103" s="32" t="str">
        <f aca="false">IF(B103="","",ROW()-4)</f>
        <v/>
      </c>
      <c r="B103" s="33"/>
      <c r="C103" s="33"/>
      <c r="D103" s="33"/>
      <c r="E103" s="35"/>
      <c r="F103" s="35"/>
      <c r="G103" s="33"/>
      <c r="H103" s="38" t="str">
        <f aca="true">IF(B103="","",IF(OR(G103="Submitted",G103="Done"),"—",IFERROR(IF(F103="","—",F103-TODAY()),"—")))</f>
        <v/>
      </c>
      <c r="I103" s="33"/>
      <c r="J103" s="44" t="str">
        <f aca="false">IF(B103="","",IF(OR(G103="Submitted",G103="Done"),"",IF(ISNUMBER(F103),F103+ROW()/100000,"")))</f>
        <v/>
      </c>
    </row>
    <row r="104" customFormat="false" ht="15" hidden="false" customHeight="false" outlineLevel="0" collapsed="false">
      <c r="A104" s="32" t="str">
        <f aca="false">IF(B104="","",ROW()-4)</f>
        <v/>
      </c>
      <c r="B104" s="41"/>
      <c r="C104" s="41"/>
      <c r="D104" s="41"/>
      <c r="E104" s="43"/>
      <c r="F104" s="43"/>
      <c r="G104" s="41"/>
      <c r="H104" s="38" t="str">
        <f aca="true">IF(B104="","",IF(OR(G104="Submitted",G104="Done"),"—",IFERROR(IF(F104="","—",F104-TODAY()),"—")))</f>
        <v/>
      </c>
      <c r="I104" s="41"/>
      <c r="J104" s="44" t="str">
        <f aca="false">IF(B104="","",IF(OR(G104="Submitted",G104="Done"),"",IF(ISNUMBER(F104),F104+ROW()/100000,"")))</f>
        <v/>
      </c>
    </row>
  </sheetData>
  <autoFilter ref="A4:I104"/>
  <mergeCells count="2">
    <mergeCell ref="A1:J1"/>
    <mergeCell ref="A2:J2"/>
  </mergeCells>
  <conditionalFormatting sqref="G5:G104">
    <cfRule type="cellIs" priority="2" operator="equal" aboveAverage="0" equalAverage="0" bottom="0" percent="0" rank="0" text="" dxfId="1">
      <formula>"Not started"</formula>
    </cfRule>
    <cfRule type="cellIs" priority="3" operator="equal" aboveAverage="0" equalAverage="0" bottom="0" percent="0" rank="0" text="" dxfId="4">
      <formula>"In progress"</formula>
    </cfRule>
    <cfRule type="cellIs" priority="4" operator="equal" aboveAverage="0" equalAverage="0" bottom="0" percent="0" rank="0" text="" dxfId="3">
      <formula>"Submitted"</formula>
    </cfRule>
    <cfRule type="cellIs" priority="5" operator="equal" aboveAverage="0" equalAverage="0" bottom="0" percent="0" rank="0" text="" dxfId="2">
      <formula>"Done"</formula>
    </cfRule>
  </conditionalFormatting>
  <conditionalFormatting sqref="H5:H104">
    <cfRule type="cellIs" priority="6" operator="lessThan" aboveAverage="0" equalAverage="0" bottom="0" percent="0" rank="0" text="" dxfId="0">
      <formula>8</formula>
    </cfRule>
    <cfRule type="cellIs" priority="7" operator="between" aboveAverage="0" equalAverage="0" bottom="0" percent="0" rank="0" text="" dxfId="1">
      <formula>8</formula>
      <formula>21</formula>
    </cfRule>
    <cfRule type="cellIs" priority="8" operator="between" aboveAverage="0" equalAverage="0" bottom="0" percent="0" rank="0" text="" dxfId="2">
      <formula>22</formula>
      <formula>99999</formula>
    </cfRule>
  </conditionalFormatting>
  <dataValidations count="4">
    <dataValidation allowBlank="true" errorStyle="stop" operator="between" showDropDown="false" showErrorMessage="false" showInputMessage="false" sqref="B5:B104" type="list">
      <formula1>Chapters!$B$5:$B$29</formula1>
      <formula2>0</formula2>
    </dataValidation>
    <dataValidation allowBlank="true" errorStyle="stop" operator="between" showDropDown="false" showErrorMessage="false" showInputMessage="false" sqref="C5:C104" type="list">
      <formula1>Lists!$B$1:$B$4</formula1>
      <formula2>0</formula2>
    </dataValidation>
    <dataValidation allowBlank="true" errorStyle="stop" operator="between" showDropDown="false" showErrorMessage="false" showInputMessage="false" sqref="D5:D104" type="list">
      <formula1>Lists!$C$1:$C$4</formula1>
      <formula2>0</formula2>
    </dataValidation>
    <dataValidation allowBlank="true" errorStyle="stop" operator="between" showDropDown="false" showErrorMessage="false" showInputMessage="false" sqref="G5:G104" type="list">
      <formula1>Lists!$D$1:$D$4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36"/>
    <col collapsed="false" customWidth="true" hidden="false" outlineLevel="0" max="3" min="3" style="0" width="13"/>
    <col collapsed="false" customWidth="true" hidden="false" outlineLevel="0" max="4" min="4" style="0" width="10"/>
    <col collapsed="false" customWidth="true" hidden="false" outlineLevel="0" max="5" min="5" style="0" width="13"/>
    <col collapsed="false" customWidth="true" hidden="false" outlineLevel="0" max="6" min="6" style="0" width="42"/>
  </cols>
  <sheetData>
    <row r="1" customFormat="false" ht="25.5" hidden="false" customHeight="true" outlineLevel="0" collapsed="false">
      <c r="A1" s="7" t="s">
        <v>95</v>
      </c>
      <c r="B1" s="7"/>
      <c r="C1" s="7"/>
      <c r="D1" s="7"/>
      <c r="E1" s="7"/>
      <c r="F1" s="7"/>
    </row>
    <row r="2" customFormat="false" ht="15" hidden="false" customHeight="false" outlineLevel="0" collapsed="false">
      <c r="A2" s="8" t="s">
        <v>96</v>
      </c>
      <c r="B2" s="8"/>
      <c r="C2" s="8"/>
      <c r="D2" s="8"/>
      <c r="E2" s="8"/>
      <c r="F2" s="8"/>
    </row>
    <row r="4" customFormat="false" ht="15" hidden="false" customHeight="false" outlineLevel="0" collapsed="false">
      <c r="B4" s="9" t="s">
        <v>97</v>
      </c>
    </row>
    <row r="5" customFormat="false" ht="15" hidden="false" customHeight="false" outlineLevel="0" collapsed="false">
      <c r="B5" s="5" t="s">
        <v>98</v>
      </c>
      <c r="C5" s="47" t="n">
        <f aca="true">TODAY()+91</f>
        <v>46327</v>
      </c>
      <c r="D5" s="48" t="n">
        <f aca="true">IFERROR(IF(C5="","—",C5-TODAY()),"—")</f>
        <v>91</v>
      </c>
    </row>
    <row r="6" customFormat="false" ht="15" hidden="false" customHeight="false" outlineLevel="0" collapsed="false">
      <c r="B6" s="5" t="s">
        <v>99</v>
      </c>
      <c r="C6" s="47" t="n">
        <f aca="true">TODAY()+105</f>
        <v>46341</v>
      </c>
      <c r="D6" s="48" t="n">
        <f aca="true">IFERROR(IF(C6="","—",C6-TODAY()),"—")</f>
        <v>105</v>
      </c>
    </row>
    <row r="7" customFormat="false" ht="15" hidden="false" customHeight="false" outlineLevel="0" collapsed="false">
      <c r="B7" s="5" t="s">
        <v>100</v>
      </c>
      <c r="C7" s="47"/>
      <c r="D7" s="48" t="str">
        <f aca="true">IFERROR(IF(C7="","—",C7-TODAY()),"—")</f>
        <v>—</v>
      </c>
    </row>
    <row r="9" customFormat="false" ht="15" hidden="false" customHeight="false" outlineLevel="0" collapsed="false">
      <c r="B9" s="9" t="s">
        <v>101</v>
      </c>
    </row>
    <row r="10" customFormat="false" ht="30" hidden="false" customHeight="true" outlineLevel="0" collapsed="false">
      <c r="A10" s="31"/>
      <c r="B10" s="31" t="s">
        <v>102</v>
      </c>
      <c r="C10" s="31" t="s">
        <v>44</v>
      </c>
      <c r="D10" s="31" t="s">
        <v>45</v>
      </c>
      <c r="E10" s="31" t="s">
        <v>43</v>
      </c>
      <c r="F10" s="31" t="s">
        <v>85</v>
      </c>
    </row>
    <row r="11" customFormat="false" ht="15" hidden="false" customHeight="false" outlineLevel="0" collapsed="false">
      <c r="B11" s="33" t="s">
        <v>103</v>
      </c>
      <c r="C11" s="35"/>
      <c r="D11" s="38" t="str">
        <f aca="true">IF(B11="","",IF(OR(E11="Done",E11="N/A"),"—",IFERROR(IF(C11="","—",C11-TODAY()),"—")))</f>
        <v>—</v>
      </c>
      <c r="E11" s="33" t="s">
        <v>88</v>
      </c>
      <c r="F11" s="33"/>
    </row>
    <row r="12" customFormat="false" ht="15" hidden="false" customHeight="false" outlineLevel="0" collapsed="false">
      <c r="B12" s="41" t="s">
        <v>104</v>
      </c>
      <c r="C12" s="43"/>
      <c r="D12" s="38" t="str">
        <f aca="true">IF(B12="","",IF(OR(E12="Done",E12="N/A"),"—",IFERROR(IF(C12="","—",C12-TODAY()),"—")))</f>
        <v>—</v>
      </c>
      <c r="E12" s="41" t="s">
        <v>66</v>
      </c>
      <c r="F12" s="41"/>
    </row>
    <row r="13" customFormat="false" ht="15" hidden="false" customHeight="false" outlineLevel="0" collapsed="false">
      <c r="B13" s="33" t="s">
        <v>105</v>
      </c>
      <c r="C13" s="35"/>
      <c r="D13" s="38" t="str">
        <f aca="true">IF(B13="","",IF(OR(E13="Done",E13="N/A"),"—",IFERROR(IF(C13="","—",C13-TODAY()),"—")))</f>
        <v>—</v>
      </c>
      <c r="E13" s="33" t="s">
        <v>88</v>
      </c>
      <c r="F13" s="33"/>
    </row>
    <row r="14" customFormat="false" ht="15" hidden="false" customHeight="false" outlineLevel="0" collapsed="false">
      <c r="B14" s="41" t="s">
        <v>106</v>
      </c>
      <c r="C14" s="43"/>
      <c r="D14" s="38" t="str">
        <f aca="true">IF(B14="","",IF(OR(E14="Done",E14="N/A"),"—",IFERROR(IF(C14="","—",C14-TODAY()),"—")))</f>
        <v>—</v>
      </c>
      <c r="E14" s="41" t="s">
        <v>66</v>
      </c>
      <c r="F14" s="41"/>
    </row>
    <row r="15" customFormat="false" ht="15" hidden="false" customHeight="false" outlineLevel="0" collapsed="false">
      <c r="B15" s="33" t="s">
        <v>107</v>
      </c>
      <c r="C15" s="35"/>
      <c r="D15" s="38" t="str">
        <f aca="true">IF(B15="","",IF(OR(E15="Done",E15="N/A"),"—",IFERROR(IF(C15="","—",C15-TODAY()),"—")))</f>
        <v>—</v>
      </c>
      <c r="E15" s="33" t="s">
        <v>93</v>
      </c>
      <c r="F15" s="33"/>
    </row>
    <row r="16" customFormat="false" ht="15" hidden="false" customHeight="false" outlineLevel="0" collapsed="false">
      <c r="B16" s="41" t="s">
        <v>108</v>
      </c>
      <c r="C16" s="43"/>
      <c r="D16" s="38" t="str">
        <f aca="true">IF(B16="","",IF(OR(E16="Done",E16="N/A"),"—",IFERROR(IF(C16="","—",C16-TODAY()),"—")))</f>
        <v>—</v>
      </c>
      <c r="E16" s="41" t="s">
        <v>66</v>
      </c>
      <c r="F16" s="41"/>
    </row>
    <row r="17" customFormat="false" ht="23.85" hidden="false" customHeight="false" outlineLevel="0" collapsed="false">
      <c r="B17" s="33" t="s">
        <v>109</v>
      </c>
      <c r="C17" s="35"/>
      <c r="D17" s="38" t="str">
        <f aca="true">IF(B17="","",IF(OR(E17="Done",E17="N/A"),"—",IFERROR(IF(C17="","—",C17-TODAY()),"—")))</f>
        <v>—</v>
      </c>
      <c r="E17" s="33" t="s">
        <v>66</v>
      </c>
      <c r="F17" s="33"/>
    </row>
    <row r="18" customFormat="false" ht="15" hidden="false" customHeight="false" outlineLevel="0" collapsed="false">
      <c r="B18" s="41" t="s">
        <v>110</v>
      </c>
      <c r="C18" s="43"/>
      <c r="D18" s="38" t="str">
        <f aca="true">IF(B18="","",IF(OR(E18="Done",E18="N/A"),"—",IFERROR(IF(C18="","—",C18-TODAY()),"—")))</f>
        <v>—</v>
      </c>
      <c r="E18" s="41" t="s">
        <v>66</v>
      </c>
      <c r="F18" s="41"/>
    </row>
    <row r="19" customFormat="false" ht="15" hidden="false" customHeight="false" outlineLevel="0" collapsed="false">
      <c r="B19" s="33" t="s">
        <v>111</v>
      </c>
      <c r="C19" s="35"/>
      <c r="D19" s="38" t="str">
        <f aca="true">IF(B19="","",IF(OR(E19="Done",E19="N/A"),"—",IFERROR(IF(C19="","—",C19-TODAY()),"—")))</f>
        <v>—</v>
      </c>
      <c r="E19" s="33" t="s">
        <v>66</v>
      </c>
      <c r="F19" s="33"/>
    </row>
    <row r="20" customFormat="false" ht="15" hidden="false" customHeight="false" outlineLevel="0" collapsed="false">
      <c r="B20" s="41" t="s">
        <v>112</v>
      </c>
      <c r="C20" s="43"/>
      <c r="D20" s="38" t="str">
        <f aca="true">IF(B20="","",IF(OR(E20="Done",E20="N/A"),"—",IFERROR(IF(C20="","—",C20-TODAY()),"—")))</f>
        <v>—</v>
      </c>
      <c r="E20" s="41" t="s">
        <v>66</v>
      </c>
      <c r="F20" s="41"/>
    </row>
    <row r="21" customFormat="false" ht="15" hidden="false" customHeight="false" outlineLevel="0" collapsed="false">
      <c r="B21" s="33" t="s">
        <v>113</v>
      </c>
      <c r="C21" s="35"/>
      <c r="D21" s="38" t="str">
        <f aca="true">IF(B21="","",IF(OR(E21="Done",E21="N/A"),"—",IFERROR(IF(C21="","—",C21-TODAY()),"—")))</f>
        <v>—</v>
      </c>
      <c r="E21" s="33" t="s">
        <v>66</v>
      </c>
      <c r="F21" s="33"/>
    </row>
    <row r="22" customFormat="false" ht="15" hidden="false" customHeight="false" outlineLevel="0" collapsed="false">
      <c r="B22" s="41" t="s">
        <v>114</v>
      </c>
      <c r="C22" s="43"/>
      <c r="D22" s="38" t="str">
        <f aca="true">IF(B22="","",IF(OR(E22="Done",E22="N/A"),"—",IFERROR(IF(C22="","—",C22-TODAY()),"—")))</f>
        <v>—</v>
      </c>
      <c r="E22" s="41" t="s">
        <v>66</v>
      </c>
      <c r="F22" s="41"/>
    </row>
    <row r="24" customFormat="false" ht="15" hidden="false" customHeight="false" outlineLevel="0" collapsed="false">
      <c r="B24" s="5" t="s">
        <v>115</v>
      </c>
      <c r="C24" s="49" t="str">
        <f aca="false">IFERROR(IF(COUNTA($B$11:$B$22)=0,"—",COUNTIF($E$11:$E$22,"Done")&amp;" of "&amp;COUNTA($B$11:$B$22)&amp;" done"),"—")</f>
        <v>1 of 12 done</v>
      </c>
      <c r="D24" s="49"/>
    </row>
  </sheetData>
  <mergeCells count="3">
    <mergeCell ref="A1:F1"/>
    <mergeCell ref="A2:F2"/>
    <mergeCell ref="C24:D24"/>
  </mergeCells>
  <conditionalFormatting sqref="D5:D7">
    <cfRule type="cellIs" priority="2" operator="lessThan" aboveAverage="0" equalAverage="0" bottom="0" percent="0" rank="0" text="" dxfId="0">
      <formula>8</formula>
    </cfRule>
    <cfRule type="cellIs" priority="3" operator="between" aboveAverage="0" equalAverage="0" bottom="0" percent="0" rank="0" text="" dxfId="1">
      <formula>8</formula>
      <formula>21</formula>
    </cfRule>
    <cfRule type="cellIs" priority="4" operator="between" aboveAverage="0" equalAverage="0" bottom="0" percent="0" rank="0" text="" dxfId="2">
      <formula>22</formula>
      <formula>99999</formula>
    </cfRule>
  </conditionalFormatting>
  <conditionalFormatting sqref="D11:D22">
    <cfRule type="cellIs" priority="5" operator="lessThan" aboveAverage="0" equalAverage="0" bottom="0" percent="0" rank="0" text="" dxfId="0">
      <formula>8</formula>
    </cfRule>
    <cfRule type="cellIs" priority="6" operator="between" aboveAverage="0" equalAverage="0" bottom="0" percent="0" rank="0" text="" dxfId="1">
      <formula>8</formula>
      <formula>21</formula>
    </cfRule>
    <cfRule type="cellIs" priority="7" operator="between" aboveAverage="0" equalAverage="0" bottom="0" percent="0" rank="0" text="" dxfId="2">
      <formula>22</formula>
      <formula>99999</formula>
    </cfRule>
  </conditionalFormatting>
  <conditionalFormatting sqref="E11:E22">
    <cfRule type="cellIs" priority="8" operator="equal" aboveAverage="0" equalAverage="0" bottom="0" percent="0" rank="0" text="" dxfId="1">
      <formula>"Not started"</formula>
    </cfRule>
    <cfRule type="cellIs" priority="9" operator="equal" aboveAverage="0" equalAverage="0" bottom="0" percent="0" rank="0" text="" dxfId="4">
      <formula>"In progress"</formula>
    </cfRule>
    <cfRule type="cellIs" priority="10" operator="equal" aboveAverage="0" equalAverage="0" bottom="0" percent="0" rank="0" text="" dxfId="2">
      <formula>"Done"</formula>
    </cfRule>
    <cfRule type="cellIs" priority="11" operator="equal" aboveAverage="0" equalAverage="0" bottom="0" percent="0" rank="0" text="" dxfId="3">
      <formula>"N/A"</formula>
    </cfRule>
  </conditionalFormatting>
  <dataValidations count="1">
    <dataValidation allowBlank="true" errorStyle="stop" operator="between" showDropDown="false" showErrorMessage="false" showInputMessage="false" sqref="E11:E22" type="list">
      <formula1>Lists!$E$1:$E$4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12"/>
    <col collapsed="false" customWidth="true" hidden="false" outlineLevel="0" max="4" min="4" style="0" width="14"/>
    <col collapsed="false" customWidth="true" hidden="false" outlineLevel="0" max="5" min="5" style="0" width="12"/>
    <col collapsed="false" customWidth="true" hidden="false" outlineLevel="0" max="6" min="6" style="0" width="2"/>
    <col collapsed="false" customWidth="true" hidden="false" outlineLevel="0" max="7" min="7" style="0" width="62"/>
  </cols>
  <sheetData>
    <row r="1" customFormat="false" ht="22.35" hidden="false" customHeight="false" outlineLevel="0" collapsed="false">
      <c r="A1" s="0" t="s">
        <v>66</v>
      </c>
      <c r="B1" s="0" t="s">
        <v>86</v>
      </c>
      <c r="C1" s="0" t="s">
        <v>87</v>
      </c>
      <c r="D1" s="0" t="s">
        <v>66</v>
      </c>
      <c r="E1" s="0" t="s">
        <v>66</v>
      </c>
      <c r="G1" s="50" t="s">
        <v>116</v>
      </c>
    </row>
    <row r="2" customFormat="false" ht="15" hidden="false" customHeight="false" outlineLevel="0" collapsed="false">
      <c r="A2" s="0" t="s">
        <v>64</v>
      </c>
      <c r="B2" s="0" t="s">
        <v>117</v>
      </c>
      <c r="C2" s="0" t="s">
        <v>118</v>
      </c>
      <c r="D2" s="0" t="s">
        <v>88</v>
      </c>
      <c r="E2" s="0" t="s">
        <v>88</v>
      </c>
    </row>
    <row r="3" customFormat="false" ht="15" hidden="false" customHeight="false" outlineLevel="0" collapsed="false">
      <c r="A3" s="0" t="s">
        <v>61</v>
      </c>
      <c r="B3" s="0" t="s">
        <v>119</v>
      </c>
      <c r="C3" s="0" t="s">
        <v>90</v>
      </c>
      <c r="D3" s="0" t="s">
        <v>120</v>
      </c>
      <c r="E3" s="0" t="s">
        <v>93</v>
      </c>
    </row>
    <row r="4" customFormat="false" ht="15" hidden="false" customHeight="false" outlineLevel="0" collapsed="false">
      <c r="A4" s="0" t="s">
        <v>59</v>
      </c>
      <c r="B4" s="0" t="s">
        <v>121</v>
      </c>
      <c r="C4" s="0" t="s">
        <v>92</v>
      </c>
      <c r="D4" s="0" t="s">
        <v>93</v>
      </c>
      <c r="E4" s="0" t="s">
        <v>122</v>
      </c>
    </row>
    <row r="5" customFormat="false" ht="15" hidden="false" customHeight="false" outlineLevel="0" collapsed="false">
      <c r="A5" s="0" t="s">
        <v>123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2026-08-02T13:22:43Z</dcterms:created>
  <dc:creator>openpyxl</dc:creator>
  <dc:description/>
  <dc:language>de-DE</dc:language>
  <cp:lastModifiedBy/>
  <dcterms:modified xsi:type="dcterms:W3CDTF">2026-08-02T13:22:43Z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