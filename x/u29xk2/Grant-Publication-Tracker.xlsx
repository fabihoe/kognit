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fabianhones/Desktop/Geld_verdienen/experiment/products/grant-publication-tracker/"/>
    </mc:Choice>
  </mc:AlternateContent>
  <xr:revisionPtr revIDLastSave="0" documentId="13_ncr:1_{7C73ED8B-B029-0A4A-8753-EB750FD3F313}" xr6:coauthVersionLast="47" xr6:coauthVersionMax="47" xr10:uidLastSave="{00000000-0000-0000-0000-000000000000}"/>
  <bookViews>
    <workbookView xWindow="0" yWindow="660" windowWidth="34560" windowHeight="20100" xr2:uid="{00000000-000D-0000-FFFF-FFFF00000000}"/>
  </bookViews>
  <sheets>
    <sheet name="Start Here" sheetId="1" r:id="rId1"/>
    <sheet name="Dashboard" sheetId="2" r:id="rId2"/>
    <sheet name="Grants" sheetId="3" r:id="rId3"/>
    <sheet name="Publications" sheetId="4" r:id="rId4"/>
    <sheet name="Conferences" sheetId="5" r:id="rId5"/>
    <sheet name="Peer Review" sheetId="6" r:id="rId6"/>
    <sheet name="Funding" sheetId="7" r:id="rId7"/>
    <sheet name="AI Prompts" sheetId="8" r:id="rId8"/>
    <sheet name="Lists" sheetId="9" state="hidden" r:id="rId9"/>
  </sheets>
  <definedNames>
    <definedName name="_xlnm._FilterDatabase" localSheetId="4" hidden="1">Conferences!$A$4:$J$104</definedName>
    <definedName name="_xlnm._FilterDatabase" localSheetId="2" hidden="1">Grants!$A$4:$S$154</definedName>
    <definedName name="_xlnm._FilterDatabase" localSheetId="5" hidden="1">'Peer Review'!$A$4:$I$104</definedName>
    <definedName name="_xlnm._FilterDatabase" localSheetId="3" hidden="1">Publications!$A$4:$M$154</definedName>
  </definedNames>
  <calcPr calcId="18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29" i="7" l="1"/>
  <c r="E29" i="7"/>
  <c r="D29" i="7"/>
  <c r="C29" i="7"/>
  <c r="B29" i="7"/>
  <c r="F28" i="7"/>
  <c r="E28" i="7"/>
  <c r="D28" i="7"/>
  <c r="C28" i="7"/>
  <c r="B28" i="7"/>
  <c r="F27" i="7"/>
  <c r="E27" i="7"/>
  <c r="D27" i="7"/>
  <c r="C27" i="7"/>
  <c r="B27" i="7"/>
  <c r="F26" i="7"/>
  <c r="E26" i="7"/>
  <c r="D26" i="7"/>
  <c r="C26" i="7"/>
  <c r="B26" i="7"/>
  <c r="F25" i="7"/>
  <c r="E25" i="7"/>
  <c r="D25" i="7"/>
  <c r="C25" i="7"/>
  <c r="B25" i="7"/>
  <c r="F24" i="7"/>
  <c r="E24" i="7"/>
  <c r="D24" i="7"/>
  <c r="C24" i="7"/>
  <c r="B24" i="7"/>
  <c r="F23" i="7"/>
  <c r="E23" i="7"/>
  <c r="D23" i="7"/>
  <c r="C23" i="7"/>
  <c r="B23" i="7"/>
  <c r="F22" i="7"/>
  <c r="E22" i="7"/>
  <c r="D22" i="7"/>
  <c r="C22" i="7"/>
  <c r="B22" i="7"/>
  <c r="F21" i="7"/>
  <c r="E21" i="7"/>
  <c r="D21" i="7"/>
  <c r="C21" i="7"/>
  <c r="B21" i="7"/>
  <c r="F20" i="7"/>
  <c r="E20" i="7"/>
  <c r="D20" i="7"/>
  <c r="C20" i="7"/>
  <c r="B20" i="7"/>
  <c r="F19" i="7"/>
  <c r="E19" i="7"/>
  <c r="D19" i="7"/>
  <c r="C19" i="7"/>
  <c r="B19" i="7"/>
  <c r="F18" i="7"/>
  <c r="E18" i="7"/>
  <c r="D18" i="7"/>
  <c r="C18" i="7"/>
  <c r="B18" i="7"/>
  <c r="F17" i="7"/>
  <c r="E17" i="7"/>
  <c r="D17" i="7"/>
  <c r="C17" i="7"/>
  <c r="B17" i="7"/>
  <c r="F16" i="7"/>
  <c r="E16" i="7"/>
  <c r="D16" i="7"/>
  <c r="C16" i="7"/>
  <c r="B16" i="7"/>
  <c r="F15" i="7"/>
  <c r="E15" i="7"/>
  <c r="D15" i="7"/>
  <c r="C15" i="7"/>
  <c r="B15" i="7"/>
  <c r="F14" i="7"/>
  <c r="E14" i="7"/>
  <c r="D14" i="7"/>
  <c r="C14" i="7"/>
  <c r="B14" i="7"/>
  <c r="F13" i="7"/>
  <c r="E13" i="7"/>
  <c r="D13" i="7"/>
  <c r="C13" i="7"/>
  <c r="B13" i="7"/>
  <c r="F12" i="7"/>
  <c r="E12" i="7"/>
  <c r="D12" i="7"/>
  <c r="C12" i="7"/>
  <c r="B12" i="7"/>
  <c r="F11" i="7"/>
  <c r="E11" i="7"/>
  <c r="D11" i="7"/>
  <c r="C11" i="7"/>
  <c r="B11" i="7"/>
  <c r="F10" i="7"/>
  <c r="E10" i="7"/>
  <c r="D10" i="7"/>
  <c r="C10" i="7"/>
  <c r="B10" i="7"/>
  <c r="D6" i="7"/>
  <c r="C6" i="7"/>
  <c r="B6" i="7"/>
  <c r="A6" i="7"/>
  <c r="F104" i="6"/>
  <c r="A104" i="6"/>
  <c r="F103" i="6"/>
  <c r="A103" i="6"/>
  <c r="F102" i="6"/>
  <c r="A102" i="6"/>
  <c r="F101" i="6"/>
  <c r="A101" i="6"/>
  <c r="F100" i="6"/>
  <c r="A100" i="6"/>
  <c r="F99" i="6"/>
  <c r="A99" i="6"/>
  <c r="F98" i="6"/>
  <c r="A98" i="6"/>
  <c r="F97" i="6"/>
  <c r="A97" i="6"/>
  <c r="F96" i="6"/>
  <c r="A96" i="6"/>
  <c r="F95" i="6"/>
  <c r="A95" i="6"/>
  <c r="F94" i="6"/>
  <c r="A94" i="6"/>
  <c r="F93" i="6"/>
  <c r="A93" i="6"/>
  <c r="F92" i="6"/>
  <c r="A92" i="6"/>
  <c r="F91" i="6"/>
  <c r="A91" i="6"/>
  <c r="F90" i="6"/>
  <c r="A90" i="6"/>
  <c r="F89" i="6"/>
  <c r="A89" i="6"/>
  <c r="F88" i="6"/>
  <c r="A88" i="6"/>
  <c r="F87" i="6"/>
  <c r="A87" i="6"/>
  <c r="F86" i="6"/>
  <c r="A86" i="6"/>
  <c r="F85" i="6"/>
  <c r="A85" i="6"/>
  <c r="F84" i="6"/>
  <c r="A84" i="6"/>
  <c r="F83" i="6"/>
  <c r="A83" i="6"/>
  <c r="F82" i="6"/>
  <c r="A82" i="6"/>
  <c r="F81" i="6"/>
  <c r="A81" i="6"/>
  <c r="F80" i="6"/>
  <c r="A80" i="6"/>
  <c r="F79" i="6"/>
  <c r="A79" i="6"/>
  <c r="F78" i="6"/>
  <c r="A78" i="6"/>
  <c r="F77" i="6"/>
  <c r="A77" i="6"/>
  <c r="F76" i="6"/>
  <c r="A76" i="6"/>
  <c r="F75" i="6"/>
  <c r="A75" i="6"/>
  <c r="F74" i="6"/>
  <c r="A74" i="6"/>
  <c r="F73" i="6"/>
  <c r="A73" i="6"/>
  <c r="F72" i="6"/>
  <c r="A72" i="6"/>
  <c r="F71" i="6"/>
  <c r="A71" i="6"/>
  <c r="F70" i="6"/>
  <c r="A70" i="6"/>
  <c r="F69" i="6"/>
  <c r="A69" i="6"/>
  <c r="F68" i="6"/>
  <c r="A68" i="6"/>
  <c r="F67" i="6"/>
  <c r="A67" i="6"/>
  <c r="F66" i="6"/>
  <c r="A66" i="6"/>
  <c r="F65" i="6"/>
  <c r="A65" i="6"/>
  <c r="F64" i="6"/>
  <c r="A64" i="6"/>
  <c r="F63" i="6"/>
  <c r="A63" i="6"/>
  <c r="F62" i="6"/>
  <c r="A62" i="6"/>
  <c r="F61" i="6"/>
  <c r="A61" i="6"/>
  <c r="F60" i="6"/>
  <c r="A60" i="6"/>
  <c r="F59" i="6"/>
  <c r="A59" i="6"/>
  <c r="F58" i="6"/>
  <c r="A58" i="6"/>
  <c r="F57" i="6"/>
  <c r="A57" i="6"/>
  <c r="F56" i="6"/>
  <c r="A56" i="6"/>
  <c r="F55" i="6"/>
  <c r="A55" i="6"/>
  <c r="F54" i="6"/>
  <c r="A54" i="6"/>
  <c r="F53" i="6"/>
  <c r="A53" i="6"/>
  <c r="F52" i="6"/>
  <c r="A52" i="6"/>
  <c r="F51" i="6"/>
  <c r="A51" i="6"/>
  <c r="F50" i="6"/>
  <c r="A50" i="6"/>
  <c r="F49" i="6"/>
  <c r="A49" i="6"/>
  <c r="F48" i="6"/>
  <c r="A48" i="6"/>
  <c r="F47" i="6"/>
  <c r="A47" i="6"/>
  <c r="F46" i="6"/>
  <c r="A46" i="6"/>
  <c r="F45" i="6"/>
  <c r="A45" i="6"/>
  <c r="F44" i="6"/>
  <c r="A44" i="6"/>
  <c r="F43" i="6"/>
  <c r="A43" i="6"/>
  <c r="F42" i="6"/>
  <c r="A42" i="6"/>
  <c r="F41" i="6"/>
  <c r="A41" i="6"/>
  <c r="F40" i="6"/>
  <c r="A40" i="6"/>
  <c r="F39" i="6"/>
  <c r="A39" i="6"/>
  <c r="F38" i="6"/>
  <c r="A38" i="6"/>
  <c r="F37" i="6"/>
  <c r="A37" i="6"/>
  <c r="F36" i="6"/>
  <c r="A36" i="6"/>
  <c r="F35" i="6"/>
  <c r="A35" i="6"/>
  <c r="F34" i="6"/>
  <c r="A34" i="6"/>
  <c r="F33" i="6"/>
  <c r="A33" i="6"/>
  <c r="F32" i="6"/>
  <c r="A32" i="6"/>
  <c r="F31" i="6"/>
  <c r="A31" i="6"/>
  <c r="F30" i="6"/>
  <c r="A30" i="6"/>
  <c r="F29" i="6"/>
  <c r="A29" i="6"/>
  <c r="F28" i="6"/>
  <c r="A28" i="6"/>
  <c r="F27" i="6"/>
  <c r="A27" i="6"/>
  <c r="F26" i="6"/>
  <c r="A26" i="6"/>
  <c r="F25" i="6"/>
  <c r="A25" i="6"/>
  <c r="F24" i="6"/>
  <c r="A24" i="6"/>
  <c r="F23" i="6"/>
  <c r="A23" i="6"/>
  <c r="F22" i="6"/>
  <c r="A22" i="6"/>
  <c r="F21" i="6"/>
  <c r="A21" i="6"/>
  <c r="F20" i="6"/>
  <c r="A20" i="6"/>
  <c r="F19" i="6"/>
  <c r="A19" i="6"/>
  <c r="F18" i="6"/>
  <c r="A18" i="6"/>
  <c r="F17" i="6"/>
  <c r="A17" i="6"/>
  <c r="F16" i="6"/>
  <c r="A16" i="6"/>
  <c r="F15" i="6"/>
  <c r="A15" i="6"/>
  <c r="F14" i="6"/>
  <c r="A14" i="6"/>
  <c r="F13" i="6"/>
  <c r="A13" i="6"/>
  <c r="F12" i="6"/>
  <c r="A12" i="6"/>
  <c r="F11" i="6"/>
  <c r="A11" i="6"/>
  <c r="F10" i="6"/>
  <c r="A10" i="6"/>
  <c r="F9" i="6"/>
  <c r="A9" i="6"/>
  <c r="F8" i="6"/>
  <c r="B9" i="2" s="1"/>
  <c r="A8" i="6"/>
  <c r="F7" i="6"/>
  <c r="A7" i="6"/>
  <c r="F6" i="6"/>
  <c r="A6" i="6"/>
  <c r="F5" i="6"/>
  <c r="A5" i="6"/>
  <c r="F104" i="5"/>
  <c r="A104" i="5"/>
  <c r="F103" i="5"/>
  <c r="A103" i="5"/>
  <c r="F102" i="5"/>
  <c r="A102" i="5"/>
  <c r="F101" i="5"/>
  <c r="A101" i="5"/>
  <c r="F100" i="5"/>
  <c r="A100" i="5"/>
  <c r="F99" i="5"/>
  <c r="A99" i="5"/>
  <c r="F98" i="5"/>
  <c r="A98" i="5"/>
  <c r="F97" i="5"/>
  <c r="A97" i="5"/>
  <c r="F96" i="5"/>
  <c r="A96" i="5"/>
  <c r="F95" i="5"/>
  <c r="A95" i="5"/>
  <c r="F94" i="5"/>
  <c r="A94" i="5"/>
  <c r="F93" i="5"/>
  <c r="A93" i="5"/>
  <c r="F92" i="5"/>
  <c r="A92" i="5"/>
  <c r="F91" i="5"/>
  <c r="A91" i="5"/>
  <c r="F90" i="5"/>
  <c r="A90" i="5"/>
  <c r="F89" i="5"/>
  <c r="A89" i="5"/>
  <c r="F88" i="5"/>
  <c r="A88" i="5"/>
  <c r="F87" i="5"/>
  <c r="A87" i="5"/>
  <c r="F86" i="5"/>
  <c r="A86" i="5"/>
  <c r="F85" i="5"/>
  <c r="A85" i="5"/>
  <c r="F84" i="5"/>
  <c r="A84" i="5"/>
  <c r="F83" i="5"/>
  <c r="A83" i="5"/>
  <c r="F82" i="5"/>
  <c r="A82" i="5"/>
  <c r="F81" i="5"/>
  <c r="A81" i="5"/>
  <c r="F80" i="5"/>
  <c r="A80" i="5"/>
  <c r="F79" i="5"/>
  <c r="A79" i="5"/>
  <c r="F78" i="5"/>
  <c r="A78" i="5"/>
  <c r="F77" i="5"/>
  <c r="A77" i="5"/>
  <c r="F76" i="5"/>
  <c r="A76" i="5"/>
  <c r="F75" i="5"/>
  <c r="A75" i="5"/>
  <c r="F74" i="5"/>
  <c r="A74" i="5"/>
  <c r="F73" i="5"/>
  <c r="A73" i="5"/>
  <c r="F72" i="5"/>
  <c r="A72" i="5"/>
  <c r="F71" i="5"/>
  <c r="A71" i="5"/>
  <c r="F70" i="5"/>
  <c r="A70" i="5"/>
  <c r="F69" i="5"/>
  <c r="A69" i="5"/>
  <c r="F68" i="5"/>
  <c r="A68" i="5"/>
  <c r="F67" i="5"/>
  <c r="A67" i="5"/>
  <c r="F66" i="5"/>
  <c r="A66" i="5"/>
  <c r="F65" i="5"/>
  <c r="A65" i="5"/>
  <c r="F64" i="5"/>
  <c r="A64" i="5"/>
  <c r="F63" i="5"/>
  <c r="A63" i="5"/>
  <c r="F62" i="5"/>
  <c r="A62" i="5"/>
  <c r="F61" i="5"/>
  <c r="A61" i="5"/>
  <c r="F60" i="5"/>
  <c r="A60" i="5"/>
  <c r="F59" i="5"/>
  <c r="A59" i="5"/>
  <c r="F58" i="5"/>
  <c r="A58" i="5"/>
  <c r="F57" i="5"/>
  <c r="A57" i="5"/>
  <c r="F56" i="5"/>
  <c r="A56" i="5"/>
  <c r="F55" i="5"/>
  <c r="A55" i="5"/>
  <c r="F54" i="5"/>
  <c r="A54" i="5"/>
  <c r="F53" i="5"/>
  <c r="A53" i="5"/>
  <c r="F52" i="5"/>
  <c r="A52" i="5"/>
  <c r="F51" i="5"/>
  <c r="A51" i="5"/>
  <c r="F50" i="5"/>
  <c r="A50" i="5"/>
  <c r="F49" i="5"/>
  <c r="A49" i="5"/>
  <c r="F48" i="5"/>
  <c r="A48" i="5"/>
  <c r="F47" i="5"/>
  <c r="A47" i="5"/>
  <c r="F46" i="5"/>
  <c r="A46" i="5"/>
  <c r="F45" i="5"/>
  <c r="A45" i="5"/>
  <c r="F44" i="5"/>
  <c r="A44" i="5"/>
  <c r="F43" i="5"/>
  <c r="A43" i="5"/>
  <c r="F42" i="5"/>
  <c r="A42" i="5"/>
  <c r="F41" i="5"/>
  <c r="A41" i="5"/>
  <c r="F40" i="5"/>
  <c r="A40" i="5"/>
  <c r="F39" i="5"/>
  <c r="A39" i="5"/>
  <c r="F38" i="5"/>
  <c r="A38" i="5"/>
  <c r="F37" i="5"/>
  <c r="A37" i="5"/>
  <c r="F36" i="5"/>
  <c r="A36" i="5"/>
  <c r="F35" i="5"/>
  <c r="A35" i="5"/>
  <c r="F34" i="5"/>
  <c r="A34" i="5"/>
  <c r="F33" i="5"/>
  <c r="A33" i="5"/>
  <c r="F32" i="5"/>
  <c r="A32" i="5"/>
  <c r="F31" i="5"/>
  <c r="A31" i="5"/>
  <c r="F30" i="5"/>
  <c r="A30" i="5"/>
  <c r="F29" i="5"/>
  <c r="A29" i="5"/>
  <c r="F28" i="5"/>
  <c r="A28" i="5"/>
  <c r="F27" i="5"/>
  <c r="A27" i="5"/>
  <c r="F26" i="5"/>
  <c r="A26" i="5"/>
  <c r="F25" i="5"/>
  <c r="A25" i="5"/>
  <c r="F24" i="5"/>
  <c r="A24" i="5"/>
  <c r="F23" i="5"/>
  <c r="A23" i="5"/>
  <c r="F22" i="5"/>
  <c r="A22" i="5"/>
  <c r="F21" i="5"/>
  <c r="A21" i="5"/>
  <c r="F20" i="5"/>
  <c r="A20" i="5"/>
  <c r="F19" i="5"/>
  <c r="A19" i="5"/>
  <c r="F18" i="5"/>
  <c r="A18" i="5"/>
  <c r="F17" i="5"/>
  <c r="A17" i="5"/>
  <c r="F16" i="5"/>
  <c r="A16" i="5"/>
  <c r="F15" i="5"/>
  <c r="A15" i="5"/>
  <c r="F14" i="5"/>
  <c r="A14" i="5"/>
  <c r="F13" i="5"/>
  <c r="A13" i="5"/>
  <c r="F12" i="5"/>
  <c r="A12" i="5"/>
  <c r="F11" i="5"/>
  <c r="A11" i="5"/>
  <c r="F10" i="5"/>
  <c r="A10" i="5"/>
  <c r="F9" i="5"/>
  <c r="A9" i="5"/>
  <c r="F8" i="5"/>
  <c r="A8" i="5"/>
  <c r="F7" i="5"/>
  <c r="A7" i="5"/>
  <c r="F6" i="5"/>
  <c r="B6" i="2" s="1"/>
  <c r="A6" i="5"/>
  <c r="F5" i="5"/>
  <c r="A5" i="5"/>
  <c r="J154" i="4"/>
  <c r="G154" i="4"/>
  <c r="A154" i="4"/>
  <c r="J153" i="4"/>
  <c r="G153" i="4"/>
  <c r="A153" i="4"/>
  <c r="J152" i="4"/>
  <c r="G152" i="4"/>
  <c r="A152" i="4"/>
  <c r="J151" i="4"/>
  <c r="G151" i="4"/>
  <c r="A151" i="4"/>
  <c r="J150" i="4"/>
  <c r="G150" i="4"/>
  <c r="A150" i="4"/>
  <c r="J149" i="4"/>
  <c r="G149" i="4"/>
  <c r="A149" i="4"/>
  <c r="J148" i="4"/>
  <c r="G148" i="4"/>
  <c r="A148" i="4"/>
  <c r="J147" i="4"/>
  <c r="G147" i="4"/>
  <c r="A147" i="4"/>
  <c r="J146" i="4"/>
  <c r="G146" i="4"/>
  <c r="A146" i="4"/>
  <c r="J145" i="4"/>
  <c r="G145" i="4"/>
  <c r="A145" i="4"/>
  <c r="J144" i="4"/>
  <c r="G144" i="4"/>
  <c r="A144" i="4"/>
  <c r="J143" i="4"/>
  <c r="G143" i="4"/>
  <c r="A143" i="4"/>
  <c r="J142" i="4"/>
  <c r="G142" i="4"/>
  <c r="A142" i="4"/>
  <c r="J141" i="4"/>
  <c r="G141" i="4"/>
  <c r="A141" i="4"/>
  <c r="J140" i="4"/>
  <c r="G140" i="4"/>
  <c r="A140" i="4"/>
  <c r="J139" i="4"/>
  <c r="G139" i="4"/>
  <c r="A139" i="4"/>
  <c r="J138" i="4"/>
  <c r="G138" i="4"/>
  <c r="A138" i="4"/>
  <c r="J137" i="4"/>
  <c r="G137" i="4"/>
  <c r="A137" i="4"/>
  <c r="J136" i="4"/>
  <c r="G136" i="4"/>
  <c r="A136" i="4"/>
  <c r="J135" i="4"/>
  <c r="G135" i="4"/>
  <c r="A135" i="4"/>
  <c r="J134" i="4"/>
  <c r="G134" i="4"/>
  <c r="A134" i="4"/>
  <c r="J133" i="4"/>
  <c r="G133" i="4"/>
  <c r="A133" i="4"/>
  <c r="J132" i="4"/>
  <c r="G132" i="4"/>
  <c r="A132" i="4"/>
  <c r="J131" i="4"/>
  <c r="G131" i="4"/>
  <c r="A131" i="4"/>
  <c r="J130" i="4"/>
  <c r="G130" i="4"/>
  <c r="A130" i="4"/>
  <c r="J129" i="4"/>
  <c r="G129" i="4"/>
  <c r="A129" i="4"/>
  <c r="J128" i="4"/>
  <c r="G128" i="4"/>
  <c r="A128" i="4"/>
  <c r="J127" i="4"/>
  <c r="G127" i="4"/>
  <c r="A127" i="4"/>
  <c r="J126" i="4"/>
  <c r="G126" i="4"/>
  <c r="A126" i="4"/>
  <c r="J125" i="4"/>
  <c r="G125" i="4"/>
  <c r="A125" i="4"/>
  <c r="J124" i="4"/>
  <c r="G124" i="4"/>
  <c r="A124" i="4"/>
  <c r="J123" i="4"/>
  <c r="G123" i="4"/>
  <c r="A123" i="4"/>
  <c r="J122" i="4"/>
  <c r="G122" i="4"/>
  <c r="A122" i="4"/>
  <c r="J121" i="4"/>
  <c r="G121" i="4"/>
  <c r="A121" i="4"/>
  <c r="J120" i="4"/>
  <c r="G120" i="4"/>
  <c r="A120" i="4"/>
  <c r="J119" i="4"/>
  <c r="G119" i="4"/>
  <c r="A119" i="4"/>
  <c r="J118" i="4"/>
  <c r="G118" i="4"/>
  <c r="A118" i="4"/>
  <c r="J117" i="4"/>
  <c r="G117" i="4"/>
  <c r="A117" i="4"/>
  <c r="J116" i="4"/>
  <c r="G116" i="4"/>
  <c r="A116" i="4"/>
  <c r="J115" i="4"/>
  <c r="G115" i="4"/>
  <c r="A115" i="4"/>
  <c r="J114" i="4"/>
  <c r="G114" i="4"/>
  <c r="A114" i="4"/>
  <c r="J113" i="4"/>
  <c r="G113" i="4"/>
  <c r="A113" i="4"/>
  <c r="J112" i="4"/>
  <c r="G112" i="4"/>
  <c r="A112" i="4"/>
  <c r="J111" i="4"/>
  <c r="G111" i="4"/>
  <c r="A111" i="4"/>
  <c r="J110" i="4"/>
  <c r="G110" i="4"/>
  <c r="A110" i="4"/>
  <c r="J109" i="4"/>
  <c r="G109" i="4"/>
  <c r="A109" i="4"/>
  <c r="J108" i="4"/>
  <c r="G108" i="4"/>
  <c r="A108" i="4"/>
  <c r="J107" i="4"/>
  <c r="G107" i="4"/>
  <c r="A107" i="4"/>
  <c r="J106" i="4"/>
  <c r="G106" i="4"/>
  <c r="A106" i="4"/>
  <c r="J105" i="4"/>
  <c r="G105" i="4"/>
  <c r="A105" i="4"/>
  <c r="J104" i="4"/>
  <c r="G104" i="4"/>
  <c r="A104" i="4"/>
  <c r="J103" i="4"/>
  <c r="G103" i="4"/>
  <c r="A103" i="4"/>
  <c r="J102" i="4"/>
  <c r="G102" i="4"/>
  <c r="A102" i="4"/>
  <c r="J101" i="4"/>
  <c r="G101" i="4"/>
  <c r="A101" i="4"/>
  <c r="J100" i="4"/>
  <c r="G100" i="4"/>
  <c r="A100" i="4"/>
  <c r="J99" i="4"/>
  <c r="G99" i="4"/>
  <c r="A99" i="4"/>
  <c r="J98" i="4"/>
  <c r="G98" i="4"/>
  <c r="A98" i="4"/>
  <c r="J97" i="4"/>
  <c r="G97" i="4"/>
  <c r="A97" i="4"/>
  <c r="J96" i="4"/>
  <c r="G96" i="4"/>
  <c r="A96" i="4"/>
  <c r="J95" i="4"/>
  <c r="G95" i="4"/>
  <c r="A95" i="4"/>
  <c r="J94" i="4"/>
  <c r="G94" i="4"/>
  <c r="A94" i="4"/>
  <c r="J93" i="4"/>
  <c r="G93" i="4"/>
  <c r="A93" i="4"/>
  <c r="J92" i="4"/>
  <c r="G92" i="4"/>
  <c r="A92" i="4"/>
  <c r="J91" i="4"/>
  <c r="G91" i="4"/>
  <c r="A91" i="4"/>
  <c r="J90" i="4"/>
  <c r="G90" i="4"/>
  <c r="A90" i="4"/>
  <c r="J89" i="4"/>
  <c r="G89" i="4"/>
  <c r="A89" i="4"/>
  <c r="J88" i="4"/>
  <c r="G88" i="4"/>
  <c r="A88" i="4"/>
  <c r="J87" i="4"/>
  <c r="G87" i="4"/>
  <c r="A87" i="4"/>
  <c r="J86" i="4"/>
  <c r="G86" i="4"/>
  <c r="A86" i="4"/>
  <c r="J85" i="4"/>
  <c r="G85" i="4"/>
  <c r="A85" i="4"/>
  <c r="J84" i="4"/>
  <c r="G84" i="4"/>
  <c r="A84" i="4"/>
  <c r="J83" i="4"/>
  <c r="G83" i="4"/>
  <c r="A83" i="4"/>
  <c r="J82" i="4"/>
  <c r="G82" i="4"/>
  <c r="A82" i="4"/>
  <c r="J81" i="4"/>
  <c r="G81" i="4"/>
  <c r="A81" i="4"/>
  <c r="J80" i="4"/>
  <c r="G80" i="4"/>
  <c r="A80" i="4"/>
  <c r="J79" i="4"/>
  <c r="G79" i="4"/>
  <c r="A79" i="4"/>
  <c r="J78" i="4"/>
  <c r="G78" i="4"/>
  <c r="A78" i="4"/>
  <c r="J77" i="4"/>
  <c r="G77" i="4"/>
  <c r="A77" i="4"/>
  <c r="J76" i="4"/>
  <c r="G76" i="4"/>
  <c r="A76" i="4"/>
  <c r="J75" i="4"/>
  <c r="G75" i="4"/>
  <c r="A75" i="4"/>
  <c r="J74" i="4"/>
  <c r="G74" i="4"/>
  <c r="A74" i="4"/>
  <c r="J73" i="4"/>
  <c r="G73" i="4"/>
  <c r="A73" i="4"/>
  <c r="J72" i="4"/>
  <c r="G72" i="4"/>
  <c r="A72" i="4"/>
  <c r="J71" i="4"/>
  <c r="G71" i="4"/>
  <c r="A71" i="4"/>
  <c r="J70" i="4"/>
  <c r="G70" i="4"/>
  <c r="A70" i="4"/>
  <c r="J69" i="4"/>
  <c r="G69" i="4"/>
  <c r="A69" i="4"/>
  <c r="J68" i="4"/>
  <c r="G68" i="4"/>
  <c r="A68" i="4"/>
  <c r="J67" i="4"/>
  <c r="G67" i="4"/>
  <c r="A67" i="4"/>
  <c r="J66" i="4"/>
  <c r="G66" i="4"/>
  <c r="A66" i="4"/>
  <c r="J65" i="4"/>
  <c r="G65" i="4"/>
  <c r="A65" i="4"/>
  <c r="J64" i="4"/>
  <c r="G64" i="4"/>
  <c r="A64" i="4"/>
  <c r="J63" i="4"/>
  <c r="G63" i="4"/>
  <c r="A63" i="4"/>
  <c r="J62" i="4"/>
  <c r="G62" i="4"/>
  <c r="A62" i="4"/>
  <c r="J61" i="4"/>
  <c r="G61" i="4"/>
  <c r="A61" i="4"/>
  <c r="J60" i="4"/>
  <c r="G60" i="4"/>
  <c r="A60" i="4"/>
  <c r="J59" i="4"/>
  <c r="G59" i="4"/>
  <c r="A59" i="4"/>
  <c r="J58" i="4"/>
  <c r="G58" i="4"/>
  <c r="A58" i="4"/>
  <c r="J57" i="4"/>
  <c r="G57" i="4"/>
  <c r="A57" i="4"/>
  <c r="J56" i="4"/>
  <c r="G56" i="4"/>
  <c r="A56" i="4"/>
  <c r="J55" i="4"/>
  <c r="G55" i="4"/>
  <c r="A55" i="4"/>
  <c r="J54" i="4"/>
  <c r="G54" i="4"/>
  <c r="A54" i="4"/>
  <c r="J53" i="4"/>
  <c r="G53" i="4"/>
  <c r="A53" i="4"/>
  <c r="J52" i="4"/>
  <c r="G52" i="4"/>
  <c r="A52" i="4"/>
  <c r="J51" i="4"/>
  <c r="G51" i="4"/>
  <c r="A51" i="4"/>
  <c r="J50" i="4"/>
  <c r="G50" i="4"/>
  <c r="A50" i="4"/>
  <c r="J49" i="4"/>
  <c r="G49" i="4"/>
  <c r="A49" i="4"/>
  <c r="J48" i="4"/>
  <c r="G48" i="4"/>
  <c r="A48" i="4"/>
  <c r="J47" i="4"/>
  <c r="G47" i="4"/>
  <c r="A47" i="4"/>
  <c r="J46" i="4"/>
  <c r="G46" i="4"/>
  <c r="A46" i="4"/>
  <c r="J45" i="4"/>
  <c r="G45" i="4"/>
  <c r="A45" i="4"/>
  <c r="J44" i="4"/>
  <c r="G44" i="4"/>
  <c r="A44" i="4"/>
  <c r="J43" i="4"/>
  <c r="G43" i="4"/>
  <c r="A43" i="4"/>
  <c r="J42" i="4"/>
  <c r="G42" i="4"/>
  <c r="A42" i="4"/>
  <c r="J41" i="4"/>
  <c r="G41" i="4"/>
  <c r="A41" i="4"/>
  <c r="J40" i="4"/>
  <c r="G40" i="4"/>
  <c r="A40" i="4"/>
  <c r="J39" i="4"/>
  <c r="G39" i="4"/>
  <c r="A39" i="4"/>
  <c r="J38" i="4"/>
  <c r="G38" i="4"/>
  <c r="A38" i="4"/>
  <c r="J37" i="4"/>
  <c r="G37" i="4"/>
  <c r="A37" i="4"/>
  <c r="J36" i="4"/>
  <c r="G36" i="4"/>
  <c r="A36" i="4"/>
  <c r="J35" i="4"/>
  <c r="G35" i="4"/>
  <c r="A35" i="4"/>
  <c r="J34" i="4"/>
  <c r="G34" i="4"/>
  <c r="A34" i="4"/>
  <c r="J33" i="4"/>
  <c r="G33" i="4"/>
  <c r="A33" i="4"/>
  <c r="J32" i="4"/>
  <c r="G32" i="4"/>
  <c r="A32" i="4"/>
  <c r="J31" i="4"/>
  <c r="G31" i="4"/>
  <c r="A31" i="4"/>
  <c r="J30" i="4"/>
  <c r="G30" i="4"/>
  <c r="A30" i="4"/>
  <c r="J29" i="4"/>
  <c r="G29" i="4"/>
  <c r="A29" i="4"/>
  <c r="J28" i="4"/>
  <c r="G28" i="4"/>
  <c r="A28" i="4"/>
  <c r="J27" i="4"/>
  <c r="G27" i="4"/>
  <c r="A27" i="4"/>
  <c r="J26" i="4"/>
  <c r="G26" i="4"/>
  <c r="A26" i="4"/>
  <c r="J25" i="4"/>
  <c r="G25" i="4"/>
  <c r="A25" i="4"/>
  <c r="J24" i="4"/>
  <c r="G24" i="4"/>
  <c r="A24" i="4"/>
  <c r="J23" i="4"/>
  <c r="G23" i="4"/>
  <c r="A23" i="4"/>
  <c r="J22" i="4"/>
  <c r="G22" i="4"/>
  <c r="A22" i="4"/>
  <c r="J21" i="4"/>
  <c r="G21" i="4"/>
  <c r="A21" i="4"/>
  <c r="J20" i="4"/>
  <c r="G20" i="4"/>
  <c r="A20" i="4"/>
  <c r="J19" i="4"/>
  <c r="G19" i="4"/>
  <c r="A19" i="4"/>
  <c r="J18" i="4"/>
  <c r="G18" i="4"/>
  <c r="A18" i="4"/>
  <c r="J17" i="4"/>
  <c r="G17" i="4"/>
  <c r="A17" i="4"/>
  <c r="J16" i="4"/>
  <c r="G16" i="4"/>
  <c r="A16" i="4"/>
  <c r="J15" i="4"/>
  <c r="G15" i="4"/>
  <c r="A15" i="4"/>
  <c r="J14" i="4"/>
  <c r="G14" i="4"/>
  <c r="A14" i="4"/>
  <c r="J13" i="4"/>
  <c r="G13" i="4"/>
  <c r="A13" i="4"/>
  <c r="J12" i="4"/>
  <c r="G12" i="4"/>
  <c r="A12" i="4"/>
  <c r="J11" i="4"/>
  <c r="G11" i="4"/>
  <c r="A11" i="4"/>
  <c r="J10" i="4"/>
  <c r="G10" i="4"/>
  <c r="A10" i="4"/>
  <c r="J9" i="4"/>
  <c r="G9" i="4"/>
  <c r="A9" i="4"/>
  <c r="J8" i="4"/>
  <c r="G8" i="4"/>
  <c r="A8" i="4"/>
  <c r="J7" i="4"/>
  <c r="A9" i="2" s="1"/>
  <c r="G7" i="4"/>
  <c r="A7" i="4"/>
  <c r="J6" i="4"/>
  <c r="G6" i="4"/>
  <c r="A6" i="4"/>
  <c r="J5" i="4"/>
  <c r="G5" i="4"/>
  <c r="A5" i="4"/>
  <c r="Q154" i="3"/>
  <c r="H154" i="3"/>
  <c r="A154" i="3"/>
  <c r="Q153" i="3"/>
  <c r="H153" i="3"/>
  <c r="A153" i="3"/>
  <c r="Q152" i="3"/>
  <c r="H152" i="3"/>
  <c r="A152" i="3"/>
  <c r="Q151" i="3"/>
  <c r="H151" i="3"/>
  <c r="A151" i="3"/>
  <c r="Q150" i="3"/>
  <c r="H150" i="3"/>
  <c r="A150" i="3"/>
  <c r="Q149" i="3"/>
  <c r="H149" i="3"/>
  <c r="A149" i="3"/>
  <c r="Q148" i="3"/>
  <c r="H148" i="3"/>
  <c r="A148" i="3"/>
  <c r="Q147" i="3"/>
  <c r="H147" i="3"/>
  <c r="A147" i="3"/>
  <c r="Q146" i="3"/>
  <c r="H146" i="3"/>
  <c r="A146" i="3"/>
  <c r="Q145" i="3"/>
  <c r="H145" i="3"/>
  <c r="A145" i="3"/>
  <c r="Q144" i="3"/>
  <c r="H144" i="3"/>
  <c r="A144" i="3"/>
  <c r="Q143" i="3"/>
  <c r="H143" i="3"/>
  <c r="A143" i="3"/>
  <c r="Q142" i="3"/>
  <c r="H142" i="3"/>
  <c r="A142" i="3"/>
  <c r="Q141" i="3"/>
  <c r="H141" i="3"/>
  <c r="A141" i="3"/>
  <c r="Q140" i="3"/>
  <c r="H140" i="3"/>
  <c r="A140" i="3"/>
  <c r="Q139" i="3"/>
  <c r="H139" i="3"/>
  <c r="A139" i="3"/>
  <c r="Q138" i="3"/>
  <c r="H138" i="3"/>
  <c r="A138" i="3"/>
  <c r="Q137" i="3"/>
  <c r="H137" i="3"/>
  <c r="A137" i="3"/>
  <c r="Q136" i="3"/>
  <c r="H136" i="3"/>
  <c r="A136" i="3"/>
  <c r="Q135" i="3"/>
  <c r="H135" i="3"/>
  <c r="A135" i="3"/>
  <c r="Q134" i="3"/>
  <c r="H134" i="3"/>
  <c r="A134" i="3"/>
  <c r="Q133" i="3"/>
  <c r="H133" i="3"/>
  <c r="A133" i="3"/>
  <c r="Q132" i="3"/>
  <c r="H132" i="3"/>
  <c r="A132" i="3"/>
  <c r="Q131" i="3"/>
  <c r="H131" i="3"/>
  <c r="A131" i="3"/>
  <c r="Q130" i="3"/>
  <c r="H130" i="3"/>
  <c r="A130" i="3"/>
  <c r="Q129" i="3"/>
  <c r="H129" i="3"/>
  <c r="A129" i="3"/>
  <c r="Q128" i="3"/>
  <c r="H128" i="3"/>
  <c r="A128" i="3"/>
  <c r="Q127" i="3"/>
  <c r="H127" i="3"/>
  <c r="A127" i="3"/>
  <c r="Q126" i="3"/>
  <c r="H126" i="3"/>
  <c r="A126" i="3"/>
  <c r="Q125" i="3"/>
  <c r="H125" i="3"/>
  <c r="A125" i="3"/>
  <c r="Q124" i="3"/>
  <c r="H124" i="3"/>
  <c r="A124" i="3"/>
  <c r="Q123" i="3"/>
  <c r="H123" i="3"/>
  <c r="A123" i="3"/>
  <c r="Q122" i="3"/>
  <c r="H122" i="3"/>
  <c r="A122" i="3"/>
  <c r="Q121" i="3"/>
  <c r="H121" i="3"/>
  <c r="A121" i="3"/>
  <c r="Q120" i="3"/>
  <c r="H120" i="3"/>
  <c r="A120" i="3"/>
  <c r="Q119" i="3"/>
  <c r="H119" i="3"/>
  <c r="A119" i="3"/>
  <c r="Q118" i="3"/>
  <c r="H118" i="3"/>
  <c r="A118" i="3"/>
  <c r="Q117" i="3"/>
  <c r="H117" i="3"/>
  <c r="A117" i="3"/>
  <c r="Q116" i="3"/>
  <c r="H116" i="3"/>
  <c r="A116" i="3"/>
  <c r="Q115" i="3"/>
  <c r="H115" i="3"/>
  <c r="A115" i="3"/>
  <c r="Q114" i="3"/>
  <c r="H114" i="3"/>
  <c r="A114" i="3"/>
  <c r="Q113" i="3"/>
  <c r="H113" i="3"/>
  <c r="A113" i="3"/>
  <c r="Q112" i="3"/>
  <c r="H112" i="3"/>
  <c r="A112" i="3"/>
  <c r="Q111" i="3"/>
  <c r="H111" i="3"/>
  <c r="A111" i="3"/>
  <c r="Q110" i="3"/>
  <c r="H110" i="3"/>
  <c r="A110" i="3"/>
  <c r="Q109" i="3"/>
  <c r="H109" i="3"/>
  <c r="A109" i="3"/>
  <c r="Q108" i="3"/>
  <c r="H108" i="3"/>
  <c r="A108" i="3"/>
  <c r="Q107" i="3"/>
  <c r="H107" i="3"/>
  <c r="A107" i="3"/>
  <c r="Q106" i="3"/>
  <c r="H106" i="3"/>
  <c r="A106" i="3"/>
  <c r="Q105" i="3"/>
  <c r="H105" i="3"/>
  <c r="A105" i="3"/>
  <c r="Q104" i="3"/>
  <c r="H104" i="3"/>
  <c r="A104" i="3"/>
  <c r="Q103" i="3"/>
  <c r="H103" i="3"/>
  <c r="A103" i="3"/>
  <c r="Q102" i="3"/>
  <c r="H102" i="3"/>
  <c r="A102" i="3"/>
  <c r="Q101" i="3"/>
  <c r="H101" i="3"/>
  <c r="A101" i="3"/>
  <c r="Q100" i="3"/>
  <c r="H100" i="3"/>
  <c r="A100" i="3"/>
  <c r="Q99" i="3"/>
  <c r="H99" i="3"/>
  <c r="A99" i="3"/>
  <c r="Q98" i="3"/>
  <c r="H98" i="3"/>
  <c r="A98" i="3"/>
  <c r="Q97" i="3"/>
  <c r="H97" i="3"/>
  <c r="A97" i="3"/>
  <c r="Q96" i="3"/>
  <c r="H96" i="3"/>
  <c r="A96" i="3"/>
  <c r="Q95" i="3"/>
  <c r="H95" i="3"/>
  <c r="A95" i="3"/>
  <c r="Q94" i="3"/>
  <c r="H94" i="3"/>
  <c r="A94" i="3"/>
  <c r="Q93" i="3"/>
  <c r="H93" i="3"/>
  <c r="A93" i="3"/>
  <c r="Q92" i="3"/>
  <c r="H92" i="3"/>
  <c r="A92" i="3"/>
  <c r="Q91" i="3"/>
  <c r="H91" i="3"/>
  <c r="A91" i="3"/>
  <c r="Q90" i="3"/>
  <c r="H90" i="3"/>
  <c r="A90" i="3"/>
  <c r="Q89" i="3"/>
  <c r="H89" i="3"/>
  <c r="A89" i="3"/>
  <c r="Q88" i="3"/>
  <c r="H88" i="3"/>
  <c r="A88" i="3"/>
  <c r="Q87" i="3"/>
  <c r="H87" i="3"/>
  <c r="A87" i="3"/>
  <c r="Q86" i="3"/>
  <c r="H86" i="3"/>
  <c r="A86" i="3"/>
  <c r="Q85" i="3"/>
  <c r="H85" i="3"/>
  <c r="A85" i="3"/>
  <c r="Q84" i="3"/>
  <c r="H84" i="3"/>
  <c r="A84" i="3"/>
  <c r="Q83" i="3"/>
  <c r="H83" i="3"/>
  <c r="A83" i="3"/>
  <c r="Q82" i="3"/>
  <c r="H82" i="3"/>
  <c r="A82" i="3"/>
  <c r="Q81" i="3"/>
  <c r="H81" i="3"/>
  <c r="A81" i="3"/>
  <c r="Q80" i="3"/>
  <c r="H80" i="3"/>
  <c r="A80" i="3"/>
  <c r="Q79" i="3"/>
  <c r="H79" i="3"/>
  <c r="A79" i="3"/>
  <c r="Q78" i="3"/>
  <c r="H78" i="3"/>
  <c r="A78" i="3"/>
  <c r="Q77" i="3"/>
  <c r="H77" i="3"/>
  <c r="A77" i="3"/>
  <c r="Q76" i="3"/>
  <c r="H76" i="3"/>
  <c r="A76" i="3"/>
  <c r="Q75" i="3"/>
  <c r="H75" i="3"/>
  <c r="A75" i="3"/>
  <c r="Q74" i="3"/>
  <c r="H74" i="3"/>
  <c r="A74" i="3"/>
  <c r="Q73" i="3"/>
  <c r="H73" i="3"/>
  <c r="A73" i="3"/>
  <c r="Q72" i="3"/>
  <c r="H72" i="3"/>
  <c r="A72" i="3"/>
  <c r="Q71" i="3"/>
  <c r="H71" i="3"/>
  <c r="A71" i="3"/>
  <c r="Q70" i="3"/>
  <c r="H70" i="3"/>
  <c r="A70" i="3"/>
  <c r="Q69" i="3"/>
  <c r="H69" i="3"/>
  <c r="A69" i="3"/>
  <c r="Q68" i="3"/>
  <c r="H68" i="3"/>
  <c r="A68" i="3"/>
  <c r="Q67" i="3"/>
  <c r="H67" i="3"/>
  <c r="A67" i="3"/>
  <c r="Q66" i="3"/>
  <c r="H66" i="3"/>
  <c r="A66" i="3"/>
  <c r="Q65" i="3"/>
  <c r="H65" i="3"/>
  <c r="A65" i="3"/>
  <c r="Q64" i="3"/>
  <c r="H64" i="3"/>
  <c r="A64" i="3"/>
  <c r="Q63" i="3"/>
  <c r="H63" i="3"/>
  <c r="A63" i="3"/>
  <c r="Q62" i="3"/>
  <c r="H62" i="3"/>
  <c r="A62" i="3"/>
  <c r="Q61" i="3"/>
  <c r="H61" i="3"/>
  <c r="A61" i="3"/>
  <c r="Q60" i="3"/>
  <c r="H60" i="3"/>
  <c r="A60" i="3"/>
  <c r="Q59" i="3"/>
  <c r="H59" i="3"/>
  <c r="A59" i="3"/>
  <c r="Q58" i="3"/>
  <c r="H58" i="3"/>
  <c r="A58" i="3"/>
  <c r="Q57" i="3"/>
  <c r="H57" i="3"/>
  <c r="A57" i="3"/>
  <c r="Q56" i="3"/>
  <c r="H56" i="3"/>
  <c r="A56" i="3"/>
  <c r="Q55" i="3"/>
  <c r="H55" i="3"/>
  <c r="A55" i="3"/>
  <c r="Q54" i="3"/>
  <c r="H54" i="3"/>
  <c r="A54" i="3"/>
  <c r="Q53" i="3"/>
  <c r="H53" i="3"/>
  <c r="A53" i="3"/>
  <c r="Q52" i="3"/>
  <c r="H52" i="3"/>
  <c r="A52" i="3"/>
  <c r="Q51" i="3"/>
  <c r="H51" i="3"/>
  <c r="A51" i="3"/>
  <c r="Q50" i="3"/>
  <c r="H50" i="3"/>
  <c r="A50" i="3"/>
  <c r="Q49" i="3"/>
  <c r="H49" i="3"/>
  <c r="A49" i="3"/>
  <c r="Q48" i="3"/>
  <c r="H48" i="3"/>
  <c r="A48" i="3"/>
  <c r="Q47" i="3"/>
  <c r="H47" i="3"/>
  <c r="A47" i="3"/>
  <c r="Q46" i="3"/>
  <c r="H46" i="3"/>
  <c r="A46" i="3"/>
  <c r="Q45" i="3"/>
  <c r="H45" i="3"/>
  <c r="A45" i="3"/>
  <c r="Q44" i="3"/>
  <c r="H44" i="3"/>
  <c r="A44" i="3"/>
  <c r="Q43" i="3"/>
  <c r="H43" i="3"/>
  <c r="A43" i="3"/>
  <c r="Q42" i="3"/>
  <c r="H42" i="3"/>
  <c r="A42" i="3"/>
  <c r="Q41" i="3"/>
  <c r="H41" i="3"/>
  <c r="A41" i="3"/>
  <c r="Q40" i="3"/>
  <c r="H40" i="3"/>
  <c r="A40" i="3"/>
  <c r="Q39" i="3"/>
  <c r="H39" i="3"/>
  <c r="A39" i="3"/>
  <c r="Q38" i="3"/>
  <c r="H38" i="3"/>
  <c r="A38" i="3"/>
  <c r="Q37" i="3"/>
  <c r="H37" i="3"/>
  <c r="A37" i="3"/>
  <c r="Q36" i="3"/>
  <c r="H36" i="3"/>
  <c r="A36" i="3"/>
  <c r="Q35" i="3"/>
  <c r="H35" i="3"/>
  <c r="A35" i="3"/>
  <c r="Q34" i="3"/>
  <c r="H34" i="3"/>
  <c r="A34" i="3"/>
  <c r="Q33" i="3"/>
  <c r="H33" i="3"/>
  <c r="A33" i="3"/>
  <c r="Q32" i="3"/>
  <c r="H32" i="3"/>
  <c r="A32" i="3"/>
  <c r="Q31" i="3"/>
  <c r="H31" i="3"/>
  <c r="A31" i="3"/>
  <c r="Q30" i="3"/>
  <c r="H30" i="3"/>
  <c r="A30" i="3"/>
  <c r="Q29" i="3"/>
  <c r="H29" i="3"/>
  <c r="A29" i="3"/>
  <c r="Q28" i="3"/>
  <c r="H28" i="3"/>
  <c r="A28" i="3"/>
  <c r="Q27" i="3"/>
  <c r="H27" i="3"/>
  <c r="A27" i="3"/>
  <c r="Q26" i="3"/>
  <c r="H26" i="3"/>
  <c r="A26" i="3"/>
  <c r="Q25" i="3"/>
  <c r="H25" i="3"/>
  <c r="A25" i="3"/>
  <c r="Q24" i="3"/>
  <c r="H24" i="3"/>
  <c r="A24" i="3"/>
  <c r="Q23" i="3"/>
  <c r="H23" i="3"/>
  <c r="A23" i="3"/>
  <c r="Q22" i="3"/>
  <c r="H22" i="3"/>
  <c r="A22" i="3"/>
  <c r="Q21" i="3"/>
  <c r="H21" i="3"/>
  <c r="A21" i="3"/>
  <c r="Q20" i="3"/>
  <c r="H20" i="3"/>
  <c r="A20" i="3"/>
  <c r="Q19" i="3"/>
  <c r="H19" i="3"/>
  <c r="A19" i="3"/>
  <c r="Q18" i="3"/>
  <c r="H18" i="3"/>
  <c r="A18" i="3"/>
  <c r="Q17" i="3"/>
  <c r="H17" i="3"/>
  <c r="A17" i="3"/>
  <c r="Q16" i="3"/>
  <c r="H16" i="3"/>
  <c r="A16" i="3"/>
  <c r="Q15" i="3"/>
  <c r="H15" i="3"/>
  <c r="A15" i="3"/>
  <c r="Q14" i="3"/>
  <c r="H14" i="3"/>
  <c r="A14" i="3"/>
  <c r="Q13" i="3"/>
  <c r="H13" i="3"/>
  <c r="A13" i="3"/>
  <c r="Q12" i="3"/>
  <c r="H12" i="3"/>
  <c r="A12" i="3"/>
  <c r="Q11" i="3"/>
  <c r="H11" i="3"/>
  <c r="A11" i="3"/>
  <c r="Q10" i="3"/>
  <c r="H10" i="3"/>
  <c r="A10" i="3"/>
  <c r="Q9" i="3"/>
  <c r="H9" i="3"/>
  <c r="A9" i="3"/>
  <c r="Q8" i="3"/>
  <c r="H8" i="3"/>
  <c r="A8" i="3"/>
  <c r="Q7" i="3"/>
  <c r="H7" i="3"/>
  <c r="A7" i="3"/>
  <c r="Q6" i="3"/>
  <c r="H6" i="3"/>
  <c r="A6" i="3"/>
  <c r="Q5" i="3"/>
  <c r="H5" i="3"/>
  <c r="A5" i="3"/>
  <c r="H9" i="2"/>
  <c r="G9" i="2"/>
  <c r="E9" i="2"/>
  <c r="D9" i="2"/>
  <c r="H6" i="2"/>
  <c r="G6" i="2"/>
  <c r="E6" i="2"/>
  <c r="D6" i="2"/>
  <c r="A6" i="2" l="1"/>
</calcChain>
</file>

<file path=xl/sharedStrings.xml><?xml version="1.0" encoding="utf-8"?>
<sst xmlns="http://schemas.openxmlformats.org/spreadsheetml/2006/main" count="167" uniqueCount="142">
  <si>
    <t>Grant &amp; Publication Tracker</t>
  </si>
  <si>
    <t>Never miss a deadline that funds your research — grants, papers, abstracts, reviews in one place.</t>
  </si>
  <si>
    <t>HOW TO USE THIS WORKBOOK</t>
  </si>
  <si>
    <t>1 · Dashboard — your next deadlines across everything, in days. Every number updates automatically; never type in a grey cell — grey means it computes itself.</t>
  </si>
  <si>
    <t>2 · Grants — one row per application, from idea to outcome. The countdown goes quiet the moment you submit.</t>
  </si>
  <si>
    <t>3 · Publications — one row per manuscript. Days in review counts itself; amber at 90 days — while the decision is pending — means a polite editor nudge is fair game.</t>
  </si>
  <si>
    <t>4 · Conferences — abstract deadlines, event dates, registration due.</t>
  </si>
  <si>
    <t>5 · Peer Review — the reviews you owe others. Service you can prove at evaluation time.</t>
  </si>
  <si>
    <t>6 · Funding — totals requested, pending, awarded and your per-funder win rate. All automatic.</t>
  </si>
  <si>
    <t>7 · AI Prompts — 6 copy-paste prompts for the hard parts: one-pagers, aims critique, Reviewer 2, response letters.</t>
  </si>
  <si>
    <t>GOOGLE SHEETS: File → Import → Upload this file. Everything (formulas, dropdowns, colors) survives the trip.</t>
  </si>
  <si>
    <t>TIP: Log every call you consider — even the ones you skip. Your Funding sheet becomes your track-record memory.</t>
  </si>
  <si>
    <t>LICENSE — Personal use. One buyer, unlimited own projects &amp; devices. Please don't resell or redistribute.</t>
  </si>
  <si>
    <t>Questions or a broken formula? Message us on Etsy — we reply within 48 h.</t>
  </si>
  <si>
    <t>Dashboard</t>
  </si>
  <si>
    <t>Live overview — your next deadlines across everything. All numbers update automatically.</t>
  </si>
  <si>
    <t>DEADLINES</t>
  </si>
  <si>
    <t>GRANT PIPELINE</t>
  </si>
  <si>
    <t>PAPERS &amp; MONEY</t>
  </si>
  <si>
    <t>Next grant deadline (days)</t>
  </si>
  <si>
    <t>Next abstract deadline (days)</t>
  </si>
  <si>
    <t>Active applications</t>
  </si>
  <si>
    <t>In preparation</t>
  </si>
  <si>
    <t>Manuscripts in review</t>
  </si>
  <si>
    <t>Revisions on your desk</t>
  </si>
  <si>
    <t>Next resubmission (days)</t>
  </si>
  <si>
    <t>Next review due (days)</t>
  </si>
  <si>
    <t>Awarded</t>
  </si>
  <si>
    <t>Success rate</t>
  </si>
  <si>
    <t>Accepted</t>
  </si>
  <si>
    <t>Funding awarded</t>
  </si>
  <si>
    <t>Never type on this sheet — it computes itself.</t>
  </si>
  <si>
    <t>Grants Pipeline</t>
  </si>
  <si>
    <t>One row per application, any currency. The countdown goes quiet the moment you submit — red always means act now.</t>
  </si>
  <si>
    <t>#</t>
  </si>
  <si>
    <t>Funder</t>
  </si>
  <si>
    <t>Programme / call</t>
  </si>
  <si>
    <t>Project title</t>
  </si>
  <si>
    <t>Role</t>
  </si>
  <si>
    <t>Amount requested</t>
  </si>
  <si>
    <t>Deadline</t>
  </si>
  <si>
    <t>Days left</t>
  </si>
  <si>
    <t>Status</t>
  </si>
  <si>
    <t>Submitted on</t>
  </si>
  <si>
    <t>Outcome date</t>
  </si>
  <si>
    <t>Amount awarded</t>
  </si>
  <si>
    <t>Proposal</t>
  </si>
  <si>
    <t>Budget</t>
  </si>
  <si>
    <t>CV / biosketch</t>
  </si>
  <si>
    <t>Letters &amp; annexes</t>
  </si>
  <si>
    <t>Docs ready</t>
  </si>
  <si>
    <t>Co-applicants</t>
  </si>
  <si>
    <t>Notes / next step</t>
  </si>
  <si>
    <t>Publications Pipeline</t>
  </si>
  <si>
    <t>One row per manuscript. Days in review counts itself — amber at 90 days while the decision is pending, when a polite nudge to the editor is fair game.</t>
  </si>
  <si>
    <t>Manuscript title</t>
  </si>
  <si>
    <t>My role</t>
  </si>
  <si>
    <t>Target journal</t>
  </si>
  <si>
    <t>Days in review</t>
  </si>
  <si>
    <t>Decision date</t>
  </si>
  <si>
    <t>Resubmission deadline</t>
  </si>
  <si>
    <t>Days to resubmit</t>
  </si>
  <si>
    <t>Co-authors</t>
  </si>
  <si>
    <t>DOI / link</t>
  </si>
  <si>
    <t>Notes / reviewer asks</t>
  </si>
  <si>
    <t>Conferences &amp; Abstracts</t>
  </si>
  <si>
    <t>Abstract deadlines, event dates, registration due — one glance.</t>
  </si>
  <si>
    <t>Conference</t>
  </si>
  <si>
    <t>Format / location</t>
  </si>
  <si>
    <t>Abstract title</t>
  </si>
  <si>
    <t>Abstract deadline</t>
  </si>
  <si>
    <t>Event dates</t>
  </si>
  <si>
    <t>Registration due</t>
  </si>
  <si>
    <t>Notes / costs</t>
  </si>
  <si>
    <t>Peer Review Log</t>
  </si>
  <si>
    <t>The reviews you owe others. Track them like deadlines — and walk into your evaluation with the receipts.</t>
  </si>
  <si>
    <t>Journal / venue</t>
  </si>
  <si>
    <t>Manuscript title / ID</t>
  </si>
  <si>
    <t>Invited on</t>
  </si>
  <si>
    <t>Review due</t>
  </si>
  <si>
    <t>Hours spent</t>
  </si>
  <si>
    <t>Notes</t>
  </si>
  <si>
    <t>Funding Overview</t>
  </si>
  <si>
    <t>Type a funder name in column A — everything else computes itself from your Grants sheet.</t>
  </si>
  <si>
    <t>Total requested (submitted)</t>
  </si>
  <si>
    <t>Pending decision</t>
  </si>
  <si>
    <t>Total awarded</t>
  </si>
  <si>
    <t>Success rate (decided)</t>
  </si>
  <si>
    <t>BY FUNDER</t>
  </si>
  <si>
    <t>Funder (type here)</t>
  </si>
  <si>
    <t>Applications</t>
  </si>
  <si>
    <t>Requested</t>
  </si>
  <si>
    <t>Wins</t>
  </si>
  <si>
    <t>Win rate</t>
  </si>
  <si>
    <t>AI Academic Prompts</t>
  </si>
  <si>
    <t>6 prompts for the hard parts of academic funding and publishing. They make the AI your assistant — the thinking stays yours.</t>
  </si>
  <si>
    <t>Stage</t>
  </si>
  <si>
    <t>When to use it</t>
  </si>
  <si>
    <t>Prompt (copy, fill the [brackets], paste)</t>
  </si>
  <si>
    <t>Grants</t>
  </si>
  <si>
    <t>Grant one-pager</t>
  </si>
  <si>
    <t>I'm preparing a grant application to [funder / programme]. My project idea in 3–5 sentences: [problem, approach, what's new]. Target amount and duration: [amount, duration].
Draft a one-page summary with these sections: the problem and why now (2 sentences), the research question, the approach in 3 numbered steps, why this fits THIS funder (their stated priorities: [paste 1–2 lines from the call]), expected outputs, and a 3-row risk-and-mitigation table.
Write plainly — no adjectives that praise the project. Wherever I haven't given you enough, insert [GAP: what's missing] instead of inventing.</t>
  </si>
  <si>
    <t>Aims-page panel critique</t>
  </si>
  <si>
    <t>Here is the aims/objectives page of my grant draft:
[paste aims page]
Act as a skeptical review panel of three: a methods expert, a field expert, and a generalist who has read 40 applications today. For each reviewer: the two weakest points they would flag (quote my exact phrase), the question they would raise in the panel meeting, and how it would hurt my score.
Then rewrite my aims so that each aim is one testable claim with its own success criterion — and no aim depends on a previous aim succeeding.</t>
  </si>
  <si>
    <t>Should I even apply? (fit check)</t>
  </si>
  <si>
    <t>I found this funding call:
[paste call summary]
My profile: [2–3 sentences: field, career stage, track-record highlights]. Time I can realistically invest before the deadline: [hours].
Be my hard-nosed mentor. Score the fit 0–10 on: (1) thematic fit, (2) eligibility and career-stage fit, (3) competitiveness of my track record for THIS instrument, (4) effort-to-award ratio.
Then a clear verdict: apply, apply only if [condition], or skip. If skip: name the one thing to build this year so next year's answer is apply.</t>
  </si>
  <si>
    <t>Papers</t>
  </si>
  <si>
    <t>Reviewer-2 simulation</t>
  </si>
  <si>
    <t>Here is a section of my manuscript:
[paste text]
Be Reviewer 2 — rigorous, unimpressed, fair. List your objections in order of severity: unsupported claims, logical jumps, overclaimed contributions, method–conclusion mismatches, missing literature.
For each objection: quote the exact sentence, say why it fails, and what would fix it. End with the single revision most likely to change the editor's decision.</t>
  </si>
  <si>
    <t>Response-to-reviewers builder</t>
  </si>
  <si>
    <t>I received a [major/minor] revision decision for my manuscript '[title]'. Here are the reviewer comments:
[paste comments]
Draft a point-by-point response document: number every comment, quote it, then respond by (a) stating exactly what changed and where (use page/line placeholders), or (b) respectfully pushing back with evidence where the request is wrong or out of scope — at most [N] pushbacks, only on my strongest points. Thank without groveling.
Flag every place the reviewers contradict each other, and draft one sentence to the editor explaining how I resolved it.</t>
  </si>
  <si>
    <t>No-hype cover letter</t>
  </si>
  <si>
    <t>Draft a submission cover letter to the editor of [journal] for my manuscript '[title]'. My study in 3 sentences: [question, method, key finding]. Why this journal, honestly: [1 sentence].
Keep it under 250 words: what the paper shows, why it fits the journal's scope, what is new relative to [1–2 related papers the journal published], plus the standard declarations (original work, not under consideration elsewhere, no competing interests, all authors approved).
No hype adjectives, and no retelling of the whole paper — editors read the abstract.</t>
  </si>
  <si>
    <t>Idea</t>
  </si>
  <si>
    <t>Drafting</t>
  </si>
  <si>
    <t>Planned</t>
  </si>
  <si>
    <t>Invited</t>
  </si>
  <si>
    <t>PI</t>
  </si>
  <si>
    <t>First author</t>
  </si>
  <si>
    <t>To do</t>
  </si>
  <si>
    <t>Preparing</t>
  </si>
  <si>
    <t>Submitted</t>
  </si>
  <si>
    <t>Abstract submitted</t>
  </si>
  <si>
    <t>Co-PI</t>
  </si>
  <si>
    <t>Corresponding</t>
  </si>
  <si>
    <t>In progress</t>
  </si>
  <si>
    <t>Under review</t>
  </si>
  <si>
    <t>Accepted (talk)</t>
  </si>
  <si>
    <t>Co-applicant</t>
  </si>
  <si>
    <t>Co-author</t>
  </si>
  <si>
    <t>Ready</t>
  </si>
  <si>
    <t>Major revision</t>
  </si>
  <si>
    <t>Accepted (poster)</t>
  </si>
  <si>
    <t>Collaborator</t>
  </si>
  <si>
    <t>Senior/Last</t>
  </si>
  <si>
    <t>Minor revision</t>
  </si>
  <si>
    <t>Rejected</t>
  </si>
  <si>
    <t>Declined</t>
  </si>
  <si>
    <t>R&amp;R in progress</t>
  </si>
  <si>
    <t>Attended</t>
  </si>
  <si>
    <t>Withdrawn</t>
  </si>
  <si>
    <t>Resubmitted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</si>
</sst>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6" x14ac:knownFonts="1">
    <font>
      <sz val="11"/>
      <color theme="1"/>
      <name val="Calibri"/>
      <family val="2"/>
      <scheme val="minor"/>
    </font>
    <font>
      <b/>
      <sz val="20"/>
      <color rgb="FF2D3A8C"/>
      <name val="Calibri"/>
      <family val="2"/>
    </font>
    <font>
      <sz val="12"/>
      <color rgb="FF555B7A"/>
      <name val="Calibri"/>
      <family val="2"/>
    </font>
    <font>
      <sz val="10"/>
      <color rgb="FF1E2340"/>
      <name val="Calibri"/>
      <family val="2"/>
    </font>
    <font>
      <b/>
      <sz val="13"/>
      <color rgb="FF1F7A6D"/>
      <name val="Calibri"/>
      <family val="2"/>
    </font>
    <font>
      <sz val="11"/>
      <color rgb="FF1E2340"/>
      <name val="Calibri"/>
      <family val="2"/>
    </font>
    <font>
      <sz val="9"/>
      <color rgb="FF555B7A"/>
      <name val="Calibri"/>
      <family val="2"/>
    </font>
    <font>
      <b/>
      <sz val="16"/>
      <color rgb="FF2D3A8C"/>
      <name val="Calibri"/>
      <family val="2"/>
    </font>
    <font>
      <sz val="10"/>
      <color rgb="FF555B7A"/>
      <name val="Calibri"/>
      <family val="2"/>
    </font>
    <font>
      <b/>
      <sz val="11"/>
      <color rgb="FF1F7A6D"/>
      <name val="Calibri"/>
      <family val="2"/>
    </font>
    <font>
      <b/>
      <sz val="18"/>
      <color rgb="FF2D3A8C"/>
      <name val="Calibri"/>
      <family val="2"/>
    </font>
    <font>
      <b/>
      <sz val="18"/>
      <color rgb="FFB4540A"/>
      <name val="Calibri"/>
      <family val="2"/>
    </font>
    <font>
      <b/>
      <sz val="18"/>
      <color rgb="FF1F7A6D"/>
      <name val="Calibri"/>
      <family val="2"/>
    </font>
    <font>
      <i/>
      <sz val="9"/>
      <color rgb="FF555B7A"/>
      <name val="Calibri"/>
      <family val="2"/>
    </font>
    <font>
      <b/>
      <sz val="11"/>
      <color rgb="FFFFFFFF"/>
      <name val="Calibri"/>
      <family val="2"/>
    </font>
    <font>
      <b/>
      <sz val="11"/>
      <color rgb="FF2D3A8C"/>
      <name val="Calibri"/>
      <family val="2"/>
    </font>
  </fonts>
  <fills count="8">
    <fill>
      <patternFill patternType="none"/>
    </fill>
    <fill>
      <patternFill patternType="gray125"/>
    </fill>
    <fill>
      <patternFill patternType="solid">
        <fgColor rgb="FFEEF1FB"/>
      </patternFill>
    </fill>
    <fill>
      <patternFill patternType="solid">
        <fgColor rgb="FFFFF1CC"/>
      </patternFill>
    </fill>
    <fill>
      <patternFill patternType="solid">
        <fgColor rgb="FFE3F1EE"/>
      </patternFill>
    </fill>
    <fill>
      <patternFill patternType="solid">
        <fgColor rgb="FF2D3A8C"/>
      </patternFill>
    </fill>
    <fill>
      <patternFill patternType="solid">
        <fgColor rgb="FFF7F8FC"/>
      </patternFill>
    </fill>
    <fill>
      <patternFill patternType="solid">
        <fgColor rgb="FFECEDF3"/>
      </patternFill>
    </fill>
  </fills>
  <borders count="2">
    <border>
      <left/>
      <right/>
      <top/>
      <bottom/>
      <diagonal/>
    </border>
    <border>
      <left style="thin">
        <color rgb="FFD9DCEA"/>
      </left>
      <right style="thin">
        <color rgb="FFD9DCEA"/>
      </right>
      <top style="thin">
        <color rgb="FFD9DCEA"/>
      </top>
      <bottom style="thin">
        <color rgb="FFD9DCEA"/>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8" fillId="0" borderId="0" xfId="0" applyFont="1"/>
    <xf numFmtId="0" fontId="9" fillId="0" borderId="0" xfId="0" applyFont="1"/>
    <xf numFmtId="1" fontId="10" fillId="2" borderId="1" xfId="0" applyNumberFormat="1" applyFont="1" applyFill="1" applyBorder="1" applyAlignment="1">
      <alignment horizontal="center"/>
    </xf>
    <xf numFmtId="0" fontId="10" fillId="2" borderId="1" xfId="0" applyFont="1" applyFill="1" applyBorder="1" applyAlignment="1">
      <alignment horizontal="center"/>
    </xf>
    <xf numFmtId="0" fontId="11" fillId="3" borderId="1" xfId="0" applyFont="1" applyFill="1" applyBorder="1" applyAlignment="1">
      <alignment horizontal="center"/>
    </xf>
    <xf numFmtId="0" fontId="12" fillId="4" borderId="1" xfId="0" applyFont="1" applyFill="1" applyBorder="1" applyAlignment="1">
      <alignment horizontal="center"/>
    </xf>
    <xf numFmtId="0" fontId="13" fillId="0" borderId="0" xfId="0" applyFont="1"/>
    <xf numFmtId="0" fontId="14" fillId="5" borderId="1" xfId="0" applyFont="1" applyFill="1" applyBorder="1" applyAlignment="1">
      <alignment vertical="center" wrapText="1"/>
    </xf>
    <xf numFmtId="0" fontId="0" fillId="7" borderId="1" xfId="0" applyFill="1" applyBorder="1" applyAlignment="1">
      <alignment vertical="top" wrapText="1"/>
    </xf>
    <xf numFmtId="0" fontId="0" fillId="0" borderId="1" xfId="0" applyBorder="1" applyAlignment="1">
      <alignment vertical="top" wrapText="1"/>
    </xf>
    <xf numFmtId="3" fontId="0" fillId="0" borderId="1" xfId="0" applyNumberFormat="1" applyBorder="1" applyAlignment="1">
      <alignment vertical="top" wrapText="1"/>
    </xf>
    <xf numFmtId="164" fontId="0" fillId="0" borderId="1" xfId="0" applyNumberFormat="1" applyBorder="1" applyAlignment="1">
      <alignment vertical="top" wrapText="1"/>
    </xf>
    <xf numFmtId="1" fontId="0" fillId="7" borderId="1" xfId="0" applyNumberFormat="1" applyFill="1" applyBorder="1" applyAlignment="1">
      <alignment vertical="top" wrapText="1"/>
    </xf>
    <xf numFmtId="0" fontId="0" fillId="6" borderId="1" xfId="0" applyFill="1" applyBorder="1" applyAlignment="1">
      <alignment vertical="top" wrapText="1"/>
    </xf>
    <xf numFmtId="3" fontId="0" fillId="6" borderId="1" xfId="0" applyNumberFormat="1" applyFill="1" applyBorder="1" applyAlignment="1">
      <alignment vertical="top" wrapText="1"/>
    </xf>
    <xf numFmtId="164" fontId="0" fillId="6" borderId="1" xfId="0" applyNumberFormat="1" applyFill="1" applyBorder="1" applyAlignment="1">
      <alignment vertical="top" wrapText="1"/>
    </xf>
    <xf numFmtId="165" fontId="0" fillId="0" borderId="1" xfId="0" applyNumberFormat="1" applyBorder="1" applyAlignment="1">
      <alignment vertical="top" wrapText="1"/>
    </xf>
    <xf numFmtId="165" fontId="0" fillId="6" borderId="1" xfId="0" applyNumberFormat="1" applyFill="1" applyBorder="1" applyAlignment="1">
      <alignment vertical="top" wrapText="1"/>
    </xf>
    <xf numFmtId="0" fontId="8" fillId="0" borderId="0" xfId="0" applyFont="1" applyAlignment="1">
      <alignment wrapText="1"/>
    </xf>
    <xf numFmtId="3" fontId="0" fillId="7" borderId="1" xfId="0" applyNumberFormat="1" applyFill="1" applyBorder="1" applyAlignment="1">
      <alignment vertical="top" wrapText="1"/>
    </xf>
    <xf numFmtId="0" fontId="15" fillId="0" borderId="1" xfId="0" applyFont="1" applyBorder="1" applyAlignment="1">
      <alignment vertical="top" wrapText="1"/>
    </xf>
    <xf numFmtId="0" fontId="15" fillId="6" borderId="1" xfId="0" applyFont="1" applyFill="1" applyBorder="1" applyAlignment="1">
      <alignment vertical="top" wrapText="1"/>
    </xf>
    <xf numFmtId="0" fontId="8" fillId="0" borderId="0" xfId="0" applyFont="1"/>
    <xf numFmtId="0" fontId="0" fillId="0" borderId="0" xfId="0"/>
    <xf numFmtId="0" fontId="7" fillId="0" borderId="0" xfId="0" applyFont="1"/>
  </cellXfs>
  <cellStyles count="1">
    <cellStyle name="Standard" xfId="0" builtinId="0"/>
  </cellStyles>
  <dxfs count="49">
    <dxf>
      <fill>
        <patternFill patternType="solid">
          <fgColor rgb="FFF5DBDB"/>
        </patternFill>
      </fill>
    </dxf>
    <dxf>
      <fill>
        <patternFill patternType="solid">
          <fgColor rgb="FFDCF2E4"/>
        </patternFill>
      </fill>
    </dxf>
    <dxf>
      <fill>
        <patternFill patternType="solid">
          <fgColor rgb="FFDCE9FF"/>
        </patternFill>
      </fill>
    </dxf>
    <dxf>
      <fill>
        <patternFill patternType="solid">
          <fgColor rgb="FFDCE9FF"/>
        </patternFill>
      </fill>
    </dxf>
    <dxf>
      <fill>
        <patternFill patternType="solid">
          <fgColor rgb="FFFFF1CC"/>
        </patternFill>
      </fill>
    </dxf>
    <dxf>
      <fill>
        <patternFill patternType="solid">
          <fgColor rgb="FFDCF2E4"/>
        </patternFill>
      </fill>
    </dxf>
    <dxf>
      <fill>
        <patternFill patternType="solid">
          <fgColor rgb="FFFFF1CC"/>
        </patternFill>
      </fill>
    </dxf>
    <dxf>
      <fill>
        <patternFill patternType="solid">
          <fgColor rgb="FFF5DBDB"/>
        </patternFill>
      </fill>
    </dxf>
    <dxf>
      <fill>
        <patternFill patternType="solid">
          <fgColor rgb="FFDCF2E4"/>
        </patternFill>
      </fill>
    </dxf>
    <dxf>
      <fill>
        <patternFill patternType="solid">
          <fgColor rgb="FFF5DBDB"/>
        </patternFill>
      </fill>
    </dxf>
    <dxf>
      <fill>
        <patternFill patternType="solid">
          <fgColor rgb="FFDCF2E4"/>
        </patternFill>
      </fill>
    </dxf>
    <dxf>
      <fill>
        <patternFill patternType="solid">
          <fgColor rgb="FFDCF2E4"/>
        </patternFill>
      </fill>
    </dxf>
    <dxf>
      <fill>
        <patternFill patternType="solid">
          <fgColor rgb="FFDCE9FF"/>
        </patternFill>
      </fill>
    </dxf>
    <dxf>
      <fill>
        <patternFill patternType="solid">
          <fgColor rgb="FFFFF1CC"/>
        </patternFill>
      </fill>
    </dxf>
    <dxf>
      <fill>
        <patternFill patternType="solid">
          <fgColor rgb="FFDCF2E4"/>
        </patternFill>
      </fill>
    </dxf>
    <dxf>
      <fill>
        <patternFill patternType="solid">
          <fgColor rgb="FFFFF1CC"/>
        </patternFill>
      </fill>
    </dxf>
    <dxf>
      <fill>
        <patternFill patternType="solid">
          <fgColor rgb="FFF5DBDB"/>
        </patternFill>
      </fill>
    </dxf>
    <dxf>
      <fill>
        <patternFill patternType="solid">
          <fgColor rgb="FFDCF2E4"/>
        </patternFill>
      </fill>
    </dxf>
    <dxf>
      <fill>
        <patternFill patternType="solid">
          <fgColor rgb="FFFFF1CC"/>
        </patternFill>
      </fill>
    </dxf>
    <dxf>
      <fill>
        <patternFill patternType="solid">
          <fgColor rgb="FFF5DBDB"/>
        </patternFill>
      </fill>
    </dxf>
    <dxf>
      <fill>
        <patternFill patternType="solid">
          <fgColor rgb="FFFFF1CC"/>
        </patternFill>
      </fill>
    </dxf>
    <dxf>
      <fill>
        <patternFill patternType="solid">
          <fgColor rgb="FFF5DBDB"/>
        </patternFill>
      </fill>
    </dxf>
    <dxf>
      <fill>
        <patternFill patternType="solid">
          <fgColor rgb="FFF5DBDB"/>
        </patternFill>
      </fill>
    </dxf>
    <dxf>
      <fill>
        <patternFill patternType="solid">
          <fgColor rgb="FFF5DBDB"/>
        </patternFill>
      </fill>
    </dxf>
    <dxf>
      <fill>
        <patternFill patternType="solid">
          <fgColor rgb="FFDCF2E4"/>
        </patternFill>
      </fill>
    </dxf>
    <dxf>
      <fill>
        <patternFill patternType="solid">
          <fgColor rgb="FFDCE9FF"/>
        </patternFill>
      </fill>
    </dxf>
    <dxf>
      <fill>
        <patternFill patternType="solid">
          <fgColor rgb="FFDCE9FF"/>
        </patternFill>
      </fill>
    </dxf>
    <dxf>
      <fill>
        <patternFill patternType="solid">
          <fgColor rgb="FFFFF1CC"/>
        </patternFill>
      </fill>
    </dxf>
    <dxf>
      <fill>
        <patternFill patternType="solid">
          <fgColor rgb="FFFFF1CC"/>
        </patternFill>
      </fill>
    </dxf>
    <dxf>
      <fill>
        <patternFill patternType="solid">
          <fgColor rgb="FFDCE9FF"/>
        </patternFill>
      </fill>
    </dxf>
    <dxf>
      <fill>
        <patternFill patternType="solid">
          <fgColor rgb="FFDCE9FF"/>
        </patternFill>
      </fill>
    </dxf>
    <dxf>
      <fill>
        <patternFill patternType="solid">
          <fgColor rgb="FFFFF1CC"/>
        </patternFill>
      </fill>
    </dxf>
    <dxf>
      <fill>
        <patternFill patternType="solid">
          <fgColor rgb="FFDCF2E4"/>
        </patternFill>
      </fill>
    </dxf>
    <dxf>
      <fill>
        <patternFill patternType="solid">
          <fgColor rgb="FFDCE9FF"/>
        </patternFill>
      </fill>
    </dxf>
    <dxf>
      <fill>
        <patternFill patternType="solid">
          <fgColor rgb="FFFFF1CC"/>
        </patternFill>
      </fill>
    </dxf>
    <dxf>
      <fill>
        <patternFill patternType="solid">
          <fgColor rgb="FFF5DBDB"/>
        </patternFill>
      </fill>
    </dxf>
    <dxf>
      <fill>
        <patternFill patternType="solid">
          <fgColor rgb="FFF5DBDB"/>
        </patternFill>
      </fill>
    </dxf>
    <dxf>
      <fill>
        <patternFill patternType="solid">
          <fgColor rgb="FFDCF2E4"/>
        </patternFill>
      </fill>
    </dxf>
    <dxf>
      <fill>
        <patternFill patternType="solid">
          <fgColor rgb="FFDCE9FF"/>
        </patternFill>
      </fill>
    </dxf>
    <dxf>
      <fill>
        <patternFill patternType="solid">
          <fgColor rgb="FFDCE9FF"/>
        </patternFill>
      </fill>
    </dxf>
    <dxf>
      <fill>
        <patternFill patternType="solid">
          <fgColor rgb="FFDCE9FF"/>
        </patternFill>
      </fill>
    </dxf>
    <dxf>
      <fill>
        <patternFill patternType="solid">
          <fgColor rgb="FFFFF1CC"/>
        </patternFill>
      </fill>
    </dxf>
    <dxf>
      <fill>
        <patternFill patternType="solid">
          <fgColor rgb="FFDCF2E4"/>
        </patternFill>
      </fill>
    </dxf>
    <dxf>
      <fill>
        <patternFill patternType="solid">
          <fgColor rgb="FFFFF1CC"/>
        </patternFill>
      </fill>
    </dxf>
    <dxf>
      <fill>
        <patternFill patternType="solid">
          <fgColor rgb="FFF5DBDB"/>
        </patternFill>
      </fill>
    </dxf>
    <dxf>
      <fill>
        <patternFill patternType="solid">
          <fgColor rgb="FFFFF1CC"/>
        </patternFill>
      </fill>
    </dxf>
    <dxf>
      <fill>
        <patternFill patternType="solid">
          <fgColor rgb="FFF5DBDB"/>
        </patternFill>
      </fill>
    </dxf>
    <dxf>
      <fill>
        <patternFill patternType="solid">
          <fgColor rgb="FFFFF1CC"/>
        </patternFill>
      </fill>
    </dxf>
    <dxf>
      <fill>
        <patternFill patternType="solid">
          <fgColor rgb="FFF5DBDB"/>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8"/>
  <sheetViews>
    <sheetView showGridLines="0" tabSelected="1" workbookViewId="0"/>
  </sheetViews>
  <sheetFormatPr baseColWidth="10" defaultColWidth="8.83203125" defaultRowHeight="15" x14ac:dyDescent="0.2"/>
  <cols>
    <col min="1" max="1" width="3" customWidth="1"/>
    <col min="2" max="2" width="100" customWidth="1"/>
  </cols>
  <sheetData>
    <row r="2" spans="2:2" ht="28" customHeight="1" x14ac:dyDescent="0.3">
      <c r="B2" s="1" t="s">
        <v>0</v>
      </c>
    </row>
    <row r="3" spans="2:2" ht="20" customHeight="1" x14ac:dyDescent="0.2">
      <c r="B3" s="2" t="s">
        <v>1</v>
      </c>
    </row>
    <row r="4" spans="2:2" ht="18" customHeight="1" x14ac:dyDescent="0.2">
      <c r="B4" s="3"/>
    </row>
    <row r="5" spans="2:2" ht="21" customHeight="1" x14ac:dyDescent="0.2">
      <c r="B5" s="4" t="s">
        <v>2</v>
      </c>
    </row>
    <row r="6" spans="2:2" ht="19" customHeight="1" x14ac:dyDescent="0.2">
      <c r="B6" s="5" t="s">
        <v>3</v>
      </c>
    </row>
    <row r="7" spans="2:2" ht="19" customHeight="1" x14ac:dyDescent="0.2">
      <c r="B7" s="5" t="s">
        <v>4</v>
      </c>
    </row>
    <row r="8" spans="2:2" ht="19" customHeight="1" x14ac:dyDescent="0.2">
      <c r="B8" s="5" t="s">
        <v>5</v>
      </c>
    </row>
    <row r="9" spans="2:2" ht="19" customHeight="1" x14ac:dyDescent="0.2">
      <c r="B9" s="5" t="s">
        <v>6</v>
      </c>
    </row>
    <row r="10" spans="2:2" ht="19" customHeight="1" x14ac:dyDescent="0.2">
      <c r="B10" s="5" t="s">
        <v>7</v>
      </c>
    </row>
    <row r="11" spans="2:2" ht="19" customHeight="1" x14ac:dyDescent="0.2">
      <c r="B11" s="5" t="s">
        <v>8</v>
      </c>
    </row>
    <row r="12" spans="2:2" ht="19" customHeight="1" x14ac:dyDescent="0.2">
      <c r="B12" s="5" t="s">
        <v>9</v>
      </c>
    </row>
    <row r="13" spans="2:2" ht="18" customHeight="1" x14ac:dyDescent="0.2">
      <c r="B13" s="3"/>
    </row>
    <row r="14" spans="2:2" ht="19" customHeight="1" x14ac:dyDescent="0.2">
      <c r="B14" s="5" t="s">
        <v>10</v>
      </c>
    </row>
    <row r="15" spans="2:2" ht="19" customHeight="1" x14ac:dyDescent="0.2">
      <c r="B15" s="5" t="s">
        <v>11</v>
      </c>
    </row>
    <row r="16" spans="2:2" ht="18" customHeight="1" x14ac:dyDescent="0.2">
      <c r="B16" s="3"/>
    </row>
    <row r="17" spans="2:2" ht="18" customHeight="1" x14ac:dyDescent="0.2">
      <c r="B17" s="6" t="s">
        <v>12</v>
      </c>
    </row>
    <row r="18" spans="2:2" ht="18" customHeight="1" x14ac:dyDescent="0.2">
      <c r="B18" s="6"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showGridLines="0" workbookViewId="0"/>
  </sheetViews>
  <sheetFormatPr baseColWidth="10" defaultColWidth="8.83203125" defaultRowHeight="15" x14ac:dyDescent="0.2"/>
  <cols>
    <col min="1" max="2" width="26" customWidth="1"/>
    <col min="3" max="3" width="3" customWidth="1"/>
    <col min="4" max="5" width="26" customWidth="1"/>
    <col min="6" max="6" width="3" customWidth="1"/>
    <col min="7" max="8" width="28" customWidth="1"/>
  </cols>
  <sheetData>
    <row r="1" spans="1:8" ht="26" customHeight="1" x14ac:dyDescent="0.25">
      <c r="A1" s="31" t="s">
        <v>14</v>
      </c>
      <c r="B1" s="30"/>
      <c r="C1" s="30"/>
      <c r="D1" s="30"/>
      <c r="E1" s="30"/>
      <c r="F1" s="30"/>
      <c r="G1" s="30"/>
      <c r="H1" s="30"/>
    </row>
    <row r="2" spans="1:8" x14ac:dyDescent="0.2">
      <c r="A2" s="29" t="s">
        <v>15</v>
      </c>
      <c r="B2" s="30"/>
      <c r="C2" s="30"/>
      <c r="D2" s="30"/>
      <c r="E2" s="30"/>
      <c r="F2" s="30"/>
      <c r="G2" s="30"/>
      <c r="H2" s="30"/>
    </row>
    <row r="4" spans="1:8" x14ac:dyDescent="0.2">
      <c r="A4" s="8" t="s">
        <v>16</v>
      </c>
      <c r="D4" s="8" t="s">
        <v>17</v>
      </c>
      <c r="G4" s="8" t="s">
        <v>18</v>
      </c>
    </row>
    <row r="5" spans="1:8" x14ac:dyDescent="0.2">
      <c r="A5" s="7" t="s">
        <v>19</v>
      </c>
      <c r="B5" s="7" t="s">
        <v>20</v>
      </c>
      <c r="D5" s="7" t="s">
        <v>21</v>
      </c>
      <c r="E5" s="7" t="s">
        <v>22</v>
      </c>
      <c r="G5" s="7" t="s">
        <v>23</v>
      </c>
      <c r="H5" s="7" t="s">
        <v>24</v>
      </c>
    </row>
    <row r="6" spans="1:8" ht="24" x14ac:dyDescent="0.3">
      <c r="A6" s="9" t="str">
        <f ca="1">IFERROR(IF(COUNTIF(Grants!H5:H154,"&gt;=0")=0,"—",SMALL(Grants!H5:H154,COUNTIF(Grants!H5:H154,"&lt;0")+1)),"—")</f>
        <v>—</v>
      </c>
      <c r="B6" s="9" t="str">
        <f ca="1">IFERROR(IF(COUNTIF(Conferences!F5:F104,"&gt;=0")=0,"—",SMALL(Conferences!F5:F104,COUNTIF(Conferences!F5:F104,"&lt;0")+1)),"—")</f>
        <v>—</v>
      </c>
      <c r="D6" s="10">
        <f>COUNTIF(Grants!I5:I154,"Submitted")+COUNTIF(Grants!I5:I154,"Under review")</f>
        <v>0</v>
      </c>
      <c r="E6" s="11">
        <f>COUNTIF(Grants!I5:I154,"Idea")+COUNTIF(Grants!I5:I154,"Preparing")</f>
        <v>0</v>
      </c>
      <c r="G6" s="10">
        <f>COUNTIF(Publications!E5:E154,"Submitted")+COUNTIF(Publications!E5:E154,"Under review")+COUNTIF(Publications!E5:E154,"Resubmitted")</f>
        <v>0</v>
      </c>
      <c r="H6" s="11">
        <f>COUNTIF(Publications!E5:E154,"Major revision")+COUNTIF(Publications!E5:E154,"Minor revision")+COUNTIF(Publications!E5:E154,"R&amp;R in progress")</f>
        <v>0</v>
      </c>
    </row>
    <row r="8" spans="1:8" x14ac:dyDescent="0.2">
      <c r="A8" s="7" t="s">
        <v>25</v>
      </c>
      <c r="B8" s="7" t="s">
        <v>26</v>
      </c>
      <c r="D8" s="7" t="s">
        <v>27</v>
      </c>
      <c r="E8" s="7" t="s">
        <v>28</v>
      </c>
      <c r="G8" s="7" t="s">
        <v>29</v>
      </c>
      <c r="H8" s="7" t="s">
        <v>30</v>
      </c>
    </row>
    <row r="9" spans="1:8" ht="24" x14ac:dyDescent="0.3">
      <c r="A9" s="9" t="str">
        <f ca="1">IFERROR(IF(COUNTIF(Publications!J5:J154,"&gt;=0")=0,"—",SMALL(Publications!J5:J154,COUNTIF(Publications!J5:J154,"&lt;0")+1)),"—")</f>
        <v>—</v>
      </c>
      <c r="B9" s="9" t="str">
        <f ca="1">IFERROR(IF(COUNTIF('Peer Review'!F5:F104,"&gt;=0")=0,"—",SMALL('Peer Review'!F5:F104,COUNTIF('Peer Review'!F5:F104,"&lt;0")+1)),"—")</f>
        <v>—</v>
      </c>
      <c r="D9" s="12">
        <f>COUNTIF(Grants!I5:I154,"Awarded")</f>
        <v>0</v>
      </c>
      <c r="E9" s="12" t="str">
        <f>IF(COUNTIF(Grants!I5:I154,"Awarded")+COUNTIF(Grants!I5:I154,"Rejected")=0,"—",TEXT(COUNTIF(Grants!I5:I154,"Awarded")/(COUNTIF(Grants!I5:I154,"Awarded")+COUNTIF(Grants!I5:I154,"Rejected")),"0%"))</f>
        <v>—</v>
      </c>
      <c r="G9" s="12">
        <f>COUNTIF(Publications!E5:E154,"Accepted")</f>
        <v>0</v>
      </c>
      <c r="H9" s="12" t="str">
        <f>IF(SUM(Grants!L5:L154)=0,"—",TEXT(SUM(Grants!L5:L154),"#,##0"))</f>
        <v>—</v>
      </c>
    </row>
    <row r="12" spans="1:8" x14ac:dyDescent="0.2">
      <c r="A12" s="13" t="s">
        <v>31</v>
      </c>
    </row>
  </sheetData>
  <sheetProtection sheet="1"/>
  <mergeCells count="2">
    <mergeCell ref="A2:H2"/>
    <mergeCell ref="A1:H1"/>
  </mergeCells>
  <conditionalFormatting sqref="A6:B6">
    <cfRule type="cellIs" dxfId="48" priority="1" operator="lessThan">
      <formula>8</formula>
    </cfRule>
    <cfRule type="cellIs" dxfId="47" priority="2" operator="between">
      <formula>8</formula>
      <formula>21</formula>
    </cfRule>
  </conditionalFormatting>
  <conditionalFormatting sqref="A9:B9">
    <cfRule type="cellIs" dxfId="46" priority="5" operator="lessThan">
      <formula>8</formula>
    </cfRule>
    <cfRule type="cellIs" dxfId="45" priority="6" operator="between">
      <formula>8</formula>
      <formula>21</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54"/>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5" customWidth="1"/>
    <col min="2" max="2" width="20" customWidth="1"/>
    <col min="3" max="3" width="22" customWidth="1"/>
    <col min="4" max="4" width="34" customWidth="1"/>
    <col min="5" max="5" width="13" customWidth="1"/>
    <col min="6" max="6" width="15" customWidth="1"/>
    <col min="7" max="7" width="12" customWidth="1"/>
    <col min="8" max="8" width="10" customWidth="1"/>
    <col min="9" max="9" width="14" customWidth="1"/>
    <col min="10" max="11" width="12" customWidth="1"/>
    <col min="12" max="12" width="15" customWidth="1"/>
    <col min="13" max="15" width="12" customWidth="1"/>
    <col min="16" max="16" width="13" customWidth="1"/>
    <col min="17" max="17" width="10" customWidth="1"/>
    <col min="18" max="18" width="22" customWidth="1"/>
    <col min="19" max="19" width="36" customWidth="1"/>
  </cols>
  <sheetData>
    <row r="1" spans="1:19" ht="26" customHeight="1" x14ac:dyDescent="0.25">
      <c r="A1" s="31" t="s">
        <v>32</v>
      </c>
      <c r="B1" s="30"/>
      <c r="C1" s="30"/>
      <c r="D1" s="30"/>
      <c r="E1" s="30"/>
      <c r="F1" s="30"/>
      <c r="G1" s="30"/>
      <c r="H1" s="30"/>
      <c r="I1" s="30"/>
      <c r="J1" s="30"/>
      <c r="K1" s="30"/>
      <c r="L1" s="30"/>
      <c r="M1" s="30"/>
      <c r="N1" s="30"/>
      <c r="O1" s="30"/>
      <c r="P1" s="30"/>
      <c r="Q1" s="30"/>
      <c r="R1" s="30"/>
      <c r="S1" s="30"/>
    </row>
    <row r="2" spans="1:19" x14ac:dyDescent="0.2">
      <c r="A2" s="29" t="s">
        <v>33</v>
      </c>
      <c r="B2" s="30"/>
      <c r="C2" s="30"/>
      <c r="D2" s="30"/>
      <c r="E2" s="30"/>
      <c r="F2" s="30"/>
      <c r="G2" s="30"/>
      <c r="H2" s="30"/>
      <c r="I2" s="30"/>
      <c r="J2" s="30"/>
      <c r="K2" s="30"/>
      <c r="L2" s="30"/>
      <c r="M2" s="30"/>
      <c r="N2" s="30"/>
      <c r="O2" s="30"/>
      <c r="P2" s="30"/>
      <c r="Q2" s="30"/>
      <c r="R2" s="30"/>
      <c r="S2" s="30"/>
    </row>
    <row r="4" spans="1:19" ht="30" customHeight="1" x14ac:dyDescent="0.2">
      <c r="A4" s="14" t="s">
        <v>34</v>
      </c>
      <c r="B4" s="14" t="s">
        <v>35</v>
      </c>
      <c r="C4" s="14" t="s">
        <v>36</v>
      </c>
      <c r="D4" s="14" t="s">
        <v>37</v>
      </c>
      <c r="E4" s="14" t="s">
        <v>38</v>
      </c>
      <c r="F4" s="14" t="s">
        <v>39</v>
      </c>
      <c r="G4" s="14" t="s">
        <v>40</v>
      </c>
      <c r="H4" s="14" t="s">
        <v>41</v>
      </c>
      <c r="I4" s="14" t="s">
        <v>42</v>
      </c>
      <c r="J4" s="14" t="s">
        <v>43</v>
      </c>
      <c r="K4" s="14" t="s">
        <v>44</v>
      </c>
      <c r="L4" s="14" t="s">
        <v>45</v>
      </c>
      <c r="M4" s="14" t="s">
        <v>46</v>
      </c>
      <c r="N4" s="14" t="s">
        <v>47</v>
      </c>
      <c r="O4" s="14" t="s">
        <v>48</v>
      </c>
      <c r="P4" s="14" t="s">
        <v>49</v>
      </c>
      <c r="Q4" s="14" t="s">
        <v>50</v>
      </c>
      <c r="R4" s="14" t="s">
        <v>51</v>
      </c>
      <c r="S4" s="14" t="s">
        <v>52</v>
      </c>
    </row>
    <row r="5" spans="1:19" ht="16" x14ac:dyDescent="0.2">
      <c r="A5" s="15" t="str">
        <f t="shared" ref="A5:A36" si="0">IF(B5="","",ROW()-4)</f>
        <v/>
      </c>
      <c r="B5" s="16"/>
      <c r="C5" s="16"/>
      <c r="D5" s="16"/>
      <c r="E5" s="16"/>
      <c r="F5" s="17"/>
      <c r="G5" s="18"/>
      <c r="H5" s="19" t="str">
        <f t="shared" ref="H5:H36" ca="1" si="1">IF(G5="","",IF(OR(I5="Submitted",I5="Under review",I5="Awarded",I5="Rejected",I5="Withdrawn"),"—",G5-TODAY()))</f>
        <v/>
      </c>
      <c r="I5" s="16"/>
      <c r="J5" s="18"/>
      <c r="K5" s="18"/>
      <c r="L5" s="17"/>
      <c r="M5" s="16"/>
      <c r="N5" s="16"/>
      <c r="O5" s="16"/>
      <c r="P5" s="16"/>
      <c r="Q5" s="15" t="str">
        <f t="shared" ref="Q5:Q36" si="2">IF($B5="","",COUNTIF(M5:P5,"Ready")&amp;" / 4")</f>
        <v/>
      </c>
      <c r="R5" s="16"/>
      <c r="S5" s="16"/>
    </row>
    <row r="6" spans="1:19" ht="16" x14ac:dyDescent="0.2">
      <c r="A6" s="15" t="str">
        <f t="shared" si="0"/>
        <v/>
      </c>
      <c r="B6" s="20"/>
      <c r="C6" s="20"/>
      <c r="D6" s="20"/>
      <c r="E6" s="20"/>
      <c r="F6" s="21"/>
      <c r="G6" s="22"/>
      <c r="H6" s="19" t="str">
        <f t="shared" ca="1" si="1"/>
        <v/>
      </c>
      <c r="I6" s="20"/>
      <c r="J6" s="22"/>
      <c r="K6" s="22"/>
      <c r="L6" s="21"/>
      <c r="M6" s="20"/>
      <c r="N6" s="20"/>
      <c r="O6" s="20"/>
      <c r="P6" s="20"/>
      <c r="Q6" s="15" t="str">
        <f t="shared" si="2"/>
        <v/>
      </c>
      <c r="R6" s="20"/>
      <c r="S6" s="20"/>
    </row>
    <row r="7" spans="1:19" ht="16" x14ac:dyDescent="0.2">
      <c r="A7" s="15" t="str">
        <f t="shared" si="0"/>
        <v/>
      </c>
      <c r="B7" s="16"/>
      <c r="C7" s="16"/>
      <c r="D7" s="16"/>
      <c r="E7" s="16"/>
      <c r="F7" s="17"/>
      <c r="G7" s="18"/>
      <c r="H7" s="19" t="str">
        <f t="shared" ca="1" si="1"/>
        <v/>
      </c>
      <c r="I7" s="16"/>
      <c r="J7" s="18"/>
      <c r="K7" s="18"/>
      <c r="L7" s="17"/>
      <c r="M7" s="16"/>
      <c r="N7" s="16"/>
      <c r="O7" s="16"/>
      <c r="P7" s="16"/>
      <c r="Q7" s="15" t="str">
        <f t="shared" si="2"/>
        <v/>
      </c>
      <c r="R7" s="16"/>
      <c r="S7" s="16"/>
    </row>
    <row r="8" spans="1:19" ht="16" x14ac:dyDescent="0.2">
      <c r="A8" s="15" t="str">
        <f t="shared" si="0"/>
        <v/>
      </c>
      <c r="B8" s="20"/>
      <c r="C8" s="20"/>
      <c r="D8" s="20"/>
      <c r="E8" s="20"/>
      <c r="F8" s="21"/>
      <c r="G8" s="22"/>
      <c r="H8" s="19" t="str">
        <f t="shared" ca="1" si="1"/>
        <v/>
      </c>
      <c r="I8" s="20"/>
      <c r="J8" s="22"/>
      <c r="K8" s="22"/>
      <c r="L8" s="21"/>
      <c r="M8" s="20"/>
      <c r="N8" s="20"/>
      <c r="O8" s="20"/>
      <c r="P8" s="20"/>
      <c r="Q8" s="15" t="str">
        <f t="shared" si="2"/>
        <v/>
      </c>
      <c r="R8" s="20"/>
      <c r="S8" s="20"/>
    </row>
    <row r="9" spans="1:19" ht="16" x14ac:dyDescent="0.2">
      <c r="A9" s="15" t="str">
        <f t="shared" si="0"/>
        <v/>
      </c>
      <c r="B9" s="16"/>
      <c r="C9" s="16"/>
      <c r="D9" s="16"/>
      <c r="E9" s="16"/>
      <c r="F9" s="17"/>
      <c r="G9" s="18"/>
      <c r="H9" s="19" t="str">
        <f t="shared" ca="1" si="1"/>
        <v/>
      </c>
      <c r="I9" s="16"/>
      <c r="J9" s="18"/>
      <c r="K9" s="18"/>
      <c r="L9" s="17"/>
      <c r="M9" s="16"/>
      <c r="N9" s="16"/>
      <c r="O9" s="16"/>
      <c r="P9" s="16"/>
      <c r="Q9" s="15" t="str">
        <f t="shared" si="2"/>
        <v/>
      </c>
      <c r="R9" s="16"/>
      <c r="S9" s="16"/>
    </row>
    <row r="10" spans="1:19" ht="16" x14ac:dyDescent="0.2">
      <c r="A10" s="15" t="str">
        <f t="shared" si="0"/>
        <v/>
      </c>
      <c r="B10" s="20"/>
      <c r="C10" s="20"/>
      <c r="D10" s="20"/>
      <c r="E10" s="20"/>
      <c r="F10" s="21"/>
      <c r="G10" s="22"/>
      <c r="H10" s="19" t="str">
        <f t="shared" ca="1" si="1"/>
        <v/>
      </c>
      <c r="I10" s="20"/>
      <c r="J10" s="22"/>
      <c r="K10" s="22"/>
      <c r="L10" s="21"/>
      <c r="M10" s="20"/>
      <c r="N10" s="20"/>
      <c r="O10" s="20"/>
      <c r="P10" s="20"/>
      <c r="Q10" s="15" t="str">
        <f t="shared" si="2"/>
        <v/>
      </c>
      <c r="R10" s="20"/>
      <c r="S10" s="20"/>
    </row>
    <row r="11" spans="1:19" ht="16" x14ac:dyDescent="0.2">
      <c r="A11" s="15" t="str">
        <f t="shared" si="0"/>
        <v/>
      </c>
      <c r="B11" s="16"/>
      <c r="C11" s="16"/>
      <c r="D11" s="16"/>
      <c r="E11" s="16"/>
      <c r="F11" s="17"/>
      <c r="G11" s="18"/>
      <c r="H11" s="19" t="str">
        <f t="shared" ca="1" si="1"/>
        <v/>
      </c>
      <c r="I11" s="16"/>
      <c r="J11" s="18"/>
      <c r="K11" s="18"/>
      <c r="L11" s="17"/>
      <c r="M11" s="16"/>
      <c r="N11" s="16"/>
      <c r="O11" s="16"/>
      <c r="P11" s="16"/>
      <c r="Q11" s="15" t="str">
        <f t="shared" si="2"/>
        <v/>
      </c>
      <c r="R11" s="16"/>
      <c r="S11" s="16"/>
    </row>
    <row r="12" spans="1:19" ht="16" x14ac:dyDescent="0.2">
      <c r="A12" s="15" t="str">
        <f t="shared" si="0"/>
        <v/>
      </c>
      <c r="B12" s="20"/>
      <c r="C12" s="20"/>
      <c r="D12" s="20"/>
      <c r="E12" s="20"/>
      <c r="F12" s="21"/>
      <c r="G12" s="22"/>
      <c r="H12" s="19" t="str">
        <f t="shared" ca="1" si="1"/>
        <v/>
      </c>
      <c r="I12" s="20"/>
      <c r="J12" s="22"/>
      <c r="K12" s="22"/>
      <c r="L12" s="21"/>
      <c r="M12" s="20"/>
      <c r="N12" s="20"/>
      <c r="O12" s="20"/>
      <c r="P12" s="20"/>
      <c r="Q12" s="15" t="str">
        <f t="shared" si="2"/>
        <v/>
      </c>
      <c r="R12" s="20"/>
      <c r="S12" s="20"/>
    </row>
    <row r="13" spans="1:19" ht="16" x14ac:dyDescent="0.2">
      <c r="A13" s="15" t="str">
        <f t="shared" si="0"/>
        <v/>
      </c>
      <c r="B13" s="16"/>
      <c r="C13" s="16"/>
      <c r="D13" s="16"/>
      <c r="E13" s="16"/>
      <c r="F13" s="17"/>
      <c r="G13" s="18"/>
      <c r="H13" s="19" t="str">
        <f t="shared" ca="1" si="1"/>
        <v/>
      </c>
      <c r="I13" s="16"/>
      <c r="J13" s="18"/>
      <c r="K13" s="18"/>
      <c r="L13" s="17"/>
      <c r="M13" s="16"/>
      <c r="N13" s="16"/>
      <c r="O13" s="16"/>
      <c r="P13" s="16"/>
      <c r="Q13" s="15" t="str">
        <f t="shared" si="2"/>
        <v/>
      </c>
      <c r="R13" s="16"/>
      <c r="S13" s="16"/>
    </row>
    <row r="14" spans="1:19" ht="16" x14ac:dyDescent="0.2">
      <c r="A14" s="15" t="str">
        <f t="shared" si="0"/>
        <v/>
      </c>
      <c r="B14" s="20"/>
      <c r="C14" s="20"/>
      <c r="D14" s="20"/>
      <c r="E14" s="20"/>
      <c r="F14" s="21"/>
      <c r="G14" s="22"/>
      <c r="H14" s="19" t="str">
        <f t="shared" ca="1" si="1"/>
        <v/>
      </c>
      <c r="I14" s="20"/>
      <c r="J14" s="22"/>
      <c r="K14" s="22"/>
      <c r="L14" s="21"/>
      <c r="M14" s="20"/>
      <c r="N14" s="20"/>
      <c r="O14" s="20"/>
      <c r="P14" s="20"/>
      <c r="Q14" s="15" t="str">
        <f t="shared" si="2"/>
        <v/>
      </c>
      <c r="R14" s="20"/>
      <c r="S14" s="20"/>
    </row>
    <row r="15" spans="1:19" ht="16" x14ac:dyDescent="0.2">
      <c r="A15" s="15" t="str">
        <f t="shared" si="0"/>
        <v/>
      </c>
      <c r="B15" s="16"/>
      <c r="C15" s="16"/>
      <c r="D15" s="16"/>
      <c r="E15" s="16"/>
      <c r="F15" s="17"/>
      <c r="G15" s="18"/>
      <c r="H15" s="19" t="str">
        <f t="shared" ca="1" si="1"/>
        <v/>
      </c>
      <c r="I15" s="16"/>
      <c r="J15" s="18"/>
      <c r="K15" s="18"/>
      <c r="L15" s="17"/>
      <c r="M15" s="16"/>
      <c r="N15" s="16"/>
      <c r="O15" s="16"/>
      <c r="P15" s="16"/>
      <c r="Q15" s="15" t="str">
        <f t="shared" si="2"/>
        <v/>
      </c>
      <c r="R15" s="16"/>
      <c r="S15" s="16"/>
    </row>
    <row r="16" spans="1:19" ht="16" x14ac:dyDescent="0.2">
      <c r="A16" s="15" t="str">
        <f t="shared" si="0"/>
        <v/>
      </c>
      <c r="B16" s="20"/>
      <c r="C16" s="20"/>
      <c r="D16" s="20"/>
      <c r="E16" s="20"/>
      <c r="F16" s="21"/>
      <c r="G16" s="22"/>
      <c r="H16" s="19" t="str">
        <f t="shared" ca="1" si="1"/>
        <v/>
      </c>
      <c r="I16" s="20"/>
      <c r="J16" s="22"/>
      <c r="K16" s="22"/>
      <c r="L16" s="21"/>
      <c r="M16" s="20"/>
      <c r="N16" s="20"/>
      <c r="O16" s="20"/>
      <c r="P16" s="20"/>
      <c r="Q16" s="15" t="str">
        <f t="shared" si="2"/>
        <v/>
      </c>
      <c r="R16" s="20"/>
      <c r="S16" s="20"/>
    </row>
    <row r="17" spans="1:19" ht="16" x14ac:dyDescent="0.2">
      <c r="A17" s="15" t="str">
        <f t="shared" si="0"/>
        <v/>
      </c>
      <c r="B17" s="16"/>
      <c r="C17" s="16"/>
      <c r="D17" s="16"/>
      <c r="E17" s="16"/>
      <c r="F17" s="17"/>
      <c r="G17" s="18"/>
      <c r="H17" s="19" t="str">
        <f t="shared" ca="1" si="1"/>
        <v/>
      </c>
      <c r="I17" s="16"/>
      <c r="J17" s="18"/>
      <c r="K17" s="18"/>
      <c r="L17" s="17"/>
      <c r="M17" s="16"/>
      <c r="N17" s="16"/>
      <c r="O17" s="16"/>
      <c r="P17" s="16"/>
      <c r="Q17" s="15" t="str">
        <f t="shared" si="2"/>
        <v/>
      </c>
      <c r="R17" s="16"/>
      <c r="S17" s="16"/>
    </row>
    <row r="18" spans="1:19" ht="16" x14ac:dyDescent="0.2">
      <c r="A18" s="15" t="str">
        <f t="shared" si="0"/>
        <v/>
      </c>
      <c r="B18" s="20"/>
      <c r="C18" s="20"/>
      <c r="D18" s="20"/>
      <c r="E18" s="20"/>
      <c r="F18" s="21"/>
      <c r="G18" s="22"/>
      <c r="H18" s="19" t="str">
        <f t="shared" ca="1" si="1"/>
        <v/>
      </c>
      <c r="I18" s="20"/>
      <c r="J18" s="22"/>
      <c r="K18" s="22"/>
      <c r="L18" s="21"/>
      <c r="M18" s="20"/>
      <c r="N18" s="20"/>
      <c r="O18" s="20"/>
      <c r="P18" s="20"/>
      <c r="Q18" s="15" t="str">
        <f t="shared" si="2"/>
        <v/>
      </c>
      <c r="R18" s="20"/>
      <c r="S18" s="20"/>
    </row>
    <row r="19" spans="1:19" ht="16" x14ac:dyDescent="0.2">
      <c r="A19" s="15" t="str">
        <f t="shared" si="0"/>
        <v/>
      </c>
      <c r="B19" s="16"/>
      <c r="C19" s="16"/>
      <c r="D19" s="16"/>
      <c r="E19" s="16"/>
      <c r="F19" s="17"/>
      <c r="G19" s="18"/>
      <c r="H19" s="19" t="str">
        <f t="shared" ca="1" si="1"/>
        <v/>
      </c>
      <c r="I19" s="16"/>
      <c r="J19" s="18"/>
      <c r="K19" s="18"/>
      <c r="L19" s="17"/>
      <c r="M19" s="16"/>
      <c r="N19" s="16"/>
      <c r="O19" s="16"/>
      <c r="P19" s="16"/>
      <c r="Q19" s="15" t="str">
        <f t="shared" si="2"/>
        <v/>
      </c>
      <c r="R19" s="16"/>
      <c r="S19" s="16"/>
    </row>
    <row r="20" spans="1:19" ht="16" x14ac:dyDescent="0.2">
      <c r="A20" s="15" t="str">
        <f t="shared" si="0"/>
        <v/>
      </c>
      <c r="B20" s="20"/>
      <c r="C20" s="20"/>
      <c r="D20" s="20"/>
      <c r="E20" s="20"/>
      <c r="F20" s="21"/>
      <c r="G20" s="22"/>
      <c r="H20" s="19" t="str">
        <f t="shared" ca="1" si="1"/>
        <v/>
      </c>
      <c r="I20" s="20"/>
      <c r="J20" s="22"/>
      <c r="K20" s="22"/>
      <c r="L20" s="21"/>
      <c r="M20" s="20"/>
      <c r="N20" s="20"/>
      <c r="O20" s="20"/>
      <c r="P20" s="20"/>
      <c r="Q20" s="15" t="str">
        <f t="shared" si="2"/>
        <v/>
      </c>
      <c r="R20" s="20"/>
      <c r="S20" s="20"/>
    </row>
    <row r="21" spans="1:19" ht="16" x14ac:dyDescent="0.2">
      <c r="A21" s="15" t="str">
        <f t="shared" si="0"/>
        <v/>
      </c>
      <c r="B21" s="16"/>
      <c r="C21" s="16"/>
      <c r="D21" s="16"/>
      <c r="E21" s="16"/>
      <c r="F21" s="17"/>
      <c r="G21" s="18"/>
      <c r="H21" s="19" t="str">
        <f t="shared" ca="1" si="1"/>
        <v/>
      </c>
      <c r="I21" s="16"/>
      <c r="J21" s="18"/>
      <c r="K21" s="18"/>
      <c r="L21" s="17"/>
      <c r="M21" s="16"/>
      <c r="N21" s="16"/>
      <c r="O21" s="16"/>
      <c r="P21" s="16"/>
      <c r="Q21" s="15" t="str">
        <f t="shared" si="2"/>
        <v/>
      </c>
      <c r="R21" s="16"/>
      <c r="S21" s="16"/>
    </row>
    <row r="22" spans="1:19" ht="16" x14ac:dyDescent="0.2">
      <c r="A22" s="15" t="str">
        <f t="shared" si="0"/>
        <v/>
      </c>
      <c r="B22" s="20"/>
      <c r="C22" s="20"/>
      <c r="D22" s="20"/>
      <c r="E22" s="20"/>
      <c r="F22" s="21"/>
      <c r="G22" s="22"/>
      <c r="H22" s="19" t="str">
        <f t="shared" ca="1" si="1"/>
        <v/>
      </c>
      <c r="I22" s="20"/>
      <c r="J22" s="22"/>
      <c r="K22" s="22"/>
      <c r="L22" s="21"/>
      <c r="M22" s="20"/>
      <c r="N22" s="20"/>
      <c r="O22" s="20"/>
      <c r="P22" s="20"/>
      <c r="Q22" s="15" t="str">
        <f t="shared" si="2"/>
        <v/>
      </c>
      <c r="R22" s="20"/>
      <c r="S22" s="20"/>
    </row>
    <row r="23" spans="1:19" ht="16" x14ac:dyDescent="0.2">
      <c r="A23" s="15" t="str">
        <f t="shared" si="0"/>
        <v/>
      </c>
      <c r="B23" s="16"/>
      <c r="C23" s="16"/>
      <c r="D23" s="16"/>
      <c r="E23" s="16"/>
      <c r="F23" s="17"/>
      <c r="G23" s="18"/>
      <c r="H23" s="19" t="str">
        <f t="shared" ca="1" si="1"/>
        <v/>
      </c>
      <c r="I23" s="16"/>
      <c r="J23" s="18"/>
      <c r="K23" s="18"/>
      <c r="L23" s="17"/>
      <c r="M23" s="16"/>
      <c r="N23" s="16"/>
      <c r="O23" s="16"/>
      <c r="P23" s="16"/>
      <c r="Q23" s="15" t="str">
        <f t="shared" si="2"/>
        <v/>
      </c>
      <c r="R23" s="16"/>
      <c r="S23" s="16"/>
    </row>
    <row r="24" spans="1:19" ht="16" x14ac:dyDescent="0.2">
      <c r="A24" s="15" t="str">
        <f t="shared" si="0"/>
        <v/>
      </c>
      <c r="B24" s="20"/>
      <c r="C24" s="20"/>
      <c r="D24" s="20"/>
      <c r="E24" s="20"/>
      <c r="F24" s="21"/>
      <c r="G24" s="22"/>
      <c r="H24" s="19" t="str">
        <f t="shared" ca="1" si="1"/>
        <v/>
      </c>
      <c r="I24" s="20"/>
      <c r="J24" s="22"/>
      <c r="K24" s="22"/>
      <c r="L24" s="21"/>
      <c r="M24" s="20"/>
      <c r="N24" s="20"/>
      <c r="O24" s="20"/>
      <c r="P24" s="20"/>
      <c r="Q24" s="15" t="str">
        <f t="shared" si="2"/>
        <v/>
      </c>
      <c r="R24" s="20"/>
      <c r="S24" s="20"/>
    </row>
    <row r="25" spans="1:19" ht="16" x14ac:dyDescent="0.2">
      <c r="A25" s="15" t="str">
        <f t="shared" si="0"/>
        <v/>
      </c>
      <c r="B25" s="16"/>
      <c r="C25" s="16"/>
      <c r="D25" s="16"/>
      <c r="E25" s="16"/>
      <c r="F25" s="17"/>
      <c r="G25" s="18"/>
      <c r="H25" s="19" t="str">
        <f t="shared" ca="1" si="1"/>
        <v/>
      </c>
      <c r="I25" s="16"/>
      <c r="J25" s="18"/>
      <c r="K25" s="18"/>
      <c r="L25" s="17"/>
      <c r="M25" s="16"/>
      <c r="N25" s="16"/>
      <c r="O25" s="16"/>
      <c r="P25" s="16"/>
      <c r="Q25" s="15" t="str">
        <f t="shared" si="2"/>
        <v/>
      </c>
      <c r="R25" s="16"/>
      <c r="S25" s="16"/>
    </row>
    <row r="26" spans="1:19" ht="16" x14ac:dyDescent="0.2">
      <c r="A26" s="15" t="str">
        <f t="shared" si="0"/>
        <v/>
      </c>
      <c r="B26" s="20"/>
      <c r="C26" s="20"/>
      <c r="D26" s="20"/>
      <c r="E26" s="20"/>
      <c r="F26" s="21"/>
      <c r="G26" s="22"/>
      <c r="H26" s="19" t="str">
        <f t="shared" ca="1" si="1"/>
        <v/>
      </c>
      <c r="I26" s="20"/>
      <c r="J26" s="22"/>
      <c r="K26" s="22"/>
      <c r="L26" s="21"/>
      <c r="M26" s="20"/>
      <c r="N26" s="20"/>
      <c r="O26" s="20"/>
      <c r="P26" s="20"/>
      <c r="Q26" s="15" t="str">
        <f t="shared" si="2"/>
        <v/>
      </c>
      <c r="R26" s="20"/>
      <c r="S26" s="20"/>
    </row>
    <row r="27" spans="1:19" ht="16" x14ac:dyDescent="0.2">
      <c r="A27" s="15" t="str">
        <f t="shared" si="0"/>
        <v/>
      </c>
      <c r="B27" s="16"/>
      <c r="C27" s="16"/>
      <c r="D27" s="16"/>
      <c r="E27" s="16"/>
      <c r="F27" s="17"/>
      <c r="G27" s="18"/>
      <c r="H27" s="19" t="str">
        <f t="shared" ca="1" si="1"/>
        <v/>
      </c>
      <c r="I27" s="16"/>
      <c r="J27" s="18"/>
      <c r="K27" s="18"/>
      <c r="L27" s="17"/>
      <c r="M27" s="16"/>
      <c r="N27" s="16"/>
      <c r="O27" s="16"/>
      <c r="P27" s="16"/>
      <c r="Q27" s="15" t="str">
        <f t="shared" si="2"/>
        <v/>
      </c>
      <c r="R27" s="16"/>
      <c r="S27" s="16"/>
    </row>
    <row r="28" spans="1:19" ht="16" x14ac:dyDescent="0.2">
      <c r="A28" s="15" t="str">
        <f t="shared" si="0"/>
        <v/>
      </c>
      <c r="B28" s="20"/>
      <c r="C28" s="20"/>
      <c r="D28" s="20"/>
      <c r="E28" s="20"/>
      <c r="F28" s="21"/>
      <c r="G28" s="22"/>
      <c r="H28" s="19" t="str">
        <f t="shared" ca="1" si="1"/>
        <v/>
      </c>
      <c r="I28" s="20"/>
      <c r="J28" s="22"/>
      <c r="K28" s="22"/>
      <c r="L28" s="21"/>
      <c r="M28" s="20"/>
      <c r="N28" s="20"/>
      <c r="O28" s="20"/>
      <c r="P28" s="20"/>
      <c r="Q28" s="15" t="str">
        <f t="shared" si="2"/>
        <v/>
      </c>
      <c r="R28" s="20"/>
      <c r="S28" s="20"/>
    </row>
    <row r="29" spans="1:19" ht="16" x14ac:dyDescent="0.2">
      <c r="A29" s="15" t="str">
        <f t="shared" si="0"/>
        <v/>
      </c>
      <c r="B29" s="16"/>
      <c r="C29" s="16"/>
      <c r="D29" s="16"/>
      <c r="E29" s="16"/>
      <c r="F29" s="17"/>
      <c r="G29" s="18"/>
      <c r="H29" s="19" t="str">
        <f t="shared" ca="1" si="1"/>
        <v/>
      </c>
      <c r="I29" s="16"/>
      <c r="J29" s="18"/>
      <c r="K29" s="18"/>
      <c r="L29" s="17"/>
      <c r="M29" s="16"/>
      <c r="N29" s="16"/>
      <c r="O29" s="16"/>
      <c r="P29" s="16"/>
      <c r="Q29" s="15" t="str">
        <f t="shared" si="2"/>
        <v/>
      </c>
      <c r="R29" s="16"/>
      <c r="S29" s="16"/>
    </row>
    <row r="30" spans="1:19" ht="16" x14ac:dyDescent="0.2">
      <c r="A30" s="15" t="str">
        <f t="shared" si="0"/>
        <v/>
      </c>
      <c r="B30" s="20"/>
      <c r="C30" s="20"/>
      <c r="D30" s="20"/>
      <c r="E30" s="20"/>
      <c r="F30" s="21"/>
      <c r="G30" s="22"/>
      <c r="H30" s="19" t="str">
        <f t="shared" ca="1" si="1"/>
        <v/>
      </c>
      <c r="I30" s="20"/>
      <c r="J30" s="22"/>
      <c r="K30" s="22"/>
      <c r="L30" s="21"/>
      <c r="M30" s="20"/>
      <c r="N30" s="20"/>
      <c r="O30" s="20"/>
      <c r="P30" s="20"/>
      <c r="Q30" s="15" t="str">
        <f t="shared" si="2"/>
        <v/>
      </c>
      <c r="R30" s="20"/>
      <c r="S30" s="20"/>
    </row>
    <row r="31" spans="1:19" ht="16" x14ac:dyDescent="0.2">
      <c r="A31" s="15" t="str">
        <f t="shared" si="0"/>
        <v/>
      </c>
      <c r="B31" s="16"/>
      <c r="C31" s="16"/>
      <c r="D31" s="16"/>
      <c r="E31" s="16"/>
      <c r="F31" s="17"/>
      <c r="G31" s="18"/>
      <c r="H31" s="19" t="str">
        <f t="shared" ca="1" si="1"/>
        <v/>
      </c>
      <c r="I31" s="16"/>
      <c r="J31" s="18"/>
      <c r="K31" s="18"/>
      <c r="L31" s="17"/>
      <c r="M31" s="16"/>
      <c r="N31" s="16"/>
      <c r="O31" s="16"/>
      <c r="P31" s="16"/>
      <c r="Q31" s="15" t="str">
        <f t="shared" si="2"/>
        <v/>
      </c>
      <c r="R31" s="16"/>
      <c r="S31" s="16"/>
    </row>
    <row r="32" spans="1:19" ht="16" x14ac:dyDescent="0.2">
      <c r="A32" s="15" t="str">
        <f t="shared" si="0"/>
        <v/>
      </c>
      <c r="B32" s="20"/>
      <c r="C32" s="20"/>
      <c r="D32" s="20"/>
      <c r="E32" s="20"/>
      <c r="F32" s="21"/>
      <c r="G32" s="22"/>
      <c r="H32" s="19" t="str">
        <f t="shared" ca="1" si="1"/>
        <v/>
      </c>
      <c r="I32" s="20"/>
      <c r="J32" s="22"/>
      <c r="K32" s="22"/>
      <c r="L32" s="21"/>
      <c r="M32" s="20"/>
      <c r="N32" s="20"/>
      <c r="O32" s="20"/>
      <c r="P32" s="20"/>
      <c r="Q32" s="15" t="str">
        <f t="shared" si="2"/>
        <v/>
      </c>
      <c r="R32" s="20"/>
      <c r="S32" s="20"/>
    </row>
    <row r="33" spans="1:19" ht="16" x14ac:dyDescent="0.2">
      <c r="A33" s="15" t="str">
        <f t="shared" si="0"/>
        <v/>
      </c>
      <c r="B33" s="16"/>
      <c r="C33" s="16"/>
      <c r="D33" s="16"/>
      <c r="E33" s="16"/>
      <c r="F33" s="17"/>
      <c r="G33" s="18"/>
      <c r="H33" s="19" t="str">
        <f t="shared" ca="1" si="1"/>
        <v/>
      </c>
      <c r="I33" s="16"/>
      <c r="J33" s="18"/>
      <c r="K33" s="18"/>
      <c r="L33" s="17"/>
      <c r="M33" s="16"/>
      <c r="N33" s="16"/>
      <c r="O33" s="16"/>
      <c r="P33" s="16"/>
      <c r="Q33" s="15" t="str">
        <f t="shared" si="2"/>
        <v/>
      </c>
      <c r="R33" s="16"/>
      <c r="S33" s="16"/>
    </row>
    <row r="34" spans="1:19" ht="16" x14ac:dyDescent="0.2">
      <c r="A34" s="15" t="str">
        <f t="shared" si="0"/>
        <v/>
      </c>
      <c r="B34" s="20"/>
      <c r="C34" s="20"/>
      <c r="D34" s="20"/>
      <c r="E34" s="20"/>
      <c r="F34" s="21"/>
      <c r="G34" s="22"/>
      <c r="H34" s="19" t="str">
        <f t="shared" ca="1" si="1"/>
        <v/>
      </c>
      <c r="I34" s="20"/>
      <c r="J34" s="22"/>
      <c r="K34" s="22"/>
      <c r="L34" s="21"/>
      <c r="M34" s="20"/>
      <c r="N34" s="20"/>
      <c r="O34" s="20"/>
      <c r="P34" s="20"/>
      <c r="Q34" s="15" t="str">
        <f t="shared" si="2"/>
        <v/>
      </c>
      <c r="R34" s="20"/>
      <c r="S34" s="20"/>
    </row>
    <row r="35" spans="1:19" ht="16" x14ac:dyDescent="0.2">
      <c r="A35" s="15" t="str">
        <f t="shared" si="0"/>
        <v/>
      </c>
      <c r="B35" s="16"/>
      <c r="C35" s="16"/>
      <c r="D35" s="16"/>
      <c r="E35" s="16"/>
      <c r="F35" s="17"/>
      <c r="G35" s="18"/>
      <c r="H35" s="19" t="str">
        <f t="shared" ca="1" si="1"/>
        <v/>
      </c>
      <c r="I35" s="16"/>
      <c r="J35" s="18"/>
      <c r="K35" s="18"/>
      <c r="L35" s="17"/>
      <c r="M35" s="16"/>
      <c r="N35" s="16"/>
      <c r="O35" s="16"/>
      <c r="P35" s="16"/>
      <c r="Q35" s="15" t="str">
        <f t="shared" si="2"/>
        <v/>
      </c>
      <c r="R35" s="16"/>
      <c r="S35" s="16"/>
    </row>
    <row r="36" spans="1:19" ht="16" x14ac:dyDescent="0.2">
      <c r="A36" s="15" t="str">
        <f t="shared" si="0"/>
        <v/>
      </c>
      <c r="B36" s="20"/>
      <c r="C36" s="20"/>
      <c r="D36" s="20"/>
      <c r="E36" s="20"/>
      <c r="F36" s="21"/>
      <c r="G36" s="22"/>
      <c r="H36" s="19" t="str">
        <f t="shared" ca="1" si="1"/>
        <v/>
      </c>
      <c r="I36" s="20"/>
      <c r="J36" s="22"/>
      <c r="K36" s="22"/>
      <c r="L36" s="21"/>
      <c r="M36" s="20"/>
      <c r="N36" s="20"/>
      <c r="O36" s="20"/>
      <c r="P36" s="20"/>
      <c r="Q36" s="15" t="str">
        <f t="shared" si="2"/>
        <v/>
      </c>
      <c r="R36" s="20"/>
      <c r="S36" s="20"/>
    </row>
    <row r="37" spans="1:19" ht="16" x14ac:dyDescent="0.2">
      <c r="A37" s="15" t="str">
        <f t="shared" ref="A37:A68" si="3">IF(B37="","",ROW()-4)</f>
        <v/>
      </c>
      <c r="B37" s="16"/>
      <c r="C37" s="16"/>
      <c r="D37" s="16"/>
      <c r="E37" s="16"/>
      <c r="F37" s="17"/>
      <c r="G37" s="18"/>
      <c r="H37" s="19" t="str">
        <f t="shared" ref="H37:H68" ca="1" si="4">IF(G37="","",IF(OR(I37="Submitted",I37="Under review",I37="Awarded",I37="Rejected",I37="Withdrawn"),"—",G37-TODAY()))</f>
        <v/>
      </c>
      <c r="I37" s="16"/>
      <c r="J37" s="18"/>
      <c r="K37" s="18"/>
      <c r="L37" s="17"/>
      <c r="M37" s="16"/>
      <c r="N37" s="16"/>
      <c r="O37" s="16"/>
      <c r="P37" s="16"/>
      <c r="Q37" s="15" t="str">
        <f t="shared" ref="Q37:Q68" si="5">IF($B37="","",COUNTIF(M37:P37,"Ready")&amp;" / 4")</f>
        <v/>
      </c>
      <c r="R37" s="16"/>
      <c r="S37" s="16"/>
    </row>
    <row r="38" spans="1:19" ht="16" x14ac:dyDescent="0.2">
      <c r="A38" s="15" t="str">
        <f t="shared" si="3"/>
        <v/>
      </c>
      <c r="B38" s="20"/>
      <c r="C38" s="20"/>
      <c r="D38" s="20"/>
      <c r="E38" s="20"/>
      <c r="F38" s="21"/>
      <c r="G38" s="22"/>
      <c r="H38" s="19" t="str">
        <f t="shared" ca="1" si="4"/>
        <v/>
      </c>
      <c r="I38" s="20"/>
      <c r="J38" s="22"/>
      <c r="K38" s="22"/>
      <c r="L38" s="21"/>
      <c r="M38" s="20"/>
      <c r="N38" s="20"/>
      <c r="O38" s="20"/>
      <c r="P38" s="20"/>
      <c r="Q38" s="15" t="str">
        <f t="shared" si="5"/>
        <v/>
      </c>
      <c r="R38" s="20"/>
      <c r="S38" s="20"/>
    </row>
    <row r="39" spans="1:19" ht="16" x14ac:dyDescent="0.2">
      <c r="A39" s="15" t="str">
        <f t="shared" si="3"/>
        <v/>
      </c>
      <c r="B39" s="16"/>
      <c r="C39" s="16"/>
      <c r="D39" s="16"/>
      <c r="E39" s="16"/>
      <c r="F39" s="17"/>
      <c r="G39" s="18"/>
      <c r="H39" s="19" t="str">
        <f t="shared" ca="1" si="4"/>
        <v/>
      </c>
      <c r="I39" s="16"/>
      <c r="J39" s="18"/>
      <c r="K39" s="18"/>
      <c r="L39" s="17"/>
      <c r="M39" s="16"/>
      <c r="N39" s="16"/>
      <c r="O39" s="16"/>
      <c r="P39" s="16"/>
      <c r="Q39" s="15" t="str">
        <f t="shared" si="5"/>
        <v/>
      </c>
      <c r="R39" s="16"/>
      <c r="S39" s="16"/>
    </row>
    <row r="40" spans="1:19" ht="16" x14ac:dyDescent="0.2">
      <c r="A40" s="15" t="str">
        <f t="shared" si="3"/>
        <v/>
      </c>
      <c r="B40" s="20"/>
      <c r="C40" s="20"/>
      <c r="D40" s="20"/>
      <c r="E40" s="20"/>
      <c r="F40" s="21"/>
      <c r="G40" s="22"/>
      <c r="H40" s="19" t="str">
        <f t="shared" ca="1" si="4"/>
        <v/>
      </c>
      <c r="I40" s="20"/>
      <c r="J40" s="22"/>
      <c r="K40" s="22"/>
      <c r="L40" s="21"/>
      <c r="M40" s="20"/>
      <c r="N40" s="20"/>
      <c r="O40" s="20"/>
      <c r="P40" s="20"/>
      <c r="Q40" s="15" t="str">
        <f t="shared" si="5"/>
        <v/>
      </c>
      <c r="R40" s="20"/>
      <c r="S40" s="20"/>
    </row>
    <row r="41" spans="1:19" ht="16" x14ac:dyDescent="0.2">
      <c r="A41" s="15" t="str">
        <f t="shared" si="3"/>
        <v/>
      </c>
      <c r="B41" s="16"/>
      <c r="C41" s="16"/>
      <c r="D41" s="16"/>
      <c r="E41" s="16"/>
      <c r="F41" s="17"/>
      <c r="G41" s="18"/>
      <c r="H41" s="19" t="str">
        <f t="shared" ca="1" si="4"/>
        <v/>
      </c>
      <c r="I41" s="16"/>
      <c r="J41" s="18"/>
      <c r="K41" s="18"/>
      <c r="L41" s="17"/>
      <c r="M41" s="16"/>
      <c r="N41" s="16"/>
      <c r="O41" s="16"/>
      <c r="P41" s="16"/>
      <c r="Q41" s="15" t="str">
        <f t="shared" si="5"/>
        <v/>
      </c>
      <c r="R41" s="16"/>
      <c r="S41" s="16"/>
    </row>
    <row r="42" spans="1:19" ht="16" x14ac:dyDescent="0.2">
      <c r="A42" s="15" t="str">
        <f t="shared" si="3"/>
        <v/>
      </c>
      <c r="B42" s="20"/>
      <c r="C42" s="20"/>
      <c r="D42" s="20"/>
      <c r="E42" s="20"/>
      <c r="F42" s="21"/>
      <c r="G42" s="22"/>
      <c r="H42" s="19" t="str">
        <f t="shared" ca="1" si="4"/>
        <v/>
      </c>
      <c r="I42" s="20"/>
      <c r="J42" s="22"/>
      <c r="K42" s="22"/>
      <c r="L42" s="21"/>
      <c r="M42" s="20"/>
      <c r="N42" s="20"/>
      <c r="O42" s="20"/>
      <c r="P42" s="20"/>
      <c r="Q42" s="15" t="str">
        <f t="shared" si="5"/>
        <v/>
      </c>
      <c r="R42" s="20"/>
      <c r="S42" s="20"/>
    </row>
    <row r="43" spans="1:19" ht="16" x14ac:dyDescent="0.2">
      <c r="A43" s="15" t="str">
        <f t="shared" si="3"/>
        <v/>
      </c>
      <c r="B43" s="16"/>
      <c r="C43" s="16"/>
      <c r="D43" s="16"/>
      <c r="E43" s="16"/>
      <c r="F43" s="17"/>
      <c r="G43" s="18"/>
      <c r="H43" s="19" t="str">
        <f t="shared" ca="1" si="4"/>
        <v/>
      </c>
      <c r="I43" s="16"/>
      <c r="J43" s="18"/>
      <c r="K43" s="18"/>
      <c r="L43" s="17"/>
      <c r="M43" s="16"/>
      <c r="N43" s="16"/>
      <c r="O43" s="16"/>
      <c r="P43" s="16"/>
      <c r="Q43" s="15" t="str">
        <f t="shared" si="5"/>
        <v/>
      </c>
      <c r="R43" s="16"/>
      <c r="S43" s="16"/>
    </row>
    <row r="44" spans="1:19" ht="16" x14ac:dyDescent="0.2">
      <c r="A44" s="15" t="str">
        <f t="shared" si="3"/>
        <v/>
      </c>
      <c r="B44" s="20"/>
      <c r="C44" s="20"/>
      <c r="D44" s="20"/>
      <c r="E44" s="20"/>
      <c r="F44" s="21"/>
      <c r="G44" s="22"/>
      <c r="H44" s="19" t="str">
        <f t="shared" ca="1" si="4"/>
        <v/>
      </c>
      <c r="I44" s="20"/>
      <c r="J44" s="22"/>
      <c r="K44" s="22"/>
      <c r="L44" s="21"/>
      <c r="M44" s="20"/>
      <c r="N44" s="20"/>
      <c r="O44" s="20"/>
      <c r="P44" s="20"/>
      <c r="Q44" s="15" t="str">
        <f t="shared" si="5"/>
        <v/>
      </c>
      <c r="R44" s="20"/>
      <c r="S44" s="20"/>
    </row>
    <row r="45" spans="1:19" ht="16" x14ac:dyDescent="0.2">
      <c r="A45" s="15" t="str">
        <f t="shared" si="3"/>
        <v/>
      </c>
      <c r="B45" s="16"/>
      <c r="C45" s="16"/>
      <c r="D45" s="16"/>
      <c r="E45" s="16"/>
      <c r="F45" s="17"/>
      <c r="G45" s="18"/>
      <c r="H45" s="19" t="str">
        <f t="shared" ca="1" si="4"/>
        <v/>
      </c>
      <c r="I45" s="16"/>
      <c r="J45" s="18"/>
      <c r="K45" s="18"/>
      <c r="L45" s="17"/>
      <c r="M45" s="16"/>
      <c r="N45" s="16"/>
      <c r="O45" s="16"/>
      <c r="P45" s="16"/>
      <c r="Q45" s="15" t="str">
        <f t="shared" si="5"/>
        <v/>
      </c>
      <c r="R45" s="16"/>
      <c r="S45" s="16"/>
    </row>
    <row r="46" spans="1:19" ht="16" x14ac:dyDescent="0.2">
      <c r="A46" s="15" t="str">
        <f t="shared" si="3"/>
        <v/>
      </c>
      <c r="B46" s="20"/>
      <c r="C46" s="20"/>
      <c r="D46" s="20"/>
      <c r="E46" s="20"/>
      <c r="F46" s="21"/>
      <c r="G46" s="22"/>
      <c r="H46" s="19" t="str">
        <f t="shared" ca="1" si="4"/>
        <v/>
      </c>
      <c r="I46" s="20"/>
      <c r="J46" s="22"/>
      <c r="K46" s="22"/>
      <c r="L46" s="21"/>
      <c r="M46" s="20"/>
      <c r="N46" s="20"/>
      <c r="O46" s="20"/>
      <c r="P46" s="20"/>
      <c r="Q46" s="15" t="str">
        <f t="shared" si="5"/>
        <v/>
      </c>
      <c r="R46" s="20"/>
      <c r="S46" s="20"/>
    </row>
    <row r="47" spans="1:19" ht="16" x14ac:dyDescent="0.2">
      <c r="A47" s="15" t="str">
        <f t="shared" si="3"/>
        <v/>
      </c>
      <c r="B47" s="16"/>
      <c r="C47" s="16"/>
      <c r="D47" s="16"/>
      <c r="E47" s="16"/>
      <c r="F47" s="17"/>
      <c r="G47" s="18"/>
      <c r="H47" s="19" t="str">
        <f t="shared" ca="1" si="4"/>
        <v/>
      </c>
      <c r="I47" s="16"/>
      <c r="J47" s="18"/>
      <c r="K47" s="18"/>
      <c r="L47" s="17"/>
      <c r="M47" s="16"/>
      <c r="N47" s="16"/>
      <c r="O47" s="16"/>
      <c r="P47" s="16"/>
      <c r="Q47" s="15" t="str">
        <f t="shared" si="5"/>
        <v/>
      </c>
      <c r="R47" s="16"/>
      <c r="S47" s="16"/>
    </row>
    <row r="48" spans="1:19" ht="16" x14ac:dyDescent="0.2">
      <c r="A48" s="15" t="str">
        <f t="shared" si="3"/>
        <v/>
      </c>
      <c r="B48" s="20"/>
      <c r="C48" s="20"/>
      <c r="D48" s="20"/>
      <c r="E48" s="20"/>
      <c r="F48" s="21"/>
      <c r="G48" s="22"/>
      <c r="H48" s="19" t="str">
        <f t="shared" ca="1" si="4"/>
        <v/>
      </c>
      <c r="I48" s="20"/>
      <c r="J48" s="22"/>
      <c r="K48" s="22"/>
      <c r="L48" s="21"/>
      <c r="M48" s="20"/>
      <c r="N48" s="20"/>
      <c r="O48" s="20"/>
      <c r="P48" s="20"/>
      <c r="Q48" s="15" t="str">
        <f t="shared" si="5"/>
        <v/>
      </c>
      <c r="R48" s="20"/>
      <c r="S48" s="20"/>
    </row>
    <row r="49" spans="1:19" ht="16" x14ac:dyDescent="0.2">
      <c r="A49" s="15" t="str">
        <f t="shared" si="3"/>
        <v/>
      </c>
      <c r="B49" s="16"/>
      <c r="C49" s="16"/>
      <c r="D49" s="16"/>
      <c r="E49" s="16"/>
      <c r="F49" s="17"/>
      <c r="G49" s="18"/>
      <c r="H49" s="19" t="str">
        <f t="shared" ca="1" si="4"/>
        <v/>
      </c>
      <c r="I49" s="16"/>
      <c r="J49" s="18"/>
      <c r="K49" s="18"/>
      <c r="L49" s="17"/>
      <c r="M49" s="16"/>
      <c r="N49" s="16"/>
      <c r="O49" s="16"/>
      <c r="P49" s="16"/>
      <c r="Q49" s="15" t="str">
        <f t="shared" si="5"/>
        <v/>
      </c>
      <c r="R49" s="16"/>
      <c r="S49" s="16"/>
    </row>
    <row r="50" spans="1:19" ht="16" x14ac:dyDescent="0.2">
      <c r="A50" s="15" t="str">
        <f t="shared" si="3"/>
        <v/>
      </c>
      <c r="B50" s="20"/>
      <c r="C50" s="20"/>
      <c r="D50" s="20"/>
      <c r="E50" s="20"/>
      <c r="F50" s="21"/>
      <c r="G50" s="22"/>
      <c r="H50" s="19" t="str">
        <f t="shared" ca="1" si="4"/>
        <v/>
      </c>
      <c r="I50" s="20"/>
      <c r="J50" s="22"/>
      <c r="K50" s="22"/>
      <c r="L50" s="21"/>
      <c r="M50" s="20"/>
      <c r="N50" s="20"/>
      <c r="O50" s="20"/>
      <c r="P50" s="20"/>
      <c r="Q50" s="15" t="str">
        <f t="shared" si="5"/>
        <v/>
      </c>
      <c r="R50" s="20"/>
      <c r="S50" s="20"/>
    </row>
    <row r="51" spans="1:19" ht="16" x14ac:dyDescent="0.2">
      <c r="A51" s="15" t="str">
        <f t="shared" si="3"/>
        <v/>
      </c>
      <c r="B51" s="16"/>
      <c r="C51" s="16"/>
      <c r="D51" s="16"/>
      <c r="E51" s="16"/>
      <c r="F51" s="17"/>
      <c r="G51" s="18"/>
      <c r="H51" s="19" t="str">
        <f t="shared" ca="1" si="4"/>
        <v/>
      </c>
      <c r="I51" s="16"/>
      <c r="J51" s="18"/>
      <c r="K51" s="18"/>
      <c r="L51" s="17"/>
      <c r="M51" s="16"/>
      <c r="N51" s="16"/>
      <c r="O51" s="16"/>
      <c r="P51" s="16"/>
      <c r="Q51" s="15" t="str">
        <f t="shared" si="5"/>
        <v/>
      </c>
      <c r="R51" s="16"/>
      <c r="S51" s="16"/>
    </row>
    <row r="52" spans="1:19" ht="16" x14ac:dyDescent="0.2">
      <c r="A52" s="15" t="str">
        <f t="shared" si="3"/>
        <v/>
      </c>
      <c r="B52" s="20"/>
      <c r="C52" s="20"/>
      <c r="D52" s="20"/>
      <c r="E52" s="20"/>
      <c r="F52" s="21"/>
      <c r="G52" s="22"/>
      <c r="H52" s="19" t="str">
        <f t="shared" ca="1" si="4"/>
        <v/>
      </c>
      <c r="I52" s="20"/>
      <c r="J52" s="22"/>
      <c r="K52" s="22"/>
      <c r="L52" s="21"/>
      <c r="M52" s="20"/>
      <c r="N52" s="20"/>
      <c r="O52" s="20"/>
      <c r="P52" s="20"/>
      <c r="Q52" s="15" t="str">
        <f t="shared" si="5"/>
        <v/>
      </c>
      <c r="R52" s="20"/>
      <c r="S52" s="20"/>
    </row>
    <row r="53" spans="1:19" ht="16" x14ac:dyDescent="0.2">
      <c r="A53" s="15" t="str">
        <f t="shared" si="3"/>
        <v/>
      </c>
      <c r="B53" s="16"/>
      <c r="C53" s="16"/>
      <c r="D53" s="16"/>
      <c r="E53" s="16"/>
      <c r="F53" s="17"/>
      <c r="G53" s="18"/>
      <c r="H53" s="19" t="str">
        <f t="shared" ca="1" si="4"/>
        <v/>
      </c>
      <c r="I53" s="16"/>
      <c r="J53" s="18"/>
      <c r="K53" s="18"/>
      <c r="L53" s="17"/>
      <c r="M53" s="16"/>
      <c r="N53" s="16"/>
      <c r="O53" s="16"/>
      <c r="P53" s="16"/>
      <c r="Q53" s="15" t="str">
        <f t="shared" si="5"/>
        <v/>
      </c>
      <c r="R53" s="16"/>
      <c r="S53" s="16"/>
    </row>
    <row r="54" spans="1:19" ht="16" x14ac:dyDescent="0.2">
      <c r="A54" s="15" t="str">
        <f t="shared" si="3"/>
        <v/>
      </c>
      <c r="B54" s="20"/>
      <c r="C54" s="20"/>
      <c r="D54" s="20"/>
      <c r="E54" s="20"/>
      <c r="F54" s="21"/>
      <c r="G54" s="22"/>
      <c r="H54" s="19" t="str">
        <f t="shared" ca="1" si="4"/>
        <v/>
      </c>
      <c r="I54" s="20"/>
      <c r="J54" s="22"/>
      <c r="K54" s="22"/>
      <c r="L54" s="21"/>
      <c r="M54" s="20"/>
      <c r="N54" s="20"/>
      <c r="O54" s="20"/>
      <c r="P54" s="20"/>
      <c r="Q54" s="15" t="str">
        <f t="shared" si="5"/>
        <v/>
      </c>
      <c r="R54" s="20"/>
      <c r="S54" s="20"/>
    </row>
    <row r="55" spans="1:19" ht="16" x14ac:dyDescent="0.2">
      <c r="A55" s="15" t="str">
        <f t="shared" si="3"/>
        <v/>
      </c>
      <c r="B55" s="16"/>
      <c r="C55" s="16"/>
      <c r="D55" s="16"/>
      <c r="E55" s="16"/>
      <c r="F55" s="17"/>
      <c r="G55" s="18"/>
      <c r="H55" s="19" t="str">
        <f t="shared" ca="1" si="4"/>
        <v/>
      </c>
      <c r="I55" s="16"/>
      <c r="J55" s="18"/>
      <c r="K55" s="18"/>
      <c r="L55" s="17"/>
      <c r="M55" s="16"/>
      <c r="N55" s="16"/>
      <c r="O55" s="16"/>
      <c r="P55" s="16"/>
      <c r="Q55" s="15" t="str">
        <f t="shared" si="5"/>
        <v/>
      </c>
      <c r="R55" s="16"/>
      <c r="S55" s="16"/>
    </row>
    <row r="56" spans="1:19" ht="16" x14ac:dyDescent="0.2">
      <c r="A56" s="15" t="str">
        <f t="shared" si="3"/>
        <v/>
      </c>
      <c r="B56" s="20"/>
      <c r="C56" s="20"/>
      <c r="D56" s="20"/>
      <c r="E56" s="20"/>
      <c r="F56" s="21"/>
      <c r="G56" s="22"/>
      <c r="H56" s="19" t="str">
        <f t="shared" ca="1" si="4"/>
        <v/>
      </c>
      <c r="I56" s="20"/>
      <c r="J56" s="22"/>
      <c r="K56" s="22"/>
      <c r="L56" s="21"/>
      <c r="M56" s="20"/>
      <c r="N56" s="20"/>
      <c r="O56" s="20"/>
      <c r="P56" s="20"/>
      <c r="Q56" s="15" t="str">
        <f t="shared" si="5"/>
        <v/>
      </c>
      <c r="R56" s="20"/>
      <c r="S56" s="20"/>
    </row>
    <row r="57" spans="1:19" ht="16" x14ac:dyDescent="0.2">
      <c r="A57" s="15" t="str">
        <f t="shared" si="3"/>
        <v/>
      </c>
      <c r="B57" s="16"/>
      <c r="C57" s="16"/>
      <c r="D57" s="16"/>
      <c r="E57" s="16"/>
      <c r="F57" s="17"/>
      <c r="G57" s="18"/>
      <c r="H57" s="19" t="str">
        <f t="shared" ca="1" si="4"/>
        <v/>
      </c>
      <c r="I57" s="16"/>
      <c r="J57" s="18"/>
      <c r="K57" s="18"/>
      <c r="L57" s="17"/>
      <c r="M57" s="16"/>
      <c r="N57" s="16"/>
      <c r="O57" s="16"/>
      <c r="P57" s="16"/>
      <c r="Q57" s="15" t="str">
        <f t="shared" si="5"/>
        <v/>
      </c>
      <c r="R57" s="16"/>
      <c r="S57" s="16"/>
    </row>
    <row r="58" spans="1:19" ht="16" x14ac:dyDescent="0.2">
      <c r="A58" s="15" t="str">
        <f t="shared" si="3"/>
        <v/>
      </c>
      <c r="B58" s="20"/>
      <c r="C58" s="20"/>
      <c r="D58" s="20"/>
      <c r="E58" s="20"/>
      <c r="F58" s="21"/>
      <c r="G58" s="22"/>
      <c r="H58" s="19" t="str">
        <f t="shared" ca="1" si="4"/>
        <v/>
      </c>
      <c r="I58" s="20"/>
      <c r="J58" s="22"/>
      <c r="K58" s="22"/>
      <c r="L58" s="21"/>
      <c r="M58" s="20"/>
      <c r="N58" s="20"/>
      <c r="O58" s="20"/>
      <c r="P58" s="20"/>
      <c r="Q58" s="15" t="str">
        <f t="shared" si="5"/>
        <v/>
      </c>
      <c r="R58" s="20"/>
      <c r="S58" s="20"/>
    </row>
    <row r="59" spans="1:19" ht="16" x14ac:dyDescent="0.2">
      <c r="A59" s="15" t="str">
        <f t="shared" si="3"/>
        <v/>
      </c>
      <c r="B59" s="16"/>
      <c r="C59" s="16"/>
      <c r="D59" s="16"/>
      <c r="E59" s="16"/>
      <c r="F59" s="17"/>
      <c r="G59" s="18"/>
      <c r="H59" s="19" t="str">
        <f t="shared" ca="1" si="4"/>
        <v/>
      </c>
      <c r="I59" s="16"/>
      <c r="J59" s="18"/>
      <c r="K59" s="18"/>
      <c r="L59" s="17"/>
      <c r="M59" s="16"/>
      <c r="N59" s="16"/>
      <c r="O59" s="16"/>
      <c r="P59" s="16"/>
      <c r="Q59" s="15" t="str">
        <f t="shared" si="5"/>
        <v/>
      </c>
      <c r="R59" s="16"/>
      <c r="S59" s="16"/>
    </row>
    <row r="60" spans="1:19" ht="16" x14ac:dyDescent="0.2">
      <c r="A60" s="15" t="str">
        <f t="shared" si="3"/>
        <v/>
      </c>
      <c r="B60" s="20"/>
      <c r="C60" s="20"/>
      <c r="D60" s="20"/>
      <c r="E60" s="20"/>
      <c r="F60" s="21"/>
      <c r="G60" s="22"/>
      <c r="H60" s="19" t="str">
        <f t="shared" ca="1" si="4"/>
        <v/>
      </c>
      <c r="I60" s="20"/>
      <c r="J60" s="22"/>
      <c r="K60" s="22"/>
      <c r="L60" s="21"/>
      <c r="M60" s="20"/>
      <c r="N60" s="20"/>
      <c r="O60" s="20"/>
      <c r="P60" s="20"/>
      <c r="Q60" s="15" t="str">
        <f t="shared" si="5"/>
        <v/>
      </c>
      <c r="R60" s="20"/>
      <c r="S60" s="20"/>
    </row>
    <row r="61" spans="1:19" ht="16" x14ac:dyDescent="0.2">
      <c r="A61" s="15" t="str">
        <f t="shared" si="3"/>
        <v/>
      </c>
      <c r="B61" s="16"/>
      <c r="C61" s="16"/>
      <c r="D61" s="16"/>
      <c r="E61" s="16"/>
      <c r="F61" s="17"/>
      <c r="G61" s="18"/>
      <c r="H61" s="19" t="str">
        <f t="shared" ca="1" si="4"/>
        <v/>
      </c>
      <c r="I61" s="16"/>
      <c r="J61" s="18"/>
      <c r="K61" s="18"/>
      <c r="L61" s="17"/>
      <c r="M61" s="16"/>
      <c r="N61" s="16"/>
      <c r="O61" s="16"/>
      <c r="P61" s="16"/>
      <c r="Q61" s="15" t="str">
        <f t="shared" si="5"/>
        <v/>
      </c>
      <c r="R61" s="16"/>
      <c r="S61" s="16"/>
    </row>
    <row r="62" spans="1:19" ht="16" x14ac:dyDescent="0.2">
      <c r="A62" s="15" t="str">
        <f t="shared" si="3"/>
        <v/>
      </c>
      <c r="B62" s="20"/>
      <c r="C62" s="20"/>
      <c r="D62" s="20"/>
      <c r="E62" s="20"/>
      <c r="F62" s="21"/>
      <c r="G62" s="22"/>
      <c r="H62" s="19" t="str">
        <f t="shared" ca="1" si="4"/>
        <v/>
      </c>
      <c r="I62" s="20"/>
      <c r="J62" s="22"/>
      <c r="K62" s="22"/>
      <c r="L62" s="21"/>
      <c r="M62" s="20"/>
      <c r="N62" s="20"/>
      <c r="O62" s="20"/>
      <c r="P62" s="20"/>
      <c r="Q62" s="15" t="str">
        <f t="shared" si="5"/>
        <v/>
      </c>
      <c r="R62" s="20"/>
      <c r="S62" s="20"/>
    </row>
    <row r="63" spans="1:19" ht="16" x14ac:dyDescent="0.2">
      <c r="A63" s="15" t="str">
        <f t="shared" si="3"/>
        <v/>
      </c>
      <c r="B63" s="16"/>
      <c r="C63" s="16"/>
      <c r="D63" s="16"/>
      <c r="E63" s="16"/>
      <c r="F63" s="17"/>
      <c r="G63" s="18"/>
      <c r="H63" s="19" t="str">
        <f t="shared" ca="1" si="4"/>
        <v/>
      </c>
      <c r="I63" s="16"/>
      <c r="J63" s="18"/>
      <c r="K63" s="18"/>
      <c r="L63" s="17"/>
      <c r="M63" s="16"/>
      <c r="N63" s="16"/>
      <c r="O63" s="16"/>
      <c r="P63" s="16"/>
      <c r="Q63" s="15" t="str">
        <f t="shared" si="5"/>
        <v/>
      </c>
      <c r="R63" s="16"/>
      <c r="S63" s="16"/>
    </row>
    <row r="64" spans="1:19" ht="16" x14ac:dyDescent="0.2">
      <c r="A64" s="15" t="str">
        <f t="shared" si="3"/>
        <v/>
      </c>
      <c r="B64" s="20"/>
      <c r="C64" s="20"/>
      <c r="D64" s="20"/>
      <c r="E64" s="20"/>
      <c r="F64" s="21"/>
      <c r="G64" s="22"/>
      <c r="H64" s="19" t="str">
        <f t="shared" ca="1" si="4"/>
        <v/>
      </c>
      <c r="I64" s="20"/>
      <c r="J64" s="22"/>
      <c r="K64" s="22"/>
      <c r="L64" s="21"/>
      <c r="M64" s="20"/>
      <c r="N64" s="20"/>
      <c r="O64" s="20"/>
      <c r="P64" s="20"/>
      <c r="Q64" s="15" t="str">
        <f t="shared" si="5"/>
        <v/>
      </c>
      <c r="R64" s="20"/>
      <c r="S64" s="20"/>
    </row>
    <row r="65" spans="1:19" ht="16" x14ac:dyDescent="0.2">
      <c r="A65" s="15" t="str">
        <f t="shared" si="3"/>
        <v/>
      </c>
      <c r="B65" s="16"/>
      <c r="C65" s="16"/>
      <c r="D65" s="16"/>
      <c r="E65" s="16"/>
      <c r="F65" s="17"/>
      <c r="G65" s="18"/>
      <c r="H65" s="19" t="str">
        <f t="shared" ca="1" si="4"/>
        <v/>
      </c>
      <c r="I65" s="16"/>
      <c r="J65" s="18"/>
      <c r="K65" s="18"/>
      <c r="L65" s="17"/>
      <c r="M65" s="16"/>
      <c r="N65" s="16"/>
      <c r="O65" s="16"/>
      <c r="P65" s="16"/>
      <c r="Q65" s="15" t="str">
        <f t="shared" si="5"/>
        <v/>
      </c>
      <c r="R65" s="16"/>
      <c r="S65" s="16"/>
    </row>
    <row r="66" spans="1:19" ht="16" x14ac:dyDescent="0.2">
      <c r="A66" s="15" t="str">
        <f t="shared" si="3"/>
        <v/>
      </c>
      <c r="B66" s="20"/>
      <c r="C66" s="20"/>
      <c r="D66" s="20"/>
      <c r="E66" s="20"/>
      <c r="F66" s="21"/>
      <c r="G66" s="22"/>
      <c r="H66" s="19" t="str">
        <f t="shared" ca="1" si="4"/>
        <v/>
      </c>
      <c r="I66" s="20"/>
      <c r="J66" s="22"/>
      <c r="K66" s="22"/>
      <c r="L66" s="21"/>
      <c r="M66" s="20"/>
      <c r="N66" s="20"/>
      <c r="O66" s="20"/>
      <c r="P66" s="20"/>
      <c r="Q66" s="15" t="str">
        <f t="shared" si="5"/>
        <v/>
      </c>
      <c r="R66" s="20"/>
      <c r="S66" s="20"/>
    </row>
    <row r="67" spans="1:19" ht="16" x14ac:dyDescent="0.2">
      <c r="A67" s="15" t="str">
        <f t="shared" si="3"/>
        <v/>
      </c>
      <c r="B67" s="16"/>
      <c r="C67" s="16"/>
      <c r="D67" s="16"/>
      <c r="E67" s="16"/>
      <c r="F67" s="17"/>
      <c r="G67" s="18"/>
      <c r="H67" s="19" t="str">
        <f t="shared" ca="1" si="4"/>
        <v/>
      </c>
      <c r="I67" s="16"/>
      <c r="J67" s="18"/>
      <c r="K67" s="18"/>
      <c r="L67" s="17"/>
      <c r="M67" s="16"/>
      <c r="N67" s="16"/>
      <c r="O67" s="16"/>
      <c r="P67" s="16"/>
      <c r="Q67" s="15" t="str">
        <f t="shared" si="5"/>
        <v/>
      </c>
      <c r="R67" s="16"/>
      <c r="S67" s="16"/>
    </row>
    <row r="68" spans="1:19" ht="16" x14ac:dyDescent="0.2">
      <c r="A68" s="15" t="str">
        <f t="shared" si="3"/>
        <v/>
      </c>
      <c r="B68" s="20"/>
      <c r="C68" s="20"/>
      <c r="D68" s="20"/>
      <c r="E68" s="20"/>
      <c r="F68" s="21"/>
      <c r="G68" s="22"/>
      <c r="H68" s="19" t="str">
        <f t="shared" ca="1" si="4"/>
        <v/>
      </c>
      <c r="I68" s="20"/>
      <c r="J68" s="22"/>
      <c r="K68" s="22"/>
      <c r="L68" s="21"/>
      <c r="M68" s="20"/>
      <c r="N68" s="20"/>
      <c r="O68" s="20"/>
      <c r="P68" s="20"/>
      <c r="Q68" s="15" t="str">
        <f t="shared" si="5"/>
        <v/>
      </c>
      <c r="R68" s="20"/>
      <c r="S68" s="20"/>
    </row>
    <row r="69" spans="1:19" ht="16" x14ac:dyDescent="0.2">
      <c r="A69" s="15" t="str">
        <f t="shared" ref="A69:A100" si="6">IF(B69="","",ROW()-4)</f>
        <v/>
      </c>
      <c r="B69" s="16"/>
      <c r="C69" s="16"/>
      <c r="D69" s="16"/>
      <c r="E69" s="16"/>
      <c r="F69" s="17"/>
      <c r="G69" s="18"/>
      <c r="H69" s="19" t="str">
        <f t="shared" ref="H69:H100" ca="1" si="7">IF(G69="","",IF(OR(I69="Submitted",I69="Under review",I69="Awarded",I69="Rejected",I69="Withdrawn"),"—",G69-TODAY()))</f>
        <v/>
      </c>
      <c r="I69" s="16"/>
      <c r="J69" s="18"/>
      <c r="K69" s="18"/>
      <c r="L69" s="17"/>
      <c r="M69" s="16"/>
      <c r="N69" s="16"/>
      <c r="O69" s="16"/>
      <c r="P69" s="16"/>
      <c r="Q69" s="15" t="str">
        <f t="shared" ref="Q69:Q100" si="8">IF($B69="","",COUNTIF(M69:P69,"Ready")&amp;" / 4")</f>
        <v/>
      </c>
      <c r="R69" s="16"/>
      <c r="S69" s="16"/>
    </row>
    <row r="70" spans="1:19" ht="16" x14ac:dyDescent="0.2">
      <c r="A70" s="15" t="str">
        <f t="shared" si="6"/>
        <v/>
      </c>
      <c r="B70" s="20"/>
      <c r="C70" s="20"/>
      <c r="D70" s="20"/>
      <c r="E70" s="20"/>
      <c r="F70" s="21"/>
      <c r="G70" s="22"/>
      <c r="H70" s="19" t="str">
        <f t="shared" ca="1" si="7"/>
        <v/>
      </c>
      <c r="I70" s="20"/>
      <c r="J70" s="22"/>
      <c r="K70" s="22"/>
      <c r="L70" s="21"/>
      <c r="M70" s="20"/>
      <c r="N70" s="20"/>
      <c r="O70" s="20"/>
      <c r="P70" s="20"/>
      <c r="Q70" s="15" t="str">
        <f t="shared" si="8"/>
        <v/>
      </c>
      <c r="R70" s="20"/>
      <c r="S70" s="20"/>
    </row>
    <row r="71" spans="1:19" ht="16" x14ac:dyDescent="0.2">
      <c r="A71" s="15" t="str">
        <f t="shared" si="6"/>
        <v/>
      </c>
      <c r="B71" s="16"/>
      <c r="C71" s="16"/>
      <c r="D71" s="16"/>
      <c r="E71" s="16"/>
      <c r="F71" s="17"/>
      <c r="G71" s="18"/>
      <c r="H71" s="19" t="str">
        <f t="shared" ca="1" si="7"/>
        <v/>
      </c>
      <c r="I71" s="16"/>
      <c r="J71" s="18"/>
      <c r="K71" s="18"/>
      <c r="L71" s="17"/>
      <c r="M71" s="16"/>
      <c r="N71" s="16"/>
      <c r="O71" s="16"/>
      <c r="P71" s="16"/>
      <c r="Q71" s="15" t="str">
        <f t="shared" si="8"/>
        <v/>
      </c>
      <c r="R71" s="16"/>
      <c r="S71" s="16"/>
    </row>
    <row r="72" spans="1:19" ht="16" x14ac:dyDescent="0.2">
      <c r="A72" s="15" t="str">
        <f t="shared" si="6"/>
        <v/>
      </c>
      <c r="B72" s="20"/>
      <c r="C72" s="20"/>
      <c r="D72" s="20"/>
      <c r="E72" s="20"/>
      <c r="F72" s="21"/>
      <c r="G72" s="22"/>
      <c r="H72" s="19" t="str">
        <f t="shared" ca="1" si="7"/>
        <v/>
      </c>
      <c r="I72" s="20"/>
      <c r="J72" s="22"/>
      <c r="K72" s="22"/>
      <c r="L72" s="21"/>
      <c r="M72" s="20"/>
      <c r="N72" s="20"/>
      <c r="O72" s="20"/>
      <c r="P72" s="20"/>
      <c r="Q72" s="15" t="str">
        <f t="shared" si="8"/>
        <v/>
      </c>
      <c r="R72" s="20"/>
      <c r="S72" s="20"/>
    </row>
    <row r="73" spans="1:19" ht="16" x14ac:dyDescent="0.2">
      <c r="A73" s="15" t="str">
        <f t="shared" si="6"/>
        <v/>
      </c>
      <c r="B73" s="16"/>
      <c r="C73" s="16"/>
      <c r="D73" s="16"/>
      <c r="E73" s="16"/>
      <c r="F73" s="17"/>
      <c r="G73" s="18"/>
      <c r="H73" s="19" t="str">
        <f t="shared" ca="1" si="7"/>
        <v/>
      </c>
      <c r="I73" s="16"/>
      <c r="J73" s="18"/>
      <c r="K73" s="18"/>
      <c r="L73" s="17"/>
      <c r="M73" s="16"/>
      <c r="N73" s="16"/>
      <c r="O73" s="16"/>
      <c r="P73" s="16"/>
      <c r="Q73" s="15" t="str">
        <f t="shared" si="8"/>
        <v/>
      </c>
      <c r="R73" s="16"/>
      <c r="S73" s="16"/>
    </row>
    <row r="74" spans="1:19" ht="16" x14ac:dyDescent="0.2">
      <c r="A74" s="15" t="str">
        <f t="shared" si="6"/>
        <v/>
      </c>
      <c r="B74" s="20"/>
      <c r="C74" s="20"/>
      <c r="D74" s="20"/>
      <c r="E74" s="20"/>
      <c r="F74" s="21"/>
      <c r="G74" s="22"/>
      <c r="H74" s="19" t="str">
        <f t="shared" ca="1" si="7"/>
        <v/>
      </c>
      <c r="I74" s="20"/>
      <c r="J74" s="22"/>
      <c r="K74" s="22"/>
      <c r="L74" s="21"/>
      <c r="M74" s="20"/>
      <c r="N74" s="20"/>
      <c r="O74" s="20"/>
      <c r="P74" s="20"/>
      <c r="Q74" s="15" t="str">
        <f t="shared" si="8"/>
        <v/>
      </c>
      <c r="R74" s="20"/>
      <c r="S74" s="20"/>
    </row>
    <row r="75" spans="1:19" ht="16" x14ac:dyDescent="0.2">
      <c r="A75" s="15" t="str">
        <f t="shared" si="6"/>
        <v/>
      </c>
      <c r="B75" s="16"/>
      <c r="C75" s="16"/>
      <c r="D75" s="16"/>
      <c r="E75" s="16"/>
      <c r="F75" s="17"/>
      <c r="G75" s="18"/>
      <c r="H75" s="19" t="str">
        <f t="shared" ca="1" si="7"/>
        <v/>
      </c>
      <c r="I75" s="16"/>
      <c r="J75" s="18"/>
      <c r="K75" s="18"/>
      <c r="L75" s="17"/>
      <c r="M75" s="16"/>
      <c r="N75" s="16"/>
      <c r="O75" s="16"/>
      <c r="P75" s="16"/>
      <c r="Q75" s="15" t="str">
        <f t="shared" si="8"/>
        <v/>
      </c>
      <c r="R75" s="16"/>
      <c r="S75" s="16"/>
    </row>
    <row r="76" spans="1:19" ht="16" x14ac:dyDescent="0.2">
      <c r="A76" s="15" t="str">
        <f t="shared" si="6"/>
        <v/>
      </c>
      <c r="B76" s="20"/>
      <c r="C76" s="20"/>
      <c r="D76" s="20"/>
      <c r="E76" s="20"/>
      <c r="F76" s="21"/>
      <c r="G76" s="22"/>
      <c r="H76" s="19" t="str">
        <f t="shared" ca="1" si="7"/>
        <v/>
      </c>
      <c r="I76" s="20"/>
      <c r="J76" s="22"/>
      <c r="K76" s="22"/>
      <c r="L76" s="21"/>
      <c r="M76" s="20"/>
      <c r="N76" s="20"/>
      <c r="O76" s="20"/>
      <c r="P76" s="20"/>
      <c r="Q76" s="15" t="str">
        <f t="shared" si="8"/>
        <v/>
      </c>
      <c r="R76" s="20"/>
      <c r="S76" s="20"/>
    </row>
    <row r="77" spans="1:19" ht="16" x14ac:dyDescent="0.2">
      <c r="A77" s="15" t="str">
        <f t="shared" si="6"/>
        <v/>
      </c>
      <c r="B77" s="16"/>
      <c r="C77" s="16"/>
      <c r="D77" s="16"/>
      <c r="E77" s="16"/>
      <c r="F77" s="17"/>
      <c r="G77" s="18"/>
      <c r="H77" s="19" t="str">
        <f t="shared" ca="1" si="7"/>
        <v/>
      </c>
      <c r="I77" s="16"/>
      <c r="J77" s="18"/>
      <c r="K77" s="18"/>
      <c r="L77" s="17"/>
      <c r="M77" s="16"/>
      <c r="N77" s="16"/>
      <c r="O77" s="16"/>
      <c r="P77" s="16"/>
      <c r="Q77" s="15" t="str">
        <f t="shared" si="8"/>
        <v/>
      </c>
      <c r="R77" s="16"/>
      <c r="S77" s="16"/>
    </row>
    <row r="78" spans="1:19" ht="16" x14ac:dyDescent="0.2">
      <c r="A78" s="15" t="str">
        <f t="shared" si="6"/>
        <v/>
      </c>
      <c r="B78" s="20"/>
      <c r="C78" s="20"/>
      <c r="D78" s="20"/>
      <c r="E78" s="20"/>
      <c r="F78" s="21"/>
      <c r="G78" s="22"/>
      <c r="H78" s="19" t="str">
        <f t="shared" ca="1" si="7"/>
        <v/>
      </c>
      <c r="I78" s="20"/>
      <c r="J78" s="22"/>
      <c r="K78" s="22"/>
      <c r="L78" s="21"/>
      <c r="M78" s="20"/>
      <c r="N78" s="20"/>
      <c r="O78" s="20"/>
      <c r="P78" s="20"/>
      <c r="Q78" s="15" t="str">
        <f t="shared" si="8"/>
        <v/>
      </c>
      <c r="R78" s="20"/>
      <c r="S78" s="20"/>
    </row>
    <row r="79" spans="1:19" ht="16" x14ac:dyDescent="0.2">
      <c r="A79" s="15" t="str">
        <f t="shared" si="6"/>
        <v/>
      </c>
      <c r="B79" s="16"/>
      <c r="C79" s="16"/>
      <c r="D79" s="16"/>
      <c r="E79" s="16"/>
      <c r="F79" s="17"/>
      <c r="G79" s="18"/>
      <c r="H79" s="19" t="str">
        <f t="shared" ca="1" si="7"/>
        <v/>
      </c>
      <c r="I79" s="16"/>
      <c r="J79" s="18"/>
      <c r="K79" s="18"/>
      <c r="L79" s="17"/>
      <c r="M79" s="16"/>
      <c r="N79" s="16"/>
      <c r="O79" s="16"/>
      <c r="P79" s="16"/>
      <c r="Q79" s="15" t="str">
        <f t="shared" si="8"/>
        <v/>
      </c>
      <c r="R79" s="16"/>
      <c r="S79" s="16"/>
    </row>
    <row r="80" spans="1:19" ht="16" x14ac:dyDescent="0.2">
      <c r="A80" s="15" t="str">
        <f t="shared" si="6"/>
        <v/>
      </c>
      <c r="B80" s="20"/>
      <c r="C80" s="20"/>
      <c r="D80" s="20"/>
      <c r="E80" s="20"/>
      <c r="F80" s="21"/>
      <c r="G80" s="22"/>
      <c r="H80" s="19" t="str">
        <f t="shared" ca="1" si="7"/>
        <v/>
      </c>
      <c r="I80" s="20"/>
      <c r="J80" s="22"/>
      <c r="K80" s="22"/>
      <c r="L80" s="21"/>
      <c r="M80" s="20"/>
      <c r="N80" s="20"/>
      <c r="O80" s="20"/>
      <c r="P80" s="20"/>
      <c r="Q80" s="15" t="str">
        <f t="shared" si="8"/>
        <v/>
      </c>
      <c r="R80" s="20"/>
      <c r="S80" s="20"/>
    </row>
    <row r="81" spans="1:19" ht="16" x14ac:dyDescent="0.2">
      <c r="A81" s="15" t="str">
        <f t="shared" si="6"/>
        <v/>
      </c>
      <c r="B81" s="16"/>
      <c r="C81" s="16"/>
      <c r="D81" s="16"/>
      <c r="E81" s="16"/>
      <c r="F81" s="17"/>
      <c r="G81" s="18"/>
      <c r="H81" s="19" t="str">
        <f t="shared" ca="1" si="7"/>
        <v/>
      </c>
      <c r="I81" s="16"/>
      <c r="J81" s="18"/>
      <c r="K81" s="18"/>
      <c r="L81" s="17"/>
      <c r="M81" s="16"/>
      <c r="N81" s="16"/>
      <c r="O81" s="16"/>
      <c r="P81" s="16"/>
      <c r="Q81" s="15" t="str">
        <f t="shared" si="8"/>
        <v/>
      </c>
      <c r="R81" s="16"/>
      <c r="S81" s="16"/>
    </row>
    <row r="82" spans="1:19" ht="16" x14ac:dyDescent="0.2">
      <c r="A82" s="15" t="str">
        <f t="shared" si="6"/>
        <v/>
      </c>
      <c r="B82" s="20"/>
      <c r="C82" s="20"/>
      <c r="D82" s="20"/>
      <c r="E82" s="20"/>
      <c r="F82" s="21"/>
      <c r="G82" s="22"/>
      <c r="H82" s="19" t="str">
        <f t="shared" ca="1" si="7"/>
        <v/>
      </c>
      <c r="I82" s="20"/>
      <c r="J82" s="22"/>
      <c r="K82" s="22"/>
      <c r="L82" s="21"/>
      <c r="M82" s="20"/>
      <c r="N82" s="20"/>
      <c r="O82" s="20"/>
      <c r="P82" s="20"/>
      <c r="Q82" s="15" t="str">
        <f t="shared" si="8"/>
        <v/>
      </c>
      <c r="R82" s="20"/>
      <c r="S82" s="20"/>
    </row>
    <row r="83" spans="1:19" ht="16" x14ac:dyDescent="0.2">
      <c r="A83" s="15" t="str">
        <f t="shared" si="6"/>
        <v/>
      </c>
      <c r="B83" s="16"/>
      <c r="C83" s="16"/>
      <c r="D83" s="16"/>
      <c r="E83" s="16"/>
      <c r="F83" s="17"/>
      <c r="G83" s="18"/>
      <c r="H83" s="19" t="str">
        <f t="shared" ca="1" si="7"/>
        <v/>
      </c>
      <c r="I83" s="16"/>
      <c r="J83" s="18"/>
      <c r="K83" s="18"/>
      <c r="L83" s="17"/>
      <c r="M83" s="16"/>
      <c r="N83" s="16"/>
      <c r="O83" s="16"/>
      <c r="P83" s="16"/>
      <c r="Q83" s="15" t="str">
        <f t="shared" si="8"/>
        <v/>
      </c>
      <c r="R83" s="16"/>
      <c r="S83" s="16"/>
    </row>
    <row r="84" spans="1:19" ht="16" x14ac:dyDescent="0.2">
      <c r="A84" s="15" t="str">
        <f t="shared" si="6"/>
        <v/>
      </c>
      <c r="B84" s="20"/>
      <c r="C84" s="20"/>
      <c r="D84" s="20"/>
      <c r="E84" s="20"/>
      <c r="F84" s="21"/>
      <c r="G84" s="22"/>
      <c r="H84" s="19" t="str">
        <f t="shared" ca="1" si="7"/>
        <v/>
      </c>
      <c r="I84" s="20"/>
      <c r="J84" s="22"/>
      <c r="K84" s="22"/>
      <c r="L84" s="21"/>
      <c r="M84" s="20"/>
      <c r="N84" s="20"/>
      <c r="O84" s="20"/>
      <c r="P84" s="20"/>
      <c r="Q84" s="15" t="str">
        <f t="shared" si="8"/>
        <v/>
      </c>
      <c r="R84" s="20"/>
      <c r="S84" s="20"/>
    </row>
    <row r="85" spans="1:19" ht="16" x14ac:dyDescent="0.2">
      <c r="A85" s="15" t="str">
        <f t="shared" si="6"/>
        <v/>
      </c>
      <c r="B85" s="16"/>
      <c r="C85" s="16"/>
      <c r="D85" s="16"/>
      <c r="E85" s="16"/>
      <c r="F85" s="17"/>
      <c r="G85" s="18"/>
      <c r="H85" s="19" t="str">
        <f t="shared" ca="1" si="7"/>
        <v/>
      </c>
      <c r="I85" s="16"/>
      <c r="J85" s="18"/>
      <c r="K85" s="18"/>
      <c r="L85" s="17"/>
      <c r="M85" s="16"/>
      <c r="N85" s="16"/>
      <c r="O85" s="16"/>
      <c r="P85" s="16"/>
      <c r="Q85" s="15" t="str">
        <f t="shared" si="8"/>
        <v/>
      </c>
      <c r="R85" s="16"/>
      <c r="S85" s="16"/>
    </row>
    <row r="86" spans="1:19" ht="16" x14ac:dyDescent="0.2">
      <c r="A86" s="15" t="str">
        <f t="shared" si="6"/>
        <v/>
      </c>
      <c r="B86" s="20"/>
      <c r="C86" s="20"/>
      <c r="D86" s="20"/>
      <c r="E86" s="20"/>
      <c r="F86" s="21"/>
      <c r="G86" s="22"/>
      <c r="H86" s="19" t="str">
        <f t="shared" ca="1" si="7"/>
        <v/>
      </c>
      <c r="I86" s="20"/>
      <c r="J86" s="22"/>
      <c r="K86" s="22"/>
      <c r="L86" s="21"/>
      <c r="M86" s="20"/>
      <c r="N86" s="20"/>
      <c r="O86" s="20"/>
      <c r="P86" s="20"/>
      <c r="Q86" s="15" t="str">
        <f t="shared" si="8"/>
        <v/>
      </c>
      <c r="R86" s="20"/>
      <c r="S86" s="20"/>
    </row>
    <row r="87" spans="1:19" ht="16" x14ac:dyDescent="0.2">
      <c r="A87" s="15" t="str">
        <f t="shared" si="6"/>
        <v/>
      </c>
      <c r="B87" s="16"/>
      <c r="C87" s="16"/>
      <c r="D87" s="16"/>
      <c r="E87" s="16"/>
      <c r="F87" s="17"/>
      <c r="G87" s="18"/>
      <c r="H87" s="19" t="str">
        <f t="shared" ca="1" si="7"/>
        <v/>
      </c>
      <c r="I87" s="16"/>
      <c r="J87" s="18"/>
      <c r="K87" s="18"/>
      <c r="L87" s="17"/>
      <c r="M87" s="16"/>
      <c r="N87" s="16"/>
      <c r="O87" s="16"/>
      <c r="P87" s="16"/>
      <c r="Q87" s="15" t="str">
        <f t="shared" si="8"/>
        <v/>
      </c>
      <c r="R87" s="16"/>
      <c r="S87" s="16"/>
    </row>
    <row r="88" spans="1:19" ht="16" x14ac:dyDescent="0.2">
      <c r="A88" s="15" t="str">
        <f t="shared" si="6"/>
        <v/>
      </c>
      <c r="B88" s="20"/>
      <c r="C88" s="20"/>
      <c r="D88" s="20"/>
      <c r="E88" s="20"/>
      <c r="F88" s="21"/>
      <c r="G88" s="22"/>
      <c r="H88" s="19" t="str">
        <f t="shared" ca="1" si="7"/>
        <v/>
      </c>
      <c r="I88" s="20"/>
      <c r="J88" s="22"/>
      <c r="K88" s="22"/>
      <c r="L88" s="21"/>
      <c r="M88" s="20"/>
      <c r="N88" s="20"/>
      <c r="O88" s="20"/>
      <c r="P88" s="20"/>
      <c r="Q88" s="15" t="str">
        <f t="shared" si="8"/>
        <v/>
      </c>
      <c r="R88" s="20"/>
      <c r="S88" s="20"/>
    </row>
    <row r="89" spans="1:19" ht="16" x14ac:dyDescent="0.2">
      <c r="A89" s="15" t="str">
        <f t="shared" si="6"/>
        <v/>
      </c>
      <c r="B89" s="16"/>
      <c r="C89" s="16"/>
      <c r="D89" s="16"/>
      <c r="E89" s="16"/>
      <c r="F89" s="17"/>
      <c r="G89" s="18"/>
      <c r="H89" s="19" t="str">
        <f t="shared" ca="1" si="7"/>
        <v/>
      </c>
      <c r="I89" s="16"/>
      <c r="J89" s="18"/>
      <c r="K89" s="18"/>
      <c r="L89" s="17"/>
      <c r="M89" s="16"/>
      <c r="N89" s="16"/>
      <c r="O89" s="16"/>
      <c r="P89" s="16"/>
      <c r="Q89" s="15" t="str">
        <f t="shared" si="8"/>
        <v/>
      </c>
      <c r="R89" s="16"/>
      <c r="S89" s="16"/>
    </row>
    <row r="90" spans="1:19" ht="16" x14ac:dyDescent="0.2">
      <c r="A90" s="15" t="str">
        <f t="shared" si="6"/>
        <v/>
      </c>
      <c r="B90" s="20"/>
      <c r="C90" s="20"/>
      <c r="D90" s="20"/>
      <c r="E90" s="20"/>
      <c r="F90" s="21"/>
      <c r="G90" s="22"/>
      <c r="H90" s="19" t="str">
        <f t="shared" ca="1" si="7"/>
        <v/>
      </c>
      <c r="I90" s="20"/>
      <c r="J90" s="22"/>
      <c r="K90" s="22"/>
      <c r="L90" s="21"/>
      <c r="M90" s="20"/>
      <c r="N90" s="20"/>
      <c r="O90" s="20"/>
      <c r="P90" s="20"/>
      <c r="Q90" s="15" t="str">
        <f t="shared" si="8"/>
        <v/>
      </c>
      <c r="R90" s="20"/>
      <c r="S90" s="20"/>
    </row>
    <row r="91" spans="1:19" ht="16" x14ac:dyDescent="0.2">
      <c r="A91" s="15" t="str">
        <f t="shared" si="6"/>
        <v/>
      </c>
      <c r="B91" s="16"/>
      <c r="C91" s="16"/>
      <c r="D91" s="16"/>
      <c r="E91" s="16"/>
      <c r="F91" s="17"/>
      <c r="G91" s="18"/>
      <c r="H91" s="19" t="str">
        <f t="shared" ca="1" si="7"/>
        <v/>
      </c>
      <c r="I91" s="16"/>
      <c r="J91" s="18"/>
      <c r="K91" s="18"/>
      <c r="L91" s="17"/>
      <c r="M91" s="16"/>
      <c r="N91" s="16"/>
      <c r="O91" s="16"/>
      <c r="P91" s="16"/>
      <c r="Q91" s="15" t="str">
        <f t="shared" si="8"/>
        <v/>
      </c>
      <c r="R91" s="16"/>
      <c r="S91" s="16"/>
    </row>
    <row r="92" spans="1:19" ht="16" x14ac:dyDescent="0.2">
      <c r="A92" s="15" t="str">
        <f t="shared" si="6"/>
        <v/>
      </c>
      <c r="B92" s="20"/>
      <c r="C92" s="20"/>
      <c r="D92" s="20"/>
      <c r="E92" s="20"/>
      <c r="F92" s="21"/>
      <c r="G92" s="22"/>
      <c r="H92" s="19" t="str">
        <f t="shared" ca="1" si="7"/>
        <v/>
      </c>
      <c r="I92" s="20"/>
      <c r="J92" s="22"/>
      <c r="K92" s="22"/>
      <c r="L92" s="21"/>
      <c r="M92" s="20"/>
      <c r="N92" s="20"/>
      <c r="O92" s="20"/>
      <c r="P92" s="20"/>
      <c r="Q92" s="15" t="str">
        <f t="shared" si="8"/>
        <v/>
      </c>
      <c r="R92" s="20"/>
      <c r="S92" s="20"/>
    </row>
    <row r="93" spans="1:19" ht="16" x14ac:dyDescent="0.2">
      <c r="A93" s="15" t="str">
        <f t="shared" si="6"/>
        <v/>
      </c>
      <c r="B93" s="16"/>
      <c r="C93" s="16"/>
      <c r="D93" s="16"/>
      <c r="E93" s="16"/>
      <c r="F93" s="17"/>
      <c r="G93" s="18"/>
      <c r="H93" s="19" t="str">
        <f t="shared" ca="1" si="7"/>
        <v/>
      </c>
      <c r="I93" s="16"/>
      <c r="J93" s="18"/>
      <c r="K93" s="18"/>
      <c r="L93" s="17"/>
      <c r="M93" s="16"/>
      <c r="N93" s="16"/>
      <c r="O93" s="16"/>
      <c r="P93" s="16"/>
      <c r="Q93" s="15" t="str">
        <f t="shared" si="8"/>
        <v/>
      </c>
      <c r="R93" s="16"/>
      <c r="S93" s="16"/>
    </row>
    <row r="94" spans="1:19" ht="16" x14ac:dyDescent="0.2">
      <c r="A94" s="15" t="str">
        <f t="shared" si="6"/>
        <v/>
      </c>
      <c r="B94" s="20"/>
      <c r="C94" s="20"/>
      <c r="D94" s="20"/>
      <c r="E94" s="20"/>
      <c r="F94" s="21"/>
      <c r="G94" s="22"/>
      <c r="H94" s="19" t="str">
        <f t="shared" ca="1" si="7"/>
        <v/>
      </c>
      <c r="I94" s="20"/>
      <c r="J94" s="22"/>
      <c r="K94" s="22"/>
      <c r="L94" s="21"/>
      <c r="M94" s="20"/>
      <c r="N94" s="20"/>
      <c r="O94" s="20"/>
      <c r="P94" s="20"/>
      <c r="Q94" s="15" t="str">
        <f t="shared" si="8"/>
        <v/>
      </c>
      <c r="R94" s="20"/>
      <c r="S94" s="20"/>
    </row>
    <row r="95" spans="1:19" ht="16" x14ac:dyDescent="0.2">
      <c r="A95" s="15" t="str">
        <f t="shared" si="6"/>
        <v/>
      </c>
      <c r="B95" s="16"/>
      <c r="C95" s="16"/>
      <c r="D95" s="16"/>
      <c r="E95" s="16"/>
      <c r="F95" s="17"/>
      <c r="G95" s="18"/>
      <c r="H95" s="19" t="str">
        <f t="shared" ca="1" si="7"/>
        <v/>
      </c>
      <c r="I95" s="16"/>
      <c r="J95" s="18"/>
      <c r="K95" s="18"/>
      <c r="L95" s="17"/>
      <c r="M95" s="16"/>
      <c r="N95" s="16"/>
      <c r="O95" s="16"/>
      <c r="P95" s="16"/>
      <c r="Q95" s="15" t="str">
        <f t="shared" si="8"/>
        <v/>
      </c>
      <c r="R95" s="16"/>
      <c r="S95" s="16"/>
    </row>
    <row r="96" spans="1:19" ht="16" x14ac:dyDescent="0.2">
      <c r="A96" s="15" t="str">
        <f t="shared" si="6"/>
        <v/>
      </c>
      <c r="B96" s="20"/>
      <c r="C96" s="20"/>
      <c r="D96" s="20"/>
      <c r="E96" s="20"/>
      <c r="F96" s="21"/>
      <c r="G96" s="22"/>
      <c r="H96" s="19" t="str">
        <f t="shared" ca="1" si="7"/>
        <v/>
      </c>
      <c r="I96" s="20"/>
      <c r="J96" s="22"/>
      <c r="K96" s="22"/>
      <c r="L96" s="21"/>
      <c r="M96" s="20"/>
      <c r="N96" s="20"/>
      <c r="O96" s="20"/>
      <c r="P96" s="20"/>
      <c r="Q96" s="15" t="str">
        <f t="shared" si="8"/>
        <v/>
      </c>
      <c r="R96" s="20"/>
      <c r="S96" s="20"/>
    </row>
    <row r="97" spans="1:19" ht="16" x14ac:dyDescent="0.2">
      <c r="A97" s="15" t="str">
        <f t="shared" si="6"/>
        <v/>
      </c>
      <c r="B97" s="16"/>
      <c r="C97" s="16"/>
      <c r="D97" s="16"/>
      <c r="E97" s="16"/>
      <c r="F97" s="17"/>
      <c r="G97" s="18"/>
      <c r="H97" s="19" t="str">
        <f t="shared" ca="1" si="7"/>
        <v/>
      </c>
      <c r="I97" s="16"/>
      <c r="J97" s="18"/>
      <c r="K97" s="18"/>
      <c r="L97" s="17"/>
      <c r="M97" s="16"/>
      <c r="N97" s="16"/>
      <c r="O97" s="16"/>
      <c r="P97" s="16"/>
      <c r="Q97" s="15" t="str">
        <f t="shared" si="8"/>
        <v/>
      </c>
      <c r="R97" s="16"/>
      <c r="S97" s="16"/>
    </row>
    <row r="98" spans="1:19" ht="16" x14ac:dyDescent="0.2">
      <c r="A98" s="15" t="str">
        <f t="shared" si="6"/>
        <v/>
      </c>
      <c r="B98" s="20"/>
      <c r="C98" s="20"/>
      <c r="D98" s="20"/>
      <c r="E98" s="20"/>
      <c r="F98" s="21"/>
      <c r="G98" s="22"/>
      <c r="H98" s="19" t="str">
        <f t="shared" ca="1" si="7"/>
        <v/>
      </c>
      <c r="I98" s="20"/>
      <c r="J98" s="22"/>
      <c r="K98" s="22"/>
      <c r="L98" s="21"/>
      <c r="M98" s="20"/>
      <c r="N98" s="20"/>
      <c r="O98" s="20"/>
      <c r="P98" s="20"/>
      <c r="Q98" s="15" t="str">
        <f t="shared" si="8"/>
        <v/>
      </c>
      <c r="R98" s="20"/>
      <c r="S98" s="20"/>
    </row>
    <row r="99" spans="1:19" ht="16" x14ac:dyDescent="0.2">
      <c r="A99" s="15" t="str">
        <f t="shared" si="6"/>
        <v/>
      </c>
      <c r="B99" s="16"/>
      <c r="C99" s="16"/>
      <c r="D99" s="16"/>
      <c r="E99" s="16"/>
      <c r="F99" s="17"/>
      <c r="G99" s="18"/>
      <c r="H99" s="19" t="str">
        <f t="shared" ca="1" si="7"/>
        <v/>
      </c>
      <c r="I99" s="16"/>
      <c r="J99" s="18"/>
      <c r="K99" s="18"/>
      <c r="L99" s="17"/>
      <c r="M99" s="16"/>
      <c r="N99" s="16"/>
      <c r="O99" s="16"/>
      <c r="P99" s="16"/>
      <c r="Q99" s="15" t="str">
        <f t="shared" si="8"/>
        <v/>
      </c>
      <c r="R99" s="16"/>
      <c r="S99" s="16"/>
    </row>
    <row r="100" spans="1:19" ht="16" x14ac:dyDescent="0.2">
      <c r="A100" s="15" t="str">
        <f t="shared" si="6"/>
        <v/>
      </c>
      <c r="B100" s="20"/>
      <c r="C100" s="20"/>
      <c r="D100" s="20"/>
      <c r="E100" s="20"/>
      <c r="F100" s="21"/>
      <c r="G100" s="22"/>
      <c r="H100" s="19" t="str">
        <f t="shared" ca="1" si="7"/>
        <v/>
      </c>
      <c r="I100" s="20"/>
      <c r="J100" s="22"/>
      <c r="K100" s="22"/>
      <c r="L100" s="21"/>
      <c r="M100" s="20"/>
      <c r="N100" s="20"/>
      <c r="O100" s="20"/>
      <c r="P100" s="20"/>
      <c r="Q100" s="15" t="str">
        <f t="shared" si="8"/>
        <v/>
      </c>
      <c r="R100" s="20"/>
      <c r="S100" s="20"/>
    </row>
    <row r="101" spans="1:19" ht="16" x14ac:dyDescent="0.2">
      <c r="A101" s="15" t="str">
        <f t="shared" ref="A101:A132" si="9">IF(B101="","",ROW()-4)</f>
        <v/>
      </c>
      <c r="B101" s="16"/>
      <c r="C101" s="16"/>
      <c r="D101" s="16"/>
      <c r="E101" s="16"/>
      <c r="F101" s="17"/>
      <c r="G101" s="18"/>
      <c r="H101" s="19" t="str">
        <f t="shared" ref="H101:H132" ca="1" si="10">IF(G101="","",IF(OR(I101="Submitted",I101="Under review",I101="Awarded",I101="Rejected",I101="Withdrawn"),"—",G101-TODAY()))</f>
        <v/>
      </c>
      <c r="I101" s="16"/>
      <c r="J101" s="18"/>
      <c r="K101" s="18"/>
      <c r="L101" s="17"/>
      <c r="M101" s="16"/>
      <c r="N101" s="16"/>
      <c r="O101" s="16"/>
      <c r="P101" s="16"/>
      <c r="Q101" s="15" t="str">
        <f t="shared" ref="Q101:Q132" si="11">IF($B101="","",COUNTIF(M101:P101,"Ready")&amp;" / 4")</f>
        <v/>
      </c>
      <c r="R101" s="16"/>
      <c r="S101" s="16"/>
    </row>
    <row r="102" spans="1:19" ht="16" x14ac:dyDescent="0.2">
      <c r="A102" s="15" t="str">
        <f t="shared" si="9"/>
        <v/>
      </c>
      <c r="B102" s="20"/>
      <c r="C102" s="20"/>
      <c r="D102" s="20"/>
      <c r="E102" s="20"/>
      <c r="F102" s="21"/>
      <c r="G102" s="22"/>
      <c r="H102" s="19" t="str">
        <f t="shared" ca="1" si="10"/>
        <v/>
      </c>
      <c r="I102" s="20"/>
      <c r="J102" s="22"/>
      <c r="K102" s="22"/>
      <c r="L102" s="21"/>
      <c r="M102" s="20"/>
      <c r="N102" s="20"/>
      <c r="O102" s="20"/>
      <c r="P102" s="20"/>
      <c r="Q102" s="15" t="str">
        <f t="shared" si="11"/>
        <v/>
      </c>
      <c r="R102" s="20"/>
      <c r="S102" s="20"/>
    </row>
    <row r="103" spans="1:19" ht="16" x14ac:dyDescent="0.2">
      <c r="A103" s="15" t="str">
        <f t="shared" si="9"/>
        <v/>
      </c>
      <c r="B103" s="16"/>
      <c r="C103" s="16"/>
      <c r="D103" s="16"/>
      <c r="E103" s="16"/>
      <c r="F103" s="17"/>
      <c r="G103" s="18"/>
      <c r="H103" s="19" t="str">
        <f t="shared" ca="1" si="10"/>
        <v/>
      </c>
      <c r="I103" s="16"/>
      <c r="J103" s="18"/>
      <c r="K103" s="18"/>
      <c r="L103" s="17"/>
      <c r="M103" s="16"/>
      <c r="N103" s="16"/>
      <c r="O103" s="16"/>
      <c r="P103" s="16"/>
      <c r="Q103" s="15" t="str">
        <f t="shared" si="11"/>
        <v/>
      </c>
      <c r="R103" s="16"/>
      <c r="S103" s="16"/>
    </row>
    <row r="104" spans="1:19" ht="16" x14ac:dyDescent="0.2">
      <c r="A104" s="15" t="str">
        <f t="shared" si="9"/>
        <v/>
      </c>
      <c r="B104" s="20"/>
      <c r="C104" s="20"/>
      <c r="D104" s="20"/>
      <c r="E104" s="20"/>
      <c r="F104" s="21"/>
      <c r="G104" s="22"/>
      <c r="H104" s="19" t="str">
        <f t="shared" ca="1" si="10"/>
        <v/>
      </c>
      <c r="I104" s="20"/>
      <c r="J104" s="22"/>
      <c r="K104" s="22"/>
      <c r="L104" s="21"/>
      <c r="M104" s="20"/>
      <c r="N104" s="20"/>
      <c r="O104" s="20"/>
      <c r="P104" s="20"/>
      <c r="Q104" s="15" t="str">
        <f t="shared" si="11"/>
        <v/>
      </c>
      <c r="R104" s="20"/>
      <c r="S104" s="20"/>
    </row>
    <row r="105" spans="1:19" ht="16" x14ac:dyDescent="0.2">
      <c r="A105" s="15" t="str">
        <f t="shared" si="9"/>
        <v/>
      </c>
      <c r="B105" s="16"/>
      <c r="C105" s="16"/>
      <c r="D105" s="16"/>
      <c r="E105" s="16"/>
      <c r="F105" s="17"/>
      <c r="G105" s="18"/>
      <c r="H105" s="19" t="str">
        <f t="shared" ca="1" si="10"/>
        <v/>
      </c>
      <c r="I105" s="16"/>
      <c r="J105" s="18"/>
      <c r="K105" s="18"/>
      <c r="L105" s="17"/>
      <c r="M105" s="16"/>
      <c r="N105" s="16"/>
      <c r="O105" s="16"/>
      <c r="P105" s="16"/>
      <c r="Q105" s="15" t="str">
        <f t="shared" si="11"/>
        <v/>
      </c>
      <c r="R105" s="16"/>
      <c r="S105" s="16"/>
    </row>
    <row r="106" spans="1:19" ht="16" x14ac:dyDescent="0.2">
      <c r="A106" s="15" t="str">
        <f t="shared" si="9"/>
        <v/>
      </c>
      <c r="B106" s="20"/>
      <c r="C106" s="20"/>
      <c r="D106" s="20"/>
      <c r="E106" s="20"/>
      <c r="F106" s="21"/>
      <c r="G106" s="22"/>
      <c r="H106" s="19" t="str">
        <f t="shared" ca="1" si="10"/>
        <v/>
      </c>
      <c r="I106" s="20"/>
      <c r="J106" s="22"/>
      <c r="K106" s="22"/>
      <c r="L106" s="21"/>
      <c r="M106" s="20"/>
      <c r="N106" s="20"/>
      <c r="O106" s="20"/>
      <c r="P106" s="20"/>
      <c r="Q106" s="15" t="str">
        <f t="shared" si="11"/>
        <v/>
      </c>
      <c r="R106" s="20"/>
      <c r="S106" s="20"/>
    </row>
    <row r="107" spans="1:19" ht="16" x14ac:dyDescent="0.2">
      <c r="A107" s="15" t="str">
        <f t="shared" si="9"/>
        <v/>
      </c>
      <c r="B107" s="16"/>
      <c r="C107" s="16"/>
      <c r="D107" s="16"/>
      <c r="E107" s="16"/>
      <c r="F107" s="17"/>
      <c r="G107" s="18"/>
      <c r="H107" s="19" t="str">
        <f t="shared" ca="1" si="10"/>
        <v/>
      </c>
      <c r="I107" s="16"/>
      <c r="J107" s="18"/>
      <c r="K107" s="18"/>
      <c r="L107" s="17"/>
      <c r="M107" s="16"/>
      <c r="N107" s="16"/>
      <c r="O107" s="16"/>
      <c r="P107" s="16"/>
      <c r="Q107" s="15" t="str">
        <f t="shared" si="11"/>
        <v/>
      </c>
      <c r="R107" s="16"/>
      <c r="S107" s="16"/>
    </row>
    <row r="108" spans="1:19" ht="16" x14ac:dyDescent="0.2">
      <c r="A108" s="15" t="str">
        <f t="shared" si="9"/>
        <v/>
      </c>
      <c r="B108" s="20"/>
      <c r="C108" s="20"/>
      <c r="D108" s="20"/>
      <c r="E108" s="20"/>
      <c r="F108" s="21"/>
      <c r="G108" s="22"/>
      <c r="H108" s="19" t="str">
        <f t="shared" ca="1" si="10"/>
        <v/>
      </c>
      <c r="I108" s="20"/>
      <c r="J108" s="22"/>
      <c r="K108" s="22"/>
      <c r="L108" s="21"/>
      <c r="M108" s="20"/>
      <c r="N108" s="20"/>
      <c r="O108" s="20"/>
      <c r="P108" s="20"/>
      <c r="Q108" s="15" t="str">
        <f t="shared" si="11"/>
        <v/>
      </c>
      <c r="R108" s="20"/>
      <c r="S108" s="20"/>
    </row>
    <row r="109" spans="1:19" ht="16" x14ac:dyDescent="0.2">
      <c r="A109" s="15" t="str">
        <f t="shared" si="9"/>
        <v/>
      </c>
      <c r="B109" s="16"/>
      <c r="C109" s="16"/>
      <c r="D109" s="16"/>
      <c r="E109" s="16"/>
      <c r="F109" s="17"/>
      <c r="G109" s="18"/>
      <c r="H109" s="19" t="str">
        <f t="shared" ca="1" si="10"/>
        <v/>
      </c>
      <c r="I109" s="16"/>
      <c r="J109" s="18"/>
      <c r="K109" s="18"/>
      <c r="L109" s="17"/>
      <c r="M109" s="16"/>
      <c r="N109" s="16"/>
      <c r="O109" s="16"/>
      <c r="P109" s="16"/>
      <c r="Q109" s="15" t="str">
        <f t="shared" si="11"/>
        <v/>
      </c>
      <c r="R109" s="16"/>
      <c r="S109" s="16"/>
    </row>
    <row r="110" spans="1:19" ht="16" x14ac:dyDescent="0.2">
      <c r="A110" s="15" t="str">
        <f t="shared" si="9"/>
        <v/>
      </c>
      <c r="B110" s="20"/>
      <c r="C110" s="20"/>
      <c r="D110" s="20"/>
      <c r="E110" s="20"/>
      <c r="F110" s="21"/>
      <c r="G110" s="22"/>
      <c r="H110" s="19" t="str">
        <f t="shared" ca="1" si="10"/>
        <v/>
      </c>
      <c r="I110" s="20"/>
      <c r="J110" s="22"/>
      <c r="K110" s="22"/>
      <c r="L110" s="21"/>
      <c r="M110" s="20"/>
      <c r="N110" s="20"/>
      <c r="O110" s="20"/>
      <c r="P110" s="20"/>
      <c r="Q110" s="15" t="str">
        <f t="shared" si="11"/>
        <v/>
      </c>
      <c r="R110" s="20"/>
      <c r="S110" s="20"/>
    </row>
    <row r="111" spans="1:19" ht="16" x14ac:dyDescent="0.2">
      <c r="A111" s="15" t="str">
        <f t="shared" si="9"/>
        <v/>
      </c>
      <c r="B111" s="16"/>
      <c r="C111" s="16"/>
      <c r="D111" s="16"/>
      <c r="E111" s="16"/>
      <c r="F111" s="17"/>
      <c r="G111" s="18"/>
      <c r="H111" s="19" t="str">
        <f t="shared" ca="1" si="10"/>
        <v/>
      </c>
      <c r="I111" s="16"/>
      <c r="J111" s="18"/>
      <c r="K111" s="18"/>
      <c r="L111" s="17"/>
      <c r="M111" s="16"/>
      <c r="N111" s="16"/>
      <c r="O111" s="16"/>
      <c r="P111" s="16"/>
      <c r="Q111" s="15" t="str">
        <f t="shared" si="11"/>
        <v/>
      </c>
      <c r="R111" s="16"/>
      <c r="S111" s="16"/>
    </row>
    <row r="112" spans="1:19" ht="16" x14ac:dyDescent="0.2">
      <c r="A112" s="15" t="str">
        <f t="shared" si="9"/>
        <v/>
      </c>
      <c r="B112" s="20"/>
      <c r="C112" s="20"/>
      <c r="D112" s="20"/>
      <c r="E112" s="20"/>
      <c r="F112" s="21"/>
      <c r="G112" s="22"/>
      <c r="H112" s="19" t="str">
        <f t="shared" ca="1" si="10"/>
        <v/>
      </c>
      <c r="I112" s="20"/>
      <c r="J112" s="22"/>
      <c r="K112" s="22"/>
      <c r="L112" s="21"/>
      <c r="M112" s="20"/>
      <c r="N112" s="20"/>
      <c r="O112" s="20"/>
      <c r="P112" s="20"/>
      <c r="Q112" s="15" t="str">
        <f t="shared" si="11"/>
        <v/>
      </c>
      <c r="R112" s="20"/>
      <c r="S112" s="20"/>
    </row>
    <row r="113" spans="1:19" ht="16" x14ac:dyDescent="0.2">
      <c r="A113" s="15" t="str">
        <f t="shared" si="9"/>
        <v/>
      </c>
      <c r="B113" s="16"/>
      <c r="C113" s="16"/>
      <c r="D113" s="16"/>
      <c r="E113" s="16"/>
      <c r="F113" s="17"/>
      <c r="G113" s="18"/>
      <c r="H113" s="19" t="str">
        <f t="shared" ca="1" si="10"/>
        <v/>
      </c>
      <c r="I113" s="16"/>
      <c r="J113" s="18"/>
      <c r="K113" s="18"/>
      <c r="L113" s="17"/>
      <c r="M113" s="16"/>
      <c r="N113" s="16"/>
      <c r="O113" s="16"/>
      <c r="P113" s="16"/>
      <c r="Q113" s="15" t="str">
        <f t="shared" si="11"/>
        <v/>
      </c>
      <c r="R113" s="16"/>
      <c r="S113" s="16"/>
    </row>
    <row r="114" spans="1:19" ht="16" x14ac:dyDescent="0.2">
      <c r="A114" s="15" t="str">
        <f t="shared" si="9"/>
        <v/>
      </c>
      <c r="B114" s="20"/>
      <c r="C114" s="20"/>
      <c r="D114" s="20"/>
      <c r="E114" s="20"/>
      <c r="F114" s="21"/>
      <c r="G114" s="22"/>
      <c r="H114" s="19" t="str">
        <f t="shared" ca="1" si="10"/>
        <v/>
      </c>
      <c r="I114" s="20"/>
      <c r="J114" s="22"/>
      <c r="K114" s="22"/>
      <c r="L114" s="21"/>
      <c r="M114" s="20"/>
      <c r="N114" s="20"/>
      <c r="O114" s="20"/>
      <c r="P114" s="20"/>
      <c r="Q114" s="15" t="str">
        <f t="shared" si="11"/>
        <v/>
      </c>
      <c r="R114" s="20"/>
      <c r="S114" s="20"/>
    </row>
    <row r="115" spans="1:19" ht="16" x14ac:dyDescent="0.2">
      <c r="A115" s="15" t="str">
        <f t="shared" si="9"/>
        <v/>
      </c>
      <c r="B115" s="16"/>
      <c r="C115" s="16"/>
      <c r="D115" s="16"/>
      <c r="E115" s="16"/>
      <c r="F115" s="17"/>
      <c r="G115" s="18"/>
      <c r="H115" s="19" t="str">
        <f t="shared" ca="1" si="10"/>
        <v/>
      </c>
      <c r="I115" s="16"/>
      <c r="J115" s="18"/>
      <c r="K115" s="18"/>
      <c r="L115" s="17"/>
      <c r="M115" s="16"/>
      <c r="N115" s="16"/>
      <c r="O115" s="16"/>
      <c r="P115" s="16"/>
      <c r="Q115" s="15" t="str">
        <f t="shared" si="11"/>
        <v/>
      </c>
      <c r="R115" s="16"/>
      <c r="S115" s="16"/>
    </row>
    <row r="116" spans="1:19" ht="16" x14ac:dyDescent="0.2">
      <c r="A116" s="15" t="str">
        <f t="shared" si="9"/>
        <v/>
      </c>
      <c r="B116" s="20"/>
      <c r="C116" s="20"/>
      <c r="D116" s="20"/>
      <c r="E116" s="20"/>
      <c r="F116" s="21"/>
      <c r="G116" s="22"/>
      <c r="H116" s="19" t="str">
        <f t="shared" ca="1" si="10"/>
        <v/>
      </c>
      <c r="I116" s="20"/>
      <c r="J116" s="22"/>
      <c r="K116" s="22"/>
      <c r="L116" s="21"/>
      <c r="M116" s="20"/>
      <c r="N116" s="20"/>
      <c r="O116" s="20"/>
      <c r="P116" s="20"/>
      <c r="Q116" s="15" t="str">
        <f t="shared" si="11"/>
        <v/>
      </c>
      <c r="R116" s="20"/>
      <c r="S116" s="20"/>
    </row>
    <row r="117" spans="1:19" ht="16" x14ac:dyDescent="0.2">
      <c r="A117" s="15" t="str">
        <f t="shared" si="9"/>
        <v/>
      </c>
      <c r="B117" s="16"/>
      <c r="C117" s="16"/>
      <c r="D117" s="16"/>
      <c r="E117" s="16"/>
      <c r="F117" s="17"/>
      <c r="G117" s="18"/>
      <c r="H117" s="19" t="str">
        <f t="shared" ca="1" si="10"/>
        <v/>
      </c>
      <c r="I117" s="16"/>
      <c r="J117" s="18"/>
      <c r="K117" s="18"/>
      <c r="L117" s="17"/>
      <c r="M117" s="16"/>
      <c r="N117" s="16"/>
      <c r="O117" s="16"/>
      <c r="P117" s="16"/>
      <c r="Q117" s="15" t="str">
        <f t="shared" si="11"/>
        <v/>
      </c>
      <c r="R117" s="16"/>
      <c r="S117" s="16"/>
    </row>
    <row r="118" spans="1:19" ht="16" x14ac:dyDescent="0.2">
      <c r="A118" s="15" t="str">
        <f t="shared" si="9"/>
        <v/>
      </c>
      <c r="B118" s="20"/>
      <c r="C118" s="20"/>
      <c r="D118" s="20"/>
      <c r="E118" s="20"/>
      <c r="F118" s="21"/>
      <c r="G118" s="22"/>
      <c r="H118" s="19" t="str">
        <f t="shared" ca="1" si="10"/>
        <v/>
      </c>
      <c r="I118" s="20"/>
      <c r="J118" s="22"/>
      <c r="K118" s="22"/>
      <c r="L118" s="21"/>
      <c r="M118" s="20"/>
      <c r="N118" s="20"/>
      <c r="O118" s="20"/>
      <c r="P118" s="20"/>
      <c r="Q118" s="15" t="str">
        <f t="shared" si="11"/>
        <v/>
      </c>
      <c r="R118" s="20"/>
      <c r="S118" s="20"/>
    </row>
    <row r="119" spans="1:19" ht="16" x14ac:dyDescent="0.2">
      <c r="A119" s="15" t="str">
        <f t="shared" si="9"/>
        <v/>
      </c>
      <c r="B119" s="16"/>
      <c r="C119" s="16"/>
      <c r="D119" s="16"/>
      <c r="E119" s="16"/>
      <c r="F119" s="17"/>
      <c r="G119" s="18"/>
      <c r="H119" s="19" t="str">
        <f t="shared" ca="1" si="10"/>
        <v/>
      </c>
      <c r="I119" s="16"/>
      <c r="J119" s="18"/>
      <c r="K119" s="18"/>
      <c r="L119" s="17"/>
      <c r="M119" s="16"/>
      <c r="N119" s="16"/>
      <c r="O119" s="16"/>
      <c r="P119" s="16"/>
      <c r="Q119" s="15" t="str">
        <f t="shared" si="11"/>
        <v/>
      </c>
      <c r="R119" s="16"/>
      <c r="S119" s="16"/>
    </row>
    <row r="120" spans="1:19" ht="16" x14ac:dyDescent="0.2">
      <c r="A120" s="15" t="str">
        <f t="shared" si="9"/>
        <v/>
      </c>
      <c r="B120" s="20"/>
      <c r="C120" s="20"/>
      <c r="D120" s="20"/>
      <c r="E120" s="20"/>
      <c r="F120" s="21"/>
      <c r="G120" s="22"/>
      <c r="H120" s="19" t="str">
        <f t="shared" ca="1" si="10"/>
        <v/>
      </c>
      <c r="I120" s="20"/>
      <c r="J120" s="22"/>
      <c r="K120" s="22"/>
      <c r="L120" s="21"/>
      <c r="M120" s="20"/>
      <c r="N120" s="20"/>
      <c r="O120" s="20"/>
      <c r="P120" s="20"/>
      <c r="Q120" s="15" t="str">
        <f t="shared" si="11"/>
        <v/>
      </c>
      <c r="R120" s="20"/>
      <c r="S120" s="20"/>
    </row>
    <row r="121" spans="1:19" ht="16" x14ac:dyDescent="0.2">
      <c r="A121" s="15" t="str">
        <f t="shared" si="9"/>
        <v/>
      </c>
      <c r="B121" s="16"/>
      <c r="C121" s="16"/>
      <c r="D121" s="16"/>
      <c r="E121" s="16"/>
      <c r="F121" s="17"/>
      <c r="G121" s="18"/>
      <c r="H121" s="19" t="str">
        <f t="shared" ca="1" si="10"/>
        <v/>
      </c>
      <c r="I121" s="16"/>
      <c r="J121" s="18"/>
      <c r="K121" s="18"/>
      <c r="L121" s="17"/>
      <c r="M121" s="16"/>
      <c r="N121" s="16"/>
      <c r="O121" s="16"/>
      <c r="P121" s="16"/>
      <c r="Q121" s="15" t="str">
        <f t="shared" si="11"/>
        <v/>
      </c>
      <c r="R121" s="16"/>
      <c r="S121" s="16"/>
    </row>
    <row r="122" spans="1:19" ht="16" x14ac:dyDescent="0.2">
      <c r="A122" s="15" t="str">
        <f t="shared" si="9"/>
        <v/>
      </c>
      <c r="B122" s="20"/>
      <c r="C122" s="20"/>
      <c r="D122" s="20"/>
      <c r="E122" s="20"/>
      <c r="F122" s="21"/>
      <c r="G122" s="22"/>
      <c r="H122" s="19" t="str">
        <f t="shared" ca="1" si="10"/>
        <v/>
      </c>
      <c r="I122" s="20"/>
      <c r="J122" s="22"/>
      <c r="K122" s="22"/>
      <c r="L122" s="21"/>
      <c r="M122" s="20"/>
      <c r="N122" s="20"/>
      <c r="O122" s="20"/>
      <c r="P122" s="20"/>
      <c r="Q122" s="15" t="str">
        <f t="shared" si="11"/>
        <v/>
      </c>
      <c r="R122" s="20"/>
      <c r="S122" s="20"/>
    </row>
    <row r="123" spans="1:19" ht="16" x14ac:dyDescent="0.2">
      <c r="A123" s="15" t="str">
        <f t="shared" si="9"/>
        <v/>
      </c>
      <c r="B123" s="16"/>
      <c r="C123" s="16"/>
      <c r="D123" s="16"/>
      <c r="E123" s="16"/>
      <c r="F123" s="17"/>
      <c r="G123" s="18"/>
      <c r="H123" s="19" t="str">
        <f t="shared" ca="1" si="10"/>
        <v/>
      </c>
      <c r="I123" s="16"/>
      <c r="J123" s="18"/>
      <c r="K123" s="18"/>
      <c r="L123" s="17"/>
      <c r="M123" s="16"/>
      <c r="N123" s="16"/>
      <c r="O123" s="16"/>
      <c r="P123" s="16"/>
      <c r="Q123" s="15" t="str">
        <f t="shared" si="11"/>
        <v/>
      </c>
      <c r="R123" s="16"/>
      <c r="S123" s="16"/>
    </row>
    <row r="124" spans="1:19" ht="16" x14ac:dyDescent="0.2">
      <c r="A124" s="15" t="str">
        <f t="shared" si="9"/>
        <v/>
      </c>
      <c r="B124" s="20"/>
      <c r="C124" s="20"/>
      <c r="D124" s="20"/>
      <c r="E124" s="20"/>
      <c r="F124" s="21"/>
      <c r="G124" s="22"/>
      <c r="H124" s="19" t="str">
        <f t="shared" ca="1" si="10"/>
        <v/>
      </c>
      <c r="I124" s="20"/>
      <c r="J124" s="22"/>
      <c r="K124" s="22"/>
      <c r="L124" s="21"/>
      <c r="M124" s="20"/>
      <c r="N124" s="20"/>
      <c r="O124" s="20"/>
      <c r="P124" s="20"/>
      <c r="Q124" s="15" t="str">
        <f t="shared" si="11"/>
        <v/>
      </c>
      <c r="R124" s="20"/>
      <c r="S124" s="20"/>
    </row>
    <row r="125" spans="1:19" ht="16" x14ac:dyDescent="0.2">
      <c r="A125" s="15" t="str">
        <f t="shared" si="9"/>
        <v/>
      </c>
      <c r="B125" s="16"/>
      <c r="C125" s="16"/>
      <c r="D125" s="16"/>
      <c r="E125" s="16"/>
      <c r="F125" s="17"/>
      <c r="G125" s="18"/>
      <c r="H125" s="19" t="str">
        <f t="shared" ca="1" si="10"/>
        <v/>
      </c>
      <c r="I125" s="16"/>
      <c r="J125" s="18"/>
      <c r="K125" s="18"/>
      <c r="L125" s="17"/>
      <c r="M125" s="16"/>
      <c r="N125" s="16"/>
      <c r="O125" s="16"/>
      <c r="P125" s="16"/>
      <c r="Q125" s="15" t="str">
        <f t="shared" si="11"/>
        <v/>
      </c>
      <c r="R125" s="16"/>
      <c r="S125" s="16"/>
    </row>
    <row r="126" spans="1:19" ht="16" x14ac:dyDescent="0.2">
      <c r="A126" s="15" t="str">
        <f t="shared" si="9"/>
        <v/>
      </c>
      <c r="B126" s="20"/>
      <c r="C126" s="20"/>
      <c r="D126" s="20"/>
      <c r="E126" s="20"/>
      <c r="F126" s="21"/>
      <c r="G126" s="22"/>
      <c r="H126" s="19" t="str">
        <f t="shared" ca="1" si="10"/>
        <v/>
      </c>
      <c r="I126" s="20"/>
      <c r="J126" s="22"/>
      <c r="K126" s="22"/>
      <c r="L126" s="21"/>
      <c r="M126" s="20"/>
      <c r="N126" s="20"/>
      <c r="O126" s="20"/>
      <c r="P126" s="20"/>
      <c r="Q126" s="15" t="str">
        <f t="shared" si="11"/>
        <v/>
      </c>
      <c r="R126" s="20"/>
      <c r="S126" s="20"/>
    </row>
    <row r="127" spans="1:19" ht="16" x14ac:dyDescent="0.2">
      <c r="A127" s="15" t="str">
        <f t="shared" si="9"/>
        <v/>
      </c>
      <c r="B127" s="16"/>
      <c r="C127" s="16"/>
      <c r="D127" s="16"/>
      <c r="E127" s="16"/>
      <c r="F127" s="17"/>
      <c r="G127" s="18"/>
      <c r="H127" s="19" t="str">
        <f t="shared" ca="1" si="10"/>
        <v/>
      </c>
      <c r="I127" s="16"/>
      <c r="J127" s="18"/>
      <c r="K127" s="18"/>
      <c r="L127" s="17"/>
      <c r="M127" s="16"/>
      <c r="N127" s="16"/>
      <c r="O127" s="16"/>
      <c r="P127" s="16"/>
      <c r="Q127" s="15" t="str">
        <f t="shared" si="11"/>
        <v/>
      </c>
      <c r="R127" s="16"/>
      <c r="S127" s="16"/>
    </row>
    <row r="128" spans="1:19" ht="16" x14ac:dyDescent="0.2">
      <c r="A128" s="15" t="str">
        <f t="shared" si="9"/>
        <v/>
      </c>
      <c r="B128" s="20"/>
      <c r="C128" s="20"/>
      <c r="D128" s="20"/>
      <c r="E128" s="20"/>
      <c r="F128" s="21"/>
      <c r="G128" s="22"/>
      <c r="H128" s="19" t="str">
        <f t="shared" ca="1" si="10"/>
        <v/>
      </c>
      <c r="I128" s="20"/>
      <c r="J128" s="22"/>
      <c r="K128" s="22"/>
      <c r="L128" s="21"/>
      <c r="M128" s="20"/>
      <c r="N128" s="20"/>
      <c r="O128" s="20"/>
      <c r="P128" s="20"/>
      <c r="Q128" s="15" t="str">
        <f t="shared" si="11"/>
        <v/>
      </c>
      <c r="R128" s="20"/>
      <c r="S128" s="20"/>
    </row>
    <row r="129" spans="1:19" ht="16" x14ac:dyDescent="0.2">
      <c r="A129" s="15" t="str">
        <f t="shared" si="9"/>
        <v/>
      </c>
      <c r="B129" s="16"/>
      <c r="C129" s="16"/>
      <c r="D129" s="16"/>
      <c r="E129" s="16"/>
      <c r="F129" s="17"/>
      <c r="G129" s="18"/>
      <c r="H129" s="19" t="str">
        <f t="shared" ca="1" si="10"/>
        <v/>
      </c>
      <c r="I129" s="16"/>
      <c r="J129" s="18"/>
      <c r="K129" s="18"/>
      <c r="L129" s="17"/>
      <c r="M129" s="16"/>
      <c r="N129" s="16"/>
      <c r="O129" s="16"/>
      <c r="P129" s="16"/>
      <c r="Q129" s="15" t="str">
        <f t="shared" si="11"/>
        <v/>
      </c>
      <c r="R129" s="16"/>
      <c r="S129" s="16"/>
    </row>
    <row r="130" spans="1:19" ht="16" x14ac:dyDescent="0.2">
      <c r="A130" s="15" t="str">
        <f t="shared" si="9"/>
        <v/>
      </c>
      <c r="B130" s="20"/>
      <c r="C130" s="20"/>
      <c r="D130" s="20"/>
      <c r="E130" s="20"/>
      <c r="F130" s="21"/>
      <c r="G130" s="22"/>
      <c r="H130" s="19" t="str">
        <f t="shared" ca="1" si="10"/>
        <v/>
      </c>
      <c r="I130" s="20"/>
      <c r="J130" s="22"/>
      <c r="K130" s="22"/>
      <c r="L130" s="21"/>
      <c r="M130" s="20"/>
      <c r="N130" s="20"/>
      <c r="O130" s="20"/>
      <c r="P130" s="20"/>
      <c r="Q130" s="15" t="str">
        <f t="shared" si="11"/>
        <v/>
      </c>
      <c r="R130" s="20"/>
      <c r="S130" s="20"/>
    </row>
    <row r="131" spans="1:19" ht="16" x14ac:dyDescent="0.2">
      <c r="A131" s="15" t="str">
        <f t="shared" si="9"/>
        <v/>
      </c>
      <c r="B131" s="16"/>
      <c r="C131" s="16"/>
      <c r="D131" s="16"/>
      <c r="E131" s="16"/>
      <c r="F131" s="17"/>
      <c r="G131" s="18"/>
      <c r="H131" s="19" t="str">
        <f t="shared" ca="1" si="10"/>
        <v/>
      </c>
      <c r="I131" s="16"/>
      <c r="J131" s="18"/>
      <c r="K131" s="18"/>
      <c r="L131" s="17"/>
      <c r="M131" s="16"/>
      <c r="N131" s="16"/>
      <c r="O131" s="16"/>
      <c r="P131" s="16"/>
      <c r="Q131" s="15" t="str">
        <f t="shared" si="11"/>
        <v/>
      </c>
      <c r="R131" s="16"/>
      <c r="S131" s="16"/>
    </row>
    <row r="132" spans="1:19" ht="16" x14ac:dyDescent="0.2">
      <c r="A132" s="15" t="str">
        <f t="shared" si="9"/>
        <v/>
      </c>
      <c r="B132" s="20"/>
      <c r="C132" s="20"/>
      <c r="D132" s="20"/>
      <c r="E132" s="20"/>
      <c r="F132" s="21"/>
      <c r="G132" s="22"/>
      <c r="H132" s="19" t="str">
        <f t="shared" ca="1" si="10"/>
        <v/>
      </c>
      <c r="I132" s="20"/>
      <c r="J132" s="22"/>
      <c r="K132" s="22"/>
      <c r="L132" s="21"/>
      <c r="M132" s="20"/>
      <c r="N132" s="20"/>
      <c r="O132" s="20"/>
      <c r="P132" s="20"/>
      <c r="Q132" s="15" t="str">
        <f t="shared" si="11"/>
        <v/>
      </c>
      <c r="R132" s="20"/>
      <c r="S132" s="20"/>
    </row>
    <row r="133" spans="1:19" ht="16" x14ac:dyDescent="0.2">
      <c r="A133" s="15" t="str">
        <f t="shared" ref="A133:A164" si="12">IF(B133="","",ROW()-4)</f>
        <v/>
      </c>
      <c r="B133" s="16"/>
      <c r="C133" s="16"/>
      <c r="D133" s="16"/>
      <c r="E133" s="16"/>
      <c r="F133" s="17"/>
      <c r="G133" s="18"/>
      <c r="H133" s="19" t="str">
        <f t="shared" ref="H133:H164" ca="1" si="13">IF(G133="","",IF(OR(I133="Submitted",I133="Under review",I133="Awarded",I133="Rejected",I133="Withdrawn"),"—",G133-TODAY()))</f>
        <v/>
      </c>
      <c r="I133" s="16"/>
      <c r="J133" s="18"/>
      <c r="K133" s="18"/>
      <c r="L133" s="17"/>
      <c r="M133" s="16"/>
      <c r="N133" s="16"/>
      <c r="O133" s="16"/>
      <c r="P133" s="16"/>
      <c r="Q133" s="15" t="str">
        <f t="shared" ref="Q133:Q164" si="14">IF($B133="","",COUNTIF(M133:P133,"Ready")&amp;" / 4")</f>
        <v/>
      </c>
      <c r="R133" s="16"/>
      <c r="S133" s="16"/>
    </row>
    <row r="134" spans="1:19" ht="16" x14ac:dyDescent="0.2">
      <c r="A134" s="15" t="str">
        <f t="shared" si="12"/>
        <v/>
      </c>
      <c r="B134" s="20"/>
      <c r="C134" s="20"/>
      <c r="D134" s="20"/>
      <c r="E134" s="20"/>
      <c r="F134" s="21"/>
      <c r="G134" s="22"/>
      <c r="H134" s="19" t="str">
        <f t="shared" ca="1" si="13"/>
        <v/>
      </c>
      <c r="I134" s="20"/>
      <c r="J134" s="22"/>
      <c r="K134" s="22"/>
      <c r="L134" s="21"/>
      <c r="M134" s="20"/>
      <c r="N134" s="20"/>
      <c r="O134" s="20"/>
      <c r="P134" s="20"/>
      <c r="Q134" s="15" t="str">
        <f t="shared" si="14"/>
        <v/>
      </c>
      <c r="R134" s="20"/>
      <c r="S134" s="20"/>
    </row>
    <row r="135" spans="1:19" ht="16" x14ac:dyDescent="0.2">
      <c r="A135" s="15" t="str">
        <f t="shared" si="12"/>
        <v/>
      </c>
      <c r="B135" s="16"/>
      <c r="C135" s="16"/>
      <c r="D135" s="16"/>
      <c r="E135" s="16"/>
      <c r="F135" s="17"/>
      <c r="G135" s="18"/>
      <c r="H135" s="19" t="str">
        <f t="shared" ca="1" si="13"/>
        <v/>
      </c>
      <c r="I135" s="16"/>
      <c r="J135" s="18"/>
      <c r="K135" s="18"/>
      <c r="L135" s="17"/>
      <c r="M135" s="16"/>
      <c r="N135" s="16"/>
      <c r="O135" s="16"/>
      <c r="P135" s="16"/>
      <c r="Q135" s="15" t="str">
        <f t="shared" si="14"/>
        <v/>
      </c>
      <c r="R135" s="16"/>
      <c r="S135" s="16"/>
    </row>
    <row r="136" spans="1:19" ht="16" x14ac:dyDescent="0.2">
      <c r="A136" s="15" t="str">
        <f t="shared" si="12"/>
        <v/>
      </c>
      <c r="B136" s="20"/>
      <c r="C136" s="20"/>
      <c r="D136" s="20"/>
      <c r="E136" s="20"/>
      <c r="F136" s="21"/>
      <c r="G136" s="22"/>
      <c r="H136" s="19" t="str">
        <f t="shared" ca="1" si="13"/>
        <v/>
      </c>
      <c r="I136" s="20"/>
      <c r="J136" s="22"/>
      <c r="K136" s="22"/>
      <c r="L136" s="21"/>
      <c r="M136" s="20"/>
      <c r="N136" s="20"/>
      <c r="O136" s="20"/>
      <c r="P136" s="20"/>
      <c r="Q136" s="15" t="str">
        <f t="shared" si="14"/>
        <v/>
      </c>
      <c r="R136" s="20"/>
      <c r="S136" s="20"/>
    </row>
    <row r="137" spans="1:19" ht="16" x14ac:dyDescent="0.2">
      <c r="A137" s="15" t="str">
        <f t="shared" si="12"/>
        <v/>
      </c>
      <c r="B137" s="16"/>
      <c r="C137" s="16"/>
      <c r="D137" s="16"/>
      <c r="E137" s="16"/>
      <c r="F137" s="17"/>
      <c r="G137" s="18"/>
      <c r="H137" s="19" t="str">
        <f t="shared" ca="1" si="13"/>
        <v/>
      </c>
      <c r="I137" s="16"/>
      <c r="J137" s="18"/>
      <c r="K137" s="18"/>
      <c r="L137" s="17"/>
      <c r="M137" s="16"/>
      <c r="N137" s="16"/>
      <c r="O137" s="16"/>
      <c r="P137" s="16"/>
      <c r="Q137" s="15" t="str">
        <f t="shared" si="14"/>
        <v/>
      </c>
      <c r="R137" s="16"/>
      <c r="S137" s="16"/>
    </row>
    <row r="138" spans="1:19" ht="16" x14ac:dyDescent="0.2">
      <c r="A138" s="15" t="str">
        <f t="shared" si="12"/>
        <v/>
      </c>
      <c r="B138" s="20"/>
      <c r="C138" s="20"/>
      <c r="D138" s="20"/>
      <c r="E138" s="20"/>
      <c r="F138" s="21"/>
      <c r="G138" s="22"/>
      <c r="H138" s="19" t="str">
        <f t="shared" ca="1" si="13"/>
        <v/>
      </c>
      <c r="I138" s="20"/>
      <c r="J138" s="22"/>
      <c r="K138" s="22"/>
      <c r="L138" s="21"/>
      <c r="M138" s="20"/>
      <c r="N138" s="20"/>
      <c r="O138" s="20"/>
      <c r="P138" s="20"/>
      <c r="Q138" s="15" t="str">
        <f t="shared" si="14"/>
        <v/>
      </c>
      <c r="R138" s="20"/>
      <c r="S138" s="20"/>
    </row>
    <row r="139" spans="1:19" ht="16" x14ac:dyDescent="0.2">
      <c r="A139" s="15" t="str">
        <f t="shared" si="12"/>
        <v/>
      </c>
      <c r="B139" s="16"/>
      <c r="C139" s="16"/>
      <c r="D139" s="16"/>
      <c r="E139" s="16"/>
      <c r="F139" s="17"/>
      <c r="G139" s="18"/>
      <c r="H139" s="19" t="str">
        <f t="shared" ca="1" si="13"/>
        <v/>
      </c>
      <c r="I139" s="16"/>
      <c r="J139" s="18"/>
      <c r="K139" s="18"/>
      <c r="L139" s="17"/>
      <c r="M139" s="16"/>
      <c r="N139" s="16"/>
      <c r="O139" s="16"/>
      <c r="P139" s="16"/>
      <c r="Q139" s="15" t="str">
        <f t="shared" si="14"/>
        <v/>
      </c>
      <c r="R139" s="16"/>
      <c r="S139" s="16"/>
    </row>
    <row r="140" spans="1:19" ht="16" x14ac:dyDescent="0.2">
      <c r="A140" s="15" t="str">
        <f t="shared" si="12"/>
        <v/>
      </c>
      <c r="B140" s="20"/>
      <c r="C140" s="20"/>
      <c r="D140" s="20"/>
      <c r="E140" s="20"/>
      <c r="F140" s="21"/>
      <c r="G140" s="22"/>
      <c r="H140" s="19" t="str">
        <f t="shared" ca="1" si="13"/>
        <v/>
      </c>
      <c r="I140" s="20"/>
      <c r="J140" s="22"/>
      <c r="K140" s="22"/>
      <c r="L140" s="21"/>
      <c r="M140" s="20"/>
      <c r="N140" s="20"/>
      <c r="O140" s="20"/>
      <c r="P140" s="20"/>
      <c r="Q140" s="15" t="str">
        <f t="shared" si="14"/>
        <v/>
      </c>
      <c r="R140" s="20"/>
      <c r="S140" s="20"/>
    </row>
    <row r="141" spans="1:19" ht="16" x14ac:dyDescent="0.2">
      <c r="A141" s="15" t="str">
        <f t="shared" si="12"/>
        <v/>
      </c>
      <c r="B141" s="16"/>
      <c r="C141" s="16"/>
      <c r="D141" s="16"/>
      <c r="E141" s="16"/>
      <c r="F141" s="17"/>
      <c r="G141" s="18"/>
      <c r="H141" s="19" t="str">
        <f t="shared" ca="1" si="13"/>
        <v/>
      </c>
      <c r="I141" s="16"/>
      <c r="J141" s="18"/>
      <c r="K141" s="18"/>
      <c r="L141" s="17"/>
      <c r="M141" s="16"/>
      <c r="N141" s="16"/>
      <c r="O141" s="16"/>
      <c r="P141" s="16"/>
      <c r="Q141" s="15" t="str">
        <f t="shared" si="14"/>
        <v/>
      </c>
      <c r="R141" s="16"/>
      <c r="S141" s="16"/>
    </row>
    <row r="142" spans="1:19" ht="16" x14ac:dyDescent="0.2">
      <c r="A142" s="15" t="str">
        <f t="shared" si="12"/>
        <v/>
      </c>
      <c r="B142" s="20"/>
      <c r="C142" s="20"/>
      <c r="D142" s="20"/>
      <c r="E142" s="20"/>
      <c r="F142" s="21"/>
      <c r="G142" s="22"/>
      <c r="H142" s="19" t="str">
        <f t="shared" ca="1" si="13"/>
        <v/>
      </c>
      <c r="I142" s="20"/>
      <c r="J142" s="22"/>
      <c r="K142" s="22"/>
      <c r="L142" s="21"/>
      <c r="M142" s="20"/>
      <c r="N142" s="20"/>
      <c r="O142" s="20"/>
      <c r="P142" s="20"/>
      <c r="Q142" s="15" t="str">
        <f t="shared" si="14"/>
        <v/>
      </c>
      <c r="R142" s="20"/>
      <c r="S142" s="20"/>
    </row>
    <row r="143" spans="1:19" ht="16" x14ac:dyDescent="0.2">
      <c r="A143" s="15" t="str">
        <f t="shared" si="12"/>
        <v/>
      </c>
      <c r="B143" s="16"/>
      <c r="C143" s="16"/>
      <c r="D143" s="16"/>
      <c r="E143" s="16"/>
      <c r="F143" s="17"/>
      <c r="G143" s="18"/>
      <c r="H143" s="19" t="str">
        <f t="shared" ca="1" si="13"/>
        <v/>
      </c>
      <c r="I143" s="16"/>
      <c r="J143" s="18"/>
      <c r="K143" s="18"/>
      <c r="L143" s="17"/>
      <c r="M143" s="16"/>
      <c r="N143" s="16"/>
      <c r="O143" s="16"/>
      <c r="P143" s="16"/>
      <c r="Q143" s="15" t="str">
        <f t="shared" si="14"/>
        <v/>
      </c>
      <c r="R143" s="16"/>
      <c r="S143" s="16"/>
    </row>
    <row r="144" spans="1:19" ht="16" x14ac:dyDescent="0.2">
      <c r="A144" s="15" t="str">
        <f t="shared" si="12"/>
        <v/>
      </c>
      <c r="B144" s="20"/>
      <c r="C144" s="20"/>
      <c r="D144" s="20"/>
      <c r="E144" s="20"/>
      <c r="F144" s="21"/>
      <c r="G144" s="22"/>
      <c r="H144" s="19" t="str">
        <f t="shared" ca="1" si="13"/>
        <v/>
      </c>
      <c r="I144" s="20"/>
      <c r="J144" s="22"/>
      <c r="K144" s="22"/>
      <c r="L144" s="21"/>
      <c r="M144" s="20"/>
      <c r="N144" s="20"/>
      <c r="O144" s="20"/>
      <c r="P144" s="20"/>
      <c r="Q144" s="15" t="str">
        <f t="shared" si="14"/>
        <v/>
      </c>
      <c r="R144" s="20"/>
      <c r="S144" s="20"/>
    </row>
    <row r="145" spans="1:19" ht="16" x14ac:dyDescent="0.2">
      <c r="A145" s="15" t="str">
        <f t="shared" si="12"/>
        <v/>
      </c>
      <c r="B145" s="16"/>
      <c r="C145" s="16"/>
      <c r="D145" s="16"/>
      <c r="E145" s="16"/>
      <c r="F145" s="17"/>
      <c r="G145" s="18"/>
      <c r="H145" s="19" t="str">
        <f t="shared" ca="1" si="13"/>
        <v/>
      </c>
      <c r="I145" s="16"/>
      <c r="J145" s="18"/>
      <c r="K145" s="18"/>
      <c r="L145" s="17"/>
      <c r="M145" s="16"/>
      <c r="N145" s="16"/>
      <c r="O145" s="16"/>
      <c r="P145" s="16"/>
      <c r="Q145" s="15" t="str">
        <f t="shared" si="14"/>
        <v/>
      </c>
      <c r="R145" s="16"/>
      <c r="S145" s="16"/>
    </row>
    <row r="146" spans="1:19" ht="16" x14ac:dyDescent="0.2">
      <c r="A146" s="15" t="str">
        <f t="shared" si="12"/>
        <v/>
      </c>
      <c r="B146" s="20"/>
      <c r="C146" s="20"/>
      <c r="D146" s="20"/>
      <c r="E146" s="20"/>
      <c r="F146" s="21"/>
      <c r="G146" s="22"/>
      <c r="H146" s="19" t="str">
        <f t="shared" ca="1" si="13"/>
        <v/>
      </c>
      <c r="I146" s="20"/>
      <c r="J146" s="22"/>
      <c r="K146" s="22"/>
      <c r="L146" s="21"/>
      <c r="M146" s="20"/>
      <c r="N146" s="20"/>
      <c r="O146" s="20"/>
      <c r="P146" s="20"/>
      <c r="Q146" s="15" t="str">
        <f t="shared" si="14"/>
        <v/>
      </c>
      <c r="R146" s="20"/>
      <c r="S146" s="20"/>
    </row>
    <row r="147" spans="1:19" ht="16" x14ac:dyDescent="0.2">
      <c r="A147" s="15" t="str">
        <f t="shared" si="12"/>
        <v/>
      </c>
      <c r="B147" s="16"/>
      <c r="C147" s="16"/>
      <c r="D147" s="16"/>
      <c r="E147" s="16"/>
      <c r="F147" s="17"/>
      <c r="G147" s="18"/>
      <c r="H147" s="19" t="str">
        <f t="shared" ca="1" si="13"/>
        <v/>
      </c>
      <c r="I147" s="16"/>
      <c r="J147" s="18"/>
      <c r="K147" s="18"/>
      <c r="L147" s="17"/>
      <c r="M147" s="16"/>
      <c r="N147" s="16"/>
      <c r="O147" s="16"/>
      <c r="P147" s="16"/>
      <c r="Q147" s="15" t="str">
        <f t="shared" si="14"/>
        <v/>
      </c>
      <c r="R147" s="16"/>
      <c r="S147" s="16"/>
    </row>
    <row r="148" spans="1:19" ht="16" x14ac:dyDescent="0.2">
      <c r="A148" s="15" t="str">
        <f t="shared" si="12"/>
        <v/>
      </c>
      <c r="B148" s="20"/>
      <c r="C148" s="20"/>
      <c r="D148" s="20"/>
      <c r="E148" s="20"/>
      <c r="F148" s="21"/>
      <c r="G148" s="22"/>
      <c r="H148" s="19" t="str">
        <f t="shared" ca="1" si="13"/>
        <v/>
      </c>
      <c r="I148" s="20"/>
      <c r="J148" s="22"/>
      <c r="K148" s="22"/>
      <c r="L148" s="21"/>
      <c r="M148" s="20"/>
      <c r="N148" s="20"/>
      <c r="O148" s="20"/>
      <c r="P148" s="20"/>
      <c r="Q148" s="15" t="str">
        <f t="shared" si="14"/>
        <v/>
      </c>
      <c r="R148" s="20"/>
      <c r="S148" s="20"/>
    </row>
    <row r="149" spans="1:19" ht="16" x14ac:dyDescent="0.2">
      <c r="A149" s="15" t="str">
        <f t="shared" si="12"/>
        <v/>
      </c>
      <c r="B149" s="16"/>
      <c r="C149" s="16"/>
      <c r="D149" s="16"/>
      <c r="E149" s="16"/>
      <c r="F149" s="17"/>
      <c r="G149" s="18"/>
      <c r="H149" s="19" t="str">
        <f t="shared" ca="1" si="13"/>
        <v/>
      </c>
      <c r="I149" s="16"/>
      <c r="J149" s="18"/>
      <c r="K149" s="18"/>
      <c r="L149" s="17"/>
      <c r="M149" s="16"/>
      <c r="N149" s="16"/>
      <c r="O149" s="16"/>
      <c r="P149" s="16"/>
      <c r="Q149" s="15" t="str">
        <f t="shared" si="14"/>
        <v/>
      </c>
      <c r="R149" s="16"/>
      <c r="S149" s="16"/>
    </row>
    <row r="150" spans="1:19" ht="16" x14ac:dyDescent="0.2">
      <c r="A150" s="15" t="str">
        <f t="shared" si="12"/>
        <v/>
      </c>
      <c r="B150" s="20"/>
      <c r="C150" s="20"/>
      <c r="D150" s="20"/>
      <c r="E150" s="20"/>
      <c r="F150" s="21"/>
      <c r="G150" s="22"/>
      <c r="H150" s="19" t="str">
        <f t="shared" ca="1" si="13"/>
        <v/>
      </c>
      <c r="I150" s="20"/>
      <c r="J150" s="22"/>
      <c r="K150" s="22"/>
      <c r="L150" s="21"/>
      <c r="M150" s="20"/>
      <c r="N150" s="20"/>
      <c r="O150" s="20"/>
      <c r="P150" s="20"/>
      <c r="Q150" s="15" t="str">
        <f t="shared" si="14"/>
        <v/>
      </c>
      <c r="R150" s="20"/>
      <c r="S150" s="20"/>
    </row>
    <row r="151" spans="1:19" ht="16" x14ac:dyDescent="0.2">
      <c r="A151" s="15" t="str">
        <f t="shared" si="12"/>
        <v/>
      </c>
      <c r="B151" s="16"/>
      <c r="C151" s="16"/>
      <c r="D151" s="16"/>
      <c r="E151" s="16"/>
      <c r="F151" s="17"/>
      <c r="G151" s="18"/>
      <c r="H151" s="19" t="str">
        <f t="shared" ca="1" si="13"/>
        <v/>
      </c>
      <c r="I151" s="16"/>
      <c r="J151" s="18"/>
      <c r="K151" s="18"/>
      <c r="L151" s="17"/>
      <c r="M151" s="16"/>
      <c r="N151" s="16"/>
      <c r="O151" s="16"/>
      <c r="P151" s="16"/>
      <c r="Q151" s="15" t="str">
        <f t="shared" si="14"/>
        <v/>
      </c>
      <c r="R151" s="16"/>
      <c r="S151" s="16"/>
    </row>
    <row r="152" spans="1:19" ht="16" x14ac:dyDescent="0.2">
      <c r="A152" s="15" t="str">
        <f t="shared" si="12"/>
        <v/>
      </c>
      <c r="B152" s="20"/>
      <c r="C152" s="20"/>
      <c r="D152" s="20"/>
      <c r="E152" s="20"/>
      <c r="F152" s="21"/>
      <c r="G152" s="22"/>
      <c r="H152" s="19" t="str">
        <f t="shared" ca="1" si="13"/>
        <v/>
      </c>
      <c r="I152" s="20"/>
      <c r="J152" s="22"/>
      <c r="K152" s="22"/>
      <c r="L152" s="21"/>
      <c r="M152" s="20"/>
      <c r="N152" s="20"/>
      <c r="O152" s="20"/>
      <c r="P152" s="20"/>
      <c r="Q152" s="15" t="str">
        <f t="shared" si="14"/>
        <v/>
      </c>
      <c r="R152" s="20"/>
      <c r="S152" s="20"/>
    </row>
    <row r="153" spans="1:19" ht="16" x14ac:dyDescent="0.2">
      <c r="A153" s="15" t="str">
        <f t="shared" si="12"/>
        <v/>
      </c>
      <c r="B153" s="16"/>
      <c r="C153" s="16"/>
      <c r="D153" s="16"/>
      <c r="E153" s="16"/>
      <c r="F153" s="17"/>
      <c r="G153" s="18"/>
      <c r="H153" s="19" t="str">
        <f t="shared" ca="1" si="13"/>
        <v/>
      </c>
      <c r="I153" s="16"/>
      <c r="J153" s="18"/>
      <c r="K153" s="18"/>
      <c r="L153" s="17"/>
      <c r="M153" s="16"/>
      <c r="N153" s="16"/>
      <c r="O153" s="16"/>
      <c r="P153" s="16"/>
      <c r="Q153" s="15" t="str">
        <f t="shared" si="14"/>
        <v/>
      </c>
      <c r="R153" s="16"/>
      <c r="S153" s="16"/>
    </row>
    <row r="154" spans="1:19" ht="16" x14ac:dyDescent="0.2">
      <c r="A154" s="15" t="str">
        <f t="shared" si="12"/>
        <v/>
      </c>
      <c r="B154" s="20"/>
      <c r="C154" s="20"/>
      <c r="D154" s="20"/>
      <c r="E154" s="20"/>
      <c r="F154" s="21"/>
      <c r="G154" s="22"/>
      <c r="H154" s="19" t="str">
        <f t="shared" ca="1" si="13"/>
        <v/>
      </c>
      <c r="I154" s="20"/>
      <c r="J154" s="22"/>
      <c r="K154" s="22"/>
      <c r="L154" s="21"/>
      <c r="M154" s="20"/>
      <c r="N154" s="20"/>
      <c r="O154" s="20"/>
      <c r="P154" s="20"/>
      <c r="Q154" s="15" t="str">
        <f t="shared" si="14"/>
        <v/>
      </c>
      <c r="R154" s="20"/>
      <c r="S154" s="20"/>
    </row>
  </sheetData>
  <autoFilter ref="A4:S154" xr:uid="{00000000-0009-0000-0000-000002000000}"/>
  <mergeCells count="2">
    <mergeCell ref="A2:S2"/>
    <mergeCell ref="A1:S1"/>
  </mergeCells>
  <conditionalFormatting sqref="H5:H154">
    <cfRule type="cellIs" dxfId="44" priority="1" operator="lessThan">
      <formula>8</formula>
    </cfRule>
    <cfRule type="cellIs" dxfId="43" priority="2" operator="between">
      <formula>8</formula>
      <formula>21</formula>
    </cfRule>
    <cfRule type="cellIs" dxfId="42" priority="3" operator="between">
      <formula>22</formula>
      <formula>99999</formula>
    </cfRule>
  </conditionalFormatting>
  <conditionalFormatting sqref="I5:I154">
    <cfRule type="cellIs" dxfId="41" priority="4" operator="equal">
      <formula>"Idea"</formula>
    </cfRule>
    <cfRule type="cellIs" dxfId="40" priority="5" operator="equal">
      <formula>"Preparing"</formula>
    </cfRule>
    <cfRule type="cellIs" dxfId="39" priority="6" operator="equal">
      <formula>"Submitted"</formula>
    </cfRule>
    <cfRule type="cellIs" dxfId="38" priority="7" operator="equal">
      <formula>"Under review"</formula>
    </cfRule>
    <cfRule type="cellIs" dxfId="37" priority="8" operator="equal">
      <formula>"Awarded"</formula>
    </cfRule>
    <cfRule type="cellIs" dxfId="36" priority="9" operator="equal">
      <formula>"Rejected"</formula>
    </cfRule>
    <cfRule type="cellIs" dxfId="35" priority="10" operator="equal">
      <formula>"Withdrawn"</formula>
    </cfRule>
  </conditionalFormatting>
  <conditionalFormatting sqref="M5:P154">
    <cfRule type="cellIs" dxfId="34" priority="11" operator="equal">
      <formula>"To do"</formula>
    </cfRule>
    <cfRule type="cellIs" dxfId="33" priority="12" operator="equal">
      <formula>"In progress"</formula>
    </cfRule>
    <cfRule type="cellIs" dxfId="32" priority="13" operator="equal">
      <formula>"Ready"</formula>
    </cfRule>
  </conditionalFormatting>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200-000000000000}">
          <x14:formula1>
            <xm:f>Lists!$E$1:$E$4</xm:f>
          </x14:formula1>
          <xm:sqref>E5:E154</xm:sqref>
        </x14:dataValidation>
        <x14:dataValidation type="list" allowBlank="1" xr:uid="{00000000-0002-0000-0200-000001000000}">
          <x14:formula1>
            <xm:f>Lists!$A$1:$A$7</xm:f>
          </x14:formula1>
          <xm:sqref>I5:I154</xm:sqref>
        </x14:dataValidation>
        <x14:dataValidation type="list" allowBlank="1" xr:uid="{00000000-0002-0000-0200-000002000000}">
          <x14:formula1>
            <xm:f>Lists!$G$1:$G$3</xm:f>
          </x14:formula1>
          <xm:sqref>M5:P154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54"/>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5" customWidth="1"/>
    <col min="2" max="2" width="36" customWidth="1"/>
    <col min="3" max="3" width="14" customWidth="1"/>
    <col min="4" max="4" width="24" customWidth="1"/>
    <col min="5" max="5" width="16" customWidth="1"/>
    <col min="6" max="6" width="12" customWidth="1"/>
    <col min="7" max="7" width="11" customWidth="1"/>
    <col min="8" max="8" width="12" customWidth="1"/>
    <col min="9" max="9" width="13" customWidth="1"/>
    <col min="10" max="10" width="11" customWidth="1"/>
    <col min="11" max="11" width="24" customWidth="1"/>
    <col min="12" max="12" width="22" customWidth="1"/>
    <col min="13" max="13" width="40" customWidth="1"/>
  </cols>
  <sheetData>
    <row r="1" spans="1:13" ht="26" customHeight="1" x14ac:dyDescent="0.25">
      <c r="A1" s="31" t="s">
        <v>53</v>
      </c>
      <c r="B1" s="30"/>
      <c r="C1" s="30"/>
      <c r="D1" s="30"/>
      <c r="E1" s="30"/>
      <c r="F1" s="30"/>
      <c r="G1" s="30"/>
      <c r="H1" s="30"/>
      <c r="I1" s="30"/>
      <c r="J1" s="30"/>
      <c r="K1" s="30"/>
      <c r="L1" s="30"/>
      <c r="M1" s="30"/>
    </row>
    <row r="2" spans="1:13" x14ac:dyDescent="0.2">
      <c r="A2" s="29" t="s">
        <v>54</v>
      </c>
      <c r="B2" s="30"/>
      <c r="C2" s="30"/>
      <c r="D2" s="30"/>
      <c r="E2" s="30"/>
      <c r="F2" s="30"/>
      <c r="G2" s="30"/>
      <c r="H2" s="30"/>
      <c r="I2" s="30"/>
      <c r="J2" s="30"/>
      <c r="K2" s="30"/>
      <c r="L2" s="30"/>
      <c r="M2" s="30"/>
    </row>
    <row r="4" spans="1:13" ht="30" customHeight="1" x14ac:dyDescent="0.2">
      <c r="A4" s="14" t="s">
        <v>34</v>
      </c>
      <c r="B4" s="14" t="s">
        <v>55</v>
      </c>
      <c r="C4" s="14" t="s">
        <v>56</v>
      </c>
      <c r="D4" s="14" t="s">
        <v>57</v>
      </c>
      <c r="E4" s="14" t="s">
        <v>42</v>
      </c>
      <c r="F4" s="14" t="s">
        <v>43</v>
      </c>
      <c r="G4" s="14" t="s">
        <v>58</v>
      </c>
      <c r="H4" s="14" t="s">
        <v>59</v>
      </c>
      <c r="I4" s="14" t="s">
        <v>60</v>
      </c>
      <c r="J4" s="14" t="s">
        <v>61</v>
      </c>
      <c r="K4" s="14" t="s">
        <v>62</v>
      </c>
      <c r="L4" s="14" t="s">
        <v>63</v>
      </c>
      <c r="M4" s="14" t="s">
        <v>64</v>
      </c>
    </row>
    <row r="5" spans="1:13" ht="16" x14ac:dyDescent="0.2">
      <c r="A5" s="15" t="str">
        <f t="shared" ref="A5:A36" si="0">IF(B5="","",ROW()-4)</f>
        <v/>
      </c>
      <c r="B5" s="16"/>
      <c r="C5" s="16"/>
      <c r="D5" s="16"/>
      <c r="E5" s="16"/>
      <c r="F5" s="18"/>
      <c r="G5" s="19" t="str">
        <f t="shared" ref="G5:G36" ca="1" si="1">IF(F5="","",IF(H5="",TODAY()-F5,H5-F5))</f>
        <v/>
      </c>
      <c r="H5" s="18"/>
      <c r="I5" s="18"/>
      <c r="J5" s="19" t="str">
        <f t="shared" ref="J5:J36" ca="1" si="2">IF(I5="","",IF(OR(E5="Resubmitted",E5="Accepted",E5="Rejected",E5="Withdrawn"),"—",I5-TODAY()))</f>
        <v/>
      </c>
      <c r="K5" s="16"/>
      <c r="L5" s="16"/>
      <c r="M5" s="16"/>
    </row>
    <row r="6" spans="1:13" ht="16" x14ac:dyDescent="0.2">
      <c r="A6" s="15" t="str">
        <f t="shared" si="0"/>
        <v/>
      </c>
      <c r="B6" s="20"/>
      <c r="C6" s="20"/>
      <c r="D6" s="20"/>
      <c r="E6" s="20"/>
      <c r="F6" s="22"/>
      <c r="G6" s="19" t="str">
        <f t="shared" ca="1" si="1"/>
        <v/>
      </c>
      <c r="H6" s="22"/>
      <c r="I6" s="22"/>
      <c r="J6" s="19" t="str">
        <f t="shared" ca="1" si="2"/>
        <v/>
      </c>
      <c r="K6" s="20"/>
      <c r="L6" s="20"/>
      <c r="M6" s="20"/>
    </row>
    <row r="7" spans="1:13" ht="16" x14ac:dyDescent="0.2">
      <c r="A7" s="15" t="str">
        <f t="shared" si="0"/>
        <v/>
      </c>
      <c r="B7" s="16"/>
      <c r="C7" s="16"/>
      <c r="D7" s="16"/>
      <c r="E7" s="16"/>
      <c r="F7" s="18"/>
      <c r="G7" s="19" t="str">
        <f t="shared" ca="1" si="1"/>
        <v/>
      </c>
      <c r="H7" s="18"/>
      <c r="I7" s="18"/>
      <c r="J7" s="19" t="str">
        <f t="shared" ca="1" si="2"/>
        <v/>
      </c>
      <c r="K7" s="16"/>
      <c r="L7" s="16"/>
      <c r="M7" s="16"/>
    </row>
    <row r="8" spans="1:13" ht="16" x14ac:dyDescent="0.2">
      <c r="A8" s="15" t="str">
        <f t="shared" si="0"/>
        <v/>
      </c>
      <c r="B8" s="20"/>
      <c r="C8" s="20"/>
      <c r="D8" s="20"/>
      <c r="E8" s="20"/>
      <c r="F8" s="22"/>
      <c r="G8" s="19" t="str">
        <f t="shared" ca="1" si="1"/>
        <v/>
      </c>
      <c r="H8" s="22"/>
      <c r="I8" s="22"/>
      <c r="J8" s="19" t="str">
        <f t="shared" ca="1" si="2"/>
        <v/>
      </c>
      <c r="K8" s="20"/>
      <c r="L8" s="20"/>
      <c r="M8" s="20"/>
    </row>
    <row r="9" spans="1:13" ht="16" x14ac:dyDescent="0.2">
      <c r="A9" s="15" t="str">
        <f t="shared" si="0"/>
        <v/>
      </c>
      <c r="B9" s="16"/>
      <c r="C9" s="16"/>
      <c r="D9" s="16"/>
      <c r="E9" s="16"/>
      <c r="F9" s="18"/>
      <c r="G9" s="19" t="str">
        <f t="shared" ca="1" si="1"/>
        <v/>
      </c>
      <c r="H9" s="18"/>
      <c r="I9" s="18"/>
      <c r="J9" s="19" t="str">
        <f t="shared" ca="1" si="2"/>
        <v/>
      </c>
      <c r="K9" s="16"/>
      <c r="L9" s="16"/>
      <c r="M9" s="16"/>
    </row>
    <row r="10" spans="1:13" ht="16" x14ac:dyDescent="0.2">
      <c r="A10" s="15" t="str">
        <f t="shared" si="0"/>
        <v/>
      </c>
      <c r="B10" s="20"/>
      <c r="C10" s="20"/>
      <c r="D10" s="20"/>
      <c r="E10" s="20"/>
      <c r="F10" s="22"/>
      <c r="G10" s="19" t="str">
        <f t="shared" ca="1" si="1"/>
        <v/>
      </c>
      <c r="H10" s="22"/>
      <c r="I10" s="22"/>
      <c r="J10" s="19" t="str">
        <f t="shared" ca="1" si="2"/>
        <v/>
      </c>
      <c r="K10" s="20"/>
      <c r="L10" s="20"/>
      <c r="M10" s="20"/>
    </row>
    <row r="11" spans="1:13" ht="16" x14ac:dyDescent="0.2">
      <c r="A11" s="15" t="str">
        <f t="shared" si="0"/>
        <v/>
      </c>
      <c r="B11" s="16"/>
      <c r="C11" s="16"/>
      <c r="D11" s="16"/>
      <c r="E11" s="16"/>
      <c r="F11" s="18"/>
      <c r="G11" s="19" t="str">
        <f t="shared" ca="1" si="1"/>
        <v/>
      </c>
      <c r="H11" s="18"/>
      <c r="I11" s="18"/>
      <c r="J11" s="19" t="str">
        <f t="shared" ca="1" si="2"/>
        <v/>
      </c>
      <c r="K11" s="16"/>
      <c r="L11" s="16"/>
      <c r="M11" s="16"/>
    </row>
    <row r="12" spans="1:13" ht="16" x14ac:dyDescent="0.2">
      <c r="A12" s="15" t="str">
        <f t="shared" si="0"/>
        <v/>
      </c>
      <c r="B12" s="20"/>
      <c r="C12" s="20"/>
      <c r="D12" s="20"/>
      <c r="E12" s="20"/>
      <c r="F12" s="22"/>
      <c r="G12" s="19" t="str">
        <f t="shared" ca="1" si="1"/>
        <v/>
      </c>
      <c r="H12" s="22"/>
      <c r="I12" s="22"/>
      <c r="J12" s="19" t="str">
        <f t="shared" ca="1" si="2"/>
        <v/>
      </c>
      <c r="K12" s="20"/>
      <c r="L12" s="20"/>
      <c r="M12" s="20"/>
    </row>
    <row r="13" spans="1:13" ht="16" x14ac:dyDescent="0.2">
      <c r="A13" s="15" t="str">
        <f t="shared" si="0"/>
        <v/>
      </c>
      <c r="B13" s="16"/>
      <c r="C13" s="16"/>
      <c r="D13" s="16"/>
      <c r="E13" s="16"/>
      <c r="F13" s="18"/>
      <c r="G13" s="19" t="str">
        <f t="shared" ca="1" si="1"/>
        <v/>
      </c>
      <c r="H13" s="18"/>
      <c r="I13" s="18"/>
      <c r="J13" s="19" t="str">
        <f t="shared" ca="1" si="2"/>
        <v/>
      </c>
      <c r="K13" s="16"/>
      <c r="L13" s="16"/>
      <c r="M13" s="16"/>
    </row>
    <row r="14" spans="1:13" ht="16" x14ac:dyDescent="0.2">
      <c r="A14" s="15" t="str">
        <f t="shared" si="0"/>
        <v/>
      </c>
      <c r="B14" s="20"/>
      <c r="C14" s="20"/>
      <c r="D14" s="20"/>
      <c r="E14" s="20"/>
      <c r="F14" s="22"/>
      <c r="G14" s="19" t="str">
        <f t="shared" ca="1" si="1"/>
        <v/>
      </c>
      <c r="H14" s="22"/>
      <c r="I14" s="22"/>
      <c r="J14" s="19" t="str">
        <f t="shared" ca="1" si="2"/>
        <v/>
      </c>
      <c r="K14" s="20"/>
      <c r="L14" s="20"/>
      <c r="M14" s="20"/>
    </row>
    <row r="15" spans="1:13" ht="16" x14ac:dyDescent="0.2">
      <c r="A15" s="15" t="str">
        <f t="shared" si="0"/>
        <v/>
      </c>
      <c r="B15" s="16"/>
      <c r="C15" s="16"/>
      <c r="D15" s="16"/>
      <c r="E15" s="16"/>
      <c r="F15" s="18"/>
      <c r="G15" s="19" t="str">
        <f t="shared" ca="1" si="1"/>
        <v/>
      </c>
      <c r="H15" s="18"/>
      <c r="I15" s="18"/>
      <c r="J15" s="19" t="str">
        <f t="shared" ca="1" si="2"/>
        <v/>
      </c>
      <c r="K15" s="16"/>
      <c r="L15" s="16"/>
      <c r="M15" s="16"/>
    </row>
    <row r="16" spans="1:13" ht="16" x14ac:dyDescent="0.2">
      <c r="A16" s="15" t="str">
        <f t="shared" si="0"/>
        <v/>
      </c>
      <c r="B16" s="20"/>
      <c r="C16" s="20"/>
      <c r="D16" s="20"/>
      <c r="E16" s="20"/>
      <c r="F16" s="22"/>
      <c r="G16" s="19" t="str">
        <f t="shared" ca="1" si="1"/>
        <v/>
      </c>
      <c r="H16" s="22"/>
      <c r="I16" s="22"/>
      <c r="J16" s="19" t="str">
        <f t="shared" ca="1" si="2"/>
        <v/>
      </c>
      <c r="K16" s="20"/>
      <c r="L16" s="20"/>
      <c r="M16" s="20"/>
    </row>
    <row r="17" spans="1:13" ht="16" x14ac:dyDescent="0.2">
      <c r="A17" s="15" t="str">
        <f t="shared" si="0"/>
        <v/>
      </c>
      <c r="B17" s="16"/>
      <c r="C17" s="16"/>
      <c r="D17" s="16"/>
      <c r="E17" s="16"/>
      <c r="F17" s="18"/>
      <c r="G17" s="19" t="str">
        <f t="shared" ca="1" si="1"/>
        <v/>
      </c>
      <c r="H17" s="18"/>
      <c r="I17" s="18"/>
      <c r="J17" s="19" t="str">
        <f t="shared" ca="1" si="2"/>
        <v/>
      </c>
      <c r="K17" s="16"/>
      <c r="L17" s="16"/>
      <c r="M17" s="16"/>
    </row>
    <row r="18" spans="1:13" ht="16" x14ac:dyDescent="0.2">
      <c r="A18" s="15" t="str">
        <f t="shared" si="0"/>
        <v/>
      </c>
      <c r="B18" s="20"/>
      <c r="C18" s="20"/>
      <c r="D18" s="20"/>
      <c r="E18" s="20"/>
      <c r="F18" s="22"/>
      <c r="G18" s="19" t="str">
        <f t="shared" ca="1" si="1"/>
        <v/>
      </c>
      <c r="H18" s="22"/>
      <c r="I18" s="22"/>
      <c r="J18" s="19" t="str">
        <f t="shared" ca="1" si="2"/>
        <v/>
      </c>
      <c r="K18" s="20"/>
      <c r="L18" s="20"/>
      <c r="M18" s="20"/>
    </row>
    <row r="19" spans="1:13" ht="16" x14ac:dyDescent="0.2">
      <c r="A19" s="15" t="str">
        <f t="shared" si="0"/>
        <v/>
      </c>
      <c r="B19" s="16"/>
      <c r="C19" s="16"/>
      <c r="D19" s="16"/>
      <c r="E19" s="16"/>
      <c r="F19" s="18"/>
      <c r="G19" s="19" t="str">
        <f t="shared" ca="1" si="1"/>
        <v/>
      </c>
      <c r="H19" s="18"/>
      <c r="I19" s="18"/>
      <c r="J19" s="19" t="str">
        <f t="shared" ca="1" si="2"/>
        <v/>
      </c>
      <c r="K19" s="16"/>
      <c r="L19" s="16"/>
      <c r="M19" s="16"/>
    </row>
    <row r="20" spans="1:13" ht="16" x14ac:dyDescent="0.2">
      <c r="A20" s="15" t="str">
        <f t="shared" si="0"/>
        <v/>
      </c>
      <c r="B20" s="20"/>
      <c r="C20" s="20"/>
      <c r="D20" s="20"/>
      <c r="E20" s="20"/>
      <c r="F20" s="22"/>
      <c r="G20" s="19" t="str">
        <f t="shared" ca="1" si="1"/>
        <v/>
      </c>
      <c r="H20" s="22"/>
      <c r="I20" s="22"/>
      <c r="J20" s="19" t="str">
        <f t="shared" ca="1" si="2"/>
        <v/>
      </c>
      <c r="K20" s="20"/>
      <c r="L20" s="20"/>
      <c r="M20" s="20"/>
    </row>
    <row r="21" spans="1:13" ht="16" x14ac:dyDescent="0.2">
      <c r="A21" s="15" t="str">
        <f t="shared" si="0"/>
        <v/>
      </c>
      <c r="B21" s="16"/>
      <c r="C21" s="16"/>
      <c r="D21" s="16"/>
      <c r="E21" s="16"/>
      <c r="F21" s="18"/>
      <c r="G21" s="19" t="str">
        <f t="shared" ca="1" si="1"/>
        <v/>
      </c>
      <c r="H21" s="18"/>
      <c r="I21" s="18"/>
      <c r="J21" s="19" t="str">
        <f t="shared" ca="1" si="2"/>
        <v/>
      </c>
      <c r="K21" s="16"/>
      <c r="L21" s="16"/>
      <c r="M21" s="16"/>
    </row>
    <row r="22" spans="1:13" ht="16" x14ac:dyDescent="0.2">
      <c r="A22" s="15" t="str">
        <f t="shared" si="0"/>
        <v/>
      </c>
      <c r="B22" s="20"/>
      <c r="C22" s="20"/>
      <c r="D22" s="20"/>
      <c r="E22" s="20"/>
      <c r="F22" s="22"/>
      <c r="G22" s="19" t="str">
        <f t="shared" ca="1" si="1"/>
        <v/>
      </c>
      <c r="H22" s="22"/>
      <c r="I22" s="22"/>
      <c r="J22" s="19" t="str">
        <f t="shared" ca="1" si="2"/>
        <v/>
      </c>
      <c r="K22" s="20"/>
      <c r="L22" s="20"/>
      <c r="M22" s="20"/>
    </row>
    <row r="23" spans="1:13" ht="16" x14ac:dyDescent="0.2">
      <c r="A23" s="15" t="str">
        <f t="shared" si="0"/>
        <v/>
      </c>
      <c r="B23" s="16"/>
      <c r="C23" s="16"/>
      <c r="D23" s="16"/>
      <c r="E23" s="16"/>
      <c r="F23" s="18"/>
      <c r="G23" s="19" t="str">
        <f t="shared" ca="1" si="1"/>
        <v/>
      </c>
      <c r="H23" s="18"/>
      <c r="I23" s="18"/>
      <c r="J23" s="19" t="str">
        <f t="shared" ca="1" si="2"/>
        <v/>
      </c>
      <c r="K23" s="16"/>
      <c r="L23" s="16"/>
      <c r="M23" s="16"/>
    </row>
    <row r="24" spans="1:13" ht="16" x14ac:dyDescent="0.2">
      <c r="A24" s="15" t="str">
        <f t="shared" si="0"/>
        <v/>
      </c>
      <c r="B24" s="20"/>
      <c r="C24" s="20"/>
      <c r="D24" s="20"/>
      <c r="E24" s="20"/>
      <c r="F24" s="22"/>
      <c r="G24" s="19" t="str">
        <f t="shared" ca="1" si="1"/>
        <v/>
      </c>
      <c r="H24" s="22"/>
      <c r="I24" s="22"/>
      <c r="J24" s="19" t="str">
        <f t="shared" ca="1" si="2"/>
        <v/>
      </c>
      <c r="K24" s="20"/>
      <c r="L24" s="20"/>
      <c r="M24" s="20"/>
    </row>
    <row r="25" spans="1:13" ht="16" x14ac:dyDescent="0.2">
      <c r="A25" s="15" t="str">
        <f t="shared" si="0"/>
        <v/>
      </c>
      <c r="B25" s="16"/>
      <c r="C25" s="16"/>
      <c r="D25" s="16"/>
      <c r="E25" s="16"/>
      <c r="F25" s="18"/>
      <c r="G25" s="19" t="str">
        <f t="shared" ca="1" si="1"/>
        <v/>
      </c>
      <c r="H25" s="18"/>
      <c r="I25" s="18"/>
      <c r="J25" s="19" t="str">
        <f t="shared" ca="1" si="2"/>
        <v/>
      </c>
      <c r="K25" s="16"/>
      <c r="L25" s="16"/>
      <c r="M25" s="16"/>
    </row>
    <row r="26" spans="1:13" ht="16" x14ac:dyDescent="0.2">
      <c r="A26" s="15" t="str">
        <f t="shared" si="0"/>
        <v/>
      </c>
      <c r="B26" s="20"/>
      <c r="C26" s="20"/>
      <c r="D26" s="20"/>
      <c r="E26" s="20"/>
      <c r="F26" s="22"/>
      <c r="G26" s="19" t="str">
        <f t="shared" ca="1" si="1"/>
        <v/>
      </c>
      <c r="H26" s="22"/>
      <c r="I26" s="22"/>
      <c r="J26" s="19" t="str">
        <f t="shared" ca="1" si="2"/>
        <v/>
      </c>
      <c r="K26" s="20"/>
      <c r="L26" s="20"/>
      <c r="M26" s="20"/>
    </row>
    <row r="27" spans="1:13" ht="16" x14ac:dyDescent="0.2">
      <c r="A27" s="15" t="str">
        <f t="shared" si="0"/>
        <v/>
      </c>
      <c r="B27" s="16"/>
      <c r="C27" s="16"/>
      <c r="D27" s="16"/>
      <c r="E27" s="16"/>
      <c r="F27" s="18"/>
      <c r="G27" s="19" t="str">
        <f t="shared" ca="1" si="1"/>
        <v/>
      </c>
      <c r="H27" s="18"/>
      <c r="I27" s="18"/>
      <c r="J27" s="19" t="str">
        <f t="shared" ca="1" si="2"/>
        <v/>
      </c>
      <c r="K27" s="16"/>
      <c r="L27" s="16"/>
      <c r="M27" s="16"/>
    </row>
    <row r="28" spans="1:13" ht="16" x14ac:dyDescent="0.2">
      <c r="A28" s="15" t="str">
        <f t="shared" si="0"/>
        <v/>
      </c>
      <c r="B28" s="20"/>
      <c r="C28" s="20"/>
      <c r="D28" s="20"/>
      <c r="E28" s="20"/>
      <c r="F28" s="22"/>
      <c r="G28" s="19" t="str">
        <f t="shared" ca="1" si="1"/>
        <v/>
      </c>
      <c r="H28" s="22"/>
      <c r="I28" s="22"/>
      <c r="J28" s="19" t="str">
        <f t="shared" ca="1" si="2"/>
        <v/>
      </c>
      <c r="K28" s="20"/>
      <c r="L28" s="20"/>
      <c r="M28" s="20"/>
    </row>
    <row r="29" spans="1:13" ht="16" x14ac:dyDescent="0.2">
      <c r="A29" s="15" t="str">
        <f t="shared" si="0"/>
        <v/>
      </c>
      <c r="B29" s="16"/>
      <c r="C29" s="16"/>
      <c r="D29" s="16"/>
      <c r="E29" s="16"/>
      <c r="F29" s="18"/>
      <c r="G29" s="19" t="str">
        <f t="shared" ca="1" si="1"/>
        <v/>
      </c>
      <c r="H29" s="18"/>
      <c r="I29" s="18"/>
      <c r="J29" s="19" t="str">
        <f t="shared" ca="1" si="2"/>
        <v/>
      </c>
      <c r="K29" s="16"/>
      <c r="L29" s="16"/>
      <c r="M29" s="16"/>
    </row>
    <row r="30" spans="1:13" ht="16" x14ac:dyDescent="0.2">
      <c r="A30" s="15" t="str">
        <f t="shared" si="0"/>
        <v/>
      </c>
      <c r="B30" s="20"/>
      <c r="C30" s="20"/>
      <c r="D30" s="20"/>
      <c r="E30" s="20"/>
      <c r="F30" s="22"/>
      <c r="G30" s="19" t="str">
        <f t="shared" ca="1" si="1"/>
        <v/>
      </c>
      <c r="H30" s="22"/>
      <c r="I30" s="22"/>
      <c r="J30" s="19" t="str">
        <f t="shared" ca="1" si="2"/>
        <v/>
      </c>
      <c r="K30" s="20"/>
      <c r="L30" s="20"/>
      <c r="M30" s="20"/>
    </row>
    <row r="31" spans="1:13" ht="16" x14ac:dyDescent="0.2">
      <c r="A31" s="15" t="str">
        <f t="shared" si="0"/>
        <v/>
      </c>
      <c r="B31" s="16"/>
      <c r="C31" s="16"/>
      <c r="D31" s="16"/>
      <c r="E31" s="16"/>
      <c r="F31" s="18"/>
      <c r="G31" s="19" t="str">
        <f t="shared" ca="1" si="1"/>
        <v/>
      </c>
      <c r="H31" s="18"/>
      <c r="I31" s="18"/>
      <c r="J31" s="19" t="str">
        <f t="shared" ca="1" si="2"/>
        <v/>
      </c>
      <c r="K31" s="16"/>
      <c r="L31" s="16"/>
      <c r="M31" s="16"/>
    </row>
    <row r="32" spans="1:13" ht="16" x14ac:dyDescent="0.2">
      <c r="A32" s="15" t="str">
        <f t="shared" si="0"/>
        <v/>
      </c>
      <c r="B32" s="20"/>
      <c r="C32" s="20"/>
      <c r="D32" s="20"/>
      <c r="E32" s="20"/>
      <c r="F32" s="22"/>
      <c r="G32" s="19" t="str">
        <f t="shared" ca="1" si="1"/>
        <v/>
      </c>
      <c r="H32" s="22"/>
      <c r="I32" s="22"/>
      <c r="J32" s="19" t="str">
        <f t="shared" ca="1" si="2"/>
        <v/>
      </c>
      <c r="K32" s="20"/>
      <c r="L32" s="20"/>
      <c r="M32" s="20"/>
    </row>
    <row r="33" spans="1:13" ht="16" x14ac:dyDescent="0.2">
      <c r="A33" s="15" t="str">
        <f t="shared" si="0"/>
        <v/>
      </c>
      <c r="B33" s="16"/>
      <c r="C33" s="16"/>
      <c r="D33" s="16"/>
      <c r="E33" s="16"/>
      <c r="F33" s="18"/>
      <c r="G33" s="19" t="str">
        <f t="shared" ca="1" si="1"/>
        <v/>
      </c>
      <c r="H33" s="18"/>
      <c r="I33" s="18"/>
      <c r="J33" s="19" t="str">
        <f t="shared" ca="1" si="2"/>
        <v/>
      </c>
      <c r="K33" s="16"/>
      <c r="L33" s="16"/>
      <c r="M33" s="16"/>
    </row>
    <row r="34" spans="1:13" ht="16" x14ac:dyDescent="0.2">
      <c r="A34" s="15" t="str">
        <f t="shared" si="0"/>
        <v/>
      </c>
      <c r="B34" s="20"/>
      <c r="C34" s="20"/>
      <c r="D34" s="20"/>
      <c r="E34" s="20"/>
      <c r="F34" s="22"/>
      <c r="G34" s="19" t="str">
        <f t="shared" ca="1" si="1"/>
        <v/>
      </c>
      <c r="H34" s="22"/>
      <c r="I34" s="22"/>
      <c r="J34" s="19" t="str">
        <f t="shared" ca="1" si="2"/>
        <v/>
      </c>
      <c r="K34" s="20"/>
      <c r="L34" s="20"/>
      <c r="M34" s="20"/>
    </row>
    <row r="35" spans="1:13" ht="16" x14ac:dyDescent="0.2">
      <c r="A35" s="15" t="str">
        <f t="shared" si="0"/>
        <v/>
      </c>
      <c r="B35" s="16"/>
      <c r="C35" s="16"/>
      <c r="D35" s="16"/>
      <c r="E35" s="16"/>
      <c r="F35" s="18"/>
      <c r="G35" s="19" t="str">
        <f t="shared" ca="1" si="1"/>
        <v/>
      </c>
      <c r="H35" s="18"/>
      <c r="I35" s="18"/>
      <c r="J35" s="19" t="str">
        <f t="shared" ca="1" si="2"/>
        <v/>
      </c>
      <c r="K35" s="16"/>
      <c r="L35" s="16"/>
      <c r="M35" s="16"/>
    </row>
    <row r="36" spans="1:13" ht="16" x14ac:dyDescent="0.2">
      <c r="A36" s="15" t="str">
        <f t="shared" si="0"/>
        <v/>
      </c>
      <c r="B36" s="20"/>
      <c r="C36" s="20"/>
      <c r="D36" s="20"/>
      <c r="E36" s="20"/>
      <c r="F36" s="22"/>
      <c r="G36" s="19" t="str">
        <f t="shared" ca="1" si="1"/>
        <v/>
      </c>
      <c r="H36" s="22"/>
      <c r="I36" s="22"/>
      <c r="J36" s="19" t="str">
        <f t="shared" ca="1" si="2"/>
        <v/>
      </c>
      <c r="K36" s="20"/>
      <c r="L36" s="20"/>
      <c r="M36" s="20"/>
    </row>
    <row r="37" spans="1:13" ht="16" x14ac:dyDescent="0.2">
      <c r="A37" s="15" t="str">
        <f t="shared" ref="A37:A68" si="3">IF(B37="","",ROW()-4)</f>
        <v/>
      </c>
      <c r="B37" s="16"/>
      <c r="C37" s="16"/>
      <c r="D37" s="16"/>
      <c r="E37" s="16"/>
      <c r="F37" s="18"/>
      <c r="G37" s="19" t="str">
        <f t="shared" ref="G37:G68" ca="1" si="4">IF(F37="","",IF(H37="",TODAY()-F37,H37-F37))</f>
        <v/>
      </c>
      <c r="H37" s="18"/>
      <c r="I37" s="18"/>
      <c r="J37" s="19" t="str">
        <f t="shared" ref="J37:J68" ca="1" si="5">IF(I37="","",IF(OR(E37="Resubmitted",E37="Accepted",E37="Rejected",E37="Withdrawn"),"—",I37-TODAY()))</f>
        <v/>
      </c>
      <c r="K37" s="16"/>
      <c r="L37" s="16"/>
      <c r="M37" s="16"/>
    </row>
    <row r="38" spans="1:13" ht="16" x14ac:dyDescent="0.2">
      <c r="A38" s="15" t="str">
        <f t="shared" si="3"/>
        <v/>
      </c>
      <c r="B38" s="20"/>
      <c r="C38" s="20"/>
      <c r="D38" s="20"/>
      <c r="E38" s="20"/>
      <c r="F38" s="22"/>
      <c r="G38" s="19" t="str">
        <f t="shared" ca="1" si="4"/>
        <v/>
      </c>
      <c r="H38" s="22"/>
      <c r="I38" s="22"/>
      <c r="J38" s="19" t="str">
        <f t="shared" ca="1" si="5"/>
        <v/>
      </c>
      <c r="K38" s="20"/>
      <c r="L38" s="20"/>
      <c r="M38" s="20"/>
    </row>
    <row r="39" spans="1:13" ht="16" x14ac:dyDescent="0.2">
      <c r="A39" s="15" t="str">
        <f t="shared" si="3"/>
        <v/>
      </c>
      <c r="B39" s="16"/>
      <c r="C39" s="16"/>
      <c r="D39" s="16"/>
      <c r="E39" s="16"/>
      <c r="F39" s="18"/>
      <c r="G39" s="19" t="str">
        <f t="shared" ca="1" si="4"/>
        <v/>
      </c>
      <c r="H39" s="18"/>
      <c r="I39" s="18"/>
      <c r="J39" s="19" t="str">
        <f t="shared" ca="1" si="5"/>
        <v/>
      </c>
      <c r="K39" s="16"/>
      <c r="L39" s="16"/>
      <c r="M39" s="16"/>
    </row>
    <row r="40" spans="1:13" ht="16" x14ac:dyDescent="0.2">
      <c r="A40" s="15" t="str">
        <f t="shared" si="3"/>
        <v/>
      </c>
      <c r="B40" s="20"/>
      <c r="C40" s="20"/>
      <c r="D40" s="20"/>
      <c r="E40" s="20"/>
      <c r="F40" s="22"/>
      <c r="G40" s="19" t="str">
        <f t="shared" ca="1" si="4"/>
        <v/>
      </c>
      <c r="H40" s="22"/>
      <c r="I40" s="22"/>
      <c r="J40" s="19" t="str">
        <f t="shared" ca="1" si="5"/>
        <v/>
      </c>
      <c r="K40" s="20"/>
      <c r="L40" s="20"/>
      <c r="M40" s="20"/>
    </row>
    <row r="41" spans="1:13" ht="16" x14ac:dyDescent="0.2">
      <c r="A41" s="15" t="str">
        <f t="shared" si="3"/>
        <v/>
      </c>
      <c r="B41" s="16"/>
      <c r="C41" s="16"/>
      <c r="D41" s="16"/>
      <c r="E41" s="16"/>
      <c r="F41" s="18"/>
      <c r="G41" s="19" t="str">
        <f t="shared" ca="1" si="4"/>
        <v/>
      </c>
      <c r="H41" s="18"/>
      <c r="I41" s="18"/>
      <c r="J41" s="19" t="str">
        <f t="shared" ca="1" si="5"/>
        <v/>
      </c>
      <c r="K41" s="16"/>
      <c r="L41" s="16"/>
      <c r="M41" s="16"/>
    </row>
    <row r="42" spans="1:13" ht="16" x14ac:dyDescent="0.2">
      <c r="A42" s="15" t="str">
        <f t="shared" si="3"/>
        <v/>
      </c>
      <c r="B42" s="20"/>
      <c r="C42" s="20"/>
      <c r="D42" s="20"/>
      <c r="E42" s="20"/>
      <c r="F42" s="22"/>
      <c r="G42" s="19" t="str">
        <f t="shared" ca="1" si="4"/>
        <v/>
      </c>
      <c r="H42" s="22"/>
      <c r="I42" s="22"/>
      <c r="J42" s="19" t="str">
        <f t="shared" ca="1" si="5"/>
        <v/>
      </c>
      <c r="K42" s="20"/>
      <c r="L42" s="20"/>
      <c r="M42" s="20"/>
    </row>
    <row r="43" spans="1:13" ht="16" x14ac:dyDescent="0.2">
      <c r="A43" s="15" t="str">
        <f t="shared" si="3"/>
        <v/>
      </c>
      <c r="B43" s="16"/>
      <c r="C43" s="16"/>
      <c r="D43" s="16"/>
      <c r="E43" s="16"/>
      <c r="F43" s="18"/>
      <c r="G43" s="19" t="str">
        <f t="shared" ca="1" si="4"/>
        <v/>
      </c>
      <c r="H43" s="18"/>
      <c r="I43" s="18"/>
      <c r="J43" s="19" t="str">
        <f t="shared" ca="1" si="5"/>
        <v/>
      </c>
      <c r="K43" s="16"/>
      <c r="L43" s="16"/>
      <c r="M43" s="16"/>
    </row>
    <row r="44" spans="1:13" ht="16" x14ac:dyDescent="0.2">
      <c r="A44" s="15" t="str">
        <f t="shared" si="3"/>
        <v/>
      </c>
      <c r="B44" s="20"/>
      <c r="C44" s="20"/>
      <c r="D44" s="20"/>
      <c r="E44" s="20"/>
      <c r="F44" s="22"/>
      <c r="G44" s="19" t="str">
        <f t="shared" ca="1" si="4"/>
        <v/>
      </c>
      <c r="H44" s="22"/>
      <c r="I44" s="22"/>
      <c r="J44" s="19" t="str">
        <f t="shared" ca="1" si="5"/>
        <v/>
      </c>
      <c r="K44" s="20"/>
      <c r="L44" s="20"/>
      <c r="M44" s="20"/>
    </row>
    <row r="45" spans="1:13" ht="16" x14ac:dyDescent="0.2">
      <c r="A45" s="15" t="str">
        <f t="shared" si="3"/>
        <v/>
      </c>
      <c r="B45" s="16"/>
      <c r="C45" s="16"/>
      <c r="D45" s="16"/>
      <c r="E45" s="16"/>
      <c r="F45" s="18"/>
      <c r="G45" s="19" t="str">
        <f t="shared" ca="1" si="4"/>
        <v/>
      </c>
      <c r="H45" s="18"/>
      <c r="I45" s="18"/>
      <c r="J45" s="19" t="str">
        <f t="shared" ca="1" si="5"/>
        <v/>
      </c>
      <c r="K45" s="16"/>
      <c r="L45" s="16"/>
      <c r="M45" s="16"/>
    </row>
    <row r="46" spans="1:13" ht="16" x14ac:dyDescent="0.2">
      <c r="A46" s="15" t="str">
        <f t="shared" si="3"/>
        <v/>
      </c>
      <c r="B46" s="20"/>
      <c r="C46" s="20"/>
      <c r="D46" s="20"/>
      <c r="E46" s="20"/>
      <c r="F46" s="22"/>
      <c r="G46" s="19" t="str">
        <f t="shared" ca="1" si="4"/>
        <v/>
      </c>
      <c r="H46" s="22"/>
      <c r="I46" s="22"/>
      <c r="J46" s="19" t="str">
        <f t="shared" ca="1" si="5"/>
        <v/>
      </c>
      <c r="K46" s="20"/>
      <c r="L46" s="20"/>
      <c r="M46" s="20"/>
    </row>
    <row r="47" spans="1:13" ht="16" x14ac:dyDescent="0.2">
      <c r="A47" s="15" t="str">
        <f t="shared" si="3"/>
        <v/>
      </c>
      <c r="B47" s="16"/>
      <c r="C47" s="16"/>
      <c r="D47" s="16"/>
      <c r="E47" s="16"/>
      <c r="F47" s="18"/>
      <c r="G47" s="19" t="str">
        <f t="shared" ca="1" si="4"/>
        <v/>
      </c>
      <c r="H47" s="18"/>
      <c r="I47" s="18"/>
      <c r="J47" s="19" t="str">
        <f t="shared" ca="1" si="5"/>
        <v/>
      </c>
      <c r="K47" s="16"/>
      <c r="L47" s="16"/>
      <c r="M47" s="16"/>
    </row>
    <row r="48" spans="1:13" ht="16" x14ac:dyDescent="0.2">
      <c r="A48" s="15" t="str">
        <f t="shared" si="3"/>
        <v/>
      </c>
      <c r="B48" s="20"/>
      <c r="C48" s="20"/>
      <c r="D48" s="20"/>
      <c r="E48" s="20"/>
      <c r="F48" s="22"/>
      <c r="G48" s="19" t="str">
        <f t="shared" ca="1" si="4"/>
        <v/>
      </c>
      <c r="H48" s="22"/>
      <c r="I48" s="22"/>
      <c r="J48" s="19" t="str">
        <f t="shared" ca="1" si="5"/>
        <v/>
      </c>
      <c r="K48" s="20"/>
      <c r="L48" s="20"/>
      <c r="M48" s="20"/>
    </row>
    <row r="49" spans="1:13" ht="16" x14ac:dyDescent="0.2">
      <c r="A49" s="15" t="str">
        <f t="shared" si="3"/>
        <v/>
      </c>
      <c r="B49" s="16"/>
      <c r="C49" s="16"/>
      <c r="D49" s="16"/>
      <c r="E49" s="16"/>
      <c r="F49" s="18"/>
      <c r="G49" s="19" t="str">
        <f t="shared" ca="1" si="4"/>
        <v/>
      </c>
      <c r="H49" s="18"/>
      <c r="I49" s="18"/>
      <c r="J49" s="19" t="str">
        <f t="shared" ca="1" si="5"/>
        <v/>
      </c>
      <c r="K49" s="16"/>
      <c r="L49" s="16"/>
      <c r="M49" s="16"/>
    </row>
    <row r="50" spans="1:13" ht="16" x14ac:dyDescent="0.2">
      <c r="A50" s="15" t="str">
        <f t="shared" si="3"/>
        <v/>
      </c>
      <c r="B50" s="20"/>
      <c r="C50" s="20"/>
      <c r="D50" s="20"/>
      <c r="E50" s="20"/>
      <c r="F50" s="22"/>
      <c r="G50" s="19" t="str">
        <f t="shared" ca="1" si="4"/>
        <v/>
      </c>
      <c r="H50" s="22"/>
      <c r="I50" s="22"/>
      <c r="J50" s="19" t="str">
        <f t="shared" ca="1" si="5"/>
        <v/>
      </c>
      <c r="K50" s="20"/>
      <c r="L50" s="20"/>
      <c r="M50" s="20"/>
    </row>
    <row r="51" spans="1:13" ht="16" x14ac:dyDescent="0.2">
      <c r="A51" s="15" t="str">
        <f t="shared" si="3"/>
        <v/>
      </c>
      <c r="B51" s="16"/>
      <c r="C51" s="16"/>
      <c r="D51" s="16"/>
      <c r="E51" s="16"/>
      <c r="F51" s="18"/>
      <c r="G51" s="19" t="str">
        <f t="shared" ca="1" si="4"/>
        <v/>
      </c>
      <c r="H51" s="18"/>
      <c r="I51" s="18"/>
      <c r="J51" s="19" t="str">
        <f t="shared" ca="1" si="5"/>
        <v/>
      </c>
      <c r="K51" s="16"/>
      <c r="L51" s="16"/>
      <c r="M51" s="16"/>
    </row>
    <row r="52" spans="1:13" ht="16" x14ac:dyDescent="0.2">
      <c r="A52" s="15" t="str">
        <f t="shared" si="3"/>
        <v/>
      </c>
      <c r="B52" s="20"/>
      <c r="C52" s="20"/>
      <c r="D52" s="20"/>
      <c r="E52" s="20"/>
      <c r="F52" s="22"/>
      <c r="G52" s="19" t="str">
        <f t="shared" ca="1" si="4"/>
        <v/>
      </c>
      <c r="H52" s="22"/>
      <c r="I52" s="22"/>
      <c r="J52" s="19" t="str">
        <f t="shared" ca="1" si="5"/>
        <v/>
      </c>
      <c r="K52" s="20"/>
      <c r="L52" s="20"/>
      <c r="M52" s="20"/>
    </row>
    <row r="53" spans="1:13" ht="16" x14ac:dyDescent="0.2">
      <c r="A53" s="15" t="str">
        <f t="shared" si="3"/>
        <v/>
      </c>
      <c r="B53" s="16"/>
      <c r="C53" s="16"/>
      <c r="D53" s="16"/>
      <c r="E53" s="16"/>
      <c r="F53" s="18"/>
      <c r="G53" s="19" t="str">
        <f t="shared" ca="1" si="4"/>
        <v/>
      </c>
      <c r="H53" s="18"/>
      <c r="I53" s="18"/>
      <c r="J53" s="19" t="str">
        <f t="shared" ca="1" si="5"/>
        <v/>
      </c>
      <c r="K53" s="16"/>
      <c r="L53" s="16"/>
      <c r="M53" s="16"/>
    </row>
    <row r="54" spans="1:13" ht="16" x14ac:dyDescent="0.2">
      <c r="A54" s="15" t="str">
        <f t="shared" si="3"/>
        <v/>
      </c>
      <c r="B54" s="20"/>
      <c r="C54" s="20"/>
      <c r="D54" s="20"/>
      <c r="E54" s="20"/>
      <c r="F54" s="22"/>
      <c r="G54" s="19" t="str">
        <f t="shared" ca="1" si="4"/>
        <v/>
      </c>
      <c r="H54" s="22"/>
      <c r="I54" s="22"/>
      <c r="J54" s="19" t="str">
        <f t="shared" ca="1" si="5"/>
        <v/>
      </c>
      <c r="K54" s="20"/>
      <c r="L54" s="20"/>
      <c r="M54" s="20"/>
    </row>
    <row r="55" spans="1:13" ht="16" x14ac:dyDescent="0.2">
      <c r="A55" s="15" t="str">
        <f t="shared" si="3"/>
        <v/>
      </c>
      <c r="B55" s="16"/>
      <c r="C55" s="16"/>
      <c r="D55" s="16"/>
      <c r="E55" s="16"/>
      <c r="F55" s="18"/>
      <c r="G55" s="19" t="str">
        <f t="shared" ca="1" si="4"/>
        <v/>
      </c>
      <c r="H55" s="18"/>
      <c r="I55" s="18"/>
      <c r="J55" s="19" t="str">
        <f t="shared" ca="1" si="5"/>
        <v/>
      </c>
      <c r="K55" s="16"/>
      <c r="L55" s="16"/>
      <c r="M55" s="16"/>
    </row>
    <row r="56" spans="1:13" ht="16" x14ac:dyDescent="0.2">
      <c r="A56" s="15" t="str">
        <f t="shared" si="3"/>
        <v/>
      </c>
      <c r="B56" s="20"/>
      <c r="C56" s="20"/>
      <c r="D56" s="20"/>
      <c r="E56" s="20"/>
      <c r="F56" s="22"/>
      <c r="G56" s="19" t="str">
        <f t="shared" ca="1" si="4"/>
        <v/>
      </c>
      <c r="H56" s="22"/>
      <c r="I56" s="22"/>
      <c r="J56" s="19" t="str">
        <f t="shared" ca="1" si="5"/>
        <v/>
      </c>
      <c r="K56" s="20"/>
      <c r="L56" s="20"/>
      <c r="M56" s="20"/>
    </row>
    <row r="57" spans="1:13" ht="16" x14ac:dyDescent="0.2">
      <c r="A57" s="15" t="str">
        <f t="shared" si="3"/>
        <v/>
      </c>
      <c r="B57" s="16"/>
      <c r="C57" s="16"/>
      <c r="D57" s="16"/>
      <c r="E57" s="16"/>
      <c r="F57" s="18"/>
      <c r="G57" s="19" t="str">
        <f t="shared" ca="1" si="4"/>
        <v/>
      </c>
      <c r="H57" s="18"/>
      <c r="I57" s="18"/>
      <c r="J57" s="19" t="str">
        <f t="shared" ca="1" si="5"/>
        <v/>
      </c>
      <c r="K57" s="16"/>
      <c r="L57" s="16"/>
      <c r="M57" s="16"/>
    </row>
    <row r="58" spans="1:13" ht="16" x14ac:dyDescent="0.2">
      <c r="A58" s="15" t="str">
        <f t="shared" si="3"/>
        <v/>
      </c>
      <c r="B58" s="20"/>
      <c r="C58" s="20"/>
      <c r="D58" s="20"/>
      <c r="E58" s="20"/>
      <c r="F58" s="22"/>
      <c r="G58" s="19" t="str">
        <f t="shared" ca="1" si="4"/>
        <v/>
      </c>
      <c r="H58" s="22"/>
      <c r="I58" s="22"/>
      <c r="J58" s="19" t="str">
        <f t="shared" ca="1" si="5"/>
        <v/>
      </c>
      <c r="K58" s="20"/>
      <c r="L58" s="20"/>
      <c r="M58" s="20"/>
    </row>
    <row r="59" spans="1:13" ht="16" x14ac:dyDescent="0.2">
      <c r="A59" s="15" t="str">
        <f t="shared" si="3"/>
        <v/>
      </c>
      <c r="B59" s="16"/>
      <c r="C59" s="16"/>
      <c r="D59" s="16"/>
      <c r="E59" s="16"/>
      <c r="F59" s="18"/>
      <c r="G59" s="19" t="str">
        <f t="shared" ca="1" si="4"/>
        <v/>
      </c>
      <c r="H59" s="18"/>
      <c r="I59" s="18"/>
      <c r="J59" s="19" t="str">
        <f t="shared" ca="1" si="5"/>
        <v/>
      </c>
      <c r="K59" s="16"/>
      <c r="L59" s="16"/>
      <c r="M59" s="16"/>
    </row>
    <row r="60" spans="1:13" ht="16" x14ac:dyDescent="0.2">
      <c r="A60" s="15" t="str">
        <f t="shared" si="3"/>
        <v/>
      </c>
      <c r="B60" s="20"/>
      <c r="C60" s="20"/>
      <c r="D60" s="20"/>
      <c r="E60" s="20"/>
      <c r="F60" s="22"/>
      <c r="G60" s="19" t="str">
        <f t="shared" ca="1" si="4"/>
        <v/>
      </c>
      <c r="H60" s="22"/>
      <c r="I60" s="22"/>
      <c r="J60" s="19" t="str">
        <f t="shared" ca="1" si="5"/>
        <v/>
      </c>
      <c r="K60" s="20"/>
      <c r="L60" s="20"/>
      <c r="M60" s="20"/>
    </row>
    <row r="61" spans="1:13" ht="16" x14ac:dyDescent="0.2">
      <c r="A61" s="15" t="str">
        <f t="shared" si="3"/>
        <v/>
      </c>
      <c r="B61" s="16"/>
      <c r="C61" s="16"/>
      <c r="D61" s="16"/>
      <c r="E61" s="16"/>
      <c r="F61" s="18"/>
      <c r="G61" s="19" t="str">
        <f t="shared" ca="1" si="4"/>
        <v/>
      </c>
      <c r="H61" s="18"/>
      <c r="I61" s="18"/>
      <c r="J61" s="19" t="str">
        <f t="shared" ca="1" si="5"/>
        <v/>
      </c>
      <c r="K61" s="16"/>
      <c r="L61" s="16"/>
      <c r="M61" s="16"/>
    </row>
    <row r="62" spans="1:13" ht="16" x14ac:dyDescent="0.2">
      <c r="A62" s="15" t="str">
        <f t="shared" si="3"/>
        <v/>
      </c>
      <c r="B62" s="20"/>
      <c r="C62" s="20"/>
      <c r="D62" s="20"/>
      <c r="E62" s="20"/>
      <c r="F62" s="22"/>
      <c r="G62" s="19" t="str">
        <f t="shared" ca="1" si="4"/>
        <v/>
      </c>
      <c r="H62" s="22"/>
      <c r="I62" s="22"/>
      <c r="J62" s="19" t="str">
        <f t="shared" ca="1" si="5"/>
        <v/>
      </c>
      <c r="K62" s="20"/>
      <c r="L62" s="20"/>
      <c r="M62" s="20"/>
    </row>
    <row r="63" spans="1:13" ht="16" x14ac:dyDescent="0.2">
      <c r="A63" s="15" t="str">
        <f t="shared" si="3"/>
        <v/>
      </c>
      <c r="B63" s="16"/>
      <c r="C63" s="16"/>
      <c r="D63" s="16"/>
      <c r="E63" s="16"/>
      <c r="F63" s="18"/>
      <c r="G63" s="19" t="str">
        <f t="shared" ca="1" si="4"/>
        <v/>
      </c>
      <c r="H63" s="18"/>
      <c r="I63" s="18"/>
      <c r="J63" s="19" t="str">
        <f t="shared" ca="1" si="5"/>
        <v/>
      </c>
      <c r="K63" s="16"/>
      <c r="L63" s="16"/>
      <c r="M63" s="16"/>
    </row>
    <row r="64" spans="1:13" ht="16" x14ac:dyDescent="0.2">
      <c r="A64" s="15" t="str">
        <f t="shared" si="3"/>
        <v/>
      </c>
      <c r="B64" s="20"/>
      <c r="C64" s="20"/>
      <c r="D64" s="20"/>
      <c r="E64" s="20"/>
      <c r="F64" s="22"/>
      <c r="G64" s="19" t="str">
        <f t="shared" ca="1" si="4"/>
        <v/>
      </c>
      <c r="H64" s="22"/>
      <c r="I64" s="22"/>
      <c r="J64" s="19" t="str">
        <f t="shared" ca="1" si="5"/>
        <v/>
      </c>
      <c r="K64" s="20"/>
      <c r="L64" s="20"/>
      <c r="M64" s="20"/>
    </row>
    <row r="65" spans="1:13" ht="16" x14ac:dyDescent="0.2">
      <c r="A65" s="15" t="str">
        <f t="shared" si="3"/>
        <v/>
      </c>
      <c r="B65" s="16"/>
      <c r="C65" s="16"/>
      <c r="D65" s="16"/>
      <c r="E65" s="16"/>
      <c r="F65" s="18"/>
      <c r="G65" s="19" t="str">
        <f t="shared" ca="1" si="4"/>
        <v/>
      </c>
      <c r="H65" s="18"/>
      <c r="I65" s="18"/>
      <c r="J65" s="19" t="str">
        <f t="shared" ca="1" si="5"/>
        <v/>
      </c>
      <c r="K65" s="16"/>
      <c r="L65" s="16"/>
      <c r="M65" s="16"/>
    </row>
    <row r="66" spans="1:13" ht="16" x14ac:dyDescent="0.2">
      <c r="A66" s="15" t="str">
        <f t="shared" si="3"/>
        <v/>
      </c>
      <c r="B66" s="20"/>
      <c r="C66" s="20"/>
      <c r="D66" s="20"/>
      <c r="E66" s="20"/>
      <c r="F66" s="22"/>
      <c r="G66" s="19" t="str">
        <f t="shared" ca="1" si="4"/>
        <v/>
      </c>
      <c r="H66" s="22"/>
      <c r="I66" s="22"/>
      <c r="J66" s="19" t="str">
        <f t="shared" ca="1" si="5"/>
        <v/>
      </c>
      <c r="K66" s="20"/>
      <c r="L66" s="20"/>
      <c r="M66" s="20"/>
    </row>
    <row r="67" spans="1:13" ht="16" x14ac:dyDescent="0.2">
      <c r="A67" s="15" t="str">
        <f t="shared" si="3"/>
        <v/>
      </c>
      <c r="B67" s="16"/>
      <c r="C67" s="16"/>
      <c r="D67" s="16"/>
      <c r="E67" s="16"/>
      <c r="F67" s="18"/>
      <c r="G67" s="19" t="str">
        <f t="shared" ca="1" si="4"/>
        <v/>
      </c>
      <c r="H67" s="18"/>
      <c r="I67" s="18"/>
      <c r="J67" s="19" t="str">
        <f t="shared" ca="1" si="5"/>
        <v/>
      </c>
      <c r="K67" s="16"/>
      <c r="L67" s="16"/>
      <c r="M67" s="16"/>
    </row>
    <row r="68" spans="1:13" ht="16" x14ac:dyDescent="0.2">
      <c r="A68" s="15" t="str">
        <f t="shared" si="3"/>
        <v/>
      </c>
      <c r="B68" s="20"/>
      <c r="C68" s="20"/>
      <c r="D68" s="20"/>
      <c r="E68" s="20"/>
      <c r="F68" s="22"/>
      <c r="G68" s="19" t="str">
        <f t="shared" ca="1" si="4"/>
        <v/>
      </c>
      <c r="H68" s="22"/>
      <c r="I68" s="22"/>
      <c r="J68" s="19" t="str">
        <f t="shared" ca="1" si="5"/>
        <v/>
      </c>
      <c r="K68" s="20"/>
      <c r="L68" s="20"/>
      <c r="M68" s="20"/>
    </row>
    <row r="69" spans="1:13" ht="16" x14ac:dyDescent="0.2">
      <c r="A69" s="15" t="str">
        <f t="shared" ref="A69:A100" si="6">IF(B69="","",ROW()-4)</f>
        <v/>
      </c>
      <c r="B69" s="16"/>
      <c r="C69" s="16"/>
      <c r="D69" s="16"/>
      <c r="E69" s="16"/>
      <c r="F69" s="18"/>
      <c r="G69" s="19" t="str">
        <f t="shared" ref="G69:G100" ca="1" si="7">IF(F69="","",IF(H69="",TODAY()-F69,H69-F69))</f>
        <v/>
      </c>
      <c r="H69" s="18"/>
      <c r="I69" s="18"/>
      <c r="J69" s="19" t="str">
        <f t="shared" ref="J69:J100" ca="1" si="8">IF(I69="","",IF(OR(E69="Resubmitted",E69="Accepted",E69="Rejected",E69="Withdrawn"),"—",I69-TODAY()))</f>
        <v/>
      </c>
      <c r="K69" s="16"/>
      <c r="L69" s="16"/>
      <c r="M69" s="16"/>
    </row>
    <row r="70" spans="1:13" ht="16" x14ac:dyDescent="0.2">
      <c r="A70" s="15" t="str">
        <f t="shared" si="6"/>
        <v/>
      </c>
      <c r="B70" s="20"/>
      <c r="C70" s="20"/>
      <c r="D70" s="20"/>
      <c r="E70" s="20"/>
      <c r="F70" s="22"/>
      <c r="G70" s="19" t="str">
        <f t="shared" ca="1" si="7"/>
        <v/>
      </c>
      <c r="H70" s="22"/>
      <c r="I70" s="22"/>
      <c r="J70" s="19" t="str">
        <f t="shared" ca="1" si="8"/>
        <v/>
      </c>
      <c r="K70" s="20"/>
      <c r="L70" s="20"/>
      <c r="M70" s="20"/>
    </row>
    <row r="71" spans="1:13" ht="16" x14ac:dyDescent="0.2">
      <c r="A71" s="15" t="str">
        <f t="shared" si="6"/>
        <v/>
      </c>
      <c r="B71" s="16"/>
      <c r="C71" s="16"/>
      <c r="D71" s="16"/>
      <c r="E71" s="16"/>
      <c r="F71" s="18"/>
      <c r="G71" s="19" t="str">
        <f t="shared" ca="1" si="7"/>
        <v/>
      </c>
      <c r="H71" s="18"/>
      <c r="I71" s="18"/>
      <c r="J71" s="19" t="str">
        <f t="shared" ca="1" si="8"/>
        <v/>
      </c>
      <c r="K71" s="16"/>
      <c r="L71" s="16"/>
      <c r="M71" s="16"/>
    </row>
    <row r="72" spans="1:13" ht="16" x14ac:dyDescent="0.2">
      <c r="A72" s="15" t="str">
        <f t="shared" si="6"/>
        <v/>
      </c>
      <c r="B72" s="20"/>
      <c r="C72" s="20"/>
      <c r="D72" s="20"/>
      <c r="E72" s="20"/>
      <c r="F72" s="22"/>
      <c r="G72" s="19" t="str">
        <f t="shared" ca="1" si="7"/>
        <v/>
      </c>
      <c r="H72" s="22"/>
      <c r="I72" s="22"/>
      <c r="J72" s="19" t="str">
        <f t="shared" ca="1" si="8"/>
        <v/>
      </c>
      <c r="K72" s="20"/>
      <c r="L72" s="20"/>
      <c r="M72" s="20"/>
    </row>
    <row r="73" spans="1:13" ht="16" x14ac:dyDescent="0.2">
      <c r="A73" s="15" t="str">
        <f t="shared" si="6"/>
        <v/>
      </c>
      <c r="B73" s="16"/>
      <c r="C73" s="16"/>
      <c r="D73" s="16"/>
      <c r="E73" s="16"/>
      <c r="F73" s="18"/>
      <c r="G73" s="19" t="str">
        <f t="shared" ca="1" si="7"/>
        <v/>
      </c>
      <c r="H73" s="18"/>
      <c r="I73" s="18"/>
      <c r="J73" s="19" t="str">
        <f t="shared" ca="1" si="8"/>
        <v/>
      </c>
      <c r="K73" s="16"/>
      <c r="L73" s="16"/>
      <c r="M73" s="16"/>
    </row>
    <row r="74" spans="1:13" ht="16" x14ac:dyDescent="0.2">
      <c r="A74" s="15" t="str">
        <f t="shared" si="6"/>
        <v/>
      </c>
      <c r="B74" s="20"/>
      <c r="C74" s="20"/>
      <c r="D74" s="20"/>
      <c r="E74" s="20"/>
      <c r="F74" s="22"/>
      <c r="G74" s="19" t="str">
        <f t="shared" ca="1" si="7"/>
        <v/>
      </c>
      <c r="H74" s="22"/>
      <c r="I74" s="22"/>
      <c r="J74" s="19" t="str">
        <f t="shared" ca="1" si="8"/>
        <v/>
      </c>
      <c r="K74" s="20"/>
      <c r="L74" s="20"/>
      <c r="M74" s="20"/>
    </row>
    <row r="75" spans="1:13" ht="16" x14ac:dyDescent="0.2">
      <c r="A75" s="15" t="str">
        <f t="shared" si="6"/>
        <v/>
      </c>
      <c r="B75" s="16"/>
      <c r="C75" s="16"/>
      <c r="D75" s="16"/>
      <c r="E75" s="16"/>
      <c r="F75" s="18"/>
      <c r="G75" s="19" t="str">
        <f t="shared" ca="1" si="7"/>
        <v/>
      </c>
      <c r="H75" s="18"/>
      <c r="I75" s="18"/>
      <c r="J75" s="19" t="str">
        <f t="shared" ca="1" si="8"/>
        <v/>
      </c>
      <c r="K75" s="16"/>
      <c r="L75" s="16"/>
      <c r="M75" s="16"/>
    </row>
    <row r="76" spans="1:13" ht="16" x14ac:dyDescent="0.2">
      <c r="A76" s="15" t="str">
        <f t="shared" si="6"/>
        <v/>
      </c>
      <c r="B76" s="20"/>
      <c r="C76" s="20"/>
      <c r="D76" s="20"/>
      <c r="E76" s="20"/>
      <c r="F76" s="22"/>
      <c r="G76" s="19" t="str">
        <f t="shared" ca="1" si="7"/>
        <v/>
      </c>
      <c r="H76" s="22"/>
      <c r="I76" s="22"/>
      <c r="J76" s="19" t="str">
        <f t="shared" ca="1" si="8"/>
        <v/>
      </c>
      <c r="K76" s="20"/>
      <c r="L76" s="20"/>
      <c r="M76" s="20"/>
    </row>
    <row r="77" spans="1:13" ht="16" x14ac:dyDescent="0.2">
      <c r="A77" s="15" t="str">
        <f t="shared" si="6"/>
        <v/>
      </c>
      <c r="B77" s="16"/>
      <c r="C77" s="16"/>
      <c r="D77" s="16"/>
      <c r="E77" s="16"/>
      <c r="F77" s="18"/>
      <c r="G77" s="19" t="str">
        <f t="shared" ca="1" si="7"/>
        <v/>
      </c>
      <c r="H77" s="18"/>
      <c r="I77" s="18"/>
      <c r="J77" s="19" t="str">
        <f t="shared" ca="1" si="8"/>
        <v/>
      </c>
      <c r="K77" s="16"/>
      <c r="L77" s="16"/>
      <c r="M77" s="16"/>
    </row>
    <row r="78" spans="1:13" ht="16" x14ac:dyDescent="0.2">
      <c r="A78" s="15" t="str">
        <f t="shared" si="6"/>
        <v/>
      </c>
      <c r="B78" s="20"/>
      <c r="C78" s="20"/>
      <c r="D78" s="20"/>
      <c r="E78" s="20"/>
      <c r="F78" s="22"/>
      <c r="G78" s="19" t="str">
        <f t="shared" ca="1" si="7"/>
        <v/>
      </c>
      <c r="H78" s="22"/>
      <c r="I78" s="22"/>
      <c r="J78" s="19" t="str">
        <f t="shared" ca="1" si="8"/>
        <v/>
      </c>
      <c r="K78" s="20"/>
      <c r="L78" s="20"/>
      <c r="M78" s="20"/>
    </row>
    <row r="79" spans="1:13" ht="16" x14ac:dyDescent="0.2">
      <c r="A79" s="15" t="str">
        <f t="shared" si="6"/>
        <v/>
      </c>
      <c r="B79" s="16"/>
      <c r="C79" s="16"/>
      <c r="D79" s="16"/>
      <c r="E79" s="16"/>
      <c r="F79" s="18"/>
      <c r="G79" s="19" t="str">
        <f t="shared" ca="1" si="7"/>
        <v/>
      </c>
      <c r="H79" s="18"/>
      <c r="I79" s="18"/>
      <c r="J79" s="19" t="str">
        <f t="shared" ca="1" si="8"/>
        <v/>
      </c>
      <c r="K79" s="16"/>
      <c r="L79" s="16"/>
      <c r="M79" s="16"/>
    </row>
    <row r="80" spans="1:13" ht="16" x14ac:dyDescent="0.2">
      <c r="A80" s="15" t="str">
        <f t="shared" si="6"/>
        <v/>
      </c>
      <c r="B80" s="20"/>
      <c r="C80" s="20"/>
      <c r="D80" s="20"/>
      <c r="E80" s="20"/>
      <c r="F80" s="22"/>
      <c r="G80" s="19" t="str">
        <f t="shared" ca="1" si="7"/>
        <v/>
      </c>
      <c r="H80" s="22"/>
      <c r="I80" s="22"/>
      <c r="J80" s="19" t="str">
        <f t="shared" ca="1" si="8"/>
        <v/>
      </c>
      <c r="K80" s="20"/>
      <c r="L80" s="20"/>
      <c r="M80" s="20"/>
    </row>
    <row r="81" spans="1:13" ht="16" x14ac:dyDescent="0.2">
      <c r="A81" s="15" t="str">
        <f t="shared" si="6"/>
        <v/>
      </c>
      <c r="B81" s="16"/>
      <c r="C81" s="16"/>
      <c r="D81" s="16"/>
      <c r="E81" s="16"/>
      <c r="F81" s="18"/>
      <c r="G81" s="19" t="str">
        <f t="shared" ca="1" si="7"/>
        <v/>
      </c>
      <c r="H81" s="18"/>
      <c r="I81" s="18"/>
      <c r="J81" s="19" t="str">
        <f t="shared" ca="1" si="8"/>
        <v/>
      </c>
      <c r="K81" s="16"/>
      <c r="L81" s="16"/>
      <c r="M81" s="16"/>
    </row>
    <row r="82" spans="1:13" ht="16" x14ac:dyDescent="0.2">
      <c r="A82" s="15" t="str">
        <f t="shared" si="6"/>
        <v/>
      </c>
      <c r="B82" s="20"/>
      <c r="C82" s="20"/>
      <c r="D82" s="20"/>
      <c r="E82" s="20"/>
      <c r="F82" s="22"/>
      <c r="G82" s="19" t="str">
        <f t="shared" ca="1" si="7"/>
        <v/>
      </c>
      <c r="H82" s="22"/>
      <c r="I82" s="22"/>
      <c r="J82" s="19" t="str">
        <f t="shared" ca="1" si="8"/>
        <v/>
      </c>
      <c r="K82" s="20"/>
      <c r="L82" s="20"/>
      <c r="M82" s="20"/>
    </row>
    <row r="83" spans="1:13" ht="16" x14ac:dyDescent="0.2">
      <c r="A83" s="15" t="str">
        <f t="shared" si="6"/>
        <v/>
      </c>
      <c r="B83" s="16"/>
      <c r="C83" s="16"/>
      <c r="D83" s="16"/>
      <c r="E83" s="16"/>
      <c r="F83" s="18"/>
      <c r="G83" s="19" t="str">
        <f t="shared" ca="1" si="7"/>
        <v/>
      </c>
      <c r="H83" s="18"/>
      <c r="I83" s="18"/>
      <c r="J83" s="19" t="str">
        <f t="shared" ca="1" si="8"/>
        <v/>
      </c>
      <c r="K83" s="16"/>
      <c r="L83" s="16"/>
      <c r="M83" s="16"/>
    </row>
    <row r="84" spans="1:13" ht="16" x14ac:dyDescent="0.2">
      <c r="A84" s="15" t="str">
        <f t="shared" si="6"/>
        <v/>
      </c>
      <c r="B84" s="20"/>
      <c r="C84" s="20"/>
      <c r="D84" s="20"/>
      <c r="E84" s="20"/>
      <c r="F84" s="22"/>
      <c r="G84" s="19" t="str">
        <f t="shared" ca="1" si="7"/>
        <v/>
      </c>
      <c r="H84" s="22"/>
      <c r="I84" s="22"/>
      <c r="J84" s="19" t="str">
        <f t="shared" ca="1" si="8"/>
        <v/>
      </c>
      <c r="K84" s="20"/>
      <c r="L84" s="20"/>
      <c r="M84" s="20"/>
    </row>
    <row r="85" spans="1:13" ht="16" x14ac:dyDescent="0.2">
      <c r="A85" s="15" t="str">
        <f t="shared" si="6"/>
        <v/>
      </c>
      <c r="B85" s="16"/>
      <c r="C85" s="16"/>
      <c r="D85" s="16"/>
      <c r="E85" s="16"/>
      <c r="F85" s="18"/>
      <c r="G85" s="19" t="str">
        <f t="shared" ca="1" si="7"/>
        <v/>
      </c>
      <c r="H85" s="18"/>
      <c r="I85" s="18"/>
      <c r="J85" s="19" t="str">
        <f t="shared" ca="1" si="8"/>
        <v/>
      </c>
      <c r="K85" s="16"/>
      <c r="L85" s="16"/>
      <c r="M85" s="16"/>
    </row>
    <row r="86" spans="1:13" ht="16" x14ac:dyDescent="0.2">
      <c r="A86" s="15" t="str">
        <f t="shared" si="6"/>
        <v/>
      </c>
      <c r="B86" s="20"/>
      <c r="C86" s="20"/>
      <c r="D86" s="20"/>
      <c r="E86" s="20"/>
      <c r="F86" s="22"/>
      <c r="G86" s="19" t="str">
        <f t="shared" ca="1" si="7"/>
        <v/>
      </c>
      <c r="H86" s="22"/>
      <c r="I86" s="22"/>
      <c r="J86" s="19" t="str">
        <f t="shared" ca="1" si="8"/>
        <v/>
      </c>
      <c r="K86" s="20"/>
      <c r="L86" s="20"/>
      <c r="M86" s="20"/>
    </row>
    <row r="87" spans="1:13" ht="16" x14ac:dyDescent="0.2">
      <c r="A87" s="15" t="str">
        <f t="shared" si="6"/>
        <v/>
      </c>
      <c r="B87" s="16"/>
      <c r="C87" s="16"/>
      <c r="D87" s="16"/>
      <c r="E87" s="16"/>
      <c r="F87" s="18"/>
      <c r="G87" s="19" t="str">
        <f t="shared" ca="1" si="7"/>
        <v/>
      </c>
      <c r="H87" s="18"/>
      <c r="I87" s="18"/>
      <c r="J87" s="19" t="str">
        <f t="shared" ca="1" si="8"/>
        <v/>
      </c>
      <c r="K87" s="16"/>
      <c r="L87" s="16"/>
      <c r="M87" s="16"/>
    </row>
    <row r="88" spans="1:13" ht="16" x14ac:dyDescent="0.2">
      <c r="A88" s="15" t="str">
        <f t="shared" si="6"/>
        <v/>
      </c>
      <c r="B88" s="20"/>
      <c r="C88" s="20"/>
      <c r="D88" s="20"/>
      <c r="E88" s="20"/>
      <c r="F88" s="22"/>
      <c r="G88" s="19" t="str">
        <f t="shared" ca="1" si="7"/>
        <v/>
      </c>
      <c r="H88" s="22"/>
      <c r="I88" s="22"/>
      <c r="J88" s="19" t="str">
        <f t="shared" ca="1" si="8"/>
        <v/>
      </c>
      <c r="K88" s="20"/>
      <c r="L88" s="20"/>
      <c r="M88" s="20"/>
    </row>
    <row r="89" spans="1:13" ht="16" x14ac:dyDescent="0.2">
      <c r="A89" s="15" t="str">
        <f t="shared" si="6"/>
        <v/>
      </c>
      <c r="B89" s="16"/>
      <c r="C89" s="16"/>
      <c r="D89" s="16"/>
      <c r="E89" s="16"/>
      <c r="F89" s="18"/>
      <c r="G89" s="19" t="str">
        <f t="shared" ca="1" si="7"/>
        <v/>
      </c>
      <c r="H89" s="18"/>
      <c r="I89" s="18"/>
      <c r="J89" s="19" t="str">
        <f t="shared" ca="1" si="8"/>
        <v/>
      </c>
      <c r="K89" s="16"/>
      <c r="L89" s="16"/>
      <c r="M89" s="16"/>
    </row>
    <row r="90" spans="1:13" ht="16" x14ac:dyDescent="0.2">
      <c r="A90" s="15" t="str">
        <f t="shared" si="6"/>
        <v/>
      </c>
      <c r="B90" s="20"/>
      <c r="C90" s="20"/>
      <c r="D90" s="20"/>
      <c r="E90" s="20"/>
      <c r="F90" s="22"/>
      <c r="G90" s="19" t="str">
        <f t="shared" ca="1" si="7"/>
        <v/>
      </c>
      <c r="H90" s="22"/>
      <c r="I90" s="22"/>
      <c r="J90" s="19" t="str">
        <f t="shared" ca="1" si="8"/>
        <v/>
      </c>
      <c r="K90" s="20"/>
      <c r="L90" s="20"/>
      <c r="M90" s="20"/>
    </row>
    <row r="91" spans="1:13" ht="16" x14ac:dyDescent="0.2">
      <c r="A91" s="15" t="str">
        <f t="shared" si="6"/>
        <v/>
      </c>
      <c r="B91" s="16"/>
      <c r="C91" s="16"/>
      <c r="D91" s="16"/>
      <c r="E91" s="16"/>
      <c r="F91" s="18"/>
      <c r="G91" s="19" t="str">
        <f t="shared" ca="1" si="7"/>
        <v/>
      </c>
      <c r="H91" s="18"/>
      <c r="I91" s="18"/>
      <c r="J91" s="19" t="str">
        <f t="shared" ca="1" si="8"/>
        <v/>
      </c>
      <c r="K91" s="16"/>
      <c r="L91" s="16"/>
      <c r="M91" s="16"/>
    </row>
    <row r="92" spans="1:13" ht="16" x14ac:dyDescent="0.2">
      <c r="A92" s="15" t="str">
        <f t="shared" si="6"/>
        <v/>
      </c>
      <c r="B92" s="20"/>
      <c r="C92" s="20"/>
      <c r="D92" s="20"/>
      <c r="E92" s="20"/>
      <c r="F92" s="22"/>
      <c r="G92" s="19" t="str">
        <f t="shared" ca="1" si="7"/>
        <v/>
      </c>
      <c r="H92" s="22"/>
      <c r="I92" s="22"/>
      <c r="J92" s="19" t="str">
        <f t="shared" ca="1" si="8"/>
        <v/>
      </c>
      <c r="K92" s="20"/>
      <c r="L92" s="20"/>
      <c r="M92" s="20"/>
    </row>
    <row r="93" spans="1:13" ht="16" x14ac:dyDescent="0.2">
      <c r="A93" s="15" t="str">
        <f t="shared" si="6"/>
        <v/>
      </c>
      <c r="B93" s="16"/>
      <c r="C93" s="16"/>
      <c r="D93" s="16"/>
      <c r="E93" s="16"/>
      <c r="F93" s="18"/>
      <c r="G93" s="19" t="str">
        <f t="shared" ca="1" si="7"/>
        <v/>
      </c>
      <c r="H93" s="18"/>
      <c r="I93" s="18"/>
      <c r="J93" s="19" t="str">
        <f t="shared" ca="1" si="8"/>
        <v/>
      </c>
      <c r="K93" s="16"/>
      <c r="L93" s="16"/>
      <c r="M93" s="16"/>
    </row>
    <row r="94" spans="1:13" ht="16" x14ac:dyDescent="0.2">
      <c r="A94" s="15" t="str">
        <f t="shared" si="6"/>
        <v/>
      </c>
      <c r="B94" s="20"/>
      <c r="C94" s="20"/>
      <c r="D94" s="20"/>
      <c r="E94" s="20"/>
      <c r="F94" s="22"/>
      <c r="G94" s="19" t="str">
        <f t="shared" ca="1" si="7"/>
        <v/>
      </c>
      <c r="H94" s="22"/>
      <c r="I94" s="22"/>
      <c r="J94" s="19" t="str">
        <f t="shared" ca="1" si="8"/>
        <v/>
      </c>
      <c r="K94" s="20"/>
      <c r="L94" s="20"/>
      <c r="M94" s="20"/>
    </row>
    <row r="95" spans="1:13" ht="16" x14ac:dyDescent="0.2">
      <c r="A95" s="15" t="str">
        <f t="shared" si="6"/>
        <v/>
      </c>
      <c r="B95" s="16"/>
      <c r="C95" s="16"/>
      <c r="D95" s="16"/>
      <c r="E95" s="16"/>
      <c r="F95" s="18"/>
      <c r="G95" s="19" t="str">
        <f t="shared" ca="1" si="7"/>
        <v/>
      </c>
      <c r="H95" s="18"/>
      <c r="I95" s="18"/>
      <c r="J95" s="19" t="str">
        <f t="shared" ca="1" si="8"/>
        <v/>
      </c>
      <c r="K95" s="16"/>
      <c r="L95" s="16"/>
      <c r="M95" s="16"/>
    </row>
    <row r="96" spans="1:13" ht="16" x14ac:dyDescent="0.2">
      <c r="A96" s="15" t="str">
        <f t="shared" si="6"/>
        <v/>
      </c>
      <c r="B96" s="20"/>
      <c r="C96" s="20"/>
      <c r="D96" s="20"/>
      <c r="E96" s="20"/>
      <c r="F96" s="22"/>
      <c r="G96" s="19" t="str">
        <f t="shared" ca="1" si="7"/>
        <v/>
      </c>
      <c r="H96" s="22"/>
      <c r="I96" s="22"/>
      <c r="J96" s="19" t="str">
        <f t="shared" ca="1" si="8"/>
        <v/>
      </c>
      <c r="K96" s="20"/>
      <c r="L96" s="20"/>
      <c r="M96" s="20"/>
    </row>
    <row r="97" spans="1:13" ht="16" x14ac:dyDescent="0.2">
      <c r="A97" s="15" t="str">
        <f t="shared" si="6"/>
        <v/>
      </c>
      <c r="B97" s="16"/>
      <c r="C97" s="16"/>
      <c r="D97" s="16"/>
      <c r="E97" s="16"/>
      <c r="F97" s="18"/>
      <c r="G97" s="19" t="str">
        <f t="shared" ca="1" si="7"/>
        <v/>
      </c>
      <c r="H97" s="18"/>
      <c r="I97" s="18"/>
      <c r="J97" s="19" t="str">
        <f t="shared" ca="1" si="8"/>
        <v/>
      </c>
      <c r="K97" s="16"/>
      <c r="L97" s="16"/>
      <c r="M97" s="16"/>
    </row>
    <row r="98" spans="1:13" ht="16" x14ac:dyDescent="0.2">
      <c r="A98" s="15" t="str">
        <f t="shared" si="6"/>
        <v/>
      </c>
      <c r="B98" s="20"/>
      <c r="C98" s="20"/>
      <c r="D98" s="20"/>
      <c r="E98" s="20"/>
      <c r="F98" s="22"/>
      <c r="G98" s="19" t="str">
        <f t="shared" ca="1" si="7"/>
        <v/>
      </c>
      <c r="H98" s="22"/>
      <c r="I98" s="22"/>
      <c r="J98" s="19" t="str">
        <f t="shared" ca="1" si="8"/>
        <v/>
      </c>
      <c r="K98" s="20"/>
      <c r="L98" s="20"/>
      <c r="M98" s="20"/>
    </row>
    <row r="99" spans="1:13" ht="16" x14ac:dyDescent="0.2">
      <c r="A99" s="15" t="str">
        <f t="shared" si="6"/>
        <v/>
      </c>
      <c r="B99" s="16"/>
      <c r="C99" s="16"/>
      <c r="D99" s="16"/>
      <c r="E99" s="16"/>
      <c r="F99" s="18"/>
      <c r="G99" s="19" t="str">
        <f t="shared" ca="1" si="7"/>
        <v/>
      </c>
      <c r="H99" s="18"/>
      <c r="I99" s="18"/>
      <c r="J99" s="19" t="str">
        <f t="shared" ca="1" si="8"/>
        <v/>
      </c>
      <c r="K99" s="16"/>
      <c r="L99" s="16"/>
      <c r="M99" s="16"/>
    </row>
    <row r="100" spans="1:13" ht="16" x14ac:dyDescent="0.2">
      <c r="A100" s="15" t="str">
        <f t="shared" si="6"/>
        <v/>
      </c>
      <c r="B100" s="20"/>
      <c r="C100" s="20"/>
      <c r="D100" s="20"/>
      <c r="E100" s="20"/>
      <c r="F100" s="22"/>
      <c r="G100" s="19" t="str">
        <f t="shared" ca="1" si="7"/>
        <v/>
      </c>
      <c r="H100" s="22"/>
      <c r="I100" s="22"/>
      <c r="J100" s="19" t="str">
        <f t="shared" ca="1" si="8"/>
        <v/>
      </c>
      <c r="K100" s="20"/>
      <c r="L100" s="20"/>
      <c r="M100" s="20"/>
    </row>
    <row r="101" spans="1:13" ht="16" x14ac:dyDescent="0.2">
      <c r="A101" s="15" t="str">
        <f t="shared" ref="A101:A132" si="9">IF(B101="","",ROW()-4)</f>
        <v/>
      </c>
      <c r="B101" s="16"/>
      <c r="C101" s="16"/>
      <c r="D101" s="16"/>
      <c r="E101" s="16"/>
      <c r="F101" s="18"/>
      <c r="G101" s="19" t="str">
        <f t="shared" ref="G101:G132" ca="1" si="10">IF(F101="","",IF(H101="",TODAY()-F101,H101-F101))</f>
        <v/>
      </c>
      <c r="H101" s="18"/>
      <c r="I101" s="18"/>
      <c r="J101" s="19" t="str">
        <f t="shared" ref="J101:J132" ca="1" si="11">IF(I101="","",IF(OR(E101="Resubmitted",E101="Accepted",E101="Rejected",E101="Withdrawn"),"—",I101-TODAY()))</f>
        <v/>
      </c>
      <c r="K101" s="16"/>
      <c r="L101" s="16"/>
      <c r="M101" s="16"/>
    </row>
    <row r="102" spans="1:13" ht="16" x14ac:dyDescent="0.2">
      <c r="A102" s="15" t="str">
        <f t="shared" si="9"/>
        <v/>
      </c>
      <c r="B102" s="20"/>
      <c r="C102" s="20"/>
      <c r="D102" s="20"/>
      <c r="E102" s="20"/>
      <c r="F102" s="22"/>
      <c r="G102" s="19" t="str">
        <f t="shared" ca="1" si="10"/>
        <v/>
      </c>
      <c r="H102" s="22"/>
      <c r="I102" s="22"/>
      <c r="J102" s="19" t="str">
        <f t="shared" ca="1" si="11"/>
        <v/>
      </c>
      <c r="K102" s="20"/>
      <c r="L102" s="20"/>
      <c r="M102" s="20"/>
    </row>
    <row r="103" spans="1:13" ht="16" x14ac:dyDescent="0.2">
      <c r="A103" s="15" t="str">
        <f t="shared" si="9"/>
        <v/>
      </c>
      <c r="B103" s="16"/>
      <c r="C103" s="16"/>
      <c r="D103" s="16"/>
      <c r="E103" s="16"/>
      <c r="F103" s="18"/>
      <c r="G103" s="19" t="str">
        <f t="shared" ca="1" si="10"/>
        <v/>
      </c>
      <c r="H103" s="18"/>
      <c r="I103" s="18"/>
      <c r="J103" s="19" t="str">
        <f t="shared" ca="1" si="11"/>
        <v/>
      </c>
      <c r="K103" s="16"/>
      <c r="L103" s="16"/>
      <c r="M103" s="16"/>
    </row>
    <row r="104" spans="1:13" ht="16" x14ac:dyDescent="0.2">
      <c r="A104" s="15" t="str">
        <f t="shared" si="9"/>
        <v/>
      </c>
      <c r="B104" s="20"/>
      <c r="C104" s="20"/>
      <c r="D104" s="20"/>
      <c r="E104" s="20"/>
      <c r="F104" s="22"/>
      <c r="G104" s="19" t="str">
        <f t="shared" ca="1" si="10"/>
        <v/>
      </c>
      <c r="H104" s="22"/>
      <c r="I104" s="22"/>
      <c r="J104" s="19" t="str">
        <f t="shared" ca="1" si="11"/>
        <v/>
      </c>
      <c r="K104" s="20"/>
      <c r="L104" s="20"/>
      <c r="M104" s="20"/>
    </row>
    <row r="105" spans="1:13" ht="16" x14ac:dyDescent="0.2">
      <c r="A105" s="15" t="str">
        <f t="shared" si="9"/>
        <v/>
      </c>
      <c r="B105" s="16"/>
      <c r="C105" s="16"/>
      <c r="D105" s="16"/>
      <c r="E105" s="16"/>
      <c r="F105" s="18"/>
      <c r="G105" s="19" t="str">
        <f t="shared" ca="1" si="10"/>
        <v/>
      </c>
      <c r="H105" s="18"/>
      <c r="I105" s="18"/>
      <c r="J105" s="19" t="str">
        <f t="shared" ca="1" si="11"/>
        <v/>
      </c>
      <c r="K105" s="16"/>
      <c r="L105" s="16"/>
      <c r="M105" s="16"/>
    </row>
    <row r="106" spans="1:13" ht="16" x14ac:dyDescent="0.2">
      <c r="A106" s="15" t="str">
        <f t="shared" si="9"/>
        <v/>
      </c>
      <c r="B106" s="20"/>
      <c r="C106" s="20"/>
      <c r="D106" s="20"/>
      <c r="E106" s="20"/>
      <c r="F106" s="22"/>
      <c r="G106" s="19" t="str">
        <f t="shared" ca="1" si="10"/>
        <v/>
      </c>
      <c r="H106" s="22"/>
      <c r="I106" s="22"/>
      <c r="J106" s="19" t="str">
        <f t="shared" ca="1" si="11"/>
        <v/>
      </c>
      <c r="K106" s="20"/>
      <c r="L106" s="20"/>
      <c r="M106" s="20"/>
    </row>
    <row r="107" spans="1:13" ht="16" x14ac:dyDescent="0.2">
      <c r="A107" s="15" t="str">
        <f t="shared" si="9"/>
        <v/>
      </c>
      <c r="B107" s="16"/>
      <c r="C107" s="16"/>
      <c r="D107" s="16"/>
      <c r="E107" s="16"/>
      <c r="F107" s="18"/>
      <c r="G107" s="19" t="str">
        <f t="shared" ca="1" si="10"/>
        <v/>
      </c>
      <c r="H107" s="18"/>
      <c r="I107" s="18"/>
      <c r="J107" s="19" t="str">
        <f t="shared" ca="1" si="11"/>
        <v/>
      </c>
      <c r="K107" s="16"/>
      <c r="L107" s="16"/>
      <c r="M107" s="16"/>
    </row>
    <row r="108" spans="1:13" ht="16" x14ac:dyDescent="0.2">
      <c r="A108" s="15" t="str">
        <f t="shared" si="9"/>
        <v/>
      </c>
      <c r="B108" s="20"/>
      <c r="C108" s="20"/>
      <c r="D108" s="20"/>
      <c r="E108" s="20"/>
      <c r="F108" s="22"/>
      <c r="G108" s="19" t="str">
        <f t="shared" ca="1" si="10"/>
        <v/>
      </c>
      <c r="H108" s="22"/>
      <c r="I108" s="22"/>
      <c r="J108" s="19" t="str">
        <f t="shared" ca="1" si="11"/>
        <v/>
      </c>
      <c r="K108" s="20"/>
      <c r="L108" s="20"/>
      <c r="M108" s="20"/>
    </row>
    <row r="109" spans="1:13" ht="16" x14ac:dyDescent="0.2">
      <c r="A109" s="15" t="str">
        <f t="shared" si="9"/>
        <v/>
      </c>
      <c r="B109" s="16"/>
      <c r="C109" s="16"/>
      <c r="D109" s="16"/>
      <c r="E109" s="16"/>
      <c r="F109" s="18"/>
      <c r="G109" s="19" t="str">
        <f t="shared" ca="1" si="10"/>
        <v/>
      </c>
      <c r="H109" s="18"/>
      <c r="I109" s="18"/>
      <c r="J109" s="19" t="str">
        <f t="shared" ca="1" si="11"/>
        <v/>
      </c>
      <c r="K109" s="16"/>
      <c r="L109" s="16"/>
      <c r="M109" s="16"/>
    </row>
    <row r="110" spans="1:13" ht="16" x14ac:dyDescent="0.2">
      <c r="A110" s="15" t="str">
        <f t="shared" si="9"/>
        <v/>
      </c>
      <c r="B110" s="20"/>
      <c r="C110" s="20"/>
      <c r="D110" s="20"/>
      <c r="E110" s="20"/>
      <c r="F110" s="22"/>
      <c r="G110" s="19" t="str">
        <f t="shared" ca="1" si="10"/>
        <v/>
      </c>
      <c r="H110" s="22"/>
      <c r="I110" s="22"/>
      <c r="J110" s="19" t="str">
        <f t="shared" ca="1" si="11"/>
        <v/>
      </c>
      <c r="K110" s="20"/>
      <c r="L110" s="20"/>
      <c r="M110" s="20"/>
    </row>
    <row r="111" spans="1:13" ht="16" x14ac:dyDescent="0.2">
      <c r="A111" s="15" t="str">
        <f t="shared" si="9"/>
        <v/>
      </c>
      <c r="B111" s="16"/>
      <c r="C111" s="16"/>
      <c r="D111" s="16"/>
      <c r="E111" s="16"/>
      <c r="F111" s="18"/>
      <c r="G111" s="19" t="str">
        <f t="shared" ca="1" si="10"/>
        <v/>
      </c>
      <c r="H111" s="18"/>
      <c r="I111" s="18"/>
      <c r="J111" s="19" t="str">
        <f t="shared" ca="1" si="11"/>
        <v/>
      </c>
      <c r="K111" s="16"/>
      <c r="L111" s="16"/>
      <c r="M111" s="16"/>
    </row>
    <row r="112" spans="1:13" ht="16" x14ac:dyDescent="0.2">
      <c r="A112" s="15" t="str">
        <f t="shared" si="9"/>
        <v/>
      </c>
      <c r="B112" s="20"/>
      <c r="C112" s="20"/>
      <c r="D112" s="20"/>
      <c r="E112" s="20"/>
      <c r="F112" s="22"/>
      <c r="G112" s="19" t="str">
        <f t="shared" ca="1" si="10"/>
        <v/>
      </c>
      <c r="H112" s="22"/>
      <c r="I112" s="22"/>
      <c r="J112" s="19" t="str">
        <f t="shared" ca="1" si="11"/>
        <v/>
      </c>
      <c r="K112" s="20"/>
      <c r="L112" s="20"/>
      <c r="M112" s="20"/>
    </row>
    <row r="113" spans="1:13" ht="16" x14ac:dyDescent="0.2">
      <c r="A113" s="15" t="str">
        <f t="shared" si="9"/>
        <v/>
      </c>
      <c r="B113" s="16"/>
      <c r="C113" s="16"/>
      <c r="D113" s="16"/>
      <c r="E113" s="16"/>
      <c r="F113" s="18"/>
      <c r="G113" s="19" t="str">
        <f t="shared" ca="1" si="10"/>
        <v/>
      </c>
      <c r="H113" s="18"/>
      <c r="I113" s="18"/>
      <c r="J113" s="19" t="str">
        <f t="shared" ca="1" si="11"/>
        <v/>
      </c>
      <c r="K113" s="16"/>
      <c r="L113" s="16"/>
      <c r="M113" s="16"/>
    </row>
    <row r="114" spans="1:13" ht="16" x14ac:dyDescent="0.2">
      <c r="A114" s="15" t="str">
        <f t="shared" si="9"/>
        <v/>
      </c>
      <c r="B114" s="20"/>
      <c r="C114" s="20"/>
      <c r="D114" s="20"/>
      <c r="E114" s="20"/>
      <c r="F114" s="22"/>
      <c r="G114" s="19" t="str">
        <f t="shared" ca="1" si="10"/>
        <v/>
      </c>
      <c r="H114" s="22"/>
      <c r="I114" s="22"/>
      <c r="J114" s="19" t="str">
        <f t="shared" ca="1" si="11"/>
        <v/>
      </c>
      <c r="K114" s="20"/>
      <c r="L114" s="20"/>
      <c r="M114" s="20"/>
    </row>
    <row r="115" spans="1:13" ht="16" x14ac:dyDescent="0.2">
      <c r="A115" s="15" t="str">
        <f t="shared" si="9"/>
        <v/>
      </c>
      <c r="B115" s="16"/>
      <c r="C115" s="16"/>
      <c r="D115" s="16"/>
      <c r="E115" s="16"/>
      <c r="F115" s="18"/>
      <c r="G115" s="19" t="str">
        <f t="shared" ca="1" si="10"/>
        <v/>
      </c>
      <c r="H115" s="18"/>
      <c r="I115" s="18"/>
      <c r="J115" s="19" t="str">
        <f t="shared" ca="1" si="11"/>
        <v/>
      </c>
      <c r="K115" s="16"/>
      <c r="L115" s="16"/>
      <c r="M115" s="16"/>
    </row>
    <row r="116" spans="1:13" ht="16" x14ac:dyDescent="0.2">
      <c r="A116" s="15" t="str">
        <f t="shared" si="9"/>
        <v/>
      </c>
      <c r="B116" s="20"/>
      <c r="C116" s="20"/>
      <c r="D116" s="20"/>
      <c r="E116" s="20"/>
      <c r="F116" s="22"/>
      <c r="G116" s="19" t="str">
        <f t="shared" ca="1" si="10"/>
        <v/>
      </c>
      <c r="H116" s="22"/>
      <c r="I116" s="22"/>
      <c r="J116" s="19" t="str">
        <f t="shared" ca="1" si="11"/>
        <v/>
      </c>
      <c r="K116" s="20"/>
      <c r="L116" s="20"/>
      <c r="M116" s="20"/>
    </row>
    <row r="117" spans="1:13" ht="16" x14ac:dyDescent="0.2">
      <c r="A117" s="15" t="str">
        <f t="shared" si="9"/>
        <v/>
      </c>
      <c r="B117" s="16"/>
      <c r="C117" s="16"/>
      <c r="D117" s="16"/>
      <c r="E117" s="16"/>
      <c r="F117" s="18"/>
      <c r="G117" s="19" t="str">
        <f t="shared" ca="1" si="10"/>
        <v/>
      </c>
      <c r="H117" s="18"/>
      <c r="I117" s="18"/>
      <c r="J117" s="19" t="str">
        <f t="shared" ca="1" si="11"/>
        <v/>
      </c>
      <c r="K117" s="16"/>
      <c r="L117" s="16"/>
      <c r="M117" s="16"/>
    </row>
    <row r="118" spans="1:13" ht="16" x14ac:dyDescent="0.2">
      <c r="A118" s="15" t="str">
        <f t="shared" si="9"/>
        <v/>
      </c>
      <c r="B118" s="20"/>
      <c r="C118" s="20"/>
      <c r="D118" s="20"/>
      <c r="E118" s="20"/>
      <c r="F118" s="22"/>
      <c r="G118" s="19" t="str">
        <f t="shared" ca="1" si="10"/>
        <v/>
      </c>
      <c r="H118" s="22"/>
      <c r="I118" s="22"/>
      <c r="J118" s="19" t="str">
        <f t="shared" ca="1" si="11"/>
        <v/>
      </c>
      <c r="K118" s="20"/>
      <c r="L118" s="20"/>
      <c r="M118" s="20"/>
    </row>
    <row r="119" spans="1:13" ht="16" x14ac:dyDescent="0.2">
      <c r="A119" s="15" t="str">
        <f t="shared" si="9"/>
        <v/>
      </c>
      <c r="B119" s="16"/>
      <c r="C119" s="16"/>
      <c r="D119" s="16"/>
      <c r="E119" s="16"/>
      <c r="F119" s="18"/>
      <c r="G119" s="19" t="str">
        <f t="shared" ca="1" si="10"/>
        <v/>
      </c>
      <c r="H119" s="18"/>
      <c r="I119" s="18"/>
      <c r="J119" s="19" t="str">
        <f t="shared" ca="1" si="11"/>
        <v/>
      </c>
      <c r="K119" s="16"/>
      <c r="L119" s="16"/>
      <c r="M119" s="16"/>
    </row>
    <row r="120" spans="1:13" ht="16" x14ac:dyDescent="0.2">
      <c r="A120" s="15" t="str">
        <f t="shared" si="9"/>
        <v/>
      </c>
      <c r="B120" s="20"/>
      <c r="C120" s="20"/>
      <c r="D120" s="20"/>
      <c r="E120" s="20"/>
      <c r="F120" s="22"/>
      <c r="G120" s="19" t="str">
        <f t="shared" ca="1" si="10"/>
        <v/>
      </c>
      <c r="H120" s="22"/>
      <c r="I120" s="22"/>
      <c r="J120" s="19" t="str">
        <f t="shared" ca="1" si="11"/>
        <v/>
      </c>
      <c r="K120" s="20"/>
      <c r="L120" s="20"/>
      <c r="M120" s="20"/>
    </row>
    <row r="121" spans="1:13" ht="16" x14ac:dyDescent="0.2">
      <c r="A121" s="15" t="str">
        <f t="shared" si="9"/>
        <v/>
      </c>
      <c r="B121" s="16"/>
      <c r="C121" s="16"/>
      <c r="D121" s="16"/>
      <c r="E121" s="16"/>
      <c r="F121" s="18"/>
      <c r="G121" s="19" t="str">
        <f t="shared" ca="1" si="10"/>
        <v/>
      </c>
      <c r="H121" s="18"/>
      <c r="I121" s="18"/>
      <c r="J121" s="19" t="str">
        <f t="shared" ca="1" si="11"/>
        <v/>
      </c>
      <c r="K121" s="16"/>
      <c r="L121" s="16"/>
      <c r="M121" s="16"/>
    </row>
    <row r="122" spans="1:13" ht="16" x14ac:dyDescent="0.2">
      <c r="A122" s="15" t="str">
        <f t="shared" si="9"/>
        <v/>
      </c>
      <c r="B122" s="20"/>
      <c r="C122" s="20"/>
      <c r="D122" s="20"/>
      <c r="E122" s="20"/>
      <c r="F122" s="22"/>
      <c r="G122" s="19" t="str">
        <f t="shared" ca="1" si="10"/>
        <v/>
      </c>
      <c r="H122" s="22"/>
      <c r="I122" s="22"/>
      <c r="J122" s="19" t="str">
        <f t="shared" ca="1" si="11"/>
        <v/>
      </c>
      <c r="K122" s="20"/>
      <c r="L122" s="20"/>
      <c r="M122" s="20"/>
    </row>
    <row r="123" spans="1:13" ht="16" x14ac:dyDescent="0.2">
      <c r="A123" s="15" t="str">
        <f t="shared" si="9"/>
        <v/>
      </c>
      <c r="B123" s="16"/>
      <c r="C123" s="16"/>
      <c r="D123" s="16"/>
      <c r="E123" s="16"/>
      <c r="F123" s="18"/>
      <c r="G123" s="19" t="str">
        <f t="shared" ca="1" si="10"/>
        <v/>
      </c>
      <c r="H123" s="18"/>
      <c r="I123" s="18"/>
      <c r="J123" s="19" t="str">
        <f t="shared" ca="1" si="11"/>
        <v/>
      </c>
      <c r="K123" s="16"/>
      <c r="L123" s="16"/>
      <c r="M123" s="16"/>
    </row>
    <row r="124" spans="1:13" ht="16" x14ac:dyDescent="0.2">
      <c r="A124" s="15" t="str">
        <f t="shared" si="9"/>
        <v/>
      </c>
      <c r="B124" s="20"/>
      <c r="C124" s="20"/>
      <c r="D124" s="20"/>
      <c r="E124" s="20"/>
      <c r="F124" s="22"/>
      <c r="G124" s="19" t="str">
        <f t="shared" ca="1" si="10"/>
        <v/>
      </c>
      <c r="H124" s="22"/>
      <c r="I124" s="22"/>
      <c r="J124" s="19" t="str">
        <f t="shared" ca="1" si="11"/>
        <v/>
      </c>
      <c r="K124" s="20"/>
      <c r="L124" s="20"/>
      <c r="M124" s="20"/>
    </row>
    <row r="125" spans="1:13" ht="16" x14ac:dyDescent="0.2">
      <c r="A125" s="15" t="str">
        <f t="shared" si="9"/>
        <v/>
      </c>
      <c r="B125" s="16"/>
      <c r="C125" s="16"/>
      <c r="D125" s="16"/>
      <c r="E125" s="16"/>
      <c r="F125" s="18"/>
      <c r="G125" s="19" t="str">
        <f t="shared" ca="1" si="10"/>
        <v/>
      </c>
      <c r="H125" s="18"/>
      <c r="I125" s="18"/>
      <c r="J125" s="19" t="str">
        <f t="shared" ca="1" si="11"/>
        <v/>
      </c>
      <c r="K125" s="16"/>
      <c r="L125" s="16"/>
      <c r="M125" s="16"/>
    </row>
    <row r="126" spans="1:13" ht="16" x14ac:dyDescent="0.2">
      <c r="A126" s="15" t="str">
        <f t="shared" si="9"/>
        <v/>
      </c>
      <c r="B126" s="20"/>
      <c r="C126" s="20"/>
      <c r="D126" s="20"/>
      <c r="E126" s="20"/>
      <c r="F126" s="22"/>
      <c r="G126" s="19" t="str">
        <f t="shared" ca="1" si="10"/>
        <v/>
      </c>
      <c r="H126" s="22"/>
      <c r="I126" s="22"/>
      <c r="J126" s="19" t="str">
        <f t="shared" ca="1" si="11"/>
        <v/>
      </c>
      <c r="K126" s="20"/>
      <c r="L126" s="20"/>
      <c r="M126" s="20"/>
    </row>
    <row r="127" spans="1:13" ht="16" x14ac:dyDescent="0.2">
      <c r="A127" s="15" t="str">
        <f t="shared" si="9"/>
        <v/>
      </c>
      <c r="B127" s="16"/>
      <c r="C127" s="16"/>
      <c r="D127" s="16"/>
      <c r="E127" s="16"/>
      <c r="F127" s="18"/>
      <c r="G127" s="19" t="str">
        <f t="shared" ca="1" si="10"/>
        <v/>
      </c>
      <c r="H127" s="18"/>
      <c r="I127" s="18"/>
      <c r="J127" s="19" t="str">
        <f t="shared" ca="1" si="11"/>
        <v/>
      </c>
      <c r="K127" s="16"/>
      <c r="L127" s="16"/>
      <c r="M127" s="16"/>
    </row>
    <row r="128" spans="1:13" ht="16" x14ac:dyDescent="0.2">
      <c r="A128" s="15" t="str">
        <f t="shared" si="9"/>
        <v/>
      </c>
      <c r="B128" s="20"/>
      <c r="C128" s="20"/>
      <c r="D128" s="20"/>
      <c r="E128" s="20"/>
      <c r="F128" s="22"/>
      <c r="G128" s="19" t="str">
        <f t="shared" ca="1" si="10"/>
        <v/>
      </c>
      <c r="H128" s="22"/>
      <c r="I128" s="22"/>
      <c r="J128" s="19" t="str">
        <f t="shared" ca="1" si="11"/>
        <v/>
      </c>
      <c r="K128" s="20"/>
      <c r="L128" s="20"/>
      <c r="M128" s="20"/>
    </row>
    <row r="129" spans="1:13" ht="16" x14ac:dyDescent="0.2">
      <c r="A129" s="15" t="str">
        <f t="shared" si="9"/>
        <v/>
      </c>
      <c r="B129" s="16"/>
      <c r="C129" s="16"/>
      <c r="D129" s="16"/>
      <c r="E129" s="16"/>
      <c r="F129" s="18"/>
      <c r="G129" s="19" t="str">
        <f t="shared" ca="1" si="10"/>
        <v/>
      </c>
      <c r="H129" s="18"/>
      <c r="I129" s="18"/>
      <c r="J129" s="19" t="str">
        <f t="shared" ca="1" si="11"/>
        <v/>
      </c>
      <c r="K129" s="16"/>
      <c r="L129" s="16"/>
      <c r="M129" s="16"/>
    </row>
    <row r="130" spans="1:13" ht="16" x14ac:dyDescent="0.2">
      <c r="A130" s="15" t="str">
        <f t="shared" si="9"/>
        <v/>
      </c>
      <c r="B130" s="20"/>
      <c r="C130" s="20"/>
      <c r="D130" s="20"/>
      <c r="E130" s="20"/>
      <c r="F130" s="22"/>
      <c r="G130" s="19" t="str">
        <f t="shared" ca="1" si="10"/>
        <v/>
      </c>
      <c r="H130" s="22"/>
      <c r="I130" s="22"/>
      <c r="J130" s="19" t="str">
        <f t="shared" ca="1" si="11"/>
        <v/>
      </c>
      <c r="K130" s="20"/>
      <c r="L130" s="20"/>
      <c r="M130" s="20"/>
    </row>
    <row r="131" spans="1:13" ht="16" x14ac:dyDescent="0.2">
      <c r="A131" s="15" t="str">
        <f t="shared" si="9"/>
        <v/>
      </c>
      <c r="B131" s="16"/>
      <c r="C131" s="16"/>
      <c r="D131" s="16"/>
      <c r="E131" s="16"/>
      <c r="F131" s="18"/>
      <c r="G131" s="19" t="str">
        <f t="shared" ca="1" si="10"/>
        <v/>
      </c>
      <c r="H131" s="18"/>
      <c r="I131" s="18"/>
      <c r="J131" s="19" t="str">
        <f t="shared" ca="1" si="11"/>
        <v/>
      </c>
      <c r="K131" s="16"/>
      <c r="L131" s="16"/>
      <c r="M131" s="16"/>
    </row>
    <row r="132" spans="1:13" ht="16" x14ac:dyDescent="0.2">
      <c r="A132" s="15" t="str">
        <f t="shared" si="9"/>
        <v/>
      </c>
      <c r="B132" s="20"/>
      <c r="C132" s="20"/>
      <c r="D132" s="20"/>
      <c r="E132" s="20"/>
      <c r="F132" s="22"/>
      <c r="G132" s="19" t="str">
        <f t="shared" ca="1" si="10"/>
        <v/>
      </c>
      <c r="H132" s="22"/>
      <c r="I132" s="22"/>
      <c r="J132" s="19" t="str">
        <f t="shared" ca="1" si="11"/>
        <v/>
      </c>
      <c r="K132" s="20"/>
      <c r="L132" s="20"/>
      <c r="M132" s="20"/>
    </row>
    <row r="133" spans="1:13" ht="16" x14ac:dyDescent="0.2">
      <c r="A133" s="15" t="str">
        <f t="shared" ref="A133:A164" si="12">IF(B133="","",ROW()-4)</f>
        <v/>
      </c>
      <c r="B133" s="16"/>
      <c r="C133" s="16"/>
      <c r="D133" s="16"/>
      <c r="E133" s="16"/>
      <c r="F133" s="18"/>
      <c r="G133" s="19" t="str">
        <f t="shared" ref="G133:G164" ca="1" si="13">IF(F133="","",IF(H133="",TODAY()-F133,H133-F133))</f>
        <v/>
      </c>
      <c r="H133" s="18"/>
      <c r="I133" s="18"/>
      <c r="J133" s="19" t="str">
        <f t="shared" ref="J133:J164" ca="1" si="14">IF(I133="","",IF(OR(E133="Resubmitted",E133="Accepted",E133="Rejected",E133="Withdrawn"),"—",I133-TODAY()))</f>
        <v/>
      </c>
      <c r="K133" s="16"/>
      <c r="L133" s="16"/>
      <c r="M133" s="16"/>
    </row>
    <row r="134" spans="1:13" ht="16" x14ac:dyDescent="0.2">
      <c r="A134" s="15" t="str">
        <f t="shared" si="12"/>
        <v/>
      </c>
      <c r="B134" s="20"/>
      <c r="C134" s="20"/>
      <c r="D134" s="20"/>
      <c r="E134" s="20"/>
      <c r="F134" s="22"/>
      <c r="G134" s="19" t="str">
        <f t="shared" ca="1" si="13"/>
        <v/>
      </c>
      <c r="H134" s="22"/>
      <c r="I134" s="22"/>
      <c r="J134" s="19" t="str">
        <f t="shared" ca="1" si="14"/>
        <v/>
      </c>
      <c r="K134" s="20"/>
      <c r="L134" s="20"/>
      <c r="M134" s="20"/>
    </row>
    <row r="135" spans="1:13" ht="16" x14ac:dyDescent="0.2">
      <c r="A135" s="15" t="str">
        <f t="shared" si="12"/>
        <v/>
      </c>
      <c r="B135" s="16"/>
      <c r="C135" s="16"/>
      <c r="D135" s="16"/>
      <c r="E135" s="16"/>
      <c r="F135" s="18"/>
      <c r="G135" s="19" t="str">
        <f t="shared" ca="1" si="13"/>
        <v/>
      </c>
      <c r="H135" s="18"/>
      <c r="I135" s="18"/>
      <c r="J135" s="19" t="str">
        <f t="shared" ca="1" si="14"/>
        <v/>
      </c>
      <c r="K135" s="16"/>
      <c r="L135" s="16"/>
      <c r="M135" s="16"/>
    </row>
    <row r="136" spans="1:13" ht="16" x14ac:dyDescent="0.2">
      <c r="A136" s="15" t="str">
        <f t="shared" si="12"/>
        <v/>
      </c>
      <c r="B136" s="20"/>
      <c r="C136" s="20"/>
      <c r="D136" s="20"/>
      <c r="E136" s="20"/>
      <c r="F136" s="22"/>
      <c r="G136" s="19" t="str">
        <f t="shared" ca="1" si="13"/>
        <v/>
      </c>
      <c r="H136" s="22"/>
      <c r="I136" s="22"/>
      <c r="J136" s="19" t="str">
        <f t="shared" ca="1" si="14"/>
        <v/>
      </c>
      <c r="K136" s="20"/>
      <c r="L136" s="20"/>
      <c r="M136" s="20"/>
    </row>
    <row r="137" spans="1:13" ht="16" x14ac:dyDescent="0.2">
      <c r="A137" s="15" t="str">
        <f t="shared" si="12"/>
        <v/>
      </c>
      <c r="B137" s="16"/>
      <c r="C137" s="16"/>
      <c r="D137" s="16"/>
      <c r="E137" s="16"/>
      <c r="F137" s="18"/>
      <c r="G137" s="19" t="str">
        <f t="shared" ca="1" si="13"/>
        <v/>
      </c>
      <c r="H137" s="18"/>
      <c r="I137" s="18"/>
      <c r="J137" s="19" t="str">
        <f t="shared" ca="1" si="14"/>
        <v/>
      </c>
      <c r="K137" s="16"/>
      <c r="L137" s="16"/>
      <c r="M137" s="16"/>
    </row>
    <row r="138" spans="1:13" ht="16" x14ac:dyDescent="0.2">
      <c r="A138" s="15" t="str">
        <f t="shared" si="12"/>
        <v/>
      </c>
      <c r="B138" s="20"/>
      <c r="C138" s="20"/>
      <c r="D138" s="20"/>
      <c r="E138" s="20"/>
      <c r="F138" s="22"/>
      <c r="G138" s="19" t="str">
        <f t="shared" ca="1" si="13"/>
        <v/>
      </c>
      <c r="H138" s="22"/>
      <c r="I138" s="22"/>
      <c r="J138" s="19" t="str">
        <f t="shared" ca="1" si="14"/>
        <v/>
      </c>
      <c r="K138" s="20"/>
      <c r="L138" s="20"/>
      <c r="M138" s="20"/>
    </row>
    <row r="139" spans="1:13" ht="16" x14ac:dyDescent="0.2">
      <c r="A139" s="15" t="str">
        <f t="shared" si="12"/>
        <v/>
      </c>
      <c r="B139" s="16"/>
      <c r="C139" s="16"/>
      <c r="D139" s="16"/>
      <c r="E139" s="16"/>
      <c r="F139" s="18"/>
      <c r="G139" s="19" t="str">
        <f t="shared" ca="1" si="13"/>
        <v/>
      </c>
      <c r="H139" s="18"/>
      <c r="I139" s="18"/>
      <c r="J139" s="19" t="str">
        <f t="shared" ca="1" si="14"/>
        <v/>
      </c>
      <c r="K139" s="16"/>
      <c r="L139" s="16"/>
      <c r="M139" s="16"/>
    </row>
    <row r="140" spans="1:13" ht="16" x14ac:dyDescent="0.2">
      <c r="A140" s="15" t="str">
        <f t="shared" si="12"/>
        <v/>
      </c>
      <c r="B140" s="20"/>
      <c r="C140" s="20"/>
      <c r="D140" s="20"/>
      <c r="E140" s="20"/>
      <c r="F140" s="22"/>
      <c r="G140" s="19" t="str">
        <f t="shared" ca="1" si="13"/>
        <v/>
      </c>
      <c r="H140" s="22"/>
      <c r="I140" s="22"/>
      <c r="J140" s="19" t="str">
        <f t="shared" ca="1" si="14"/>
        <v/>
      </c>
      <c r="K140" s="20"/>
      <c r="L140" s="20"/>
      <c r="M140" s="20"/>
    </row>
    <row r="141" spans="1:13" ht="16" x14ac:dyDescent="0.2">
      <c r="A141" s="15" t="str">
        <f t="shared" si="12"/>
        <v/>
      </c>
      <c r="B141" s="16"/>
      <c r="C141" s="16"/>
      <c r="D141" s="16"/>
      <c r="E141" s="16"/>
      <c r="F141" s="18"/>
      <c r="G141" s="19" t="str">
        <f t="shared" ca="1" si="13"/>
        <v/>
      </c>
      <c r="H141" s="18"/>
      <c r="I141" s="18"/>
      <c r="J141" s="19" t="str">
        <f t="shared" ca="1" si="14"/>
        <v/>
      </c>
      <c r="K141" s="16"/>
      <c r="L141" s="16"/>
      <c r="M141" s="16"/>
    </row>
    <row r="142" spans="1:13" ht="16" x14ac:dyDescent="0.2">
      <c r="A142" s="15" t="str">
        <f t="shared" si="12"/>
        <v/>
      </c>
      <c r="B142" s="20"/>
      <c r="C142" s="20"/>
      <c r="D142" s="20"/>
      <c r="E142" s="20"/>
      <c r="F142" s="22"/>
      <c r="G142" s="19" t="str">
        <f t="shared" ca="1" si="13"/>
        <v/>
      </c>
      <c r="H142" s="22"/>
      <c r="I142" s="22"/>
      <c r="J142" s="19" t="str">
        <f t="shared" ca="1" si="14"/>
        <v/>
      </c>
      <c r="K142" s="20"/>
      <c r="L142" s="20"/>
      <c r="M142" s="20"/>
    </row>
    <row r="143" spans="1:13" ht="16" x14ac:dyDescent="0.2">
      <c r="A143" s="15" t="str">
        <f t="shared" si="12"/>
        <v/>
      </c>
      <c r="B143" s="16"/>
      <c r="C143" s="16"/>
      <c r="D143" s="16"/>
      <c r="E143" s="16"/>
      <c r="F143" s="18"/>
      <c r="G143" s="19" t="str">
        <f t="shared" ca="1" si="13"/>
        <v/>
      </c>
      <c r="H143" s="18"/>
      <c r="I143" s="18"/>
      <c r="J143" s="19" t="str">
        <f t="shared" ca="1" si="14"/>
        <v/>
      </c>
      <c r="K143" s="16"/>
      <c r="L143" s="16"/>
      <c r="M143" s="16"/>
    </row>
    <row r="144" spans="1:13" ht="16" x14ac:dyDescent="0.2">
      <c r="A144" s="15" t="str">
        <f t="shared" si="12"/>
        <v/>
      </c>
      <c r="B144" s="20"/>
      <c r="C144" s="20"/>
      <c r="D144" s="20"/>
      <c r="E144" s="20"/>
      <c r="F144" s="22"/>
      <c r="G144" s="19" t="str">
        <f t="shared" ca="1" si="13"/>
        <v/>
      </c>
      <c r="H144" s="22"/>
      <c r="I144" s="22"/>
      <c r="J144" s="19" t="str">
        <f t="shared" ca="1" si="14"/>
        <v/>
      </c>
      <c r="K144" s="20"/>
      <c r="L144" s="20"/>
      <c r="M144" s="20"/>
    </row>
    <row r="145" spans="1:13" ht="16" x14ac:dyDescent="0.2">
      <c r="A145" s="15" t="str">
        <f t="shared" si="12"/>
        <v/>
      </c>
      <c r="B145" s="16"/>
      <c r="C145" s="16"/>
      <c r="D145" s="16"/>
      <c r="E145" s="16"/>
      <c r="F145" s="18"/>
      <c r="G145" s="19" t="str">
        <f t="shared" ca="1" si="13"/>
        <v/>
      </c>
      <c r="H145" s="18"/>
      <c r="I145" s="18"/>
      <c r="J145" s="19" t="str">
        <f t="shared" ca="1" si="14"/>
        <v/>
      </c>
      <c r="K145" s="16"/>
      <c r="L145" s="16"/>
      <c r="M145" s="16"/>
    </row>
    <row r="146" spans="1:13" ht="16" x14ac:dyDescent="0.2">
      <c r="A146" s="15" t="str">
        <f t="shared" si="12"/>
        <v/>
      </c>
      <c r="B146" s="20"/>
      <c r="C146" s="20"/>
      <c r="D146" s="20"/>
      <c r="E146" s="20"/>
      <c r="F146" s="22"/>
      <c r="G146" s="19" t="str">
        <f t="shared" ca="1" si="13"/>
        <v/>
      </c>
      <c r="H146" s="22"/>
      <c r="I146" s="22"/>
      <c r="J146" s="19" t="str">
        <f t="shared" ca="1" si="14"/>
        <v/>
      </c>
      <c r="K146" s="20"/>
      <c r="L146" s="20"/>
      <c r="M146" s="20"/>
    </row>
    <row r="147" spans="1:13" ht="16" x14ac:dyDescent="0.2">
      <c r="A147" s="15" t="str">
        <f t="shared" si="12"/>
        <v/>
      </c>
      <c r="B147" s="16"/>
      <c r="C147" s="16"/>
      <c r="D147" s="16"/>
      <c r="E147" s="16"/>
      <c r="F147" s="18"/>
      <c r="G147" s="19" t="str">
        <f t="shared" ca="1" si="13"/>
        <v/>
      </c>
      <c r="H147" s="18"/>
      <c r="I147" s="18"/>
      <c r="J147" s="19" t="str">
        <f t="shared" ca="1" si="14"/>
        <v/>
      </c>
      <c r="K147" s="16"/>
      <c r="L147" s="16"/>
      <c r="M147" s="16"/>
    </row>
    <row r="148" spans="1:13" ht="16" x14ac:dyDescent="0.2">
      <c r="A148" s="15" t="str">
        <f t="shared" si="12"/>
        <v/>
      </c>
      <c r="B148" s="20"/>
      <c r="C148" s="20"/>
      <c r="D148" s="20"/>
      <c r="E148" s="20"/>
      <c r="F148" s="22"/>
      <c r="G148" s="19" t="str">
        <f t="shared" ca="1" si="13"/>
        <v/>
      </c>
      <c r="H148" s="22"/>
      <c r="I148" s="22"/>
      <c r="J148" s="19" t="str">
        <f t="shared" ca="1" si="14"/>
        <v/>
      </c>
      <c r="K148" s="20"/>
      <c r="L148" s="20"/>
      <c r="M148" s="20"/>
    </row>
    <row r="149" spans="1:13" ht="16" x14ac:dyDescent="0.2">
      <c r="A149" s="15" t="str">
        <f t="shared" si="12"/>
        <v/>
      </c>
      <c r="B149" s="16"/>
      <c r="C149" s="16"/>
      <c r="D149" s="16"/>
      <c r="E149" s="16"/>
      <c r="F149" s="18"/>
      <c r="G149" s="19" t="str">
        <f t="shared" ca="1" si="13"/>
        <v/>
      </c>
      <c r="H149" s="18"/>
      <c r="I149" s="18"/>
      <c r="J149" s="19" t="str">
        <f t="shared" ca="1" si="14"/>
        <v/>
      </c>
      <c r="K149" s="16"/>
      <c r="L149" s="16"/>
      <c r="M149" s="16"/>
    </row>
    <row r="150" spans="1:13" ht="16" x14ac:dyDescent="0.2">
      <c r="A150" s="15" t="str">
        <f t="shared" si="12"/>
        <v/>
      </c>
      <c r="B150" s="20"/>
      <c r="C150" s="20"/>
      <c r="D150" s="20"/>
      <c r="E150" s="20"/>
      <c r="F150" s="22"/>
      <c r="G150" s="19" t="str">
        <f t="shared" ca="1" si="13"/>
        <v/>
      </c>
      <c r="H150" s="22"/>
      <c r="I150" s="22"/>
      <c r="J150" s="19" t="str">
        <f t="shared" ca="1" si="14"/>
        <v/>
      </c>
      <c r="K150" s="20"/>
      <c r="L150" s="20"/>
      <c r="M150" s="20"/>
    </row>
    <row r="151" spans="1:13" ht="16" x14ac:dyDescent="0.2">
      <c r="A151" s="15" t="str">
        <f t="shared" si="12"/>
        <v/>
      </c>
      <c r="B151" s="16"/>
      <c r="C151" s="16"/>
      <c r="D151" s="16"/>
      <c r="E151" s="16"/>
      <c r="F151" s="18"/>
      <c r="G151" s="19" t="str">
        <f t="shared" ca="1" si="13"/>
        <v/>
      </c>
      <c r="H151" s="18"/>
      <c r="I151" s="18"/>
      <c r="J151" s="19" t="str">
        <f t="shared" ca="1" si="14"/>
        <v/>
      </c>
      <c r="K151" s="16"/>
      <c r="L151" s="16"/>
      <c r="M151" s="16"/>
    </row>
    <row r="152" spans="1:13" ht="16" x14ac:dyDescent="0.2">
      <c r="A152" s="15" t="str">
        <f t="shared" si="12"/>
        <v/>
      </c>
      <c r="B152" s="20"/>
      <c r="C152" s="20"/>
      <c r="D152" s="20"/>
      <c r="E152" s="20"/>
      <c r="F152" s="22"/>
      <c r="G152" s="19" t="str">
        <f t="shared" ca="1" si="13"/>
        <v/>
      </c>
      <c r="H152" s="22"/>
      <c r="I152" s="22"/>
      <c r="J152" s="19" t="str">
        <f t="shared" ca="1" si="14"/>
        <v/>
      </c>
      <c r="K152" s="20"/>
      <c r="L152" s="20"/>
      <c r="M152" s="20"/>
    </row>
    <row r="153" spans="1:13" ht="16" x14ac:dyDescent="0.2">
      <c r="A153" s="15" t="str">
        <f t="shared" si="12"/>
        <v/>
      </c>
      <c r="B153" s="16"/>
      <c r="C153" s="16"/>
      <c r="D153" s="16"/>
      <c r="E153" s="16"/>
      <c r="F153" s="18"/>
      <c r="G153" s="19" t="str">
        <f t="shared" ca="1" si="13"/>
        <v/>
      </c>
      <c r="H153" s="18"/>
      <c r="I153" s="18"/>
      <c r="J153" s="19" t="str">
        <f t="shared" ca="1" si="14"/>
        <v/>
      </c>
      <c r="K153" s="16"/>
      <c r="L153" s="16"/>
      <c r="M153" s="16"/>
    </row>
    <row r="154" spans="1:13" ht="16" x14ac:dyDescent="0.2">
      <c r="A154" s="15" t="str">
        <f t="shared" si="12"/>
        <v/>
      </c>
      <c r="B154" s="20"/>
      <c r="C154" s="20"/>
      <c r="D154" s="20"/>
      <c r="E154" s="20"/>
      <c r="F154" s="22"/>
      <c r="G154" s="19" t="str">
        <f t="shared" ca="1" si="13"/>
        <v/>
      </c>
      <c r="H154" s="22"/>
      <c r="I154" s="22"/>
      <c r="J154" s="19" t="str">
        <f t="shared" ca="1" si="14"/>
        <v/>
      </c>
      <c r="K154" s="20"/>
      <c r="L154" s="20"/>
      <c r="M154" s="20"/>
    </row>
  </sheetData>
  <autoFilter ref="A4:M154" xr:uid="{00000000-0009-0000-0000-000003000000}"/>
  <mergeCells count="2">
    <mergeCell ref="A2:M2"/>
    <mergeCell ref="A1:M1"/>
  </mergeCells>
  <conditionalFormatting sqref="E5:E154">
    <cfRule type="cellIs" dxfId="31" priority="1" operator="equal">
      <formula>"Drafting"</formula>
    </cfRule>
    <cfRule type="cellIs" dxfId="30" priority="2" operator="equal">
      <formula>"Submitted"</formula>
    </cfRule>
    <cfRule type="cellIs" dxfId="29" priority="3" operator="equal">
      <formula>"Under review"</formula>
    </cfRule>
    <cfRule type="cellIs" dxfId="28" priority="4" operator="equal">
      <formula>"Major revision"</formula>
    </cfRule>
    <cfRule type="cellIs" dxfId="27" priority="5" operator="equal">
      <formula>"Minor revision"</formula>
    </cfRule>
    <cfRule type="cellIs" dxfId="26" priority="6" operator="equal">
      <formula>"R&amp;R in progress"</formula>
    </cfRule>
    <cfRule type="cellIs" dxfId="25" priority="7" operator="equal">
      <formula>"Resubmitted"</formula>
    </cfRule>
    <cfRule type="cellIs" dxfId="24" priority="8" operator="equal">
      <formula>"Accepted"</formula>
    </cfRule>
    <cfRule type="cellIs" dxfId="23" priority="9" operator="equal">
      <formula>"Rejected"</formula>
    </cfRule>
    <cfRule type="cellIs" dxfId="22" priority="10" operator="equal">
      <formula>"Withdrawn"</formula>
    </cfRule>
  </conditionalFormatting>
  <conditionalFormatting sqref="G5:G154">
    <cfRule type="expression" dxfId="21" priority="11" stopIfTrue="1">
      <formula>AND(ISNUMBER(G5),$H5="",G5&gt;=180)</formula>
    </cfRule>
    <cfRule type="expression" dxfId="20" priority="12">
      <formula>AND(ISNUMBER(G5),$H5="",G5&gt;=90)</formula>
    </cfRule>
  </conditionalFormatting>
  <conditionalFormatting sqref="J5:J154">
    <cfRule type="cellIs" dxfId="19" priority="13" operator="lessThan">
      <formula>8</formula>
    </cfRule>
    <cfRule type="cellIs" dxfId="18" priority="14" operator="between">
      <formula>8</formula>
      <formula>21</formula>
    </cfRule>
    <cfRule type="cellIs" dxfId="17" priority="15" operator="between">
      <formula>22</formula>
      <formula>99999</formula>
    </cfRule>
  </conditionalFormatting>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300-000000000000}">
          <x14:formula1>
            <xm:f>Lists!$F$1:$F$4</xm:f>
          </x14:formula1>
          <xm:sqref>C5:C154</xm:sqref>
        </x14:dataValidation>
        <x14:dataValidation type="list" allowBlank="1" xr:uid="{00000000-0002-0000-0300-000001000000}">
          <x14:formula1>
            <xm:f>Lists!$B$1:$B$10</xm:f>
          </x14:formula1>
          <xm:sqref>E5:E154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4"/>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5" customWidth="1"/>
    <col min="2" max="2" width="26" customWidth="1"/>
    <col min="3" max="3" width="18" customWidth="1"/>
    <col min="4" max="4" width="32" customWidth="1"/>
    <col min="5" max="5" width="12" customWidth="1"/>
    <col min="6" max="6" width="10" customWidth="1"/>
    <col min="7" max="7" width="17" customWidth="1"/>
    <col min="8" max="8" width="14" customWidth="1"/>
    <col min="9" max="9" width="12" customWidth="1"/>
    <col min="10" max="10" width="32" customWidth="1"/>
  </cols>
  <sheetData>
    <row r="1" spans="1:10" ht="26" customHeight="1" x14ac:dyDescent="0.25">
      <c r="A1" s="31" t="s">
        <v>65</v>
      </c>
      <c r="B1" s="30"/>
      <c r="C1" s="30"/>
      <c r="D1" s="30"/>
      <c r="E1" s="30"/>
      <c r="F1" s="30"/>
      <c r="G1" s="30"/>
      <c r="H1" s="30"/>
      <c r="I1" s="30"/>
      <c r="J1" s="30"/>
    </row>
    <row r="2" spans="1:10" x14ac:dyDescent="0.2">
      <c r="A2" s="29" t="s">
        <v>66</v>
      </c>
      <c r="B2" s="30"/>
      <c r="C2" s="30"/>
      <c r="D2" s="30"/>
      <c r="E2" s="30"/>
      <c r="F2" s="30"/>
      <c r="G2" s="30"/>
      <c r="H2" s="30"/>
      <c r="I2" s="30"/>
      <c r="J2" s="30"/>
    </row>
    <row r="4" spans="1:10" ht="30" customHeight="1" x14ac:dyDescent="0.2">
      <c r="A4" s="14" t="s">
        <v>34</v>
      </c>
      <c r="B4" s="14" t="s">
        <v>67</v>
      </c>
      <c r="C4" s="14" t="s">
        <v>68</v>
      </c>
      <c r="D4" s="14" t="s">
        <v>69</v>
      </c>
      <c r="E4" s="14" t="s">
        <v>70</v>
      </c>
      <c r="F4" s="14" t="s">
        <v>41</v>
      </c>
      <c r="G4" s="14" t="s">
        <v>42</v>
      </c>
      <c r="H4" s="14" t="s">
        <v>71</v>
      </c>
      <c r="I4" s="14" t="s">
        <v>72</v>
      </c>
      <c r="J4" s="14" t="s">
        <v>73</v>
      </c>
    </row>
    <row r="5" spans="1:10" ht="16" x14ac:dyDescent="0.2">
      <c r="A5" s="15" t="str">
        <f t="shared" ref="A5:A36" si="0">IF(B5="","",ROW()-4)</f>
        <v/>
      </c>
      <c r="B5" s="16"/>
      <c r="C5" s="16"/>
      <c r="D5" s="16"/>
      <c r="E5" s="18"/>
      <c r="F5" s="19" t="str">
        <f t="shared" ref="F5:F36" ca="1" si="1">IF(E5="","",IF(OR(G5="Abstract submitted",G5="Accepted (talk)",G5="Accepted (poster)",G5="Rejected",G5="Attended"),"—",E5-TODAY()))</f>
        <v/>
      </c>
      <c r="G5" s="16"/>
      <c r="H5" s="16"/>
      <c r="I5" s="18"/>
      <c r="J5" s="16"/>
    </row>
    <row r="6" spans="1:10" ht="16" x14ac:dyDescent="0.2">
      <c r="A6" s="15" t="str">
        <f t="shared" si="0"/>
        <v/>
      </c>
      <c r="B6" s="20"/>
      <c r="C6" s="20"/>
      <c r="D6" s="20"/>
      <c r="E6" s="22"/>
      <c r="F6" s="19" t="str">
        <f t="shared" ca="1" si="1"/>
        <v/>
      </c>
      <c r="G6" s="20"/>
      <c r="H6" s="20"/>
      <c r="I6" s="22"/>
      <c r="J6" s="20"/>
    </row>
    <row r="7" spans="1:10" ht="16" x14ac:dyDescent="0.2">
      <c r="A7" s="15" t="str">
        <f t="shared" si="0"/>
        <v/>
      </c>
      <c r="B7" s="16"/>
      <c r="C7" s="16"/>
      <c r="D7" s="16"/>
      <c r="E7" s="18"/>
      <c r="F7" s="19" t="str">
        <f t="shared" ca="1" si="1"/>
        <v/>
      </c>
      <c r="G7" s="16"/>
      <c r="H7" s="16"/>
      <c r="I7" s="18"/>
      <c r="J7" s="16"/>
    </row>
    <row r="8" spans="1:10" ht="16" x14ac:dyDescent="0.2">
      <c r="A8" s="15" t="str">
        <f t="shared" si="0"/>
        <v/>
      </c>
      <c r="B8" s="20"/>
      <c r="C8" s="20"/>
      <c r="D8" s="20"/>
      <c r="E8" s="22"/>
      <c r="F8" s="19" t="str">
        <f t="shared" ca="1" si="1"/>
        <v/>
      </c>
      <c r="G8" s="20"/>
      <c r="H8" s="20"/>
      <c r="I8" s="22"/>
      <c r="J8" s="20"/>
    </row>
    <row r="9" spans="1:10" ht="16" x14ac:dyDescent="0.2">
      <c r="A9" s="15" t="str">
        <f t="shared" si="0"/>
        <v/>
      </c>
      <c r="B9" s="16"/>
      <c r="C9" s="16"/>
      <c r="D9" s="16"/>
      <c r="E9" s="18"/>
      <c r="F9" s="19" t="str">
        <f t="shared" ca="1" si="1"/>
        <v/>
      </c>
      <c r="G9" s="16"/>
      <c r="H9" s="16"/>
      <c r="I9" s="18"/>
      <c r="J9" s="16"/>
    </row>
    <row r="10" spans="1:10" ht="16" x14ac:dyDescent="0.2">
      <c r="A10" s="15" t="str">
        <f t="shared" si="0"/>
        <v/>
      </c>
      <c r="B10" s="20"/>
      <c r="C10" s="20"/>
      <c r="D10" s="20"/>
      <c r="E10" s="22"/>
      <c r="F10" s="19" t="str">
        <f t="shared" ca="1" si="1"/>
        <v/>
      </c>
      <c r="G10" s="20"/>
      <c r="H10" s="20"/>
      <c r="I10" s="22"/>
      <c r="J10" s="20"/>
    </row>
    <row r="11" spans="1:10" ht="16" x14ac:dyDescent="0.2">
      <c r="A11" s="15" t="str">
        <f t="shared" si="0"/>
        <v/>
      </c>
      <c r="B11" s="16"/>
      <c r="C11" s="16"/>
      <c r="D11" s="16"/>
      <c r="E11" s="18"/>
      <c r="F11" s="19" t="str">
        <f t="shared" ca="1" si="1"/>
        <v/>
      </c>
      <c r="G11" s="16"/>
      <c r="H11" s="16"/>
      <c r="I11" s="18"/>
      <c r="J11" s="16"/>
    </row>
    <row r="12" spans="1:10" ht="16" x14ac:dyDescent="0.2">
      <c r="A12" s="15" t="str">
        <f t="shared" si="0"/>
        <v/>
      </c>
      <c r="B12" s="20"/>
      <c r="C12" s="20"/>
      <c r="D12" s="20"/>
      <c r="E12" s="22"/>
      <c r="F12" s="19" t="str">
        <f t="shared" ca="1" si="1"/>
        <v/>
      </c>
      <c r="G12" s="20"/>
      <c r="H12" s="20"/>
      <c r="I12" s="22"/>
      <c r="J12" s="20"/>
    </row>
    <row r="13" spans="1:10" ht="16" x14ac:dyDescent="0.2">
      <c r="A13" s="15" t="str">
        <f t="shared" si="0"/>
        <v/>
      </c>
      <c r="B13" s="16"/>
      <c r="C13" s="16"/>
      <c r="D13" s="16"/>
      <c r="E13" s="18"/>
      <c r="F13" s="19" t="str">
        <f t="shared" ca="1" si="1"/>
        <v/>
      </c>
      <c r="G13" s="16"/>
      <c r="H13" s="16"/>
      <c r="I13" s="18"/>
      <c r="J13" s="16"/>
    </row>
    <row r="14" spans="1:10" ht="16" x14ac:dyDescent="0.2">
      <c r="A14" s="15" t="str">
        <f t="shared" si="0"/>
        <v/>
      </c>
      <c r="B14" s="20"/>
      <c r="C14" s="20"/>
      <c r="D14" s="20"/>
      <c r="E14" s="22"/>
      <c r="F14" s="19" t="str">
        <f t="shared" ca="1" si="1"/>
        <v/>
      </c>
      <c r="G14" s="20"/>
      <c r="H14" s="20"/>
      <c r="I14" s="22"/>
      <c r="J14" s="20"/>
    </row>
    <row r="15" spans="1:10" ht="16" x14ac:dyDescent="0.2">
      <c r="A15" s="15" t="str">
        <f t="shared" si="0"/>
        <v/>
      </c>
      <c r="B15" s="16"/>
      <c r="C15" s="16"/>
      <c r="D15" s="16"/>
      <c r="E15" s="18"/>
      <c r="F15" s="19" t="str">
        <f t="shared" ca="1" si="1"/>
        <v/>
      </c>
      <c r="G15" s="16"/>
      <c r="H15" s="16"/>
      <c r="I15" s="18"/>
      <c r="J15" s="16"/>
    </row>
    <row r="16" spans="1:10" ht="16" x14ac:dyDescent="0.2">
      <c r="A16" s="15" t="str">
        <f t="shared" si="0"/>
        <v/>
      </c>
      <c r="B16" s="20"/>
      <c r="C16" s="20"/>
      <c r="D16" s="20"/>
      <c r="E16" s="22"/>
      <c r="F16" s="19" t="str">
        <f t="shared" ca="1" si="1"/>
        <v/>
      </c>
      <c r="G16" s="20"/>
      <c r="H16" s="20"/>
      <c r="I16" s="22"/>
      <c r="J16" s="20"/>
    </row>
    <row r="17" spans="1:10" ht="16" x14ac:dyDescent="0.2">
      <c r="A17" s="15" t="str">
        <f t="shared" si="0"/>
        <v/>
      </c>
      <c r="B17" s="16"/>
      <c r="C17" s="16"/>
      <c r="D17" s="16"/>
      <c r="E17" s="18"/>
      <c r="F17" s="19" t="str">
        <f t="shared" ca="1" si="1"/>
        <v/>
      </c>
      <c r="G17" s="16"/>
      <c r="H17" s="16"/>
      <c r="I17" s="18"/>
      <c r="J17" s="16"/>
    </row>
    <row r="18" spans="1:10" ht="16" x14ac:dyDescent="0.2">
      <c r="A18" s="15" t="str">
        <f t="shared" si="0"/>
        <v/>
      </c>
      <c r="B18" s="20"/>
      <c r="C18" s="20"/>
      <c r="D18" s="20"/>
      <c r="E18" s="22"/>
      <c r="F18" s="19" t="str">
        <f t="shared" ca="1" si="1"/>
        <v/>
      </c>
      <c r="G18" s="20"/>
      <c r="H18" s="20"/>
      <c r="I18" s="22"/>
      <c r="J18" s="20"/>
    </row>
    <row r="19" spans="1:10" ht="16" x14ac:dyDescent="0.2">
      <c r="A19" s="15" t="str">
        <f t="shared" si="0"/>
        <v/>
      </c>
      <c r="B19" s="16"/>
      <c r="C19" s="16"/>
      <c r="D19" s="16"/>
      <c r="E19" s="18"/>
      <c r="F19" s="19" t="str">
        <f t="shared" ca="1" si="1"/>
        <v/>
      </c>
      <c r="G19" s="16"/>
      <c r="H19" s="16"/>
      <c r="I19" s="18"/>
      <c r="J19" s="16"/>
    </row>
    <row r="20" spans="1:10" ht="16" x14ac:dyDescent="0.2">
      <c r="A20" s="15" t="str">
        <f t="shared" si="0"/>
        <v/>
      </c>
      <c r="B20" s="20"/>
      <c r="C20" s="20"/>
      <c r="D20" s="20"/>
      <c r="E20" s="22"/>
      <c r="F20" s="19" t="str">
        <f t="shared" ca="1" si="1"/>
        <v/>
      </c>
      <c r="G20" s="20"/>
      <c r="H20" s="20"/>
      <c r="I20" s="22"/>
      <c r="J20" s="20"/>
    </row>
    <row r="21" spans="1:10" ht="16" x14ac:dyDescent="0.2">
      <c r="A21" s="15" t="str">
        <f t="shared" si="0"/>
        <v/>
      </c>
      <c r="B21" s="16"/>
      <c r="C21" s="16"/>
      <c r="D21" s="16"/>
      <c r="E21" s="18"/>
      <c r="F21" s="19" t="str">
        <f t="shared" ca="1" si="1"/>
        <v/>
      </c>
      <c r="G21" s="16"/>
      <c r="H21" s="16"/>
      <c r="I21" s="18"/>
      <c r="J21" s="16"/>
    </row>
    <row r="22" spans="1:10" ht="16" x14ac:dyDescent="0.2">
      <c r="A22" s="15" t="str">
        <f t="shared" si="0"/>
        <v/>
      </c>
      <c r="B22" s="20"/>
      <c r="C22" s="20"/>
      <c r="D22" s="20"/>
      <c r="E22" s="22"/>
      <c r="F22" s="19" t="str">
        <f t="shared" ca="1" si="1"/>
        <v/>
      </c>
      <c r="G22" s="20"/>
      <c r="H22" s="20"/>
      <c r="I22" s="22"/>
      <c r="J22" s="20"/>
    </row>
    <row r="23" spans="1:10" ht="16" x14ac:dyDescent="0.2">
      <c r="A23" s="15" t="str">
        <f t="shared" si="0"/>
        <v/>
      </c>
      <c r="B23" s="16"/>
      <c r="C23" s="16"/>
      <c r="D23" s="16"/>
      <c r="E23" s="18"/>
      <c r="F23" s="19" t="str">
        <f t="shared" ca="1" si="1"/>
        <v/>
      </c>
      <c r="G23" s="16"/>
      <c r="H23" s="16"/>
      <c r="I23" s="18"/>
      <c r="J23" s="16"/>
    </row>
    <row r="24" spans="1:10" ht="16" x14ac:dyDescent="0.2">
      <c r="A24" s="15" t="str">
        <f t="shared" si="0"/>
        <v/>
      </c>
      <c r="B24" s="20"/>
      <c r="C24" s="20"/>
      <c r="D24" s="20"/>
      <c r="E24" s="22"/>
      <c r="F24" s="19" t="str">
        <f t="shared" ca="1" si="1"/>
        <v/>
      </c>
      <c r="G24" s="20"/>
      <c r="H24" s="20"/>
      <c r="I24" s="22"/>
      <c r="J24" s="20"/>
    </row>
    <row r="25" spans="1:10" ht="16" x14ac:dyDescent="0.2">
      <c r="A25" s="15" t="str">
        <f t="shared" si="0"/>
        <v/>
      </c>
      <c r="B25" s="16"/>
      <c r="C25" s="16"/>
      <c r="D25" s="16"/>
      <c r="E25" s="18"/>
      <c r="F25" s="19" t="str">
        <f t="shared" ca="1" si="1"/>
        <v/>
      </c>
      <c r="G25" s="16"/>
      <c r="H25" s="16"/>
      <c r="I25" s="18"/>
      <c r="J25" s="16"/>
    </row>
    <row r="26" spans="1:10" ht="16" x14ac:dyDescent="0.2">
      <c r="A26" s="15" t="str">
        <f t="shared" si="0"/>
        <v/>
      </c>
      <c r="B26" s="20"/>
      <c r="C26" s="20"/>
      <c r="D26" s="20"/>
      <c r="E26" s="22"/>
      <c r="F26" s="19" t="str">
        <f t="shared" ca="1" si="1"/>
        <v/>
      </c>
      <c r="G26" s="20"/>
      <c r="H26" s="20"/>
      <c r="I26" s="22"/>
      <c r="J26" s="20"/>
    </row>
    <row r="27" spans="1:10" ht="16" x14ac:dyDescent="0.2">
      <c r="A27" s="15" t="str">
        <f t="shared" si="0"/>
        <v/>
      </c>
      <c r="B27" s="16"/>
      <c r="C27" s="16"/>
      <c r="D27" s="16"/>
      <c r="E27" s="18"/>
      <c r="F27" s="19" t="str">
        <f t="shared" ca="1" si="1"/>
        <v/>
      </c>
      <c r="G27" s="16"/>
      <c r="H27" s="16"/>
      <c r="I27" s="18"/>
      <c r="J27" s="16"/>
    </row>
    <row r="28" spans="1:10" ht="16" x14ac:dyDescent="0.2">
      <c r="A28" s="15" t="str">
        <f t="shared" si="0"/>
        <v/>
      </c>
      <c r="B28" s="20"/>
      <c r="C28" s="20"/>
      <c r="D28" s="20"/>
      <c r="E28" s="22"/>
      <c r="F28" s="19" t="str">
        <f t="shared" ca="1" si="1"/>
        <v/>
      </c>
      <c r="G28" s="20"/>
      <c r="H28" s="20"/>
      <c r="I28" s="22"/>
      <c r="J28" s="20"/>
    </row>
    <row r="29" spans="1:10" ht="16" x14ac:dyDescent="0.2">
      <c r="A29" s="15" t="str">
        <f t="shared" si="0"/>
        <v/>
      </c>
      <c r="B29" s="16"/>
      <c r="C29" s="16"/>
      <c r="D29" s="16"/>
      <c r="E29" s="18"/>
      <c r="F29" s="19" t="str">
        <f t="shared" ca="1" si="1"/>
        <v/>
      </c>
      <c r="G29" s="16"/>
      <c r="H29" s="16"/>
      <c r="I29" s="18"/>
      <c r="J29" s="16"/>
    </row>
    <row r="30" spans="1:10" ht="16" x14ac:dyDescent="0.2">
      <c r="A30" s="15" t="str">
        <f t="shared" si="0"/>
        <v/>
      </c>
      <c r="B30" s="20"/>
      <c r="C30" s="20"/>
      <c r="D30" s="20"/>
      <c r="E30" s="22"/>
      <c r="F30" s="19" t="str">
        <f t="shared" ca="1" si="1"/>
        <v/>
      </c>
      <c r="G30" s="20"/>
      <c r="H30" s="20"/>
      <c r="I30" s="22"/>
      <c r="J30" s="20"/>
    </row>
    <row r="31" spans="1:10" ht="16" x14ac:dyDescent="0.2">
      <c r="A31" s="15" t="str">
        <f t="shared" si="0"/>
        <v/>
      </c>
      <c r="B31" s="16"/>
      <c r="C31" s="16"/>
      <c r="D31" s="16"/>
      <c r="E31" s="18"/>
      <c r="F31" s="19" t="str">
        <f t="shared" ca="1" si="1"/>
        <v/>
      </c>
      <c r="G31" s="16"/>
      <c r="H31" s="16"/>
      <c r="I31" s="18"/>
      <c r="J31" s="16"/>
    </row>
    <row r="32" spans="1:10" ht="16" x14ac:dyDescent="0.2">
      <c r="A32" s="15" t="str">
        <f t="shared" si="0"/>
        <v/>
      </c>
      <c r="B32" s="20"/>
      <c r="C32" s="20"/>
      <c r="D32" s="20"/>
      <c r="E32" s="22"/>
      <c r="F32" s="19" t="str">
        <f t="shared" ca="1" si="1"/>
        <v/>
      </c>
      <c r="G32" s="20"/>
      <c r="H32" s="20"/>
      <c r="I32" s="22"/>
      <c r="J32" s="20"/>
    </row>
    <row r="33" spans="1:10" ht="16" x14ac:dyDescent="0.2">
      <c r="A33" s="15" t="str">
        <f t="shared" si="0"/>
        <v/>
      </c>
      <c r="B33" s="16"/>
      <c r="C33" s="16"/>
      <c r="D33" s="16"/>
      <c r="E33" s="18"/>
      <c r="F33" s="19" t="str">
        <f t="shared" ca="1" si="1"/>
        <v/>
      </c>
      <c r="G33" s="16"/>
      <c r="H33" s="16"/>
      <c r="I33" s="18"/>
      <c r="J33" s="16"/>
    </row>
    <row r="34" spans="1:10" ht="16" x14ac:dyDescent="0.2">
      <c r="A34" s="15" t="str">
        <f t="shared" si="0"/>
        <v/>
      </c>
      <c r="B34" s="20"/>
      <c r="C34" s="20"/>
      <c r="D34" s="20"/>
      <c r="E34" s="22"/>
      <c r="F34" s="19" t="str">
        <f t="shared" ca="1" si="1"/>
        <v/>
      </c>
      <c r="G34" s="20"/>
      <c r="H34" s="20"/>
      <c r="I34" s="22"/>
      <c r="J34" s="20"/>
    </row>
    <row r="35" spans="1:10" ht="16" x14ac:dyDescent="0.2">
      <c r="A35" s="15" t="str">
        <f t="shared" si="0"/>
        <v/>
      </c>
      <c r="B35" s="16"/>
      <c r="C35" s="16"/>
      <c r="D35" s="16"/>
      <c r="E35" s="18"/>
      <c r="F35" s="19" t="str">
        <f t="shared" ca="1" si="1"/>
        <v/>
      </c>
      <c r="G35" s="16"/>
      <c r="H35" s="16"/>
      <c r="I35" s="18"/>
      <c r="J35" s="16"/>
    </row>
    <row r="36" spans="1:10" ht="16" x14ac:dyDescent="0.2">
      <c r="A36" s="15" t="str">
        <f t="shared" si="0"/>
        <v/>
      </c>
      <c r="B36" s="20"/>
      <c r="C36" s="20"/>
      <c r="D36" s="20"/>
      <c r="E36" s="22"/>
      <c r="F36" s="19" t="str">
        <f t="shared" ca="1" si="1"/>
        <v/>
      </c>
      <c r="G36" s="20"/>
      <c r="H36" s="20"/>
      <c r="I36" s="22"/>
      <c r="J36" s="20"/>
    </row>
    <row r="37" spans="1:10" ht="16" x14ac:dyDescent="0.2">
      <c r="A37" s="15" t="str">
        <f t="shared" ref="A37:A68" si="2">IF(B37="","",ROW()-4)</f>
        <v/>
      </c>
      <c r="B37" s="16"/>
      <c r="C37" s="16"/>
      <c r="D37" s="16"/>
      <c r="E37" s="18"/>
      <c r="F37" s="19" t="str">
        <f t="shared" ref="F37:F68" ca="1" si="3">IF(E37="","",IF(OR(G37="Abstract submitted",G37="Accepted (talk)",G37="Accepted (poster)",G37="Rejected",G37="Attended"),"—",E37-TODAY()))</f>
        <v/>
      </c>
      <c r="G37" s="16"/>
      <c r="H37" s="16"/>
      <c r="I37" s="18"/>
      <c r="J37" s="16"/>
    </row>
    <row r="38" spans="1:10" ht="16" x14ac:dyDescent="0.2">
      <c r="A38" s="15" t="str">
        <f t="shared" si="2"/>
        <v/>
      </c>
      <c r="B38" s="20"/>
      <c r="C38" s="20"/>
      <c r="D38" s="20"/>
      <c r="E38" s="22"/>
      <c r="F38" s="19" t="str">
        <f t="shared" ca="1" si="3"/>
        <v/>
      </c>
      <c r="G38" s="20"/>
      <c r="H38" s="20"/>
      <c r="I38" s="22"/>
      <c r="J38" s="20"/>
    </row>
    <row r="39" spans="1:10" ht="16" x14ac:dyDescent="0.2">
      <c r="A39" s="15" t="str">
        <f t="shared" si="2"/>
        <v/>
      </c>
      <c r="B39" s="16"/>
      <c r="C39" s="16"/>
      <c r="D39" s="16"/>
      <c r="E39" s="18"/>
      <c r="F39" s="19" t="str">
        <f t="shared" ca="1" si="3"/>
        <v/>
      </c>
      <c r="G39" s="16"/>
      <c r="H39" s="16"/>
      <c r="I39" s="18"/>
      <c r="J39" s="16"/>
    </row>
    <row r="40" spans="1:10" ht="16" x14ac:dyDescent="0.2">
      <c r="A40" s="15" t="str">
        <f t="shared" si="2"/>
        <v/>
      </c>
      <c r="B40" s="20"/>
      <c r="C40" s="20"/>
      <c r="D40" s="20"/>
      <c r="E40" s="22"/>
      <c r="F40" s="19" t="str">
        <f t="shared" ca="1" si="3"/>
        <v/>
      </c>
      <c r="G40" s="20"/>
      <c r="H40" s="20"/>
      <c r="I40" s="22"/>
      <c r="J40" s="20"/>
    </row>
    <row r="41" spans="1:10" ht="16" x14ac:dyDescent="0.2">
      <c r="A41" s="15" t="str">
        <f t="shared" si="2"/>
        <v/>
      </c>
      <c r="B41" s="16"/>
      <c r="C41" s="16"/>
      <c r="D41" s="16"/>
      <c r="E41" s="18"/>
      <c r="F41" s="19" t="str">
        <f t="shared" ca="1" si="3"/>
        <v/>
      </c>
      <c r="G41" s="16"/>
      <c r="H41" s="16"/>
      <c r="I41" s="18"/>
      <c r="J41" s="16"/>
    </row>
    <row r="42" spans="1:10" ht="16" x14ac:dyDescent="0.2">
      <c r="A42" s="15" t="str">
        <f t="shared" si="2"/>
        <v/>
      </c>
      <c r="B42" s="20"/>
      <c r="C42" s="20"/>
      <c r="D42" s="20"/>
      <c r="E42" s="22"/>
      <c r="F42" s="19" t="str">
        <f t="shared" ca="1" si="3"/>
        <v/>
      </c>
      <c r="G42" s="20"/>
      <c r="H42" s="20"/>
      <c r="I42" s="22"/>
      <c r="J42" s="20"/>
    </row>
    <row r="43" spans="1:10" ht="16" x14ac:dyDescent="0.2">
      <c r="A43" s="15" t="str">
        <f t="shared" si="2"/>
        <v/>
      </c>
      <c r="B43" s="16"/>
      <c r="C43" s="16"/>
      <c r="D43" s="16"/>
      <c r="E43" s="18"/>
      <c r="F43" s="19" t="str">
        <f t="shared" ca="1" si="3"/>
        <v/>
      </c>
      <c r="G43" s="16"/>
      <c r="H43" s="16"/>
      <c r="I43" s="18"/>
      <c r="J43" s="16"/>
    </row>
    <row r="44" spans="1:10" ht="16" x14ac:dyDescent="0.2">
      <c r="A44" s="15" t="str">
        <f t="shared" si="2"/>
        <v/>
      </c>
      <c r="B44" s="20"/>
      <c r="C44" s="20"/>
      <c r="D44" s="20"/>
      <c r="E44" s="22"/>
      <c r="F44" s="19" t="str">
        <f t="shared" ca="1" si="3"/>
        <v/>
      </c>
      <c r="G44" s="20"/>
      <c r="H44" s="20"/>
      <c r="I44" s="22"/>
      <c r="J44" s="20"/>
    </row>
    <row r="45" spans="1:10" ht="16" x14ac:dyDescent="0.2">
      <c r="A45" s="15" t="str">
        <f t="shared" si="2"/>
        <v/>
      </c>
      <c r="B45" s="16"/>
      <c r="C45" s="16"/>
      <c r="D45" s="16"/>
      <c r="E45" s="18"/>
      <c r="F45" s="19" t="str">
        <f t="shared" ca="1" si="3"/>
        <v/>
      </c>
      <c r="G45" s="16"/>
      <c r="H45" s="16"/>
      <c r="I45" s="18"/>
      <c r="J45" s="16"/>
    </row>
    <row r="46" spans="1:10" ht="16" x14ac:dyDescent="0.2">
      <c r="A46" s="15" t="str">
        <f t="shared" si="2"/>
        <v/>
      </c>
      <c r="B46" s="20"/>
      <c r="C46" s="20"/>
      <c r="D46" s="20"/>
      <c r="E46" s="22"/>
      <c r="F46" s="19" t="str">
        <f t="shared" ca="1" si="3"/>
        <v/>
      </c>
      <c r="G46" s="20"/>
      <c r="H46" s="20"/>
      <c r="I46" s="22"/>
      <c r="J46" s="20"/>
    </row>
    <row r="47" spans="1:10" ht="16" x14ac:dyDescent="0.2">
      <c r="A47" s="15" t="str">
        <f t="shared" si="2"/>
        <v/>
      </c>
      <c r="B47" s="16"/>
      <c r="C47" s="16"/>
      <c r="D47" s="16"/>
      <c r="E47" s="18"/>
      <c r="F47" s="19" t="str">
        <f t="shared" ca="1" si="3"/>
        <v/>
      </c>
      <c r="G47" s="16"/>
      <c r="H47" s="16"/>
      <c r="I47" s="18"/>
      <c r="J47" s="16"/>
    </row>
    <row r="48" spans="1:10" ht="16" x14ac:dyDescent="0.2">
      <c r="A48" s="15" t="str">
        <f t="shared" si="2"/>
        <v/>
      </c>
      <c r="B48" s="20"/>
      <c r="C48" s="20"/>
      <c r="D48" s="20"/>
      <c r="E48" s="22"/>
      <c r="F48" s="19" t="str">
        <f t="shared" ca="1" si="3"/>
        <v/>
      </c>
      <c r="G48" s="20"/>
      <c r="H48" s="20"/>
      <c r="I48" s="22"/>
      <c r="J48" s="20"/>
    </row>
    <row r="49" spans="1:10" ht="16" x14ac:dyDescent="0.2">
      <c r="A49" s="15" t="str">
        <f t="shared" si="2"/>
        <v/>
      </c>
      <c r="B49" s="16"/>
      <c r="C49" s="16"/>
      <c r="D49" s="16"/>
      <c r="E49" s="18"/>
      <c r="F49" s="19" t="str">
        <f t="shared" ca="1" si="3"/>
        <v/>
      </c>
      <c r="G49" s="16"/>
      <c r="H49" s="16"/>
      <c r="I49" s="18"/>
      <c r="J49" s="16"/>
    </row>
    <row r="50" spans="1:10" ht="16" x14ac:dyDescent="0.2">
      <c r="A50" s="15" t="str">
        <f t="shared" si="2"/>
        <v/>
      </c>
      <c r="B50" s="20"/>
      <c r="C50" s="20"/>
      <c r="D50" s="20"/>
      <c r="E50" s="22"/>
      <c r="F50" s="19" t="str">
        <f t="shared" ca="1" si="3"/>
        <v/>
      </c>
      <c r="G50" s="20"/>
      <c r="H50" s="20"/>
      <c r="I50" s="22"/>
      <c r="J50" s="20"/>
    </row>
    <row r="51" spans="1:10" ht="16" x14ac:dyDescent="0.2">
      <c r="A51" s="15" t="str">
        <f t="shared" si="2"/>
        <v/>
      </c>
      <c r="B51" s="16"/>
      <c r="C51" s="16"/>
      <c r="D51" s="16"/>
      <c r="E51" s="18"/>
      <c r="F51" s="19" t="str">
        <f t="shared" ca="1" si="3"/>
        <v/>
      </c>
      <c r="G51" s="16"/>
      <c r="H51" s="16"/>
      <c r="I51" s="18"/>
      <c r="J51" s="16"/>
    </row>
    <row r="52" spans="1:10" ht="16" x14ac:dyDescent="0.2">
      <c r="A52" s="15" t="str">
        <f t="shared" si="2"/>
        <v/>
      </c>
      <c r="B52" s="20"/>
      <c r="C52" s="20"/>
      <c r="D52" s="20"/>
      <c r="E52" s="22"/>
      <c r="F52" s="19" t="str">
        <f t="shared" ca="1" si="3"/>
        <v/>
      </c>
      <c r="G52" s="20"/>
      <c r="H52" s="20"/>
      <c r="I52" s="22"/>
      <c r="J52" s="20"/>
    </row>
    <row r="53" spans="1:10" ht="16" x14ac:dyDescent="0.2">
      <c r="A53" s="15" t="str">
        <f t="shared" si="2"/>
        <v/>
      </c>
      <c r="B53" s="16"/>
      <c r="C53" s="16"/>
      <c r="D53" s="16"/>
      <c r="E53" s="18"/>
      <c r="F53" s="19" t="str">
        <f t="shared" ca="1" si="3"/>
        <v/>
      </c>
      <c r="G53" s="16"/>
      <c r="H53" s="16"/>
      <c r="I53" s="18"/>
      <c r="J53" s="16"/>
    </row>
    <row r="54" spans="1:10" ht="16" x14ac:dyDescent="0.2">
      <c r="A54" s="15" t="str">
        <f t="shared" si="2"/>
        <v/>
      </c>
      <c r="B54" s="20"/>
      <c r="C54" s="20"/>
      <c r="D54" s="20"/>
      <c r="E54" s="22"/>
      <c r="F54" s="19" t="str">
        <f t="shared" ca="1" si="3"/>
        <v/>
      </c>
      <c r="G54" s="20"/>
      <c r="H54" s="20"/>
      <c r="I54" s="22"/>
      <c r="J54" s="20"/>
    </row>
    <row r="55" spans="1:10" ht="16" x14ac:dyDescent="0.2">
      <c r="A55" s="15" t="str">
        <f t="shared" si="2"/>
        <v/>
      </c>
      <c r="B55" s="16"/>
      <c r="C55" s="16"/>
      <c r="D55" s="16"/>
      <c r="E55" s="18"/>
      <c r="F55" s="19" t="str">
        <f t="shared" ca="1" si="3"/>
        <v/>
      </c>
      <c r="G55" s="16"/>
      <c r="H55" s="16"/>
      <c r="I55" s="18"/>
      <c r="J55" s="16"/>
    </row>
    <row r="56" spans="1:10" ht="16" x14ac:dyDescent="0.2">
      <c r="A56" s="15" t="str">
        <f t="shared" si="2"/>
        <v/>
      </c>
      <c r="B56" s="20"/>
      <c r="C56" s="20"/>
      <c r="D56" s="20"/>
      <c r="E56" s="22"/>
      <c r="F56" s="19" t="str">
        <f t="shared" ca="1" si="3"/>
        <v/>
      </c>
      <c r="G56" s="20"/>
      <c r="H56" s="20"/>
      <c r="I56" s="22"/>
      <c r="J56" s="20"/>
    </row>
    <row r="57" spans="1:10" ht="16" x14ac:dyDescent="0.2">
      <c r="A57" s="15" t="str">
        <f t="shared" si="2"/>
        <v/>
      </c>
      <c r="B57" s="16"/>
      <c r="C57" s="16"/>
      <c r="D57" s="16"/>
      <c r="E57" s="18"/>
      <c r="F57" s="19" t="str">
        <f t="shared" ca="1" si="3"/>
        <v/>
      </c>
      <c r="G57" s="16"/>
      <c r="H57" s="16"/>
      <c r="I57" s="18"/>
      <c r="J57" s="16"/>
    </row>
    <row r="58" spans="1:10" ht="16" x14ac:dyDescent="0.2">
      <c r="A58" s="15" t="str">
        <f t="shared" si="2"/>
        <v/>
      </c>
      <c r="B58" s="20"/>
      <c r="C58" s="20"/>
      <c r="D58" s="20"/>
      <c r="E58" s="22"/>
      <c r="F58" s="19" t="str">
        <f t="shared" ca="1" si="3"/>
        <v/>
      </c>
      <c r="G58" s="20"/>
      <c r="H58" s="20"/>
      <c r="I58" s="22"/>
      <c r="J58" s="20"/>
    </row>
    <row r="59" spans="1:10" ht="16" x14ac:dyDescent="0.2">
      <c r="A59" s="15" t="str">
        <f t="shared" si="2"/>
        <v/>
      </c>
      <c r="B59" s="16"/>
      <c r="C59" s="16"/>
      <c r="D59" s="16"/>
      <c r="E59" s="18"/>
      <c r="F59" s="19" t="str">
        <f t="shared" ca="1" si="3"/>
        <v/>
      </c>
      <c r="G59" s="16"/>
      <c r="H59" s="16"/>
      <c r="I59" s="18"/>
      <c r="J59" s="16"/>
    </row>
    <row r="60" spans="1:10" ht="16" x14ac:dyDescent="0.2">
      <c r="A60" s="15" t="str">
        <f t="shared" si="2"/>
        <v/>
      </c>
      <c r="B60" s="20"/>
      <c r="C60" s="20"/>
      <c r="D60" s="20"/>
      <c r="E60" s="22"/>
      <c r="F60" s="19" t="str">
        <f t="shared" ca="1" si="3"/>
        <v/>
      </c>
      <c r="G60" s="20"/>
      <c r="H60" s="20"/>
      <c r="I60" s="22"/>
      <c r="J60" s="20"/>
    </row>
    <row r="61" spans="1:10" ht="16" x14ac:dyDescent="0.2">
      <c r="A61" s="15" t="str">
        <f t="shared" si="2"/>
        <v/>
      </c>
      <c r="B61" s="16"/>
      <c r="C61" s="16"/>
      <c r="D61" s="16"/>
      <c r="E61" s="18"/>
      <c r="F61" s="19" t="str">
        <f t="shared" ca="1" si="3"/>
        <v/>
      </c>
      <c r="G61" s="16"/>
      <c r="H61" s="16"/>
      <c r="I61" s="18"/>
      <c r="J61" s="16"/>
    </row>
    <row r="62" spans="1:10" ht="16" x14ac:dyDescent="0.2">
      <c r="A62" s="15" t="str">
        <f t="shared" si="2"/>
        <v/>
      </c>
      <c r="B62" s="20"/>
      <c r="C62" s="20"/>
      <c r="D62" s="20"/>
      <c r="E62" s="22"/>
      <c r="F62" s="19" t="str">
        <f t="shared" ca="1" si="3"/>
        <v/>
      </c>
      <c r="G62" s="20"/>
      <c r="H62" s="20"/>
      <c r="I62" s="22"/>
      <c r="J62" s="20"/>
    </row>
    <row r="63" spans="1:10" ht="16" x14ac:dyDescent="0.2">
      <c r="A63" s="15" t="str">
        <f t="shared" si="2"/>
        <v/>
      </c>
      <c r="B63" s="16"/>
      <c r="C63" s="16"/>
      <c r="D63" s="16"/>
      <c r="E63" s="18"/>
      <c r="F63" s="19" t="str">
        <f t="shared" ca="1" si="3"/>
        <v/>
      </c>
      <c r="G63" s="16"/>
      <c r="H63" s="16"/>
      <c r="I63" s="18"/>
      <c r="J63" s="16"/>
    </row>
    <row r="64" spans="1:10" ht="16" x14ac:dyDescent="0.2">
      <c r="A64" s="15" t="str">
        <f t="shared" si="2"/>
        <v/>
      </c>
      <c r="B64" s="20"/>
      <c r="C64" s="20"/>
      <c r="D64" s="20"/>
      <c r="E64" s="22"/>
      <c r="F64" s="19" t="str">
        <f t="shared" ca="1" si="3"/>
        <v/>
      </c>
      <c r="G64" s="20"/>
      <c r="H64" s="20"/>
      <c r="I64" s="22"/>
      <c r="J64" s="20"/>
    </row>
    <row r="65" spans="1:10" ht="16" x14ac:dyDescent="0.2">
      <c r="A65" s="15" t="str">
        <f t="shared" si="2"/>
        <v/>
      </c>
      <c r="B65" s="16"/>
      <c r="C65" s="16"/>
      <c r="D65" s="16"/>
      <c r="E65" s="18"/>
      <c r="F65" s="19" t="str">
        <f t="shared" ca="1" si="3"/>
        <v/>
      </c>
      <c r="G65" s="16"/>
      <c r="H65" s="16"/>
      <c r="I65" s="18"/>
      <c r="J65" s="16"/>
    </row>
    <row r="66" spans="1:10" ht="16" x14ac:dyDescent="0.2">
      <c r="A66" s="15" t="str">
        <f t="shared" si="2"/>
        <v/>
      </c>
      <c r="B66" s="20"/>
      <c r="C66" s="20"/>
      <c r="D66" s="20"/>
      <c r="E66" s="22"/>
      <c r="F66" s="19" t="str">
        <f t="shared" ca="1" si="3"/>
        <v/>
      </c>
      <c r="G66" s="20"/>
      <c r="H66" s="20"/>
      <c r="I66" s="22"/>
      <c r="J66" s="20"/>
    </row>
    <row r="67" spans="1:10" ht="16" x14ac:dyDescent="0.2">
      <c r="A67" s="15" t="str">
        <f t="shared" si="2"/>
        <v/>
      </c>
      <c r="B67" s="16"/>
      <c r="C67" s="16"/>
      <c r="D67" s="16"/>
      <c r="E67" s="18"/>
      <c r="F67" s="19" t="str">
        <f t="shared" ca="1" si="3"/>
        <v/>
      </c>
      <c r="G67" s="16"/>
      <c r="H67" s="16"/>
      <c r="I67" s="18"/>
      <c r="J67" s="16"/>
    </row>
    <row r="68" spans="1:10" ht="16" x14ac:dyDescent="0.2">
      <c r="A68" s="15" t="str">
        <f t="shared" si="2"/>
        <v/>
      </c>
      <c r="B68" s="20"/>
      <c r="C68" s="20"/>
      <c r="D68" s="20"/>
      <c r="E68" s="22"/>
      <c r="F68" s="19" t="str">
        <f t="shared" ca="1" si="3"/>
        <v/>
      </c>
      <c r="G68" s="20"/>
      <c r="H68" s="20"/>
      <c r="I68" s="22"/>
      <c r="J68" s="20"/>
    </row>
    <row r="69" spans="1:10" ht="16" x14ac:dyDescent="0.2">
      <c r="A69" s="15" t="str">
        <f t="shared" ref="A69:A100" si="4">IF(B69="","",ROW()-4)</f>
        <v/>
      </c>
      <c r="B69" s="16"/>
      <c r="C69" s="16"/>
      <c r="D69" s="16"/>
      <c r="E69" s="18"/>
      <c r="F69" s="19" t="str">
        <f t="shared" ref="F69:F100" ca="1" si="5">IF(E69="","",IF(OR(G69="Abstract submitted",G69="Accepted (talk)",G69="Accepted (poster)",G69="Rejected",G69="Attended"),"—",E69-TODAY()))</f>
        <v/>
      </c>
      <c r="G69" s="16"/>
      <c r="H69" s="16"/>
      <c r="I69" s="18"/>
      <c r="J69" s="16"/>
    </row>
    <row r="70" spans="1:10" ht="16" x14ac:dyDescent="0.2">
      <c r="A70" s="15" t="str">
        <f t="shared" si="4"/>
        <v/>
      </c>
      <c r="B70" s="20"/>
      <c r="C70" s="20"/>
      <c r="D70" s="20"/>
      <c r="E70" s="22"/>
      <c r="F70" s="19" t="str">
        <f t="shared" ca="1" si="5"/>
        <v/>
      </c>
      <c r="G70" s="20"/>
      <c r="H70" s="20"/>
      <c r="I70" s="22"/>
      <c r="J70" s="20"/>
    </row>
    <row r="71" spans="1:10" ht="16" x14ac:dyDescent="0.2">
      <c r="A71" s="15" t="str">
        <f t="shared" si="4"/>
        <v/>
      </c>
      <c r="B71" s="16"/>
      <c r="C71" s="16"/>
      <c r="D71" s="16"/>
      <c r="E71" s="18"/>
      <c r="F71" s="19" t="str">
        <f t="shared" ca="1" si="5"/>
        <v/>
      </c>
      <c r="G71" s="16"/>
      <c r="H71" s="16"/>
      <c r="I71" s="18"/>
      <c r="J71" s="16"/>
    </row>
    <row r="72" spans="1:10" ht="16" x14ac:dyDescent="0.2">
      <c r="A72" s="15" t="str">
        <f t="shared" si="4"/>
        <v/>
      </c>
      <c r="B72" s="20"/>
      <c r="C72" s="20"/>
      <c r="D72" s="20"/>
      <c r="E72" s="22"/>
      <c r="F72" s="19" t="str">
        <f t="shared" ca="1" si="5"/>
        <v/>
      </c>
      <c r="G72" s="20"/>
      <c r="H72" s="20"/>
      <c r="I72" s="22"/>
      <c r="J72" s="20"/>
    </row>
    <row r="73" spans="1:10" ht="16" x14ac:dyDescent="0.2">
      <c r="A73" s="15" t="str">
        <f t="shared" si="4"/>
        <v/>
      </c>
      <c r="B73" s="16"/>
      <c r="C73" s="16"/>
      <c r="D73" s="16"/>
      <c r="E73" s="18"/>
      <c r="F73" s="19" t="str">
        <f t="shared" ca="1" si="5"/>
        <v/>
      </c>
      <c r="G73" s="16"/>
      <c r="H73" s="16"/>
      <c r="I73" s="18"/>
      <c r="J73" s="16"/>
    </row>
    <row r="74" spans="1:10" ht="16" x14ac:dyDescent="0.2">
      <c r="A74" s="15" t="str">
        <f t="shared" si="4"/>
        <v/>
      </c>
      <c r="B74" s="20"/>
      <c r="C74" s="20"/>
      <c r="D74" s="20"/>
      <c r="E74" s="22"/>
      <c r="F74" s="19" t="str">
        <f t="shared" ca="1" si="5"/>
        <v/>
      </c>
      <c r="G74" s="20"/>
      <c r="H74" s="20"/>
      <c r="I74" s="22"/>
      <c r="J74" s="20"/>
    </row>
    <row r="75" spans="1:10" ht="16" x14ac:dyDescent="0.2">
      <c r="A75" s="15" t="str">
        <f t="shared" si="4"/>
        <v/>
      </c>
      <c r="B75" s="16"/>
      <c r="C75" s="16"/>
      <c r="D75" s="16"/>
      <c r="E75" s="18"/>
      <c r="F75" s="19" t="str">
        <f t="shared" ca="1" si="5"/>
        <v/>
      </c>
      <c r="G75" s="16"/>
      <c r="H75" s="16"/>
      <c r="I75" s="18"/>
      <c r="J75" s="16"/>
    </row>
    <row r="76" spans="1:10" ht="16" x14ac:dyDescent="0.2">
      <c r="A76" s="15" t="str">
        <f t="shared" si="4"/>
        <v/>
      </c>
      <c r="B76" s="20"/>
      <c r="C76" s="20"/>
      <c r="D76" s="20"/>
      <c r="E76" s="22"/>
      <c r="F76" s="19" t="str">
        <f t="shared" ca="1" si="5"/>
        <v/>
      </c>
      <c r="G76" s="20"/>
      <c r="H76" s="20"/>
      <c r="I76" s="22"/>
      <c r="J76" s="20"/>
    </row>
    <row r="77" spans="1:10" ht="16" x14ac:dyDescent="0.2">
      <c r="A77" s="15" t="str">
        <f t="shared" si="4"/>
        <v/>
      </c>
      <c r="B77" s="16"/>
      <c r="C77" s="16"/>
      <c r="D77" s="16"/>
      <c r="E77" s="18"/>
      <c r="F77" s="19" t="str">
        <f t="shared" ca="1" si="5"/>
        <v/>
      </c>
      <c r="G77" s="16"/>
      <c r="H77" s="16"/>
      <c r="I77" s="18"/>
      <c r="J77" s="16"/>
    </row>
    <row r="78" spans="1:10" ht="16" x14ac:dyDescent="0.2">
      <c r="A78" s="15" t="str">
        <f t="shared" si="4"/>
        <v/>
      </c>
      <c r="B78" s="20"/>
      <c r="C78" s="20"/>
      <c r="D78" s="20"/>
      <c r="E78" s="22"/>
      <c r="F78" s="19" t="str">
        <f t="shared" ca="1" si="5"/>
        <v/>
      </c>
      <c r="G78" s="20"/>
      <c r="H78" s="20"/>
      <c r="I78" s="22"/>
      <c r="J78" s="20"/>
    </row>
    <row r="79" spans="1:10" ht="16" x14ac:dyDescent="0.2">
      <c r="A79" s="15" t="str">
        <f t="shared" si="4"/>
        <v/>
      </c>
      <c r="B79" s="16"/>
      <c r="C79" s="16"/>
      <c r="D79" s="16"/>
      <c r="E79" s="18"/>
      <c r="F79" s="19" t="str">
        <f t="shared" ca="1" si="5"/>
        <v/>
      </c>
      <c r="G79" s="16"/>
      <c r="H79" s="16"/>
      <c r="I79" s="18"/>
      <c r="J79" s="16"/>
    </row>
    <row r="80" spans="1:10" ht="16" x14ac:dyDescent="0.2">
      <c r="A80" s="15" t="str">
        <f t="shared" si="4"/>
        <v/>
      </c>
      <c r="B80" s="20"/>
      <c r="C80" s="20"/>
      <c r="D80" s="20"/>
      <c r="E80" s="22"/>
      <c r="F80" s="19" t="str">
        <f t="shared" ca="1" si="5"/>
        <v/>
      </c>
      <c r="G80" s="20"/>
      <c r="H80" s="20"/>
      <c r="I80" s="22"/>
      <c r="J80" s="20"/>
    </row>
    <row r="81" spans="1:10" ht="16" x14ac:dyDescent="0.2">
      <c r="A81" s="15" t="str">
        <f t="shared" si="4"/>
        <v/>
      </c>
      <c r="B81" s="16"/>
      <c r="C81" s="16"/>
      <c r="D81" s="16"/>
      <c r="E81" s="18"/>
      <c r="F81" s="19" t="str">
        <f t="shared" ca="1" si="5"/>
        <v/>
      </c>
      <c r="G81" s="16"/>
      <c r="H81" s="16"/>
      <c r="I81" s="18"/>
      <c r="J81" s="16"/>
    </row>
    <row r="82" spans="1:10" ht="16" x14ac:dyDescent="0.2">
      <c r="A82" s="15" t="str">
        <f t="shared" si="4"/>
        <v/>
      </c>
      <c r="B82" s="20"/>
      <c r="C82" s="20"/>
      <c r="D82" s="20"/>
      <c r="E82" s="22"/>
      <c r="F82" s="19" t="str">
        <f t="shared" ca="1" si="5"/>
        <v/>
      </c>
      <c r="G82" s="20"/>
      <c r="H82" s="20"/>
      <c r="I82" s="22"/>
      <c r="J82" s="20"/>
    </row>
    <row r="83" spans="1:10" ht="16" x14ac:dyDescent="0.2">
      <c r="A83" s="15" t="str">
        <f t="shared" si="4"/>
        <v/>
      </c>
      <c r="B83" s="16"/>
      <c r="C83" s="16"/>
      <c r="D83" s="16"/>
      <c r="E83" s="18"/>
      <c r="F83" s="19" t="str">
        <f t="shared" ca="1" si="5"/>
        <v/>
      </c>
      <c r="G83" s="16"/>
      <c r="H83" s="16"/>
      <c r="I83" s="18"/>
      <c r="J83" s="16"/>
    </row>
    <row r="84" spans="1:10" ht="16" x14ac:dyDescent="0.2">
      <c r="A84" s="15" t="str">
        <f t="shared" si="4"/>
        <v/>
      </c>
      <c r="B84" s="20"/>
      <c r="C84" s="20"/>
      <c r="D84" s="20"/>
      <c r="E84" s="22"/>
      <c r="F84" s="19" t="str">
        <f t="shared" ca="1" si="5"/>
        <v/>
      </c>
      <c r="G84" s="20"/>
      <c r="H84" s="20"/>
      <c r="I84" s="22"/>
      <c r="J84" s="20"/>
    </row>
    <row r="85" spans="1:10" ht="16" x14ac:dyDescent="0.2">
      <c r="A85" s="15" t="str">
        <f t="shared" si="4"/>
        <v/>
      </c>
      <c r="B85" s="16"/>
      <c r="C85" s="16"/>
      <c r="D85" s="16"/>
      <c r="E85" s="18"/>
      <c r="F85" s="19" t="str">
        <f t="shared" ca="1" si="5"/>
        <v/>
      </c>
      <c r="G85" s="16"/>
      <c r="H85" s="16"/>
      <c r="I85" s="18"/>
      <c r="J85" s="16"/>
    </row>
    <row r="86" spans="1:10" ht="16" x14ac:dyDescent="0.2">
      <c r="A86" s="15" t="str">
        <f t="shared" si="4"/>
        <v/>
      </c>
      <c r="B86" s="20"/>
      <c r="C86" s="20"/>
      <c r="D86" s="20"/>
      <c r="E86" s="22"/>
      <c r="F86" s="19" t="str">
        <f t="shared" ca="1" si="5"/>
        <v/>
      </c>
      <c r="G86" s="20"/>
      <c r="H86" s="20"/>
      <c r="I86" s="22"/>
      <c r="J86" s="20"/>
    </row>
    <row r="87" spans="1:10" ht="16" x14ac:dyDescent="0.2">
      <c r="A87" s="15" t="str">
        <f t="shared" si="4"/>
        <v/>
      </c>
      <c r="B87" s="16"/>
      <c r="C87" s="16"/>
      <c r="D87" s="16"/>
      <c r="E87" s="18"/>
      <c r="F87" s="19" t="str">
        <f t="shared" ca="1" si="5"/>
        <v/>
      </c>
      <c r="G87" s="16"/>
      <c r="H87" s="16"/>
      <c r="I87" s="18"/>
      <c r="J87" s="16"/>
    </row>
    <row r="88" spans="1:10" ht="16" x14ac:dyDescent="0.2">
      <c r="A88" s="15" t="str">
        <f t="shared" si="4"/>
        <v/>
      </c>
      <c r="B88" s="20"/>
      <c r="C88" s="20"/>
      <c r="D88" s="20"/>
      <c r="E88" s="22"/>
      <c r="F88" s="19" t="str">
        <f t="shared" ca="1" si="5"/>
        <v/>
      </c>
      <c r="G88" s="20"/>
      <c r="H88" s="20"/>
      <c r="I88" s="22"/>
      <c r="J88" s="20"/>
    </row>
    <row r="89" spans="1:10" ht="16" x14ac:dyDescent="0.2">
      <c r="A89" s="15" t="str">
        <f t="shared" si="4"/>
        <v/>
      </c>
      <c r="B89" s="16"/>
      <c r="C89" s="16"/>
      <c r="D89" s="16"/>
      <c r="E89" s="18"/>
      <c r="F89" s="19" t="str">
        <f t="shared" ca="1" si="5"/>
        <v/>
      </c>
      <c r="G89" s="16"/>
      <c r="H89" s="16"/>
      <c r="I89" s="18"/>
      <c r="J89" s="16"/>
    </row>
    <row r="90" spans="1:10" ht="16" x14ac:dyDescent="0.2">
      <c r="A90" s="15" t="str">
        <f t="shared" si="4"/>
        <v/>
      </c>
      <c r="B90" s="20"/>
      <c r="C90" s="20"/>
      <c r="D90" s="20"/>
      <c r="E90" s="22"/>
      <c r="F90" s="19" t="str">
        <f t="shared" ca="1" si="5"/>
        <v/>
      </c>
      <c r="G90" s="20"/>
      <c r="H90" s="20"/>
      <c r="I90" s="22"/>
      <c r="J90" s="20"/>
    </row>
    <row r="91" spans="1:10" ht="16" x14ac:dyDescent="0.2">
      <c r="A91" s="15" t="str">
        <f t="shared" si="4"/>
        <v/>
      </c>
      <c r="B91" s="16"/>
      <c r="C91" s="16"/>
      <c r="D91" s="16"/>
      <c r="E91" s="18"/>
      <c r="F91" s="19" t="str">
        <f t="shared" ca="1" si="5"/>
        <v/>
      </c>
      <c r="G91" s="16"/>
      <c r="H91" s="16"/>
      <c r="I91" s="18"/>
      <c r="J91" s="16"/>
    </row>
    <row r="92" spans="1:10" ht="16" x14ac:dyDescent="0.2">
      <c r="A92" s="15" t="str">
        <f t="shared" si="4"/>
        <v/>
      </c>
      <c r="B92" s="20"/>
      <c r="C92" s="20"/>
      <c r="D92" s="20"/>
      <c r="E92" s="22"/>
      <c r="F92" s="19" t="str">
        <f t="shared" ca="1" si="5"/>
        <v/>
      </c>
      <c r="G92" s="20"/>
      <c r="H92" s="20"/>
      <c r="I92" s="22"/>
      <c r="J92" s="20"/>
    </row>
    <row r="93" spans="1:10" ht="16" x14ac:dyDescent="0.2">
      <c r="A93" s="15" t="str">
        <f t="shared" si="4"/>
        <v/>
      </c>
      <c r="B93" s="16"/>
      <c r="C93" s="16"/>
      <c r="D93" s="16"/>
      <c r="E93" s="18"/>
      <c r="F93" s="19" t="str">
        <f t="shared" ca="1" si="5"/>
        <v/>
      </c>
      <c r="G93" s="16"/>
      <c r="H93" s="16"/>
      <c r="I93" s="18"/>
      <c r="J93" s="16"/>
    </row>
    <row r="94" spans="1:10" ht="16" x14ac:dyDescent="0.2">
      <c r="A94" s="15" t="str">
        <f t="shared" si="4"/>
        <v/>
      </c>
      <c r="B94" s="20"/>
      <c r="C94" s="20"/>
      <c r="D94" s="20"/>
      <c r="E94" s="22"/>
      <c r="F94" s="19" t="str">
        <f t="shared" ca="1" si="5"/>
        <v/>
      </c>
      <c r="G94" s="20"/>
      <c r="H94" s="20"/>
      <c r="I94" s="22"/>
      <c r="J94" s="20"/>
    </row>
    <row r="95" spans="1:10" ht="16" x14ac:dyDescent="0.2">
      <c r="A95" s="15" t="str">
        <f t="shared" si="4"/>
        <v/>
      </c>
      <c r="B95" s="16"/>
      <c r="C95" s="16"/>
      <c r="D95" s="16"/>
      <c r="E95" s="18"/>
      <c r="F95" s="19" t="str">
        <f t="shared" ca="1" si="5"/>
        <v/>
      </c>
      <c r="G95" s="16"/>
      <c r="H95" s="16"/>
      <c r="I95" s="18"/>
      <c r="J95" s="16"/>
    </row>
    <row r="96" spans="1:10" ht="16" x14ac:dyDescent="0.2">
      <c r="A96" s="15" t="str">
        <f t="shared" si="4"/>
        <v/>
      </c>
      <c r="B96" s="20"/>
      <c r="C96" s="20"/>
      <c r="D96" s="20"/>
      <c r="E96" s="22"/>
      <c r="F96" s="19" t="str">
        <f t="shared" ca="1" si="5"/>
        <v/>
      </c>
      <c r="G96" s="20"/>
      <c r="H96" s="20"/>
      <c r="I96" s="22"/>
      <c r="J96" s="20"/>
    </row>
    <row r="97" spans="1:10" ht="16" x14ac:dyDescent="0.2">
      <c r="A97" s="15" t="str">
        <f t="shared" si="4"/>
        <v/>
      </c>
      <c r="B97" s="16"/>
      <c r="C97" s="16"/>
      <c r="D97" s="16"/>
      <c r="E97" s="18"/>
      <c r="F97" s="19" t="str">
        <f t="shared" ca="1" si="5"/>
        <v/>
      </c>
      <c r="G97" s="16"/>
      <c r="H97" s="16"/>
      <c r="I97" s="18"/>
      <c r="J97" s="16"/>
    </row>
    <row r="98" spans="1:10" ht="16" x14ac:dyDescent="0.2">
      <c r="A98" s="15" t="str">
        <f t="shared" si="4"/>
        <v/>
      </c>
      <c r="B98" s="20"/>
      <c r="C98" s="20"/>
      <c r="D98" s="20"/>
      <c r="E98" s="22"/>
      <c r="F98" s="19" t="str">
        <f t="shared" ca="1" si="5"/>
        <v/>
      </c>
      <c r="G98" s="20"/>
      <c r="H98" s="20"/>
      <c r="I98" s="22"/>
      <c r="J98" s="20"/>
    </row>
    <row r="99" spans="1:10" ht="16" x14ac:dyDescent="0.2">
      <c r="A99" s="15" t="str">
        <f t="shared" si="4"/>
        <v/>
      </c>
      <c r="B99" s="16"/>
      <c r="C99" s="16"/>
      <c r="D99" s="16"/>
      <c r="E99" s="18"/>
      <c r="F99" s="19" t="str">
        <f t="shared" ca="1" si="5"/>
        <v/>
      </c>
      <c r="G99" s="16"/>
      <c r="H99" s="16"/>
      <c r="I99" s="18"/>
      <c r="J99" s="16"/>
    </row>
    <row r="100" spans="1:10" ht="16" x14ac:dyDescent="0.2">
      <c r="A100" s="15" t="str">
        <f t="shared" si="4"/>
        <v/>
      </c>
      <c r="B100" s="20"/>
      <c r="C100" s="20"/>
      <c r="D100" s="20"/>
      <c r="E100" s="22"/>
      <c r="F100" s="19" t="str">
        <f t="shared" ca="1" si="5"/>
        <v/>
      </c>
      <c r="G100" s="20"/>
      <c r="H100" s="20"/>
      <c r="I100" s="22"/>
      <c r="J100" s="20"/>
    </row>
    <row r="101" spans="1:10" ht="16" x14ac:dyDescent="0.2">
      <c r="A101" s="15" t="str">
        <f t="shared" ref="A101:A132" si="6">IF(B101="","",ROW()-4)</f>
        <v/>
      </c>
      <c r="B101" s="16"/>
      <c r="C101" s="16"/>
      <c r="D101" s="16"/>
      <c r="E101" s="18"/>
      <c r="F101" s="19" t="str">
        <f t="shared" ref="F101:F132" ca="1" si="7">IF(E101="","",IF(OR(G101="Abstract submitted",G101="Accepted (talk)",G101="Accepted (poster)",G101="Rejected",G101="Attended"),"—",E101-TODAY()))</f>
        <v/>
      </c>
      <c r="G101" s="16"/>
      <c r="H101" s="16"/>
      <c r="I101" s="18"/>
      <c r="J101" s="16"/>
    </row>
    <row r="102" spans="1:10" ht="16" x14ac:dyDescent="0.2">
      <c r="A102" s="15" t="str">
        <f t="shared" si="6"/>
        <v/>
      </c>
      <c r="B102" s="20"/>
      <c r="C102" s="20"/>
      <c r="D102" s="20"/>
      <c r="E102" s="22"/>
      <c r="F102" s="19" t="str">
        <f t="shared" ca="1" si="7"/>
        <v/>
      </c>
      <c r="G102" s="20"/>
      <c r="H102" s="20"/>
      <c r="I102" s="22"/>
      <c r="J102" s="20"/>
    </row>
    <row r="103" spans="1:10" ht="16" x14ac:dyDescent="0.2">
      <c r="A103" s="15" t="str">
        <f t="shared" si="6"/>
        <v/>
      </c>
      <c r="B103" s="16"/>
      <c r="C103" s="16"/>
      <c r="D103" s="16"/>
      <c r="E103" s="18"/>
      <c r="F103" s="19" t="str">
        <f t="shared" ca="1" si="7"/>
        <v/>
      </c>
      <c r="G103" s="16"/>
      <c r="H103" s="16"/>
      <c r="I103" s="18"/>
      <c r="J103" s="16"/>
    </row>
    <row r="104" spans="1:10" ht="16" x14ac:dyDescent="0.2">
      <c r="A104" s="15" t="str">
        <f t="shared" si="6"/>
        <v/>
      </c>
      <c r="B104" s="20"/>
      <c r="C104" s="20"/>
      <c r="D104" s="20"/>
      <c r="E104" s="22"/>
      <c r="F104" s="19" t="str">
        <f t="shared" ca="1" si="7"/>
        <v/>
      </c>
      <c r="G104" s="20"/>
      <c r="H104" s="20"/>
      <c r="I104" s="22"/>
      <c r="J104" s="20"/>
    </row>
  </sheetData>
  <autoFilter ref="A4:J104" xr:uid="{00000000-0009-0000-0000-000004000000}"/>
  <mergeCells count="2">
    <mergeCell ref="A1:J1"/>
    <mergeCell ref="A2:J2"/>
  </mergeCells>
  <conditionalFormatting sqref="F5:F104">
    <cfRule type="cellIs" dxfId="16" priority="1" operator="lessThan">
      <formula>8</formula>
    </cfRule>
    <cfRule type="cellIs" dxfId="15" priority="2" operator="between">
      <formula>8</formula>
      <formula>21</formula>
    </cfRule>
    <cfRule type="cellIs" dxfId="14" priority="3" operator="between">
      <formula>22</formula>
      <formula>99999</formula>
    </cfRule>
  </conditionalFormatting>
  <conditionalFormatting sqref="G5:G104">
    <cfRule type="cellIs" dxfId="13" priority="4" operator="equal">
      <formula>"Planned"</formula>
    </cfRule>
    <cfRule type="cellIs" dxfId="12" priority="5" operator="equal">
      <formula>"Abstract submitted"</formula>
    </cfRule>
    <cfRule type="cellIs" dxfId="11" priority="6" operator="equal">
      <formula>"Accepted (talk)"</formula>
    </cfRule>
    <cfRule type="cellIs" dxfId="10" priority="7" operator="equal">
      <formula>"Accepted (poster)"</formula>
    </cfRule>
    <cfRule type="cellIs" dxfId="9" priority="8" operator="equal">
      <formula>"Rejected"</formula>
    </cfRule>
    <cfRule type="cellIs" dxfId="8" priority="9" operator="equal">
      <formula>"Attended"</formula>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0000000}">
          <x14:formula1>
            <xm:f>Lists!$C$1:$C$6</xm:f>
          </x14:formula1>
          <xm:sqref>G5:G104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4"/>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5" customWidth="1"/>
    <col min="2" max="2" width="26" customWidth="1"/>
    <col min="3" max="3" width="34" customWidth="1"/>
    <col min="4" max="5" width="12" customWidth="1"/>
    <col min="6" max="6" width="10" customWidth="1"/>
    <col min="7" max="7" width="13" customWidth="1"/>
    <col min="8" max="8" width="10" customWidth="1"/>
    <col min="9" max="9" width="40" customWidth="1"/>
  </cols>
  <sheetData>
    <row r="1" spans="1:9" ht="26" customHeight="1" x14ac:dyDescent="0.25">
      <c r="A1" s="31" t="s">
        <v>74</v>
      </c>
      <c r="B1" s="30"/>
      <c r="C1" s="30"/>
      <c r="D1" s="30"/>
      <c r="E1" s="30"/>
      <c r="F1" s="30"/>
      <c r="G1" s="30"/>
      <c r="H1" s="30"/>
      <c r="I1" s="30"/>
    </row>
    <row r="2" spans="1:9" x14ac:dyDescent="0.2">
      <c r="A2" s="29" t="s">
        <v>75</v>
      </c>
      <c r="B2" s="30"/>
      <c r="C2" s="30"/>
      <c r="D2" s="30"/>
      <c r="E2" s="30"/>
      <c r="F2" s="30"/>
      <c r="G2" s="30"/>
      <c r="H2" s="30"/>
      <c r="I2" s="30"/>
    </row>
    <row r="4" spans="1:9" ht="30" customHeight="1" x14ac:dyDescent="0.2">
      <c r="A4" s="14" t="s">
        <v>34</v>
      </c>
      <c r="B4" s="14" t="s">
        <v>76</v>
      </c>
      <c r="C4" s="14" t="s">
        <v>77</v>
      </c>
      <c r="D4" s="14" t="s">
        <v>78</v>
      </c>
      <c r="E4" s="14" t="s">
        <v>79</v>
      </c>
      <c r="F4" s="14" t="s">
        <v>41</v>
      </c>
      <c r="G4" s="14" t="s">
        <v>42</v>
      </c>
      <c r="H4" s="14" t="s">
        <v>80</v>
      </c>
      <c r="I4" s="14" t="s">
        <v>81</v>
      </c>
    </row>
    <row r="5" spans="1:9" ht="16" x14ac:dyDescent="0.2">
      <c r="A5" s="15" t="str">
        <f t="shared" ref="A5:A36" si="0">IF(B5="","",ROW()-4)</f>
        <v/>
      </c>
      <c r="B5" s="16"/>
      <c r="C5" s="16"/>
      <c r="D5" s="18"/>
      <c r="E5" s="18"/>
      <c r="F5" s="19" t="str">
        <f t="shared" ref="F5:F36" ca="1" si="1">IF(E5="","",IF(OR(G5="Submitted",G5="Declined"),"—",E5-TODAY()))</f>
        <v/>
      </c>
      <c r="G5" s="16"/>
      <c r="H5" s="23"/>
      <c r="I5" s="16"/>
    </row>
    <row r="6" spans="1:9" ht="16" x14ac:dyDescent="0.2">
      <c r="A6" s="15" t="str">
        <f t="shared" si="0"/>
        <v/>
      </c>
      <c r="B6" s="20"/>
      <c r="C6" s="20"/>
      <c r="D6" s="22"/>
      <c r="E6" s="22"/>
      <c r="F6" s="19" t="str">
        <f t="shared" ca="1" si="1"/>
        <v/>
      </c>
      <c r="G6" s="20"/>
      <c r="H6" s="24"/>
      <c r="I6" s="20"/>
    </row>
    <row r="7" spans="1:9" ht="16" x14ac:dyDescent="0.2">
      <c r="A7" s="15" t="str">
        <f t="shared" si="0"/>
        <v/>
      </c>
      <c r="B7" s="16"/>
      <c r="C7" s="16"/>
      <c r="D7" s="18"/>
      <c r="E7" s="18"/>
      <c r="F7" s="19" t="str">
        <f t="shared" ca="1" si="1"/>
        <v/>
      </c>
      <c r="G7" s="16"/>
      <c r="H7" s="23"/>
      <c r="I7" s="16"/>
    </row>
    <row r="8" spans="1:9" ht="16" x14ac:dyDescent="0.2">
      <c r="A8" s="15" t="str">
        <f t="shared" si="0"/>
        <v/>
      </c>
      <c r="B8" s="20"/>
      <c r="C8" s="20"/>
      <c r="D8" s="22"/>
      <c r="E8" s="22"/>
      <c r="F8" s="19" t="str">
        <f t="shared" ca="1" si="1"/>
        <v/>
      </c>
      <c r="G8" s="20"/>
      <c r="H8" s="24"/>
      <c r="I8" s="20"/>
    </row>
    <row r="9" spans="1:9" ht="16" x14ac:dyDescent="0.2">
      <c r="A9" s="15" t="str">
        <f t="shared" si="0"/>
        <v/>
      </c>
      <c r="B9" s="16"/>
      <c r="C9" s="16"/>
      <c r="D9" s="18"/>
      <c r="E9" s="18"/>
      <c r="F9" s="19" t="str">
        <f t="shared" ca="1" si="1"/>
        <v/>
      </c>
      <c r="G9" s="16"/>
      <c r="H9" s="23"/>
      <c r="I9" s="16"/>
    </row>
    <row r="10" spans="1:9" ht="16" x14ac:dyDescent="0.2">
      <c r="A10" s="15" t="str">
        <f t="shared" si="0"/>
        <v/>
      </c>
      <c r="B10" s="20"/>
      <c r="C10" s="20"/>
      <c r="D10" s="22"/>
      <c r="E10" s="22"/>
      <c r="F10" s="19" t="str">
        <f t="shared" ca="1" si="1"/>
        <v/>
      </c>
      <c r="G10" s="20"/>
      <c r="H10" s="24"/>
      <c r="I10" s="20"/>
    </row>
    <row r="11" spans="1:9" ht="16" x14ac:dyDescent="0.2">
      <c r="A11" s="15" t="str">
        <f t="shared" si="0"/>
        <v/>
      </c>
      <c r="B11" s="16"/>
      <c r="C11" s="16"/>
      <c r="D11" s="18"/>
      <c r="E11" s="18"/>
      <c r="F11" s="19" t="str">
        <f t="shared" ca="1" si="1"/>
        <v/>
      </c>
      <c r="G11" s="16"/>
      <c r="H11" s="23"/>
      <c r="I11" s="16"/>
    </row>
    <row r="12" spans="1:9" ht="16" x14ac:dyDescent="0.2">
      <c r="A12" s="15" t="str">
        <f t="shared" si="0"/>
        <v/>
      </c>
      <c r="B12" s="20"/>
      <c r="C12" s="20"/>
      <c r="D12" s="22"/>
      <c r="E12" s="22"/>
      <c r="F12" s="19" t="str">
        <f t="shared" ca="1" si="1"/>
        <v/>
      </c>
      <c r="G12" s="20"/>
      <c r="H12" s="24"/>
      <c r="I12" s="20"/>
    </row>
    <row r="13" spans="1:9" ht="16" x14ac:dyDescent="0.2">
      <c r="A13" s="15" t="str">
        <f t="shared" si="0"/>
        <v/>
      </c>
      <c r="B13" s="16"/>
      <c r="C13" s="16"/>
      <c r="D13" s="18"/>
      <c r="E13" s="18"/>
      <c r="F13" s="19" t="str">
        <f t="shared" ca="1" si="1"/>
        <v/>
      </c>
      <c r="G13" s="16"/>
      <c r="H13" s="23"/>
      <c r="I13" s="16"/>
    </row>
    <row r="14" spans="1:9" ht="16" x14ac:dyDescent="0.2">
      <c r="A14" s="15" t="str">
        <f t="shared" si="0"/>
        <v/>
      </c>
      <c r="B14" s="20"/>
      <c r="C14" s="20"/>
      <c r="D14" s="22"/>
      <c r="E14" s="22"/>
      <c r="F14" s="19" t="str">
        <f t="shared" ca="1" si="1"/>
        <v/>
      </c>
      <c r="G14" s="20"/>
      <c r="H14" s="24"/>
      <c r="I14" s="20"/>
    </row>
    <row r="15" spans="1:9" ht="16" x14ac:dyDescent="0.2">
      <c r="A15" s="15" t="str">
        <f t="shared" si="0"/>
        <v/>
      </c>
      <c r="B15" s="16"/>
      <c r="C15" s="16"/>
      <c r="D15" s="18"/>
      <c r="E15" s="18"/>
      <c r="F15" s="19" t="str">
        <f t="shared" ca="1" si="1"/>
        <v/>
      </c>
      <c r="G15" s="16"/>
      <c r="H15" s="23"/>
      <c r="I15" s="16"/>
    </row>
    <row r="16" spans="1:9" ht="16" x14ac:dyDescent="0.2">
      <c r="A16" s="15" t="str">
        <f t="shared" si="0"/>
        <v/>
      </c>
      <c r="B16" s="20"/>
      <c r="C16" s="20"/>
      <c r="D16" s="22"/>
      <c r="E16" s="22"/>
      <c r="F16" s="19" t="str">
        <f t="shared" ca="1" si="1"/>
        <v/>
      </c>
      <c r="G16" s="20"/>
      <c r="H16" s="24"/>
      <c r="I16" s="20"/>
    </row>
    <row r="17" spans="1:9" ht="16" x14ac:dyDescent="0.2">
      <c r="A17" s="15" t="str">
        <f t="shared" si="0"/>
        <v/>
      </c>
      <c r="B17" s="16"/>
      <c r="C17" s="16"/>
      <c r="D17" s="18"/>
      <c r="E17" s="18"/>
      <c r="F17" s="19" t="str">
        <f t="shared" ca="1" si="1"/>
        <v/>
      </c>
      <c r="G17" s="16"/>
      <c r="H17" s="23"/>
      <c r="I17" s="16"/>
    </row>
    <row r="18" spans="1:9" ht="16" x14ac:dyDescent="0.2">
      <c r="A18" s="15" t="str">
        <f t="shared" si="0"/>
        <v/>
      </c>
      <c r="B18" s="20"/>
      <c r="C18" s="20"/>
      <c r="D18" s="22"/>
      <c r="E18" s="22"/>
      <c r="F18" s="19" t="str">
        <f t="shared" ca="1" si="1"/>
        <v/>
      </c>
      <c r="G18" s="20"/>
      <c r="H18" s="24"/>
      <c r="I18" s="20"/>
    </row>
    <row r="19" spans="1:9" ht="16" x14ac:dyDescent="0.2">
      <c r="A19" s="15" t="str">
        <f t="shared" si="0"/>
        <v/>
      </c>
      <c r="B19" s="16"/>
      <c r="C19" s="16"/>
      <c r="D19" s="18"/>
      <c r="E19" s="18"/>
      <c r="F19" s="19" t="str">
        <f t="shared" ca="1" si="1"/>
        <v/>
      </c>
      <c r="G19" s="16"/>
      <c r="H19" s="23"/>
      <c r="I19" s="16"/>
    </row>
    <row r="20" spans="1:9" ht="16" x14ac:dyDescent="0.2">
      <c r="A20" s="15" t="str">
        <f t="shared" si="0"/>
        <v/>
      </c>
      <c r="B20" s="20"/>
      <c r="C20" s="20"/>
      <c r="D20" s="22"/>
      <c r="E20" s="22"/>
      <c r="F20" s="19" t="str">
        <f t="shared" ca="1" si="1"/>
        <v/>
      </c>
      <c r="G20" s="20"/>
      <c r="H20" s="24"/>
      <c r="I20" s="20"/>
    </row>
    <row r="21" spans="1:9" ht="16" x14ac:dyDescent="0.2">
      <c r="A21" s="15" t="str">
        <f t="shared" si="0"/>
        <v/>
      </c>
      <c r="B21" s="16"/>
      <c r="C21" s="16"/>
      <c r="D21" s="18"/>
      <c r="E21" s="18"/>
      <c r="F21" s="19" t="str">
        <f t="shared" ca="1" si="1"/>
        <v/>
      </c>
      <c r="G21" s="16"/>
      <c r="H21" s="23"/>
      <c r="I21" s="16"/>
    </row>
    <row r="22" spans="1:9" ht="16" x14ac:dyDescent="0.2">
      <c r="A22" s="15" t="str">
        <f t="shared" si="0"/>
        <v/>
      </c>
      <c r="B22" s="20"/>
      <c r="C22" s="20"/>
      <c r="D22" s="22"/>
      <c r="E22" s="22"/>
      <c r="F22" s="19" t="str">
        <f t="shared" ca="1" si="1"/>
        <v/>
      </c>
      <c r="G22" s="20"/>
      <c r="H22" s="24"/>
      <c r="I22" s="20"/>
    </row>
    <row r="23" spans="1:9" ht="16" x14ac:dyDescent="0.2">
      <c r="A23" s="15" t="str">
        <f t="shared" si="0"/>
        <v/>
      </c>
      <c r="B23" s="16"/>
      <c r="C23" s="16"/>
      <c r="D23" s="18"/>
      <c r="E23" s="18"/>
      <c r="F23" s="19" t="str">
        <f t="shared" ca="1" si="1"/>
        <v/>
      </c>
      <c r="G23" s="16"/>
      <c r="H23" s="23"/>
      <c r="I23" s="16"/>
    </row>
    <row r="24" spans="1:9" ht="16" x14ac:dyDescent="0.2">
      <c r="A24" s="15" t="str">
        <f t="shared" si="0"/>
        <v/>
      </c>
      <c r="B24" s="20"/>
      <c r="C24" s="20"/>
      <c r="D24" s="22"/>
      <c r="E24" s="22"/>
      <c r="F24" s="19" t="str">
        <f t="shared" ca="1" si="1"/>
        <v/>
      </c>
      <c r="G24" s="20"/>
      <c r="H24" s="24"/>
      <c r="I24" s="20"/>
    </row>
    <row r="25" spans="1:9" ht="16" x14ac:dyDescent="0.2">
      <c r="A25" s="15" t="str">
        <f t="shared" si="0"/>
        <v/>
      </c>
      <c r="B25" s="16"/>
      <c r="C25" s="16"/>
      <c r="D25" s="18"/>
      <c r="E25" s="18"/>
      <c r="F25" s="19" t="str">
        <f t="shared" ca="1" si="1"/>
        <v/>
      </c>
      <c r="G25" s="16"/>
      <c r="H25" s="23"/>
      <c r="I25" s="16"/>
    </row>
    <row r="26" spans="1:9" ht="16" x14ac:dyDescent="0.2">
      <c r="A26" s="15" t="str">
        <f t="shared" si="0"/>
        <v/>
      </c>
      <c r="B26" s="20"/>
      <c r="C26" s="20"/>
      <c r="D26" s="22"/>
      <c r="E26" s="22"/>
      <c r="F26" s="19" t="str">
        <f t="shared" ca="1" si="1"/>
        <v/>
      </c>
      <c r="G26" s="20"/>
      <c r="H26" s="24"/>
      <c r="I26" s="20"/>
    </row>
    <row r="27" spans="1:9" ht="16" x14ac:dyDescent="0.2">
      <c r="A27" s="15" t="str">
        <f t="shared" si="0"/>
        <v/>
      </c>
      <c r="B27" s="16"/>
      <c r="C27" s="16"/>
      <c r="D27" s="18"/>
      <c r="E27" s="18"/>
      <c r="F27" s="19" t="str">
        <f t="shared" ca="1" si="1"/>
        <v/>
      </c>
      <c r="G27" s="16"/>
      <c r="H27" s="23"/>
      <c r="I27" s="16"/>
    </row>
    <row r="28" spans="1:9" ht="16" x14ac:dyDescent="0.2">
      <c r="A28" s="15" t="str">
        <f t="shared" si="0"/>
        <v/>
      </c>
      <c r="B28" s="20"/>
      <c r="C28" s="20"/>
      <c r="D28" s="22"/>
      <c r="E28" s="22"/>
      <c r="F28" s="19" t="str">
        <f t="shared" ca="1" si="1"/>
        <v/>
      </c>
      <c r="G28" s="20"/>
      <c r="H28" s="24"/>
      <c r="I28" s="20"/>
    </row>
    <row r="29" spans="1:9" ht="16" x14ac:dyDescent="0.2">
      <c r="A29" s="15" t="str">
        <f t="shared" si="0"/>
        <v/>
      </c>
      <c r="B29" s="16"/>
      <c r="C29" s="16"/>
      <c r="D29" s="18"/>
      <c r="E29" s="18"/>
      <c r="F29" s="19" t="str">
        <f t="shared" ca="1" si="1"/>
        <v/>
      </c>
      <c r="G29" s="16"/>
      <c r="H29" s="23"/>
      <c r="I29" s="16"/>
    </row>
    <row r="30" spans="1:9" ht="16" x14ac:dyDescent="0.2">
      <c r="A30" s="15" t="str">
        <f t="shared" si="0"/>
        <v/>
      </c>
      <c r="B30" s="20"/>
      <c r="C30" s="20"/>
      <c r="D30" s="22"/>
      <c r="E30" s="22"/>
      <c r="F30" s="19" t="str">
        <f t="shared" ca="1" si="1"/>
        <v/>
      </c>
      <c r="G30" s="20"/>
      <c r="H30" s="24"/>
      <c r="I30" s="20"/>
    </row>
    <row r="31" spans="1:9" ht="16" x14ac:dyDescent="0.2">
      <c r="A31" s="15" t="str">
        <f t="shared" si="0"/>
        <v/>
      </c>
      <c r="B31" s="16"/>
      <c r="C31" s="16"/>
      <c r="D31" s="18"/>
      <c r="E31" s="18"/>
      <c r="F31" s="19" t="str">
        <f t="shared" ca="1" si="1"/>
        <v/>
      </c>
      <c r="G31" s="16"/>
      <c r="H31" s="23"/>
      <c r="I31" s="16"/>
    </row>
    <row r="32" spans="1:9" ht="16" x14ac:dyDescent="0.2">
      <c r="A32" s="15" t="str">
        <f t="shared" si="0"/>
        <v/>
      </c>
      <c r="B32" s="20"/>
      <c r="C32" s="20"/>
      <c r="D32" s="22"/>
      <c r="E32" s="22"/>
      <c r="F32" s="19" t="str">
        <f t="shared" ca="1" si="1"/>
        <v/>
      </c>
      <c r="G32" s="20"/>
      <c r="H32" s="24"/>
      <c r="I32" s="20"/>
    </row>
    <row r="33" spans="1:9" ht="16" x14ac:dyDescent="0.2">
      <c r="A33" s="15" t="str">
        <f t="shared" si="0"/>
        <v/>
      </c>
      <c r="B33" s="16"/>
      <c r="C33" s="16"/>
      <c r="D33" s="18"/>
      <c r="E33" s="18"/>
      <c r="F33" s="19" t="str">
        <f t="shared" ca="1" si="1"/>
        <v/>
      </c>
      <c r="G33" s="16"/>
      <c r="H33" s="23"/>
      <c r="I33" s="16"/>
    </row>
    <row r="34" spans="1:9" ht="16" x14ac:dyDescent="0.2">
      <c r="A34" s="15" t="str">
        <f t="shared" si="0"/>
        <v/>
      </c>
      <c r="B34" s="20"/>
      <c r="C34" s="20"/>
      <c r="D34" s="22"/>
      <c r="E34" s="22"/>
      <c r="F34" s="19" t="str">
        <f t="shared" ca="1" si="1"/>
        <v/>
      </c>
      <c r="G34" s="20"/>
      <c r="H34" s="24"/>
      <c r="I34" s="20"/>
    </row>
    <row r="35" spans="1:9" ht="16" x14ac:dyDescent="0.2">
      <c r="A35" s="15" t="str">
        <f t="shared" si="0"/>
        <v/>
      </c>
      <c r="B35" s="16"/>
      <c r="C35" s="16"/>
      <c r="D35" s="18"/>
      <c r="E35" s="18"/>
      <c r="F35" s="19" t="str">
        <f t="shared" ca="1" si="1"/>
        <v/>
      </c>
      <c r="G35" s="16"/>
      <c r="H35" s="23"/>
      <c r="I35" s="16"/>
    </row>
    <row r="36" spans="1:9" ht="16" x14ac:dyDescent="0.2">
      <c r="A36" s="15" t="str">
        <f t="shared" si="0"/>
        <v/>
      </c>
      <c r="B36" s="20"/>
      <c r="C36" s="20"/>
      <c r="D36" s="22"/>
      <c r="E36" s="22"/>
      <c r="F36" s="19" t="str">
        <f t="shared" ca="1" si="1"/>
        <v/>
      </c>
      <c r="G36" s="20"/>
      <c r="H36" s="24"/>
      <c r="I36" s="20"/>
    </row>
    <row r="37" spans="1:9" ht="16" x14ac:dyDescent="0.2">
      <c r="A37" s="15" t="str">
        <f t="shared" ref="A37:A68" si="2">IF(B37="","",ROW()-4)</f>
        <v/>
      </c>
      <c r="B37" s="16"/>
      <c r="C37" s="16"/>
      <c r="D37" s="18"/>
      <c r="E37" s="18"/>
      <c r="F37" s="19" t="str">
        <f t="shared" ref="F37:F68" ca="1" si="3">IF(E37="","",IF(OR(G37="Submitted",G37="Declined"),"—",E37-TODAY()))</f>
        <v/>
      </c>
      <c r="G37" s="16"/>
      <c r="H37" s="23"/>
      <c r="I37" s="16"/>
    </row>
    <row r="38" spans="1:9" ht="16" x14ac:dyDescent="0.2">
      <c r="A38" s="15" t="str">
        <f t="shared" si="2"/>
        <v/>
      </c>
      <c r="B38" s="20"/>
      <c r="C38" s="20"/>
      <c r="D38" s="22"/>
      <c r="E38" s="22"/>
      <c r="F38" s="19" t="str">
        <f t="shared" ca="1" si="3"/>
        <v/>
      </c>
      <c r="G38" s="20"/>
      <c r="H38" s="24"/>
      <c r="I38" s="20"/>
    </row>
    <row r="39" spans="1:9" ht="16" x14ac:dyDescent="0.2">
      <c r="A39" s="15" t="str">
        <f t="shared" si="2"/>
        <v/>
      </c>
      <c r="B39" s="16"/>
      <c r="C39" s="16"/>
      <c r="D39" s="18"/>
      <c r="E39" s="18"/>
      <c r="F39" s="19" t="str">
        <f t="shared" ca="1" si="3"/>
        <v/>
      </c>
      <c r="G39" s="16"/>
      <c r="H39" s="23"/>
      <c r="I39" s="16"/>
    </row>
    <row r="40" spans="1:9" ht="16" x14ac:dyDescent="0.2">
      <c r="A40" s="15" t="str">
        <f t="shared" si="2"/>
        <v/>
      </c>
      <c r="B40" s="20"/>
      <c r="C40" s="20"/>
      <c r="D40" s="22"/>
      <c r="E40" s="22"/>
      <c r="F40" s="19" t="str">
        <f t="shared" ca="1" si="3"/>
        <v/>
      </c>
      <c r="G40" s="20"/>
      <c r="H40" s="24"/>
      <c r="I40" s="20"/>
    </row>
    <row r="41" spans="1:9" ht="16" x14ac:dyDescent="0.2">
      <c r="A41" s="15" t="str">
        <f t="shared" si="2"/>
        <v/>
      </c>
      <c r="B41" s="16"/>
      <c r="C41" s="16"/>
      <c r="D41" s="18"/>
      <c r="E41" s="18"/>
      <c r="F41" s="19" t="str">
        <f t="shared" ca="1" si="3"/>
        <v/>
      </c>
      <c r="G41" s="16"/>
      <c r="H41" s="23"/>
      <c r="I41" s="16"/>
    </row>
    <row r="42" spans="1:9" ht="16" x14ac:dyDescent="0.2">
      <c r="A42" s="15" t="str">
        <f t="shared" si="2"/>
        <v/>
      </c>
      <c r="B42" s="20"/>
      <c r="C42" s="20"/>
      <c r="D42" s="22"/>
      <c r="E42" s="22"/>
      <c r="F42" s="19" t="str">
        <f t="shared" ca="1" si="3"/>
        <v/>
      </c>
      <c r="G42" s="20"/>
      <c r="H42" s="24"/>
      <c r="I42" s="20"/>
    </row>
    <row r="43" spans="1:9" ht="16" x14ac:dyDescent="0.2">
      <c r="A43" s="15" t="str">
        <f t="shared" si="2"/>
        <v/>
      </c>
      <c r="B43" s="16"/>
      <c r="C43" s="16"/>
      <c r="D43" s="18"/>
      <c r="E43" s="18"/>
      <c r="F43" s="19" t="str">
        <f t="shared" ca="1" si="3"/>
        <v/>
      </c>
      <c r="G43" s="16"/>
      <c r="H43" s="23"/>
      <c r="I43" s="16"/>
    </row>
    <row r="44" spans="1:9" ht="16" x14ac:dyDescent="0.2">
      <c r="A44" s="15" t="str">
        <f t="shared" si="2"/>
        <v/>
      </c>
      <c r="B44" s="20"/>
      <c r="C44" s="20"/>
      <c r="D44" s="22"/>
      <c r="E44" s="22"/>
      <c r="F44" s="19" t="str">
        <f t="shared" ca="1" si="3"/>
        <v/>
      </c>
      <c r="G44" s="20"/>
      <c r="H44" s="24"/>
      <c r="I44" s="20"/>
    </row>
    <row r="45" spans="1:9" ht="16" x14ac:dyDescent="0.2">
      <c r="A45" s="15" t="str">
        <f t="shared" si="2"/>
        <v/>
      </c>
      <c r="B45" s="16"/>
      <c r="C45" s="16"/>
      <c r="D45" s="18"/>
      <c r="E45" s="18"/>
      <c r="F45" s="19" t="str">
        <f t="shared" ca="1" si="3"/>
        <v/>
      </c>
      <c r="G45" s="16"/>
      <c r="H45" s="23"/>
      <c r="I45" s="16"/>
    </row>
    <row r="46" spans="1:9" ht="16" x14ac:dyDescent="0.2">
      <c r="A46" s="15" t="str">
        <f t="shared" si="2"/>
        <v/>
      </c>
      <c r="B46" s="20"/>
      <c r="C46" s="20"/>
      <c r="D46" s="22"/>
      <c r="E46" s="22"/>
      <c r="F46" s="19" t="str">
        <f t="shared" ca="1" si="3"/>
        <v/>
      </c>
      <c r="G46" s="20"/>
      <c r="H46" s="24"/>
      <c r="I46" s="20"/>
    </row>
    <row r="47" spans="1:9" ht="16" x14ac:dyDescent="0.2">
      <c r="A47" s="15" t="str">
        <f t="shared" si="2"/>
        <v/>
      </c>
      <c r="B47" s="16"/>
      <c r="C47" s="16"/>
      <c r="D47" s="18"/>
      <c r="E47" s="18"/>
      <c r="F47" s="19" t="str">
        <f t="shared" ca="1" si="3"/>
        <v/>
      </c>
      <c r="G47" s="16"/>
      <c r="H47" s="23"/>
      <c r="I47" s="16"/>
    </row>
    <row r="48" spans="1:9" ht="16" x14ac:dyDescent="0.2">
      <c r="A48" s="15" t="str">
        <f t="shared" si="2"/>
        <v/>
      </c>
      <c r="B48" s="20"/>
      <c r="C48" s="20"/>
      <c r="D48" s="22"/>
      <c r="E48" s="22"/>
      <c r="F48" s="19" t="str">
        <f t="shared" ca="1" si="3"/>
        <v/>
      </c>
      <c r="G48" s="20"/>
      <c r="H48" s="24"/>
      <c r="I48" s="20"/>
    </row>
    <row r="49" spans="1:9" ht="16" x14ac:dyDescent="0.2">
      <c r="A49" s="15" t="str">
        <f t="shared" si="2"/>
        <v/>
      </c>
      <c r="B49" s="16"/>
      <c r="C49" s="16"/>
      <c r="D49" s="18"/>
      <c r="E49" s="18"/>
      <c r="F49" s="19" t="str">
        <f t="shared" ca="1" si="3"/>
        <v/>
      </c>
      <c r="G49" s="16"/>
      <c r="H49" s="23"/>
      <c r="I49" s="16"/>
    </row>
    <row r="50" spans="1:9" ht="16" x14ac:dyDescent="0.2">
      <c r="A50" s="15" t="str">
        <f t="shared" si="2"/>
        <v/>
      </c>
      <c r="B50" s="20"/>
      <c r="C50" s="20"/>
      <c r="D50" s="22"/>
      <c r="E50" s="22"/>
      <c r="F50" s="19" t="str">
        <f t="shared" ca="1" si="3"/>
        <v/>
      </c>
      <c r="G50" s="20"/>
      <c r="H50" s="24"/>
      <c r="I50" s="20"/>
    </row>
    <row r="51" spans="1:9" ht="16" x14ac:dyDescent="0.2">
      <c r="A51" s="15" t="str">
        <f t="shared" si="2"/>
        <v/>
      </c>
      <c r="B51" s="16"/>
      <c r="C51" s="16"/>
      <c r="D51" s="18"/>
      <c r="E51" s="18"/>
      <c r="F51" s="19" t="str">
        <f t="shared" ca="1" si="3"/>
        <v/>
      </c>
      <c r="G51" s="16"/>
      <c r="H51" s="23"/>
      <c r="I51" s="16"/>
    </row>
    <row r="52" spans="1:9" ht="16" x14ac:dyDescent="0.2">
      <c r="A52" s="15" t="str">
        <f t="shared" si="2"/>
        <v/>
      </c>
      <c r="B52" s="20"/>
      <c r="C52" s="20"/>
      <c r="D52" s="22"/>
      <c r="E52" s="22"/>
      <c r="F52" s="19" t="str">
        <f t="shared" ca="1" si="3"/>
        <v/>
      </c>
      <c r="G52" s="20"/>
      <c r="H52" s="24"/>
      <c r="I52" s="20"/>
    </row>
    <row r="53" spans="1:9" ht="16" x14ac:dyDescent="0.2">
      <c r="A53" s="15" t="str">
        <f t="shared" si="2"/>
        <v/>
      </c>
      <c r="B53" s="16"/>
      <c r="C53" s="16"/>
      <c r="D53" s="18"/>
      <c r="E53" s="18"/>
      <c r="F53" s="19" t="str">
        <f t="shared" ca="1" si="3"/>
        <v/>
      </c>
      <c r="G53" s="16"/>
      <c r="H53" s="23"/>
      <c r="I53" s="16"/>
    </row>
    <row r="54" spans="1:9" ht="16" x14ac:dyDescent="0.2">
      <c r="A54" s="15" t="str">
        <f t="shared" si="2"/>
        <v/>
      </c>
      <c r="B54" s="20"/>
      <c r="C54" s="20"/>
      <c r="D54" s="22"/>
      <c r="E54" s="22"/>
      <c r="F54" s="19" t="str">
        <f t="shared" ca="1" si="3"/>
        <v/>
      </c>
      <c r="G54" s="20"/>
      <c r="H54" s="24"/>
      <c r="I54" s="20"/>
    </row>
    <row r="55" spans="1:9" ht="16" x14ac:dyDescent="0.2">
      <c r="A55" s="15" t="str">
        <f t="shared" si="2"/>
        <v/>
      </c>
      <c r="B55" s="16"/>
      <c r="C55" s="16"/>
      <c r="D55" s="18"/>
      <c r="E55" s="18"/>
      <c r="F55" s="19" t="str">
        <f t="shared" ca="1" si="3"/>
        <v/>
      </c>
      <c r="G55" s="16"/>
      <c r="H55" s="23"/>
      <c r="I55" s="16"/>
    </row>
    <row r="56" spans="1:9" ht="16" x14ac:dyDescent="0.2">
      <c r="A56" s="15" t="str">
        <f t="shared" si="2"/>
        <v/>
      </c>
      <c r="B56" s="20"/>
      <c r="C56" s="20"/>
      <c r="D56" s="22"/>
      <c r="E56" s="22"/>
      <c r="F56" s="19" t="str">
        <f t="shared" ca="1" si="3"/>
        <v/>
      </c>
      <c r="G56" s="20"/>
      <c r="H56" s="24"/>
      <c r="I56" s="20"/>
    </row>
    <row r="57" spans="1:9" ht="16" x14ac:dyDescent="0.2">
      <c r="A57" s="15" t="str">
        <f t="shared" si="2"/>
        <v/>
      </c>
      <c r="B57" s="16"/>
      <c r="C57" s="16"/>
      <c r="D57" s="18"/>
      <c r="E57" s="18"/>
      <c r="F57" s="19" t="str">
        <f t="shared" ca="1" si="3"/>
        <v/>
      </c>
      <c r="G57" s="16"/>
      <c r="H57" s="23"/>
      <c r="I57" s="16"/>
    </row>
    <row r="58" spans="1:9" ht="16" x14ac:dyDescent="0.2">
      <c r="A58" s="15" t="str">
        <f t="shared" si="2"/>
        <v/>
      </c>
      <c r="B58" s="20"/>
      <c r="C58" s="20"/>
      <c r="D58" s="22"/>
      <c r="E58" s="22"/>
      <c r="F58" s="19" t="str">
        <f t="shared" ca="1" si="3"/>
        <v/>
      </c>
      <c r="G58" s="20"/>
      <c r="H58" s="24"/>
      <c r="I58" s="20"/>
    </row>
    <row r="59" spans="1:9" ht="16" x14ac:dyDescent="0.2">
      <c r="A59" s="15" t="str">
        <f t="shared" si="2"/>
        <v/>
      </c>
      <c r="B59" s="16"/>
      <c r="C59" s="16"/>
      <c r="D59" s="18"/>
      <c r="E59" s="18"/>
      <c r="F59" s="19" t="str">
        <f t="shared" ca="1" si="3"/>
        <v/>
      </c>
      <c r="G59" s="16"/>
      <c r="H59" s="23"/>
      <c r="I59" s="16"/>
    </row>
    <row r="60" spans="1:9" ht="16" x14ac:dyDescent="0.2">
      <c r="A60" s="15" t="str">
        <f t="shared" si="2"/>
        <v/>
      </c>
      <c r="B60" s="20"/>
      <c r="C60" s="20"/>
      <c r="D60" s="22"/>
      <c r="E60" s="22"/>
      <c r="F60" s="19" t="str">
        <f t="shared" ca="1" si="3"/>
        <v/>
      </c>
      <c r="G60" s="20"/>
      <c r="H60" s="24"/>
      <c r="I60" s="20"/>
    </row>
    <row r="61" spans="1:9" ht="16" x14ac:dyDescent="0.2">
      <c r="A61" s="15" t="str">
        <f t="shared" si="2"/>
        <v/>
      </c>
      <c r="B61" s="16"/>
      <c r="C61" s="16"/>
      <c r="D61" s="18"/>
      <c r="E61" s="18"/>
      <c r="F61" s="19" t="str">
        <f t="shared" ca="1" si="3"/>
        <v/>
      </c>
      <c r="G61" s="16"/>
      <c r="H61" s="23"/>
      <c r="I61" s="16"/>
    </row>
    <row r="62" spans="1:9" ht="16" x14ac:dyDescent="0.2">
      <c r="A62" s="15" t="str">
        <f t="shared" si="2"/>
        <v/>
      </c>
      <c r="B62" s="20"/>
      <c r="C62" s="20"/>
      <c r="D62" s="22"/>
      <c r="E62" s="22"/>
      <c r="F62" s="19" t="str">
        <f t="shared" ca="1" si="3"/>
        <v/>
      </c>
      <c r="G62" s="20"/>
      <c r="H62" s="24"/>
      <c r="I62" s="20"/>
    </row>
    <row r="63" spans="1:9" ht="16" x14ac:dyDescent="0.2">
      <c r="A63" s="15" t="str">
        <f t="shared" si="2"/>
        <v/>
      </c>
      <c r="B63" s="16"/>
      <c r="C63" s="16"/>
      <c r="D63" s="18"/>
      <c r="E63" s="18"/>
      <c r="F63" s="19" t="str">
        <f t="shared" ca="1" si="3"/>
        <v/>
      </c>
      <c r="G63" s="16"/>
      <c r="H63" s="23"/>
      <c r="I63" s="16"/>
    </row>
    <row r="64" spans="1:9" ht="16" x14ac:dyDescent="0.2">
      <c r="A64" s="15" t="str">
        <f t="shared" si="2"/>
        <v/>
      </c>
      <c r="B64" s="20"/>
      <c r="C64" s="20"/>
      <c r="D64" s="22"/>
      <c r="E64" s="22"/>
      <c r="F64" s="19" t="str">
        <f t="shared" ca="1" si="3"/>
        <v/>
      </c>
      <c r="G64" s="20"/>
      <c r="H64" s="24"/>
      <c r="I64" s="20"/>
    </row>
    <row r="65" spans="1:9" ht="16" x14ac:dyDescent="0.2">
      <c r="A65" s="15" t="str">
        <f t="shared" si="2"/>
        <v/>
      </c>
      <c r="B65" s="16"/>
      <c r="C65" s="16"/>
      <c r="D65" s="18"/>
      <c r="E65" s="18"/>
      <c r="F65" s="19" t="str">
        <f t="shared" ca="1" si="3"/>
        <v/>
      </c>
      <c r="G65" s="16"/>
      <c r="H65" s="23"/>
      <c r="I65" s="16"/>
    </row>
    <row r="66" spans="1:9" ht="16" x14ac:dyDescent="0.2">
      <c r="A66" s="15" t="str">
        <f t="shared" si="2"/>
        <v/>
      </c>
      <c r="B66" s="20"/>
      <c r="C66" s="20"/>
      <c r="D66" s="22"/>
      <c r="E66" s="22"/>
      <c r="F66" s="19" t="str">
        <f t="shared" ca="1" si="3"/>
        <v/>
      </c>
      <c r="G66" s="20"/>
      <c r="H66" s="24"/>
      <c r="I66" s="20"/>
    </row>
    <row r="67" spans="1:9" ht="16" x14ac:dyDescent="0.2">
      <c r="A67" s="15" t="str">
        <f t="shared" si="2"/>
        <v/>
      </c>
      <c r="B67" s="16"/>
      <c r="C67" s="16"/>
      <c r="D67" s="18"/>
      <c r="E67" s="18"/>
      <c r="F67" s="19" t="str">
        <f t="shared" ca="1" si="3"/>
        <v/>
      </c>
      <c r="G67" s="16"/>
      <c r="H67" s="23"/>
      <c r="I67" s="16"/>
    </row>
    <row r="68" spans="1:9" ht="16" x14ac:dyDescent="0.2">
      <c r="A68" s="15" t="str">
        <f t="shared" si="2"/>
        <v/>
      </c>
      <c r="B68" s="20"/>
      <c r="C68" s="20"/>
      <c r="D68" s="22"/>
      <c r="E68" s="22"/>
      <c r="F68" s="19" t="str">
        <f t="shared" ca="1" si="3"/>
        <v/>
      </c>
      <c r="G68" s="20"/>
      <c r="H68" s="24"/>
      <c r="I68" s="20"/>
    </row>
    <row r="69" spans="1:9" ht="16" x14ac:dyDescent="0.2">
      <c r="A69" s="15" t="str">
        <f t="shared" ref="A69:A100" si="4">IF(B69="","",ROW()-4)</f>
        <v/>
      </c>
      <c r="B69" s="16"/>
      <c r="C69" s="16"/>
      <c r="D69" s="18"/>
      <c r="E69" s="18"/>
      <c r="F69" s="19" t="str">
        <f t="shared" ref="F69:F100" ca="1" si="5">IF(E69="","",IF(OR(G69="Submitted",G69="Declined"),"—",E69-TODAY()))</f>
        <v/>
      </c>
      <c r="G69" s="16"/>
      <c r="H69" s="23"/>
      <c r="I69" s="16"/>
    </row>
    <row r="70" spans="1:9" ht="16" x14ac:dyDescent="0.2">
      <c r="A70" s="15" t="str">
        <f t="shared" si="4"/>
        <v/>
      </c>
      <c r="B70" s="20"/>
      <c r="C70" s="20"/>
      <c r="D70" s="22"/>
      <c r="E70" s="22"/>
      <c r="F70" s="19" t="str">
        <f t="shared" ca="1" si="5"/>
        <v/>
      </c>
      <c r="G70" s="20"/>
      <c r="H70" s="24"/>
      <c r="I70" s="20"/>
    </row>
    <row r="71" spans="1:9" ht="16" x14ac:dyDescent="0.2">
      <c r="A71" s="15" t="str">
        <f t="shared" si="4"/>
        <v/>
      </c>
      <c r="B71" s="16"/>
      <c r="C71" s="16"/>
      <c r="D71" s="18"/>
      <c r="E71" s="18"/>
      <c r="F71" s="19" t="str">
        <f t="shared" ca="1" si="5"/>
        <v/>
      </c>
      <c r="G71" s="16"/>
      <c r="H71" s="23"/>
      <c r="I71" s="16"/>
    </row>
    <row r="72" spans="1:9" ht="16" x14ac:dyDescent="0.2">
      <c r="A72" s="15" t="str">
        <f t="shared" si="4"/>
        <v/>
      </c>
      <c r="B72" s="20"/>
      <c r="C72" s="20"/>
      <c r="D72" s="22"/>
      <c r="E72" s="22"/>
      <c r="F72" s="19" t="str">
        <f t="shared" ca="1" si="5"/>
        <v/>
      </c>
      <c r="G72" s="20"/>
      <c r="H72" s="24"/>
      <c r="I72" s="20"/>
    </row>
    <row r="73" spans="1:9" ht="16" x14ac:dyDescent="0.2">
      <c r="A73" s="15" t="str">
        <f t="shared" si="4"/>
        <v/>
      </c>
      <c r="B73" s="16"/>
      <c r="C73" s="16"/>
      <c r="D73" s="18"/>
      <c r="E73" s="18"/>
      <c r="F73" s="19" t="str">
        <f t="shared" ca="1" si="5"/>
        <v/>
      </c>
      <c r="G73" s="16"/>
      <c r="H73" s="23"/>
      <c r="I73" s="16"/>
    </row>
    <row r="74" spans="1:9" ht="16" x14ac:dyDescent="0.2">
      <c r="A74" s="15" t="str">
        <f t="shared" si="4"/>
        <v/>
      </c>
      <c r="B74" s="20"/>
      <c r="C74" s="20"/>
      <c r="D74" s="22"/>
      <c r="E74" s="22"/>
      <c r="F74" s="19" t="str">
        <f t="shared" ca="1" si="5"/>
        <v/>
      </c>
      <c r="G74" s="20"/>
      <c r="H74" s="24"/>
      <c r="I74" s="20"/>
    </row>
    <row r="75" spans="1:9" ht="16" x14ac:dyDescent="0.2">
      <c r="A75" s="15" t="str">
        <f t="shared" si="4"/>
        <v/>
      </c>
      <c r="B75" s="16"/>
      <c r="C75" s="16"/>
      <c r="D75" s="18"/>
      <c r="E75" s="18"/>
      <c r="F75" s="19" t="str">
        <f t="shared" ca="1" si="5"/>
        <v/>
      </c>
      <c r="G75" s="16"/>
      <c r="H75" s="23"/>
      <c r="I75" s="16"/>
    </row>
    <row r="76" spans="1:9" ht="16" x14ac:dyDescent="0.2">
      <c r="A76" s="15" t="str">
        <f t="shared" si="4"/>
        <v/>
      </c>
      <c r="B76" s="20"/>
      <c r="C76" s="20"/>
      <c r="D76" s="22"/>
      <c r="E76" s="22"/>
      <c r="F76" s="19" t="str">
        <f t="shared" ca="1" si="5"/>
        <v/>
      </c>
      <c r="G76" s="20"/>
      <c r="H76" s="24"/>
      <c r="I76" s="20"/>
    </row>
    <row r="77" spans="1:9" ht="16" x14ac:dyDescent="0.2">
      <c r="A77" s="15" t="str">
        <f t="shared" si="4"/>
        <v/>
      </c>
      <c r="B77" s="16"/>
      <c r="C77" s="16"/>
      <c r="D77" s="18"/>
      <c r="E77" s="18"/>
      <c r="F77" s="19" t="str">
        <f t="shared" ca="1" si="5"/>
        <v/>
      </c>
      <c r="G77" s="16"/>
      <c r="H77" s="23"/>
      <c r="I77" s="16"/>
    </row>
    <row r="78" spans="1:9" ht="16" x14ac:dyDescent="0.2">
      <c r="A78" s="15" t="str">
        <f t="shared" si="4"/>
        <v/>
      </c>
      <c r="B78" s="20"/>
      <c r="C78" s="20"/>
      <c r="D78" s="22"/>
      <c r="E78" s="22"/>
      <c r="F78" s="19" t="str">
        <f t="shared" ca="1" si="5"/>
        <v/>
      </c>
      <c r="G78" s="20"/>
      <c r="H78" s="24"/>
      <c r="I78" s="20"/>
    </row>
    <row r="79" spans="1:9" ht="16" x14ac:dyDescent="0.2">
      <c r="A79" s="15" t="str">
        <f t="shared" si="4"/>
        <v/>
      </c>
      <c r="B79" s="16"/>
      <c r="C79" s="16"/>
      <c r="D79" s="18"/>
      <c r="E79" s="18"/>
      <c r="F79" s="19" t="str">
        <f t="shared" ca="1" si="5"/>
        <v/>
      </c>
      <c r="G79" s="16"/>
      <c r="H79" s="23"/>
      <c r="I79" s="16"/>
    </row>
    <row r="80" spans="1:9" ht="16" x14ac:dyDescent="0.2">
      <c r="A80" s="15" t="str">
        <f t="shared" si="4"/>
        <v/>
      </c>
      <c r="B80" s="20"/>
      <c r="C80" s="20"/>
      <c r="D80" s="22"/>
      <c r="E80" s="22"/>
      <c r="F80" s="19" t="str">
        <f t="shared" ca="1" si="5"/>
        <v/>
      </c>
      <c r="G80" s="20"/>
      <c r="H80" s="24"/>
      <c r="I80" s="20"/>
    </row>
    <row r="81" spans="1:9" ht="16" x14ac:dyDescent="0.2">
      <c r="A81" s="15" t="str">
        <f t="shared" si="4"/>
        <v/>
      </c>
      <c r="B81" s="16"/>
      <c r="C81" s="16"/>
      <c r="D81" s="18"/>
      <c r="E81" s="18"/>
      <c r="F81" s="19" t="str">
        <f t="shared" ca="1" si="5"/>
        <v/>
      </c>
      <c r="G81" s="16"/>
      <c r="H81" s="23"/>
      <c r="I81" s="16"/>
    </row>
    <row r="82" spans="1:9" ht="16" x14ac:dyDescent="0.2">
      <c r="A82" s="15" t="str">
        <f t="shared" si="4"/>
        <v/>
      </c>
      <c r="B82" s="20"/>
      <c r="C82" s="20"/>
      <c r="D82" s="22"/>
      <c r="E82" s="22"/>
      <c r="F82" s="19" t="str">
        <f t="shared" ca="1" si="5"/>
        <v/>
      </c>
      <c r="G82" s="20"/>
      <c r="H82" s="24"/>
      <c r="I82" s="20"/>
    </row>
    <row r="83" spans="1:9" ht="16" x14ac:dyDescent="0.2">
      <c r="A83" s="15" t="str">
        <f t="shared" si="4"/>
        <v/>
      </c>
      <c r="B83" s="16"/>
      <c r="C83" s="16"/>
      <c r="D83" s="18"/>
      <c r="E83" s="18"/>
      <c r="F83" s="19" t="str">
        <f t="shared" ca="1" si="5"/>
        <v/>
      </c>
      <c r="G83" s="16"/>
      <c r="H83" s="23"/>
      <c r="I83" s="16"/>
    </row>
    <row r="84" spans="1:9" ht="16" x14ac:dyDescent="0.2">
      <c r="A84" s="15" t="str">
        <f t="shared" si="4"/>
        <v/>
      </c>
      <c r="B84" s="20"/>
      <c r="C84" s="20"/>
      <c r="D84" s="22"/>
      <c r="E84" s="22"/>
      <c r="F84" s="19" t="str">
        <f t="shared" ca="1" si="5"/>
        <v/>
      </c>
      <c r="G84" s="20"/>
      <c r="H84" s="24"/>
      <c r="I84" s="20"/>
    </row>
    <row r="85" spans="1:9" ht="16" x14ac:dyDescent="0.2">
      <c r="A85" s="15" t="str">
        <f t="shared" si="4"/>
        <v/>
      </c>
      <c r="B85" s="16"/>
      <c r="C85" s="16"/>
      <c r="D85" s="18"/>
      <c r="E85" s="18"/>
      <c r="F85" s="19" t="str">
        <f t="shared" ca="1" si="5"/>
        <v/>
      </c>
      <c r="G85" s="16"/>
      <c r="H85" s="23"/>
      <c r="I85" s="16"/>
    </row>
    <row r="86" spans="1:9" ht="16" x14ac:dyDescent="0.2">
      <c r="A86" s="15" t="str">
        <f t="shared" si="4"/>
        <v/>
      </c>
      <c r="B86" s="20"/>
      <c r="C86" s="20"/>
      <c r="D86" s="22"/>
      <c r="E86" s="22"/>
      <c r="F86" s="19" t="str">
        <f t="shared" ca="1" si="5"/>
        <v/>
      </c>
      <c r="G86" s="20"/>
      <c r="H86" s="24"/>
      <c r="I86" s="20"/>
    </row>
    <row r="87" spans="1:9" ht="16" x14ac:dyDescent="0.2">
      <c r="A87" s="15" t="str">
        <f t="shared" si="4"/>
        <v/>
      </c>
      <c r="B87" s="16"/>
      <c r="C87" s="16"/>
      <c r="D87" s="18"/>
      <c r="E87" s="18"/>
      <c r="F87" s="19" t="str">
        <f t="shared" ca="1" si="5"/>
        <v/>
      </c>
      <c r="G87" s="16"/>
      <c r="H87" s="23"/>
      <c r="I87" s="16"/>
    </row>
    <row r="88" spans="1:9" ht="16" x14ac:dyDescent="0.2">
      <c r="A88" s="15" t="str">
        <f t="shared" si="4"/>
        <v/>
      </c>
      <c r="B88" s="20"/>
      <c r="C88" s="20"/>
      <c r="D88" s="22"/>
      <c r="E88" s="22"/>
      <c r="F88" s="19" t="str">
        <f t="shared" ca="1" si="5"/>
        <v/>
      </c>
      <c r="G88" s="20"/>
      <c r="H88" s="24"/>
      <c r="I88" s="20"/>
    </row>
    <row r="89" spans="1:9" ht="16" x14ac:dyDescent="0.2">
      <c r="A89" s="15" t="str">
        <f t="shared" si="4"/>
        <v/>
      </c>
      <c r="B89" s="16"/>
      <c r="C89" s="16"/>
      <c r="D89" s="18"/>
      <c r="E89" s="18"/>
      <c r="F89" s="19" t="str">
        <f t="shared" ca="1" si="5"/>
        <v/>
      </c>
      <c r="G89" s="16"/>
      <c r="H89" s="23"/>
      <c r="I89" s="16"/>
    </row>
    <row r="90" spans="1:9" ht="16" x14ac:dyDescent="0.2">
      <c r="A90" s="15" t="str">
        <f t="shared" si="4"/>
        <v/>
      </c>
      <c r="B90" s="20"/>
      <c r="C90" s="20"/>
      <c r="D90" s="22"/>
      <c r="E90" s="22"/>
      <c r="F90" s="19" t="str">
        <f t="shared" ca="1" si="5"/>
        <v/>
      </c>
      <c r="G90" s="20"/>
      <c r="H90" s="24"/>
      <c r="I90" s="20"/>
    </row>
    <row r="91" spans="1:9" ht="16" x14ac:dyDescent="0.2">
      <c r="A91" s="15" t="str">
        <f t="shared" si="4"/>
        <v/>
      </c>
      <c r="B91" s="16"/>
      <c r="C91" s="16"/>
      <c r="D91" s="18"/>
      <c r="E91" s="18"/>
      <c r="F91" s="19" t="str">
        <f t="shared" ca="1" si="5"/>
        <v/>
      </c>
      <c r="G91" s="16"/>
      <c r="H91" s="23"/>
      <c r="I91" s="16"/>
    </row>
    <row r="92" spans="1:9" ht="16" x14ac:dyDescent="0.2">
      <c r="A92" s="15" t="str">
        <f t="shared" si="4"/>
        <v/>
      </c>
      <c r="B92" s="20"/>
      <c r="C92" s="20"/>
      <c r="D92" s="22"/>
      <c r="E92" s="22"/>
      <c r="F92" s="19" t="str">
        <f t="shared" ca="1" si="5"/>
        <v/>
      </c>
      <c r="G92" s="20"/>
      <c r="H92" s="24"/>
      <c r="I92" s="20"/>
    </row>
    <row r="93" spans="1:9" ht="16" x14ac:dyDescent="0.2">
      <c r="A93" s="15" t="str">
        <f t="shared" si="4"/>
        <v/>
      </c>
      <c r="B93" s="16"/>
      <c r="C93" s="16"/>
      <c r="D93" s="18"/>
      <c r="E93" s="18"/>
      <c r="F93" s="19" t="str">
        <f t="shared" ca="1" si="5"/>
        <v/>
      </c>
      <c r="G93" s="16"/>
      <c r="H93" s="23"/>
      <c r="I93" s="16"/>
    </row>
    <row r="94" spans="1:9" ht="16" x14ac:dyDescent="0.2">
      <c r="A94" s="15" t="str">
        <f t="shared" si="4"/>
        <v/>
      </c>
      <c r="B94" s="20"/>
      <c r="C94" s="20"/>
      <c r="D94" s="22"/>
      <c r="E94" s="22"/>
      <c r="F94" s="19" t="str">
        <f t="shared" ca="1" si="5"/>
        <v/>
      </c>
      <c r="G94" s="20"/>
      <c r="H94" s="24"/>
      <c r="I94" s="20"/>
    </row>
    <row r="95" spans="1:9" ht="16" x14ac:dyDescent="0.2">
      <c r="A95" s="15" t="str">
        <f t="shared" si="4"/>
        <v/>
      </c>
      <c r="B95" s="16"/>
      <c r="C95" s="16"/>
      <c r="D95" s="18"/>
      <c r="E95" s="18"/>
      <c r="F95" s="19" t="str">
        <f t="shared" ca="1" si="5"/>
        <v/>
      </c>
      <c r="G95" s="16"/>
      <c r="H95" s="23"/>
      <c r="I95" s="16"/>
    </row>
    <row r="96" spans="1:9" ht="16" x14ac:dyDescent="0.2">
      <c r="A96" s="15" t="str">
        <f t="shared" si="4"/>
        <v/>
      </c>
      <c r="B96" s="20"/>
      <c r="C96" s="20"/>
      <c r="D96" s="22"/>
      <c r="E96" s="22"/>
      <c r="F96" s="19" t="str">
        <f t="shared" ca="1" si="5"/>
        <v/>
      </c>
      <c r="G96" s="20"/>
      <c r="H96" s="24"/>
      <c r="I96" s="20"/>
    </row>
    <row r="97" spans="1:9" ht="16" x14ac:dyDescent="0.2">
      <c r="A97" s="15" t="str">
        <f t="shared" si="4"/>
        <v/>
      </c>
      <c r="B97" s="16"/>
      <c r="C97" s="16"/>
      <c r="D97" s="18"/>
      <c r="E97" s="18"/>
      <c r="F97" s="19" t="str">
        <f t="shared" ca="1" si="5"/>
        <v/>
      </c>
      <c r="G97" s="16"/>
      <c r="H97" s="23"/>
      <c r="I97" s="16"/>
    </row>
    <row r="98" spans="1:9" ht="16" x14ac:dyDescent="0.2">
      <c r="A98" s="15" t="str">
        <f t="shared" si="4"/>
        <v/>
      </c>
      <c r="B98" s="20"/>
      <c r="C98" s="20"/>
      <c r="D98" s="22"/>
      <c r="E98" s="22"/>
      <c r="F98" s="19" t="str">
        <f t="shared" ca="1" si="5"/>
        <v/>
      </c>
      <c r="G98" s="20"/>
      <c r="H98" s="24"/>
      <c r="I98" s="20"/>
    </row>
    <row r="99" spans="1:9" ht="16" x14ac:dyDescent="0.2">
      <c r="A99" s="15" t="str">
        <f t="shared" si="4"/>
        <v/>
      </c>
      <c r="B99" s="16"/>
      <c r="C99" s="16"/>
      <c r="D99" s="18"/>
      <c r="E99" s="18"/>
      <c r="F99" s="19" t="str">
        <f t="shared" ca="1" si="5"/>
        <v/>
      </c>
      <c r="G99" s="16"/>
      <c r="H99" s="23"/>
      <c r="I99" s="16"/>
    </row>
    <row r="100" spans="1:9" ht="16" x14ac:dyDescent="0.2">
      <c r="A100" s="15" t="str">
        <f t="shared" si="4"/>
        <v/>
      </c>
      <c r="B100" s="20"/>
      <c r="C100" s="20"/>
      <c r="D100" s="22"/>
      <c r="E100" s="22"/>
      <c r="F100" s="19" t="str">
        <f t="shared" ca="1" si="5"/>
        <v/>
      </c>
      <c r="G100" s="20"/>
      <c r="H100" s="24"/>
      <c r="I100" s="20"/>
    </row>
    <row r="101" spans="1:9" ht="16" x14ac:dyDescent="0.2">
      <c r="A101" s="15" t="str">
        <f t="shared" ref="A101:A132" si="6">IF(B101="","",ROW()-4)</f>
        <v/>
      </c>
      <c r="B101" s="16"/>
      <c r="C101" s="16"/>
      <c r="D101" s="18"/>
      <c r="E101" s="18"/>
      <c r="F101" s="19" t="str">
        <f t="shared" ref="F101:F132" ca="1" si="7">IF(E101="","",IF(OR(G101="Submitted",G101="Declined"),"—",E101-TODAY()))</f>
        <v/>
      </c>
      <c r="G101" s="16"/>
      <c r="H101" s="23"/>
      <c r="I101" s="16"/>
    </row>
    <row r="102" spans="1:9" ht="16" x14ac:dyDescent="0.2">
      <c r="A102" s="15" t="str">
        <f t="shared" si="6"/>
        <v/>
      </c>
      <c r="B102" s="20"/>
      <c r="C102" s="20"/>
      <c r="D102" s="22"/>
      <c r="E102" s="22"/>
      <c r="F102" s="19" t="str">
        <f t="shared" ca="1" si="7"/>
        <v/>
      </c>
      <c r="G102" s="20"/>
      <c r="H102" s="24"/>
      <c r="I102" s="20"/>
    </row>
    <row r="103" spans="1:9" ht="16" x14ac:dyDescent="0.2">
      <c r="A103" s="15" t="str">
        <f t="shared" si="6"/>
        <v/>
      </c>
      <c r="B103" s="16"/>
      <c r="C103" s="16"/>
      <c r="D103" s="18"/>
      <c r="E103" s="18"/>
      <c r="F103" s="19" t="str">
        <f t="shared" ca="1" si="7"/>
        <v/>
      </c>
      <c r="G103" s="16"/>
      <c r="H103" s="23"/>
      <c r="I103" s="16"/>
    </row>
    <row r="104" spans="1:9" ht="16" x14ac:dyDescent="0.2">
      <c r="A104" s="15" t="str">
        <f t="shared" si="6"/>
        <v/>
      </c>
      <c r="B104" s="20"/>
      <c r="C104" s="20"/>
      <c r="D104" s="22"/>
      <c r="E104" s="22"/>
      <c r="F104" s="19" t="str">
        <f t="shared" ca="1" si="7"/>
        <v/>
      </c>
      <c r="G104" s="20"/>
      <c r="H104" s="24"/>
      <c r="I104" s="20"/>
    </row>
  </sheetData>
  <autoFilter ref="A4:I104" xr:uid="{00000000-0009-0000-0000-000005000000}"/>
  <mergeCells count="2">
    <mergeCell ref="A1:I1"/>
    <mergeCell ref="A2:I2"/>
  </mergeCells>
  <conditionalFormatting sqref="F5:F104">
    <cfRule type="cellIs" dxfId="7" priority="1" operator="lessThan">
      <formula>8</formula>
    </cfRule>
    <cfRule type="cellIs" dxfId="6" priority="2" operator="between">
      <formula>8</formula>
      <formula>21</formula>
    </cfRule>
    <cfRule type="cellIs" dxfId="5" priority="3" operator="between">
      <formula>22</formula>
      <formula>99999</formula>
    </cfRule>
  </conditionalFormatting>
  <conditionalFormatting sqref="G5:G104">
    <cfRule type="cellIs" dxfId="4" priority="4" operator="equal">
      <formula>"Invited"</formula>
    </cfRule>
    <cfRule type="cellIs" dxfId="3" priority="5" operator="equal">
      <formula>"Accepted"</formula>
    </cfRule>
    <cfRule type="cellIs" dxfId="2" priority="6" operator="equal">
      <formula>"In progress"</formula>
    </cfRule>
    <cfRule type="cellIs" dxfId="1" priority="7" operator="equal">
      <formula>"Submitted"</formula>
    </cfRule>
    <cfRule type="cellIs" dxfId="0" priority="8" operator="equal">
      <formula>"Declined"</formula>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500-000000000000}">
          <x14:formula1>
            <xm:f>Lists!$D$1:$D$5</xm:f>
          </x14:formula1>
          <xm:sqref>G5:G104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9"/>
  <sheetViews>
    <sheetView showGridLines="0" workbookViewId="0"/>
  </sheetViews>
  <sheetFormatPr baseColWidth="10" defaultColWidth="8.83203125" defaultRowHeight="15" x14ac:dyDescent="0.2"/>
  <cols>
    <col min="1" max="1" width="26" customWidth="1"/>
    <col min="2" max="4" width="17" customWidth="1"/>
    <col min="5" max="5" width="11" customWidth="1"/>
    <col min="6" max="6" width="12" customWidth="1"/>
  </cols>
  <sheetData>
    <row r="1" spans="1:6" ht="26" customHeight="1" x14ac:dyDescent="0.25">
      <c r="A1" s="31" t="s">
        <v>82</v>
      </c>
      <c r="B1" s="30"/>
      <c r="C1" s="30"/>
      <c r="D1" s="30"/>
      <c r="E1" s="30"/>
      <c r="F1" s="30"/>
    </row>
    <row r="2" spans="1:6" x14ac:dyDescent="0.2">
      <c r="A2" s="29" t="s">
        <v>83</v>
      </c>
      <c r="B2" s="30"/>
      <c r="C2" s="30"/>
      <c r="D2" s="30"/>
      <c r="E2" s="30"/>
      <c r="F2" s="30"/>
    </row>
    <row r="5" spans="1:6" ht="28" customHeight="1" x14ac:dyDescent="0.2">
      <c r="A5" s="25" t="s">
        <v>84</v>
      </c>
      <c r="B5" s="25" t="s">
        <v>85</v>
      </c>
      <c r="C5" s="25" t="s">
        <v>86</v>
      </c>
      <c r="D5" s="25" t="s">
        <v>87</v>
      </c>
    </row>
    <row r="6" spans="1:6" ht="24" x14ac:dyDescent="0.3">
      <c r="A6" s="10" t="str">
        <f>IF(SUMIF(Grants!I5:I154,"Submitted",Grants!F5:F154)+SUMIF(Grants!I5:I154,"Under review",Grants!F5:F154)+SUMIF(Grants!I5:I154,"Awarded",Grants!F5:F154)+SUMIF(Grants!I5:I154,"Rejected",Grants!F5:F154)=0,"—",TEXT(SUMIF(Grants!I5:I154,"Submitted",Grants!F5:F154)+SUMIF(Grants!I5:I154,"Under review",Grants!F5:F154)+SUMIF(Grants!I5:I154,"Awarded",Grants!F5:F154)+SUMIF(Grants!I5:I154,"Rejected",Grants!F5:F154),"#,##0"))</f>
        <v>—</v>
      </c>
      <c r="B6" s="11" t="str">
        <f>IF(SUMIF(Grants!I5:I154,"Submitted",Grants!F5:F154)+SUMIF(Grants!I5:I154,"Under review",Grants!F5:F154)=0,"—",TEXT(SUMIF(Grants!I5:I154,"Submitted",Grants!F5:F154)+SUMIF(Grants!I5:I154,"Under review",Grants!F5:F154),"#,##0"))</f>
        <v>—</v>
      </c>
      <c r="C6" s="12" t="str">
        <f>IF(SUM(Grants!L5:L154)=0,"—",TEXT(SUM(Grants!L5:L154),"#,##0"))</f>
        <v>—</v>
      </c>
      <c r="D6" s="12" t="str">
        <f>IF(COUNTIF(Grants!I5:I154,"Awarded")+COUNTIF(Grants!I5:I154,"Rejected")=0,"—",TEXT(COUNTIF(Grants!I5:I154,"Awarded")/(COUNTIF(Grants!I5:I154,"Awarded")+COUNTIF(Grants!I5:I154,"Rejected")),"0%"))</f>
        <v>—</v>
      </c>
    </row>
    <row r="8" spans="1:6" x14ac:dyDescent="0.2">
      <c r="A8" s="8" t="s">
        <v>88</v>
      </c>
    </row>
    <row r="9" spans="1:6" ht="30" customHeight="1" x14ac:dyDescent="0.2">
      <c r="A9" s="14" t="s">
        <v>89</v>
      </c>
      <c r="B9" s="14" t="s">
        <v>90</v>
      </c>
      <c r="C9" s="14" t="s">
        <v>91</v>
      </c>
      <c r="D9" s="14" t="s">
        <v>27</v>
      </c>
      <c r="E9" s="14" t="s">
        <v>92</v>
      </c>
      <c r="F9" s="14" t="s">
        <v>93</v>
      </c>
    </row>
    <row r="10" spans="1:6" ht="16" x14ac:dyDescent="0.2">
      <c r="A10" s="20"/>
      <c r="B10" s="19" t="str">
        <f>IF($A10="","",COUNTIF(Grants!$B$5:$B$154,$A10))</f>
        <v/>
      </c>
      <c r="C10" s="26" t="str">
        <f>IF($A10="","",SUMIF(Grants!$B$5:$B$154,$A10,Grants!$F$5:$F$154))</f>
        <v/>
      </c>
      <c r="D10" s="26" t="str">
        <f>IF($A10="","",SUMIF(Grants!$B$5:$B$154,$A10,Grants!$L$5:$L$154))</f>
        <v/>
      </c>
      <c r="E10" s="19" t="str">
        <f>IF($A10="","",COUNTIFS(Grants!$B$5:$B$154,$A10,Grants!$I$5:$I$154,"Awarded"))</f>
        <v/>
      </c>
      <c r="F10" s="15" t="str">
        <f>IF($A10="","",IF(COUNTIFS(Grants!$B$5:$B$154,$A10,Grants!$I$5:$I$154,"Awarded")+COUNTIFS(Grants!$B$5:$B$154,$A10,Grants!$I$5:$I$154,"Rejected")=0,"—",TEXT(COUNTIFS(Grants!$B$5:$B$154,$A10,Grants!$I$5:$I$154,"Awarded")/(COUNTIFS(Grants!$B$5:$B$154,$A10,Grants!$I$5:$I$154,"Awarded")+COUNTIFS(Grants!$B$5:$B$154,$A10,Grants!$I$5:$I$154,"Rejected")),"0%")))</f>
        <v/>
      </c>
    </row>
    <row r="11" spans="1:6" ht="16" x14ac:dyDescent="0.2">
      <c r="A11" s="16"/>
      <c r="B11" s="19" t="str">
        <f>IF($A11="","",COUNTIF(Grants!$B$5:$B$154,$A11))</f>
        <v/>
      </c>
      <c r="C11" s="26" t="str">
        <f>IF($A11="","",SUMIF(Grants!$B$5:$B$154,$A11,Grants!$F$5:$F$154))</f>
        <v/>
      </c>
      <c r="D11" s="26" t="str">
        <f>IF($A11="","",SUMIF(Grants!$B$5:$B$154,$A11,Grants!$L$5:$L$154))</f>
        <v/>
      </c>
      <c r="E11" s="19" t="str">
        <f>IF($A11="","",COUNTIFS(Grants!$B$5:$B$154,$A11,Grants!$I$5:$I$154,"Awarded"))</f>
        <v/>
      </c>
      <c r="F11" s="15" t="str">
        <f>IF($A11="","",IF(COUNTIFS(Grants!$B$5:$B$154,$A11,Grants!$I$5:$I$154,"Awarded")+COUNTIFS(Grants!$B$5:$B$154,$A11,Grants!$I$5:$I$154,"Rejected")=0,"—",TEXT(COUNTIFS(Grants!$B$5:$B$154,$A11,Grants!$I$5:$I$154,"Awarded")/(COUNTIFS(Grants!$B$5:$B$154,$A11,Grants!$I$5:$I$154,"Awarded")+COUNTIFS(Grants!$B$5:$B$154,$A11,Grants!$I$5:$I$154,"Rejected")),"0%")))</f>
        <v/>
      </c>
    </row>
    <row r="12" spans="1:6" ht="16" x14ac:dyDescent="0.2">
      <c r="A12" s="20"/>
      <c r="B12" s="19" t="str">
        <f>IF($A12="","",COUNTIF(Grants!$B$5:$B$154,$A12))</f>
        <v/>
      </c>
      <c r="C12" s="26" t="str">
        <f>IF($A12="","",SUMIF(Grants!$B$5:$B$154,$A12,Grants!$F$5:$F$154))</f>
        <v/>
      </c>
      <c r="D12" s="26" t="str">
        <f>IF($A12="","",SUMIF(Grants!$B$5:$B$154,$A12,Grants!$L$5:$L$154))</f>
        <v/>
      </c>
      <c r="E12" s="19" t="str">
        <f>IF($A12="","",COUNTIFS(Grants!$B$5:$B$154,$A12,Grants!$I$5:$I$154,"Awarded"))</f>
        <v/>
      </c>
      <c r="F12" s="15" t="str">
        <f>IF($A12="","",IF(COUNTIFS(Grants!$B$5:$B$154,$A12,Grants!$I$5:$I$154,"Awarded")+COUNTIFS(Grants!$B$5:$B$154,$A12,Grants!$I$5:$I$154,"Rejected")=0,"—",TEXT(COUNTIFS(Grants!$B$5:$B$154,$A12,Grants!$I$5:$I$154,"Awarded")/(COUNTIFS(Grants!$B$5:$B$154,$A12,Grants!$I$5:$I$154,"Awarded")+COUNTIFS(Grants!$B$5:$B$154,$A12,Grants!$I$5:$I$154,"Rejected")),"0%")))</f>
        <v/>
      </c>
    </row>
    <row r="13" spans="1:6" ht="16" x14ac:dyDescent="0.2">
      <c r="A13" s="16"/>
      <c r="B13" s="19" t="str">
        <f>IF($A13="","",COUNTIF(Grants!$B$5:$B$154,$A13))</f>
        <v/>
      </c>
      <c r="C13" s="26" t="str">
        <f>IF($A13="","",SUMIF(Grants!$B$5:$B$154,$A13,Grants!$F$5:$F$154))</f>
        <v/>
      </c>
      <c r="D13" s="26" t="str">
        <f>IF($A13="","",SUMIF(Grants!$B$5:$B$154,$A13,Grants!$L$5:$L$154))</f>
        <v/>
      </c>
      <c r="E13" s="19" t="str">
        <f>IF($A13="","",COUNTIFS(Grants!$B$5:$B$154,$A13,Grants!$I$5:$I$154,"Awarded"))</f>
        <v/>
      </c>
      <c r="F13" s="15" t="str">
        <f>IF($A13="","",IF(COUNTIFS(Grants!$B$5:$B$154,$A13,Grants!$I$5:$I$154,"Awarded")+COUNTIFS(Grants!$B$5:$B$154,$A13,Grants!$I$5:$I$154,"Rejected")=0,"—",TEXT(COUNTIFS(Grants!$B$5:$B$154,$A13,Grants!$I$5:$I$154,"Awarded")/(COUNTIFS(Grants!$B$5:$B$154,$A13,Grants!$I$5:$I$154,"Awarded")+COUNTIFS(Grants!$B$5:$B$154,$A13,Grants!$I$5:$I$154,"Rejected")),"0%")))</f>
        <v/>
      </c>
    </row>
    <row r="14" spans="1:6" ht="16" x14ac:dyDescent="0.2">
      <c r="A14" s="20"/>
      <c r="B14" s="19" t="str">
        <f>IF($A14="","",COUNTIF(Grants!$B$5:$B$154,$A14))</f>
        <v/>
      </c>
      <c r="C14" s="26" t="str">
        <f>IF($A14="","",SUMIF(Grants!$B$5:$B$154,$A14,Grants!$F$5:$F$154))</f>
        <v/>
      </c>
      <c r="D14" s="26" t="str">
        <f>IF($A14="","",SUMIF(Grants!$B$5:$B$154,$A14,Grants!$L$5:$L$154))</f>
        <v/>
      </c>
      <c r="E14" s="19" t="str">
        <f>IF($A14="","",COUNTIFS(Grants!$B$5:$B$154,$A14,Grants!$I$5:$I$154,"Awarded"))</f>
        <v/>
      </c>
      <c r="F14" s="15" t="str">
        <f>IF($A14="","",IF(COUNTIFS(Grants!$B$5:$B$154,$A14,Grants!$I$5:$I$154,"Awarded")+COUNTIFS(Grants!$B$5:$B$154,$A14,Grants!$I$5:$I$154,"Rejected")=0,"—",TEXT(COUNTIFS(Grants!$B$5:$B$154,$A14,Grants!$I$5:$I$154,"Awarded")/(COUNTIFS(Grants!$B$5:$B$154,$A14,Grants!$I$5:$I$154,"Awarded")+COUNTIFS(Grants!$B$5:$B$154,$A14,Grants!$I$5:$I$154,"Rejected")),"0%")))</f>
        <v/>
      </c>
    </row>
    <row r="15" spans="1:6" ht="16" x14ac:dyDescent="0.2">
      <c r="A15" s="16"/>
      <c r="B15" s="19" t="str">
        <f>IF($A15="","",COUNTIF(Grants!$B$5:$B$154,$A15))</f>
        <v/>
      </c>
      <c r="C15" s="26" t="str">
        <f>IF($A15="","",SUMIF(Grants!$B$5:$B$154,$A15,Grants!$F$5:$F$154))</f>
        <v/>
      </c>
      <c r="D15" s="26" t="str">
        <f>IF($A15="","",SUMIF(Grants!$B$5:$B$154,$A15,Grants!$L$5:$L$154))</f>
        <v/>
      </c>
      <c r="E15" s="19" t="str">
        <f>IF($A15="","",COUNTIFS(Grants!$B$5:$B$154,$A15,Grants!$I$5:$I$154,"Awarded"))</f>
        <v/>
      </c>
      <c r="F15" s="15" t="str">
        <f>IF($A15="","",IF(COUNTIFS(Grants!$B$5:$B$154,$A15,Grants!$I$5:$I$154,"Awarded")+COUNTIFS(Grants!$B$5:$B$154,$A15,Grants!$I$5:$I$154,"Rejected")=0,"—",TEXT(COUNTIFS(Grants!$B$5:$B$154,$A15,Grants!$I$5:$I$154,"Awarded")/(COUNTIFS(Grants!$B$5:$B$154,$A15,Grants!$I$5:$I$154,"Awarded")+COUNTIFS(Grants!$B$5:$B$154,$A15,Grants!$I$5:$I$154,"Rejected")),"0%")))</f>
        <v/>
      </c>
    </row>
    <row r="16" spans="1:6" ht="16" x14ac:dyDescent="0.2">
      <c r="A16" s="20"/>
      <c r="B16" s="19" t="str">
        <f>IF($A16="","",COUNTIF(Grants!$B$5:$B$154,$A16))</f>
        <v/>
      </c>
      <c r="C16" s="26" t="str">
        <f>IF($A16="","",SUMIF(Grants!$B$5:$B$154,$A16,Grants!$F$5:$F$154))</f>
        <v/>
      </c>
      <c r="D16" s="26" t="str">
        <f>IF($A16="","",SUMIF(Grants!$B$5:$B$154,$A16,Grants!$L$5:$L$154))</f>
        <v/>
      </c>
      <c r="E16" s="19" t="str">
        <f>IF($A16="","",COUNTIFS(Grants!$B$5:$B$154,$A16,Grants!$I$5:$I$154,"Awarded"))</f>
        <v/>
      </c>
      <c r="F16" s="15" t="str">
        <f>IF($A16="","",IF(COUNTIFS(Grants!$B$5:$B$154,$A16,Grants!$I$5:$I$154,"Awarded")+COUNTIFS(Grants!$B$5:$B$154,$A16,Grants!$I$5:$I$154,"Rejected")=0,"—",TEXT(COUNTIFS(Grants!$B$5:$B$154,$A16,Grants!$I$5:$I$154,"Awarded")/(COUNTIFS(Grants!$B$5:$B$154,$A16,Grants!$I$5:$I$154,"Awarded")+COUNTIFS(Grants!$B$5:$B$154,$A16,Grants!$I$5:$I$154,"Rejected")),"0%")))</f>
        <v/>
      </c>
    </row>
    <row r="17" spans="1:6" ht="16" x14ac:dyDescent="0.2">
      <c r="A17" s="16"/>
      <c r="B17" s="19" t="str">
        <f>IF($A17="","",COUNTIF(Grants!$B$5:$B$154,$A17))</f>
        <v/>
      </c>
      <c r="C17" s="26" t="str">
        <f>IF($A17="","",SUMIF(Grants!$B$5:$B$154,$A17,Grants!$F$5:$F$154))</f>
        <v/>
      </c>
      <c r="D17" s="26" t="str">
        <f>IF($A17="","",SUMIF(Grants!$B$5:$B$154,$A17,Grants!$L$5:$L$154))</f>
        <v/>
      </c>
      <c r="E17" s="19" t="str">
        <f>IF($A17="","",COUNTIFS(Grants!$B$5:$B$154,$A17,Grants!$I$5:$I$154,"Awarded"))</f>
        <v/>
      </c>
      <c r="F17" s="15" t="str">
        <f>IF($A17="","",IF(COUNTIFS(Grants!$B$5:$B$154,$A17,Grants!$I$5:$I$154,"Awarded")+COUNTIFS(Grants!$B$5:$B$154,$A17,Grants!$I$5:$I$154,"Rejected")=0,"—",TEXT(COUNTIFS(Grants!$B$5:$B$154,$A17,Grants!$I$5:$I$154,"Awarded")/(COUNTIFS(Grants!$B$5:$B$154,$A17,Grants!$I$5:$I$154,"Awarded")+COUNTIFS(Grants!$B$5:$B$154,$A17,Grants!$I$5:$I$154,"Rejected")),"0%")))</f>
        <v/>
      </c>
    </row>
    <row r="18" spans="1:6" ht="16" x14ac:dyDescent="0.2">
      <c r="A18" s="20"/>
      <c r="B18" s="19" t="str">
        <f>IF($A18="","",COUNTIF(Grants!$B$5:$B$154,$A18))</f>
        <v/>
      </c>
      <c r="C18" s="26" t="str">
        <f>IF($A18="","",SUMIF(Grants!$B$5:$B$154,$A18,Grants!$F$5:$F$154))</f>
        <v/>
      </c>
      <c r="D18" s="26" t="str">
        <f>IF($A18="","",SUMIF(Grants!$B$5:$B$154,$A18,Grants!$L$5:$L$154))</f>
        <v/>
      </c>
      <c r="E18" s="19" t="str">
        <f>IF($A18="","",COUNTIFS(Grants!$B$5:$B$154,$A18,Grants!$I$5:$I$154,"Awarded"))</f>
        <v/>
      </c>
      <c r="F18" s="15" t="str">
        <f>IF($A18="","",IF(COUNTIFS(Grants!$B$5:$B$154,$A18,Grants!$I$5:$I$154,"Awarded")+COUNTIFS(Grants!$B$5:$B$154,$A18,Grants!$I$5:$I$154,"Rejected")=0,"—",TEXT(COUNTIFS(Grants!$B$5:$B$154,$A18,Grants!$I$5:$I$154,"Awarded")/(COUNTIFS(Grants!$B$5:$B$154,$A18,Grants!$I$5:$I$154,"Awarded")+COUNTIFS(Grants!$B$5:$B$154,$A18,Grants!$I$5:$I$154,"Rejected")),"0%")))</f>
        <v/>
      </c>
    </row>
    <row r="19" spans="1:6" ht="16" x14ac:dyDescent="0.2">
      <c r="A19" s="16"/>
      <c r="B19" s="19" t="str">
        <f>IF($A19="","",COUNTIF(Grants!$B$5:$B$154,$A19))</f>
        <v/>
      </c>
      <c r="C19" s="26" t="str">
        <f>IF($A19="","",SUMIF(Grants!$B$5:$B$154,$A19,Grants!$F$5:$F$154))</f>
        <v/>
      </c>
      <c r="D19" s="26" t="str">
        <f>IF($A19="","",SUMIF(Grants!$B$5:$B$154,$A19,Grants!$L$5:$L$154))</f>
        <v/>
      </c>
      <c r="E19" s="19" t="str">
        <f>IF($A19="","",COUNTIFS(Grants!$B$5:$B$154,$A19,Grants!$I$5:$I$154,"Awarded"))</f>
        <v/>
      </c>
      <c r="F19" s="15" t="str">
        <f>IF($A19="","",IF(COUNTIFS(Grants!$B$5:$B$154,$A19,Grants!$I$5:$I$154,"Awarded")+COUNTIFS(Grants!$B$5:$B$154,$A19,Grants!$I$5:$I$154,"Rejected")=0,"—",TEXT(COUNTIFS(Grants!$B$5:$B$154,$A19,Grants!$I$5:$I$154,"Awarded")/(COUNTIFS(Grants!$B$5:$B$154,$A19,Grants!$I$5:$I$154,"Awarded")+COUNTIFS(Grants!$B$5:$B$154,$A19,Grants!$I$5:$I$154,"Rejected")),"0%")))</f>
        <v/>
      </c>
    </row>
    <row r="20" spans="1:6" ht="16" x14ac:dyDescent="0.2">
      <c r="A20" s="20"/>
      <c r="B20" s="19" t="str">
        <f>IF($A20="","",COUNTIF(Grants!$B$5:$B$154,$A20))</f>
        <v/>
      </c>
      <c r="C20" s="26" t="str">
        <f>IF($A20="","",SUMIF(Grants!$B$5:$B$154,$A20,Grants!$F$5:$F$154))</f>
        <v/>
      </c>
      <c r="D20" s="26" t="str">
        <f>IF($A20="","",SUMIF(Grants!$B$5:$B$154,$A20,Grants!$L$5:$L$154))</f>
        <v/>
      </c>
      <c r="E20" s="19" t="str">
        <f>IF($A20="","",COUNTIFS(Grants!$B$5:$B$154,$A20,Grants!$I$5:$I$154,"Awarded"))</f>
        <v/>
      </c>
      <c r="F20" s="15" t="str">
        <f>IF($A20="","",IF(COUNTIFS(Grants!$B$5:$B$154,$A20,Grants!$I$5:$I$154,"Awarded")+COUNTIFS(Grants!$B$5:$B$154,$A20,Grants!$I$5:$I$154,"Rejected")=0,"—",TEXT(COUNTIFS(Grants!$B$5:$B$154,$A20,Grants!$I$5:$I$154,"Awarded")/(COUNTIFS(Grants!$B$5:$B$154,$A20,Grants!$I$5:$I$154,"Awarded")+COUNTIFS(Grants!$B$5:$B$154,$A20,Grants!$I$5:$I$154,"Rejected")),"0%")))</f>
        <v/>
      </c>
    </row>
    <row r="21" spans="1:6" ht="16" x14ac:dyDescent="0.2">
      <c r="A21" s="16"/>
      <c r="B21" s="19" t="str">
        <f>IF($A21="","",COUNTIF(Grants!$B$5:$B$154,$A21))</f>
        <v/>
      </c>
      <c r="C21" s="26" t="str">
        <f>IF($A21="","",SUMIF(Grants!$B$5:$B$154,$A21,Grants!$F$5:$F$154))</f>
        <v/>
      </c>
      <c r="D21" s="26" t="str">
        <f>IF($A21="","",SUMIF(Grants!$B$5:$B$154,$A21,Grants!$L$5:$L$154))</f>
        <v/>
      </c>
      <c r="E21" s="19" t="str">
        <f>IF($A21="","",COUNTIFS(Grants!$B$5:$B$154,$A21,Grants!$I$5:$I$154,"Awarded"))</f>
        <v/>
      </c>
      <c r="F21" s="15" t="str">
        <f>IF($A21="","",IF(COUNTIFS(Grants!$B$5:$B$154,$A21,Grants!$I$5:$I$154,"Awarded")+COUNTIFS(Grants!$B$5:$B$154,$A21,Grants!$I$5:$I$154,"Rejected")=0,"—",TEXT(COUNTIFS(Grants!$B$5:$B$154,$A21,Grants!$I$5:$I$154,"Awarded")/(COUNTIFS(Grants!$B$5:$B$154,$A21,Grants!$I$5:$I$154,"Awarded")+COUNTIFS(Grants!$B$5:$B$154,$A21,Grants!$I$5:$I$154,"Rejected")),"0%")))</f>
        <v/>
      </c>
    </row>
    <row r="22" spans="1:6" ht="16" x14ac:dyDescent="0.2">
      <c r="A22" s="20"/>
      <c r="B22" s="19" t="str">
        <f>IF($A22="","",COUNTIF(Grants!$B$5:$B$154,$A22))</f>
        <v/>
      </c>
      <c r="C22" s="26" t="str">
        <f>IF($A22="","",SUMIF(Grants!$B$5:$B$154,$A22,Grants!$F$5:$F$154))</f>
        <v/>
      </c>
      <c r="D22" s="26" t="str">
        <f>IF($A22="","",SUMIF(Grants!$B$5:$B$154,$A22,Grants!$L$5:$L$154))</f>
        <v/>
      </c>
      <c r="E22" s="19" t="str">
        <f>IF($A22="","",COUNTIFS(Grants!$B$5:$B$154,$A22,Grants!$I$5:$I$154,"Awarded"))</f>
        <v/>
      </c>
      <c r="F22" s="15" t="str">
        <f>IF($A22="","",IF(COUNTIFS(Grants!$B$5:$B$154,$A22,Grants!$I$5:$I$154,"Awarded")+COUNTIFS(Grants!$B$5:$B$154,$A22,Grants!$I$5:$I$154,"Rejected")=0,"—",TEXT(COUNTIFS(Grants!$B$5:$B$154,$A22,Grants!$I$5:$I$154,"Awarded")/(COUNTIFS(Grants!$B$5:$B$154,$A22,Grants!$I$5:$I$154,"Awarded")+COUNTIFS(Grants!$B$5:$B$154,$A22,Grants!$I$5:$I$154,"Rejected")),"0%")))</f>
        <v/>
      </c>
    </row>
    <row r="23" spans="1:6" ht="16" x14ac:dyDescent="0.2">
      <c r="A23" s="16"/>
      <c r="B23" s="19" t="str">
        <f>IF($A23="","",COUNTIF(Grants!$B$5:$B$154,$A23))</f>
        <v/>
      </c>
      <c r="C23" s="26" t="str">
        <f>IF($A23="","",SUMIF(Grants!$B$5:$B$154,$A23,Grants!$F$5:$F$154))</f>
        <v/>
      </c>
      <c r="D23" s="26" t="str">
        <f>IF($A23="","",SUMIF(Grants!$B$5:$B$154,$A23,Grants!$L$5:$L$154))</f>
        <v/>
      </c>
      <c r="E23" s="19" t="str">
        <f>IF($A23="","",COUNTIFS(Grants!$B$5:$B$154,$A23,Grants!$I$5:$I$154,"Awarded"))</f>
        <v/>
      </c>
      <c r="F23" s="15" t="str">
        <f>IF($A23="","",IF(COUNTIFS(Grants!$B$5:$B$154,$A23,Grants!$I$5:$I$154,"Awarded")+COUNTIFS(Grants!$B$5:$B$154,$A23,Grants!$I$5:$I$154,"Rejected")=0,"—",TEXT(COUNTIFS(Grants!$B$5:$B$154,$A23,Grants!$I$5:$I$154,"Awarded")/(COUNTIFS(Grants!$B$5:$B$154,$A23,Grants!$I$5:$I$154,"Awarded")+COUNTIFS(Grants!$B$5:$B$154,$A23,Grants!$I$5:$I$154,"Rejected")),"0%")))</f>
        <v/>
      </c>
    </row>
    <row r="24" spans="1:6" ht="16" x14ac:dyDescent="0.2">
      <c r="A24" s="20"/>
      <c r="B24" s="19" t="str">
        <f>IF($A24="","",COUNTIF(Grants!$B$5:$B$154,$A24))</f>
        <v/>
      </c>
      <c r="C24" s="26" t="str">
        <f>IF($A24="","",SUMIF(Grants!$B$5:$B$154,$A24,Grants!$F$5:$F$154))</f>
        <v/>
      </c>
      <c r="D24" s="26" t="str">
        <f>IF($A24="","",SUMIF(Grants!$B$5:$B$154,$A24,Grants!$L$5:$L$154))</f>
        <v/>
      </c>
      <c r="E24" s="19" t="str">
        <f>IF($A24="","",COUNTIFS(Grants!$B$5:$B$154,$A24,Grants!$I$5:$I$154,"Awarded"))</f>
        <v/>
      </c>
      <c r="F24" s="15" t="str">
        <f>IF($A24="","",IF(COUNTIFS(Grants!$B$5:$B$154,$A24,Grants!$I$5:$I$154,"Awarded")+COUNTIFS(Grants!$B$5:$B$154,$A24,Grants!$I$5:$I$154,"Rejected")=0,"—",TEXT(COUNTIFS(Grants!$B$5:$B$154,$A24,Grants!$I$5:$I$154,"Awarded")/(COUNTIFS(Grants!$B$5:$B$154,$A24,Grants!$I$5:$I$154,"Awarded")+COUNTIFS(Grants!$B$5:$B$154,$A24,Grants!$I$5:$I$154,"Rejected")),"0%")))</f>
        <v/>
      </c>
    </row>
    <row r="25" spans="1:6" ht="16" x14ac:dyDescent="0.2">
      <c r="A25" s="16"/>
      <c r="B25" s="19" t="str">
        <f>IF($A25="","",COUNTIF(Grants!$B$5:$B$154,$A25))</f>
        <v/>
      </c>
      <c r="C25" s="26" t="str">
        <f>IF($A25="","",SUMIF(Grants!$B$5:$B$154,$A25,Grants!$F$5:$F$154))</f>
        <v/>
      </c>
      <c r="D25" s="26" t="str">
        <f>IF($A25="","",SUMIF(Grants!$B$5:$B$154,$A25,Grants!$L$5:$L$154))</f>
        <v/>
      </c>
      <c r="E25" s="19" t="str">
        <f>IF($A25="","",COUNTIFS(Grants!$B$5:$B$154,$A25,Grants!$I$5:$I$154,"Awarded"))</f>
        <v/>
      </c>
      <c r="F25" s="15" t="str">
        <f>IF($A25="","",IF(COUNTIFS(Grants!$B$5:$B$154,$A25,Grants!$I$5:$I$154,"Awarded")+COUNTIFS(Grants!$B$5:$B$154,$A25,Grants!$I$5:$I$154,"Rejected")=0,"—",TEXT(COUNTIFS(Grants!$B$5:$B$154,$A25,Grants!$I$5:$I$154,"Awarded")/(COUNTIFS(Grants!$B$5:$B$154,$A25,Grants!$I$5:$I$154,"Awarded")+COUNTIFS(Grants!$B$5:$B$154,$A25,Grants!$I$5:$I$154,"Rejected")),"0%")))</f>
        <v/>
      </c>
    </row>
    <row r="26" spans="1:6" ht="16" x14ac:dyDescent="0.2">
      <c r="A26" s="20"/>
      <c r="B26" s="19" t="str">
        <f>IF($A26="","",COUNTIF(Grants!$B$5:$B$154,$A26))</f>
        <v/>
      </c>
      <c r="C26" s="26" t="str">
        <f>IF($A26="","",SUMIF(Grants!$B$5:$B$154,$A26,Grants!$F$5:$F$154))</f>
        <v/>
      </c>
      <c r="D26" s="26" t="str">
        <f>IF($A26="","",SUMIF(Grants!$B$5:$B$154,$A26,Grants!$L$5:$L$154))</f>
        <v/>
      </c>
      <c r="E26" s="19" t="str">
        <f>IF($A26="","",COUNTIFS(Grants!$B$5:$B$154,$A26,Grants!$I$5:$I$154,"Awarded"))</f>
        <v/>
      </c>
      <c r="F26" s="15" t="str">
        <f>IF($A26="","",IF(COUNTIFS(Grants!$B$5:$B$154,$A26,Grants!$I$5:$I$154,"Awarded")+COUNTIFS(Grants!$B$5:$B$154,$A26,Grants!$I$5:$I$154,"Rejected")=0,"—",TEXT(COUNTIFS(Grants!$B$5:$B$154,$A26,Grants!$I$5:$I$154,"Awarded")/(COUNTIFS(Grants!$B$5:$B$154,$A26,Grants!$I$5:$I$154,"Awarded")+COUNTIFS(Grants!$B$5:$B$154,$A26,Grants!$I$5:$I$154,"Rejected")),"0%")))</f>
        <v/>
      </c>
    </row>
    <row r="27" spans="1:6" ht="16" x14ac:dyDescent="0.2">
      <c r="A27" s="16"/>
      <c r="B27" s="19" t="str">
        <f>IF($A27="","",COUNTIF(Grants!$B$5:$B$154,$A27))</f>
        <v/>
      </c>
      <c r="C27" s="26" t="str">
        <f>IF($A27="","",SUMIF(Grants!$B$5:$B$154,$A27,Grants!$F$5:$F$154))</f>
        <v/>
      </c>
      <c r="D27" s="26" t="str">
        <f>IF($A27="","",SUMIF(Grants!$B$5:$B$154,$A27,Grants!$L$5:$L$154))</f>
        <v/>
      </c>
      <c r="E27" s="19" t="str">
        <f>IF($A27="","",COUNTIFS(Grants!$B$5:$B$154,$A27,Grants!$I$5:$I$154,"Awarded"))</f>
        <v/>
      </c>
      <c r="F27" s="15" t="str">
        <f>IF($A27="","",IF(COUNTIFS(Grants!$B$5:$B$154,$A27,Grants!$I$5:$I$154,"Awarded")+COUNTIFS(Grants!$B$5:$B$154,$A27,Grants!$I$5:$I$154,"Rejected")=0,"—",TEXT(COUNTIFS(Grants!$B$5:$B$154,$A27,Grants!$I$5:$I$154,"Awarded")/(COUNTIFS(Grants!$B$5:$B$154,$A27,Grants!$I$5:$I$154,"Awarded")+COUNTIFS(Grants!$B$5:$B$154,$A27,Grants!$I$5:$I$154,"Rejected")),"0%")))</f>
        <v/>
      </c>
    </row>
    <row r="28" spans="1:6" ht="16" x14ac:dyDescent="0.2">
      <c r="A28" s="20"/>
      <c r="B28" s="19" t="str">
        <f>IF($A28="","",COUNTIF(Grants!$B$5:$B$154,$A28))</f>
        <v/>
      </c>
      <c r="C28" s="26" t="str">
        <f>IF($A28="","",SUMIF(Grants!$B$5:$B$154,$A28,Grants!$F$5:$F$154))</f>
        <v/>
      </c>
      <c r="D28" s="26" t="str">
        <f>IF($A28="","",SUMIF(Grants!$B$5:$B$154,$A28,Grants!$L$5:$L$154))</f>
        <v/>
      </c>
      <c r="E28" s="19" t="str">
        <f>IF($A28="","",COUNTIFS(Grants!$B$5:$B$154,$A28,Grants!$I$5:$I$154,"Awarded"))</f>
        <v/>
      </c>
      <c r="F28" s="15" t="str">
        <f>IF($A28="","",IF(COUNTIFS(Grants!$B$5:$B$154,$A28,Grants!$I$5:$I$154,"Awarded")+COUNTIFS(Grants!$B$5:$B$154,$A28,Grants!$I$5:$I$154,"Rejected")=0,"—",TEXT(COUNTIFS(Grants!$B$5:$B$154,$A28,Grants!$I$5:$I$154,"Awarded")/(COUNTIFS(Grants!$B$5:$B$154,$A28,Grants!$I$5:$I$154,"Awarded")+COUNTIFS(Grants!$B$5:$B$154,$A28,Grants!$I$5:$I$154,"Rejected")),"0%")))</f>
        <v/>
      </c>
    </row>
    <row r="29" spans="1:6" ht="16" x14ac:dyDescent="0.2">
      <c r="A29" s="16"/>
      <c r="B29" s="19" t="str">
        <f>IF($A29="","",COUNTIF(Grants!$B$5:$B$154,$A29))</f>
        <v/>
      </c>
      <c r="C29" s="26" t="str">
        <f>IF($A29="","",SUMIF(Grants!$B$5:$B$154,$A29,Grants!$F$5:$F$154))</f>
        <v/>
      </c>
      <c r="D29" s="26" t="str">
        <f>IF($A29="","",SUMIF(Grants!$B$5:$B$154,$A29,Grants!$L$5:$L$154))</f>
        <v/>
      </c>
      <c r="E29" s="19" t="str">
        <f>IF($A29="","",COUNTIFS(Grants!$B$5:$B$154,$A29,Grants!$I$5:$I$154,"Awarded"))</f>
        <v/>
      </c>
      <c r="F29" s="15" t="str">
        <f>IF($A29="","",IF(COUNTIFS(Grants!$B$5:$B$154,$A29,Grants!$I$5:$I$154,"Awarded")+COUNTIFS(Grants!$B$5:$B$154,$A29,Grants!$I$5:$I$154,"Rejected")=0,"—",TEXT(COUNTIFS(Grants!$B$5:$B$154,$A29,Grants!$I$5:$I$154,"Awarded")/(COUNTIFS(Grants!$B$5:$B$154,$A29,Grants!$I$5:$I$154,"Awarded")+COUNTIFS(Grants!$B$5:$B$154,$A29,Grants!$I$5:$I$154,"Rejected")),"0%")))</f>
        <v/>
      </c>
    </row>
  </sheetData>
  <mergeCells count="2">
    <mergeCell ref="A2:F2"/>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
  <sheetViews>
    <sheetView workbookViewId="0">
      <pane ySplit="4" topLeftCell="A5" activePane="bottomLeft" state="frozen"/>
      <selection pane="bottomLeft"/>
    </sheetView>
  </sheetViews>
  <sheetFormatPr baseColWidth="10" defaultColWidth="8.83203125" defaultRowHeight="15" x14ac:dyDescent="0.2"/>
  <cols>
    <col min="1" max="1" width="5" customWidth="1"/>
    <col min="2" max="2" width="18" customWidth="1"/>
    <col min="3" max="3" width="34" customWidth="1"/>
    <col min="4" max="4" width="110" customWidth="1"/>
  </cols>
  <sheetData>
    <row r="1" spans="1:4" ht="26" customHeight="1" x14ac:dyDescent="0.25">
      <c r="A1" s="31" t="s">
        <v>94</v>
      </c>
      <c r="B1" s="30"/>
      <c r="C1" s="30"/>
      <c r="D1" s="30"/>
    </row>
    <row r="2" spans="1:4" x14ac:dyDescent="0.2">
      <c r="A2" s="29" t="s">
        <v>95</v>
      </c>
      <c r="B2" s="30"/>
      <c r="C2" s="30"/>
      <c r="D2" s="30"/>
    </row>
    <row r="4" spans="1:4" ht="30" customHeight="1" x14ac:dyDescent="0.2">
      <c r="A4" s="14" t="s">
        <v>34</v>
      </c>
      <c r="B4" s="14" t="s">
        <v>96</v>
      </c>
      <c r="C4" s="14" t="s">
        <v>97</v>
      </c>
      <c r="D4" s="14" t="s">
        <v>98</v>
      </c>
    </row>
    <row r="5" spans="1:4" ht="150" customHeight="1" x14ac:dyDescent="0.2">
      <c r="A5" s="16">
        <v>1</v>
      </c>
      <c r="B5" s="27" t="s">
        <v>99</v>
      </c>
      <c r="C5" s="16" t="s">
        <v>100</v>
      </c>
      <c r="D5" s="16" t="s">
        <v>101</v>
      </c>
    </row>
    <row r="6" spans="1:4" ht="150" customHeight="1" x14ac:dyDescent="0.2">
      <c r="A6" s="20">
        <v>2</v>
      </c>
      <c r="B6" s="28" t="s">
        <v>99</v>
      </c>
      <c r="C6" s="20" t="s">
        <v>102</v>
      </c>
      <c r="D6" s="20" t="s">
        <v>103</v>
      </c>
    </row>
    <row r="7" spans="1:4" ht="150" customHeight="1" x14ac:dyDescent="0.2">
      <c r="A7" s="16">
        <v>3</v>
      </c>
      <c r="B7" s="27" t="s">
        <v>99</v>
      </c>
      <c r="C7" s="16" t="s">
        <v>104</v>
      </c>
      <c r="D7" s="16" t="s">
        <v>105</v>
      </c>
    </row>
    <row r="8" spans="1:4" ht="150" customHeight="1" x14ac:dyDescent="0.2">
      <c r="A8" s="20">
        <v>4</v>
      </c>
      <c r="B8" s="28" t="s">
        <v>106</v>
      </c>
      <c r="C8" s="20" t="s">
        <v>107</v>
      </c>
      <c r="D8" s="20" t="s">
        <v>108</v>
      </c>
    </row>
    <row r="9" spans="1:4" ht="150" customHeight="1" x14ac:dyDescent="0.2">
      <c r="A9" s="16">
        <v>5</v>
      </c>
      <c r="B9" s="27" t="s">
        <v>106</v>
      </c>
      <c r="C9" s="16" t="s">
        <v>109</v>
      </c>
      <c r="D9" s="16" t="s">
        <v>110</v>
      </c>
    </row>
    <row r="10" spans="1:4" ht="150" customHeight="1" x14ac:dyDescent="0.2">
      <c r="A10" s="20">
        <v>6</v>
      </c>
      <c r="B10" s="28" t="s">
        <v>106</v>
      </c>
      <c r="C10" s="20" t="s">
        <v>111</v>
      </c>
      <c r="D10" s="20" t="s">
        <v>112</v>
      </c>
    </row>
  </sheetData>
  <mergeCells count="2">
    <mergeCell ref="A1:D1"/>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
  <sheetViews>
    <sheetView workbookViewId="0"/>
  </sheetViews>
  <sheetFormatPr baseColWidth="10" defaultColWidth="8.83203125" defaultRowHeight="15" x14ac:dyDescent="0.2"/>
  <sheetData>
    <row r="1" spans="1:7" x14ac:dyDescent="0.2">
      <c r="A1" t="s">
        <v>113</v>
      </c>
      <c r="B1" t="s">
        <v>114</v>
      </c>
      <c r="C1" t="s">
        <v>115</v>
      </c>
      <c r="D1" t="s">
        <v>116</v>
      </c>
      <c r="E1" t="s">
        <v>117</v>
      </c>
      <c r="F1" t="s">
        <v>118</v>
      </c>
      <c r="G1" t="s">
        <v>119</v>
      </c>
    </row>
    <row r="2" spans="1:7" x14ac:dyDescent="0.2">
      <c r="A2" t="s">
        <v>120</v>
      </c>
      <c r="B2" t="s">
        <v>121</v>
      </c>
      <c r="C2" t="s">
        <v>122</v>
      </c>
      <c r="D2" t="s">
        <v>29</v>
      </c>
      <c r="E2" t="s">
        <v>123</v>
      </c>
      <c r="F2" t="s">
        <v>124</v>
      </c>
      <c r="G2" t="s">
        <v>125</v>
      </c>
    </row>
    <row r="3" spans="1:7" x14ac:dyDescent="0.2">
      <c r="A3" t="s">
        <v>121</v>
      </c>
      <c r="B3" t="s">
        <v>126</v>
      </c>
      <c r="C3" t="s">
        <v>127</v>
      </c>
      <c r="D3" t="s">
        <v>125</v>
      </c>
      <c r="E3" t="s">
        <v>128</v>
      </c>
      <c r="F3" t="s">
        <v>129</v>
      </c>
      <c r="G3" t="s">
        <v>130</v>
      </c>
    </row>
    <row r="4" spans="1:7" x14ac:dyDescent="0.2">
      <c r="A4" t="s">
        <v>126</v>
      </c>
      <c r="B4" t="s">
        <v>131</v>
      </c>
      <c r="C4" t="s">
        <v>132</v>
      </c>
      <c r="D4" t="s">
        <v>121</v>
      </c>
      <c r="E4" t="s">
        <v>133</v>
      </c>
      <c r="F4" t="s">
        <v>134</v>
      </c>
    </row>
    <row r="5" spans="1:7" x14ac:dyDescent="0.2">
      <c r="A5" t="s">
        <v>27</v>
      </c>
      <c r="B5" t="s">
        <v>135</v>
      </c>
      <c r="C5" t="s">
        <v>136</v>
      </c>
      <c r="D5" t="s">
        <v>137</v>
      </c>
    </row>
    <row r="6" spans="1:7" x14ac:dyDescent="0.2">
      <c r="A6" t="s">
        <v>136</v>
      </c>
      <c r="B6" t="s">
        <v>138</v>
      </c>
      <c r="C6" t="s">
        <v>139</v>
      </c>
    </row>
    <row r="7" spans="1:7" x14ac:dyDescent="0.2">
      <c r="A7" t="s">
        <v>140</v>
      </c>
      <c r="B7" t="s">
        <v>141</v>
      </c>
    </row>
    <row r="8" spans="1:7" x14ac:dyDescent="0.2">
      <c r="B8" t="s">
        <v>29</v>
      </c>
    </row>
    <row r="9" spans="1:7" x14ac:dyDescent="0.2">
      <c r="B9" t="s">
        <v>136</v>
      </c>
    </row>
    <row r="10" spans="1:7" x14ac:dyDescent="0.2">
      <c r="B10" t="s">
        <v>140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9</vt:i4>
      </vt:variant>
    </vt:vector>
  </HeadingPairs>
  <TitlesOfParts>
    <vt:vector size="9" baseType="lpstr">
      <vt:lpstr>Start Here</vt:lpstr>
      <vt:lpstr>Dashboard</vt:lpstr>
      <vt:lpstr>Grants</vt:lpstr>
      <vt:lpstr>Publications</vt:lpstr>
      <vt:lpstr>Conferences</vt:lpstr>
      <vt:lpstr>Peer Review</vt:lpstr>
      <vt:lpstr>Funding</vt:lpstr>
      <vt:lpstr>AI Prompts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Fabian Hönes</cp:lastModifiedBy>
  <dcterms:created xsi:type="dcterms:W3CDTF">2026-07-15T15:29:04Z</dcterms:created>
  <dcterms:modified xsi:type="dcterms:W3CDTF">2026-07-29T13:55:23Z</dcterms:modified>
</cp:coreProperties>
</file>