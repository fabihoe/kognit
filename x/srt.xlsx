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Dashboard" sheetId="3" state="visible" r:id="rId3"/>
    <sheet name="Protocol" sheetId="4" state="visible" r:id="rId4"/>
    <sheet name="Search Log" sheetId="5" state="visible" r:id="rId5"/>
    <sheet name="Dedup" sheetId="6" state="visible" r:id="rId6"/>
    <sheet name="TA Screening" sheetId="7" state="visible" r:id="rId7"/>
    <sheet name="Full-Text" sheetId="8" state="visible" r:id="rId8"/>
    <sheet name="Extraction" sheetId="9" state="visible" r:id="rId9"/>
    <sheet name="Appraisal" sheetId="10" state="visible" r:id="rId10"/>
    <sheet name="PRISMA Flow" sheetId="11" state="visible" r:id="rId11"/>
    <sheet name="AI Prompts" sheetId="12" state="visible" r:id="rId12"/>
  </sheets>
  <definedNames>
    <definedName name="_xlnm._FilterDatabase" localSheetId="4" hidden="1">'Search Log'!$A$4:$I$34</definedName>
    <definedName name="_xlnm._FilterDatabase" localSheetId="6" hidden="1">'TA Screening'!$A$4:$J$504</definedName>
    <definedName name="_xlnm._FilterDatabase" localSheetId="7" hidden="1">'Full-Text'!$A$4:$K$204</definedName>
    <definedName name="_xlnm._FilterDatabase" localSheetId="8" hidden="1">'Extraction'!$A$4:$M$104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b val="1"/>
      <color rgb="002D3A8C"/>
      <sz val="20"/>
    </font>
    <font>
      <color rgb="00555B7A"/>
      <sz val="12"/>
    </font>
    <font>
      <color rgb="001E2340"/>
      <sz val="10"/>
    </font>
    <font>
      <b val="1"/>
      <color rgb="001F7A6D"/>
      <sz val="13"/>
    </font>
    <font>
      <color rgb="001E2340"/>
      <sz val="11"/>
    </font>
    <font>
      <color rgb="00555B7A"/>
      <sz val="9"/>
    </font>
    <font>
      <b val="1"/>
      <color rgb="002D3A8C"/>
      <sz val="16"/>
    </font>
    <font>
      <color rgb="00555B7A"/>
      <sz val="10"/>
    </font>
    <font>
      <b val="1"/>
      <color rgb="001F7A6D"/>
      <sz val="11"/>
    </font>
    <font>
      <b val="1"/>
      <color rgb="002D3A8C"/>
      <sz val="18"/>
    </font>
    <font>
      <b val="1"/>
      <color rgb="00B4540A"/>
      <sz val="18"/>
    </font>
    <font>
      <b val="1"/>
      <color rgb="001F7A6D"/>
      <sz val="18"/>
    </font>
    <font>
      <b val="1"/>
      <color rgb="008A3333"/>
      <sz val="18"/>
    </font>
    <font>
      <b val="1"/>
      <color rgb="001F7A6D"/>
      <sz val="22"/>
    </font>
    <font>
      <i val="1"/>
      <color rgb="00555B7A"/>
      <sz val="9"/>
    </font>
    <font>
      <b val="1"/>
      <color rgb="00FFFFFF"/>
      <sz val="11"/>
    </font>
    <font>
      <b val="1"/>
      <color rgb="002D3A8C"/>
      <sz val="12"/>
    </font>
    <font>
      <b val="1"/>
      <color rgb="001E2340"/>
      <sz val="12"/>
    </font>
    <font>
      <b val="1"/>
      <color rgb="001E2340"/>
      <sz val="11"/>
    </font>
    <font>
      <b val="1"/>
      <color rgb="002D3A8C"/>
    </font>
  </fonts>
  <fills count="9">
    <fill>
      <patternFill/>
    </fill>
    <fill>
      <patternFill patternType="gray125"/>
    </fill>
    <fill>
      <patternFill patternType="solid">
        <fgColor rgb="00EEF1FB"/>
      </patternFill>
    </fill>
    <fill>
      <patternFill patternType="solid">
        <fgColor rgb="00FFF1CC"/>
      </patternFill>
    </fill>
    <fill>
      <patternFill patternType="solid">
        <fgColor rgb="00E3F1EE"/>
      </patternFill>
    </fill>
    <fill>
      <patternFill patternType="solid">
        <fgColor rgb="00F5DBDB"/>
      </patternFill>
    </fill>
    <fill>
      <patternFill patternType="solid">
        <fgColor rgb="00FFFFFF"/>
      </patternFill>
    </fill>
    <fill>
      <patternFill patternType="solid">
        <fgColor rgb="002D3A8C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0" borderId="0" pivotButton="0" quotePrefix="0" xfId="0"/>
    <xf numFmtId="0" fontId="5" fillId="0" borderId="0" pivotButton="0" quotePrefix="0" xfId="0"/>
    <xf numFmtId="0" fontId="0" fillId="6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16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3" fontId="0" fillId="8" borderId="1" applyAlignment="1" pivotButton="0" quotePrefix="0" xfId="0">
      <alignment vertical="top" wrapText="1"/>
    </xf>
    <xf numFmtId="3" fontId="17" fillId="2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center" vertical="center"/>
    </xf>
    <xf numFmtId="0" fontId="19" fillId="0" borderId="0" pivotButton="0" quotePrefix="0" xfId="0"/>
    <xf numFmtId="0" fontId="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3" fontId="12" fillId="4" borderId="1" applyAlignment="1" pivotButton="0" quotePrefix="0" xfId="0">
      <alignment horizontal="center" vertical="center"/>
    </xf>
    <xf numFmtId="1" fontId="17" fillId="2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top" wrapText="1"/>
    </xf>
    <xf numFmtId="0" fontId="20" fillId="8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F1CC"/>
        </patternFill>
      </fill>
    </dxf>
    <dxf>
      <font>
        <color rgb="008A3333"/>
      </font>
      <fill>
        <patternFill patternType="solid">
          <fgColor rgb="00F5DBDB"/>
        </patternFill>
      </fill>
    </dxf>
    <dxf>
      <font>
        <color rgb="001F7A6D"/>
      </font>
      <fill>
        <patternFill patternType="solid">
          <fgColor rgb="00DCF2E4"/>
        </patternFill>
      </fill>
    </dxf>
    <dxf>
      <fill>
        <patternFill patternType="solid">
          <fgColor rgb="00DCF2E4"/>
        </patternFill>
      </fill>
    </dxf>
    <dxf>
      <fill>
        <patternFill patternType="solid">
          <fgColor rgb="00F5DBDB"/>
        </patternFill>
      </fill>
    </dxf>
    <dxf>
      <fill>
        <patternFill patternType="solid">
          <fgColor rgb="00DCE9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 ht="28" customHeight="1">
      <c r="B2" s="1" t="inlineStr">
        <is>
          <t>Systematic Review Tracker</t>
        </is>
      </c>
    </row>
    <row r="3" ht="20" customHeight="1">
      <c r="B3" s="2" t="inlineStr">
        <is>
          <t>From search strings to included studies — your PRISMA 2020 flow numbers compute themselves.</t>
        </is>
      </c>
    </row>
    <row r="4" ht="18" customHeight="1">
      <c r="B4" s="3" t="inlineStr"/>
    </row>
    <row r="5" ht="21" customHeight="1">
      <c r="B5" s="4" t="inlineStr">
        <is>
          <t>HOW TO USE THIS WORKBOOK — 10 STEPS</t>
        </is>
      </c>
    </row>
    <row r="6" ht="38" customHeight="1">
      <c r="B6" s="5" t="inlineStr">
        <is>
          <t>STEP 1 · Protocol — write your question, PICO, criteria and registration details FIRST. Screening goes faster when criteria are decidable.</t>
        </is>
      </c>
    </row>
    <row r="7" ht="38" customHeight="1">
      <c r="B7" s="5" t="inlineStr">
        <is>
          <t>STEP 2 · Search Log — one row per database or source: string, date, filters, hits. Totals flow into Dedup and PRISMA automatically.</t>
        </is>
      </c>
    </row>
    <row r="8" ht="38" customHeight="1">
      <c r="B8" s="5" t="inlineStr">
        <is>
          <t>STEP 3 · Dedup — enter how many duplicates you removed; the sheet computes your records-to-screen and checks it against your screening rows.</t>
        </is>
      </c>
    </row>
    <row r="9" ht="57" customHeight="1">
      <c r="B9" s="5" t="inlineStr">
        <is>
          <t>STEP 4 · TA Screening — one row per record, 500 ready. Decision dropdown (Include / Exclude / Unsure); optional second reviewer with automatic conflict flag. Records from citation searching, websites or experts skip T/A screening — enter them directly in Full-Text with Arm = Other source.</t>
        </is>
      </c>
    </row>
    <row r="10" ht="38" customHeight="1">
      <c r="B10" s="5" t="inlineStr">
        <is>
          <t>STEP 5 · Full-Text — retrieved yes/no, final decision, coded exclusion reason. The reason codes roll up into PRISMA counts by reason.</t>
        </is>
      </c>
    </row>
    <row r="11" ht="38" customHeight="1">
      <c r="B11" s="5" t="inlineStr">
        <is>
          <t>STEP 6 · Extraction — design, N, population, intervention/exposure, outcomes, effect. Mark rows Done so the Dashboard shows what's left.</t>
        </is>
      </c>
    </row>
    <row r="12" ht="38" customHeight="1">
      <c r="B12" s="5" t="inlineStr">
        <is>
          <t>STEP 7 · Appraisal — generic domain structure with an honest limitation: it is NOT a substitute for validated instruments (RoB 2, ROBINS-I, CASP, JBI). Record the tool you actually used.</t>
        </is>
      </c>
    </row>
    <row r="13" ht="38" customHeight="1">
      <c r="B13" s="5" t="inlineStr">
        <is>
          <t>STEP 8 · PRISMA Flow — never type here. Every box computes from your sheets; paste the numbers into the official PRISMA 2020 diagram template (prisma-statement.org).</t>
        </is>
      </c>
    </row>
    <row r="14" ht="19" customHeight="1">
      <c r="B14" s="5" t="inlineStr">
        <is>
          <t>STEP 9 · Dashboard — progress at a glance: screened, unsure, conflicts, extraction, appraisal. Never type here either.</t>
        </is>
      </c>
    </row>
    <row r="15" ht="38" customHeight="1">
      <c r="B15" s="5" t="inlineStr">
        <is>
          <t>STEP 10 · AI Prompts — 6 copy-paste prompts for review work (criteria stress test, conflict resolver, extraction check…). The decisions stay yours.</t>
        </is>
      </c>
    </row>
    <row r="16" ht="18" customHeight="1">
      <c r="B16" s="3" t="inlineStr"/>
    </row>
    <row r="17" ht="19" customHeight="1">
      <c r="B17" s="5" t="inlineStr">
        <is>
          <t>GOOGLE SHEETS: File → Import → Upload this file. Formulas, dropdowns and colors survive the trip.</t>
        </is>
      </c>
    </row>
    <row r="18" ht="19" customHeight="1">
      <c r="B18" s="5" t="inlineStr">
        <is>
          <t>TIP: Duplicate the file per review. Archive, don't delete — your screening log is your audit trail.</t>
        </is>
      </c>
    </row>
    <row r="19" ht="18" customHeight="1">
      <c r="B19" s="3" t="inlineStr"/>
    </row>
    <row r="20" ht="18" customHeight="1">
      <c r="B20" s="6" t="inlineStr">
        <is>
          <t>LICENSE — Personal use. One buyer, unlimited own projects &amp; devices. Please don't resell or redistribute.</t>
        </is>
      </c>
    </row>
    <row r="21" ht="18" customHeight="1">
      <c r="B21" s="6" t="inlineStr">
        <is>
          <t>Questions or a broken formula? Message us on Etsy or kontakt@arbeitstyp.de — we answer within 48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R1 · Wrong population</t>
        </is>
      </c>
      <c r="C1" t="inlineStr">
        <is>
          <t>Database</t>
        </is>
      </c>
      <c r="D1" t="inlineStr">
        <is>
          <t>Database/Register</t>
        </is>
      </c>
      <c r="E1" t="inlineStr">
        <is>
          <t>Yes</t>
        </is>
      </c>
      <c r="F1" t="inlineStr">
        <is>
          <t>RCT</t>
        </is>
      </c>
      <c r="G1" t="inlineStr">
        <is>
          <t>Positive</t>
        </is>
      </c>
      <c r="H1" t="inlineStr">
        <is>
          <t>Not started</t>
        </is>
      </c>
      <c r="I1" t="inlineStr">
        <is>
          <t>Low</t>
        </is>
      </c>
      <c r="J1" t="inlineStr">
        <is>
          <t>Low concern</t>
        </is>
      </c>
      <c r="K1" t="inlineStr">
        <is>
          <t>Systematic review</t>
        </is>
      </c>
    </row>
    <row r="2">
      <c r="A2" t="inlineStr">
        <is>
          <t>Exclude</t>
        </is>
      </c>
      <c r="B2" t="inlineStr">
        <is>
          <t>R2 · Wrong intervention/exposure</t>
        </is>
      </c>
      <c r="C2" t="inlineStr">
        <is>
          <t>Register</t>
        </is>
      </c>
      <c r="D2" t="inlineStr">
        <is>
          <t>Other source</t>
        </is>
      </c>
      <c r="E2" t="inlineStr">
        <is>
          <t>No</t>
        </is>
      </c>
      <c r="F2" t="inlineStr">
        <is>
          <t>Non-randomized trial</t>
        </is>
      </c>
      <c r="G2" t="inlineStr">
        <is>
          <t>Negative</t>
        </is>
      </c>
      <c r="H2" t="inlineStr">
        <is>
          <t>In progress</t>
        </is>
      </c>
      <c r="I2" t="inlineStr">
        <is>
          <t>Some concerns</t>
        </is>
      </c>
      <c r="J2" t="inlineStr">
        <is>
          <t>Moderate concern</t>
        </is>
      </c>
      <c r="K2" t="inlineStr">
        <is>
          <t>Scoping review</t>
        </is>
      </c>
    </row>
    <row r="3">
      <c r="A3" t="inlineStr">
        <is>
          <t>Unsure</t>
        </is>
      </c>
      <c r="B3" t="inlineStr">
        <is>
          <t>R3 · Wrong comparator</t>
        </is>
      </c>
      <c r="C3" t="inlineStr">
        <is>
          <t>Other source</t>
        </is>
      </c>
      <c r="F3" t="inlineStr">
        <is>
          <t>Cohort</t>
        </is>
      </c>
      <c r="G3" t="inlineStr">
        <is>
          <t>Mixed</t>
        </is>
      </c>
      <c r="H3" t="inlineStr">
        <is>
          <t>Done</t>
        </is>
      </c>
      <c r="I3" t="inlineStr">
        <is>
          <t>High</t>
        </is>
      </c>
      <c r="J3" t="inlineStr">
        <is>
          <t>High concern</t>
        </is>
      </c>
      <c r="K3" t="inlineStr">
        <is>
          <t>Rapid review</t>
        </is>
      </c>
    </row>
    <row r="4">
      <c r="B4" t="inlineStr">
        <is>
          <t>R4 · Wrong outcome</t>
        </is>
      </c>
      <c r="F4" t="inlineStr">
        <is>
          <t>Case-control</t>
        </is>
      </c>
      <c r="G4" t="inlineStr">
        <is>
          <t>Null</t>
        </is>
      </c>
      <c r="K4" t="inlineStr">
        <is>
          <t>Meta-analysis groundwork</t>
        </is>
      </c>
    </row>
    <row r="5">
      <c r="B5" t="inlineStr">
        <is>
          <t>R5 · Wrong study design</t>
        </is>
      </c>
      <c r="F5" t="inlineStr">
        <is>
          <t>Cross-sectional</t>
        </is>
      </c>
      <c r="G5" t="inlineStr">
        <is>
          <t>Unclear</t>
        </is>
      </c>
      <c r="K5" t="inlineStr">
        <is>
          <t>Umbrella review</t>
        </is>
      </c>
    </row>
    <row r="6">
      <c r="B6" t="inlineStr">
        <is>
          <t>R6 · Wrong publication type</t>
        </is>
      </c>
      <c r="F6" t="inlineStr">
        <is>
          <t>Qualitative</t>
        </is>
      </c>
      <c r="K6" t="inlineStr">
        <is>
          <t>Other</t>
        </is>
      </c>
    </row>
    <row r="7">
      <c r="B7" t="inlineStr">
        <is>
          <t>R7 · Wrong language</t>
        </is>
      </c>
      <c r="F7" t="inlineStr">
        <is>
          <t>Mixed methods</t>
        </is>
      </c>
    </row>
    <row r="8">
      <c r="B8" t="inlineStr">
        <is>
          <t>R8 · Duplicate</t>
        </is>
      </c>
      <c r="F8" t="inlineStr">
        <is>
          <t>Case report/series</t>
        </is>
      </c>
    </row>
    <row r="9">
      <c r="B9" t="inlineStr">
        <is>
          <t>R9 · Other (see notes)</t>
        </is>
      </c>
      <c r="F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6" customHeight="1">
      <c r="A1" s="7" t="inlineStr">
        <is>
          <t>Dashboard</t>
        </is>
      </c>
    </row>
    <row r="2" ht="28" customHeight="1">
      <c r="A2" s="8" t="inlineStr">
        <is>
          <t>Live overview in three groups — every number computes itself from the other sheets.</t>
        </is>
      </c>
    </row>
    <row r="4">
      <c r="A4" s="9" t="inlineStr">
        <is>
          <t>SEARCH</t>
        </is>
      </c>
    </row>
    <row r="5">
      <c r="A5" s="10" t="inlineStr">
        <is>
          <t>Records identified</t>
        </is>
      </c>
      <c r="B5" s="10" t="inlineStr">
        <is>
          <t>Sources searched</t>
        </is>
      </c>
      <c r="C5" s="10" t="inlineStr">
        <is>
          <t>Duplicates removed</t>
        </is>
      </c>
      <c r="D5" s="10" t="inlineStr">
        <is>
          <t>Records to screen</t>
        </is>
      </c>
    </row>
    <row r="6" ht="34" customHeight="1">
      <c r="A6" s="11">
        <f>IF(COUNTA('Search Log'!B5:B34)=0,"—",SUM('Search Log'!G5:G34))</f>
        <v/>
      </c>
      <c r="B6" s="11">
        <f>IF(COUNTA('Search Log'!B5:B34)=0,"—",COUNTA('Search Log'!B5:B34))</f>
        <v/>
      </c>
      <c r="C6" s="11">
        <f>IF(Dedup!C8="","—",Dedup!C8)</f>
        <v/>
      </c>
      <c r="D6" s="12">
        <f>Dedup!C12</f>
        <v/>
      </c>
    </row>
    <row r="8">
      <c r="A8" s="9" t="inlineStr">
        <is>
          <t>SCREENING</t>
        </is>
      </c>
    </row>
    <row r="9">
      <c r="A9" s="10" t="inlineStr">
        <is>
          <t>T/A decisions made</t>
        </is>
      </c>
      <c r="B9" s="10" t="inlineStr">
        <is>
          <t>Awaiting decision</t>
        </is>
      </c>
      <c r="C9" s="10" t="inlineStr">
        <is>
          <t>Unsure to resolve</t>
        </is>
      </c>
      <c r="D9" s="10" t="inlineStr">
        <is>
          <t>Conflicts flagged</t>
        </is>
      </c>
    </row>
    <row r="10" ht="34" customHeight="1">
      <c r="A10" s="13">
        <f>IF(COUNTA('TA Screening'!D5:D504)=0,"—",COUNTA('TA Screening'!F5:F504))</f>
        <v/>
      </c>
      <c r="B10" s="12">
        <f>IF(COUNTA('TA Screening'!D5:D504)=0,"—",MAX(0,COUNTA('TA Screening'!D5:D504)-COUNTA('TA Screening'!F5:F504)))</f>
        <v/>
      </c>
      <c r="C10" s="12">
        <f>IF(COUNTA('TA Screening'!D5:D504)+COUNTA('Full-Text'!C5:C204)=0,"—",COUNTIF('TA Screening'!F5:F504,"Unsure")+COUNTIF('Full-Text'!G5:G204,"Unsure"))</f>
        <v/>
      </c>
      <c r="D10" s="14">
        <f>IF(COUNTA('TA Screening'!D5:D504)+COUNTA('Full-Text'!C5:C204)=0,"—",COUNTIF('TA Screening'!I5:I504,"⚠ resolve")+COUNTIF('Full-Text'!J5:J204,"⚠ resolve"))</f>
        <v/>
      </c>
    </row>
    <row r="12">
      <c r="A12" s="9" t="inlineStr">
        <is>
          <t>FULL TEXT → REVIEW</t>
        </is>
      </c>
    </row>
    <row r="13">
      <c r="A13" s="10" t="inlineStr">
        <is>
          <t>Full texts assessed</t>
        </is>
      </c>
      <c r="B13" s="10" t="inlineStr">
        <is>
          <t>Studies included</t>
        </is>
      </c>
      <c r="C13" s="10" t="inlineStr">
        <is>
          <t>Extraction done</t>
        </is>
      </c>
      <c r="D13" s="10" t="inlineStr">
        <is>
          <t>Appraisals done</t>
        </is>
      </c>
    </row>
    <row r="14" ht="34" customHeight="1">
      <c r="A14" s="11">
        <f>IF(COUNTA('Full-Text'!C5:C204)=0,"—",COUNTIF('Full-Text'!F5:F204,"Yes"))</f>
        <v/>
      </c>
      <c r="B14" s="15">
        <f>IF(COUNTA('Full-Text'!C5:C204)=0,"—",COUNTIF('Full-Text'!G5:G204,"Include"))</f>
        <v/>
      </c>
      <c r="C14" s="11">
        <f>IF(COUNTIF('Full-Text'!G5:G204,"Include")=0,"—",COUNTIF(Extraction!L5:L104,"Done")&amp;" / "&amp;COUNTIF('Full-Text'!G5:G204,"Include"))</f>
        <v/>
      </c>
      <c r="D14" s="11">
        <f>IF(COUNTIF('Full-Text'!G5:G204,"Include")=0,"—",COUNTA(Appraisal!I5:I104)&amp;" / "&amp;COUNTIF('Full-Text'!G5:G204,"Include"))</f>
        <v/>
      </c>
    </row>
    <row r="16">
      <c r="A16" s="16" t="inlineStr">
        <is>
          <t>Never type on this sheet — it computes itself.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40" customWidth="1" min="4" max="4"/>
  </cols>
  <sheetData>
    <row r="1" ht="26" customHeight="1">
      <c r="A1" s="7" t="inlineStr">
        <is>
          <t>Protocol</t>
        </is>
      </c>
    </row>
    <row r="2" ht="28" customHeight="1">
      <c r="A2" s="8" t="inlineStr">
        <is>
          <t>The review's constitution — question, criteria, registration. Fill this FIRST; screening goes faster when criteria are decidable.</t>
        </is>
      </c>
    </row>
    <row r="4" ht="22" customHeight="1">
      <c r="B4" s="9" t="inlineStr">
        <is>
          <t>REVIEW</t>
        </is>
      </c>
    </row>
    <row r="5" ht="20" customHeight="1">
      <c r="B5" s="17" t="inlineStr">
        <is>
          <t>Review title</t>
        </is>
      </c>
      <c r="C5" s="18" t="n"/>
    </row>
    <row r="6" ht="20" customHeight="1">
      <c r="B6" s="17" t="inlineStr">
        <is>
          <t>Review question</t>
        </is>
      </c>
      <c r="C6" s="18" t="n"/>
      <c r="D6" s="19" t="inlineStr">
        <is>
          <t>One sentence. If it needs two, it needs sharpening — see AI Prompts #1.</t>
        </is>
      </c>
    </row>
    <row r="7" ht="20" customHeight="1">
      <c r="B7" s="17" t="inlineStr">
        <is>
          <t>Review type</t>
        </is>
      </c>
      <c r="C7" s="18" t="n"/>
    </row>
    <row r="9" ht="22" customHeight="1">
      <c r="B9" s="9" t="inlineStr">
        <is>
          <t>FRAMEWORK (PICO / PECO)</t>
        </is>
      </c>
    </row>
    <row r="10" ht="20" customHeight="1">
      <c r="B10" s="17" t="inlineStr">
        <is>
          <t>P — Population</t>
        </is>
      </c>
      <c r="C10" s="18" t="n"/>
    </row>
    <row r="11" ht="20" customHeight="1">
      <c r="B11" s="17" t="inlineStr">
        <is>
          <t>I/E — Intervention or Exposure</t>
        </is>
      </c>
      <c r="C11" s="18" t="n"/>
    </row>
    <row r="12" ht="20" customHeight="1">
      <c r="B12" s="17" t="inlineStr">
        <is>
          <t>C — Comparator</t>
        </is>
      </c>
      <c r="C12" s="18" t="n"/>
    </row>
    <row r="13" ht="20" customHeight="1">
      <c r="B13" s="17" t="inlineStr">
        <is>
          <t>O — Outcome(s)</t>
        </is>
      </c>
      <c r="C13" s="18" t="n"/>
    </row>
    <row r="14" ht="20" customHeight="1">
      <c r="B14" s="17" t="inlineStr">
        <is>
          <t>S — Study designs eligible</t>
        </is>
      </c>
      <c r="C14" s="18" t="n"/>
    </row>
    <row r="16" ht="22" customHeight="1">
      <c r="B16" s="9" t="inlineStr">
        <is>
          <t>INCLUSION CRITERIA (make each one decidable by a stranger)</t>
        </is>
      </c>
    </row>
    <row r="17" ht="20" customHeight="1">
      <c r="B17" s="17" t="inlineStr">
        <is>
          <t>Inclusion 1</t>
        </is>
      </c>
      <c r="C17" s="18" t="n"/>
    </row>
    <row r="18" ht="20" customHeight="1">
      <c r="B18" s="17" t="inlineStr">
        <is>
          <t>Inclusion 2</t>
        </is>
      </c>
      <c r="C18" s="18" t="n"/>
    </row>
    <row r="19" ht="20" customHeight="1">
      <c r="B19" s="17" t="inlineStr">
        <is>
          <t>Inclusion 3</t>
        </is>
      </c>
      <c r="C19" s="18" t="n"/>
    </row>
    <row r="20" ht="20" customHeight="1">
      <c r="B20" s="17" t="inlineStr">
        <is>
          <t>Inclusion 4</t>
        </is>
      </c>
      <c r="C20" s="18" t="n"/>
    </row>
    <row r="21" ht="20" customHeight="1">
      <c r="B21" s="17" t="inlineStr">
        <is>
          <t>Inclusion 5</t>
        </is>
      </c>
      <c r="C21" s="18" t="n"/>
    </row>
    <row r="23" ht="22" customHeight="1">
      <c r="B23" s="9" t="inlineStr">
        <is>
          <t>EXCLUSION CRITERIA</t>
        </is>
      </c>
    </row>
    <row r="24" ht="20" customHeight="1">
      <c r="B24" s="17" t="inlineStr">
        <is>
          <t>Exclusion 1</t>
        </is>
      </c>
      <c r="C24" s="18" t="n"/>
    </row>
    <row r="25" ht="20" customHeight="1">
      <c r="B25" s="17" t="inlineStr">
        <is>
          <t>Exclusion 2</t>
        </is>
      </c>
      <c r="C25" s="18" t="n"/>
    </row>
    <row r="26" ht="20" customHeight="1">
      <c r="B26" s="17" t="inlineStr">
        <is>
          <t>Exclusion 3</t>
        </is>
      </c>
      <c r="C26" s="18" t="n"/>
    </row>
    <row r="27" ht="20" customHeight="1">
      <c r="B27" s="17" t="inlineStr">
        <is>
          <t>Exclusion 4</t>
        </is>
      </c>
      <c r="C27" s="18" t="n"/>
    </row>
    <row r="28" ht="20" customHeight="1">
      <c r="B28" s="17" t="inlineStr">
        <is>
          <t>Exclusion 5</t>
        </is>
      </c>
      <c r="C28" s="18" t="n"/>
    </row>
    <row r="30" ht="22" customHeight="1">
      <c r="B30" s="9" t="inlineStr">
        <is>
          <t>REGISTRATION &amp; TEAM</t>
        </is>
      </c>
    </row>
    <row r="31" ht="20" customHeight="1">
      <c r="B31" s="17" t="inlineStr">
        <is>
          <t>Registry (e.g. PROSPERO, OSF)</t>
        </is>
      </c>
      <c r="C31" s="18" t="n"/>
      <c r="D31" s="19" t="inlineStr">
        <is>
          <t>Registration is a text field here — register at the registry itself.</t>
        </is>
      </c>
    </row>
    <row r="32" ht="20" customHeight="1">
      <c r="B32" s="17" t="inlineStr">
        <is>
          <t>Registration ID</t>
        </is>
      </c>
      <c r="C32" s="18" t="n"/>
    </row>
    <row r="33" ht="20" customHeight="1">
      <c r="B33" s="17" t="inlineStr">
        <is>
          <t>Date registered</t>
        </is>
      </c>
      <c r="C33" s="20" t="n"/>
    </row>
    <row r="34" ht="20" customHeight="1">
      <c r="B34" s="17" t="inlineStr">
        <is>
          <t>Protocol link</t>
        </is>
      </c>
      <c r="C34" s="18" t="n"/>
    </row>
    <row r="35" ht="20" customHeight="1">
      <c r="B35" s="17" t="inlineStr">
        <is>
          <t>Reviewer 1</t>
        </is>
      </c>
      <c r="C35" s="18" t="n"/>
    </row>
    <row r="36" ht="20" customHeight="1">
      <c r="B36" s="17" t="inlineStr">
        <is>
          <t>Reviewer 2 (optional)</t>
        </is>
      </c>
      <c r="C36" s="18" t="n"/>
    </row>
    <row r="37" ht="20" customHeight="1">
      <c r="B37" s="17" t="inlineStr">
        <is>
          <t>Conflict resolver</t>
        </is>
      </c>
      <c r="C37" s="18" t="n"/>
    </row>
    <row r="38" ht="20" customHeight="1">
      <c r="B38" s="17" t="inlineStr">
        <is>
          <t>Search run date</t>
        </is>
      </c>
      <c r="C38" s="20" t="n"/>
    </row>
    <row r="39" ht="20" customHeight="1">
      <c r="B39" s="17" t="inlineStr">
        <is>
          <t>Target completion</t>
        </is>
      </c>
      <c r="C39" s="20" t="n"/>
    </row>
  </sheetData>
  <mergeCells count="2">
    <mergeCell ref="A1:D1"/>
    <mergeCell ref="A2:D2"/>
  </mergeCells>
  <dataValidations count="1">
    <dataValidation sqref="C7" showDropDown="0" showInputMessage="0" showErrorMessage="0" allowBlank="1" type="list">
      <formula1>Lists!$K$1:$K$6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60" customWidth="1" min="5" max="5"/>
    <col width="26" customWidth="1" min="6" max="6"/>
    <col width="12" customWidth="1" min="7" max="7"/>
    <col width="20" customWidth="1" min="8" max="8"/>
    <col width="28" customWidth="1" min="9" max="9"/>
  </cols>
  <sheetData>
    <row r="1" ht="26" customHeight="1">
      <c r="A1" s="7" t="inlineStr">
        <is>
          <t>Search Log</t>
        </is>
      </c>
    </row>
    <row r="2" ht="28" customHeight="1">
      <c r="A2" s="8" t="inlineStr">
        <is>
          <t>One row per source. Type drives the PRISMA counts — never leave it blank. Re-run the search? New row — never overwrite. PRISMA needs the audit trail.</t>
        </is>
      </c>
    </row>
    <row r="4" ht="30" customHeight="1">
      <c r="A4" s="21" t="inlineStr">
        <is>
          <t>#</t>
        </is>
      </c>
      <c r="B4" s="21" t="inlineStr">
        <is>
          <t>Database / Source</t>
        </is>
      </c>
      <c r="C4" s="21" t="inlineStr">
        <is>
          <t>Type</t>
        </is>
      </c>
      <c r="D4" s="21" t="inlineStr">
        <is>
          <t>Search date</t>
        </is>
      </c>
      <c r="E4" s="21" t="inlineStr">
        <is>
          <t>Search string (exactly as run)</t>
        </is>
      </c>
      <c r="F4" s="21" t="inlineStr">
        <is>
          <t>Filters / limits</t>
        </is>
      </c>
      <c r="G4" s="21" t="inlineStr">
        <is>
          <t>Results (hits)</t>
        </is>
      </c>
      <c r="H4" s="21" t="inlineStr">
        <is>
          <t>Exported to (.ris / .csv / tool)</t>
        </is>
      </c>
      <c r="I4" s="21" t="inlineStr">
        <is>
          <t>Notes / version</t>
        </is>
      </c>
    </row>
    <row r="5">
      <c r="A5" s="22">
        <f>IF(B5="","",ROW()-4)</f>
        <v/>
      </c>
      <c r="B5" s="22" t="n"/>
      <c r="C5" s="22" t="n"/>
      <c r="D5" s="23" t="n"/>
      <c r="E5" s="22" t="n"/>
      <c r="F5" s="22" t="n"/>
      <c r="G5" s="24" t="n"/>
      <c r="H5" s="22" t="n"/>
      <c r="I5" s="22" t="n"/>
    </row>
    <row r="6">
      <c r="A6" s="25">
        <f>IF(B6="","",ROW()-4)</f>
        <v/>
      </c>
      <c r="B6" s="25" t="n"/>
      <c r="C6" s="25" t="n"/>
      <c r="D6" s="26" t="n"/>
      <c r="E6" s="25" t="n"/>
      <c r="F6" s="25" t="n"/>
      <c r="G6" s="27" t="n"/>
      <c r="H6" s="25" t="n"/>
      <c r="I6" s="25" t="n"/>
    </row>
    <row r="7">
      <c r="A7" s="22">
        <f>IF(B7="","",ROW()-4)</f>
        <v/>
      </c>
      <c r="B7" s="22" t="n"/>
      <c r="C7" s="22" t="n"/>
      <c r="D7" s="23" t="n"/>
      <c r="E7" s="22" t="n"/>
      <c r="F7" s="22" t="n"/>
      <c r="G7" s="24" t="n"/>
      <c r="H7" s="22" t="n"/>
      <c r="I7" s="22" t="n"/>
    </row>
    <row r="8">
      <c r="A8" s="25">
        <f>IF(B8="","",ROW()-4)</f>
        <v/>
      </c>
      <c r="B8" s="25" t="n"/>
      <c r="C8" s="25" t="n"/>
      <c r="D8" s="26" t="n"/>
      <c r="E8" s="25" t="n"/>
      <c r="F8" s="25" t="n"/>
      <c r="G8" s="27" t="n"/>
      <c r="H8" s="25" t="n"/>
      <c r="I8" s="25" t="n"/>
    </row>
    <row r="9">
      <c r="A9" s="22">
        <f>IF(B9="","",ROW()-4)</f>
        <v/>
      </c>
      <c r="B9" s="22" t="n"/>
      <c r="C9" s="22" t="n"/>
      <c r="D9" s="23" t="n"/>
      <c r="E9" s="22" t="n"/>
      <c r="F9" s="22" t="n"/>
      <c r="G9" s="24" t="n"/>
      <c r="H9" s="22" t="n"/>
      <c r="I9" s="22" t="n"/>
    </row>
    <row r="10">
      <c r="A10" s="25">
        <f>IF(B10="","",ROW()-4)</f>
        <v/>
      </c>
      <c r="B10" s="25" t="n"/>
      <c r="C10" s="25" t="n"/>
      <c r="D10" s="26" t="n"/>
      <c r="E10" s="25" t="n"/>
      <c r="F10" s="25" t="n"/>
      <c r="G10" s="27" t="n"/>
      <c r="H10" s="25" t="n"/>
      <c r="I10" s="25" t="n"/>
    </row>
    <row r="11">
      <c r="A11" s="22">
        <f>IF(B11="","",ROW()-4)</f>
        <v/>
      </c>
      <c r="B11" s="22" t="n"/>
      <c r="C11" s="22" t="n"/>
      <c r="D11" s="23" t="n"/>
      <c r="E11" s="22" t="n"/>
      <c r="F11" s="22" t="n"/>
      <c r="G11" s="24" t="n"/>
      <c r="H11" s="22" t="n"/>
      <c r="I11" s="22" t="n"/>
    </row>
    <row r="12">
      <c r="A12" s="25">
        <f>IF(B12="","",ROW()-4)</f>
        <v/>
      </c>
      <c r="B12" s="25" t="n"/>
      <c r="C12" s="25" t="n"/>
      <c r="D12" s="26" t="n"/>
      <c r="E12" s="25" t="n"/>
      <c r="F12" s="25" t="n"/>
      <c r="G12" s="27" t="n"/>
      <c r="H12" s="25" t="n"/>
      <c r="I12" s="25" t="n"/>
    </row>
    <row r="13">
      <c r="A13" s="22">
        <f>IF(B13="","",ROW()-4)</f>
        <v/>
      </c>
      <c r="B13" s="22" t="n"/>
      <c r="C13" s="22" t="n"/>
      <c r="D13" s="23" t="n"/>
      <c r="E13" s="22" t="n"/>
      <c r="F13" s="22" t="n"/>
      <c r="G13" s="24" t="n"/>
      <c r="H13" s="22" t="n"/>
      <c r="I13" s="22" t="n"/>
    </row>
    <row r="14">
      <c r="A14" s="25">
        <f>IF(B14="","",ROW()-4)</f>
        <v/>
      </c>
      <c r="B14" s="25" t="n"/>
      <c r="C14" s="25" t="n"/>
      <c r="D14" s="26" t="n"/>
      <c r="E14" s="25" t="n"/>
      <c r="F14" s="25" t="n"/>
      <c r="G14" s="27" t="n"/>
      <c r="H14" s="25" t="n"/>
      <c r="I14" s="25" t="n"/>
    </row>
    <row r="15">
      <c r="A15" s="22">
        <f>IF(B15="","",ROW()-4)</f>
        <v/>
      </c>
      <c r="B15" s="22" t="n"/>
      <c r="C15" s="22" t="n"/>
      <c r="D15" s="23" t="n"/>
      <c r="E15" s="22" t="n"/>
      <c r="F15" s="22" t="n"/>
      <c r="G15" s="24" t="n"/>
      <c r="H15" s="22" t="n"/>
      <c r="I15" s="22" t="n"/>
    </row>
    <row r="16">
      <c r="A16" s="25">
        <f>IF(B16="","",ROW()-4)</f>
        <v/>
      </c>
      <c r="B16" s="25" t="n"/>
      <c r="C16" s="25" t="n"/>
      <c r="D16" s="26" t="n"/>
      <c r="E16" s="25" t="n"/>
      <c r="F16" s="25" t="n"/>
      <c r="G16" s="27" t="n"/>
      <c r="H16" s="25" t="n"/>
      <c r="I16" s="25" t="n"/>
    </row>
    <row r="17">
      <c r="A17" s="22">
        <f>IF(B17="","",ROW()-4)</f>
        <v/>
      </c>
      <c r="B17" s="22" t="n"/>
      <c r="C17" s="22" t="n"/>
      <c r="D17" s="23" t="n"/>
      <c r="E17" s="22" t="n"/>
      <c r="F17" s="22" t="n"/>
      <c r="G17" s="24" t="n"/>
      <c r="H17" s="22" t="n"/>
      <c r="I17" s="22" t="n"/>
    </row>
    <row r="18">
      <c r="A18" s="25">
        <f>IF(B18="","",ROW()-4)</f>
        <v/>
      </c>
      <c r="B18" s="25" t="n"/>
      <c r="C18" s="25" t="n"/>
      <c r="D18" s="26" t="n"/>
      <c r="E18" s="25" t="n"/>
      <c r="F18" s="25" t="n"/>
      <c r="G18" s="27" t="n"/>
      <c r="H18" s="25" t="n"/>
      <c r="I18" s="25" t="n"/>
    </row>
    <row r="19">
      <c r="A19" s="22">
        <f>IF(B19="","",ROW()-4)</f>
        <v/>
      </c>
      <c r="B19" s="22" t="n"/>
      <c r="C19" s="22" t="n"/>
      <c r="D19" s="23" t="n"/>
      <c r="E19" s="22" t="n"/>
      <c r="F19" s="22" t="n"/>
      <c r="G19" s="24" t="n"/>
      <c r="H19" s="22" t="n"/>
      <c r="I19" s="22" t="n"/>
    </row>
    <row r="20">
      <c r="A20" s="25">
        <f>IF(B20="","",ROW()-4)</f>
        <v/>
      </c>
      <c r="B20" s="25" t="n"/>
      <c r="C20" s="25" t="n"/>
      <c r="D20" s="26" t="n"/>
      <c r="E20" s="25" t="n"/>
      <c r="F20" s="25" t="n"/>
      <c r="G20" s="27" t="n"/>
      <c r="H20" s="25" t="n"/>
      <c r="I20" s="25" t="n"/>
    </row>
    <row r="21">
      <c r="A21" s="22">
        <f>IF(B21="","",ROW()-4)</f>
        <v/>
      </c>
      <c r="B21" s="22" t="n"/>
      <c r="C21" s="22" t="n"/>
      <c r="D21" s="23" t="n"/>
      <c r="E21" s="22" t="n"/>
      <c r="F21" s="22" t="n"/>
      <c r="G21" s="24" t="n"/>
      <c r="H21" s="22" t="n"/>
      <c r="I21" s="22" t="n"/>
    </row>
    <row r="22">
      <c r="A22" s="25">
        <f>IF(B22="","",ROW()-4)</f>
        <v/>
      </c>
      <c r="B22" s="25" t="n"/>
      <c r="C22" s="25" t="n"/>
      <c r="D22" s="26" t="n"/>
      <c r="E22" s="25" t="n"/>
      <c r="F22" s="25" t="n"/>
      <c r="G22" s="27" t="n"/>
      <c r="H22" s="25" t="n"/>
      <c r="I22" s="25" t="n"/>
    </row>
    <row r="23">
      <c r="A23" s="22">
        <f>IF(B23="","",ROW()-4)</f>
        <v/>
      </c>
      <c r="B23" s="22" t="n"/>
      <c r="C23" s="22" t="n"/>
      <c r="D23" s="23" t="n"/>
      <c r="E23" s="22" t="n"/>
      <c r="F23" s="22" t="n"/>
      <c r="G23" s="24" t="n"/>
      <c r="H23" s="22" t="n"/>
      <c r="I23" s="22" t="n"/>
    </row>
    <row r="24">
      <c r="A24" s="25">
        <f>IF(B24="","",ROW()-4)</f>
        <v/>
      </c>
      <c r="B24" s="25" t="n"/>
      <c r="C24" s="25" t="n"/>
      <c r="D24" s="26" t="n"/>
      <c r="E24" s="25" t="n"/>
      <c r="F24" s="25" t="n"/>
      <c r="G24" s="27" t="n"/>
      <c r="H24" s="25" t="n"/>
      <c r="I24" s="25" t="n"/>
    </row>
    <row r="25">
      <c r="A25" s="22">
        <f>IF(B25="","",ROW()-4)</f>
        <v/>
      </c>
      <c r="B25" s="22" t="n"/>
      <c r="C25" s="22" t="n"/>
      <c r="D25" s="23" t="n"/>
      <c r="E25" s="22" t="n"/>
      <c r="F25" s="22" t="n"/>
      <c r="G25" s="24" t="n"/>
      <c r="H25" s="22" t="n"/>
      <c r="I25" s="22" t="n"/>
    </row>
    <row r="26">
      <c r="A26" s="25">
        <f>IF(B26="","",ROW()-4)</f>
        <v/>
      </c>
      <c r="B26" s="25" t="n"/>
      <c r="C26" s="25" t="n"/>
      <c r="D26" s="26" t="n"/>
      <c r="E26" s="25" t="n"/>
      <c r="F26" s="25" t="n"/>
      <c r="G26" s="27" t="n"/>
      <c r="H26" s="25" t="n"/>
      <c r="I26" s="25" t="n"/>
    </row>
    <row r="27">
      <c r="A27" s="22">
        <f>IF(B27="","",ROW()-4)</f>
        <v/>
      </c>
      <c r="B27" s="22" t="n"/>
      <c r="C27" s="22" t="n"/>
      <c r="D27" s="23" t="n"/>
      <c r="E27" s="22" t="n"/>
      <c r="F27" s="22" t="n"/>
      <c r="G27" s="24" t="n"/>
      <c r="H27" s="22" t="n"/>
      <c r="I27" s="22" t="n"/>
    </row>
    <row r="28">
      <c r="A28" s="25">
        <f>IF(B28="","",ROW()-4)</f>
        <v/>
      </c>
      <c r="B28" s="25" t="n"/>
      <c r="C28" s="25" t="n"/>
      <c r="D28" s="26" t="n"/>
      <c r="E28" s="25" t="n"/>
      <c r="F28" s="25" t="n"/>
      <c r="G28" s="27" t="n"/>
      <c r="H28" s="25" t="n"/>
      <c r="I28" s="25" t="n"/>
    </row>
    <row r="29">
      <c r="A29" s="22">
        <f>IF(B29="","",ROW()-4)</f>
        <v/>
      </c>
      <c r="B29" s="22" t="n"/>
      <c r="C29" s="22" t="n"/>
      <c r="D29" s="23" t="n"/>
      <c r="E29" s="22" t="n"/>
      <c r="F29" s="22" t="n"/>
      <c r="G29" s="24" t="n"/>
      <c r="H29" s="22" t="n"/>
      <c r="I29" s="22" t="n"/>
    </row>
    <row r="30">
      <c r="A30" s="25">
        <f>IF(B30="","",ROW()-4)</f>
        <v/>
      </c>
      <c r="B30" s="25" t="n"/>
      <c r="C30" s="25" t="n"/>
      <c r="D30" s="26" t="n"/>
      <c r="E30" s="25" t="n"/>
      <c r="F30" s="25" t="n"/>
      <c r="G30" s="27" t="n"/>
      <c r="H30" s="25" t="n"/>
      <c r="I30" s="25" t="n"/>
    </row>
    <row r="31">
      <c r="A31" s="22">
        <f>IF(B31="","",ROW()-4)</f>
        <v/>
      </c>
      <c r="B31" s="22" t="n"/>
      <c r="C31" s="22" t="n"/>
      <c r="D31" s="23" t="n"/>
      <c r="E31" s="22" t="n"/>
      <c r="F31" s="22" t="n"/>
      <c r="G31" s="24" t="n"/>
      <c r="H31" s="22" t="n"/>
      <c r="I31" s="22" t="n"/>
    </row>
    <row r="32">
      <c r="A32" s="25">
        <f>IF(B32="","",ROW()-4)</f>
        <v/>
      </c>
      <c r="B32" s="25" t="n"/>
      <c r="C32" s="25" t="n"/>
      <c r="D32" s="26" t="n"/>
      <c r="E32" s="25" t="n"/>
      <c r="F32" s="25" t="n"/>
      <c r="G32" s="27" t="n"/>
      <c r="H32" s="25" t="n"/>
      <c r="I32" s="25" t="n"/>
    </row>
    <row r="33">
      <c r="A33" s="22">
        <f>IF(B33="","",ROW()-4)</f>
        <v/>
      </c>
      <c r="B33" s="22" t="n"/>
      <c r="C33" s="22" t="n"/>
      <c r="D33" s="23" t="n"/>
      <c r="E33" s="22" t="n"/>
      <c r="F33" s="22" t="n"/>
      <c r="G33" s="24" t="n"/>
      <c r="H33" s="22" t="n"/>
      <c r="I33" s="22" t="n"/>
    </row>
    <row r="34">
      <c r="A34" s="25">
        <f>IF(B34="","",ROW()-4)</f>
        <v/>
      </c>
      <c r="B34" s="25" t="n"/>
      <c r="C34" s="25" t="n"/>
      <c r="D34" s="26" t="n"/>
      <c r="E34" s="25" t="n"/>
      <c r="F34" s="25" t="n"/>
      <c r="G34" s="27" t="n"/>
      <c r="H34" s="25" t="n"/>
      <c r="I34" s="25" t="n"/>
    </row>
  </sheetData>
  <autoFilter ref="A4:I34"/>
  <mergeCells count="2">
    <mergeCell ref="A1:I1"/>
    <mergeCell ref="A2:I2"/>
  </mergeCells>
  <conditionalFormatting sqref="C5:C34">
    <cfRule type="expression" priority="1" dxfId="0">
      <formula>AND($B5&lt;&gt;"",$C5="")</formula>
    </cfRule>
  </conditionalFormatting>
  <dataValidations count="1">
    <dataValidation sqref="C5:C34" showDropDown="0" showInputMessage="0" showErrorMessage="0" allowBlank="1" type="list">
      <formula1>Lists!$C$1:$C$3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48" customWidth="1" min="4" max="4"/>
  </cols>
  <sheetData>
    <row r="1" ht="26" customHeight="1">
      <c r="A1" s="7" t="inlineStr">
        <is>
          <t>Dedup</t>
        </is>
      </c>
    </row>
    <row r="2" ht="28" customHeight="1">
      <c r="A2" s="8" t="inlineStr">
        <is>
          <t>Deduplication between search and screening: auto totals in, your removals once, records-to-screen out — with a consistency check.</t>
        </is>
      </c>
    </row>
    <row r="4" ht="22" customHeight="1">
      <c r="B4" s="9" t="inlineStr">
        <is>
          <t>BEFORE SCREENING</t>
        </is>
      </c>
    </row>
    <row r="5" ht="22" customHeight="1">
      <c r="B5" s="17" t="inlineStr">
        <is>
          <t>Records from databases &amp; registers (auto)</t>
        </is>
      </c>
      <c r="C5" s="28">
        <f>IF(COUNTA('Search Log'!B5:B34)=0,"—",SUMIF('Search Log'!C5:C34,"Database",'Search Log'!G5:G34)+SUMIF('Search Log'!C5:C34,"Register",'Search Log'!G5:G34))</f>
        <v/>
      </c>
      <c r="D5" s="19" t="inlineStr">
        <is>
          <t>computed from Search Log — grey cell, don't type</t>
        </is>
      </c>
    </row>
    <row r="6" ht="22" customHeight="1">
      <c r="B6" s="17" t="inlineStr">
        <is>
          <t>Records from other sources (auto)</t>
        </is>
      </c>
      <c r="C6" s="28">
        <f>IF(COUNTA('Search Log'!B5:B34)=0,"—",SUMIF('Search Log'!C5:C34,"Other source",'Search Log'!G5:G34))</f>
        <v/>
      </c>
    </row>
    <row r="8" ht="22" customHeight="1">
      <c r="B8" s="17" t="inlineStr">
        <is>
          <t>Duplicates removed</t>
        </is>
      </c>
      <c r="C8" s="29" t="n"/>
      <c r="D8" s="19" t="inlineStr">
        <is>
          <t>your tool: Zotero / EndNote / Rayyan / Covidence / by hand</t>
        </is>
      </c>
    </row>
    <row r="9" ht="22" customHeight="1">
      <c r="B9" s="17" t="inlineStr">
        <is>
          <t>Records removed by automation tools</t>
        </is>
      </c>
      <c r="C9" s="29" t="n"/>
    </row>
    <row r="10" ht="22" customHeight="1">
      <c r="B10" s="17" t="inlineStr">
        <is>
          <t>Records removed for other reasons</t>
        </is>
      </c>
      <c r="C10" s="29" t="n"/>
    </row>
    <row r="12" ht="22" customHeight="1">
      <c r="B12" s="30" t="inlineStr">
        <is>
          <t>Records to screen (auto)</t>
        </is>
      </c>
      <c r="C12" s="28">
        <f>IF(C5="—","—",C5-SUM(C8:C10))</f>
        <v/>
      </c>
    </row>
    <row r="14" ht="22" customHeight="1">
      <c r="B14" s="17" t="inlineStr">
        <is>
          <t>Rows entered in T/A Screening (auto)</t>
        </is>
      </c>
      <c r="C14" s="28">
        <f>COUNTA('TA Screening'!D5:D504)</f>
        <v/>
      </c>
    </row>
    <row r="15" ht="22" customHeight="1">
      <c r="B15" s="17" t="inlineStr">
        <is>
          <t>Consistency check</t>
        </is>
      </c>
      <c r="C15" s="28">
        <f>IF(OR(C12="—",C14=0),"—",IF(C12=C14,"✓ match","⚠ differs — check for missing rows or double imports"))</f>
        <v/>
      </c>
    </row>
  </sheetData>
  <mergeCells count="2">
    <mergeCell ref="A1:D1"/>
    <mergeCell ref="A2:D2"/>
  </mergeCells>
  <conditionalFormatting sqref="C15">
    <cfRule type="expression" priority="1" dxfId="1">
      <formula>ISNUMBER(SEARCH("⚠",C15))</formula>
    </cfRule>
    <cfRule type="expression" priority="2" dxfId="2">
      <formula>ISNUMBER(SEARCH("✓",C15))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8" customWidth="1" min="4" max="4"/>
    <col width="22" customWidth="1" min="5" max="5"/>
    <col width="14" customWidth="1" min="6" max="6"/>
    <col width="26" customWidth="1" min="7" max="7"/>
    <col width="14" customWidth="1" min="8" max="8"/>
    <col width="11" customWidth="1" min="9" max="9"/>
    <col width="30" customWidth="1" min="10" max="10"/>
  </cols>
  <sheetData>
    <row r="1" ht="26" customHeight="1">
      <c r="A1" s="7" t="inlineStr">
        <is>
          <t>TA Screening</t>
        </is>
      </c>
    </row>
    <row r="2" ht="28" customHeight="1">
      <c r="A2" s="8" t="inlineStr">
        <is>
          <t>One row per record after dedup. The Decision column IS your PRISMA count — rows 5–504. Records from citation searching, websites or experts skip T/A screening — enter them directly in Full-Text with Arm = Other source.</t>
        </is>
      </c>
    </row>
    <row r="4" ht="30" customHeight="1">
      <c r="A4" s="21" t="inlineStr">
        <is>
          <t>#</t>
        </is>
      </c>
      <c r="B4" s="21" t="inlineStr">
        <is>
          <t>Record ID</t>
        </is>
      </c>
      <c r="C4" s="21" t="inlineStr">
        <is>
          <t>Author (Year)</t>
        </is>
      </c>
      <c r="D4" s="21" t="inlineStr">
        <is>
          <t>Title</t>
        </is>
      </c>
      <c r="E4" s="21" t="inlineStr">
        <is>
          <t>Source / Journal</t>
        </is>
      </c>
      <c r="F4" s="21" t="inlineStr">
        <is>
          <t>Decision (final)</t>
        </is>
      </c>
      <c r="G4" s="21" t="inlineStr">
        <is>
          <t>Exclusion reason</t>
        </is>
      </c>
      <c r="H4" s="21" t="inlineStr">
        <is>
          <t>Reviewer 2 (optional)</t>
        </is>
      </c>
      <c r="I4" s="21" t="inlineStr">
        <is>
          <t>Conflict</t>
        </is>
      </c>
      <c r="J4" s="21" t="inlineStr">
        <is>
          <t>Notes</t>
        </is>
      </c>
    </row>
    <row r="5">
      <c r="A5" s="22">
        <f>IF(D5="","",ROW()-4)</f>
        <v/>
      </c>
      <c r="B5" s="22" t="n"/>
      <c r="C5" s="22" t="n"/>
      <c r="D5" s="22" t="n"/>
      <c r="E5" s="22" t="n"/>
      <c r="F5" s="22" t="n"/>
      <c r="G5" s="22" t="n"/>
      <c r="H5" s="22" t="n"/>
      <c r="I5" s="22">
        <f>IF(OR(F5="",H5=""),"",IF(F5=H5,"","⚠ resolve"))</f>
        <v/>
      </c>
      <c r="J5" s="22" t="n"/>
    </row>
    <row r="6">
      <c r="A6" s="25">
        <f>IF(D6="","",ROW()-4)</f>
        <v/>
      </c>
      <c r="B6" s="25" t="n"/>
      <c r="C6" s="25" t="n"/>
      <c r="D6" s="25" t="n"/>
      <c r="E6" s="25" t="n"/>
      <c r="F6" s="25" t="n"/>
      <c r="G6" s="25" t="n"/>
      <c r="H6" s="25" t="n"/>
      <c r="I6" s="25">
        <f>IF(OR(F6="",H6=""),"",IF(F6=H6,"","⚠ resolve"))</f>
        <v/>
      </c>
      <c r="J6" s="25" t="n"/>
    </row>
    <row r="7">
      <c r="A7" s="22">
        <f>IF(D7="","",ROW()-4)</f>
        <v/>
      </c>
      <c r="B7" s="22" t="n"/>
      <c r="C7" s="22" t="n"/>
      <c r="D7" s="22" t="n"/>
      <c r="E7" s="22" t="n"/>
      <c r="F7" s="22" t="n"/>
      <c r="G7" s="22" t="n"/>
      <c r="H7" s="22" t="n"/>
      <c r="I7" s="22">
        <f>IF(OR(F7="",H7=""),"",IF(F7=H7,"","⚠ resolve"))</f>
        <v/>
      </c>
      <c r="J7" s="22" t="n"/>
    </row>
    <row r="8">
      <c r="A8" s="25">
        <f>IF(D8="","",ROW()-4)</f>
        <v/>
      </c>
      <c r="B8" s="25" t="n"/>
      <c r="C8" s="25" t="n"/>
      <c r="D8" s="25" t="n"/>
      <c r="E8" s="25" t="n"/>
      <c r="F8" s="25" t="n"/>
      <c r="G8" s="25" t="n"/>
      <c r="H8" s="25" t="n"/>
      <c r="I8" s="25">
        <f>IF(OR(F8="",H8=""),"",IF(F8=H8,"","⚠ resolve"))</f>
        <v/>
      </c>
      <c r="J8" s="25" t="n"/>
    </row>
    <row r="9">
      <c r="A9" s="22">
        <f>IF(D9="","",ROW()-4)</f>
        <v/>
      </c>
      <c r="B9" s="22" t="n"/>
      <c r="C9" s="22" t="n"/>
      <c r="D9" s="22" t="n"/>
      <c r="E9" s="22" t="n"/>
      <c r="F9" s="22" t="n"/>
      <c r="G9" s="22" t="n"/>
      <c r="H9" s="22" t="n"/>
      <c r="I9" s="22">
        <f>IF(OR(F9="",H9=""),"",IF(F9=H9,"","⚠ resolve"))</f>
        <v/>
      </c>
      <c r="J9" s="22" t="n"/>
    </row>
    <row r="10">
      <c r="A10" s="25">
        <f>IF(D10="","",ROW()-4)</f>
        <v/>
      </c>
      <c r="B10" s="25" t="n"/>
      <c r="C10" s="25" t="n"/>
      <c r="D10" s="25" t="n"/>
      <c r="E10" s="25" t="n"/>
      <c r="F10" s="25" t="n"/>
      <c r="G10" s="25" t="n"/>
      <c r="H10" s="25" t="n"/>
      <c r="I10" s="25">
        <f>IF(OR(F10="",H10=""),"",IF(F10=H10,"","⚠ resolve"))</f>
        <v/>
      </c>
      <c r="J10" s="25" t="n"/>
    </row>
    <row r="11">
      <c r="A11" s="22">
        <f>IF(D11="","",ROW()-4)</f>
        <v/>
      </c>
      <c r="B11" s="22" t="n"/>
      <c r="C11" s="22" t="n"/>
      <c r="D11" s="22" t="n"/>
      <c r="E11" s="22" t="n"/>
      <c r="F11" s="22" t="n"/>
      <c r="G11" s="22" t="n"/>
      <c r="H11" s="22" t="n"/>
      <c r="I11" s="22">
        <f>IF(OR(F11="",H11=""),"",IF(F11=H11,"","⚠ resolve"))</f>
        <v/>
      </c>
      <c r="J11" s="22" t="n"/>
    </row>
    <row r="12">
      <c r="A12" s="25">
        <f>IF(D12="","",ROW()-4)</f>
        <v/>
      </c>
      <c r="B12" s="25" t="n"/>
      <c r="C12" s="25" t="n"/>
      <c r="D12" s="25" t="n"/>
      <c r="E12" s="25" t="n"/>
      <c r="F12" s="25" t="n"/>
      <c r="G12" s="25" t="n"/>
      <c r="H12" s="25" t="n"/>
      <c r="I12" s="25">
        <f>IF(OR(F12="",H12=""),"",IF(F12=H12,"","⚠ resolve"))</f>
        <v/>
      </c>
      <c r="J12" s="25" t="n"/>
    </row>
    <row r="13">
      <c r="A13" s="22">
        <f>IF(D13="","",ROW()-4)</f>
        <v/>
      </c>
      <c r="B13" s="22" t="n"/>
      <c r="C13" s="22" t="n"/>
      <c r="D13" s="22" t="n"/>
      <c r="E13" s="22" t="n"/>
      <c r="F13" s="22" t="n"/>
      <c r="G13" s="22" t="n"/>
      <c r="H13" s="22" t="n"/>
      <c r="I13" s="22">
        <f>IF(OR(F13="",H13=""),"",IF(F13=H13,"","⚠ resolve"))</f>
        <v/>
      </c>
      <c r="J13" s="22" t="n"/>
    </row>
    <row r="14">
      <c r="A14" s="25">
        <f>IF(D14="","",ROW()-4)</f>
        <v/>
      </c>
      <c r="B14" s="25" t="n"/>
      <c r="C14" s="25" t="n"/>
      <c r="D14" s="25" t="n"/>
      <c r="E14" s="25" t="n"/>
      <c r="F14" s="25" t="n"/>
      <c r="G14" s="25" t="n"/>
      <c r="H14" s="25" t="n"/>
      <c r="I14" s="25">
        <f>IF(OR(F14="",H14=""),"",IF(F14=H14,"","⚠ resolve"))</f>
        <v/>
      </c>
      <c r="J14" s="25" t="n"/>
    </row>
    <row r="15">
      <c r="A15" s="22">
        <f>IF(D15="","",ROW()-4)</f>
        <v/>
      </c>
      <c r="B15" s="22" t="n"/>
      <c r="C15" s="22" t="n"/>
      <c r="D15" s="22" t="n"/>
      <c r="E15" s="22" t="n"/>
      <c r="F15" s="22" t="n"/>
      <c r="G15" s="22" t="n"/>
      <c r="H15" s="22" t="n"/>
      <c r="I15" s="22">
        <f>IF(OR(F15="",H15=""),"",IF(F15=H15,"","⚠ resolve"))</f>
        <v/>
      </c>
      <c r="J15" s="22" t="n"/>
    </row>
    <row r="16">
      <c r="A16" s="25">
        <f>IF(D16="","",ROW()-4)</f>
        <v/>
      </c>
      <c r="B16" s="25" t="n"/>
      <c r="C16" s="25" t="n"/>
      <c r="D16" s="25" t="n"/>
      <c r="E16" s="25" t="n"/>
      <c r="F16" s="25" t="n"/>
      <c r="G16" s="25" t="n"/>
      <c r="H16" s="25" t="n"/>
      <c r="I16" s="25">
        <f>IF(OR(F16="",H16=""),"",IF(F16=H16,"","⚠ resolve"))</f>
        <v/>
      </c>
      <c r="J16" s="25" t="n"/>
    </row>
    <row r="17">
      <c r="A17" s="22">
        <f>IF(D17="","",ROW()-4)</f>
        <v/>
      </c>
      <c r="B17" s="22" t="n"/>
      <c r="C17" s="22" t="n"/>
      <c r="D17" s="22" t="n"/>
      <c r="E17" s="22" t="n"/>
      <c r="F17" s="22" t="n"/>
      <c r="G17" s="22" t="n"/>
      <c r="H17" s="22" t="n"/>
      <c r="I17" s="22">
        <f>IF(OR(F17="",H17=""),"",IF(F17=H17,"","⚠ resolve"))</f>
        <v/>
      </c>
      <c r="J17" s="22" t="n"/>
    </row>
    <row r="18">
      <c r="A18" s="25">
        <f>IF(D18="","",ROW()-4)</f>
        <v/>
      </c>
      <c r="B18" s="25" t="n"/>
      <c r="C18" s="25" t="n"/>
      <c r="D18" s="25" t="n"/>
      <c r="E18" s="25" t="n"/>
      <c r="F18" s="25" t="n"/>
      <c r="G18" s="25" t="n"/>
      <c r="H18" s="25" t="n"/>
      <c r="I18" s="25">
        <f>IF(OR(F18="",H18=""),"",IF(F18=H18,"","⚠ resolve"))</f>
        <v/>
      </c>
      <c r="J18" s="25" t="n"/>
    </row>
    <row r="19">
      <c r="A19" s="22">
        <f>IF(D19="","",ROW()-4)</f>
        <v/>
      </c>
      <c r="B19" s="22" t="n"/>
      <c r="C19" s="22" t="n"/>
      <c r="D19" s="22" t="n"/>
      <c r="E19" s="22" t="n"/>
      <c r="F19" s="22" t="n"/>
      <c r="G19" s="22" t="n"/>
      <c r="H19" s="22" t="n"/>
      <c r="I19" s="22">
        <f>IF(OR(F19="",H19=""),"",IF(F19=H19,"","⚠ resolve"))</f>
        <v/>
      </c>
      <c r="J19" s="22" t="n"/>
    </row>
    <row r="20">
      <c r="A20" s="25">
        <f>IF(D20="","",ROW()-4)</f>
        <v/>
      </c>
      <c r="B20" s="25" t="n"/>
      <c r="C20" s="25" t="n"/>
      <c r="D20" s="25" t="n"/>
      <c r="E20" s="25" t="n"/>
      <c r="F20" s="25" t="n"/>
      <c r="G20" s="25" t="n"/>
      <c r="H20" s="25" t="n"/>
      <c r="I20" s="25">
        <f>IF(OR(F20="",H20=""),"",IF(F20=H20,"","⚠ resolve"))</f>
        <v/>
      </c>
      <c r="J20" s="25" t="n"/>
    </row>
    <row r="21">
      <c r="A21" s="22">
        <f>IF(D21="","",ROW()-4)</f>
        <v/>
      </c>
      <c r="B21" s="22" t="n"/>
      <c r="C21" s="22" t="n"/>
      <c r="D21" s="22" t="n"/>
      <c r="E21" s="22" t="n"/>
      <c r="F21" s="22" t="n"/>
      <c r="G21" s="22" t="n"/>
      <c r="H21" s="22" t="n"/>
      <c r="I21" s="22">
        <f>IF(OR(F21="",H21=""),"",IF(F21=H21,"","⚠ resolve"))</f>
        <v/>
      </c>
      <c r="J21" s="22" t="n"/>
    </row>
    <row r="22">
      <c r="A22" s="25">
        <f>IF(D22="","",ROW()-4)</f>
        <v/>
      </c>
      <c r="B22" s="25" t="n"/>
      <c r="C22" s="25" t="n"/>
      <c r="D22" s="25" t="n"/>
      <c r="E22" s="25" t="n"/>
      <c r="F22" s="25" t="n"/>
      <c r="G22" s="25" t="n"/>
      <c r="H22" s="25" t="n"/>
      <c r="I22" s="25">
        <f>IF(OR(F22="",H22=""),"",IF(F22=H22,"","⚠ resolve"))</f>
        <v/>
      </c>
      <c r="J22" s="25" t="n"/>
    </row>
    <row r="23">
      <c r="A23" s="22">
        <f>IF(D23="","",ROW()-4)</f>
        <v/>
      </c>
      <c r="B23" s="22" t="n"/>
      <c r="C23" s="22" t="n"/>
      <c r="D23" s="22" t="n"/>
      <c r="E23" s="22" t="n"/>
      <c r="F23" s="22" t="n"/>
      <c r="G23" s="22" t="n"/>
      <c r="H23" s="22" t="n"/>
      <c r="I23" s="22">
        <f>IF(OR(F23="",H23=""),"",IF(F23=H23,"","⚠ resolve"))</f>
        <v/>
      </c>
      <c r="J23" s="22" t="n"/>
    </row>
    <row r="24">
      <c r="A24" s="25">
        <f>IF(D24="","",ROW()-4)</f>
        <v/>
      </c>
      <c r="B24" s="25" t="n"/>
      <c r="C24" s="25" t="n"/>
      <c r="D24" s="25" t="n"/>
      <c r="E24" s="25" t="n"/>
      <c r="F24" s="25" t="n"/>
      <c r="G24" s="25" t="n"/>
      <c r="H24" s="25" t="n"/>
      <c r="I24" s="25">
        <f>IF(OR(F24="",H24=""),"",IF(F24=H24,"","⚠ resolve"))</f>
        <v/>
      </c>
      <c r="J24" s="25" t="n"/>
    </row>
    <row r="25">
      <c r="A25" s="22">
        <f>IF(D25="","",ROW()-4)</f>
        <v/>
      </c>
      <c r="B25" s="22" t="n"/>
      <c r="C25" s="22" t="n"/>
      <c r="D25" s="22" t="n"/>
      <c r="E25" s="22" t="n"/>
      <c r="F25" s="22" t="n"/>
      <c r="G25" s="22" t="n"/>
      <c r="H25" s="22" t="n"/>
      <c r="I25" s="22">
        <f>IF(OR(F25="",H25=""),"",IF(F25=H25,"","⚠ resolve"))</f>
        <v/>
      </c>
      <c r="J25" s="22" t="n"/>
    </row>
    <row r="26">
      <c r="A26" s="25">
        <f>IF(D26="","",ROW()-4)</f>
        <v/>
      </c>
      <c r="B26" s="25" t="n"/>
      <c r="C26" s="25" t="n"/>
      <c r="D26" s="25" t="n"/>
      <c r="E26" s="25" t="n"/>
      <c r="F26" s="25" t="n"/>
      <c r="G26" s="25" t="n"/>
      <c r="H26" s="25" t="n"/>
      <c r="I26" s="25">
        <f>IF(OR(F26="",H26=""),"",IF(F26=H26,"","⚠ resolve"))</f>
        <v/>
      </c>
      <c r="J26" s="25" t="n"/>
    </row>
    <row r="27">
      <c r="A27" s="22">
        <f>IF(D27="","",ROW()-4)</f>
        <v/>
      </c>
      <c r="B27" s="22" t="n"/>
      <c r="C27" s="22" t="n"/>
      <c r="D27" s="22" t="n"/>
      <c r="E27" s="22" t="n"/>
      <c r="F27" s="22" t="n"/>
      <c r="G27" s="22" t="n"/>
      <c r="H27" s="22" t="n"/>
      <c r="I27" s="22">
        <f>IF(OR(F27="",H27=""),"",IF(F27=H27,"","⚠ resolve"))</f>
        <v/>
      </c>
      <c r="J27" s="22" t="n"/>
    </row>
    <row r="28">
      <c r="A28" s="25">
        <f>IF(D28="","",ROW()-4)</f>
        <v/>
      </c>
      <c r="B28" s="25" t="n"/>
      <c r="C28" s="25" t="n"/>
      <c r="D28" s="25" t="n"/>
      <c r="E28" s="25" t="n"/>
      <c r="F28" s="25" t="n"/>
      <c r="G28" s="25" t="n"/>
      <c r="H28" s="25" t="n"/>
      <c r="I28" s="25">
        <f>IF(OR(F28="",H28=""),"",IF(F28=H28,"","⚠ resolve"))</f>
        <v/>
      </c>
      <c r="J28" s="25" t="n"/>
    </row>
    <row r="29">
      <c r="A29" s="22">
        <f>IF(D29="","",ROW()-4)</f>
        <v/>
      </c>
      <c r="B29" s="22" t="n"/>
      <c r="C29" s="22" t="n"/>
      <c r="D29" s="22" t="n"/>
      <c r="E29" s="22" t="n"/>
      <c r="F29" s="22" t="n"/>
      <c r="G29" s="22" t="n"/>
      <c r="H29" s="22" t="n"/>
      <c r="I29" s="22">
        <f>IF(OR(F29="",H29=""),"",IF(F29=H29,"","⚠ resolve"))</f>
        <v/>
      </c>
      <c r="J29" s="22" t="n"/>
    </row>
    <row r="30">
      <c r="A30" s="25">
        <f>IF(D30="","",ROW()-4)</f>
        <v/>
      </c>
      <c r="B30" s="25" t="n"/>
      <c r="C30" s="25" t="n"/>
      <c r="D30" s="25" t="n"/>
      <c r="E30" s="25" t="n"/>
      <c r="F30" s="25" t="n"/>
      <c r="G30" s="25" t="n"/>
      <c r="H30" s="25" t="n"/>
      <c r="I30" s="25">
        <f>IF(OR(F30="",H30=""),"",IF(F30=H30,"","⚠ resolve"))</f>
        <v/>
      </c>
      <c r="J30" s="25" t="n"/>
    </row>
    <row r="31">
      <c r="A31" s="22">
        <f>IF(D31="","",ROW()-4)</f>
        <v/>
      </c>
      <c r="B31" s="22" t="n"/>
      <c r="C31" s="22" t="n"/>
      <c r="D31" s="22" t="n"/>
      <c r="E31" s="22" t="n"/>
      <c r="F31" s="22" t="n"/>
      <c r="G31" s="22" t="n"/>
      <c r="H31" s="22" t="n"/>
      <c r="I31" s="22">
        <f>IF(OR(F31="",H31=""),"",IF(F31=H31,"","⚠ resolve"))</f>
        <v/>
      </c>
      <c r="J31" s="22" t="n"/>
    </row>
    <row r="32">
      <c r="A32" s="25">
        <f>IF(D32="","",ROW()-4)</f>
        <v/>
      </c>
      <c r="B32" s="25" t="n"/>
      <c r="C32" s="25" t="n"/>
      <c r="D32" s="25" t="n"/>
      <c r="E32" s="25" t="n"/>
      <c r="F32" s="25" t="n"/>
      <c r="G32" s="25" t="n"/>
      <c r="H32" s="25" t="n"/>
      <c r="I32" s="25">
        <f>IF(OR(F32="",H32=""),"",IF(F32=H32,"","⚠ resolve"))</f>
        <v/>
      </c>
      <c r="J32" s="25" t="n"/>
    </row>
    <row r="33">
      <c r="A33" s="22">
        <f>IF(D33="","",ROW()-4)</f>
        <v/>
      </c>
      <c r="B33" s="22" t="n"/>
      <c r="C33" s="22" t="n"/>
      <c r="D33" s="22" t="n"/>
      <c r="E33" s="22" t="n"/>
      <c r="F33" s="22" t="n"/>
      <c r="G33" s="22" t="n"/>
      <c r="H33" s="22" t="n"/>
      <c r="I33" s="22">
        <f>IF(OR(F33="",H33=""),"",IF(F33=H33,"","⚠ resolve"))</f>
        <v/>
      </c>
      <c r="J33" s="22" t="n"/>
    </row>
    <row r="34">
      <c r="A34" s="25">
        <f>IF(D34="","",ROW()-4)</f>
        <v/>
      </c>
      <c r="B34" s="25" t="n"/>
      <c r="C34" s="25" t="n"/>
      <c r="D34" s="25" t="n"/>
      <c r="E34" s="25" t="n"/>
      <c r="F34" s="25" t="n"/>
      <c r="G34" s="25" t="n"/>
      <c r="H34" s="25" t="n"/>
      <c r="I34" s="25">
        <f>IF(OR(F34="",H34=""),"",IF(F34=H34,"","⚠ resolve"))</f>
        <v/>
      </c>
      <c r="J34" s="25" t="n"/>
    </row>
    <row r="35">
      <c r="A35" s="22">
        <f>IF(D35="","",ROW()-4)</f>
        <v/>
      </c>
      <c r="B35" s="22" t="n"/>
      <c r="C35" s="22" t="n"/>
      <c r="D35" s="22" t="n"/>
      <c r="E35" s="22" t="n"/>
      <c r="F35" s="22" t="n"/>
      <c r="G35" s="22" t="n"/>
      <c r="H35" s="22" t="n"/>
      <c r="I35" s="22">
        <f>IF(OR(F35="",H35=""),"",IF(F35=H35,"","⚠ resolve"))</f>
        <v/>
      </c>
      <c r="J35" s="22" t="n"/>
    </row>
    <row r="36">
      <c r="A36" s="25">
        <f>IF(D36="","",ROW()-4)</f>
        <v/>
      </c>
      <c r="B36" s="25" t="n"/>
      <c r="C36" s="25" t="n"/>
      <c r="D36" s="25" t="n"/>
      <c r="E36" s="25" t="n"/>
      <c r="F36" s="25" t="n"/>
      <c r="G36" s="25" t="n"/>
      <c r="H36" s="25" t="n"/>
      <c r="I36" s="25">
        <f>IF(OR(F36="",H36=""),"",IF(F36=H36,"","⚠ resolve"))</f>
        <v/>
      </c>
      <c r="J36" s="25" t="n"/>
    </row>
    <row r="37">
      <c r="A37" s="22">
        <f>IF(D37="","",ROW()-4)</f>
        <v/>
      </c>
      <c r="B37" s="22" t="n"/>
      <c r="C37" s="22" t="n"/>
      <c r="D37" s="22" t="n"/>
      <c r="E37" s="22" t="n"/>
      <c r="F37" s="22" t="n"/>
      <c r="G37" s="22" t="n"/>
      <c r="H37" s="22" t="n"/>
      <c r="I37" s="22">
        <f>IF(OR(F37="",H37=""),"",IF(F37=H37,"","⚠ resolve"))</f>
        <v/>
      </c>
      <c r="J37" s="22" t="n"/>
    </row>
    <row r="38">
      <c r="A38" s="25">
        <f>IF(D38="","",ROW()-4)</f>
        <v/>
      </c>
      <c r="B38" s="25" t="n"/>
      <c r="C38" s="25" t="n"/>
      <c r="D38" s="25" t="n"/>
      <c r="E38" s="25" t="n"/>
      <c r="F38" s="25" t="n"/>
      <c r="G38" s="25" t="n"/>
      <c r="H38" s="25" t="n"/>
      <c r="I38" s="25">
        <f>IF(OR(F38="",H38=""),"",IF(F38=H38,"","⚠ resolve"))</f>
        <v/>
      </c>
      <c r="J38" s="25" t="n"/>
    </row>
    <row r="39">
      <c r="A39" s="22">
        <f>IF(D39="","",ROW()-4)</f>
        <v/>
      </c>
      <c r="B39" s="22" t="n"/>
      <c r="C39" s="22" t="n"/>
      <c r="D39" s="22" t="n"/>
      <c r="E39" s="22" t="n"/>
      <c r="F39" s="22" t="n"/>
      <c r="G39" s="22" t="n"/>
      <c r="H39" s="22" t="n"/>
      <c r="I39" s="22">
        <f>IF(OR(F39="",H39=""),"",IF(F39=H39,"","⚠ resolve"))</f>
        <v/>
      </c>
      <c r="J39" s="22" t="n"/>
    </row>
    <row r="40">
      <c r="A40" s="25">
        <f>IF(D40="","",ROW()-4)</f>
        <v/>
      </c>
      <c r="B40" s="25" t="n"/>
      <c r="C40" s="25" t="n"/>
      <c r="D40" s="25" t="n"/>
      <c r="E40" s="25" t="n"/>
      <c r="F40" s="25" t="n"/>
      <c r="G40" s="25" t="n"/>
      <c r="H40" s="25" t="n"/>
      <c r="I40" s="25">
        <f>IF(OR(F40="",H40=""),"",IF(F40=H40,"","⚠ resolve"))</f>
        <v/>
      </c>
      <c r="J40" s="25" t="n"/>
    </row>
    <row r="41">
      <c r="A41" s="22">
        <f>IF(D41="","",ROW()-4)</f>
        <v/>
      </c>
      <c r="B41" s="22" t="n"/>
      <c r="C41" s="22" t="n"/>
      <c r="D41" s="22" t="n"/>
      <c r="E41" s="22" t="n"/>
      <c r="F41" s="22" t="n"/>
      <c r="G41" s="22" t="n"/>
      <c r="H41" s="22" t="n"/>
      <c r="I41" s="22">
        <f>IF(OR(F41="",H41=""),"",IF(F41=H41,"","⚠ resolve"))</f>
        <v/>
      </c>
      <c r="J41" s="22" t="n"/>
    </row>
    <row r="42">
      <c r="A42" s="25">
        <f>IF(D42="","",ROW()-4)</f>
        <v/>
      </c>
      <c r="B42" s="25" t="n"/>
      <c r="C42" s="25" t="n"/>
      <c r="D42" s="25" t="n"/>
      <c r="E42" s="25" t="n"/>
      <c r="F42" s="25" t="n"/>
      <c r="G42" s="25" t="n"/>
      <c r="H42" s="25" t="n"/>
      <c r="I42" s="25">
        <f>IF(OR(F42="",H42=""),"",IF(F42=H42,"","⚠ resolve"))</f>
        <v/>
      </c>
      <c r="J42" s="25" t="n"/>
    </row>
    <row r="43">
      <c r="A43" s="22">
        <f>IF(D43="","",ROW()-4)</f>
        <v/>
      </c>
      <c r="B43" s="22" t="n"/>
      <c r="C43" s="22" t="n"/>
      <c r="D43" s="22" t="n"/>
      <c r="E43" s="22" t="n"/>
      <c r="F43" s="22" t="n"/>
      <c r="G43" s="22" t="n"/>
      <c r="H43" s="22" t="n"/>
      <c r="I43" s="22">
        <f>IF(OR(F43="",H43=""),"",IF(F43=H43,"","⚠ resolve"))</f>
        <v/>
      </c>
      <c r="J43" s="22" t="n"/>
    </row>
    <row r="44">
      <c r="A44" s="25">
        <f>IF(D44="","",ROW()-4)</f>
        <v/>
      </c>
      <c r="B44" s="25" t="n"/>
      <c r="C44" s="25" t="n"/>
      <c r="D44" s="25" t="n"/>
      <c r="E44" s="25" t="n"/>
      <c r="F44" s="25" t="n"/>
      <c r="G44" s="25" t="n"/>
      <c r="H44" s="25" t="n"/>
      <c r="I44" s="25">
        <f>IF(OR(F44="",H44=""),"",IF(F44=H44,"","⚠ resolve"))</f>
        <v/>
      </c>
      <c r="J44" s="25" t="n"/>
    </row>
    <row r="45">
      <c r="A45" s="22">
        <f>IF(D45="","",ROW()-4)</f>
        <v/>
      </c>
      <c r="B45" s="22" t="n"/>
      <c r="C45" s="22" t="n"/>
      <c r="D45" s="22" t="n"/>
      <c r="E45" s="22" t="n"/>
      <c r="F45" s="22" t="n"/>
      <c r="G45" s="22" t="n"/>
      <c r="H45" s="22" t="n"/>
      <c r="I45" s="22">
        <f>IF(OR(F45="",H45=""),"",IF(F45=H45,"","⚠ resolve"))</f>
        <v/>
      </c>
      <c r="J45" s="22" t="n"/>
    </row>
    <row r="46">
      <c r="A46" s="25">
        <f>IF(D46="","",ROW()-4)</f>
        <v/>
      </c>
      <c r="B46" s="25" t="n"/>
      <c r="C46" s="25" t="n"/>
      <c r="D46" s="25" t="n"/>
      <c r="E46" s="25" t="n"/>
      <c r="F46" s="25" t="n"/>
      <c r="G46" s="25" t="n"/>
      <c r="H46" s="25" t="n"/>
      <c r="I46" s="25">
        <f>IF(OR(F46="",H46=""),"",IF(F46=H46,"","⚠ resolve"))</f>
        <v/>
      </c>
      <c r="J46" s="25" t="n"/>
    </row>
    <row r="47">
      <c r="A47" s="22">
        <f>IF(D47="","",ROW()-4)</f>
        <v/>
      </c>
      <c r="B47" s="22" t="n"/>
      <c r="C47" s="22" t="n"/>
      <c r="D47" s="22" t="n"/>
      <c r="E47" s="22" t="n"/>
      <c r="F47" s="22" t="n"/>
      <c r="G47" s="22" t="n"/>
      <c r="H47" s="22" t="n"/>
      <c r="I47" s="22">
        <f>IF(OR(F47="",H47=""),"",IF(F47=H47,"","⚠ resolve"))</f>
        <v/>
      </c>
      <c r="J47" s="22" t="n"/>
    </row>
    <row r="48">
      <c r="A48" s="25">
        <f>IF(D48="","",ROW()-4)</f>
        <v/>
      </c>
      <c r="B48" s="25" t="n"/>
      <c r="C48" s="25" t="n"/>
      <c r="D48" s="25" t="n"/>
      <c r="E48" s="25" t="n"/>
      <c r="F48" s="25" t="n"/>
      <c r="G48" s="25" t="n"/>
      <c r="H48" s="25" t="n"/>
      <c r="I48" s="25">
        <f>IF(OR(F48="",H48=""),"",IF(F48=H48,"","⚠ resolve"))</f>
        <v/>
      </c>
      <c r="J48" s="25" t="n"/>
    </row>
    <row r="49">
      <c r="A49" s="22">
        <f>IF(D49="","",ROW()-4)</f>
        <v/>
      </c>
      <c r="B49" s="22" t="n"/>
      <c r="C49" s="22" t="n"/>
      <c r="D49" s="22" t="n"/>
      <c r="E49" s="22" t="n"/>
      <c r="F49" s="22" t="n"/>
      <c r="G49" s="22" t="n"/>
      <c r="H49" s="22" t="n"/>
      <c r="I49" s="22">
        <f>IF(OR(F49="",H49=""),"",IF(F49=H49,"","⚠ resolve"))</f>
        <v/>
      </c>
      <c r="J49" s="22" t="n"/>
    </row>
    <row r="50">
      <c r="A50" s="25">
        <f>IF(D50="","",ROW()-4)</f>
        <v/>
      </c>
      <c r="B50" s="25" t="n"/>
      <c r="C50" s="25" t="n"/>
      <c r="D50" s="25" t="n"/>
      <c r="E50" s="25" t="n"/>
      <c r="F50" s="25" t="n"/>
      <c r="G50" s="25" t="n"/>
      <c r="H50" s="25" t="n"/>
      <c r="I50" s="25">
        <f>IF(OR(F50="",H50=""),"",IF(F50=H50,"","⚠ resolve"))</f>
        <v/>
      </c>
      <c r="J50" s="25" t="n"/>
    </row>
    <row r="51">
      <c r="A51" s="22">
        <f>IF(D51="","",ROW()-4)</f>
        <v/>
      </c>
      <c r="B51" s="22" t="n"/>
      <c r="C51" s="22" t="n"/>
      <c r="D51" s="22" t="n"/>
      <c r="E51" s="22" t="n"/>
      <c r="F51" s="22" t="n"/>
      <c r="G51" s="22" t="n"/>
      <c r="H51" s="22" t="n"/>
      <c r="I51" s="22">
        <f>IF(OR(F51="",H51=""),"",IF(F51=H51,"","⚠ resolve"))</f>
        <v/>
      </c>
      <c r="J51" s="22" t="n"/>
    </row>
    <row r="52">
      <c r="A52" s="25">
        <f>IF(D52="","",ROW()-4)</f>
        <v/>
      </c>
      <c r="B52" s="25" t="n"/>
      <c r="C52" s="25" t="n"/>
      <c r="D52" s="25" t="n"/>
      <c r="E52" s="25" t="n"/>
      <c r="F52" s="25" t="n"/>
      <c r="G52" s="25" t="n"/>
      <c r="H52" s="25" t="n"/>
      <c r="I52" s="25">
        <f>IF(OR(F52="",H52=""),"",IF(F52=H52,"","⚠ resolve"))</f>
        <v/>
      </c>
      <c r="J52" s="25" t="n"/>
    </row>
    <row r="53">
      <c r="A53" s="22">
        <f>IF(D53="","",ROW()-4)</f>
        <v/>
      </c>
      <c r="B53" s="22" t="n"/>
      <c r="C53" s="22" t="n"/>
      <c r="D53" s="22" t="n"/>
      <c r="E53" s="22" t="n"/>
      <c r="F53" s="22" t="n"/>
      <c r="G53" s="22" t="n"/>
      <c r="H53" s="22" t="n"/>
      <c r="I53" s="22">
        <f>IF(OR(F53="",H53=""),"",IF(F53=H53,"","⚠ resolve"))</f>
        <v/>
      </c>
      <c r="J53" s="22" t="n"/>
    </row>
    <row r="54">
      <c r="A54" s="25">
        <f>IF(D54="","",ROW()-4)</f>
        <v/>
      </c>
      <c r="B54" s="25" t="n"/>
      <c r="C54" s="25" t="n"/>
      <c r="D54" s="25" t="n"/>
      <c r="E54" s="25" t="n"/>
      <c r="F54" s="25" t="n"/>
      <c r="G54" s="25" t="n"/>
      <c r="H54" s="25" t="n"/>
      <c r="I54" s="25">
        <f>IF(OR(F54="",H54=""),"",IF(F54=H54,"","⚠ resolve"))</f>
        <v/>
      </c>
      <c r="J54" s="25" t="n"/>
    </row>
    <row r="55">
      <c r="A55" s="22">
        <f>IF(D55="","",ROW()-4)</f>
        <v/>
      </c>
      <c r="B55" s="22" t="n"/>
      <c r="C55" s="22" t="n"/>
      <c r="D55" s="22" t="n"/>
      <c r="E55" s="22" t="n"/>
      <c r="F55" s="22" t="n"/>
      <c r="G55" s="22" t="n"/>
      <c r="H55" s="22" t="n"/>
      <c r="I55" s="22">
        <f>IF(OR(F55="",H55=""),"",IF(F55=H55,"","⚠ resolve"))</f>
        <v/>
      </c>
      <c r="J55" s="22" t="n"/>
    </row>
    <row r="56">
      <c r="A56" s="25">
        <f>IF(D56="","",ROW()-4)</f>
        <v/>
      </c>
      <c r="B56" s="25" t="n"/>
      <c r="C56" s="25" t="n"/>
      <c r="D56" s="25" t="n"/>
      <c r="E56" s="25" t="n"/>
      <c r="F56" s="25" t="n"/>
      <c r="G56" s="25" t="n"/>
      <c r="H56" s="25" t="n"/>
      <c r="I56" s="25">
        <f>IF(OR(F56="",H56=""),"",IF(F56=H56,"","⚠ resolve"))</f>
        <v/>
      </c>
      <c r="J56" s="25" t="n"/>
    </row>
    <row r="57">
      <c r="A57" s="22">
        <f>IF(D57="","",ROW()-4)</f>
        <v/>
      </c>
      <c r="B57" s="22" t="n"/>
      <c r="C57" s="22" t="n"/>
      <c r="D57" s="22" t="n"/>
      <c r="E57" s="22" t="n"/>
      <c r="F57" s="22" t="n"/>
      <c r="G57" s="22" t="n"/>
      <c r="H57" s="22" t="n"/>
      <c r="I57" s="22">
        <f>IF(OR(F57="",H57=""),"",IF(F57=H57,"","⚠ resolve"))</f>
        <v/>
      </c>
      <c r="J57" s="22" t="n"/>
    </row>
    <row r="58">
      <c r="A58" s="25">
        <f>IF(D58="","",ROW()-4)</f>
        <v/>
      </c>
      <c r="B58" s="25" t="n"/>
      <c r="C58" s="25" t="n"/>
      <c r="D58" s="25" t="n"/>
      <c r="E58" s="25" t="n"/>
      <c r="F58" s="25" t="n"/>
      <c r="G58" s="25" t="n"/>
      <c r="H58" s="25" t="n"/>
      <c r="I58" s="25">
        <f>IF(OR(F58="",H58=""),"",IF(F58=H58,"","⚠ resolve"))</f>
        <v/>
      </c>
      <c r="J58" s="25" t="n"/>
    </row>
    <row r="59">
      <c r="A59" s="22">
        <f>IF(D59="","",ROW()-4)</f>
        <v/>
      </c>
      <c r="B59" s="22" t="n"/>
      <c r="C59" s="22" t="n"/>
      <c r="D59" s="22" t="n"/>
      <c r="E59" s="22" t="n"/>
      <c r="F59" s="22" t="n"/>
      <c r="G59" s="22" t="n"/>
      <c r="H59" s="22" t="n"/>
      <c r="I59" s="22">
        <f>IF(OR(F59="",H59=""),"",IF(F59=H59,"","⚠ resolve"))</f>
        <v/>
      </c>
      <c r="J59" s="22" t="n"/>
    </row>
    <row r="60">
      <c r="A60" s="25">
        <f>IF(D60="","",ROW()-4)</f>
        <v/>
      </c>
      <c r="B60" s="25" t="n"/>
      <c r="C60" s="25" t="n"/>
      <c r="D60" s="25" t="n"/>
      <c r="E60" s="25" t="n"/>
      <c r="F60" s="25" t="n"/>
      <c r="G60" s="25" t="n"/>
      <c r="H60" s="25" t="n"/>
      <c r="I60" s="25">
        <f>IF(OR(F60="",H60=""),"",IF(F60=H60,"","⚠ resolve"))</f>
        <v/>
      </c>
      <c r="J60" s="25" t="n"/>
    </row>
    <row r="61">
      <c r="A61" s="22">
        <f>IF(D61="","",ROW()-4)</f>
        <v/>
      </c>
      <c r="B61" s="22" t="n"/>
      <c r="C61" s="22" t="n"/>
      <c r="D61" s="22" t="n"/>
      <c r="E61" s="22" t="n"/>
      <c r="F61" s="22" t="n"/>
      <c r="G61" s="22" t="n"/>
      <c r="H61" s="22" t="n"/>
      <c r="I61" s="22">
        <f>IF(OR(F61="",H61=""),"",IF(F61=H61,"","⚠ resolve"))</f>
        <v/>
      </c>
      <c r="J61" s="22" t="n"/>
    </row>
    <row r="62">
      <c r="A62" s="25">
        <f>IF(D62="","",ROW()-4)</f>
        <v/>
      </c>
      <c r="B62" s="25" t="n"/>
      <c r="C62" s="25" t="n"/>
      <c r="D62" s="25" t="n"/>
      <c r="E62" s="25" t="n"/>
      <c r="F62" s="25" t="n"/>
      <c r="G62" s="25" t="n"/>
      <c r="H62" s="25" t="n"/>
      <c r="I62" s="25">
        <f>IF(OR(F62="",H62=""),"",IF(F62=H62,"","⚠ resolve"))</f>
        <v/>
      </c>
      <c r="J62" s="25" t="n"/>
    </row>
    <row r="63">
      <c r="A63" s="22">
        <f>IF(D63="","",ROW()-4)</f>
        <v/>
      </c>
      <c r="B63" s="22" t="n"/>
      <c r="C63" s="22" t="n"/>
      <c r="D63" s="22" t="n"/>
      <c r="E63" s="22" t="n"/>
      <c r="F63" s="22" t="n"/>
      <c r="G63" s="22" t="n"/>
      <c r="H63" s="22" t="n"/>
      <c r="I63" s="22">
        <f>IF(OR(F63="",H63=""),"",IF(F63=H63,"","⚠ resolve"))</f>
        <v/>
      </c>
      <c r="J63" s="22" t="n"/>
    </row>
    <row r="64">
      <c r="A64" s="25">
        <f>IF(D64="","",ROW()-4)</f>
        <v/>
      </c>
      <c r="B64" s="25" t="n"/>
      <c r="C64" s="25" t="n"/>
      <c r="D64" s="25" t="n"/>
      <c r="E64" s="25" t="n"/>
      <c r="F64" s="25" t="n"/>
      <c r="G64" s="25" t="n"/>
      <c r="H64" s="25" t="n"/>
      <c r="I64" s="25">
        <f>IF(OR(F64="",H64=""),"",IF(F64=H64,"","⚠ resolve"))</f>
        <v/>
      </c>
      <c r="J64" s="25" t="n"/>
    </row>
    <row r="65">
      <c r="A65" s="22">
        <f>IF(D65="","",ROW()-4)</f>
        <v/>
      </c>
      <c r="B65" s="22" t="n"/>
      <c r="C65" s="22" t="n"/>
      <c r="D65" s="22" t="n"/>
      <c r="E65" s="22" t="n"/>
      <c r="F65" s="22" t="n"/>
      <c r="G65" s="22" t="n"/>
      <c r="H65" s="22" t="n"/>
      <c r="I65" s="22">
        <f>IF(OR(F65="",H65=""),"",IF(F65=H65,"","⚠ resolve"))</f>
        <v/>
      </c>
      <c r="J65" s="22" t="n"/>
    </row>
    <row r="66">
      <c r="A66" s="25">
        <f>IF(D66="","",ROW()-4)</f>
        <v/>
      </c>
      <c r="B66" s="25" t="n"/>
      <c r="C66" s="25" t="n"/>
      <c r="D66" s="25" t="n"/>
      <c r="E66" s="25" t="n"/>
      <c r="F66" s="25" t="n"/>
      <c r="G66" s="25" t="n"/>
      <c r="H66" s="25" t="n"/>
      <c r="I66" s="25">
        <f>IF(OR(F66="",H66=""),"",IF(F66=H66,"","⚠ resolve"))</f>
        <v/>
      </c>
      <c r="J66" s="25" t="n"/>
    </row>
    <row r="67">
      <c r="A67" s="22">
        <f>IF(D67="","",ROW()-4)</f>
        <v/>
      </c>
      <c r="B67" s="22" t="n"/>
      <c r="C67" s="22" t="n"/>
      <c r="D67" s="22" t="n"/>
      <c r="E67" s="22" t="n"/>
      <c r="F67" s="22" t="n"/>
      <c r="G67" s="22" t="n"/>
      <c r="H67" s="22" t="n"/>
      <c r="I67" s="22">
        <f>IF(OR(F67="",H67=""),"",IF(F67=H67,"","⚠ resolve"))</f>
        <v/>
      </c>
      <c r="J67" s="22" t="n"/>
    </row>
    <row r="68">
      <c r="A68" s="25">
        <f>IF(D68="","",ROW()-4)</f>
        <v/>
      </c>
      <c r="B68" s="25" t="n"/>
      <c r="C68" s="25" t="n"/>
      <c r="D68" s="25" t="n"/>
      <c r="E68" s="25" t="n"/>
      <c r="F68" s="25" t="n"/>
      <c r="G68" s="25" t="n"/>
      <c r="H68" s="25" t="n"/>
      <c r="I68" s="25">
        <f>IF(OR(F68="",H68=""),"",IF(F68=H68,"","⚠ resolve"))</f>
        <v/>
      </c>
      <c r="J68" s="25" t="n"/>
    </row>
    <row r="69">
      <c r="A69" s="22">
        <f>IF(D69="","",ROW()-4)</f>
        <v/>
      </c>
      <c r="B69" s="22" t="n"/>
      <c r="C69" s="22" t="n"/>
      <c r="D69" s="22" t="n"/>
      <c r="E69" s="22" t="n"/>
      <c r="F69" s="22" t="n"/>
      <c r="G69" s="22" t="n"/>
      <c r="H69" s="22" t="n"/>
      <c r="I69" s="22">
        <f>IF(OR(F69="",H69=""),"",IF(F69=H69,"","⚠ resolve"))</f>
        <v/>
      </c>
      <c r="J69" s="22" t="n"/>
    </row>
    <row r="70">
      <c r="A70" s="25">
        <f>IF(D70="","",ROW()-4)</f>
        <v/>
      </c>
      <c r="B70" s="25" t="n"/>
      <c r="C70" s="25" t="n"/>
      <c r="D70" s="25" t="n"/>
      <c r="E70" s="25" t="n"/>
      <c r="F70" s="25" t="n"/>
      <c r="G70" s="25" t="n"/>
      <c r="H70" s="25" t="n"/>
      <c r="I70" s="25">
        <f>IF(OR(F70="",H70=""),"",IF(F70=H70,"","⚠ resolve"))</f>
        <v/>
      </c>
      <c r="J70" s="25" t="n"/>
    </row>
    <row r="71">
      <c r="A71" s="22">
        <f>IF(D71="","",ROW()-4)</f>
        <v/>
      </c>
      <c r="B71" s="22" t="n"/>
      <c r="C71" s="22" t="n"/>
      <c r="D71" s="22" t="n"/>
      <c r="E71" s="22" t="n"/>
      <c r="F71" s="22" t="n"/>
      <c r="G71" s="22" t="n"/>
      <c r="H71" s="22" t="n"/>
      <c r="I71" s="22">
        <f>IF(OR(F71="",H71=""),"",IF(F71=H71,"","⚠ resolve"))</f>
        <v/>
      </c>
      <c r="J71" s="22" t="n"/>
    </row>
    <row r="72">
      <c r="A72" s="25">
        <f>IF(D72="","",ROW()-4)</f>
        <v/>
      </c>
      <c r="B72" s="25" t="n"/>
      <c r="C72" s="25" t="n"/>
      <c r="D72" s="25" t="n"/>
      <c r="E72" s="25" t="n"/>
      <c r="F72" s="25" t="n"/>
      <c r="G72" s="25" t="n"/>
      <c r="H72" s="25" t="n"/>
      <c r="I72" s="25">
        <f>IF(OR(F72="",H72=""),"",IF(F72=H72,"","⚠ resolve"))</f>
        <v/>
      </c>
      <c r="J72" s="25" t="n"/>
    </row>
    <row r="73">
      <c r="A73" s="22">
        <f>IF(D73="","",ROW()-4)</f>
        <v/>
      </c>
      <c r="B73" s="22" t="n"/>
      <c r="C73" s="22" t="n"/>
      <c r="D73" s="22" t="n"/>
      <c r="E73" s="22" t="n"/>
      <c r="F73" s="22" t="n"/>
      <c r="G73" s="22" t="n"/>
      <c r="H73" s="22" t="n"/>
      <c r="I73" s="22">
        <f>IF(OR(F73="",H73=""),"",IF(F73=H73,"","⚠ resolve"))</f>
        <v/>
      </c>
      <c r="J73" s="22" t="n"/>
    </row>
    <row r="74">
      <c r="A74" s="25">
        <f>IF(D74="","",ROW()-4)</f>
        <v/>
      </c>
      <c r="B74" s="25" t="n"/>
      <c r="C74" s="25" t="n"/>
      <c r="D74" s="25" t="n"/>
      <c r="E74" s="25" t="n"/>
      <c r="F74" s="25" t="n"/>
      <c r="G74" s="25" t="n"/>
      <c r="H74" s="25" t="n"/>
      <c r="I74" s="25">
        <f>IF(OR(F74="",H74=""),"",IF(F74=H74,"","⚠ resolve"))</f>
        <v/>
      </c>
      <c r="J74" s="25" t="n"/>
    </row>
    <row r="75">
      <c r="A75" s="22">
        <f>IF(D75="","",ROW()-4)</f>
        <v/>
      </c>
      <c r="B75" s="22" t="n"/>
      <c r="C75" s="22" t="n"/>
      <c r="D75" s="22" t="n"/>
      <c r="E75" s="22" t="n"/>
      <c r="F75" s="22" t="n"/>
      <c r="G75" s="22" t="n"/>
      <c r="H75" s="22" t="n"/>
      <c r="I75" s="22">
        <f>IF(OR(F75="",H75=""),"",IF(F75=H75,"","⚠ resolve"))</f>
        <v/>
      </c>
      <c r="J75" s="22" t="n"/>
    </row>
    <row r="76">
      <c r="A76" s="25">
        <f>IF(D76="","",ROW()-4)</f>
        <v/>
      </c>
      <c r="B76" s="25" t="n"/>
      <c r="C76" s="25" t="n"/>
      <c r="D76" s="25" t="n"/>
      <c r="E76" s="25" t="n"/>
      <c r="F76" s="25" t="n"/>
      <c r="G76" s="25" t="n"/>
      <c r="H76" s="25" t="n"/>
      <c r="I76" s="25">
        <f>IF(OR(F76="",H76=""),"",IF(F76=H76,"","⚠ resolve"))</f>
        <v/>
      </c>
      <c r="J76" s="25" t="n"/>
    </row>
    <row r="77">
      <c r="A77" s="22">
        <f>IF(D77="","",ROW()-4)</f>
        <v/>
      </c>
      <c r="B77" s="22" t="n"/>
      <c r="C77" s="22" t="n"/>
      <c r="D77" s="22" t="n"/>
      <c r="E77" s="22" t="n"/>
      <c r="F77" s="22" t="n"/>
      <c r="G77" s="22" t="n"/>
      <c r="H77" s="22" t="n"/>
      <c r="I77" s="22">
        <f>IF(OR(F77="",H77=""),"",IF(F77=H77,"","⚠ resolve"))</f>
        <v/>
      </c>
      <c r="J77" s="22" t="n"/>
    </row>
    <row r="78">
      <c r="A78" s="25">
        <f>IF(D78="","",ROW()-4)</f>
        <v/>
      </c>
      <c r="B78" s="25" t="n"/>
      <c r="C78" s="25" t="n"/>
      <c r="D78" s="25" t="n"/>
      <c r="E78" s="25" t="n"/>
      <c r="F78" s="25" t="n"/>
      <c r="G78" s="25" t="n"/>
      <c r="H78" s="25" t="n"/>
      <c r="I78" s="25">
        <f>IF(OR(F78="",H78=""),"",IF(F78=H78,"","⚠ resolve"))</f>
        <v/>
      </c>
      <c r="J78" s="25" t="n"/>
    </row>
    <row r="79">
      <c r="A79" s="22">
        <f>IF(D79="","",ROW()-4)</f>
        <v/>
      </c>
      <c r="B79" s="22" t="n"/>
      <c r="C79" s="22" t="n"/>
      <c r="D79" s="22" t="n"/>
      <c r="E79" s="22" t="n"/>
      <c r="F79" s="22" t="n"/>
      <c r="G79" s="22" t="n"/>
      <c r="H79" s="22" t="n"/>
      <c r="I79" s="22">
        <f>IF(OR(F79="",H79=""),"",IF(F79=H79,"","⚠ resolve"))</f>
        <v/>
      </c>
      <c r="J79" s="22" t="n"/>
    </row>
    <row r="80">
      <c r="A80" s="25">
        <f>IF(D80="","",ROW()-4)</f>
        <v/>
      </c>
      <c r="B80" s="25" t="n"/>
      <c r="C80" s="25" t="n"/>
      <c r="D80" s="25" t="n"/>
      <c r="E80" s="25" t="n"/>
      <c r="F80" s="25" t="n"/>
      <c r="G80" s="25" t="n"/>
      <c r="H80" s="25" t="n"/>
      <c r="I80" s="25">
        <f>IF(OR(F80="",H80=""),"",IF(F80=H80,"","⚠ resolve"))</f>
        <v/>
      </c>
      <c r="J80" s="25" t="n"/>
    </row>
    <row r="81">
      <c r="A81" s="22">
        <f>IF(D81="","",ROW()-4)</f>
        <v/>
      </c>
      <c r="B81" s="22" t="n"/>
      <c r="C81" s="22" t="n"/>
      <c r="D81" s="22" t="n"/>
      <c r="E81" s="22" t="n"/>
      <c r="F81" s="22" t="n"/>
      <c r="G81" s="22" t="n"/>
      <c r="H81" s="22" t="n"/>
      <c r="I81" s="22">
        <f>IF(OR(F81="",H81=""),"",IF(F81=H81,"","⚠ resolve"))</f>
        <v/>
      </c>
      <c r="J81" s="22" t="n"/>
    </row>
    <row r="82">
      <c r="A82" s="25">
        <f>IF(D82="","",ROW()-4)</f>
        <v/>
      </c>
      <c r="B82" s="25" t="n"/>
      <c r="C82" s="25" t="n"/>
      <c r="D82" s="25" t="n"/>
      <c r="E82" s="25" t="n"/>
      <c r="F82" s="25" t="n"/>
      <c r="G82" s="25" t="n"/>
      <c r="H82" s="25" t="n"/>
      <c r="I82" s="25">
        <f>IF(OR(F82="",H82=""),"",IF(F82=H82,"","⚠ resolve"))</f>
        <v/>
      </c>
      <c r="J82" s="25" t="n"/>
    </row>
    <row r="83">
      <c r="A83" s="22">
        <f>IF(D83="","",ROW()-4)</f>
        <v/>
      </c>
      <c r="B83" s="22" t="n"/>
      <c r="C83" s="22" t="n"/>
      <c r="D83" s="22" t="n"/>
      <c r="E83" s="22" t="n"/>
      <c r="F83" s="22" t="n"/>
      <c r="G83" s="22" t="n"/>
      <c r="H83" s="22" t="n"/>
      <c r="I83" s="22">
        <f>IF(OR(F83="",H83=""),"",IF(F83=H83,"","⚠ resolve"))</f>
        <v/>
      </c>
      <c r="J83" s="22" t="n"/>
    </row>
    <row r="84">
      <c r="A84" s="25">
        <f>IF(D84="","",ROW()-4)</f>
        <v/>
      </c>
      <c r="B84" s="25" t="n"/>
      <c r="C84" s="25" t="n"/>
      <c r="D84" s="25" t="n"/>
      <c r="E84" s="25" t="n"/>
      <c r="F84" s="25" t="n"/>
      <c r="G84" s="25" t="n"/>
      <c r="H84" s="25" t="n"/>
      <c r="I84" s="25">
        <f>IF(OR(F84="",H84=""),"",IF(F84=H84,"","⚠ resolve"))</f>
        <v/>
      </c>
      <c r="J84" s="25" t="n"/>
    </row>
    <row r="85">
      <c r="A85" s="22">
        <f>IF(D85="","",ROW()-4)</f>
        <v/>
      </c>
      <c r="B85" s="22" t="n"/>
      <c r="C85" s="22" t="n"/>
      <c r="D85" s="22" t="n"/>
      <c r="E85" s="22" t="n"/>
      <c r="F85" s="22" t="n"/>
      <c r="G85" s="22" t="n"/>
      <c r="H85" s="22" t="n"/>
      <c r="I85" s="22">
        <f>IF(OR(F85="",H85=""),"",IF(F85=H85,"","⚠ resolve"))</f>
        <v/>
      </c>
      <c r="J85" s="22" t="n"/>
    </row>
    <row r="86">
      <c r="A86" s="25">
        <f>IF(D86="","",ROW()-4)</f>
        <v/>
      </c>
      <c r="B86" s="25" t="n"/>
      <c r="C86" s="25" t="n"/>
      <c r="D86" s="25" t="n"/>
      <c r="E86" s="25" t="n"/>
      <c r="F86" s="25" t="n"/>
      <c r="G86" s="25" t="n"/>
      <c r="H86" s="25" t="n"/>
      <c r="I86" s="25">
        <f>IF(OR(F86="",H86=""),"",IF(F86=H86,"","⚠ resolve"))</f>
        <v/>
      </c>
      <c r="J86" s="25" t="n"/>
    </row>
    <row r="87">
      <c r="A87" s="22">
        <f>IF(D87="","",ROW()-4)</f>
        <v/>
      </c>
      <c r="B87" s="22" t="n"/>
      <c r="C87" s="22" t="n"/>
      <c r="D87" s="22" t="n"/>
      <c r="E87" s="22" t="n"/>
      <c r="F87" s="22" t="n"/>
      <c r="G87" s="22" t="n"/>
      <c r="H87" s="22" t="n"/>
      <c r="I87" s="22">
        <f>IF(OR(F87="",H87=""),"",IF(F87=H87,"","⚠ resolve"))</f>
        <v/>
      </c>
      <c r="J87" s="22" t="n"/>
    </row>
    <row r="88">
      <c r="A88" s="25">
        <f>IF(D88="","",ROW()-4)</f>
        <v/>
      </c>
      <c r="B88" s="25" t="n"/>
      <c r="C88" s="25" t="n"/>
      <c r="D88" s="25" t="n"/>
      <c r="E88" s="25" t="n"/>
      <c r="F88" s="25" t="n"/>
      <c r="G88" s="25" t="n"/>
      <c r="H88" s="25" t="n"/>
      <c r="I88" s="25">
        <f>IF(OR(F88="",H88=""),"",IF(F88=H88,"","⚠ resolve"))</f>
        <v/>
      </c>
      <c r="J88" s="25" t="n"/>
    </row>
    <row r="89">
      <c r="A89" s="22">
        <f>IF(D89="","",ROW()-4)</f>
        <v/>
      </c>
      <c r="B89" s="22" t="n"/>
      <c r="C89" s="22" t="n"/>
      <c r="D89" s="22" t="n"/>
      <c r="E89" s="22" t="n"/>
      <c r="F89" s="22" t="n"/>
      <c r="G89" s="22" t="n"/>
      <c r="H89" s="22" t="n"/>
      <c r="I89" s="22">
        <f>IF(OR(F89="",H89=""),"",IF(F89=H89,"","⚠ resolve"))</f>
        <v/>
      </c>
      <c r="J89" s="22" t="n"/>
    </row>
    <row r="90">
      <c r="A90" s="25">
        <f>IF(D90="","",ROW()-4)</f>
        <v/>
      </c>
      <c r="B90" s="25" t="n"/>
      <c r="C90" s="25" t="n"/>
      <c r="D90" s="25" t="n"/>
      <c r="E90" s="25" t="n"/>
      <c r="F90" s="25" t="n"/>
      <c r="G90" s="25" t="n"/>
      <c r="H90" s="25" t="n"/>
      <c r="I90" s="25">
        <f>IF(OR(F90="",H90=""),"",IF(F90=H90,"","⚠ resolve"))</f>
        <v/>
      </c>
      <c r="J90" s="25" t="n"/>
    </row>
    <row r="91">
      <c r="A91" s="22">
        <f>IF(D91="","",ROW()-4)</f>
        <v/>
      </c>
      <c r="B91" s="22" t="n"/>
      <c r="C91" s="22" t="n"/>
      <c r="D91" s="22" t="n"/>
      <c r="E91" s="22" t="n"/>
      <c r="F91" s="22" t="n"/>
      <c r="G91" s="22" t="n"/>
      <c r="H91" s="22" t="n"/>
      <c r="I91" s="22">
        <f>IF(OR(F91="",H91=""),"",IF(F91=H91,"","⚠ resolve"))</f>
        <v/>
      </c>
      <c r="J91" s="22" t="n"/>
    </row>
    <row r="92">
      <c r="A92" s="25">
        <f>IF(D92="","",ROW()-4)</f>
        <v/>
      </c>
      <c r="B92" s="25" t="n"/>
      <c r="C92" s="25" t="n"/>
      <c r="D92" s="25" t="n"/>
      <c r="E92" s="25" t="n"/>
      <c r="F92" s="25" t="n"/>
      <c r="G92" s="25" t="n"/>
      <c r="H92" s="25" t="n"/>
      <c r="I92" s="25">
        <f>IF(OR(F92="",H92=""),"",IF(F92=H92,"","⚠ resolve"))</f>
        <v/>
      </c>
      <c r="J92" s="25" t="n"/>
    </row>
    <row r="93">
      <c r="A93" s="22">
        <f>IF(D93="","",ROW()-4)</f>
        <v/>
      </c>
      <c r="B93" s="22" t="n"/>
      <c r="C93" s="22" t="n"/>
      <c r="D93" s="22" t="n"/>
      <c r="E93" s="22" t="n"/>
      <c r="F93" s="22" t="n"/>
      <c r="G93" s="22" t="n"/>
      <c r="H93" s="22" t="n"/>
      <c r="I93" s="22">
        <f>IF(OR(F93="",H93=""),"",IF(F93=H93,"","⚠ resolve"))</f>
        <v/>
      </c>
      <c r="J93" s="22" t="n"/>
    </row>
    <row r="94">
      <c r="A94" s="25">
        <f>IF(D94="","",ROW()-4)</f>
        <v/>
      </c>
      <c r="B94" s="25" t="n"/>
      <c r="C94" s="25" t="n"/>
      <c r="D94" s="25" t="n"/>
      <c r="E94" s="25" t="n"/>
      <c r="F94" s="25" t="n"/>
      <c r="G94" s="25" t="n"/>
      <c r="H94" s="25" t="n"/>
      <c r="I94" s="25">
        <f>IF(OR(F94="",H94=""),"",IF(F94=H94,"","⚠ resolve"))</f>
        <v/>
      </c>
      <c r="J94" s="25" t="n"/>
    </row>
    <row r="95">
      <c r="A95" s="22">
        <f>IF(D95="","",ROW()-4)</f>
        <v/>
      </c>
      <c r="B95" s="22" t="n"/>
      <c r="C95" s="22" t="n"/>
      <c r="D95" s="22" t="n"/>
      <c r="E95" s="22" t="n"/>
      <c r="F95" s="22" t="n"/>
      <c r="G95" s="22" t="n"/>
      <c r="H95" s="22" t="n"/>
      <c r="I95" s="22">
        <f>IF(OR(F95="",H95=""),"",IF(F95=H95,"","⚠ resolve"))</f>
        <v/>
      </c>
      <c r="J95" s="22" t="n"/>
    </row>
    <row r="96">
      <c r="A96" s="25">
        <f>IF(D96="","",ROW()-4)</f>
        <v/>
      </c>
      <c r="B96" s="25" t="n"/>
      <c r="C96" s="25" t="n"/>
      <c r="D96" s="25" t="n"/>
      <c r="E96" s="25" t="n"/>
      <c r="F96" s="25" t="n"/>
      <c r="G96" s="25" t="n"/>
      <c r="H96" s="25" t="n"/>
      <c r="I96" s="25">
        <f>IF(OR(F96="",H96=""),"",IF(F96=H96,"","⚠ resolve"))</f>
        <v/>
      </c>
      <c r="J96" s="25" t="n"/>
    </row>
    <row r="97">
      <c r="A97" s="22">
        <f>IF(D97="","",ROW()-4)</f>
        <v/>
      </c>
      <c r="B97" s="22" t="n"/>
      <c r="C97" s="22" t="n"/>
      <c r="D97" s="22" t="n"/>
      <c r="E97" s="22" t="n"/>
      <c r="F97" s="22" t="n"/>
      <c r="G97" s="22" t="n"/>
      <c r="H97" s="22" t="n"/>
      <c r="I97" s="22">
        <f>IF(OR(F97="",H97=""),"",IF(F97=H97,"","⚠ resolve"))</f>
        <v/>
      </c>
      <c r="J97" s="22" t="n"/>
    </row>
    <row r="98">
      <c r="A98" s="25">
        <f>IF(D98="","",ROW()-4)</f>
        <v/>
      </c>
      <c r="B98" s="25" t="n"/>
      <c r="C98" s="25" t="n"/>
      <c r="D98" s="25" t="n"/>
      <c r="E98" s="25" t="n"/>
      <c r="F98" s="25" t="n"/>
      <c r="G98" s="25" t="n"/>
      <c r="H98" s="25" t="n"/>
      <c r="I98" s="25">
        <f>IF(OR(F98="",H98=""),"",IF(F98=H98,"","⚠ resolve"))</f>
        <v/>
      </c>
      <c r="J98" s="25" t="n"/>
    </row>
    <row r="99">
      <c r="A99" s="22">
        <f>IF(D99="","",ROW()-4)</f>
        <v/>
      </c>
      <c r="B99" s="22" t="n"/>
      <c r="C99" s="22" t="n"/>
      <c r="D99" s="22" t="n"/>
      <c r="E99" s="22" t="n"/>
      <c r="F99" s="22" t="n"/>
      <c r="G99" s="22" t="n"/>
      <c r="H99" s="22" t="n"/>
      <c r="I99" s="22">
        <f>IF(OR(F99="",H99=""),"",IF(F99=H99,"","⚠ resolve"))</f>
        <v/>
      </c>
      <c r="J99" s="22" t="n"/>
    </row>
    <row r="100">
      <c r="A100" s="25">
        <f>IF(D100="","",ROW()-4)</f>
        <v/>
      </c>
      <c r="B100" s="25" t="n"/>
      <c r="C100" s="25" t="n"/>
      <c r="D100" s="25" t="n"/>
      <c r="E100" s="25" t="n"/>
      <c r="F100" s="25" t="n"/>
      <c r="G100" s="25" t="n"/>
      <c r="H100" s="25" t="n"/>
      <c r="I100" s="25">
        <f>IF(OR(F100="",H100=""),"",IF(F100=H100,"","⚠ resolve"))</f>
        <v/>
      </c>
      <c r="J100" s="25" t="n"/>
    </row>
    <row r="101">
      <c r="A101" s="22">
        <f>IF(D101="","",ROW()-4)</f>
        <v/>
      </c>
      <c r="B101" s="22" t="n"/>
      <c r="C101" s="22" t="n"/>
      <c r="D101" s="22" t="n"/>
      <c r="E101" s="22" t="n"/>
      <c r="F101" s="22" t="n"/>
      <c r="G101" s="22" t="n"/>
      <c r="H101" s="22" t="n"/>
      <c r="I101" s="22">
        <f>IF(OR(F101="",H101=""),"",IF(F101=H101,"","⚠ resolve"))</f>
        <v/>
      </c>
      <c r="J101" s="22" t="n"/>
    </row>
    <row r="102">
      <c r="A102" s="25">
        <f>IF(D102="","",ROW()-4)</f>
        <v/>
      </c>
      <c r="B102" s="25" t="n"/>
      <c r="C102" s="25" t="n"/>
      <c r="D102" s="25" t="n"/>
      <c r="E102" s="25" t="n"/>
      <c r="F102" s="25" t="n"/>
      <c r="G102" s="25" t="n"/>
      <c r="H102" s="25" t="n"/>
      <c r="I102" s="25">
        <f>IF(OR(F102="",H102=""),"",IF(F102=H102,"","⚠ resolve"))</f>
        <v/>
      </c>
      <c r="J102" s="25" t="n"/>
    </row>
    <row r="103">
      <c r="A103" s="22">
        <f>IF(D103="","",ROW()-4)</f>
        <v/>
      </c>
      <c r="B103" s="22" t="n"/>
      <c r="C103" s="22" t="n"/>
      <c r="D103" s="22" t="n"/>
      <c r="E103" s="22" t="n"/>
      <c r="F103" s="22" t="n"/>
      <c r="G103" s="22" t="n"/>
      <c r="H103" s="22" t="n"/>
      <c r="I103" s="22">
        <f>IF(OR(F103="",H103=""),"",IF(F103=H103,"","⚠ resolve"))</f>
        <v/>
      </c>
      <c r="J103" s="22" t="n"/>
    </row>
    <row r="104">
      <c r="A104" s="25">
        <f>IF(D104="","",ROW()-4)</f>
        <v/>
      </c>
      <c r="B104" s="25" t="n"/>
      <c r="C104" s="25" t="n"/>
      <c r="D104" s="25" t="n"/>
      <c r="E104" s="25" t="n"/>
      <c r="F104" s="25" t="n"/>
      <c r="G104" s="25" t="n"/>
      <c r="H104" s="25" t="n"/>
      <c r="I104" s="25">
        <f>IF(OR(F104="",H104=""),"",IF(F104=H104,"","⚠ resolve"))</f>
        <v/>
      </c>
      <c r="J104" s="25" t="n"/>
    </row>
    <row r="105">
      <c r="A105" s="22">
        <f>IF(D105="","",ROW()-4)</f>
        <v/>
      </c>
      <c r="B105" s="22" t="n"/>
      <c r="C105" s="22" t="n"/>
      <c r="D105" s="22" t="n"/>
      <c r="E105" s="22" t="n"/>
      <c r="F105" s="22" t="n"/>
      <c r="G105" s="22" t="n"/>
      <c r="H105" s="22" t="n"/>
      <c r="I105" s="22">
        <f>IF(OR(F105="",H105=""),"",IF(F105=H105,"","⚠ resolve"))</f>
        <v/>
      </c>
      <c r="J105" s="22" t="n"/>
    </row>
    <row r="106">
      <c r="A106" s="25">
        <f>IF(D106="","",ROW()-4)</f>
        <v/>
      </c>
      <c r="B106" s="25" t="n"/>
      <c r="C106" s="25" t="n"/>
      <c r="D106" s="25" t="n"/>
      <c r="E106" s="25" t="n"/>
      <c r="F106" s="25" t="n"/>
      <c r="G106" s="25" t="n"/>
      <c r="H106" s="25" t="n"/>
      <c r="I106" s="25">
        <f>IF(OR(F106="",H106=""),"",IF(F106=H106,"","⚠ resolve"))</f>
        <v/>
      </c>
      <c r="J106" s="25" t="n"/>
    </row>
    <row r="107">
      <c r="A107" s="22">
        <f>IF(D107="","",ROW()-4)</f>
        <v/>
      </c>
      <c r="B107" s="22" t="n"/>
      <c r="C107" s="22" t="n"/>
      <c r="D107" s="22" t="n"/>
      <c r="E107" s="22" t="n"/>
      <c r="F107" s="22" t="n"/>
      <c r="G107" s="22" t="n"/>
      <c r="H107" s="22" t="n"/>
      <c r="I107" s="22">
        <f>IF(OR(F107="",H107=""),"",IF(F107=H107,"","⚠ resolve"))</f>
        <v/>
      </c>
      <c r="J107" s="22" t="n"/>
    </row>
    <row r="108">
      <c r="A108" s="25">
        <f>IF(D108="","",ROW()-4)</f>
        <v/>
      </c>
      <c r="B108" s="25" t="n"/>
      <c r="C108" s="25" t="n"/>
      <c r="D108" s="25" t="n"/>
      <c r="E108" s="25" t="n"/>
      <c r="F108" s="25" t="n"/>
      <c r="G108" s="25" t="n"/>
      <c r="H108" s="25" t="n"/>
      <c r="I108" s="25">
        <f>IF(OR(F108="",H108=""),"",IF(F108=H108,"","⚠ resolve"))</f>
        <v/>
      </c>
      <c r="J108" s="25" t="n"/>
    </row>
    <row r="109">
      <c r="A109" s="22">
        <f>IF(D109="","",ROW()-4)</f>
        <v/>
      </c>
      <c r="B109" s="22" t="n"/>
      <c r="C109" s="22" t="n"/>
      <c r="D109" s="22" t="n"/>
      <c r="E109" s="22" t="n"/>
      <c r="F109" s="22" t="n"/>
      <c r="G109" s="22" t="n"/>
      <c r="H109" s="22" t="n"/>
      <c r="I109" s="22">
        <f>IF(OR(F109="",H109=""),"",IF(F109=H109,"","⚠ resolve"))</f>
        <v/>
      </c>
      <c r="J109" s="22" t="n"/>
    </row>
    <row r="110">
      <c r="A110" s="25">
        <f>IF(D110="","",ROW()-4)</f>
        <v/>
      </c>
      <c r="B110" s="25" t="n"/>
      <c r="C110" s="25" t="n"/>
      <c r="D110" s="25" t="n"/>
      <c r="E110" s="25" t="n"/>
      <c r="F110" s="25" t="n"/>
      <c r="G110" s="25" t="n"/>
      <c r="H110" s="25" t="n"/>
      <c r="I110" s="25">
        <f>IF(OR(F110="",H110=""),"",IF(F110=H110,"","⚠ resolve"))</f>
        <v/>
      </c>
      <c r="J110" s="25" t="n"/>
    </row>
    <row r="111">
      <c r="A111" s="22">
        <f>IF(D111="","",ROW()-4)</f>
        <v/>
      </c>
      <c r="B111" s="22" t="n"/>
      <c r="C111" s="22" t="n"/>
      <c r="D111" s="22" t="n"/>
      <c r="E111" s="22" t="n"/>
      <c r="F111" s="22" t="n"/>
      <c r="G111" s="22" t="n"/>
      <c r="H111" s="22" t="n"/>
      <c r="I111" s="22">
        <f>IF(OR(F111="",H111=""),"",IF(F111=H111,"","⚠ resolve"))</f>
        <v/>
      </c>
      <c r="J111" s="22" t="n"/>
    </row>
    <row r="112">
      <c r="A112" s="25">
        <f>IF(D112="","",ROW()-4)</f>
        <v/>
      </c>
      <c r="B112" s="25" t="n"/>
      <c r="C112" s="25" t="n"/>
      <c r="D112" s="25" t="n"/>
      <c r="E112" s="25" t="n"/>
      <c r="F112" s="25" t="n"/>
      <c r="G112" s="25" t="n"/>
      <c r="H112" s="25" t="n"/>
      <c r="I112" s="25">
        <f>IF(OR(F112="",H112=""),"",IF(F112=H112,"","⚠ resolve"))</f>
        <v/>
      </c>
      <c r="J112" s="25" t="n"/>
    </row>
    <row r="113">
      <c r="A113" s="22">
        <f>IF(D113="","",ROW()-4)</f>
        <v/>
      </c>
      <c r="B113" s="22" t="n"/>
      <c r="C113" s="22" t="n"/>
      <c r="D113" s="22" t="n"/>
      <c r="E113" s="22" t="n"/>
      <c r="F113" s="22" t="n"/>
      <c r="G113" s="22" t="n"/>
      <c r="H113" s="22" t="n"/>
      <c r="I113" s="22">
        <f>IF(OR(F113="",H113=""),"",IF(F113=H113,"","⚠ resolve"))</f>
        <v/>
      </c>
      <c r="J113" s="22" t="n"/>
    </row>
    <row r="114">
      <c r="A114" s="25">
        <f>IF(D114="","",ROW()-4)</f>
        <v/>
      </c>
      <c r="B114" s="25" t="n"/>
      <c r="C114" s="25" t="n"/>
      <c r="D114" s="25" t="n"/>
      <c r="E114" s="25" t="n"/>
      <c r="F114" s="25" t="n"/>
      <c r="G114" s="25" t="n"/>
      <c r="H114" s="25" t="n"/>
      <c r="I114" s="25">
        <f>IF(OR(F114="",H114=""),"",IF(F114=H114,"","⚠ resolve"))</f>
        <v/>
      </c>
      <c r="J114" s="25" t="n"/>
    </row>
    <row r="115">
      <c r="A115" s="22">
        <f>IF(D115="","",ROW()-4)</f>
        <v/>
      </c>
      <c r="B115" s="22" t="n"/>
      <c r="C115" s="22" t="n"/>
      <c r="D115" s="22" t="n"/>
      <c r="E115" s="22" t="n"/>
      <c r="F115" s="22" t="n"/>
      <c r="G115" s="22" t="n"/>
      <c r="H115" s="22" t="n"/>
      <c r="I115" s="22">
        <f>IF(OR(F115="",H115=""),"",IF(F115=H115,"","⚠ resolve"))</f>
        <v/>
      </c>
      <c r="J115" s="22" t="n"/>
    </row>
    <row r="116">
      <c r="A116" s="25">
        <f>IF(D116="","",ROW()-4)</f>
        <v/>
      </c>
      <c r="B116" s="25" t="n"/>
      <c r="C116" s="25" t="n"/>
      <c r="D116" s="25" t="n"/>
      <c r="E116" s="25" t="n"/>
      <c r="F116" s="25" t="n"/>
      <c r="G116" s="25" t="n"/>
      <c r="H116" s="25" t="n"/>
      <c r="I116" s="25">
        <f>IF(OR(F116="",H116=""),"",IF(F116=H116,"","⚠ resolve"))</f>
        <v/>
      </c>
      <c r="J116" s="25" t="n"/>
    </row>
    <row r="117">
      <c r="A117" s="22">
        <f>IF(D117="","",ROW()-4)</f>
        <v/>
      </c>
      <c r="B117" s="22" t="n"/>
      <c r="C117" s="22" t="n"/>
      <c r="D117" s="22" t="n"/>
      <c r="E117" s="22" t="n"/>
      <c r="F117" s="22" t="n"/>
      <c r="G117" s="22" t="n"/>
      <c r="H117" s="22" t="n"/>
      <c r="I117" s="22">
        <f>IF(OR(F117="",H117=""),"",IF(F117=H117,"","⚠ resolve"))</f>
        <v/>
      </c>
      <c r="J117" s="22" t="n"/>
    </row>
    <row r="118">
      <c r="A118" s="25">
        <f>IF(D118="","",ROW()-4)</f>
        <v/>
      </c>
      <c r="B118" s="25" t="n"/>
      <c r="C118" s="25" t="n"/>
      <c r="D118" s="25" t="n"/>
      <c r="E118" s="25" t="n"/>
      <c r="F118" s="25" t="n"/>
      <c r="G118" s="25" t="n"/>
      <c r="H118" s="25" t="n"/>
      <c r="I118" s="25">
        <f>IF(OR(F118="",H118=""),"",IF(F118=H118,"","⚠ resolve"))</f>
        <v/>
      </c>
      <c r="J118" s="25" t="n"/>
    </row>
    <row r="119">
      <c r="A119" s="22">
        <f>IF(D119="","",ROW()-4)</f>
        <v/>
      </c>
      <c r="B119" s="22" t="n"/>
      <c r="C119" s="22" t="n"/>
      <c r="D119" s="22" t="n"/>
      <c r="E119" s="22" t="n"/>
      <c r="F119" s="22" t="n"/>
      <c r="G119" s="22" t="n"/>
      <c r="H119" s="22" t="n"/>
      <c r="I119" s="22">
        <f>IF(OR(F119="",H119=""),"",IF(F119=H119,"","⚠ resolve"))</f>
        <v/>
      </c>
      <c r="J119" s="22" t="n"/>
    </row>
    <row r="120">
      <c r="A120" s="25">
        <f>IF(D120="","",ROW()-4)</f>
        <v/>
      </c>
      <c r="B120" s="25" t="n"/>
      <c r="C120" s="25" t="n"/>
      <c r="D120" s="25" t="n"/>
      <c r="E120" s="25" t="n"/>
      <c r="F120" s="25" t="n"/>
      <c r="G120" s="25" t="n"/>
      <c r="H120" s="25" t="n"/>
      <c r="I120" s="25">
        <f>IF(OR(F120="",H120=""),"",IF(F120=H120,"","⚠ resolve"))</f>
        <v/>
      </c>
      <c r="J120" s="25" t="n"/>
    </row>
    <row r="121">
      <c r="A121" s="22">
        <f>IF(D121="","",ROW()-4)</f>
        <v/>
      </c>
      <c r="B121" s="22" t="n"/>
      <c r="C121" s="22" t="n"/>
      <c r="D121" s="22" t="n"/>
      <c r="E121" s="22" t="n"/>
      <c r="F121" s="22" t="n"/>
      <c r="G121" s="22" t="n"/>
      <c r="H121" s="22" t="n"/>
      <c r="I121" s="22">
        <f>IF(OR(F121="",H121=""),"",IF(F121=H121,"","⚠ resolve"))</f>
        <v/>
      </c>
      <c r="J121" s="22" t="n"/>
    </row>
    <row r="122">
      <c r="A122" s="25">
        <f>IF(D122="","",ROW()-4)</f>
        <v/>
      </c>
      <c r="B122" s="25" t="n"/>
      <c r="C122" s="25" t="n"/>
      <c r="D122" s="25" t="n"/>
      <c r="E122" s="25" t="n"/>
      <c r="F122" s="25" t="n"/>
      <c r="G122" s="25" t="n"/>
      <c r="H122" s="25" t="n"/>
      <c r="I122" s="25">
        <f>IF(OR(F122="",H122=""),"",IF(F122=H122,"","⚠ resolve"))</f>
        <v/>
      </c>
      <c r="J122" s="25" t="n"/>
    </row>
    <row r="123">
      <c r="A123" s="22">
        <f>IF(D123="","",ROW()-4)</f>
        <v/>
      </c>
      <c r="B123" s="22" t="n"/>
      <c r="C123" s="22" t="n"/>
      <c r="D123" s="22" t="n"/>
      <c r="E123" s="22" t="n"/>
      <c r="F123" s="22" t="n"/>
      <c r="G123" s="22" t="n"/>
      <c r="H123" s="22" t="n"/>
      <c r="I123" s="22">
        <f>IF(OR(F123="",H123=""),"",IF(F123=H123,"","⚠ resolve"))</f>
        <v/>
      </c>
      <c r="J123" s="22" t="n"/>
    </row>
    <row r="124">
      <c r="A124" s="25">
        <f>IF(D124="","",ROW()-4)</f>
        <v/>
      </c>
      <c r="B124" s="25" t="n"/>
      <c r="C124" s="25" t="n"/>
      <c r="D124" s="25" t="n"/>
      <c r="E124" s="25" t="n"/>
      <c r="F124" s="25" t="n"/>
      <c r="G124" s="25" t="n"/>
      <c r="H124" s="25" t="n"/>
      <c r="I124" s="25">
        <f>IF(OR(F124="",H124=""),"",IF(F124=H124,"","⚠ resolve"))</f>
        <v/>
      </c>
      <c r="J124" s="25" t="n"/>
    </row>
    <row r="125">
      <c r="A125" s="22">
        <f>IF(D125="","",ROW()-4)</f>
        <v/>
      </c>
      <c r="B125" s="22" t="n"/>
      <c r="C125" s="22" t="n"/>
      <c r="D125" s="22" t="n"/>
      <c r="E125" s="22" t="n"/>
      <c r="F125" s="22" t="n"/>
      <c r="G125" s="22" t="n"/>
      <c r="H125" s="22" t="n"/>
      <c r="I125" s="22">
        <f>IF(OR(F125="",H125=""),"",IF(F125=H125,"","⚠ resolve"))</f>
        <v/>
      </c>
      <c r="J125" s="22" t="n"/>
    </row>
    <row r="126">
      <c r="A126" s="25">
        <f>IF(D126="","",ROW()-4)</f>
        <v/>
      </c>
      <c r="B126" s="25" t="n"/>
      <c r="C126" s="25" t="n"/>
      <c r="D126" s="25" t="n"/>
      <c r="E126" s="25" t="n"/>
      <c r="F126" s="25" t="n"/>
      <c r="G126" s="25" t="n"/>
      <c r="H126" s="25" t="n"/>
      <c r="I126" s="25">
        <f>IF(OR(F126="",H126=""),"",IF(F126=H126,"","⚠ resolve"))</f>
        <v/>
      </c>
      <c r="J126" s="25" t="n"/>
    </row>
    <row r="127">
      <c r="A127" s="22">
        <f>IF(D127="","",ROW()-4)</f>
        <v/>
      </c>
      <c r="B127" s="22" t="n"/>
      <c r="C127" s="22" t="n"/>
      <c r="D127" s="22" t="n"/>
      <c r="E127" s="22" t="n"/>
      <c r="F127" s="22" t="n"/>
      <c r="G127" s="22" t="n"/>
      <c r="H127" s="22" t="n"/>
      <c r="I127" s="22">
        <f>IF(OR(F127="",H127=""),"",IF(F127=H127,"","⚠ resolve"))</f>
        <v/>
      </c>
      <c r="J127" s="22" t="n"/>
    </row>
    <row r="128">
      <c r="A128" s="25">
        <f>IF(D128="","",ROW()-4)</f>
        <v/>
      </c>
      <c r="B128" s="25" t="n"/>
      <c r="C128" s="25" t="n"/>
      <c r="D128" s="25" t="n"/>
      <c r="E128" s="25" t="n"/>
      <c r="F128" s="25" t="n"/>
      <c r="G128" s="25" t="n"/>
      <c r="H128" s="25" t="n"/>
      <c r="I128" s="25">
        <f>IF(OR(F128="",H128=""),"",IF(F128=H128,"","⚠ resolve"))</f>
        <v/>
      </c>
      <c r="J128" s="25" t="n"/>
    </row>
    <row r="129">
      <c r="A129" s="22">
        <f>IF(D129="","",ROW()-4)</f>
        <v/>
      </c>
      <c r="B129" s="22" t="n"/>
      <c r="C129" s="22" t="n"/>
      <c r="D129" s="22" t="n"/>
      <c r="E129" s="22" t="n"/>
      <c r="F129" s="22" t="n"/>
      <c r="G129" s="22" t="n"/>
      <c r="H129" s="22" t="n"/>
      <c r="I129" s="22">
        <f>IF(OR(F129="",H129=""),"",IF(F129=H129,"","⚠ resolve"))</f>
        <v/>
      </c>
      <c r="J129" s="22" t="n"/>
    </row>
    <row r="130">
      <c r="A130" s="25">
        <f>IF(D130="","",ROW()-4)</f>
        <v/>
      </c>
      <c r="B130" s="25" t="n"/>
      <c r="C130" s="25" t="n"/>
      <c r="D130" s="25" t="n"/>
      <c r="E130" s="25" t="n"/>
      <c r="F130" s="25" t="n"/>
      <c r="G130" s="25" t="n"/>
      <c r="H130" s="25" t="n"/>
      <c r="I130" s="25">
        <f>IF(OR(F130="",H130=""),"",IF(F130=H130,"","⚠ resolve"))</f>
        <v/>
      </c>
      <c r="J130" s="25" t="n"/>
    </row>
    <row r="131">
      <c r="A131" s="22">
        <f>IF(D131="","",ROW()-4)</f>
        <v/>
      </c>
      <c r="B131" s="22" t="n"/>
      <c r="C131" s="22" t="n"/>
      <c r="D131" s="22" t="n"/>
      <c r="E131" s="22" t="n"/>
      <c r="F131" s="22" t="n"/>
      <c r="G131" s="22" t="n"/>
      <c r="H131" s="22" t="n"/>
      <c r="I131" s="22">
        <f>IF(OR(F131="",H131=""),"",IF(F131=H131,"","⚠ resolve"))</f>
        <v/>
      </c>
      <c r="J131" s="22" t="n"/>
    </row>
    <row r="132">
      <c r="A132" s="25">
        <f>IF(D132="","",ROW()-4)</f>
        <v/>
      </c>
      <c r="B132" s="25" t="n"/>
      <c r="C132" s="25" t="n"/>
      <c r="D132" s="25" t="n"/>
      <c r="E132" s="25" t="n"/>
      <c r="F132" s="25" t="n"/>
      <c r="G132" s="25" t="n"/>
      <c r="H132" s="25" t="n"/>
      <c r="I132" s="25">
        <f>IF(OR(F132="",H132=""),"",IF(F132=H132,"","⚠ resolve"))</f>
        <v/>
      </c>
      <c r="J132" s="25" t="n"/>
    </row>
    <row r="133">
      <c r="A133" s="22">
        <f>IF(D133="","",ROW()-4)</f>
        <v/>
      </c>
      <c r="B133" s="22" t="n"/>
      <c r="C133" s="22" t="n"/>
      <c r="D133" s="22" t="n"/>
      <c r="E133" s="22" t="n"/>
      <c r="F133" s="22" t="n"/>
      <c r="G133" s="22" t="n"/>
      <c r="H133" s="22" t="n"/>
      <c r="I133" s="22">
        <f>IF(OR(F133="",H133=""),"",IF(F133=H133,"","⚠ resolve"))</f>
        <v/>
      </c>
      <c r="J133" s="22" t="n"/>
    </row>
    <row r="134">
      <c r="A134" s="25">
        <f>IF(D134="","",ROW()-4)</f>
        <v/>
      </c>
      <c r="B134" s="25" t="n"/>
      <c r="C134" s="25" t="n"/>
      <c r="D134" s="25" t="n"/>
      <c r="E134" s="25" t="n"/>
      <c r="F134" s="25" t="n"/>
      <c r="G134" s="25" t="n"/>
      <c r="H134" s="25" t="n"/>
      <c r="I134" s="25">
        <f>IF(OR(F134="",H134=""),"",IF(F134=H134,"","⚠ resolve"))</f>
        <v/>
      </c>
      <c r="J134" s="25" t="n"/>
    </row>
    <row r="135">
      <c r="A135" s="22">
        <f>IF(D135="","",ROW()-4)</f>
        <v/>
      </c>
      <c r="B135" s="22" t="n"/>
      <c r="C135" s="22" t="n"/>
      <c r="D135" s="22" t="n"/>
      <c r="E135" s="22" t="n"/>
      <c r="F135" s="22" t="n"/>
      <c r="G135" s="22" t="n"/>
      <c r="H135" s="22" t="n"/>
      <c r="I135" s="22">
        <f>IF(OR(F135="",H135=""),"",IF(F135=H135,"","⚠ resolve"))</f>
        <v/>
      </c>
      <c r="J135" s="22" t="n"/>
    </row>
    <row r="136">
      <c r="A136" s="25">
        <f>IF(D136="","",ROW()-4)</f>
        <v/>
      </c>
      <c r="B136" s="25" t="n"/>
      <c r="C136" s="25" t="n"/>
      <c r="D136" s="25" t="n"/>
      <c r="E136" s="25" t="n"/>
      <c r="F136" s="25" t="n"/>
      <c r="G136" s="25" t="n"/>
      <c r="H136" s="25" t="n"/>
      <c r="I136" s="25">
        <f>IF(OR(F136="",H136=""),"",IF(F136=H136,"","⚠ resolve"))</f>
        <v/>
      </c>
      <c r="J136" s="25" t="n"/>
    </row>
    <row r="137">
      <c r="A137" s="22">
        <f>IF(D137="","",ROW()-4)</f>
        <v/>
      </c>
      <c r="B137" s="22" t="n"/>
      <c r="C137" s="22" t="n"/>
      <c r="D137" s="22" t="n"/>
      <c r="E137" s="22" t="n"/>
      <c r="F137" s="22" t="n"/>
      <c r="G137" s="22" t="n"/>
      <c r="H137" s="22" t="n"/>
      <c r="I137" s="22">
        <f>IF(OR(F137="",H137=""),"",IF(F137=H137,"","⚠ resolve"))</f>
        <v/>
      </c>
      <c r="J137" s="22" t="n"/>
    </row>
    <row r="138">
      <c r="A138" s="25">
        <f>IF(D138="","",ROW()-4)</f>
        <v/>
      </c>
      <c r="B138" s="25" t="n"/>
      <c r="C138" s="25" t="n"/>
      <c r="D138" s="25" t="n"/>
      <c r="E138" s="25" t="n"/>
      <c r="F138" s="25" t="n"/>
      <c r="G138" s="25" t="n"/>
      <c r="H138" s="25" t="n"/>
      <c r="I138" s="25">
        <f>IF(OR(F138="",H138=""),"",IF(F138=H138,"","⚠ resolve"))</f>
        <v/>
      </c>
      <c r="J138" s="25" t="n"/>
    </row>
    <row r="139">
      <c r="A139" s="22">
        <f>IF(D139="","",ROW()-4)</f>
        <v/>
      </c>
      <c r="B139" s="22" t="n"/>
      <c r="C139" s="22" t="n"/>
      <c r="D139" s="22" t="n"/>
      <c r="E139" s="22" t="n"/>
      <c r="F139" s="22" t="n"/>
      <c r="G139" s="22" t="n"/>
      <c r="H139" s="22" t="n"/>
      <c r="I139" s="22">
        <f>IF(OR(F139="",H139=""),"",IF(F139=H139,"","⚠ resolve"))</f>
        <v/>
      </c>
      <c r="J139" s="22" t="n"/>
    </row>
    <row r="140">
      <c r="A140" s="25">
        <f>IF(D140="","",ROW()-4)</f>
        <v/>
      </c>
      <c r="B140" s="25" t="n"/>
      <c r="C140" s="25" t="n"/>
      <c r="D140" s="25" t="n"/>
      <c r="E140" s="25" t="n"/>
      <c r="F140" s="25" t="n"/>
      <c r="G140" s="25" t="n"/>
      <c r="H140" s="25" t="n"/>
      <c r="I140" s="25">
        <f>IF(OR(F140="",H140=""),"",IF(F140=H140,"","⚠ resolve"))</f>
        <v/>
      </c>
      <c r="J140" s="25" t="n"/>
    </row>
    <row r="141">
      <c r="A141" s="22">
        <f>IF(D141="","",ROW()-4)</f>
        <v/>
      </c>
      <c r="B141" s="22" t="n"/>
      <c r="C141" s="22" t="n"/>
      <c r="D141" s="22" t="n"/>
      <c r="E141" s="22" t="n"/>
      <c r="F141" s="22" t="n"/>
      <c r="G141" s="22" t="n"/>
      <c r="H141" s="22" t="n"/>
      <c r="I141" s="22">
        <f>IF(OR(F141="",H141=""),"",IF(F141=H141,"","⚠ resolve"))</f>
        <v/>
      </c>
      <c r="J141" s="22" t="n"/>
    </row>
    <row r="142">
      <c r="A142" s="25">
        <f>IF(D142="","",ROW()-4)</f>
        <v/>
      </c>
      <c r="B142" s="25" t="n"/>
      <c r="C142" s="25" t="n"/>
      <c r="D142" s="25" t="n"/>
      <c r="E142" s="25" t="n"/>
      <c r="F142" s="25" t="n"/>
      <c r="G142" s="25" t="n"/>
      <c r="H142" s="25" t="n"/>
      <c r="I142" s="25">
        <f>IF(OR(F142="",H142=""),"",IF(F142=H142,"","⚠ resolve"))</f>
        <v/>
      </c>
      <c r="J142" s="25" t="n"/>
    </row>
    <row r="143">
      <c r="A143" s="22">
        <f>IF(D143="","",ROW()-4)</f>
        <v/>
      </c>
      <c r="B143" s="22" t="n"/>
      <c r="C143" s="22" t="n"/>
      <c r="D143" s="22" t="n"/>
      <c r="E143" s="22" t="n"/>
      <c r="F143" s="22" t="n"/>
      <c r="G143" s="22" t="n"/>
      <c r="H143" s="22" t="n"/>
      <c r="I143" s="22">
        <f>IF(OR(F143="",H143=""),"",IF(F143=H143,"","⚠ resolve"))</f>
        <v/>
      </c>
      <c r="J143" s="22" t="n"/>
    </row>
    <row r="144">
      <c r="A144" s="25">
        <f>IF(D144="","",ROW()-4)</f>
        <v/>
      </c>
      <c r="B144" s="25" t="n"/>
      <c r="C144" s="25" t="n"/>
      <c r="D144" s="25" t="n"/>
      <c r="E144" s="25" t="n"/>
      <c r="F144" s="25" t="n"/>
      <c r="G144" s="25" t="n"/>
      <c r="H144" s="25" t="n"/>
      <c r="I144" s="25">
        <f>IF(OR(F144="",H144=""),"",IF(F144=H144,"","⚠ resolve"))</f>
        <v/>
      </c>
      <c r="J144" s="25" t="n"/>
    </row>
    <row r="145">
      <c r="A145" s="22">
        <f>IF(D145="","",ROW()-4)</f>
        <v/>
      </c>
      <c r="B145" s="22" t="n"/>
      <c r="C145" s="22" t="n"/>
      <c r="D145" s="22" t="n"/>
      <c r="E145" s="22" t="n"/>
      <c r="F145" s="22" t="n"/>
      <c r="G145" s="22" t="n"/>
      <c r="H145" s="22" t="n"/>
      <c r="I145" s="22">
        <f>IF(OR(F145="",H145=""),"",IF(F145=H145,"","⚠ resolve"))</f>
        <v/>
      </c>
      <c r="J145" s="22" t="n"/>
    </row>
    <row r="146">
      <c r="A146" s="25">
        <f>IF(D146="","",ROW()-4)</f>
        <v/>
      </c>
      <c r="B146" s="25" t="n"/>
      <c r="C146" s="25" t="n"/>
      <c r="D146" s="25" t="n"/>
      <c r="E146" s="25" t="n"/>
      <c r="F146" s="25" t="n"/>
      <c r="G146" s="25" t="n"/>
      <c r="H146" s="25" t="n"/>
      <c r="I146" s="25">
        <f>IF(OR(F146="",H146=""),"",IF(F146=H146,"","⚠ resolve"))</f>
        <v/>
      </c>
      <c r="J146" s="25" t="n"/>
    </row>
    <row r="147">
      <c r="A147" s="22">
        <f>IF(D147="","",ROW()-4)</f>
        <v/>
      </c>
      <c r="B147" s="22" t="n"/>
      <c r="C147" s="22" t="n"/>
      <c r="D147" s="22" t="n"/>
      <c r="E147" s="22" t="n"/>
      <c r="F147" s="22" t="n"/>
      <c r="G147" s="22" t="n"/>
      <c r="H147" s="22" t="n"/>
      <c r="I147" s="22">
        <f>IF(OR(F147="",H147=""),"",IF(F147=H147,"","⚠ resolve"))</f>
        <v/>
      </c>
      <c r="J147" s="22" t="n"/>
    </row>
    <row r="148">
      <c r="A148" s="25">
        <f>IF(D148="","",ROW()-4)</f>
        <v/>
      </c>
      <c r="B148" s="25" t="n"/>
      <c r="C148" s="25" t="n"/>
      <c r="D148" s="25" t="n"/>
      <c r="E148" s="25" t="n"/>
      <c r="F148" s="25" t="n"/>
      <c r="G148" s="25" t="n"/>
      <c r="H148" s="25" t="n"/>
      <c r="I148" s="25">
        <f>IF(OR(F148="",H148=""),"",IF(F148=H148,"","⚠ resolve"))</f>
        <v/>
      </c>
      <c r="J148" s="25" t="n"/>
    </row>
    <row r="149">
      <c r="A149" s="22">
        <f>IF(D149="","",ROW()-4)</f>
        <v/>
      </c>
      <c r="B149" s="22" t="n"/>
      <c r="C149" s="22" t="n"/>
      <c r="D149" s="22" t="n"/>
      <c r="E149" s="22" t="n"/>
      <c r="F149" s="22" t="n"/>
      <c r="G149" s="22" t="n"/>
      <c r="H149" s="22" t="n"/>
      <c r="I149" s="22">
        <f>IF(OR(F149="",H149=""),"",IF(F149=H149,"","⚠ resolve"))</f>
        <v/>
      </c>
      <c r="J149" s="22" t="n"/>
    </row>
    <row r="150">
      <c r="A150" s="25">
        <f>IF(D150="","",ROW()-4)</f>
        <v/>
      </c>
      <c r="B150" s="25" t="n"/>
      <c r="C150" s="25" t="n"/>
      <c r="D150" s="25" t="n"/>
      <c r="E150" s="25" t="n"/>
      <c r="F150" s="25" t="n"/>
      <c r="G150" s="25" t="n"/>
      <c r="H150" s="25" t="n"/>
      <c r="I150" s="25">
        <f>IF(OR(F150="",H150=""),"",IF(F150=H150,"","⚠ resolve"))</f>
        <v/>
      </c>
      <c r="J150" s="25" t="n"/>
    </row>
    <row r="151">
      <c r="A151" s="22">
        <f>IF(D151="","",ROW()-4)</f>
        <v/>
      </c>
      <c r="B151" s="22" t="n"/>
      <c r="C151" s="22" t="n"/>
      <c r="D151" s="22" t="n"/>
      <c r="E151" s="22" t="n"/>
      <c r="F151" s="22" t="n"/>
      <c r="G151" s="22" t="n"/>
      <c r="H151" s="22" t="n"/>
      <c r="I151" s="22">
        <f>IF(OR(F151="",H151=""),"",IF(F151=H151,"","⚠ resolve"))</f>
        <v/>
      </c>
      <c r="J151" s="22" t="n"/>
    </row>
    <row r="152">
      <c r="A152" s="25">
        <f>IF(D152="","",ROW()-4)</f>
        <v/>
      </c>
      <c r="B152" s="25" t="n"/>
      <c r="C152" s="25" t="n"/>
      <c r="D152" s="25" t="n"/>
      <c r="E152" s="25" t="n"/>
      <c r="F152" s="25" t="n"/>
      <c r="G152" s="25" t="n"/>
      <c r="H152" s="25" t="n"/>
      <c r="I152" s="25">
        <f>IF(OR(F152="",H152=""),"",IF(F152=H152,"","⚠ resolve"))</f>
        <v/>
      </c>
      <c r="J152" s="25" t="n"/>
    </row>
    <row r="153">
      <c r="A153" s="22">
        <f>IF(D153="","",ROW()-4)</f>
        <v/>
      </c>
      <c r="B153" s="22" t="n"/>
      <c r="C153" s="22" t="n"/>
      <c r="D153" s="22" t="n"/>
      <c r="E153" s="22" t="n"/>
      <c r="F153" s="22" t="n"/>
      <c r="G153" s="22" t="n"/>
      <c r="H153" s="22" t="n"/>
      <c r="I153" s="22">
        <f>IF(OR(F153="",H153=""),"",IF(F153=H153,"","⚠ resolve"))</f>
        <v/>
      </c>
      <c r="J153" s="22" t="n"/>
    </row>
    <row r="154">
      <c r="A154" s="25">
        <f>IF(D154="","",ROW()-4)</f>
        <v/>
      </c>
      <c r="B154" s="25" t="n"/>
      <c r="C154" s="25" t="n"/>
      <c r="D154" s="25" t="n"/>
      <c r="E154" s="25" t="n"/>
      <c r="F154" s="25" t="n"/>
      <c r="G154" s="25" t="n"/>
      <c r="H154" s="25" t="n"/>
      <c r="I154" s="25">
        <f>IF(OR(F154="",H154=""),"",IF(F154=H154,"","⚠ resolve"))</f>
        <v/>
      </c>
      <c r="J154" s="25" t="n"/>
    </row>
    <row r="155">
      <c r="A155" s="22">
        <f>IF(D155="","",ROW()-4)</f>
        <v/>
      </c>
      <c r="B155" s="22" t="n"/>
      <c r="C155" s="22" t="n"/>
      <c r="D155" s="22" t="n"/>
      <c r="E155" s="22" t="n"/>
      <c r="F155" s="22" t="n"/>
      <c r="G155" s="22" t="n"/>
      <c r="H155" s="22" t="n"/>
      <c r="I155" s="22">
        <f>IF(OR(F155="",H155=""),"",IF(F155=H155,"","⚠ resolve"))</f>
        <v/>
      </c>
      <c r="J155" s="22" t="n"/>
    </row>
    <row r="156">
      <c r="A156" s="25">
        <f>IF(D156="","",ROW()-4)</f>
        <v/>
      </c>
      <c r="B156" s="25" t="n"/>
      <c r="C156" s="25" t="n"/>
      <c r="D156" s="25" t="n"/>
      <c r="E156" s="25" t="n"/>
      <c r="F156" s="25" t="n"/>
      <c r="G156" s="25" t="n"/>
      <c r="H156" s="25" t="n"/>
      <c r="I156" s="25">
        <f>IF(OR(F156="",H156=""),"",IF(F156=H156,"","⚠ resolve"))</f>
        <v/>
      </c>
      <c r="J156" s="25" t="n"/>
    </row>
    <row r="157">
      <c r="A157" s="22">
        <f>IF(D157="","",ROW()-4)</f>
        <v/>
      </c>
      <c r="B157" s="22" t="n"/>
      <c r="C157" s="22" t="n"/>
      <c r="D157" s="22" t="n"/>
      <c r="E157" s="22" t="n"/>
      <c r="F157" s="22" t="n"/>
      <c r="G157" s="22" t="n"/>
      <c r="H157" s="22" t="n"/>
      <c r="I157" s="22">
        <f>IF(OR(F157="",H157=""),"",IF(F157=H157,"","⚠ resolve"))</f>
        <v/>
      </c>
      <c r="J157" s="22" t="n"/>
    </row>
    <row r="158">
      <c r="A158" s="25">
        <f>IF(D158="","",ROW()-4)</f>
        <v/>
      </c>
      <c r="B158" s="25" t="n"/>
      <c r="C158" s="25" t="n"/>
      <c r="D158" s="25" t="n"/>
      <c r="E158" s="25" t="n"/>
      <c r="F158" s="25" t="n"/>
      <c r="G158" s="25" t="n"/>
      <c r="H158" s="25" t="n"/>
      <c r="I158" s="25">
        <f>IF(OR(F158="",H158=""),"",IF(F158=H158,"","⚠ resolve"))</f>
        <v/>
      </c>
      <c r="J158" s="25" t="n"/>
    </row>
    <row r="159">
      <c r="A159" s="22">
        <f>IF(D159="","",ROW()-4)</f>
        <v/>
      </c>
      <c r="B159" s="22" t="n"/>
      <c r="C159" s="22" t="n"/>
      <c r="D159" s="22" t="n"/>
      <c r="E159" s="22" t="n"/>
      <c r="F159" s="22" t="n"/>
      <c r="G159" s="22" t="n"/>
      <c r="H159" s="22" t="n"/>
      <c r="I159" s="22">
        <f>IF(OR(F159="",H159=""),"",IF(F159=H159,"","⚠ resolve"))</f>
        <v/>
      </c>
      <c r="J159" s="22" t="n"/>
    </row>
    <row r="160">
      <c r="A160" s="25">
        <f>IF(D160="","",ROW()-4)</f>
        <v/>
      </c>
      <c r="B160" s="25" t="n"/>
      <c r="C160" s="25" t="n"/>
      <c r="D160" s="25" t="n"/>
      <c r="E160" s="25" t="n"/>
      <c r="F160" s="25" t="n"/>
      <c r="G160" s="25" t="n"/>
      <c r="H160" s="25" t="n"/>
      <c r="I160" s="25">
        <f>IF(OR(F160="",H160=""),"",IF(F160=H160,"","⚠ resolve"))</f>
        <v/>
      </c>
      <c r="J160" s="25" t="n"/>
    </row>
    <row r="161">
      <c r="A161" s="22">
        <f>IF(D161="","",ROW()-4)</f>
        <v/>
      </c>
      <c r="B161" s="22" t="n"/>
      <c r="C161" s="22" t="n"/>
      <c r="D161" s="22" t="n"/>
      <c r="E161" s="22" t="n"/>
      <c r="F161" s="22" t="n"/>
      <c r="G161" s="22" t="n"/>
      <c r="H161" s="22" t="n"/>
      <c r="I161" s="22">
        <f>IF(OR(F161="",H161=""),"",IF(F161=H161,"","⚠ resolve"))</f>
        <v/>
      </c>
      <c r="J161" s="22" t="n"/>
    </row>
    <row r="162">
      <c r="A162" s="25">
        <f>IF(D162="","",ROW()-4)</f>
        <v/>
      </c>
      <c r="B162" s="25" t="n"/>
      <c r="C162" s="25" t="n"/>
      <c r="D162" s="25" t="n"/>
      <c r="E162" s="25" t="n"/>
      <c r="F162" s="25" t="n"/>
      <c r="G162" s="25" t="n"/>
      <c r="H162" s="25" t="n"/>
      <c r="I162" s="25">
        <f>IF(OR(F162="",H162=""),"",IF(F162=H162,"","⚠ resolve"))</f>
        <v/>
      </c>
      <c r="J162" s="25" t="n"/>
    </row>
    <row r="163">
      <c r="A163" s="22">
        <f>IF(D163="","",ROW()-4)</f>
        <v/>
      </c>
      <c r="B163" s="22" t="n"/>
      <c r="C163" s="22" t="n"/>
      <c r="D163" s="22" t="n"/>
      <c r="E163" s="22" t="n"/>
      <c r="F163" s="22" t="n"/>
      <c r="G163" s="22" t="n"/>
      <c r="H163" s="22" t="n"/>
      <c r="I163" s="22">
        <f>IF(OR(F163="",H163=""),"",IF(F163=H163,"","⚠ resolve"))</f>
        <v/>
      </c>
      <c r="J163" s="22" t="n"/>
    </row>
    <row r="164">
      <c r="A164" s="25">
        <f>IF(D164="","",ROW()-4)</f>
        <v/>
      </c>
      <c r="B164" s="25" t="n"/>
      <c r="C164" s="25" t="n"/>
      <c r="D164" s="25" t="n"/>
      <c r="E164" s="25" t="n"/>
      <c r="F164" s="25" t="n"/>
      <c r="G164" s="25" t="n"/>
      <c r="H164" s="25" t="n"/>
      <c r="I164" s="25">
        <f>IF(OR(F164="",H164=""),"",IF(F164=H164,"","⚠ resolve"))</f>
        <v/>
      </c>
      <c r="J164" s="25" t="n"/>
    </row>
    <row r="165">
      <c r="A165" s="22">
        <f>IF(D165="","",ROW()-4)</f>
        <v/>
      </c>
      <c r="B165" s="22" t="n"/>
      <c r="C165" s="22" t="n"/>
      <c r="D165" s="22" t="n"/>
      <c r="E165" s="22" t="n"/>
      <c r="F165" s="22" t="n"/>
      <c r="G165" s="22" t="n"/>
      <c r="H165" s="22" t="n"/>
      <c r="I165" s="22">
        <f>IF(OR(F165="",H165=""),"",IF(F165=H165,"","⚠ resolve"))</f>
        <v/>
      </c>
      <c r="J165" s="22" t="n"/>
    </row>
    <row r="166">
      <c r="A166" s="25">
        <f>IF(D166="","",ROW()-4)</f>
        <v/>
      </c>
      <c r="B166" s="25" t="n"/>
      <c r="C166" s="25" t="n"/>
      <c r="D166" s="25" t="n"/>
      <c r="E166" s="25" t="n"/>
      <c r="F166" s="25" t="n"/>
      <c r="G166" s="25" t="n"/>
      <c r="H166" s="25" t="n"/>
      <c r="I166" s="25">
        <f>IF(OR(F166="",H166=""),"",IF(F166=H166,"","⚠ resolve"))</f>
        <v/>
      </c>
      <c r="J166" s="25" t="n"/>
    </row>
    <row r="167">
      <c r="A167" s="22">
        <f>IF(D167="","",ROW()-4)</f>
        <v/>
      </c>
      <c r="B167" s="22" t="n"/>
      <c r="C167" s="22" t="n"/>
      <c r="D167" s="22" t="n"/>
      <c r="E167" s="22" t="n"/>
      <c r="F167" s="22" t="n"/>
      <c r="G167" s="22" t="n"/>
      <c r="H167" s="22" t="n"/>
      <c r="I167" s="22">
        <f>IF(OR(F167="",H167=""),"",IF(F167=H167,"","⚠ resolve"))</f>
        <v/>
      </c>
      <c r="J167" s="22" t="n"/>
    </row>
    <row r="168">
      <c r="A168" s="25">
        <f>IF(D168="","",ROW()-4)</f>
        <v/>
      </c>
      <c r="B168" s="25" t="n"/>
      <c r="C168" s="25" t="n"/>
      <c r="D168" s="25" t="n"/>
      <c r="E168" s="25" t="n"/>
      <c r="F168" s="25" t="n"/>
      <c r="G168" s="25" t="n"/>
      <c r="H168" s="25" t="n"/>
      <c r="I168" s="25">
        <f>IF(OR(F168="",H168=""),"",IF(F168=H168,"","⚠ resolve"))</f>
        <v/>
      </c>
      <c r="J168" s="25" t="n"/>
    </row>
    <row r="169">
      <c r="A169" s="22">
        <f>IF(D169="","",ROW()-4)</f>
        <v/>
      </c>
      <c r="B169" s="22" t="n"/>
      <c r="C169" s="22" t="n"/>
      <c r="D169" s="22" t="n"/>
      <c r="E169" s="22" t="n"/>
      <c r="F169" s="22" t="n"/>
      <c r="G169" s="22" t="n"/>
      <c r="H169" s="22" t="n"/>
      <c r="I169" s="22">
        <f>IF(OR(F169="",H169=""),"",IF(F169=H169,"","⚠ resolve"))</f>
        <v/>
      </c>
      <c r="J169" s="22" t="n"/>
    </row>
    <row r="170">
      <c r="A170" s="25">
        <f>IF(D170="","",ROW()-4)</f>
        <v/>
      </c>
      <c r="B170" s="25" t="n"/>
      <c r="C170" s="25" t="n"/>
      <c r="D170" s="25" t="n"/>
      <c r="E170" s="25" t="n"/>
      <c r="F170" s="25" t="n"/>
      <c r="G170" s="25" t="n"/>
      <c r="H170" s="25" t="n"/>
      <c r="I170" s="25">
        <f>IF(OR(F170="",H170=""),"",IF(F170=H170,"","⚠ resolve"))</f>
        <v/>
      </c>
      <c r="J170" s="25" t="n"/>
    </row>
    <row r="171">
      <c r="A171" s="22">
        <f>IF(D171="","",ROW()-4)</f>
        <v/>
      </c>
      <c r="B171" s="22" t="n"/>
      <c r="C171" s="22" t="n"/>
      <c r="D171" s="22" t="n"/>
      <c r="E171" s="22" t="n"/>
      <c r="F171" s="22" t="n"/>
      <c r="G171" s="22" t="n"/>
      <c r="H171" s="22" t="n"/>
      <c r="I171" s="22">
        <f>IF(OR(F171="",H171=""),"",IF(F171=H171,"","⚠ resolve"))</f>
        <v/>
      </c>
      <c r="J171" s="22" t="n"/>
    </row>
    <row r="172">
      <c r="A172" s="25">
        <f>IF(D172="","",ROW()-4)</f>
        <v/>
      </c>
      <c r="B172" s="25" t="n"/>
      <c r="C172" s="25" t="n"/>
      <c r="D172" s="25" t="n"/>
      <c r="E172" s="25" t="n"/>
      <c r="F172" s="25" t="n"/>
      <c r="G172" s="25" t="n"/>
      <c r="H172" s="25" t="n"/>
      <c r="I172" s="25">
        <f>IF(OR(F172="",H172=""),"",IF(F172=H172,"","⚠ resolve"))</f>
        <v/>
      </c>
      <c r="J172" s="25" t="n"/>
    </row>
    <row r="173">
      <c r="A173" s="22">
        <f>IF(D173="","",ROW()-4)</f>
        <v/>
      </c>
      <c r="B173" s="22" t="n"/>
      <c r="C173" s="22" t="n"/>
      <c r="D173" s="22" t="n"/>
      <c r="E173" s="22" t="n"/>
      <c r="F173" s="22" t="n"/>
      <c r="G173" s="22" t="n"/>
      <c r="H173" s="22" t="n"/>
      <c r="I173" s="22">
        <f>IF(OR(F173="",H173=""),"",IF(F173=H173,"","⚠ resolve"))</f>
        <v/>
      </c>
      <c r="J173" s="22" t="n"/>
    </row>
    <row r="174">
      <c r="A174" s="25">
        <f>IF(D174="","",ROW()-4)</f>
        <v/>
      </c>
      <c r="B174" s="25" t="n"/>
      <c r="C174" s="25" t="n"/>
      <c r="D174" s="25" t="n"/>
      <c r="E174" s="25" t="n"/>
      <c r="F174" s="25" t="n"/>
      <c r="G174" s="25" t="n"/>
      <c r="H174" s="25" t="n"/>
      <c r="I174" s="25">
        <f>IF(OR(F174="",H174=""),"",IF(F174=H174,"","⚠ resolve"))</f>
        <v/>
      </c>
      <c r="J174" s="25" t="n"/>
    </row>
    <row r="175">
      <c r="A175" s="22">
        <f>IF(D175="","",ROW()-4)</f>
        <v/>
      </c>
      <c r="B175" s="22" t="n"/>
      <c r="C175" s="22" t="n"/>
      <c r="D175" s="22" t="n"/>
      <c r="E175" s="22" t="n"/>
      <c r="F175" s="22" t="n"/>
      <c r="G175" s="22" t="n"/>
      <c r="H175" s="22" t="n"/>
      <c r="I175" s="22">
        <f>IF(OR(F175="",H175=""),"",IF(F175=H175,"","⚠ resolve"))</f>
        <v/>
      </c>
      <c r="J175" s="22" t="n"/>
    </row>
    <row r="176">
      <c r="A176" s="25">
        <f>IF(D176="","",ROW()-4)</f>
        <v/>
      </c>
      <c r="B176" s="25" t="n"/>
      <c r="C176" s="25" t="n"/>
      <c r="D176" s="25" t="n"/>
      <c r="E176" s="25" t="n"/>
      <c r="F176" s="25" t="n"/>
      <c r="G176" s="25" t="n"/>
      <c r="H176" s="25" t="n"/>
      <c r="I176" s="25">
        <f>IF(OR(F176="",H176=""),"",IF(F176=H176,"","⚠ resolve"))</f>
        <v/>
      </c>
      <c r="J176" s="25" t="n"/>
    </row>
    <row r="177">
      <c r="A177" s="22">
        <f>IF(D177="","",ROW()-4)</f>
        <v/>
      </c>
      <c r="B177" s="22" t="n"/>
      <c r="C177" s="22" t="n"/>
      <c r="D177" s="22" t="n"/>
      <c r="E177" s="22" t="n"/>
      <c r="F177" s="22" t="n"/>
      <c r="G177" s="22" t="n"/>
      <c r="H177" s="22" t="n"/>
      <c r="I177" s="22">
        <f>IF(OR(F177="",H177=""),"",IF(F177=H177,"","⚠ resolve"))</f>
        <v/>
      </c>
      <c r="J177" s="22" t="n"/>
    </row>
    <row r="178">
      <c r="A178" s="25">
        <f>IF(D178="","",ROW()-4)</f>
        <v/>
      </c>
      <c r="B178" s="25" t="n"/>
      <c r="C178" s="25" t="n"/>
      <c r="D178" s="25" t="n"/>
      <c r="E178" s="25" t="n"/>
      <c r="F178" s="25" t="n"/>
      <c r="G178" s="25" t="n"/>
      <c r="H178" s="25" t="n"/>
      <c r="I178" s="25">
        <f>IF(OR(F178="",H178=""),"",IF(F178=H178,"","⚠ resolve"))</f>
        <v/>
      </c>
      <c r="J178" s="25" t="n"/>
    </row>
    <row r="179">
      <c r="A179" s="22">
        <f>IF(D179="","",ROW()-4)</f>
        <v/>
      </c>
      <c r="B179" s="22" t="n"/>
      <c r="C179" s="22" t="n"/>
      <c r="D179" s="22" t="n"/>
      <c r="E179" s="22" t="n"/>
      <c r="F179" s="22" t="n"/>
      <c r="G179" s="22" t="n"/>
      <c r="H179" s="22" t="n"/>
      <c r="I179" s="22">
        <f>IF(OR(F179="",H179=""),"",IF(F179=H179,"","⚠ resolve"))</f>
        <v/>
      </c>
      <c r="J179" s="22" t="n"/>
    </row>
    <row r="180">
      <c r="A180" s="25">
        <f>IF(D180="","",ROW()-4)</f>
        <v/>
      </c>
      <c r="B180" s="25" t="n"/>
      <c r="C180" s="25" t="n"/>
      <c r="D180" s="25" t="n"/>
      <c r="E180" s="25" t="n"/>
      <c r="F180" s="25" t="n"/>
      <c r="G180" s="25" t="n"/>
      <c r="H180" s="25" t="n"/>
      <c r="I180" s="25">
        <f>IF(OR(F180="",H180=""),"",IF(F180=H180,"","⚠ resolve"))</f>
        <v/>
      </c>
      <c r="J180" s="25" t="n"/>
    </row>
    <row r="181">
      <c r="A181" s="22">
        <f>IF(D181="","",ROW()-4)</f>
        <v/>
      </c>
      <c r="B181" s="22" t="n"/>
      <c r="C181" s="22" t="n"/>
      <c r="D181" s="22" t="n"/>
      <c r="E181" s="22" t="n"/>
      <c r="F181" s="22" t="n"/>
      <c r="G181" s="22" t="n"/>
      <c r="H181" s="22" t="n"/>
      <c r="I181" s="22">
        <f>IF(OR(F181="",H181=""),"",IF(F181=H181,"","⚠ resolve"))</f>
        <v/>
      </c>
      <c r="J181" s="22" t="n"/>
    </row>
    <row r="182">
      <c r="A182" s="25">
        <f>IF(D182="","",ROW()-4)</f>
        <v/>
      </c>
      <c r="B182" s="25" t="n"/>
      <c r="C182" s="25" t="n"/>
      <c r="D182" s="25" t="n"/>
      <c r="E182" s="25" t="n"/>
      <c r="F182" s="25" t="n"/>
      <c r="G182" s="25" t="n"/>
      <c r="H182" s="25" t="n"/>
      <c r="I182" s="25">
        <f>IF(OR(F182="",H182=""),"",IF(F182=H182,"","⚠ resolve"))</f>
        <v/>
      </c>
      <c r="J182" s="25" t="n"/>
    </row>
    <row r="183">
      <c r="A183" s="22">
        <f>IF(D183="","",ROW()-4)</f>
        <v/>
      </c>
      <c r="B183" s="22" t="n"/>
      <c r="C183" s="22" t="n"/>
      <c r="D183" s="22" t="n"/>
      <c r="E183" s="22" t="n"/>
      <c r="F183" s="22" t="n"/>
      <c r="G183" s="22" t="n"/>
      <c r="H183" s="22" t="n"/>
      <c r="I183" s="22">
        <f>IF(OR(F183="",H183=""),"",IF(F183=H183,"","⚠ resolve"))</f>
        <v/>
      </c>
      <c r="J183" s="22" t="n"/>
    </row>
    <row r="184">
      <c r="A184" s="25">
        <f>IF(D184="","",ROW()-4)</f>
        <v/>
      </c>
      <c r="B184" s="25" t="n"/>
      <c r="C184" s="25" t="n"/>
      <c r="D184" s="25" t="n"/>
      <c r="E184" s="25" t="n"/>
      <c r="F184" s="25" t="n"/>
      <c r="G184" s="25" t="n"/>
      <c r="H184" s="25" t="n"/>
      <c r="I184" s="25">
        <f>IF(OR(F184="",H184=""),"",IF(F184=H184,"","⚠ resolve"))</f>
        <v/>
      </c>
      <c r="J184" s="25" t="n"/>
    </row>
    <row r="185">
      <c r="A185" s="22">
        <f>IF(D185="","",ROW()-4)</f>
        <v/>
      </c>
      <c r="B185" s="22" t="n"/>
      <c r="C185" s="22" t="n"/>
      <c r="D185" s="22" t="n"/>
      <c r="E185" s="22" t="n"/>
      <c r="F185" s="22" t="n"/>
      <c r="G185" s="22" t="n"/>
      <c r="H185" s="22" t="n"/>
      <c r="I185" s="22">
        <f>IF(OR(F185="",H185=""),"",IF(F185=H185,"","⚠ resolve"))</f>
        <v/>
      </c>
      <c r="J185" s="22" t="n"/>
    </row>
    <row r="186">
      <c r="A186" s="25">
        <f>IF(D186="","",ROW()-4)</f>
        <v/>
      </c>
      <c r="B186" s="25" t="n"/>
      <c r="C186" s="25" t="n"/>
      <c r="D186" s="25" t="n"/>
      <c r="E186" s="25" t="n"/>
      <c r="F186" s="25" t="n"/>
      <c r="G186" s="25" t="n"/>
      <c r="H186" s="25" t="n"/>
      <c r="I186" s="25">
        <f>IF(OR(F186="",H186=""),"",IF(F186=H186,"","⚠ resolve"))</f>
        <v/>
      </c>
      <c r="J186" s="25" t="n"/>
    </row>
    <row r="187">
      <c r="A187" s="22">
        <f>IF(D187="","",ROW()-4)</f>
        <v/>
      </c>
      <c r="B187" s="22" t="n"/>
      <c r="C187" s="22" t="n"/>
      <c r="D187" s="22" t="n"/>
      <c r="E187" s="22" t="n"/>
      <c r="F187" s="22" t="n"/>
      <c r="G187" s="22" t="n"/>
      <c r="H187" s="22" t="n"/>
      <c r="I187" s="22">
        <f>IF(OR(F187="",H187=""),"",IF(F187=H187,"","⚠ resolve"))</f>
        <v/>
      </c>
      <c r="J187" s="22" t="n"/>
    </row>
    <row r="188">
      <c r="A188" s="25">
        <f>IF(D188="","",ROW()-4)</f>
        <v/>
      </c>
      <c r="B188" s="25" t="n"/>
      <c r="C188" s="25" t="n"/>
      <c r="D188" s="25" t="n"/>
      <c r="E188" s="25" t="n"/>
      <c r="F188" s="25" t="n"/>
      <c r="G188" s="25" t="n"/>
      <c r="H188" s="25" t="n"/>
      <c r="I188" s="25">
        <f>IF(OR(F188="",H188=""),"",IF(F188=H188,"","⚠ resolve"))</f>
        <v/>
      </c>
      <c r="J188" s="25" t="n"/>
    </row>
    <row r="189">
      <c r="A189" s="22">
        <f>IF(D189="","",ROW()-4)</f>
        <v/>
      </c>
      <c r="B189" s="22" t="n"/>
      <c r="C189" s="22" t="n"/>
      <c r="D189" s="22" t="n"/>
      <c r="E189" s="22" t="n"/>
      <c r="F189" s="22" t="n"/>
      <c r="G189" s="22" t="n"/>
      <c r="H189" s="22" t="n"/>
      <c r="I189" s="22">
        <f>IF(OR(F189="",H189=""),"",IF(F189=H189,"","⚠ resolve"))</f>
        <v/>
      </c>
      <c r="J189" s="22" t="n"/>
    </row>
    <row r="190">
      <c r="A190" s="25">
        <f>IF(D190="","",ROW()-4)</f>
        <v/>
      </c>
      <c r="B190" s="25" t="n"/>
      <c r="C190" s="25" t="n"/>
      <c r="D190" s="25" t="n"/>
      <c r="E190" s="25" t="n"/>
      <c r="F190" s="25" t="n"/>
      <c r="G190" s="25" t="n"/>
      <c r="H190" s="25" t="n"/>
      <c r="I190" s="25">
        <f>IF(OR(F190="",H190=""),"",IF(F190=H190,"","⚠ resolve"))</f>
        <v/>
      </c>
      <c r="J190" s="25" t="n"/>
    </row>
    <row r="191">
      <c r="A191" s="22">
        <f>IF(D191="","",ROW()-4)</f>
        <v/>
      </c>
      <c r="B191" s="22" t="n"/>
      <c r="C191" s="22" t="n"/>
      <c r="D191" s="22" t="n"/>
      <c r="E191" s="22" t="n"/>
      <c r="F191" s="22" t="n"/>
      <c r="G191" s="22" t="n"/>
      <c r="H191" s="22" t="n"/>
      <c r="I191" s="22">
        <f>IF(OR(F191="",H191=""),"",IF(F191=H191,"","⚠ resolve"))</f>
        <v/>
      </c>
      <c r="J191" s="22" t="n"/>
    </row>
    <row r="192">
      <c r="A192" s="25">
        <f>IF(D192="","",ROW()-4)</f>
        <v/>
      </c>
      <c r="B192" s="25" t="n"/>
      <c r="C192" s="25" t="n"/>
      <c r="D192" s="25" t="n"/>
      <c r="E192" s="25" t="n"/>
      <c r="F192" s="25" t="n"/>
      <c r="G192" s="25" t="n"/>
      <c r="H192" s="25" t="n"/>
      <c r="I192" s="25">
        <f>IF(OR(F192="",H192=""),"",IF(F192=H192,"","⚠ resolve"))</f>
        <v/>
      </c>
      <c r="J192" s="25" t="n"/>
    </row>
    <row r="193">
      <c r="A193" s="22">
        <f>IF(D193="","",ROW()-4)</f>
        <v/>
      </c>
      <c r="B193" s="22" t="n"/>
      <c r="C193" s="22" t="n"/>
      <c r="D193" s="22" t="n"/>
      <c r="E193" s="22" t="n"/>
      <c r="F193" s="22" t="n"/>
      <c r="G193" s="22" t="n"/>
      <c r="H193" s="22" t="n"/>
      <c r="I193" s="22">
        <f>IF(OR(F193="",H193=""),"",IF(F193=H193,"","⚠ resolve"))</f>
        <v/>
      </c>
      <c r="J193" s="22" t="n"/>
    </row>
    <row r="194">
      <c r="A194" s="25">
        <f>IF(D194="","",ROW()-4)</f>
        <v/>
      </c>
      <c r="B194" s="25" t="n"/>
      <c r="C194" s="25" t="n"/>
      <c r="D194" s="25" t="n"/>
      <c r="E194" s="25" t="n"/>
      <c r="F194" s="25" t="n"/>
      <c r="G194" s="25" t="n"/>
      <c r="H194" s="25" t="n"/>
      <c r="I194" s="25">
        <f>IF(OR(F194="",H194=""),"",IF(F194=H194,"","⚠ resolve"))</f>
        <v/>
      </c>
      <c r="J194" s="25" t="n"/>
    </row>
    <row r="195">
      <c r="A195" s="22">
        <f>IF(D195="","",ROW()-4)</f>
        <v/>
      </c>
      <c r="B195" s="22" t="n"/>
      <c r="C195" s="22" t="n"/>
      <c r="D195" s="22" t="n"/>
      <c r="E195" s="22" t="n"/>
      <c r="F195" s="22" t="n"/>
      <c r="G195" s="22" t="n"/>
      <c r="H195" s="22" t="n"/>
      <c r="I195" s="22">
        <f>IF(OR(F195="",H195=""),"",IF(F195=H195,"","⚠ resolve"))</f>
        <v/>
      </c>
      <c r="J195" s="22" t="n"/>
    </row>
    <row r="196">
      <c r="A196" s="25">
        <f>IF(D196="","",ROW()-4)</f>
        <v/>
      </c>
      <c r="B196" s="25" t="n"/>
      <c r="C196" s="25" t="n"/>
      <c r="D196" s="25" t="n"/>
      <c r="E196" s="25" t="n"/>
      <c r="F196" s="25" t="n"/>
      <c r="G196" s="25" t="n"/>
      <c r="H196" s="25" t="n"/>
      <c r="I196" s="25">
        <f>IF(OR(F196="",H196=""),"",IF(F196=H196,"","⚠ resolve"))</f>
        <v/>
      </c>
      <c r="J196" s="25" t="n"/>
    </row>
    <row r="197">
      <c r="A197" s="22">
        <f>IF(D197="","",ROW()-4)</f>
        <v/>
      </c>
      <c r="B197" s="22" t="n"/>
      <c r="C197" s="22" t="n"/>
      <c r="D197" s="22" t="n"/>
      <c r="E197" s="22" t="n"/>
      <c r="F197" s="22" t="n"/>
      <c r="G197" s="22" t="n"/>
      <c r="H197" s="22" t="n"/>
      <c r="I197" s="22">
        <f>IF(OR(F197="",H197=""),"",IF(F197=H197,"","⚠ resolve"))</f>
        <v/>
      </c>
      <c r="J197" s="22" t="n"/>
    </row>
    <row r="198">
      <c r="A198" s="25">
        <f>IF(D198="","",ROW()-4)</f>
        <v/>
      </c>
      <c r="B198" s="25" t="n"/>
      <c r="C198" s="25" t="n"/>
      <c r="D198" s="25" t="n"/>
      <c r="E198" s="25" t="n"/>
      <c r="F198" s="25" t="n"/>
      <c r="G198" s="25" t="n"/>
      <c r="H198" s="25" t="n"/>
      <c r="I198" s="25">
        <f>IF(OR(F198="",H198=""),"",IF(F198=H198,"","⚠ resolve"))</f>
        <v/>
      </c>
      <c r="J198" s="25" t="n"/>
    </row>
    <row r="199">
      <c r="A199" s="22">
        <f>IF(D199="","",ROW()-4)</f>
        <v/>
      </c>
      <c r="B199" s="22" t="n"/>
      <c r="C199" s="22" t="n"/>
      <c r="D199" s="22" t="n"/>
      <c r="E199" s="22" t="n"/>
      <c r="F199" s="22" t="n"/>
      <c r="G199" s="22" t="n"/>
      <c r="H199" s="22" t="n"/>
      <c r="I199" s="22">
        <f>IF(OR(F199="",H199=""),"",IF(F199=H199,"","⚠ resolve"))</f>
        <v/>
      </c>
      <c r="J199" s="22" t="n"/>
    </row>
    <row r="200">
      <c r="A200" s="25">
        <f>IF(D200="","",ROW()-4)</f>
        <v/>
      </c>
      <c r="B200" s="25" t="n"/>
      <c r="C200" s="25" t="n"/>
      <c r="D200" s="25" t="n"/>
      <c r="E200" s="25" t="n"/>
      <c r="F200" s="25" t="n"/>
      <c r="G200" s="25" t="n"/>
      <c r="H200" s="25" t="n"/>
      <c r="I200" s="25">
        <f>IF(OR(F200="",H200=""),"",IF(F200=H200,"","⚠ resolve"))</f>
        <v/>
      </c>
      <c r="J200" s="25" t="n"/>
    </row>
    <row r="201">
      <c r="A201" s="22">
        <f>IF(D201="","",ROW()-4)</f>
        <v/>
      </c>
      <c r="B201" s="22" t="n"/>
      <c r="C201" s="22" t="n"/>
      <c r="D201" s="22" t="n"/>
      <c r="E201" s="22" t="n"/>
      <c r="F201" s="22" t="n"/>
      <c r="G201" s="22" t="n"/>
      <c r="H201" s="22" t="n"/>
      <c r="I201" s="22">
        <f>IF(OR(F201="",H201=""),"",IF(F201=H201,"","⚠ resolve"))</f>
        <v/>
      </c>
      <c r="J201" s="22" t="n"/>
    </row>
    <row r="202">
      <c r="A202" s="25">
        <f>IF(D202="","",ROW()-4)</f>
        <v/>
      </c>
      <c r="B202" s="25" t="n"/>
      <c r="C202" s="25" t="n"/>
      <c r="D202" s="25" t="n"/>
      <c r="E202" s="25" t="n"/>
      <c r="F202" s="25" t="n"/>
      <c r="G202" s="25" t="n"/>
      <c r="H202" s="25" t="n"/>
      <c r="I202" s="25">
        <f>IF(OR(F202="",H202=""),"",IF(F202=H202,"","⚠ resolve"))</f>
        <v/>
      </c>
      <c r="J202" s="25" t="n"/>
    </row>
    <row r="203">
      <c r="A203" s="22">
        <f>IF(D203="","",ROW()-4)</f>
        <v/>
      </c>
      <c r="B203" s="22" t="n"/>
      <c r="C203" s="22" t="n"/>
      <c r="D203" s="22" t="n"/>
      <c r="E203" s="22" t="n"/>
      <c r="F203" s="22" t="n"/>
      <c r="G203" s="22" t="n"/>
      <c r="H203" s="22" t="n"/>
      <c r="I203" s="22">
        <f>IF(OR(F203="",H203=""),"",IF(F203=H203,"","⚠ resolve"))</f>
        <v/>
      </c>
      <c r="J203" s="22" t="n"/>
    </row>
    <row r="204">
      <c r="A204" s="25">
        <f>IF(D204="","",ROW()-4)</f>
        <v/>
      </c>
      <c r="B204" s="25" t="n"/>
      <c r="C204" s="25" t="n"/>
      <c r="D204" s="25" t="n"/>
      <c r="E204" s="25" t="n"/>
      <c r="F204" s="25" t="n"/>
      <c r="G204" s="25" t="n"/>
      <c r="H204" s="25" t="n"/>
      <c r="I204" s="25">
        <f>IF(OR(F204="",H204=""),"",IF(F204=H204,"","⚠ resolve"))</f>
        <v/>
      </c>
      <c r="J204" s="25" t="n"/>
    </row>
    <row r="205">
      <c r="A205" s="22">
        <f>IF(D205="","",ROW()-4)</f>
        <v/>
      </c>
      <c r="B205" s="22" t="n"/>
      <c r="C205" s="22" t="n"/>
      <c r="D205" s="22" t="n"/>
      <c r="E205" s="22" t="n"/>
      <c r="F205" s="22" t="n"/>
      <c r="G205" s="22" t="n"/>
      <c r="H205" s="22" t="n"/>
      <c r="I205" s="22">
        <f>IF(OR(F205="",H205=""),"",IF(F205=H205,"","⚠ resolve"))</f>
        <v/>
      </c>
      <c r="J205" s="22" t="n"/>
    </row>
    <row r="206">
      <c r="A206" s="25">
        <f>IF(D206="","",ROW()-4)</f>
        <v/>
      </c>
      <c r="B206" s="25" t="n"/>
      <c r="C206" s="25" t="n"/>
      <c r="D206" s="25" t="n"/>
      <c r="E206" s="25" t="n"/>
      <c r="F206" s="25" t="n"/>
      <c r="G206" s="25" t="n"/>
      <c r="H206" s="25" t="n"/>
      <c r="I206" s="25">
        <f>IF(OR(F206="",H206=""),"",IF(F206=H206,"","⚠ resolve"))</f>
        <v/>
      </c>
      <c r="J206" s="25" t="n"/>
    </row>
    <row r="207">
      <c r="A207" s="22">
        <f>IF(D207="","",ROW()-4)</f>
        <v/>
      </c>
      <c r="B207" s="22" t="n"/>
      <c r="C207" s="22" t="n"/>
      <c r="D207" s="22" t="n"/>
      <c r="E207" s="22" t="n"/>
      <c r="F207" s="22" t="n"/>
      <c r="G207" s="22" t="n"/>
      <c r="H207" s="22" t="n"/>
      <c r="I207" s="22">
        <f>IF(OR(F207="",H207=""),"",IF(F207=H207,"","⚠ resolve"))</f>
        <v/>
      </c>
      <c r="J207" s="22" t="n"/>
    </row>
    <row r="208">
      <c r="A208" s="25">
        <f>IF(D208="","",ROW()-4)</f>
        <v/>
      </c>
      <c r="B208" s="25" t="n"/>
      <c r="C208" s="25" t="n"/>
      <c r="D208" s="25" t="n"/>
      <c r="E208" s="25" t="n"/>
      <c r="F208" s="25" t="n"/>
      <c r="G208" s="25" t="n"/>
      <c r="H208" s="25" t="n"/>
      <c r="I208" s="25">
        <f>IF(OR(F208="",H208=""),"",IF(F208=H208,"","⚠ resolve"))</f>
        <v/>
      </c>
      <c r="J208" s="25" t="n"/>
    </row>
    <row r="209">
      <c r="A209" s="22">
        <f>IF(D209="","",ROW()-4)</f>
        <v/>
      </c>
      <c r="B209" s="22" t="n"/>
      <c r="C209" s="22" t="n"/>
      <c r="D209" s="22" t="n"/>
      <c r="E209" s="22" t="n"/>
      <c r="F209" s="22" t="n"/>
      <c r="G209" s="22" t="n"/>
      <c r="H209" s="22" t="n"/>
      <c r="I209" s="22">
        <f>IF(OR(F209="",H209=""),"",IF(F209=H209,"","⚠ resolve"))</f>
        <v/>
      </c>
      <c r="J209" s="22" t="n"/>
    </row>
    <row r="210">
      <c r="A210" s="25">
        <f>IF(D210="","",ROW()-4)</f>
        <v/>
      </c>
      <c r="B210" s="25" t="n"/>
      <c r="C210" s="25" t="n"/>
      <c r="D210" s="25" t="n"/>
      <c r="E210" s="25" t="n"/>
      <c r="F210" s="25" t="n"/>
      <c r="G210" s="25" t="n"/>
      <c r="H210" s="25" t="n"/>
      <c r="I210" s="25">
        <f>IF(OR(F210="",H210=""),"",IF(F210=H210,"","⚠ resolve"))</f>
        <v/>
      </c>
      <c r="J210" s="25" t="n"/>
    </row>
    <row r="211">
      <c r="A211" s="22">
        <f>IF(D211="","",ROW()-4)</f>
        <v/>
      </c>
      <c r="B211" s="22" t="n"/>
      <c r="C211" s="22" t="n"/>
      <c r="D211" s="22" t="n"/>
      <c r="E211" s="22" t="n"/>
      <c r="F211" s="22" t="n"/>
      <c r="G211" s="22" t="n"/>
      <c r="H211" s="22" t="n"/>
      <c r="I211" s="22">
        <f>IF(OR(F211="",H211=""),"",IF(F211=H211,"","⚠ resolve"))</f>
        <v/>
      </c>
      <c r="J211" s="22" t="n"/>
    </row>
    <row r="212">
      <c r="A212" s="25">
        <f>IF(D212="","",ROW()-4)</f>
        <v/>
      </c>
      <c r="B212" s="25" t="n"/>
      <c r="C212" s="25" t="n"/>
      <c r="D212" s="25" t="n"/>
      <c r="E212" s="25" t="n"/>
      <c r="F212" s="25" t="n"/>
      <c r="G212" s="25" t="n"/>
      <c r="H212" s="25" t="n"/>
      <c r="I212" s="25">
        <f>IF(OR(F212="",H212=""),"",IF(F212=H212,"","⚠ resolve"))</f>
        <v/>
      </c>
      <c r="J212" s="25" t="n"/>
    </row>
    <row r="213">
      <c r="A213" s="22">
        <f>IF(D213="","",ROW()-4)</f>
        <v/>
      </c>
      <c r="B213" s="22" t="n"/>
      <c r="C213" s="22" t="n"/>
      <c r="D213" s="22" t="n"/>
      <c r="E213" s="22" t="n"/>
      <c r="F213" s="22" t="n"/>
      <c r="G213" s="22" t="n"/>
      <c r="H213" s="22" t="n"/>
      <c r="I213" s="22">
        <f>IF(OR(F213="",H213=""),"",IF(F213=H213,"","⚠ resolve"))</f>
        <v/>
      </c>
      <c r="J213" s="22" t="n"/>
    </row>
    <row r="214">
      <c r="A214" s="25">
        <f>IF(D214="","",ROW()-4)</f>
        <v/>
      </c>
      <c r="B214" s="25" t="n"/>
      <c r="C214" s="25" t="n"/>
      <c r="D214" s="25" t="n"/>
      <c r="E214" s="25" t="n"/>
      <c r="F214" s="25" t="n"/>
      <c r="G214" s="25" t="n"/>
      <c r="H214" s="25" t="n"/>
      <c r="I214" s="25">
        <f>IF(OR(F214="",H214=""),"",IF(F214=H214,"","⚠ resolve"))</f>
        <v/>
      </c>
      <c r="J214" s="25" t="n"/>
    </row>
    <row r="215">
      <c r="A215" s="22">
        <f>IF(D215="","",ROW()-4)</f>
        <v/>
      </c>
      <c r="B215" s="22" t="n"/>
      <c r="C215" s="22" t="n"/>
      <c r="D215" s="22" t="n"/>
      <c r="E215" s="22" t="n"/>
      <c r="F215" s="22" t="n"/>
      <c r="G215" s="22" t="n"/>
      <c r="H215" s="22" t="n"/>
      <c r="I215" s="22">
        <f>IF(OR(F215="",H215=""),"",IF(F215=H215,"","⚠ resolve"))</f>
        <v/>
      </c>
      <c r="J215" s="22" t="n"/>
    </row>
    <row r="216">
      <c r="A216" s="25">
        <f>IF(D216="","",ROW()-4)</f>
        <v/>
      </c>
      <c r="B216" s="25" t="n"/>
      <c r="C216" s="25" t="n"/>
      <c r="D216" s="25" t="n"/>
      <c r="E216" s="25" t="n"/>
      <c r="F216" s="25" t="n"/>
      <c r="G216" s="25" t="n"/>
      <c r="H216" s="25" t="n"/>
      <c r="I216" s="25">
        <f>IF(OR(F216="",H216=""),"",IF(F216=H216,"","⚠ resolve"))</f>
        <v/>
      </c>
      <c r="J216" s="25" t="n"/>
    </row>
    <row r="217">
      <c r="A217" s="22">
        <f>IF(D217="","",ROW()-4)</f>
        <v/>
      </c>
      <c r="B217" s="22" t="n"/>
      <c r="C217" s="22" t="n"/>
      <c r="D217" s="22" t="n"/>
      <c r="E217" s="22" t="n"/>
      <c r="F217" s="22" t="n"/>
      <c r="G217" s="22" t="n"/>
      <c r="H217" s="22" t="n"/>
      <c r="I217" s="22">
        <f>IF(OR(F217="",H217=""),"",IF(F217=H217,"","⚠ resolve"))</f>
        <v/>
      </c>
      <c r="J217" s="22" t="n"/>
    </row>
    <row r="218">
      <c r="A218" s="25">
        <f>IF(D218="","",ROW()-4)</f>
        <v/>
      </c>
      <c r="B218" s="25" t="n"/>
      <c r="C218" s="25" t="n"/>
      <c r="D218" s="25" t="n"/>
      <c r="E218" s="25" t="n"/>
      <c r="F218" s="25" t="n"/>
      <c r="G218" s="25" t="n"/>
      <c r="H218" s="25" t="n"/>
      <c r="I218" s="25">
        <f>IF(OR(F218="",H218=""),"",IF(F218=H218,"","⚠ resolve"))</f>
        <v/>
      </c>
      <c r="J218" s="25" t="n"/>
    </row>
    <row r="219">
      <c r="A219" s="22">
        <f>IF(D219="","",ROW()-4)</f>
        <v/>
      </c>
      <c r="B219" s="22" t="n"/>
      <c r="C219" s="22" t="n"/>
      <c r="D219" s="22" t="n"/>
      <c r="E219" s="22" t="n"/>
      <c r="F219" s="22" t="n"/>
      <c r="G219" s="22" t="n"/>
      <c r="H219" s="22" t="n"/>
      <c r="I219" s="22">
        <f>IF(OR(F219="",H219=""),"",IF(F219=H219,"","⚠ resolve"))</f>
        <v/>
      </c>
      <c r="J219" s="22" t="n"/>
    </row>
    <row r="220">
      <c r="A220" s="25">
        <f>IF(D220="","",ROW()-4)</f>
        <v/>
      </c>
      <c r="B220" s="25" t="n"/>
      <c r="C220" s="25" t="n"/>
      <c r="D220" s="25" t="n"/>
      <c r="E220" s="25" t="n"/>
      <c r="F220" s="25" t="n"/>
      <c r="G220" s="25" t="n"/>
      <c r="H220" s="25" t="n"/>
      <c r="I220" s="25">
        <f>IF(OR(F220="",H220=""),"",IF(F220=H220,"","⚠ resolve"))</f>
        <v/>
      </c>
      <c r="J220" s="25" t="n"/>
    </row>
    <row r="221">
      <c r="A221" s="22">
        <f>IF(D221="","",ROW()-4)</f>
        <v/>
      </c>
      <c r="B221" s="22" t="n"/>
      <c r="C221" s="22" t="n"/>
      <c r="D221" s="22" t="n"/>
      <c r="E221" s="22" t="n"/>
      <c r="F221" s="22" t="n"/>
      <c r="G221" s="22" t="n"/>
      <c r="H221" s="22" t="n"/>
      <c r="I221" s="22">
        <f>IF(OR(F221="",H221=""),"",IF(F221=H221,"","⚠ resolve"))</f>
        <v/>
      </c>
      <c r="J221" s="22" t="n"/>
    </row>
    <row r="222">
      <c r="A222" s="25">
        <f>IF(D222="","",ROW()-4)</f>
        <v/>
      </c>
      <c r="B222" s="25" t="n"/>
      <c r="C222" s="25" t="n"/>
      <c r="D222" s="25" t="n"/>
      <c r="E222" s="25" t="n"/>
      <c r="F222" s="25" t="n"/>
      <c r="G222" s="25" t="n"/>
      <c r="H222" s="25" t="n"/>
      <c r="I222" s="25">
        <f>IF(OR(F222="",H222=""),"",IF(F222=H222,"","⚠ resolve"))</f>
        <v/>
      </c>
      <c r="J222" s="25" t="n"/>
    </row>
    <row r="223">
      <c r="A223" s="22">
        <f>IF(D223="","",ROW()-4)</f>
        <v/>
      </c>
      <c r="B223" s="22" t="n"/>
      <c r="C223" s="22" t="n"/>
      <c r="D223" s="22" t="n"/>
      <c r="E223" s="22" t="n"/>
      <c r="F223" s="22" t="n"/>
      <c r="G223" s="22" t="n"/>
      <c r="H223" s="22" t="n"/>
      <c r="I223" s="22">
        <f>IF(OR(F223="",H223=""),"",IF(F223=H223,"","⚠ resolve"))</f>
        <v/>
      </c>
      <c r="J223" s="22" t="n"/>
    </row>
    <row r="224">
      <c r="A224" s="25">
        <f>IF(D224="","",ROW()-4)</f>
        <v/>
      </c>
      <c r="B224" s="25" t="n"/>
      <c r="C224" s="25" t="n"/>
      <c r="D224" s="25" t="n"/>
      <c r="E224" s="25" t="n"/>
      <c r="F224" s="25" t="n"/>
      <c r="G224" s="25" t="n"/>
      <c r="H224" s="25" t="n"/>
      <c r="I224" s="25">
        <f>IF(OR(F224="",H224=""),"",IF(F224=H224,"","⚠ resolve"))</f>
        <v/>
      </c>
      <c r="J224" s="25" t="n"/>
    </row>
    <row r="225">
      <c r="A225" s="22">
        <f>IF(D225="","",ROW()-4)</f>
        <v/>
      </c>
      <c r="B225" s="22" t="n"/>
      <c r="C225" s="22" t="n"/>
      <c r="D225" s="22" t="n"/>
      <c r="E225" s="22" t="n"/>
      <c r="F225" s="22" t="n"/>
      <c r="G225" s="22" t="n"/>
      <c r="H225" s="22" t="n"/>
      <c r="I225" s="22">
        <f>IF(OR(F225="",H225=""),"",IF(F225=H225,"","⚠ resolve"))</f>
        <v/>
      </c>
      <c r="J225" s="22" t="n"/>
    </row>
    <row r="226">
      <c r="A226" s="25">
        <f>IF(D226="","",ROW()-4)</f>
        <v/>
      </c>
      <c r="B226" s="25" t="n"/>
      <c r="C226" s="25" t="n"/>
      <c r="D226" s="25" t="n"/>
      <c r="E226" s="25" t="n"/>
      <c r="F226" s="25" t="n"/>
      <c r="G226" s="25" t="n"/>
      <c r="H226" s="25" t="n"/>
      <c r="I226" s="25">
        <f>IF(OR(F226="",H226=""),"",IF(F226=H226,"","⚠ resolve"))</f>
        <v/>
      </c>
      <c r="J226" s="25" t="n"/>
    </row>
    <row r="227">
      <c r="A227" s="22">
        <f>IF(D227="","",ROW()-4)</f>
        <v/>
      </c>
      <c r="B227" s="22" t="n"/>
      <c r="C227" s="22" t="n"/>
      <c r="D227" s="22" t="n"/>
      <c r="E227" s="22" t="n"/>
      <c r="F227" s="22" t="n"/>
      <c r="G227" s="22" t="n"/>
      <c r="H227" s="22" t="n"/>
      <c r="I227" s="22">
        <f>IF(OR(F227="",H227=""),"",IF(F227=H227,"","⚠ resolve"))</f>
        <v/>
      </c>
      <c r="J227" s="22" t="n"/>
    </row>
    <row r="228">
      <c r="A228" s="25">
        <f>IF(D228="","",ROW()-4)</f>
        <v/>
      </c>
      <c r="B228" s="25" t="n"/>
      <c r="C228" s="25" t="n"/>
      <c r="D228" s="25" t="n"/>
      <c r="E228" s="25" t="n"/>
      <c r="F228" s="25" t="n"/>
      <c r="G228" s="25" t="n"/>
      <c r="H228" s="25" t="n"/>
      <c r="I228" s="25">
        <f>IF(OR(F228="",H228=""),"",IF(F228=H228,"","⚠ resolve"))</f>
        <v/>
      </c>
      <c r="J228" s="25" t="n"/>
    </row>
    <row r="229">
      <c r="A229" s="22">
        <f>IF(D229="","",ROW()-4)</f>
        <v/>
      </c>
      <c r="B229" s="22" t="n"/>
      <c r="C229" s="22" t="n"/>
      <c r="D229" s="22" t="n"/>
      <c r="E229" s="22" t="n"/>
      <c r="F229" s="22" t="n"/>
      <c r="G229" s="22" t="n"/>
      <c r="H229" s="22" t="n"/>
      <c r="I229" s="22">
        <f>IF(OR(F229="",H229=""),"",IF(F229=H229,"","⚠ resolve"))</f>
        <v/>
      </c>
      <c r="J229" s="22" t="n"/>
    </row>
    <row r="230">
      <c r="A230" s="25">
        <f>IF(D230="","",ROW()-4)</f>
        <v/>
      </c>
      <c r="B230" s="25" t="n"/>
      <c r="C230" s="25" t="n"/>
      <c r="D230" s="25" t="n"/>
      <c r="E230" s="25" t="n"/>
      <c r="F230" s="25" t="n"/>
      <c r="G230" s="25" t="n"/>
      <c r="H230" s="25" t="n"/>
      <c r="I230" s="25">
        <f>IF(OR(F230="",H230=""),"",IF(F230=H230,"","⚠ resolve"))</f>
        <v/>
      </c>
      <c r="J230" s="25" t="n"/>
    </row>
    <row r="231">
      <c r="A231" s="22">
        <f>IF(D231="","",ROW()-4)</f>
        <v/>
      </c>
      <c r="B231" s="22" t="n"/>
      <c r="C231" s="22" t="n"/>
      <c r="D231" s="22" t="n"/>
      <c r="E231" s="22" t="n"/>
      <c r="F231" s="22" t="n"/>
      <c r="G231" s="22" t="n"/>
      <c r="H231" s="22" t="n"/>
      <c r="I231" s="22">
        <f>IF(OR(F231="",H231=""),"",IF(F231=H231,"","⚠ resolve"))</f>
        <v/>
      </c>
      <c r="J231" s="22" t="n"/>
    </row>
    <row r="232">
      <c r="A232" s="25">
        <f>IF(D232="","",ROW()-4)</f>
        <v/>
      </c>
      <c r="B232" s="25" t="n"/>
      <c r="C232" s="25" t="n"/>
      <c r="D232" s="25" t="n"/>
      <c r="E232" s="25" t="n"/>
      <c r="F232" s="25" t="n"/>
      <c r="G232" s="25" t="n"/>
      <c r="H232" s="25" t="n"/>
      <c r="I232" s="25">
        <f>IF(OR(F232="",H232=""),"",IF(F232=H232,"","⚠ resolve"))</f>
        <v/>
      </c>
      <c r="J232" s="25" t="n"/>
    </row>
    <row r="233">
      <c r="A233" s="22">
        <f>IF(D233="","",ROW()-4)</f>
        <v/>
      </c>
      <c r="B233" s="22" t="n"/>
      <c r="C233" s="22" t="n"/>
      <c r="D233" s="22" t="n"/>
      <c r="E233" s="22" t="n"/>
      <c r="F233" s="22" t="n"/>
      <c r="G233" s="22" t="n"/>
      <c r="H233" s="22" t="n"/>
      <c r="I233" s="22">
        <f>IF(OR(F233="",H233=""),"",IF(F233=H233,"","⚠ resolve"))</f>
        <v/>
      </c>
      <c r="J233" s="22" t="n"/>
    </row>
    <row r="234">
      <c r="A234" s="25">
        <f>IF(D234="","",ROW()-4)</f>
        <v/>
      </c>
      <c r="B234" s="25" t="n"/>
      <c r="C234" s="25" t="n"/>
      <c r="D234" s="25" t="n"/>
      <c r="E234" s="25" t="n"/>
      <c r="F234" s="25" t="n"/>
      <c r="G234" s="25" t="n"/>
      <c r="H234" s="25" t="n"/>
      <c r="I234" s="25">
        <f>IF(OR(F234="",H234=""),"",IF(F234=H234,"","⚠ resolve"))</f>
        <v/>
      </c>
      <c r="J234" s="25" t="n"/>
    </row>
    <row r="235">
      <c r="A235" s="22">
        <f>IF(D235="","",ROW()-4)</f>
        <v/>
      </c>
      <c r="B235" s="22" t="n"/>
      <c r="C235" s="22" t="n"/>
      <c r="D235" s="22" t="n"/>
      <c r="E235" s="22" t="n"/>
      <c r="F235" s="22" t="n"/>
      <c r="G235" s="22" t="n"/>
      <c r="H235" s="22" t="n"/>
      <c r="I235" s="22">
        <f>IF(OR(F235="",H235=""),"",IF(F235=H235,"","⚠ resolve"))</f>
        <v/>
      </c>
      <c r="J235" s="22" t="n"/>
    </row>
    <row r="236">
      <c r="A236" s="25">
        <f>IF(D236="","",ROW()-4)</f>
        <v/>
      </c>
      <c r="B236" s="25" t="n"/>
      <c r="C236" s="25" t="n"/>
      <c r="D236" s="25" t="n"/>
      <c r="E236" s="25" t="n"/>
      <c r="F236" s="25" t="n"/>
      <c r="G236" s="25" t="n"/>
      <c r="H236" s="25" t="n"/>
      <c r="I236" s="25">
        <f>IF(OR(F236="",H236=""),"",IF(F236=H236,"","⚠ resolve"))</f>
        <v/>
      </c>
      <c r="J236" s="25" t="n"/>
    </row>
    <row r="237">
      <c r="A237" s="22">
        <f>IF(D237="","",ROW()-4)</f>
        <v/>
      </c>
      <c r="B237" s="22" t="n"/>
      <c r="C237" s="22" t="n"/>
      <c r="D237" s="22" t="n"/>
      <c r="E237" s="22" t="n"/>
      <c r="F237" s="22" t="n"/>
      <c r="G237" s="22" t="n"/>
      <c r="H237" s="22" t="n"/>
      <c r="I237" s="22">
        <f>IF(OR(F237="",H237=""),"",IF(F237=H237,"","⚠ resolve"))</f>
        <v/>
      </c>
      <c r="J237" s="22" t="n"/>
    </row>
    <row r="238">
      <c r="A238" s="25">
        <f>IF(D238="","",ROW()-4)</f>
        <v/>
      </c>
      <c r="B238" s="25" t="n"/>
      <c r="C238" s="25" t="n"/>
      <c r="D238" s="25" t="n"/>
      <c r="E238" s="25" t="n"/>
      <c r="F238" s="25" t="n"/>
      <c r="G238" s="25" t="n"/>
      <c r="H238" s="25" t="n"/>
      <c r="I238" s="25">
        <f>IF(OR(F238="",H238=""),"",IF(F238=H238,"","⚠ resolve"))</f>
        <v/>
      </c>
      <c r="J238" s="25" t="n"/>
    </row>
    <row r="239">
      <c r="A239" s="22">
        <f>IF(D239="","",ROW()-4)</f>
        <v/>
      </c>
      <c r="B239" s="22" t="n"/>
      <c r="C239" s="22" t="n"/>
      <c r="D239" s="22" t="n"/>
      <c r="E239" s="22" t="n"/>
      <c r="F239" s="22" t="n"/>
      <c r="G239" s="22" t="n"/>
      <c r="H239" s="22" t="n"/>
      <c r="I239" s="22">
        <f>IF(OR(F239="",H239=""),"",IF(F239=H239,"","⚠ resolve"))</f>
        <v/>
      </c>
      <c r="J239" s="22" t="n"/>
    </row>
    <row r="240">
      <c r="A240" s="25">
        <f>IF(D240="","",ROW()-4)</f>
        <v/>
      </c>
      <c r="B240" s="25" t="n"/>
      <c r="C240" s="25" t="n"/>
      <c r="D240" s="25" t="n"/>
      <c r="E240" s="25" t="n"/>
      <c r="F240" s="25" t="n"/>
      <c r="G240" s="25" t="n"/>
      <c r="H240" s="25" t="n"/>
      <c r="I240" s="25">
        <f>IF(OR(F240="",H240=""),"",IF(F240=H240,"","⚠ resolve"))</f>
        <v/>
      </c>
      <c r="J240" s="25" t="n"/>
    </row>
    <row r="241">
      <c r="A241" s="22">
        <f>IF(D241="","",ROW()-4)</f>
        <v/>
      </c>
      <c r="B241" s="22" t="n"/>
      <c r="C241" s="22" t="n"/>
      <c r="D241" s="22" t="n"/>
      <c r="E241" s="22" t="n"/>
      <c r="F241" s="22" t="n"/>
      <c r="G241" s="22" t="n"/>
      <c r="H241" s="22" t="n"/>
      <c r="I241" s="22">
        <f>IF(OR(F241="",H241=""),"",IF(F241=H241,"","⚠ resolve"))</f>
        <v/>
      </c>
      <c r="J241" s="22" t="n"/>
    </row>
    <row r="242">
      <c r="A242" s="25">
        <f>IF(D242="","",ROW()-4)</f>
        <v/>
      </c>
      <c r="B242" s="25" t="n"/>
      <c r="C242" s="25" t="n"/>
      <c r="D242" s="25" t="n"/>
      <c r="E242" s="25" t="n"/>
      <c r="F242" s="25" t="n"/>
      <c r="G242" s="25" t="n"/>
      <c r="H242" s="25" t="n"/>
      <c r="I242" s="25">
        <f>IF(OR(F242="",H242=""),"",IF(F242=H242,"","⚠ resolve"))</f>
        <v/>
      </c>
      <c r="J242" s="25" t="n"/>
    </row>
    <row r="243">
      <c r="A243" s="22">
        <f>IF(D243="","",ROW()-4)</f>
        <v/>
      </c>
      <c r="B243" s="22" t="n"/>
      <c r="C243" s="22" t="n"/>
      <c r="D243" s="22" t="n"/>
      <c r="E243" s="22" t="n"/>
      <c r="F243" s="22" t="n"/>
      <c r="G243" s="22" t="n"/>
      <c r="H243" s="22" t="n"/>
      <c r="I243" s="22">
        <f>IF(OR(F243="",H243=""),"",IF(F243=H243,"","⚠ resolve"))</f>
        <v/>
      </c>
      <c r="J243" s="22" t="n"/>
    </row>
    <row r="244">
      <c r="A244" s="25">
        <f>IF(D244="","",ROW()-4)</f>
        <v/>
      </c>
      <c r="B244" s="25" t="n"/>
      <c r="C244" s="25" t="n"/>
      <c r="D244" s="25" t="n"/>
      <c r="E244" s="25" t="n"/>
      <c r="F244" s="25" t="n"/>
      <c r="G244" s="25" t="n"/>
      <c r="H244" s="25" t="n"/>
      <c r="I244" s="25">
        <f>IF(OR(F244="",H244=""),"",IF(F244=H244,"","⚠ resolve"))</f>
        <v/>
      </c>
      <c r="J244" s="25" t="n"/>
    </row>
    <row r="245">
      <c r="A245" s="22">
        <f>IF(D245="","",ROW()-4)</f>
        <v/>
      </c>
      <c r="B245" s="22" t="n"/>
      <c r="C245" s="22" t="n"/>
      <c r="D245" s="22" t="n"/>
      <c r="E245" s="22" t="n"/>
      <c r="F245" s="22" t="n"/>
      <c r="G245" s="22" t="n"/>
      <c r="H245" s="22" t="n"/>
      <c r="I245" s="22">
        <f>IF(OR(F245="",H245=""),"",IF(F245=H245,"","⚠ resolve"))</f>
        <v/>
      </c>
      <c r="J245" s="22" t="n"/>
    </row>
    <row r="246">
      <c r="A246" s="25">
        <f>IF(D246="","",ROW()-4)</f>
        <v/>
      </c>
      <c r="B246" s="25" t="n"/>
      <c r="C246" s="25" t="n"/>
      <c r="D246" s="25" t="n"/>
      <c r="E246" s="25" t="n"/>
      <c r="F246" s="25" t="n"/>
      <c r="G246" s="25" t="n"/>
      <c r="H246" s="25" t="n"/>
      <c r="I246" s="25">
        <f>IF(OR(F246="",H246=""),"",IF(F246=H246,"","⚠ resolve"))</f>
        <v/>
      </c>
      <c r="J246" s="25" t="n"/>
    </row>
    <row r="247">
      <c r="A247" s="22">
        <f>IF(D247="","",ROW()-4)</f>
        <v/>
      </c>
      <c r="B247" s="22" t="n"/>
      <c r="C247" s="22" t="n"/>
      <c r="D247" s="22" t="n"/>
      <c r="E247" s="22" t="n"/>
      <c r="F247" s="22" t="n"/>
      <c r="G247" s="22" t="n"/>
      <c r="H247" s="22" t="n"/>
      <c r="I247" s="22">
        <f>IF(OR(F247="",H247=""),"",IF(F247=H247,"","⚠ resolve"))</f>
        <v/>
      </c>
      <c r="J247" s="22" t="n"/>
    </row>
    <row r="248">
      <c r="A248" s="25">
        <f>IF(D248="","",ROW()-4)</f>
        <v/>
      </c>
      <c r="B248" s="25" t="n"/>
      <c r="C248" s="25" t="n"/>
      <c r="D248" s="25" t="n"/>
      <c r="E248" s="25" t="n"/>
      <c r="F248" s="25" t="n"/>
      <c r="G248" s="25" t="n"/>
      <c r="H248" s="25" t="n"/>
      <c r="I248" s="25">
        <f>IF(OR(F248="",H248=""),"",IF(F248=H248,"","⚠ resolve"))</f>
        <v/>
      </c>
      <c r="J248" s="25" t="n"/>
    </row>
    <row r="249">
      <c r="A249" s="22">
        <f>IF(D249="","",ROW()-4)</f>
        <v/>
      </c>
      <c r="B249" s="22" t="n"/>
      <c r="C249" s="22" t="n"/>
      <c r="D249" s="22" t="n"/>
      <c r="E249" s="22" t="n"/>
      <c r="F249" s="22" t="n"/>
      <c r="G249" s="22" t="n"/>
      <c r="H249" s="22" t="n"/>
      <c r="I249" s="22">
        <f>IF(OR(F249="",H249=""),"",IF(F249=H249,"","⚠ resolve"))</f>
        <v/>
      </c>
      <c r="J249" s="22" t="n"/>
    </row>
    <row r="250">
      <c r="A250" s="25">
        <f>IF(D250="","",ROW()-4)</f>
        <v/>
      </c>
      <c r="B250" s="25" t="n"/>
      <c r="C250" s="25" t="n"/>
      <c r="D250" s="25" t="n"/>
      <c r="E250" s="25" t="n"/>
      <c r="F250" s="25" t="n"/>
      <c r="G250" s="25" t="n"/>
      <c r="H250" s="25" t="n"/>
      <c r="I250" s="25">
        <f>IF(OR(F250="",H250=""),"",IF(F250=H250,"","⚠ resolve"))</f>
        <v/>
      </c>
      <c r="J250" s="25" t="n"/>
    </row>
    <row r="251">
      <c r="A251" s="22">
        <f>IF(D251="","",ROW()-4)</f>
        <v/>
      </c>
      <c r="B251" s="22" t="n"/>
      <c r="C251" s="22" t="n"/>
      <c r="D251" s="22" t="n"/>
      <c r="E251" s="22" t="n"/>
      <c r="F251" s="22" t="n"/>
      <c r="G251" s="22" t="n"/>
      <c r="H251" s="22" t="n"/>
      <c r="I251" s="22">
        <f>IF(OR(F251="",H251=""),"",IF(F251=H251,"","⚠ resolve"))</f>
        <v/>
      </c>
      <c r="J251" s="22" t="n"/>
    </row>
    <row r="252">
      <c r="A252" s="25">
        <f>IF(D252="","",ROW()-4)</f>
        <v/>
      </c>
      <c r="B252" s="25" t="n"/>
      <c r="C252" s="25" t="n"/>
      <c r="D252" s="25" t="n"/>
      <c r="E252" s="25" t="n"/>
      <c r="F252" s="25" t="n"/>
      <c r="G252" s="25" t="n"/>
      <c r="H252" s="25" t="n"/>
      <c r="I252" s="25">
        <f>IF(OR(F252="",H252=""),"",IF(F252=H252,"","⚠ resolve"))</f>
        <v/>
      </c>
      <c r="J252" s="25" t="n"/>
    </row>
    <row r="253">
      <c r="A253" s="22">
        <f>IF(D253="","",ROW()-4)</f>
        <v/>
      </c>
      <c r="B253" s="22" t="n"/>
      <c r="C253" s="22" t="n"/>
      <c r="D253" s="22" t="n"/>
      <c r="E253" s="22" t="n"/>
      <c r="F253" s="22" t="n"/>
      <c r="G253" s="22" t="n"/>
      <c r="H253" s="22" t="n"/>
      <c r="I253" s="22">
        <f>IF(OR(F253="",H253=""),"",IF(F253=H253,"","⚠ resolve"))</f>
        <v/>
      </c>
      <c r="J253" s="22" t="n"/>
    </row>
    <row r="254">
      <c r="A254" s="25">
        <f>IF(D254="","",ROW()-4)</f>
        <v/>
      </c>
      <c r="B254" s="25" t="n"/>
      <c r="C254" s="25" t="n"/>
      <c r="D254" s="25" t="n"/>
      <c r="E254" s="25" t="n"/>
      <c r="F254" s="25" t="n"/>
      <c r="G254" s="25" t="n"/>
      <c r="H254" s="25" t="n"/>
      <c r="I254" s="25">
        <f>IF(OR(F254="",H254=""),"",IF(F254=H254,"","⚠ resolve"))</f>
        <v/>
      </c>
      <c r="J254" s="25" t="n"/>
    </row>
    <row r="255">
      <c r="A255" s="22">
        <f>IF(D255="","",ROW()-4)</f>
        <v/>
      </c>
      <c r="B255" s="22" t="n"/>
      <c r="C255" s="22" t="n"/>
      <c r="D255" s="22" t="n"/>
      <c r="E255" s="22" t="n"/>
      <c r="F255" s="22" t="n"/>
      <c r="G255" s="22" t="n"/>
      <c r="H255" s="22" t="n"/>
      <c r="I255" s="22">
        <f>IF(OR(F255="",H255=""),"",IF(F255=H255,"","⚠ resolve"))</f>
        <v/>
      </c>
      <c r="J255" s="22" t="n"/>
    </row>
    <row r="256">
      <c r="A256" s="25">
        <f>IF(D256="","",ROW()-4)</f>
        <v/>
      </c>
      <c r="B256" s="25" t="n"/>
      <c r="C256" s="25" t="n"/>
      <c r="D256" s="25" t="n"/>
      <c r="E256" s="25" t="n"/>
      <c r="F256" s="25" t="n"/>
      <c r="G256" s="25" t="n"/>
      <c r="H256" s="25" t="n"/>
      <c r="I256" s="25">
        <f>IF(OR(F256="",H256=""),"",IF(F256=H256,"","⚠ resolve"))</f>
        <v/>
      </c>
      <c r="J256" s="25" t="n"/>
    </row>
    <row r="257">
      <c r="A257" s="22">
        <f>IF(D257="","",ROW()-4)</f>
        <v/>
      </c>
      <c r="B257" s="22" t="n"/>
      <c r="C257" s="22" t="n"/>
      <c r="D257" s="22" t="n"/>
      <c r="E257" s="22" t="n"/>
      <c r="F257" s="22" t="n"/>
      <c r="G257" s="22" t="n"/>
      <c r="H257" s="22" t="n"/>
      <c r="I257" s="22">
        <f>IF(OR(F257="",H257=""),"",IF(F257=H257,"","⚠ resolve"))</f>
        <v/>
      </c>
      <c r="J257" s="22" t="n"/>
    </row>
    <row r="258">
      <c r="A258" s="25">
        <f>IF(D258="","",ROW()-4)</f>
        <v/>
      </c>
      <c r="B258" s="25" t="n"/>
      <c r="C258" s="25" t="n"/>
      <c r="D258" s="25" t="n"/>
      <c r="E258" s="25" t="n"/>
      <c r="F258" s="25" t="n"/>
      <c r="G258" s="25" t="n"/>
      <c r="H258" s="25" t="n"/>
      <c r="I258" s="25">
        <f>IF(OR(F258="",H258=""),"",IF(F258=H258,"","⚠ resolve"))</f>
        <v/>
      </c>
      <c r="J258" s="25" t="n"/>
    </row>
    <row r="259">
      <c r="A259" s="22">
        <f>IF(D259="","",ROW()-4)</f>
        <v/>
      </c>
      <c r="B259" s="22" t="n"/>
      <c r="C259" s="22" t="n"/>
      <c r="D259" s="22" t="n"/>
      <c r="E259" s="22" t="n"/>
      <c r="F259" s="22" t="n"/>
      <c r="G259" s="22" t="n"/>
      <c r="H259" s="22" t="n"/>
      <c r="I259" s="22">
        <f>IF(OR(F259="",H259=""),"",IF(F259=H259,"","⚠ resolve"))</f>
        <v/>
      </c>
      <c r="J259" s="22" t="n"/>
    </row>
    <row r="260">
      <c r="A260" s="25">
        <f>IF(D260="","",ROW()-4)</f>
        <v/>
      </c>
      <c r="B260" s="25" t="n"/>
      <c r="C260" s="25" t="n"/>
      <c r="D260" s="25" t="n"/>
      <c r="E260" s="25" t="n"/>
      <c r="F260" s="25" t="n"/>
      <c r="G260" s="25" t="n"/>
      <c r="H260" s="25" t="n"/>
      <c r="I260" s="25">
        <f>IF(OR(F260="",H260=""),"",IF(F260=H260,"","⚠ resolve"))</f>
        <v/>
      </c>
      <c r="J260" s="25" t="n"/>
    </row>
    <row r="261">
      <c r="A261" s="22">
        <f>IF(D261="","",ROW()-4)</f>
        <v/>
      </c>
      <c r="B261" s="22" t="n"/>
      <c r="C261" s="22" t="n"/>
      <c r="D261" s="22" t="n"/>
      <c r="E261" s="22" t="n"/>
      <c r="F261" s="22" t="n"/>
      <c r="G261" s="22" t="n"/>
      <c r="H261" s="22" t="n"/>
      <c r="I261" s="22">
        <f>IF(OR(F261="",H261=""),"",IF(F261=H261,"","⚠ resolve"))</f>
        <v/>
      </c>
      <c r="J261" s="22" t="n"/>
    </row>
    <row r="262">
      <c r="A262" s="25">
        <f>IF(D262="","",ROW()-4)</f>
        <v/>
      </c>
      <c r="B262" s="25" t="n"/>
      <c r="C262" s="25" t="n"/>
      <c r="D262" s="25" t="n"/>
      <c r="E262" s="25" t="n"/>
      <c r="F262" s="25" t="n"/>
      <c r="G262" s="25" t="n"/>
      <c r="H262" s="25" t="n"/>
      <c r="I262" s="25">
        <f>IF(OR(F262="",H262=""),"",IF(F262=H262,"","⚠ resolve"))</f>
        <v/>
      </c>
      <c r="J262" s="25" t="n"/>
    </row>
    <row r="263">
      <c r="A263" s="22">
        <f>IF(D263="","",ROW()-4)</f>
        <v/>
      </c>
      <c r="B263" s="22" t="n"/>
      <c r="C263" s="22" t="n"/>
      <c r="D263" s="22" t="n"/>
      <c r="E263" s="22" t="n"/>
      <c r="F263" s="22" t="n"/>
      <c r="G263" s="22" t="n"/>
      <c r="H263" s="22" t="n"/>
      <c r="I263" s="22">
        <f>IF(OR(F263="",H263=""),"",IF(F263=H263,"","⚠ resolve"))</f>
        <v/>
      </c>
      <c r="J263" s="22" t="n"/>
    </row>
    <row r="264">
      <c r="A264" s="25">
        <f>IF(D264="","",ROW()-4)</f>
        <v/>
      </c>
      <c r="B264" s="25" t="n"/>
      <c r="C264" s="25" t="n"/>
      <c r="D264" s="25" t="n"/>
      <c r="E264" s="25" t="n"/>
      <c r="F264" s="25" t="n"/>
      <c r="G264" s="25" t="n"/>
      <c r="H264" s="25" t="n"/>
      <c r="I264" s="25">
        <f>IF(OR(F264="",H264=""),"",IF(F264=H264,"","⚠ resolve"))</f>
        <v/>
      </c>
      <c r="J264" s="25" t="n"/>
    </row>
    <row r="265">
      <c r="A265" s="22">
        <f>IF(D265="","",ROW()-4)</f>
        <v/>
      </c>
      <c r="B265" s="22" t="n"/>
      <c r="C265" s="22" t="n"/>
      <c r="D265" s="22" t="n"/>
      <c r="E265" s="22" t="n"/>
      <c r="F265" s="22" t="n"/>
      <c r="G265" s="22" t="n"/>
      <c r="H265" s="22" t="n"/>
      <c r="I265" s="22">
        <f>IF(OR(F265="",H265=""),"",IF(F265=H265,"","⚠ resolve"))</f>
        <v/>
      </c>
      <c r="J265" s="22" t="n"/>
    </row>
    <row r="266">
      <c r="A266" s="25">
        <f>IF(D266="","",ROW()-4)</f>
        <v/>
      </c>
      <c r="B266" s="25" t="n"/>
      <c r="C266" s="25" t="n"/>
      <c r="D266" s="25" t="n"/>
      <c r="E266" s="25" t="n"/>
      <c r="F266" s="25" t="n"/>
      <c r="G266" s="25" t="n"/>
      <c r="H266" s="25" t="n"/>
      <c r="I266" s="25">
        <f>IF(OR(F266="",H266=""),"",IF(F266=H266,"","⚠ resolve"))</f>
        <v/>
      </c>
      <c r="J266" s="25" t="n"/>
    </row>
    <row r="267">
      <c r="A267" s="22">
        <f>IF(D267="","",ROW()-4)</f>
        <v/>
      </c>
      <c r="B267" s="22" t="n"/>
      <c r="C267" s="22" t="n"/>
      <c r="D267" s="22" t="n"/>
      <c r="E267" s="22" t="n"/>
      <c r="F267" s="22" t="n"/>
      <c r="G267" s="22" t="n"/>
      <c r="H267" s="22" t="n"/>
      <c r="I267" s="22">
        <f>IF(OR(F267="",H267=""),"",IF(F267=H267,"","⚠ resolve"))</f>
        <v/>
      </c>
      <c r="J267" s="22" t="n"/>
    </row>
    <row r="268">
      <c r="A268" s="25">
        <f>IF(D268="","",ROW()-4)</f>
        <v/>
      </c>
      <c r="B268" s="25" t="n"/>
      <c r="C268" s="25" t="n"/>
      <c r="D268" s="25" t="n"/>
      <c r="E268" s="25" t="n"/>
      <c r="F268" s="25" t="n"/>
      <c r="G268" s="25" t="n"/>
      <c r="H268" s="25" t="n"/>
      <c r="I268" s="25">
        <f>IF(OR(F268="",H268=""),"",IF(F268=H268,"","⚠ resolve"))</f>
        <v/>
      </c>
      <c r="J268" s="25" t="n"/>
    </row>
    <row r="269">
      <c r="A269" s="22">
        <f>IF(D269="","",ROW()-4)</f>
        <v/>
      </c>
      <c r="B269" s="22" t="n"/>
      <c r="C269" s="22" t="n"/>
      <c r="D269" s="22" t="n"/>
      <c r="E269" s="22" t="n"/>
      <c r="F269" s="22" t="n"/>
      <c r="G269" s="22" t="n"/>
      <c r="H269" s="22" t="n"/>
      <c r="I269" s="22">
        <f>IF(OR(F269="",H269=""),"",IF(F269=H269,"","⚠ resolve"))</f>
        <v/>
      </c>
      <c r="J269" s="22" t="n"/>
    </row>
    <row r="270">
      <c r="A270" s="25">
        <f>IF(D270="","",ROW()-4)</f>
        <v/>
      </c>
      <c r="B270" s="25" t="n"/>
      <c r="C270" s="25" t="n"/>
      <c r="D270" s="25" t="n"/>
      <c r="E270" s="25" t="n"/>
      <c r="F270" s="25" t="n"/>
      <c r="G270" s="25" t="n"/>
      <c r="H270" s="25" t="n"/>
      <c r="I270" s="25">
        <f>IF(OR(F270="",H270=""),"",IF(F270=H270,"","⚠ resolve"))</f>
        <v/>
      </c>
      <c r="J270" s="25" t="n"/>
    </row>
    <row r="271">
      <c r="A271" s="22">
        <f>IF(D271="","",ROW()-4)</f>
        <v/>
      </c>
      <c r="B271" s="22" t="n"/>
      <c r="C271" s="22" t="n"/>
      <c r="D271" s="22" t="n"/>
      <c r="E271" s="22" t="n"/>
      <c r="F271" s="22" t="n"/>
      <c r="G271" s="22" t="n"/>
      <c r="H271" s="22" t="n"/>
      <c r="I271" s="22">
        <f>IF(OR(F271="",H271=""),"",IF(F271=H271,"","⚠ resolve"))</f>
        <v/>
      </c>
      <c r="J271" s="22" t="n"/>
    </row>
    <row r="272">
      <c r="A272" s="25">
        <f>IF(D272="","",ROW()-4)</f>
        <v/>
      </c>
      <c r="B272" s="25" t="n"/>
      <c r="C272" s="25" t="n"/>
      <c r="D272" s="25" t="n"/>
      <c r="E272" s="25" t="n"/>
      <c r="F272" s="25" t="n"/>
      <c r="G272" s="25" t="n"/>
      <c r="H272" s="25" t="n"/>
      <c r="I272" s="25">
        <f>IF(OR(F272="",H272=""),"",IF(F272=H272,"","⚠ resolve"))</f>
        <v/>
      </c>
      <c r="J272" s="25" t="n"/>
    </row>
    <row r="273">
      <c r="A273" s="22">
        <f>IF(D273="","",ROW()-4)</f>
        <v/>
      </c>
      <c r="B273" s="22" t="n"/>
      <c r="C273" s="22" t="n"/>
      <c r="D273" s="22" t="n"/>
      <c r="E273" s="22" t="n"/>
      <c r="F273" s="22" t="n"/>
      <c r="G273" s="22" t="n"/>
      <c r="H273" s="22" t="n"/>
      <c r="I273" s="22">
        <f>IF(OR(F273="",H273=""),"",IF(F273=H273,"","⚠ resolve"))</f>
        <v/>
      </c>
      <c r="J273" s="22" t="n"/>
    </row>
    <row r="274">
      <c r="A274" s="25">
        <f>IF(D274="","",ROW()-4)</f>
        <v/>
      </c>
      <c r="B274" s="25" t="n"/>
      <c r="C274" s="25" t="n"/>
      <c r="D274" s="25" t="n"/>
      <c r="E274" s="25" t="n"/>
      <c r="F274" s="25" t="n"/>
      <c r="G274" s="25" t="n"/>
      <c r="H274" s="25" t="n"/>
      <c r="I274" s="25">
        <f>IF(OR(F274="",H274=""),"",IF(F274=H274,"","⚠ resolve"))</f>
        <v/>
      </c>
      <c r="J274" s="25" t="n"/>
    </row>
    <row r="275">
      <c r="A275" s="22">
        <f>IF(D275="","",ROW()-4)</f>
        <v/>
      </c>
      <c r="B275" s="22" t="n"/>
      <c r="C275" s="22" t="n"/>
      <c r="D275" s="22" t="n"/>
      <c r="E275" s="22" t="n"/>
      <c r="F275" s="22" t="n"/>
      <c r="G275" s="22" t="n"/>
      <c r="H275" s="22" t="n"/>
      <c r="I275" s="22">
        <f>IF(OR(F275="",H275=""),"",IF(F275=H275,"","⚠ resolve"))</f>
        <v/>
      </c>
      <c r="J275" s="22" t="n"/>
    </row>
    <row r="276">
      <c r="A276" s="25">
        <f>IF(D276="","",ROW()-4)</f>
        <v/>
      </c>
      <c r="B276" s="25" t="n"/>
      <c r="C276" s="25" t="n"/>
      <c r="D276" s="25" t="n"/>
      <c r="E276" s="25" t="n"/>
      <c r="F276" s="25" t="n"/>
      <c r="G276" s="25" t="n"/>
      <c r="H276" s="25" t="n"/>
      <c r="I276" s="25">
        <f>IF(OR(F276="",H276=""),"",IF(F276=H276,"","⚠ resolve"))</f>
        <v/>
      </c>
      <c r="J276" s="25" t="n"/>
    </row>
    <row r="277">
      <c r="A277" s="22">
        <f>IF(D277="","",ROW()-4)</f>
        <v/>
      </c>
      <c r="B277" s="22" t="n"/>
      <c r="C277" s="22" t="n"/>
      <c r="D277" s="22" t="n"/>
      <c r="E277" s="22" t="n"/>
      <c r="F277" s="22" t="n"/>
      <c r="G277" s="22" t="n"/>
      <c r="H277" s="22" t="n"/>
      <c r="I277" s="22">
        <f>IF(OR(F277="",H277=""),"",IF(F277=H277,"","⚠ resolve"))</f>
        <v/>
      </c>
      <c r="J277" s="22" t="n"/>
    </row>
    <row r="278">
      <c r="A278" s="25">
        <f>IF(D278="","",ROW()-4)</f>
        <v/>
      </c>
      <c r="B278" s="25" t="n"/>
      <c r="C278" s="25" t="n"/>
      <c r="D278" s="25" t="n"/>
      <c r="E278" s="25" t="n"/>
      <c r="F278" s="25" t="n"/>
      <c r="G278" s="25" t="n"/>
      <c r="H278" s="25" t="n"/>
      <c r="I278" s="25">
        <f>IF(OR(F278="",H278=""),"",IF(F278=H278,"","⚠ resolve"))</f>
        <v/>
      </c>
      <c r="J278" s="25" t="n"/>
    </row>
    <row r="279">
      <c r="A279" s="22">
        <f>IF(D279="","",ROW()-4)</f>
        <v/>
      </c>
      <c r="B279" s="22" t="n"/>
      <c r="C279" s="22" t="n"/>
      <c r="D279" s="22" t="n"/>
      <c r="E279" s="22" t="n"/>
      <c r="F279" s="22" t="n"/>
      <c r="G279" s="22" t="n"/>
      <c r="H279" s="22" t="n"/>
      <c r="I279" s="22">
        <f>IF(OR(F279="",H279=""),"",IF(F279=H279,"","⚠ resolve"))</f>
        <v/>
      </c>
      <c r="J279" s="22" t="n"/>
    </row>
    <row r="280">
      <c r="A280" s="25">
        <f>IF(D280="","",ROW()-4)</f>
        <v/>
      </c>
      <c r="B280" s="25" t="n"/>
      <c r="C280" s="25" t="n"/>
      <c r="D280" s="25" t="n"/>
      <c r="E280" s="25" t="n"/>
      <c r="F280" s="25" t="n"/>
      <c r="G280" s="25" t="n"/>
      <c r="H280" s="25" t="n"/>
      <c r="I280" s="25">
        <f>IF(OR(F280="",H280=""),"",IF(F280=H280,"","⚠ resolve"))</f>
        <v/>
      </c>
      <c r="J280" s="25" t="n"/>
    </row>
    <row r="281">
      <c r="A281" s="22">
        <f>IF(D281="","",ROW()-4)</f>
        <v/>
      </c>
      <c r="B281" s="22" t="n"/>
      <c r="C281" s="22" t="n"/>
      <c r="D281" s="22" t="n"/>
      <c r="E281" s="22" t="n"/>
      <c r="F281" s="22" t="n"/>
      <c r="G281" s="22" t="n"/>
      <c r="H281" s="22" t="n"/>
      <c r="I281" s="22">
        <f>IF(OR(F281="",H281=""),"",IF(F281=H281,"","⚠ resolve"))</f>
        <v/>
      </c>
      <c r="J281" s="22" t="n"/>
    </row>
    <row r="282">
      <c r="A282" s="25">
        <f>IF(D282="","",ROW()-4)</f>
        <v/>
      </c>
      <c r="B282" s="25" t="n"/>
      <c r="C282" s="25" t="n"/>
      <c r="D282" s="25" t="n"/>
      <c r="E282" s="25" t="n"/>
      <c r="F282" s="25" t="n"/>
      <c r="G282" s="25" t="n"/>
      <c r="H282" s="25" t="n"/>
      <c r="I282" s="25">
        <f>IF(OR(F282="",H282=""),"",IF(F282=H282,"","⚠ resolve"))</f>
        <v/>
      </c>
      <c r="J282" s="25" t="n"/>
    </row>
    <row r="283">
      <c r="A283" s="22">
        <f>IF(D283="","",ROW()-4)</f>
        <v/>
      </c>
      <c r="B283" s="22" t="n"/>
      <c r="C283" s="22" t="n"/>
      <c r="D283" s="22" t="n"/>
      <c r="E283" s="22" t="n"/>
      <c r="F283" s="22" t="n"/>
      <c r="G283" s="22" t="n"/>
      <c r="H283" s="22" t="n"/>
      <c r="I283" s="22">
        <f>IF(OR(F283="",H283=""),"",IF(F283=H283,"","⚠ resolve"))</f>
        <v/>
      </c>
      <c r="J283" s="22" t="n"/>
    </row>
    <row r="284">
      <c r="A284" s="25">
        <f>IF(D284="","",ROW()-4)</f>
        <v/>
      </c>
      <c r="B284" s="25" t="n"/>
      <c r="C284" s="25" t="n"/>
      <c r="D284" s="25" t="n"/>
      <c r="E284" s="25" t="n"/>
      <c r="F284" s="25" t="n"/>
      <c r="G284" s="25" t="n"/>
      <c r="H284" s="25" t="n"/>
      <c r="I284" s="25">
        <f>IF(OR(F284="",H284=""),"",IF(F284=H284,"","⚠ resolve"))</f>
        <v/>
      </c>
      <c r="J284" s="25" t="n"/>
    </row>
    <row r="285">
      <c r="A285" s="22">
        <f>IF(D285="","",ROW()-4)</f>
        <v/>
      </c>
      <c r="B285" s="22" t="n"/>
      <c r="C285" s="22" t="n"/>
      <c r="D285" s="22" t="n"/>
      <c r="E285" s="22" t="n"/>
      <c r="F285" s="22" t="n"/>
      <c r="G285" s="22" t="n"/>
      <c r="H285" s="22" t="n"/>
      <c r="I285" s="22">
        <f>IF(OR(F285="",H285=""),"",IF(F285=H285,"","⚠ resolve"))</f>
        <v/>
      </c>
      <c r="J285" s="22" t="n"/>
    </row>
    <row r="286">
      <c r="A286" s="25">
        <f>IF(D286="","",ROW()-4)</f>
        <v/>
      </c>
      <c r="B286" s="25" t="n"/>
      <c r="C286" s="25" t="n"/>
      <c r="D286" s="25" t="n"/>
      <c r="E286" s="25" t="n"/>
      <c r="F286" s="25" t="n"/>
      <c r="G286" s="25" t="n"/>
      <c r="H286" s="25" t="n"/>
      <c r="I286" s="25">
        <f>IF(OR(F286="",H286=""),"",IF(F286=H286,"","⚠ resolve"))</f>
        <v/>
      </c>
      <c r="J286" s="25" t="n"/>
    </row>
    <row r="287">
      <c r="A287" s="22">
        <f>IF(D287="","",ROW()-4)</f>
        <v/>
      </c>
      <c r="B287" s="22" t="n"/>
      <c r="C287" s="22" t="n"/>
      <c r="D287" s="22" t="n"/>
      <c r="E287" s="22" t="n"/>
      <c r="F287" s="22" t="n"/>
      <c r="G287" s="22" t="n"/>
      <c r="H287" s="22" t="n"/>
      <c r="I287" s="22">
        <f>IF(OR(F287="",H287=""),"",IF(F287=H287,"","⚠ resolve"))</f>
        <v/>
      </c>
      <c r="J287" s="22" t="n"/>
    </row>
    <row r="288">
      <c r="A288" s="25">
        <f>IF(D288="","",ROW()-4)</f>
        <v/>
      </c>
      <c r="B288" s="25" t="n"/>
      <c r="C288" s="25" t="n"/>
      <c r="D288" s="25" t="n"/>
      <c r="E288" s="25" t="n"/>
      <c r="F288" s="25" t="n"/>
      <c r="G288" s="25" t="n"/>
      <c r="H288" s="25" t="n"/>
      <c r="I288" s="25">
        <f>IF(OR(F288="",H288=""),"",IF(F288=H288,"","⚠ resolve"))</f>
        <v/>
      </c>
      <c r="J288" s="25" t="n"/>
    </row>
    <row r="289">
      <c r="A289" s="22">
        <f>IF(D289="","",ROW()-4)</f>
        <v/>
      </c>
      <c r="B289" s="22" t="n"/>
      <c r="C289" s="22" t="n"/>
      <c r="D289" s="22" t="n"/>
      <c r="E289" s="22" t="n"/>
      <c r="F289" s="22" t="n"/>
      <c r="G289" s="22" t="n"/>
      <c r="H289" s="22" t="n"/>
      <c r="I289" s="22">
        <f>IF(OR(F289="",H289=""),"",IF(F289=H289,"","⚠ resolve"))</f>
        <v/>
      </c>
      <c r="J289" s="22" t="n"/>
    </row>
    <row r="290">
      <c r="A290" s="25">
        <f>IF(D290="","",ROW()-4)</f>
        <v/>
      </c>
      <c r="B290" s="25" t="n"/>
      <c r="C290" s="25" t="n"/>
      <c r="D290" s="25" t="n"/>
      <c r="E290" s="25" t="n"/>
      <c r="F290" s="25" t="n"/>
      <c r="G290" s="25" t="n"/>
      <c r="H290" s="25" t="n"/>
      <c r="I290" s="25">
        <f>IF(OR(F290="",H290=""),"",IF(F290=H290,"","⚠ resolve"))</f>
        <v/>
      </c>
      <c r="J290" s="25" t="n"/>
    </row>
    <row r="291">
      <c r="A291" s="22">
        <f>IF(D291="","",ROW()-4)</f>
        <v/>
      </c>
      <c r="B291" s="22" t="n"/>
      <c r="C291" s="22" t="n"/>
      <c r="D291" s="22" t="n"/>
      <c r="E291" s="22" t="n"/>
      <c r="F291" s="22" t="n"/>
      <c r="G291" s="22" t="n"/>
      <c r="H291" s="22" t="n"/>
      <c r="I291" s="22">
        <f>IF(OR(F291="",H291=""),"",IF(F291=H291,"","⚠ resolve"))</f>
        <v/>
      </c>
      <c r="J291" s="22" t="n"/>
    </row>
    <row r="292">
      <c r="A292" s="25">
        <f>IF(D292="","",ROW()-4)</f>
        <v/>
      </c>
      <c r="B292" s="25" t="n"/>
      <c r="C292" s="25" t="n"/>
      <c r="D292" s="25" t="n"/>
      <c r="E292" s="25" t="n"/>
      <c r="F292" s="25" t="n"/>
      <c r="G292" s="25" t="n"/>
      <c r="H292" s="25" t="n"/>
      <c r="I292" s="25">
        <f>IF(OR(F292="",H292=""),"",IF(F292=H292,"","⚠ resolve"))</f>
        <v/>
      </c>
      <c r="J292" s="25" t="n"/>
    </row>
    <row r="293">
      <c r="A293" s="22">
        <f>IF(D293="","",ROW()-4)</f>
        <v/>
      </c>
      <c r="B293" s="22" t="n"/>
      <c r="C293" s="22" t="n"/>
      <c r="D293" s="22" t="n"/>
      <c r="E293" s="22" t="n"/>
      <c r="F293" s="22" t="n"/>
      <c r="G293" s="22" t="n"/>
      <c r="H293" s="22" t="n"/>
      <c r="I293" s="22">
        <f>IF(OR(F293="",H293=""),"",IF(F293=H293,"","⚠ resolve"))</f>
        <v/>
      </c>
      <c r="J293" s="22" t="n"/>
    </row>
    <row r="294">
      <c r="A294" s="25">
        <f>IF(D294="","",ROW()-4)</f>
        <v/>
      </c>
      <c r="B294" s="25" t="n"/>
      <c r="C294" s="25" t="n"/>
      <c r="D294" s="25" t="n"/>
      <c r="E294" s="25" t="n"/>
      <c r="F294" s="25" t="n"/>
      <c r="G294" s="25" t="n"/>
      <c r="H294" s="25" t="n"/>
      <c r="I294" s="25">
        <f>IF(OR(F294="",H294=""),"",IF(F294=H294,"","⚠ resolve"))</f>
        <v/>
      </c>
      <c r="J294" s="25" t="n"/>
    </row>
    <row r="295">
      <c r="A295" s="22">
        <f>IF(D295="","",ROW()-4)</f>
        <v/>
      </c>
      <c r="B295" s="22" t="n"/>
      <c r="C295" s="22" t="n"/>
      <c r="D295" s="22" t="n"/>
      <c r="E295" s="22" t="n"/>
      <c r="F295" s="22" t="n"/>
      <c r="G295" s="22" t="n"/>
      <c r="H295" s="22" t="n"/>
      <c r="I295" s="22">
        <f>IF(OR(F295="",H295=""),"",IF(F295=H295,"","⚠ resolve"))</f>
        <v/>
      </c>
      <c r="J295" s="22" t="n"/>
    </row>
    <row r="296">
      <c r="A296" s="25">
        <f>IF(D296="","",ROW()-4)</f>
        <v/>
      </c>
      <c r="B296" s="25" t="n"/>
      <c r="C296" s="25" t="n"/>
      <c r="D296" s="25" t="n"/>
      <c r="E296" s="25" t="n"/>
      <c r="F296" s="25" t="n"/>
      <c r="G296" s="25" t="n"/>
      <c r="H296" s="25" t="n"/>
      <c r="I296" s="25">
        <f>IF(OR(F296="",H296=""),"",IF(F296=H296,"","⚠ resolve"))</f>
        <v/>
      </c>
      <c r="J296" s="25" t="n"/>
    </row>
    <row r="297">
      <c r="A297" s="22">
        <f>IF(D297="","",ROW()-4)</f>
        <v/>
      </c>
      <c r="B297" s="22" t="n"/>
      <c r="C297" s="22" t="n"/>
      <c r="D297" s="22" t="n"/>
      <c r="E297" s="22" t="n"/>
      <c r="F297" s="22" t="n"/>
      <c r="G297" s="22" t="n"/>
      <c r="H297" s="22" t="n"/>
      <c r="I297" s="22">
        <f>IF(OR(F297="",H297=""),"",IF(F297=H297,"","⚠ resolve"))</f>
        <v/>
      </c>
      <c r="J297" s="22" t="n"/>
    </row>
    <row r="298">
      <c r="A298" s="25">
        <f>IF(D298="","",ROW()-4)</f>
        <v/>
      </c>
      <c r="B298" s="25" t="n"/>
      <c r="C298" s="25" t="n"/>
      <c r="D298" s="25" t="n"/>
      <c r="E298" s="25" t="n"/>
      <c r="F298" s="25" t="n"/>
      <c r="G298" s="25" t="n"/>
      <c r="H298" s="25" t="n"/>
      <c r="I298" s="25">
        <f>IF(OR(F298="",H298=""),"",IF(F298=H298,"","⚠ resolve"))</f>
        <v/>
      </c>
      <c r="J298" s="25" t="n"/>
    </row>
    <row r="299">
      <c r="A299" s="22">
        <f>IF(D299="","",ROW()-4)</f>
        <v/>
      </c>
      <c r="B299" s="22" t="n"/>
      <c r="C299" s="22" t="n"/>
      <c r="D299" s="22" t="n"/>
      <c r="E299" s="22" t="n"/>
      <c r="F299" s="22" t="n"/>
      <c r="G299" s="22" t="n"/>
      <c r="H299" s="22" t="n"/>
      <c r="I299" s="22">
        <f>IF(OR(F299="",H299=""),"",IF(F299=H299,"","⚠ resolve"))</f>
        <v/>
      </c>
      <c r="J299" s="22" t="n"/>
    </row>
    <row r="300">
      <c r="A300" s="25">
        <f>IF(D300="","",ROW()-4)</f>
        <v/>
      </c>
      <c r="B300" s="25" t="n"/>
      <c r="C300" s="25" t="n"/>
      <c r="D300" s="25" t="n"/>
      <c r="E300" s="25" t="n"/>
      <c r="F300" s="25" t="n"/>
      <c r="G300" s="25" t="n"/>
      <c r="H300" s="25" t="n"/>
      <c r="I300" s="25">
        <f>IF(OR(F300="",H300=""),"",IF(F300=H300,"","⚠ resolve"))</f>
        <v/>
      </c>
      <c r="J300" s="25" t="n"/>
    </row>
    <row r="301">
      <c r="A301" s="22">
        <f>IF(D301="","",ROW()-4)</f>
        <v/>
      </c>
      <c r="B301" s="22" t="n"/>
      <c r="C301" s="22" t="n"/>
      <c r="D301" s="22" t="n"/>
      <c r="E301" s="22" t="n"/>
      <c r="F301" s="22" t="n"/>
      <c r="G301" s="22" t="n"/>
      <c r="H301" s="22" t="n"/>
      <c r="I301" s="22">
        <f>IF(OR(F301="",H301=""),"",IF(F301=H301,"","⚠ resolve"))</f>
        <v/>
      </c>
      <c r="J301" s="22" t="n"/>
    </row>
    <row r="302">
      <c r="A302" s="25">
        <f>IF(D302="","",ROW()-4)</f>
        <v/>
      </c>
      <c r="B302" s="25" t="n"/>
      <c r="C302" s="25" t="n"/>
      <c r="D302" s="25" t="n"/>
      <c r="E302" s="25" t="n"/>
      <c r="F302" s="25" t="n"/>
      <c r="G302" s="25" t="n"/>
      <c r="H302" s="25" t="n"/>
      <c r="I302" s="25">
        <f>IF(OR(F302="",H302=""),"",IF(F302=H302,"","⚠ resolve"))</f>
        <v/>
      </c>
      <c r="J302" s="25" t="n"/>
    </row>
    <row r="303">
      <c r="A303" s="22">
        <f>IF(D303="","",ROW()-4)</f>
        <v/>
      </c>
      <c r="B303" s="22" t="n"/>
      <c r="C303" s="22" t="n"/>
      <c r="D303" s="22" t="n"/>
      <c r="E303" s="22" t="n"/>
      <c r="F303" s="22" t="n"/>
      <c r="G303" s="22" t="n"/>
      <c r="H303" s="22" t="n"/>
      <c r="I303" s="22">
        <f>IF(OR(F303="",H303=""),"",IF(F303=H303,"","⚠ resolve"))</f>
        <v/>
      </c>
      <c r="J303" s="22" t="n"/>
    </row>
    <row r="304">
      <c r="A304" s="25">
        <f>IF(D304="","",ROW()-4)</f>
        <v/>
      </c>
      <c r="B304" s="25" t="n"/>
      <c r="C304" s="25" t="n"/>
      <c r="D304" s="25" t="n"/>
      <c r="E304" s="25" t="n"/>
      <c r="F304" s="25" t="n"/>
      <c r="G304" s="25" t="n"/>
      <c r="H304" s="25" t="n"/>
      <c r="I304" s="25">
        <f>IF(OR(F304="",H304=""),"",IF(F304=H304,"","⚠ resolve"))</f>
        <v/>
      </c>
      <c r="J304" s="25" t="n"/>
    </row>
    <row r="305">
      <c r="A305" s="22">
        <f>IF(D305="","",ROW()-4)</f>
        <v/>
      </c>
      <c r="B305" s="22" t="n"/>
      <c r="C305" s="22" t="n"/>
      <c r="D305" s="22" t="n"/>
      <c r="E305" s="22" t="n"/>
      <c r="F305" s="22" t="n"/>
      <c r="G305" s="22" t="n"/>
      <c r="H305" s="22" t="n"/>
      <c r="I305" s="22">
        <f>IF(OR(F305="",H305=""),"",IF(F305=H305,"","⚠ resolve"))</f>
        <v/>
      </c>
      <c r="J305" s="22" t="n"/>
    </row>
    <row r="306">
      <c r="A306" s="25">
        <f>IF(D306="","",ROW()-4)</f>
        <v/>
      </c>
      <c r="B306" s="25" t="n"/>
      <c r="C306" s="25" t="n"/>
      <c r="D306" s="25" t="n"/>
      <c r="E306" s="25" t="n"/>
      <c r="F306" s="25" t="n"/>
      <c r="G306" s="25" t="n"/>
      <c r="H306" s="25" t="n"/>
      <c r="I306" s="25">
        <f>IF(OR(F306="",H306=""),"",IF(F306=H306,"","⚠ resolve"))</f>
        <v/>
      </c>
      <c r="J306" s="25" t="n"/>
    </row>
    <row r="307">
      <c r="A307" s="22">
        <f>IF(D307="","",ROW()-4)</f>
        <v/>
      </c>
      <c r="B307" s="22" t="n"/>
      <c r="C307" s="22" t="n"/>
      <c r="D307" s="22" t="n"/>
      <c r="E307" s="22" t="n"/>
      <c r="F307" s="22" t="n"/>
      <c r="G307" s="22" t="n"/>
      <c r="H307" s="22" t="n"/>
      <c r="I307" s="22">
        <f>IF(OR(F307="",H307=""),"",IF(F307=H307,"","⚠ resolve"))</f>
        <v/>
      </c>
      <c r="J307" s="22" t="n"/>
    </row>
    <row r="308">
      <c r="A308" s="25">
        <f>IF(D308="","",ROW()-4)</f>
        <v/>
      </c>
      <c r="B308" s="25" t="n"/>
      <c r="C308" s="25" t="n"/>
      <c r="D308" s="25" t="n"/>
      <c r="E308" s="25" t="n"/>
      <c r="F308" s="25" t="n"/>
      <c r="G308" s="25" t="n"/>
      <c r="H308" s="25" t="n"/>
      <c r="I308" s="25">
        <f>IF(OR(F308="",H308=""),"",IF(F308=H308,"","⚠ resolve"))</f>
        <v/>
      </c>
      <c r="J308" s="25" t="n"/>
    </row>
    <row r="309">
      <c r="A309" s="22">
        <f>IF(D309="","",ROW()-4)</f>
        <v/>
      </c>
      <c r="B309" s="22" t="n"/>
      <c r="C309" s="22" t="n"/>
      <c r="D309" s="22" t="n"/>
      <c r="E309" s="22" t="n"/>
      <c r="F309" s="22" t="n"/>
      <c r="G309" s="22" t="n"/>
      <c r="H309" s="22" t="n"/>
      <c r="I309" s="22">
        <f>IF(OR(F309="",H309=""),"",IF(F309=H309,"","⚠ resolve"))</f>
        <v/>
      </c>
      <c r="J309" s="22" t="n"/>
    </row>
    <row r="310">
      <c r="A310" s="25">
        <f>IF(D310="","",ROW()-4)</f>
        <v/>
      </c>
      <c r="B310" s="25" t="n"/>
      <c r="C310" s="25" t="n"/>
      <c r="D310" s="25" t="n"/>
      <c r="E310" s="25" t="n"/>
      <c r="F310" s="25" t="n"/>
      <c r="G310" s="25" t="n"/>
      <c r="H310" s="25" t="n"/>
      <c r="I310" s="25">
        <f>IF(OR(F310="",H310=""),"",IF(F310=H310,"","⚠ resolve"))</f>
        <v/>
      </c>
      <c r="J310" s="25" t="n"/>
    </row>
    <row r="311">
      <c r="A311" s="22">
        <f>IF(D311="","",ROW()-4)</f>
        <v/>
      </c>
      <c r="B311" s="22" t="n"/>
      <c r="C311" s="22" t="n"/>
      <c r="D311" s="22" t="n"/>
      <c r="E311" s="22" t="n"/>
      <c r="F311" s="22" t="n"/>
      <c r="G311" s="22" t="n"/>
      <c r="H311" s="22" t="n"/>
      <c r="I311" s="22">
        <f>IF(OR(F311="",H311=""),"",IF(F311=H311,"","⚠ resolve"))</f>
        <v/>
      </c>
      <c r="J311" s="22" t="n"/>
    </row>
    <row r="312">
      <c r="A312" s="25">
        <f>IF(D312="","",ROW()-4)</f>
        <v/>
      </c>
      <c r="B312" s="25" t="n"/>
      <c r="C312" s="25" t="n"/>
      <c r="D312" s="25" t="n"/>
      <c r="E312" s="25" t="n"/>
      <c r="F312" s="25" t="n"/>
      <c r="G312" s="25" t="n"/>
      <c r="H312" s="25" t="n"/>
      <c r="I312" s="25">
        <f>IF(OR(F312="",H312=""),"",IF(F312=H312,"","⚠ resolve"))</f>
        <v/>
      </c>
      <c r="J312" s="25" t="n"/>
    </row>
    <row r="313">
      <c r="A313" s="22">
        <f>IF(D313="","",ROW()-4)</f>
        <v/>
      </c>
      <c r="B313" s="22" t="n"/>
      <c r="C313" s="22" t="n"/>
      <c r="D313" s="22" t="n"/>
      <c r="E313" s="22" t="n"/>
      <c r="F313" s="22" t="n"/>
      <c r="G313" s="22" t="n"/>
      <c r="H313" s="22" t="n"/>
      <c r="I313" s="22">
        <f>IF(OR(F313="",H313=""),"",IF(F313=H313,"","⚠ resolve"))</f>
        <v/>
      </c>
      <c r="J313" s="22" t="n"/>
    </row>
    <row r="314">
      <c r="A314" s="25">
        <f>IF(D314="","",ROW()-4)</f>
        <v/>
      </c>
      <c r="B314" s="25" t="n"/>
      <c r="C314" s="25" t="n"/>
      <c r="D314" s="25" t="n"/>
      <c r="E314" s="25" t="n"/>
      <c r="F314" s="25" t="n"/>
      <c r="G314" s="25" t="n"/>
      <c r="H314" s="25" t="n"/>
      <c r="I314" s="25">
        <f>IF(OR(F314="",H314=""),"",IF(F314=H314,"","⚠ resolve"))</f>
        <v/>
      </c>
      <c r="J314" s="25" t="n"/>
    </row>
    <row r="315">
      <c r="A315" s="22">
        <f>IF(D315="","",ROW()-4)</f>
        <v/>
      </c>
      <c r="B315" s="22" t="n"/>
      <c r="C315" s="22" t="n"/>
      <c r="D315" s="22" t="n"/>
      <c r="E315" s="22" t="n"/>
      <c r="F315" s="22" t="n"/>
      <c r="G315" s="22" t="n"/>
      <c r="H315" s="22" t="n"/>
      <c r="I315" s="22">
        <f>IF(OR(F315="",H315=""),"",IF(F315=H315,"","⚠ resolve"))</f>
        <v/>
      </c>
      <c r="J315" s="22" t="n"/>
    </row>
    <row r="316">
      <c r="A316" s="25">
        <f>IF(D316="","",ROW()-4)</f>
        <v/>
      </c>
      <c r="B316" s="25" t="n"/>
      <c r="C316" s="25" t="n"/>
      <c r="D316" s="25" t="n"/>
      <c r="E316" s="25" t="n"/>
      <c r="F316" s="25" t="n"/>
      <c r="G316" s="25" t="n"/>
      <c r="H316" s="25" t="n"/>
      <c r="I316" s="25">
        <f>IF(OR(F316="",H316=""),"",IF(F316=H316,"","⚠ resolve"))</f>
        <v/>
      </c>
      <c r="J316" s="25" t="n"/>
    </row>
    <row r="317">
      <c r="A317" s="22">
        <f>IF(D317="","",ROW()-4)</f>
        <v/>
      </c>
      <c r="B317" s="22" t="n"/>
      <c r="C317" s="22" t="n"/>
      <c r="D317" s="22" t="n"/>
      <c r="E317" s="22" t="n"/>
      <c r="F317" s="22" t="n"/>
      <c r="G317" s="22" t="n"/>
      <c r="H317" s="22" t="n"/>
      <c r="I317" s="22">
        <f>IF(OR(F317="",H317=""),"",IF(F317=H317,"","⚠ resolve"))</f>
        <v/>
      </c>
      <c r="J317" s="22" t="n"/>
    </row>
    <row r="318">
      <c r="A318" s="25">
        <f>IF(D318="","",ROW()-4)</f>
        <v/>
      </c>
      <c r="B318" s="25" t="n"/>
      <c r="C318" s="25" t="n"/>
      <c r="D318" s="25" t="n"/>
      <c r="E318" s="25" t="n"/>
      <c r="F318" s="25" t="n"/>
      <c r="G318" s="25" t="n"/>
      <c r="H318" s="25" t="n"/>
      <c r="I318" s="25">
        <f>IF(OR(F318="",H318=""),"",IF(F318=H318,"","⚠ resolve"))</f>
        <v/>
      </c>
      <c r="J318" s="25" t="n"/>
    </row>
    <row r="319">
      <c r="A319" s="22">
        <f>IF(D319="","",ROW()-4)</f>
        <v/>
      </c>
      <c r="B319" s="22" t="n"/>
      <c r="C319" s="22" t="n"/>
      <c r="D319" s="22" t="n"/>
      <c r="E319" s="22" t="n"/>
      <c r="F319" s="22" t="n"/>
      <c r="G319" s="22" t="n"/>
      <c r="H319" s="22" t="n"/>
      <c r="I319" s="22">
        <f>IF(OR(F319="",H319=""),"",IF(F319=H319,"","⚠ resolve"))</f>
        <v/>
      </c>
      <c r="J319" s="22" t="n"/>
    </row>
    <row r="320">
      <c r="A320" s="25">
        <f>IF(D320="","",ROW()-4)</f>
        <v/>
      </c>
      <c r="B320" s="25" t="n"/>
      <c r="C320" s="25" t="n"/>
      <c r="D320" s="25" t="n"/>
      <c r="E320" s="25" t="n"/>
      <c r="F320" s="25" t="n"/>
      <c r="G320" s="25" t="n"/>
      <c r="H320" s="25" t="n"/>
      <c r="I320" s="25">
        <f>IF(OR(F320="",H320=""),"",IF(F320=H320,"","⚠ resolve"))</f>
        <v/>
      </c>
      <c r="J320" s="25" t="n"/>
    </row>
    <row r="321">
      <c r="A321" s="22">
        <f>IF(D321="","",ROW()-4)</f>
        <v/>
      </c>
      <c r="B321" s="22" t="n"/>
      <c r="C321" s="22" t="n"/>
      <c r="D321" s="22" t="n"/>
      <c r="E321" s="22" t="n"/>
      <c r="F321" s="22" t="n"/>
      <c r="G321" s="22" t="n"/>
      <c r="H321" s="22" t="n"/>
      <c r="I321" s="22">
        <f>IF(OR(F321="",H321=""),"",IF(F321=H321,"","⚠ resolve"))</f>
        <v/>
      </c>
      <c r="J321" s="22" t="n"/>
    </row>
    <row r="322">
      <c r="A322" s="25">
        <f>IF(D322="","",ROW()-4)</f>
        <v/>
      </c>
      <c r="B322" s="25" t="n"/>
      <c r="C322" s="25" t="n"/>
      <c r="D322" s="25" t="n"/>
      <c r="E322" s="25" t="n"/>
      <c r="F322" s="25" t="n"/>
      <c r="G322" s="25" t="n"/>
      <c r="H322" s="25" t="n"/>
      <c r="I322" s="25">
        <f>IF(OR(F322="",H322=""),"",IF(F322=H322,"","⚠ resolve"))</f>
        <v/>
      </c>
      <c r="J322" s="25" t="n"/>
    </row>
    <row r="323">
      <c r="A323" s="22">
        <f>IF(D323="","",ROW()-4)</f>
        <v/>
      </c>
      <c r="B323" s="22" t="n"/>
      <c r="C323" s="22" t="n"/>
      <c r="D323" s="22" t="n"/>
      <c r="E323" s="22" t="n"/>
      <c r="F323" s="22" t="n"/>
      <c r="G323" s="22" t="n"/>
      <c r="H323" s="22" t="n"/>
      <c r="I323" s="22">
        <f>IF(OR(F323="",H323=""),"",IF(F323=H323,"","⚠ resolve"))</f>
        <v/>
      </c>
      <c r="J323" s="22" t="n"/>
    </row>
    <row r="324">
      <c r="A324" s="25">
        <f>IF(D324="","",ROW()-4)</f>
        <v/>
      </c>
      <c r="B324" s="25" t="n"/>
      <c r="C324" s="25" t="n"/>
      <c r="D324" s="25" t="n"/>
      <c r="E324" s="25" t="n"/>
      <c r="F324" s="25" t="n"/>
      <c r="G324" s="25" t="n"/>
      <c r="H324" s="25" t="n"/>
      <c r="I324" s="25">
        <f>IF(OR(F324="",H324=""),"",IF(F324=H324,"","⚠ resolve"))</f>
        <v/>
      </c>
      <c r="J324" s="25" t="n"/>
    </row>
    <row r="325">
      <c r="A325" s="22">
        <f>IF(D325="","",ROW()-4)</f>
        <v/>
      </c>
      <c r="B325" s="22" t="n"/>
      <c r="C325" s="22" t="n"/>
      <c r="D325" s="22" t="n"/>
      <c r="E325" s="22" t="n"/>
      <c r="F325" s="22" t="n"/>
      <c r="G325" s="22" t="n"/>
      <c r="H325" s="22" t="n"/>
      <c r="I325" s="22">
        <f>IF(OR(F325="",H325=""),"",IF(F325=H325,"","⚠ resolve"))</f>
        <v/>
      </c>
      <c r="J325" s="22" t="n"/>
    </row>
    <row r="326">
      <c r="A326" s="25">
        <f>IF(D326="","",ROW()-4)</f>
        <v/>
      </c>
      <c r="B326" s="25" t="n"/>
      <c r="C326" s="25" t="n"/>
      <c r="D326" s="25" t="n"/>
      <c r="E326" s="25" t="n"/>
      <c r="F326" s="25" t="n"/>
      <c r="G326" s="25" t="n"/>
      <c r="H326" s="25" t="n"/>
      <c r="I326" s="25">
        <f>IF(OR(F326="",H326=""),"",IF(F326=H326,"","⚠ resolve"))</f>
        <v/>
      </c>
      <c r="J326" s="25" t="n"/>
    </row>
    <row r="327">
      <c r="A327" s="22">
        <f>IF(D327="","",ROW()-4)</f>
        <v/>
      </c>
      <c r="B327" s="22" t="n"/>
      <c r="C327" s="22" t="n"/>
      <c r="D327" s="22" t="n"/>
      <c r="E327" s="22" t="n"/>
      <c r="F327" s="22" t="n"/>
      <c r="G327" s="22" t="n"/>
      <c r="H327" s="22" t="n"/>
      <c r="I327" s="22">
        <f>IF(OR(F327="",H327=""),"",IF(F327=H327,"","⚠ resolve"))</f>
        <v/>
      </c>
      <c r="J327" s="22" t="n"/>
    </row>
    <row r="328">
      <c r="A328" s="25">
        <f>IF(D328="","",ROW()-4)</f>
        <v/>
      </c>
      <c r="B328" s="25" t="n"/>
      <c r="C328" s="25" t="n"/>
      <c r="D328" s="25" t="n"/>
      <c r="E328" s="25" t="n"/>
      <c r="F328" s="25" t="n"/>
      <c r="G328" s="25" t="n"/>
      <c r="H328" s="25" t="n"/>
      <c r="I328" s="25">
        <f>IF(OR(F328="",H328=""),"",IF(F328=H328,"","⚠ resolve"))</f>
        <v/>
      </c>
      <c r="J328" s="25" t="n"/>
    </row>
    <row r="329">
      <c r="A329" s="22">
        <f>IF(D329="","",ROW()-4)</f>
        <v/>
      </c>
      <c r="B329" s="22" t="n"/>
      <c r="C329" s="22" t="n"/>
      <c r="D329" s="22" t="n"/>
      <c r="E329" s="22" t="n"/>
      <c r="F329" s="22" t="n"/>
      <c r="G329" s="22" t="n"/>
      <c r="H329" s="22" t="n"/>
      <c r="I329" s="22">
        <f>IF(OR(F329="",H329=""),"",IF(F329=H329,"","⚠ resolve"))</f>
        <v/>
      </c>
      <c r="J329" s="22" t="n"/>
    </row>
    <row r="330">
      <c r="A330" s="25">
        <f>IF(D330="","",ROW()-4)</f>
        <v/>
      </c>
      <c r="B330" s="25" t="n"/>
      <c r="C330" s="25" t="n"/>
      <c r="D330" s="25" t="n"/>
      <c r="E330" s="25" t="n"/>
      <c r="F330" s="25" t="n"/>
      <c r="G330" s="25" t="n"/>
      <c r="H330" s="25" t="n"/>
      <c r="I330" s="25">
        <f>IF(OR(F330="",H330=""),"",IF(F330=H330,"","⚠ resolve"))</f>
        <v/>
      </c>
      <c r="J330" s="25" t="n"/>
    </row>
    <row r="331">
      <c r="A331" s="22">
        <f>IF(D331="","",ROW()-4)</f>
        <v/>
      </c>
      <c r="B331" s="22" t="n"/>
      <c r="C331" s="22" t="n"/>
      <c r="D331" s="22" t="n"/>
      <c r="E331" s="22" t="n"/>
      <c r="F331" s="22" t="n"/>
      <c r="G331" s="22" t="n"/>
      <c r="H331" s="22" t="n"/>
      <c r="I331" s="22">
        <f>IF(OR(F331="",H331=""),"",IF(F331=H331,"","⚠ resolve"))</f>
        <v/>
      </c>
      <c r="J331" s="22" t="n"/>
    </row>
    <row r="332">
      <c r="A332" s="25">
        <f>IF(D332="","",ROW()-4)</f>
        <v/>
      </c>
      <c r="B332" s="25" t="n"/>
      <c r="C332" s="25" t="n"/>
      <c r="D332" s="25" t="n"/>
      <c r="E332" s="25" t="n"/>
      <c r="F332" s="25" t="n"/>
      <c r="G332" s="25" t="n"/>
      <c r="H332" s="25" t="n"/>
      <c r="I332" s="25">
        <f>IF(OR(F332="",H332=""),"",IF(F332=H332,"","⚠ resolve"))</f>
        <v/>
      </c>
      <c r="J332" s="25" t="n"/>
    </row>
    <row r="333">
      <c r="A333" s="22">
        <f>IF(D333="","",ROW()-4)</f>
        <v/>
      </c>
      <c r="B333" s="22" t="n"/>
      <c r="C333" s="22" t="n"/>
      <c r="D333" s="22" t="n"/>
      <c r="E333" s="22" t="n"/>
      <c r="F333" s="22" t="n"/>
      <c r="G333" s="22" t="n"/>
      <c r="H333" s="22" t="n"/>
      <c r="I333" s="22">
        <f>IF(OR(F333="",H333=""),"",IF(F333=H333,"","⚠ resolve"))</f>
        <v/>
      </c>
      <c r="J333" s="22" t="n"/>
    </row>
    <row r="334">
      <c r="A334" s="25">
        <f>IF(D334="","",ROW()-4)</f>
        <v/>
      </c>
      <c r="B334" s="25" t="n"/>
      <c r="C334" s="25" t="n"/>
      <c r="D334" s="25" t="n"/>
      <c r="E334" s="25" t="n"/>
      <c r="F334" s="25" t="n"/>
      <c r="G334" s="25" t="n"/>
      <c r="H334" s="25" t="n"/>
      <c r="I334" s="25">
        <f>IF(OR(F334="",H334=""),"",IF(F334=H334,"","⚠ resolve"))</f>
        <v/>
      </c>
      <c r="J334" s="25" t="n"/>
    </row>
    <row r="335">
      <c r="A335" s="22">
        <f>IF(D335="","",ROW()-4)</f>
        <v/>
      </c>
      <c r="B335" s="22" t="n"/>
      <c r="C335" s="22" t="n"/>
      <c r="D335" s="22" t="n"/>
      <c r="E335" s="22" t="n"/>
      <c r="F335" s="22" t="n"/>
      <c r="G335" s="22" t="n"/>
      <c r="H335" s="22" t="n"/>
      <c r="I335" s="22">
        <f>IF(OR(F335="",H335=""),"",IF(F335=H335,"","⚠ resolve"))</f>
        <v/>
      </c>
      <c r="J335" s="22" t="n"/>
    </row>
    <row r="336">
      <c r="A336" s="25">
        <f>IF(D336="","",ROW()-4)</f>
        <v/>
      </c>
      <c r="B336" s="25" t="n"/>
      <c r="C336" s="25" t="n"/>
      <c r="D336" s="25" t="n"/>
      <c r="E336" s="25" t="n"/>
      <c r="F336" s="25" t="n"/>
      <c r="G336" s="25" t="n"/>
      <c r="H336" s="25" t="n"/>
      <c r="I336" s="25">
        <f>IF(OR(F336="",H336=""),"",IF(F336=H336,"","⚠ resolve"))</f>
        <v/>
      </c>
      <c r="J336" s="25" t="n"/>
    </row>
    <row r="337">
      <c r="A337" s="22">
        <f>IF(D337="","",ROW()-4)</f>
        <v/>
      </c>
      <c r="B337" s="22" t="n"/>
      <c r="C337" s="22" t="n"/>
      <c r="D337" s="22" t="n"/>
      <c r="E337" s="22" t="n"/>
      <c r="F337" s="22" t="n"/>
      <c r="G337" s="22" t="n"/>
      <c r="H337" s="22" t="n"/>
      <c r="I337" s="22">
        <f>IF(OR(F337="",H337=""),"",IF(F337=H337,"","⚠ resolve"))</f>
        <v/>
      </c>
      <c r="J337" s="22" t="n"/>
    </row>
    <row r="338">
      <c r="A338" s="25">
        <f>IF(D338="","",ROW()-4)</f>
        <v/>
      </c>
      <c r="B338" s="25" t="n"/>
      <c r="C338" s="25" t="n"/>
      <c r="D338" s="25" t="n"/>
      <c r="E338" s="25" t="n"/>
      <c r="F338" s="25" t="n"/>
      <c r="G338" s="25" t="n"/>
      <c r="H338" s="25" t="n"/>
      <c r="I338" s="25">
        <f>IF(OR(F338="",H338=""),"",IF(F338=H338,"","⚠ resolve"))</f>
        <v/>
      </c>
      <c r="J338" s="25" t="n"/>
    </row>
    <row r="339">
      <c r="A339" s="22">
        <f>IF(D339="","",ROW()-4)</f>
        <v/>
      </c>
      <c r="B339" s="22" t="n"/>
      <c r="C339" s="22" t="n"/>
      <c r="D339" s="22" t="n"/>
      <c r="E339" s="22" t="n"/>
      <c r="F339" s="22" t="n"/>
      <c r="G339" s="22" t="n"/>
      <c r="H339" s="22" t="n"/>
      <c r="I339" s="22">
        <f>IF(OR(F339="",H339=""),"",IF(F339=H339,"","⚠ resolve"))</f>
        <v/>
      </c>
      <c r="J339" s="22" t="n"/>
    </row>
    <row r="340">
      <c r="A340" s="25">
        <f>IF(D340="","",ROW()-4)</f>
        <v/>
      </c>
      <c r="B340" s="25" t="n"/>
      <c r="C340" s="25" t="n"/>
      <c r="D340" s="25" t="n"/>
      <c r="E340" s="25" t="n"/>
      <c r="F340" s="25" t="n"/>
      <c r="G340" s="25" t="n"/>
      <c r="H340" s="25" t="n"/>
      <c r="I340" s="25">
        <f>IF(OR(F340="",H340=""),"",IF(F340=H340,"","⚠ resolve"))</f>
        <v/>
      </c>
      <c r="J340" s="25" t="n"/>
    </row>
    <row r="341">
      <c r="A341" s="22">
        <f>IF(D341="","",ROW()-4)</f>
        <v/>
      </c>
      <c r="B341" s="22" t="n"/>
      <c r="C341" s="22" t="n"/>
      <c r="D341" s="22" t="n"/>
      <c r="E341" s="22" t="n"/>
      <c r="F341" s="22" t="n"/>
      <c r="G341" s="22" t="n"/>
      <c r="H341" s="22" t="n"/>
      <c r="I341" s="22">
        <f>IF(OR(F341="",H341=""),"",IF(F341=H341,"","⚠ resolve"))</f>
        <v/>
      </c>
      <c r="J341" s="22" t="n"/>
    </row>
    <row r="342">
      <c r="A342" s="25">
        <f>IF(D342="","",ROW()-4)</f>
        <v/>
      </c>
      <c r="B342" s="25" t="n"/>
      <c r="C342" s="25" t="n"/>
      <c r="D342" s="25" t="n"/>
      <c r="E342" s="25" t="n"/>
      <c r="F342" s="25" t="n"/>
      <c r="G342" s="25" t="n"/>
      <c r="H342" s="25" t="n"/>
      <c r="I342" s="25">
        <f>IF(OR(F342="",H342=""),"",IF(F342=H342,"","⚠ resolve"))</f>
        <v/>
      </c>
      <c r="J342" s="25" t="n"/>
    </row>
    <row r="343">
      <c r="A343" s="22">
        <f>IF(D343="","",ROW()-4)</f>
        <v/>
      </c>
      <c r="B343" s="22" t="n"/>
      <c r="C343" s="22" t="n"/>
      <c r="D343" s="22" t="n"/>
      <c r="E343" s="22" t="n"/>
      <c r="F343" s="22" t="n"/>
      <c r="G343" s="22" t="n"/>
      <c r="H343" s="22" t="n"/>
      <c r="I343" s="22">
        <f>IF(OR(F343="",H343=""),"",IF(F343=H343,"","⚠ resolve"))</f>
        <v/>
      </c>
      <c r="J343" s="22" t="n"/>
    </row>
    <row r="344">
      <c r="A344" s="25">
        <f>IF(D344="","",ROW()-4)</f>
        <v/>
      </c>
      <c r="B344" s="25" t="n"/>
      <c r="C344" s="25" t="n"/>
      <c r="D344" s="25" t="n"/>
      <c r="E344" s="25" t="n"/>
      <c r="F344" s="25" t="n"/>
      <c r="G344" s="25" t="n"/>
      <c r="H344" s="25" t="n"/>
      <c r="I344" s="25">
        <f>IF(OR(F344="",H344=""),"",IF(F344=H344,"","⚠ resolve"))</f>
        <v/>
      </c>
      <c r="J344" s="25" t="n"/>
    </row>
    <row r="345">
      <c r="A345" s="22">
        <f>IF(D345="","",ROW()-4)</f>
        <v/>
      </c>
      <c r="B345" s="22" t="n"/>
      <c r="C345" s="22" t="n"/>
      <c r="D345" s="22" t="n"/>
      <c r="E345" s="22" t="n"/>
      <c r="F345" s="22" t="n"/>
      <c r="G345" s="22" t="n"/>
      <c r="H345" s="22" t="n"/>
      <c r="I345" s="22">
        <f>IF(OR(F345="",H345=""),"",IF(F345=H345,"","⚠ resolve"))</f>
        <v/>
      </c>
      <c r="J345" s="22" t="n"/>
    </row>
    <row r="346">
      <c r="A346" s="25">
        <f>IF(D346="","",ROW()-4)</f>
        <v/>
      </c>
      <c r="B346" s="25" t="n"/>
      <c r="C346" s="25" t="n"/>
      <c r="D346" s="25" t="n"/>
      <c r="E346" s="25" t="n"/>
      <c r="F346" s="25" t="n"/>
      <c r="G346" s="25" t="n"/>
      <c r="H346" s="25" t="n"/>
      <c r="I346" s="25">
        <f>IF(OR(F346="",H346=""),"",IF(F346=H346,"","⚠ resolve"))</f>
        <v/>
      </c>
      <c r="J346" s="25" t="n"/>
    </row>
    <row r="347">
      <c r="A347" s="22">
        <f>IF(D347="","",ROW()-4)</f>
        <v/>
      </c>
      <c r="B347" s="22" t="n"/>
      <c r="C347" s="22" t="n"/>
      <c r="D347" s="22" t="n"/>
      <c r="E347" s="22" t="n"/>
      <c r="F347" s="22" t="n"/>
      <c r="G347" s="22" t="n"/>
      <c r="H347" s="22" t="n"/>
      <c r="I347" s="22">
        <f>IF(OR(F347="",H347=""),"",IF(F347=H347,"","⚠ resolve"))</f>
        <v/>
      </c>
      <c r="J347" s="22" t="n"/>
    </row>
    <row r="348">
      <c r="A348" s="25">
        <f>IF(D348="","",ROW()-4)</f>
        <v/>
      </c>
      <c r="B348" s="25" t="n"/>
      <c r="C348" s="25" t="n"/>
      <c r="D348" s="25" t="n"/>
      <c r="E348" s="25" t="n"/>
      <c r="F348" s="25" t="n"/>
      <c r="G348" s="25" t="n"/>
      <c r="H348" s="25" t="n"/>
      <c r="I348" s="25">
        <f>IF(OR(F348="",H348=""),"",IF(F348=H348,"","⚠ resolve"))</f>
        <v/>
      </c>
      <c r="J348" s="25" t="n"/>
    </row>
    <row r="349">
      <c r="A349" s="22">
        <f>IF(D349="","",ROW()-4)</f>
        <v/>
      </c>
      <c r="B349" s="22" t="n"/>
      <c r="C349" s="22" t="n"/>
      <c r="D349" s="22" t="n"/>
      <c r="E349" s="22" t="n"/>
      <c r="F349" s="22" t="n"/>
      <c r="G349" s="22" t="n"/>
      <c r="H349" s="22" t="n"/>
      <c r="I349" s="22">
        <f>IF(OR(F349="",H349=""),"",IF(F349=H349,"","⚠ resolve"))</f>
        <v/>
      </c>
      <c r="J349" s="22" t="n"/>
    </row>
    <row r="350">
      <c r="A350" s="25">
        <f>IF(D350="","",ROW()-4)</f>
        <v/>
      </c>
      <c r="B350" s="25" t="n"/>
      <c r="C350" s="25" t="n"/>
      <c r="D350" s="25" t="n"/>
      <c r="E350" s="25" t="n"/>
      <c r="F350" s="25" t="n"/>
      <c r="G350" s="25" t="n"/>
      <c r="H350" s="25" t="n"/>
      <c r="I350" s="25">
        <f>IF(OR(F350="",H350=""),"",IF(F350=H350,"","⚠ resolve"))</f>
        <v/>
      </c>
      <c r="J350" s="25" t="n"/>
    </row>
    <row r="351">
      <c r="A351" s="22">
        <f>IF(D351="","",ROW()-4)</f>
        <v/>
      </c>
      <c r="B351" s="22" t="n"/>
      <c r="C351" s="22" t="n"/>
      <c r="D351" s="22" t="n"/>
      <c r="E351" s="22" t="n"/>
      <c r="F351" s="22" t="n"/>
      <c r="G351" s="22" t="n"/>
      <c r="H351" s="22" t="n"/>
      <c r="I351" s="22">
        <f>IF(OR(F351="",H351=""),"",IF(F351=H351,"","⚠ resolve"))</f>
        <v/>
      </c>
      <c r="J351" s="22" t="n"/>
    </row>
    <row r="352">
      <c r="A352" s="25">
        <f>IF(D352="","",ROW()-4)</f>
        <v/>
      </c>
      <c r="B352" s="25" t="n"/>
      <c r="C352" s="25" t="n"/>
      <c r="D352" s="25" t="n"/>
      <c r="E352" s="25" t="n"/>
      <c r="F352" s="25" t="n"/>
      <c r="G352" s="25" t="n"/>
      <c r="H352" s="25" t="n"/>
      <c r="I352" s="25">
        <f>IF(OR(F352="",H352=""),"",IF(F352=H352,"","⚠ resolve"))</f>
        <v/>
      </c>
      <c r="J352" s="25" t="n"/>
    </row>
    <row r="353">
      <c r="A353" s="22">
        <f>IF(D353="","",ROW()-4)</f>
        <v/>
      </c>
      <c r="B353" s="22" t="n"/>
      <c r="C353" s="22" t="n"/>
      <c r="D353" s="22" t="n"/>
      <c r="E353" s="22" t="n"/>
      <c r="F353" s="22" t="n"/>
      <c r="G353" s="22" t="n"/>
      <c r="H353" s="22" t="n"/>
      <c r="I353" s="22">
        <f>IF(OR(F353="",H353=""),"",IF(F353=H353,"","⚠ resolve"))</f>
        <v/>
      </c>
      <c r="J353" s="22" t="n"/>
    </row>
    <row r="354">
      <c r="A354" s="25">
        <f>IF(D354="","",ROW()-4)</f>
        <v/>
      </c>
      <c r="B354" s="25" t="n"/>
      <c r="C354" s="25" t="n"/>
      <c r="D354" s="25" t="n"/>
      <c r="E354" s="25" t="n"/>
      <c r="F354" s="25" t="n"/>
      <c r="G354" s="25" t="n"/>
      <c r="H354" s="25" t="n"/>
      <c r="I354" s="25">
        <f>IF(OR(F354="",H354=""),"",IF(F354=H354,"","⚠ resolve"))</f>
        <v/>
      </c>
      <c r="J354" s="25" t="n"/>
    </row>
    <row r="355">
      <c r="A355" s="22">
        <f>IF(D355="","",ROW()-4)</f>
        <v/>
      </c>
      <c r="B355" s="22" t="n"/>
      <c r="C355" s="22" t="n"/>
      <c r="D355" s="22" t="n"/>
      <c r="E355" s="22" t="n"/>
      <c r="F355" s="22" t="n"/>
      <c r="G355" s="22" t="n"/>
      <c r="H355" s="22" t="n"/>
      <c r="I355" s="22">
        <f>IF(OR(F355="",H355=""),"",IF(F355=H355,"","⚠ resolve"))</f>
        <v/>
      </c>
      <c r="J355" s="22" t="n"/>
    </row>
    <row r="356">
      <c r="A356" s="25">
        <f>IF(D356="","",ROW()-4)</f>
        <v/>
      </c>
      <c r="B356" s="25" t="n"/>
      <c r="C356" s="25" t="n"/>
      <c r="D356" s="25" t="n"/>
      <c r="E356" s="25" t="n"/>
      <c r="F356" s="25" t="n"/>
      <c r="G356" s="25" t="n"/>
      <c r="H356" s="25" t="n"/>
      <c r="I356" s="25">
        <f>IF(OR(F356="",H356=""),"",IF(F356=H356,"","⚠ resolve"))</f>
        <v/>
      </c>
      <c r="J356" s="25" t="n"/>
    </row>
    <row r="357">
      <c r="A357" s="22">
        <f>IF(D357="","",ROW()-4)</f>
        <v/>
      </c>
      <c r="B357" s="22" t="n"/>
      <c r="C357" s="22" t="n"/>
      <c r="D357" s="22" t="n"/>
      <c r="E357" s="22" t="n"/>
      <c r="F357" s="22" t="n"/>
      <c r="G357" s="22" t="n"/>
      <c r="H357" s="22" t="n"/>
      <c r="I357" s="22">
        <f>IF(OR(F357="",H357=""),"",IF(F357=H357,"","⚠ resolve"))</f>
        <v/>
      </c>
      <c r="J357" s="22" t="n"/>
    </row>
    <row r="358">
      <c r="A358" s="25">
        <f>IF(D358="","",ROW()-4)</f>
        <v/>
      </c>
      <c r="B358" s="25" t="n"/>
      <c r="C358" s="25" t="n"/>
      <c r="D358" s="25" t="n"/>
      <c r="E358" s="25" t="n"/>
      <c r="F358" s="25" t="n"/>
      <c r="G358" s="25" t="n"/>
      <c r="H358" s="25" t="n"/>
      <c r="I358" s="25">
        <f>IF(OR(F358="",H358=""),"",IF(F358=H358,"","⚠ resolve"))</f>
        <v/>
      </c>
      <c r="J358" s="25" t="n"/>
    </row>
    <row r="359">
      <c r="A359" s="22">
        <f>IF(D359="","",ROW()-4)</f>
        <v/>
      </c>
      <c r="B359" s="22" t="n"/>
      <c r="C359" s="22" t="n"/>
      <c r="D359" s="22" t="n"/>
      <c r="E359" s="22" t="n"/>
      <c r="F359" s="22" t="n"/>
      <c r="G359" s="22" t="n"/>
      <c r="H359" s="22" t="n"/>
      <c r="I359" s="22">
        <f>IF(OR(F359="",H359=""),"",IF(F359=H359,"","⚠ resolve"))</f>
        <v/>
      </c>
      <c r="J359" s="22" t="n"/>
    </row>
    <row r="360">
      <c r="A360" s="25">
        <f>IF(D360="","",ROW()-4)</f>
        <v/>
      </c>
      <c r="B360" s="25" t="n"/>
      <c r="C360" s="25" t="n"/>
      <c r="D360" s="25" t="n"/>
      <c r="E360" s="25" t="n"/>
      <c r="F360" s="25" t="n"/>
      <c r="G360" s="25" t="n"/>
      <c r="H360" s="25" t="n"/>
      <c r="I360" s="25">
        <f>IF(OR(F360="",H360=""),"",IF(F360=H360,"","⚠ resolve"))</f>
        <v/>
      </c>
      <c r="J360" s="25" t="n"/>
    </row>
    <row r="361">
      <c r="A361" s="22">
        <f>IF(D361="","",ROW()-4)</f>
        <v/>
      </c>
      <c r="B361" s="22" t="n"/>
      <c r="C361" s="22" t="n"/>
      <c r="D361" s="22" t="n"/>
      <c r="E361" s="22" t="n"/>
      <c r="F361" s="22" t="n"/>
      <c r="G361" s="22" t="n"/>
      <c r="H361" s="22" t="n"/>
      <c r="I361" s="22">
        <f>IF(OR(F361="",H361=""),"",IF(F361=H361,"","⚠ resolve"))</f>
        <v/>
      </c>
      <c r="J361" s="22" t="n"/>
    </row>
    <row r="362">
      <c r="A362" s="25">
        <f>IF(D362="","",ROW()-4)</f>
        <v/>
      </c>
      <c r="B362" s="25" t="n"/>
      <c r="C362" s="25" t="n"/>
      <c r="D362" s="25" t="n"/>
      <c r="E362" s="25" t="n"/>
      <c r="F362" s="25" t="n"/>
      <c r="G362" s="25" t="n"/>
      <c r="H362" s="25" t="n"/>
      <c r="I362" s="25">
        <f>IF(OR(F362="",H362=""),"",IF(F362=H362,"","⚠ resolve"))</f>
        <v/>
      </c>
      <c r="J362" s="25" t="n"/>
    </row>
    <row r="363">
      <c r="A363" s="22">
        <f>IF(D363="","",ROW()-4)</f>
        <v/>
      </c>
      <c r="B363" s="22" t="n"/>
      <c r="C363" s="22" t="n"/>
      <c r="D363" s="22" t="n"/>
      <c r="E363" s="22" t="n"/>
      <c r="F363" s="22" t="n"/>
      <c r="G363" s="22" t="n"/>
      <c r="H363" s="22" t="n"/>
      <c r="I363" s="22">
        <f>IF(OR(F363="",H363=""),"",IF(F363=H363,"","⚠ resolve"))</f>
        <v/>
      </c>
      <c r="J363" s="22" t="n"/>
    </row>
    <row r="364">
      <c r="A364" s="25">
        <f>IF(D364="","",ROW()-4)</f>
        <v/>
      </c>
      <c r="B364" s="25" t="n"/>
      <c r="C364" s="25" t="n"/>
      <c r="D364" s="25" t="n"/>
      <c r="E364" s="25" t="n"/>
      <c r="F364" s="25" t="n"/>
      <c r="G364" s="25" t="n"/>
      <c r="H364" s="25" t="n"/>
      <c r="I364" s="25">
        <f>IF(OR(F364="",H364=""),"",IF(F364=H364,"","⚠ resolve"))</f>
        <v/>
      </c>
      <c r="J364" s="25" t="n"/>
    </row>
    <row r="365">
      <c r="A365" s="22">
        <f>IF(D365="","",ROW()-4)</f>
        <v/>
      </c>
      <c r="B365" s="22" t="n"/>
      <c r="C365" s="22" t="n"/>
      <c r="D365" s="22" t="n"/>
      <c r="E365" s="22" t="n"/>
      <c r="F365" s="22" t="n"/>
      <c r="G365" s="22" t="n"/>
      <c r="H365" s="22" t="n"/>
      <c r="I365" s="22">
        <f>IF(OR(F365="",H365=""),"",IF(F365=H365,"","⚠ resolve"))</f>
        <v/>
      </c>
      <c r="J365" s="22" t="n"/>
    </row>
    <row r="366">
      <c r="A366" s="25">
        <f>IF(D366="","",ROW()-4)</f>
        <v/>
      </c>
      <c r="B366" s="25" t="n"/>
      <c r="C366" s="25" t="n"/>
      <c r="D366" s="25" t="n"/>
      <c r="E366" s="25" t="n"/>
      <c r="F366" s="25" t="n"/>
      <c r="G366" s="25" t="n"/>
      <c r="H366" s="25" t="n"/>
      <c r="I366" s="25">
        <f>IF(OR(F366="",H366=""),"",IF(F366=H366,"","⚠ resolve"))</f>
        <v/>
      </c>
      <c r="J366" s="25" t="n"/>
    </row>
    <row r="367">
      <c r="A367" s="22">
        <f>IF(D367="","",ROW()-4)</f>
        <v/>
      </c>
      <c r="B367" s="22" t="n"/>
      <c r="C367" s="22" t="n"/>
      <c r="D367" s="22" t="n"/>
      <c r="E367" s="22" t="n"/>
      <c r="F367" s="22" t="n"/>
      <c r="G367" s="22" t="n"/>
      <c r="H367" s="22" t="n"/>
      <c r="I367" s="22">
        <f>IF(OR(F367="",H367=""),"",IF(F367=H367,"","⚠ resolve"))</f>
        <v/>
      </c>
      <c r="J367" s="22" t="n"/>
    </row>
    <row r="368">
      <c r="A368" s="25">
        <f>IF(D368="","",ROW()-4)</f>
        <v/>
      </c>
      <c r="B368" s="25" t="n"/>
      <c r="C368" s="25" t="n"/>
      <c r="D368" s="25" t="n"/>
      <c r="E368" s="25" t="n"/>
      <c r="F368" s="25" t="n"/>
      <c r="G368" s="25" t="n"/>
      <c r="H368" s="25" t="n"/>
      <c r="I368" s="25">
        <f>IF(OR(F368="",H368=""),"",IF(F368=H368,"","⚠ resolve"))</f>
        <v/>
      </c>
      <c r="J368" s="25" t="n"/>
    </row>
    <row r="369">
      <c r="A369" s="22">
        <f>IF(D369="","",ROW()-4)</f>
        <v/>
      </c>
      <c r="B369" s="22" t="n"/>
      <c r="C369" s="22" t="n"/>
      <c r="D369" s="22" t="n"/>
      <c r="E369" s="22" t="n"/>
      <c r="F369" s="22" t="n"/>
      <c r="G369" s="22" t="n"/>
      <c r="H369" s="22" t="n"/>
      <c r="I369" s="22">
        <f>IF(OR(F369="",H369=""),"",IF(F369=H369,"","⚠ resolve"))</f>
        <v/>
      </c>
      <c r="J369" s="22" t="n"/>
    </row>
    <row r="370">
      <c r="A370" s="25">
        <f>IF(D370="","",ROW()-4)</f>
        <v/>
      </c>
      <c r="B370" s="25" t="n"/>
      <c r="C370" s="25" t="n"/>
      <c r="D370" s="25" t="n"/>
      <c r="E370" s="25" t="n"/>
      <c r="F370" s="25" t="n"/>
      <c r="G370" s="25" t="n"/>
      <c r="H370" s="25" t="n"/>
      <c r="I370" s="25">
        <f>IF(OR(F370="",H370=""),"",IF(F370=H370,"","⚠ resolve"))</f>
        <v/>
      </c>
      <c r="J370" s="25" t="n"/>
    </row>
    <row r="371">
      <c r="A371" s="22">
        <f>IF(D371="","",ROW()-4)</f>
        <v/>
      </c>
      <c r="B371" s="22" t="n"/>
      <c r="C371" s="22" t="n"/>
      <c r="D371" s="22" t="n"/>
      <c r="E371" s="22" t="n"/>
      <c r="F371" s="22" t="n"/>
      <c r="G371" s="22" t="n"/>
      <c r="H371" s="22" t="n"/>
      <c r="I371" s="22">
        <f>IF(OR(F371="",H371=""),"",IF(F371=H371,"","⚠ resolve"))</f>
        <v/>
      </c>
      <c r="J371" s="22" t="n"/>
    </row>
    <row r="372">
      <c r="A372" s="25">
        <f>IF(D372="","",ROW()-4)</f>
        <v/>
      </c>
      <c r="B372" s="25" t="n"/>
      <c r="C372" s="25" t="n"/>
      <c r="D372" s="25" t="n"/>
      <c r="E372" s="25" t="n"/>
      <c r="F372" s="25" t="n"/>
      <c r="G372" s="25" t="n"/>
      <c r="H372" s="25" t="n"/>
      <c r="I372" s="25">
        <f>IF(OR(F372="",H372=""),"",IF(F372=H372,"","⚠ resolve"))</f>
        <v/>
      </c>
      <c r="J372" s="25" t="n"/>
    </row>
    <row r="373">
      <c r="A373" s="22">
        <f>IF(D373="","",ROW()-4)</f>
        <v/>
      </c>
      <c r="B373" s="22" t="n"/>
      <c r="C373" s="22" t="n"/>
      <c r="D373" s="22" t="n"/>
      <c r="E373" s="22" t="n"/>
      <c r="F373" s="22" t="n"/>
      <c r="G373" s="22" t="n"/>
      <c r="H373" s="22" t="n"/>
      <c r="I373" s="22">
        <f>IF(OR(F373="",H373=""),"",IF(F373=H373,"","⚠ resolve"))</f>
        <v/>
      </c>
      <c r="J373" s="22" t="n"/>
    </row>
    <row r="374">
      <c r="A374" s="25">
        <f>IF(D374="","",ROW()-4)</f>
        <v/>
      </c>
      <c r="B374" s="25" t="n"/>
      <c r="C374" s="25" t="n"/>
      <c r="D374" s="25" t="n"/>
      <c r="E374" s="25" t="n"/>
      <c r="F374" s="25" t="n"/>
      <c r="G374" s="25" t="n"/>
      <c r="H374" s="25" t="n"/>
      <c r="I374" s="25">
        <f>IF(OR(F374="",H374=""),"",IF(F374=H374,"","⚠ resolve"))</f>
        <v/>
      </c>
      <c r="J374" s="25" t="n"/>
    </row>
    <row r="375">
      <c r="A375" s="22">
        <f>IF(D375="","",ROW()-4)</f>
        <v/>
      </c>
      <c r="B375" s="22" t="n"/>
      <c r="C375" s="22" t="n"/>
      <c r="D375" s="22" t="n"/>
      <c r="E375" s="22" t="n"/>
      <c r="F375" s="22" t="n"/>
      <c r="G375" s="22" t="n"/>
      <c r="H375" s="22" t="n"/>
      <c r="I375" s="22">
        <f>IF(OR(F375="",H375=""),"",IF(F375=H375,"","⚠ resolve"))</f>
        <v/>
      </c>
      <c r="J375" s="22" t="n"/>
    </row>
    <row r="376">
      <c r="A376" s="25">
        <f>IF(D376="","",ROW()-4)</f>
        <v/>
      </c>
      <c r="B376" s="25" t="n"/>
      <c r="C376" s="25" t="n"/>
      <c r="D376" s="25" t="n"/>
      <c r="E376" s="25" t="n"/>
      <c r="F376" s="25" t="n"/>
      <c r="G376" s="25" t="n"/>
      <c r="H376" s="25" t="n"/>
      <c r="I376" s="25">
        <f>IF(OR(F376="",H376=""),"",IF(F376=H376,"","⚠ resolve"))</f>
        <v/>
      </c>
      <c r="J376" s="25" t="n"/>
    </row>
    <row r="377">
      <c r="A377" s="22">
        <f>IF(D377="","",ROW()-4)</f>
        <v/>
      </c>
      <c r="B377" s="22" t="n"/>
      <c r="C377" s="22" t="n"/>
      <c r="D377" s="22" t="n"/>
      <c r="E377" s="22" t="n"/>
      <c r="F377" s="22" t="n"/>
      <c r="G377" s="22" t="n"/>
      <c r="H377" s="22" t="n"/>
      <c r="I377" s="22">
        <f>IF(OR(F377="",H377=""),"",IF(F377=H377,"","⚠ resolve"))</f>
        <v/>
      </c>
      <c r="J377" s="22" t="n"/>
    </row>
    <row r="378">
      <c r="A378" s="25">
        <f>IF(D378="","",ROW()-4)</f>
        <v/>
      </c>
      <c r="B378" s="25" t="n"/>
      <c r="C378" s="25" t="n"/>
      <c r="D378" s="25" t="n"/>
      <c r="E378" s="25" t="n"/>
      <c r="F378" s="25" t="n"/>
      <c r="G378" s="25" t="n"/>
      <c r="H378" s="25" t="n"/>
      <c r="I378" s="25">
        <f>IF(OR(F378="",H378=""),"",IF(F378=H378,"","⚠ resolve"))</f>
        <v/>
      </c>
      <c r="J378" s="25" t="n"/>
    </row>
    <row r="379">
      <c r="A379" s="22">
        <f>IF(D379="","",ROW()-4)</f>
        <v/>
      </c>
      <c r="B379" s="22" t="n"/>
      <c r="C379" s="22" t="n"/>
      <c r="D379" s="22" t="n"/>
      <c r="E379" s="22" t="n"/>
      <c r="F379" s="22" t="n"/>
      <c r="G379" s="22" t="n"/>
      <c r="H379" s="22" t="n"/>
      <c r="I379" s="22">
        <f>IF(OR(F379="",H379=""),"",IF(F379=H379,"","⚠ resolve"))</f>
        <v/>
      </c>
      <c r="J379" s="22" t="n"/>
    </row>
    <row r="380">
      <c r="A380" s="25">
        <f>IF(D380="","",ROW()-4)</f>
        <v/>
      </c>
      <c r="B380" s="25" t="n"/>
      <c r="C380" s="25" t="n"/>
      <c r="D380" s="25" t="n"/>
      <c r="E380" s="25" t="n"/>
      <c r="F380" s="25" t="n"/>
      <c r="G380" s="25" t="n"/>
      <c r="H380" s="25" t="n"/>
      <c r="I380" s="25">
        <f>IF(OR(F380="",H380=""),"",IF(F380=H380,"","⚠ resolve"))</f>
        <v/>
      </c>
      <c r="J380" s="25" t="n"/>
    </row>
    <row r="381">
      <c r="A381" s="22">
        <f>IF(D381="","",ROW()-4)</f>
        <v/>
      </c>
      <c r="B381" s="22" t="n"/>
      <c r="C381" s="22" t="n"/>
      <c r="D381" s="22" t="n"/>
      <c r="E381" s="22" t="n"/>
      <c r="F381" s="22" t="n"/>
      <c r="G381" s="22" t="n"/>
      <c r="H381" s="22" t="n"/>
      <c r="I381" s="22">
        <f>IF(OR(F381="",H381=""),"",IF(F381=H381,"","⚠ resolve"))</f>
        <v/>
      </c>
      <c r="J381" s="22" t="n"/>
    </row>
    <row r="382">
      <c r="A382" s="25">
        <f>IF(D382="","",ROW()-4)</f>
        <v/>
      </c>
      <c r="B382" s="25" t="n"/>
      <c r="C382" s="25" t="n"/>
      <c r="D382" s="25" t="n"/>
      <c r="E382" s="25" t="n"/>
      <c r="F382" s="25" t="n"/>
      <c r="G382" s="25" t="n"/>
      <c r="H382" s="25" t="n"/>
      <c r="I382" s="25">
        <f>IF(OR(F382="",H382=""),"",IF(F382=H382,"","⚠ resolve"))</f>
        <v/>
      </c>
      <c r="J382" s="25" t="n"/>
    </row>
    <row r="383">
      <c r="A383" s="22">
        <f>IF(D383="","",ROW()-4)</f>
        <v/>
      </c>
      <c r="B383" s="22" t="n"/>
      <c r="C383" s="22" t="n"/>
      <c r="D383" s="22" t="n"/>
      <c r="E383" s="22" t="n"/>
      <c r="F383" s="22" t="n"/>
      <c r="G383" s="22" t="n"/>
      <c r="H383" s="22" t="n"/>
      <c r="I383" s="22">
        <f>IF(OR(F383="",H383=""),"",IF(F383=H383,"","⚠ resolve"))</f>
        <v/>
      </c>
      <c r="J383" s="22" t="n"/>
    </row>
    <row r="384">
      <c r="A384" s="25">
        <f>IF(D384="","",ROW()-4)</f>
        <v/>
      </c>
      <c r="B384" s="25" t="n"/>
      <c r="C384" s="25" t="n"/>
      <c r="D384" s="25" t="n"/>
      <c r="E384" s="25" t="n"/>
      <c r="F384" s="25" t="n"/>
      <c r="G384" s="25" t="n"/>
      <c r="H384" s="25" t="n"/>
      <c r="I384" s="25">
        <f>IF(OR(F384="",H384=""),"",IF(F384=H384,"","⚠ resolve"))</f>
        <v/>
      </c>
      <c r="J384" s="25" t="n"/>
    </row>
    <row r="385">
      <c r="A385" s="22">
        <f>IF(D385="","",ROW()-4)</f>
        <v/>
      </c>
      <c r="B385" s="22" t="n"/>
      <c r="C385" s="22" t="n"/>
      <c r="D385" s="22" t="n"/>
      <c r="E385" s="22" t="n"/>
      <c r="F385" s="22" t="n"/>
      <c r="G385" s="22" t="n"/>
      <c r="H385" s="22" t="n"/>
      <c r="I385" s="22">
        <f>IF(OR(F385="",H385=""),"",IF(F385=H385,"","⚠ resolve"))</f>
        <v/>
      </c>
      <c r="J385" s="22" t="n"/>
    </row>
    <row r="386">
      <c r="A386" s="25">
        <f>IF(D386="","",ROW()-4)</f>
        <v/>
      </c>
      <c r="B386" s="25" t="n"/>
      <c r="C386" s="25" t="n"/>
      <c r="D386" s="25" t="n"/>
      <c r="E386" s="25" t="n"/>
      <c r="F386" s="25" t="n"/>
      <c r="G386" s="25" t="n"/>
      <c r="H386" s="25" t="n"/>
      <c r="I386" s="25">
        <f>IF(OR(F386="",H386=""),"",IF(F386=H386,"","⚠ resolve"))</f>
        <v/>
      </c>
      <c r="J386" s="25" t="n"/>
    </row>
    <row r="387">
      <c r="A387" s="22">
        <f>IF(D387="","",ROW()-4)</f>
        <v/>
      </c>
      <c r="B387" s="22" t="n"/>
      <c r="C387" s="22" t="n"/>
      <c r="D387" s="22" t="n"/>
      <c r="E387" s="22" t="n"/>
      <c r="F387" s="22" t="n"/>
      <c r="G387" s="22" t="n"/>
      <c r="H387" s="22" t="n"/>
      <c r="I387" s="22">
        <f>IF(OR(F387="",H387=""),"",IF(F387=H387,"","⚠ resolve"))</f>
        <v/>
      </c>
      <c r="J387" s="22" t="n"/>
    </row>
    <row r="388">
      <c r="A388" s="25">
        <f>IF(D388="","",ROW()-4)</f>
        <v/>
      </c>
      <c r="B388" s="25" t="n"/>
      <c r="C388" s="25" t="n"/>
      <c r="D388" s="25" t="n"/>
      <c r="E388" s="25" t="n"/>
      <c r="F388" s="25" t="n"/>
      <c r="G388" s="25" t="n"/>
      <c r="H388" s="25" t="n"/>
      <c r="I388" s="25">
        <f>IF(OR(F388="",H388=""),"",IF(F388=H388,"","⚠ resolve"))</f>
        <v/>
      </c>
      <c r="J388" s="25" t="n"/>
    </row>
    <row r="389">
      <c r="A389" s="22">
        <f>IF(D389="","",ROW()-4)</f>
        <v/>
      </c>
      <c r="B389" s="22" t="n"/>
      <c r="C389" s="22" t="n"/>
      <c r="D389" s="22" t="n"/>
      <c r="E389" s="22" t="n"/>
      <c r="F389" s="22" t="n"/>
      <c r="G389" s="22" t="n"/>
      <c r="H389" s="22" t="n"/>
      <c r="I389" s="22">
        <f>IF(OR(F389="",H389=""),"",IF(F389=H389,"","⚠ resolve"))</f>
        <v/>
      </c>
      <c r="J389" s="22" t="n"/>
    </row>
    <row r="390">
      <c r="A390" s="25">
        <f>IF(D390="","",ROW()-4)</f>
        <v/>
      </c>
      <c r="B390" s="25" t="n"/>
      <c r="C390" s="25" t="n"/>
      <c r="D390" s="25" t="n"/>
      <c r="E390" s="25" t="n"/>
      <c r="F390" s="25" t="n"/>
      <c r="G390" s="25" t="n"/>
      <c r="H390" s="25" t="n"/>
      <c r="I390" s="25">
        <f>IF(OR(F390="",H390=""),"",IF(F390=H390,"","⚠ resolve"))</f>
        <v/>
      </c>
      <c r="J390" s="25" t="n"/>
    </row>
    <row r="391">
      <c r="A391" s="22">
        <f>IF(D391="","",ROW()-4)</f>
        <v/>
      </c>
      <c r="B391" s="22" t="n"/>
      <c r="C391" s="22" t="n"/>
      <c r="D391" s="22" t="n"/>
      <c r="E391" s="22" t="n"/>
      <c r="F391" s="22" t="n"/>
      <c r="G391" s="22" t="n"/>
      <c r="H391" s="22" t="n"/>
      <c r="I391" s="22">
        <f>IF(OR(F391="",H391=""),"",IF(F391=H391,"","⚠ resolve"))</f>
        <v/>
      </c>
      <c r="J391" s="22" t="n"/>
    </row>
    <row r="392">
      <c r="A392" s="25">
        <f>IF(D392="","",ROW()-4)</f>
        <v/>
      </c>
      <c r="B392" s="25" t="n"/>
      <c r="C392" s="25" t="n"/>
      <c r="D392" s="25" t="n"/>
      <c r="E392" s="25" t="n"/>
      <c r="F392" s="25" t="n"/>
      <c r="G392" s="25" t="n"/>
      <c r="H392" s="25" t="n"/>
      <c r="I392" s="25">
        <f>IF(OR(F392="",H392=""),"",IF(F392=H392,"","⚠ resolve"))</f>
        <v/>
      </c>
      <c r="J392" s="25" t="n"/>
    </row>
    <row r="393">
      <c r="A393" s="22">
        <f>IF(D393="","",ROW()-4)</f>
        <v/>
      </c>
      <c r="B393" s="22" t="n"/>
      <c r="C393" s="22" t="n"/>
      <c r="D393" s="22" t="n"/>
      <c r="E393" s="22" t="n"/>
      <c r="F393" s="22" t="n"/>
      <c r="G393" s="22" t="n"/>
      <c r="H393" s="22" t="n"/>
      <c r="I393" s="22">
        <f>IF(OR(F393="",H393=""),"",IF(F393=H393,"","⚠ resolve"))</f>
        <v/>
      </c>
      <c r="J393" s="22" t="n"/>
    </row>
    <row r="394">
      <c r="A394" s="25">
        <f>IF(D394="","",ROW()-4)</f>
        <v/>
      </c>
      <c r="B394" s="25" t="n"/>
      <c r="C394" s="25" t="n"/>
      <c r="D394" s="25" t="n"/>
      <c r="E394" s="25" t="n"/>
      <c r="F394" s="25" t="n"/>
      <c r="G394" s="25" t="n"/>
      <c r="H394" s="25" t="n"/>
      <c r="I394" s="25">
        <f>IF(OR(F394="",H394=""),"",IF(F394=H394,"","⚠ resolve"))</f>
        <v/>
      </c>
      <c r="J394" s="25" t="n"/>
    </row>
    <row r="395">
      <c r="A395" s="22">
        <f>IF(D395="","",ROW()-4)</f>
        <v/>
      </c>
      <c r="B395" s="22" t="n"/>
      <c r="C395" s="22" t="n"/>
      <c r="D395" s="22" t="n"/>
      <c r="E395" s="22" t="n"/>
      <c r="F395" s="22" t="n"/>
      <c r="G395" s="22" t="n"/>
      <c r="H395" s="22" t="n"/>
      <c r="I395" s="22">
        <f>IF(OR(F395="",H395=""),"",IF(F395=H395,"","⚠ resolve"))</f>
        <v/>
      </c>
      <c r="J395" s="22" t="n"/>
    </row>
    <row r="396">
      <c r="A396" s="25">
        <f>IF(D396="","",ROW()-4)</f>
        <v/>
      </c>
      <c r="B396" s="25" t="n"/>
      <c r="C396" s="25" t="n"/>
      <c r="D396" s="25" t="n"/>
      <c r="E396" s="25" t="n"/>
      <c r="F396" s="25" t="n"/>
      <c r="G396" s="25" t="n"/>
      <c r="H396" s="25" t="n"/>
      <c r="I396" s="25">
        <f>IF(OR(F396="",H396=""),"",IF(F396=H396,"","⚠ resolve"))</f>
        <v/>
      </c>
      <c r="J396" s="25" t="n"/>
    </row>
    <row r="397">
      <c r="A397" s="22">
        <f>IF(D397="","",ROW()-4)</f>
        <v/>
      </c>
      <c r="B397" s="22" t="n"/>
      <c r="C397" s="22" t="n"/>
      <c r="D397" s="22" t="n"/>
      <c r="E397" s="22" t="n"/>
      <c r="F397" s="22" t="n"/>
      <c r="G397" s="22" t="n"/>
      <c r="H397" s="22" t="n"/>
      <c r="I397" s="22">
        <f>IF(OR(F397="",H397=""),"",IF(F397=H397,"","⚠ resolve"))</f>
        <v/>
      </c>
      <c r="J397" s="22" t="n"/>
    </row>
    <row r="398">
      <c r="A398" s="25">
        <f>IF(D398="","",ROW()-4)</f>
        <v/>
      </c>
      <c r="B398" s="25" t="n"/>
      <c r="C398" s="25" t="n"/>
      <c r="D398" s="25" t="n"/>
      <c r="E398" s="25" t="n"/>
      <c r="F398" s="25" t="n"/>
      <c r="G398" s="25" t="n"/>
      <c r="H398" s="25" t="n"/>
      <c r="I398" s="25">
        <f>IF(OR(F398="",H398=""),"",IF(F398=H398,"","⚠ resolve"))</f>
        <v/>
      </c>
      <c r="J398" s="25" t="n"/>
    </row>
    <row r="399">
      <c r="A399" s="22">
        <f>IF(D399="","",ROW()-4)</f>
        <v/>
      </c>
      <c r="B399" s="22" t="n"/>
      <c r="C399" s="22" t="n"/>
      <c r="D399" s="22" t="n"/>
      <c r="E399" s="22" t="n"/>
      <c r="F399" s="22" t="n"/>
      <c r="G399" s="22" t="n"/>
      <c r="H399" s="22" t="n"/>
      <c r="I399" s="22">
        <f>IF(OR(F399="",H399=""),"",IF(F399=H399,"","⚠ resolve"))</f>
        <v/>
      </c>
      <c r="J399" s="22" t="n"/>
    </row>
    <row r="400">
      <c r="A400" s="25">
        <f>IF(D400="","",ROW()-4)</f>
        <v/>
      </c>
      <c r="B400" s="25" t="n"/>
      <c r="C400" s="25" t="n"/>
      <c r="D400" s="25" t="n"/>
      <c r="E400" s="25" t="n"/>
      <c r="F400" s="25" t="n"/>
      <c r="G400" s="25" t="n"/>
      <c r="H400" s="25" t="n"/>
      <c r="I400" s="25">
        <f>IF(OR(F400="",H400=""),"",IF(F400=H400,"","⚠ resolve"))</f>
        <v/>
      </c>
      <c r="J400" s="25" t="n"/>
    </row>
    <row r="401">
      <c r="A401" s="22">
        <f>IF(D401="","",ROW()-4)</f>
        <v/>
      </c>
      <c r="B401" s="22" t="n"/>
      <c r="C401" s="22" t="n"/>
      <c r="D401" s="22" t="n"/>
      <c r="E401" s="22" t="n"/>
      <c r="F401" s="22" t="n"/>
      <c r="G401" s="22" t="n"/>
      <c r="H401" s="22" t="n"/>
      <c r="I401" s="22">
        <f>IF(OR(F401="",H401=""),"",IF(F401=H401,"","⚠ resolve"))</f>
        <v/>
      </c>
      <c r="J401" s="22" t="n"/>
    </row>
    <row r="402">
      <c r="A402" s="25">
        <f>IF(D402="","",ROW()-4)</f>
        <v/>
      </c>
      <c r="B402" s="25" t="n"/>
      <c r="C402" s="25" t="n"/>
      <c r="D402" s="25" t="n"/>
      <c r="E402" s="25" t="n"/>
      <c r="F402" s="25" t="n"/>
      <c r="G402" s="25" t="n"/>
      <c r="H402" s="25" t="n"/>
      <c r="I402" s="25">
        <f>IF(OR(F402="",H402=""),"",IF(F402=H402,"","⚠ resolve"))</f>
        <v/>
      </c>
      <c r="J402" s="25" t="n"/>
    </row>
    <row r="403">
      <c r="A403" s="22">
        <f>IF(D403="","",ROW()-4)</f>
        <v/>
      </c>
      <c r="B403" s="22" t="n"/>
      <c r="C403" s="22" t="n"/>
      <c r="D403" s="22" t="n"/>
      <c r="E403" s="22" t="n"/>
      <c r="F403" s="22" t="n"/>
      <c r="G403" s="22" t="n"/>
      <c r="H403" s="22" t="n"/>
      <c r="I403" s="22">
        <f>IF(OR(F403="",H403=""),"",IF(F403=H403,"","⚠ resolve"))</f>
        <v/>
      </c>
      <c r="J403" s="22" t="n"/>
    </row>
    <row r="404">
      <c r="A404" s="25">
        <f>IF(D404="","",ROW()-4)</f>
        <v/>
      </c>
      <c r="B404" s="25" t="n"/>
      <c r="C404" s="25" t="n"/>
      <c r="D404" s="25" t="n"/>
      <c r="E404" s="25" t="n"/>
      <c r="F404" s="25" t="n"/>
      <c r="G404" s="25" t="n"/>
      <c r="H404" s="25" t="n"/>
      <c r="I404" s="25">
        <f>IF(OR(F404="",H404=""),"",IF(F404=H404,"","⚠ resolve"))</f>
        <v/>
      </c>
      <c r="J404" s="25" t="n"/>
    </row>
    <row r="405">
      <c r="A405" s="22">
        <f>IF(D405="","",ROW()-4)</f>
        <v/>
      </c>
      <c r="B405" s="22" t="n"/>
      <c r="C405" s="22" t="n"/>
      <c r="D405" s="22" t="n"/>
      <c r="E405" s="22" t="n"/>
      <c r="F405" s="22" t="n"/>
      <c r="G405" s="22" t="n"/>
      <c r="H405" s="22" t="n"/>
      <c r="I405" s="22">
        <f>IF(OR(F405="",H405=""),"",IF(F405=H405,"","⚠ resolve"))</f>
        <v/>
      </c>
      <c r="J405" s="22" t="n"/>
    </row>
    <row r="406">
      <c r="A406" s="25">
        <f>IF(D406="","",ROW()-4)</f>
        <v/>
      </c>
      <c r="B406" s="25" t="n"/>
      <c r="C406" s="25" t="n"/>
      <c r="D406" s="25" t="n"/>
      <c r="E406" s="25" t="n"/>
      <c r="F406" s="25" t="n"/>
      <c r="G406" s="25" t="n"/>
      <c r="H406" s="25" t="n"/>
      <c r="I406" s="25">
        <f>IF(OR(F406="",H406=""),"",IF(F406=H406,"","⚠ resolve"))</f>
        <v/>
      </c>
      <c r="J406" s="25" t="n"/>
    </row>
    <row r="407">
      <c r="A407" s="22">
        <f>IF(D407="","",ROW()-4)</f>
        <v/>
      </c>
      <c r="B407" s="22" t="n"/>
      <c r="C407" s="22" t="n"/>
      <c r="D407" s="22" t="n"/>
      <c r="E407" s="22" t="n"/>
      <c r="F407" s="22" t="n"/>
      <c r="G407" s="22" t="n"/>
      <c r="H407" s="22" t="n"/>
      <c r="I407" s="22">
        <f>IF(OR(F407="",H407=""),"",IF(F407=H407,"","⚠ resolve"))</f>
        <v/>
      </c>
      <c r="J407" s="22" t="n"/>
    </row>
    <row r="408">
      <c r="A408" s="25">
        <f>IF(D408="","",ROW()-4)</f>
        <v/>
      </c>
      <c r="B408" s="25" t="n"/>
      <c r="C408" s="25" t="n"/>
      <c r="D408" s="25" t="n"/>
      <c r="E408" s="25" t="n"/>
      <c r="F408" s="25" t="n"/>
      <c r="G408" s="25" t="n"/>
      <c r="H408" s="25" t="n"/>
      <c r="I408" s="25">
        <f>IF(OR(F408="",H408=""),"",IF(F408=H408,"","⚠ resolve"))</f>
        <v/>
      </c>
      <c r="J408" s="25" t="n"/>
    </row>
    <row r="409">
      <c r="A409" s="22">
        <f>IF(D409="","",ROW()-4)</f>
        <v/>
      </c>
      <c r="B409" s="22" t="n"/>
      <c r="C409" s="22" t="n"/>
      <c r="D409" s="22" t="n"/>
      <c r="E409" s="22" t="n"/>
      <c r="F409" s="22" t="n"/>
      <c r="G409" s="22" t="n"/>
      <c r="H409" s="22" t="n"/>
      <c r="I409" s="22">
        <f>IF(OR(F409="",H409=""),"",IF(F409=H409,"","⚠ resolve"))</f>
        <v/>
      </c>
      <c r="J409" s="22" t="n"/>
    </row>
    <row r="410">
      <c r="A410" s="25">
        <f>IF(D410="","",ROW()-4)</f>
        <v/>
      </c>
      <c r="B410" s="25" t="n"/>
      <c r="C410" s="25" t="n"/>
      <c r="D410" s="25" t="n"/>
      <c r="E410" s="25" t="n"/>
      <c r="F410" s="25" t="n"/>
      <c r="G410" s="25" t="n"/>
      <c r="H410" s="25" t="n"/>
      <c r="I410" s="25">
        <f>IF(OR(F410="",H410=""),"",IF(F410=H410,"","⚠ resolve"))</f>
        <v/>
      </c>
      <c r="J410" s="25" t="n"/>
    </row>
    <row r="411">
      <c r="A411" s="22">
        <f>IF(D411="","",ROW()-4)</f>
        <v/>
      </c>
      <c r="B411" s="22" t="n"/>
      <c r="C411" s="22" t="n"/>
      <c r="D411" s="22" t="n"/>
      <c r="E411" s="22" t="n"/>
      <c r="F411" s="22" t="n"/>
      <c r="G411" s="22" t="n"/>
      <c r="H411" s="22" t="n"/>
      <c r="I411" s="22">
        <f>IF(OR(F411="",H411=""),"",IF(F411=H411,"","⚠ resolve"))</f>
        <v/>
      </c>
      <c r="J411" s="22" t="n"/>
    </row>
    <row r="412">
      <c r="A412" s="25">
        <f>IF(D412="","",ROW()-4)</f>
        <v/>
      </c>
      <c r="B412" s="25" t="n"/>
      <c r="C412" s="25" t="n"/>
      <c r="D412" s="25" t="n"/>
      <c r="E412" s="25" t="n"/>
      <c r="F412" s="25" t="n"/>
      <c r="G412" s="25" t="n"/>
      <c r="H412" s="25" t="n"/>
      <c r="I412" s="25">
        <f>IF(OR(F412="",H412=""),"",IF(F412=H412,"","⚠ resolve"))</f>
        <v/>
      </c>
      <c r="J412" s="25" t="n"/>
    </row>
    <row r="413">
      <c r="A413" s="22">
        <f>IF(D413="","",ROW()-4)</f>
        <v/>
      </c>
      <c r="B413" s="22" t="n"/>
      <c r="C413" s="22" t="n"/>
      <c r="D413" s="22" t="n"/>
      <c r="E413" s="22" t="n"/>
      <c r="F413" s="22" t="n"/>
      <c r="G413" s="22" t="n"/>
      <c r="H413" s="22" t="n"/>
      <c r="I413" s="22">
        <f>IF(OR(F413="",H413=""),"",IF(F413=H413,"","⚠ resolve"))</f>
        <v/>
      </c>
      <c r="J413" s="22" t="n"/>
    </row>
    <row r="414">
      <c r="A414" s="25">
        <f>IF(D414="","",ROW()-4)</f>
        <v/>
      </c>
      <c r="B414" s="25" t="n"/>
      <c r="C414" s="25" t="n"/>
      <c r="D414" s="25" t="n"/>
      <c r="E414" s="25" t="n"/>
      <c r="F414" s="25" t="n"/>
      <c r="G414" s="25" t="n"/>
      <c r="H414" s="25" t="n"/>
      <c r="I414" s="25">
        <f>IF(OR(F414="",H414=""),"",IF(F414=H414,"","⚠ resolve"))</f>
        <v/>
      </c>
      <c r="J414" s="25" t="n"/>
    </row>
    <row r="415">
      <c r="A415" s="22">
        <f>IF(D415="","",ROW()-4)</f>
        <v/>
      </c>
      <c r="B415" s="22" t="n"/>
      <c r="C415" s="22" t="n"/>
      <c r="D415" s="22" t="n"/>
      <c r="E415" s="22" t="n"/>
      <c r="F415" s="22" t="n"/>
      <c r="G415" s="22" t="n"/>
      <c r="H415" s="22" t="n"/>
      <c r="I415" s="22">
        <f>IF(OR(F415="",H415=""),"",IF(F415=H415,"","⚠ resolve"))</f>
        <v/>
      </c>
      <c r="J415" s="22" t="n"/>
    </row>
    <row r="416">
      <c r="A416" s="25">
        <f>IF(D416="","",ROW()-4)</f>
        <v/>
      </c>
      <c r="B416" s="25" t="n"/>
      <c r="C416" s="25" t="n"/>
      <c r="D416" s="25" t="n"/>
      <c r="E416" s="25" t="n"/>
      <c r="F416" s="25" t="n"/>
      <c r="G416" s="25" t="n"/>
      <c r="H416" s="25" t="n"/>
      <c r="I416" s="25">
        <f>IF(OR(F416="",H416=""),"",IF(F416=H416,"","⚠ resolve"))</f>
        <v/>
      </c>
      <c r="J416" s="25" t="n"/>
    </row>
    <row r="417">
      <c r="A417" s="22">
        <f>IF(D417="","",ROW()-4)</f>
        <v/>
      </c>
      <c r="B417" s="22" t="n"/>
      <c r="C417" s="22" t="n"/>
      <c r="D417" s="22" t="n"/>
      <c r="E417" s="22" t="n"/>
      <c r="F417" s="22" t="n"/>
      <c r="G417" s="22" t="n"/>
      <c r="H417" s="22" t="n"/>
      <c r="I417" s="22">
        <f>IF(OR(F417="",H417=""),"",IF(F417=H417,"","⚠ resolve"))</f>
        <v/>
      </c>
      <c r="J417" s="22" t="n"/>
    </row>
    <row r="418">
      <c r="A418" s="25">
        <f>IF(D418="","",ROW()-4)</f>
        <v/>
      </c>
      <c r="B418" s="25" t="n"/>
      <c r="C418" s="25" t="n"/>
      <c r="D418" s="25" t="n"/>
      <c r="E418" s="25" t="n"/>
      <c r="F418" s="25" t="n"/>
      <c r="G418" s="25" t="n"/>
      <c r="H418" s="25" t="n"/>
      <c r="I418" s="25">
        <f>IF(OR(F418="",H418=""),"",IF(F418=H418,"","⚠ resolve"))</f>
        <v/>
      </c>
      <c r="J418" s="25" t="n"/>
    </row>
    <row r="419">
      <c r="A419" s="22">
        <f>IF(D419="","",ROW()-4)</f>
        <v/>
      </c>
      <c r="B419" s="22" t="n"/>
      <c r="C419" s="22" t="n"/>
      <c r="D419" s="22" t="n"/>
      <c r="E419" s="22" t="n"/>
      <c r="F419" s="22" t="n"/>
      <c r="G419" s="22" t="n"/>
      <c r="H419" s="22" t="n"/>
      <c r="I419" s="22">
        <f>IF(OR(F419="",H419=""),"",IF(F419=H419,"","⚠ resolve"))</f>
        <v/>
      </c>
      <c r="J419" s="22" t="n"/>
    </row>
    <row r="420">
      <c r="A420" s="25">
        <f>IF(D420="","",ROW()-4)</f>
        <v/>
      </c>
      <c r="B420" s="25" t="n"/>
      <c r="C420" s="25" t="n"/>
      <c r="D420" s="25" t="n"/>
      <c r="E420" s="25" t="n"/>
      <c r="F420" s="25" t="n"/>
      <c r="G420" s="25" t="n"/>
      <c r="H420" s="25" t="n"/>
      <c r="I420" s="25">
        <f>IF(OR(F420="",H420=""),"",IF(F420=H420,"","⚠ resolve"))</f>
        <v/>
      </c>
      <c r="J420" s="25" t="n"/>
    </row>
    <row r="421">
      <c r="A421" s="22">
        <f>IF(D421="","",ROW()-4)</f>
        <v/>
      </c>
      <c r="B421" s="22" t="n"/>
      <c r="C421" s="22" t="n"/>
      <c r="D421" s="22" t="n"/>
      <c r="E421" s="22" t="n"/>
      <c r="F421" s="22" t="n"/>
      <c r="G421" s="22" t="n"/>
      <c r="H421" s="22" t="n"/>
      <c r="I421" s="22">
        <f>IF(OR(F421="",H421=""),"",IF(F421=H421,"","⚠ resolve"))</f>
        <v/>
      </c>
      <c r="J421" s="22" t="n"/>
    </row>
    <row r="422">
      <c r="A422" s="25">
        <f>IF(D422="","",ROW()-4)</f>
        <v/>
      </c>
      <c r="B422" s="25" t="n"/>
      <c r="C422" s="25" t="n"/>
      <c r="D422" s="25" t="n"/>
      <c r="E422" s="25" t="n"/>
      <c r="F422" s="25" t="n"/>
      <c r="G422" s="25" t="n"/>
      <c r="H422" s="25" t="n"/>
      <c r="I422" s="25">
        <f>IF(OR(F422="",H422=""),"",IF(F422=H422,"","⚠ resolve"))</f>
        <v/>
      </c>
      <c r="J422" s="25" t="n"/>
    </row>
    <row r="423">
      <c r="A423" s="22">
        <f>IF(D423="","",ROW()-4)</f>
        <v/>
      </c>
      <c r="B423" s="22" t="n"/>
      <c r="C423" s="22" t="n"/>
      <c r="D423" s="22" t="n"/>
      <c r="E423" s="22" t="n"/>
      <c r="F423" s="22" t="n"/>
      <c r="G423" s="22" t="n"/>
      <c r="H423" s="22" t="n"/>
      <c r="I423" s="22">
        <f>IF(OR(F423="",H423=""),"",IF(F423=H423,"","⚠ resolve"))</f>
        <v/>
      </c>
      <c r="J423" s="22" t="n"/>
    </row>
    <row r="424">
      <c r="A424" s="25">
        <f>IF(D424="","",ROW()-4)</f>
        <v/>
      </c>
      <c r="B424" s="25" t="n"/>
      <c r="C424" s="25" t="n"/>
      <c r="D424" s="25" t="n"/>
      <c r="E424" s="25" t="n"/>
      <c r="F424" s="25" t="n"/>
      <c r="G424" s="25" t="n"/>
      <c r="H424" s="25" t="n"/>
      <c r="I424" s="25">
        <f>IF(OR(F424="",H424=""),"",IF(F424=H424,"","⚠ resolve"))</f>
        <v/>
      </c>
      <c r="J424" s="25" t="n"/>
    </row>
    <row r="425">
      <c r="A425" s="22">
        <f>IF(D425="","",ROW()-4)</f>
        <v/>
      </c>
      <c r="B425" s="22" t="n"/>
      <c r="C425" s="22" t="n"/>
      <c r="D425" s="22" t="n"/>
      <c r="E425" s="22" t="n"/>
      <c r="F425" s="22" t="n"/>
      <c r="G425" s="22" t="n"/>
      <c r="H425" s="22" t="n"/>
      <c r="I425" s="22">
        <f>IF(OR(F425="",H425=""),"",IF(F425=H425,"","⚠ resolve"))</f>
        <v/>
      </c>
      <c r="J425" s="22" t="n"/>
    </row>
    <row r="426">
      <c r="A426" s="25">
        <f>IF(D426="","",ROW()-4)</f>
        <v/>
      </c>
      <c r="B426" s="25" t="n"/>
      <c r="C426" s="25" t="n"/>
      <c r="D426" s="25" t="n"/>
      <c r="E426" s="25" t="n"/>
      <c r="F426" s="25" t="n"/>
      <c r="G426" s="25" t="n"/>
      <c r="H426" s="25" t="n"/>
      <c r="I426" s="25">
        <f>IF(OR(F426="",H426=""),"",IF(F426=H426,"","⚠ resolve"))</f>
        <v/>
      </c>
      <c r="J426" s="25" t="n"/>
    </row>
    <row r="427">
      <c r="A427" s="22">
        <f>IF(D427="","",ROW()-4)</f>
        <v/>
      </c>
      <c r="B427" s="22" t="n"/>
      <c r="C427" s="22" t="n"/>
      <c r="D427" s="22" t="n"/>
      <c r="E427" s="22" t="n"/>
      <c r="F427" s="22" t="n"/>
      <c r="G427" s="22" t="n"/>
      <c r="H427" s="22" t="n"/>
      <c r="I427" s="22">
        <f>IF(OR(F427="",H427=""),"",IF(F427=H427,"","⚠ resolve"))</f>
        <v/>
      </c>
      <c r="J427" s="22" t="n"/>
    </row>
    <row r="428">
      <c r="A428" s="25">
        <f>IF(D428="","",ROW()-4)</f>
        <v/>
      </c>
      <c r="B428" s="25" t="n"/>
      <c r="C428" s="25" t="n"/>
      <c r="D428" s="25" t="n"/>
      <c r="E428" s="25" t="n"/>
      <c r="F428" s="25" t="n"/>
      <c r="G428" s="25" t="n"/>
      <c r="H428" s="25" t="n"/>
      <c r="I428" s="25">
        <f>IF(OR(F428="",H428=""),"",IF(F428=H428,"","⚠ resolve"))</f>
        <v/>
      </c>
      <c r="J428" s="25" t="n"/>
    </row>
    <row r="429">
      <c r="A429" s="22">
        <f>IF(D429="","",ROW()-4)</f>
        <v/>
      </c>
      <c r="B429" s="22" t="n"/>
      <c r="C429" s="22" t="n"/>
      <c r="D429" s="22" t="n"/>
      <c r="E429" s="22" t="n"/>
      <c r="F429" s="22" t="n"/>
      <c r="G429" s="22" t="n"/>
      <c r="H429" s="22" t="n"/>
      <c r="I429" s="22">
        <f>IF(OR(F429="",H429=""),"",IF(F429=H429,"","⚠ resolve"))</f>
        <v/>
      </c>
      <c r="J429" s="22" t="n"/>
    </row>
    <row r="430">
      <c r="A430" s="25">
        <f>IF(D430="","",ROW()-4)</f>
        <v/>
      </c>
      <c r="B430" s="25" t="n"/>
      <c r="C430" s="25" t="n"/>
      <c r="D430" s="25" t="n"/>
      <c r="E430" s="25" t="n"/>
      <c r="F430" s="25" t="n"/>
      <c r="G430" s="25" t="n"/>
      <c r="H430" s="25" t="n"/>
      <c r="I430" s="25">
        <f>IF(OR(F430="",H430=""),"",IF(F430=H430,"","⚠ resolve"))</f>
        <v/>
      </c>
      <c r="J430" s="25" t="n"/>
    </row>
    <row r="431">
      <c r="A431" s="22">
        <f>IF(D431="","",ROW()-4)</f>
        <v/>
      </c>
      <c r="B431" s="22" t="n"/>
      <c r="C431" s="22" t="n"/>
      <c r="D431" s="22" t="n"/>
      <c r="E431" s="22" t="n"/>
      <c r="F431" s="22" t="n"/>
      <c r="G431" s="22" t="n"/>
      <c r="H431" s="22" t="n"/>
      <c r="I431" s="22">
        <f>IF(OR(F431="",H431=""),"",IF(F431=H431,"","⚠ resolve"))</f>
        <v/>
      </c>
      <c r="J431" s="22" t="n"/>
    </row>
    <row r="432">
      <c r="A432" s="25">
        <f>IF(D432="","",ROW()-4)</f>
        <v/>
      </c>
      <c r="B432" s="25" t="n"/>
      <c r="C432" s="25" t="n"/>
      <c r="D432" s="25" t="n"/>
      <c r="E432" s="25" t="n"/>
      <c r="F432" s="25" t="n"/>
      <c r="G432" s="25" t="n"/>
      <c r="H432" s="25" t="n"/>
      <c r="I432" s="25">
        <f>IF(OR(F432="",H432=""),"",IF(F432=H432,"","⚠ resolve"))</f>
        <v/>
      </c>
      <c r="J432" s="25" t="n"/>
    </row>
    <row r="433">
      <c r="A433" s="22">
        <f>IF(D433="","",ROW()-4)</f>
        <v/>
      </c>
      <c r="B433" s="22" t="n"/>
      <c r="C433" s="22" t="n"/>
      <c r="D433" s="22" t="n"/>
      <c r="E433" s="22" t="n"/>
      <c r="F433" s="22" t="n"/>
      <c r="G433" s="22" t="n"/>
      <c r="H433" s="22" t="n"/>
      <c r="I433" s="22">
        <f>IF(OR(F433="",H433=""),"",IF(F433=H433,"","⚠ resolve"))</f>
        <v/>
      </c>
      <c r="J433" s="22" t="n"/>
    </row>
    <row r="434">
      <c r="A434" s="25">
        <f>IF(D434="","",ROW()-4)</f>
        <v/>
      </c>
      <c r="B434" s="25" t="n"/>
      <c r="C434" s="25" t="n"/>
      <c r="D434" s="25" t="n"/>
      <c r="E434" s="25" t="n"/>
      <c r="F434" s="25" t="n"/>
      <c r="G434" s="25" t="n"/>
      <c r="H434" s="25" t="n"/>
      <c r="I434" s="25">
        <f>IF(OR(F434="",H434=""),"",IF(F434=H434,"","⚠ resolve"))</f>
        <v/>
      </c>
      <c r="J434" s="25" t="n"/>
    </row>
    <row r="435">
      <c r="A435" s="22">
        <f>IF(D435="","",ROW()-4)</f>
        <v/>
      </c>
      <c r="B435" s="22" t="n"/>
      <c r="C435" s="22" t="n"/>
      <c r="D435" s="22" t="n"/>
      <c r="E435" s="22" t="n"/>
      <c r="F435" s="22" t="n"/>
      <c r="G435" s="22" t="n"/>
      <c r="H435" s="22" t="n"/>
      <c r="I435" s="22">
        <f>IF(OR(F435="",H435=""),"",IF(F435=H435,"","⚠ resolve"))</f>
        <v/>
      </c>
      <c r="J435" s="22" t="n"/>
    </row>
    <row r="436">
      <c r="A436" s="25">
        <f>IF(D436="","",ROW()-4)</f>
        <v/>
      </c>
      <c r="B436" s="25" t="n"/>
      <c r="C436" s="25" t="n"/>
      <c r="D436" s="25" t="n"/>
      <c r="E436" s="25" t="n"/>
      <c r="F436" s="25" t="n"/>
      <c r="G436" s="25" t="n"/>
      <c r="H436" s="25" t="n"/>
      <c r="I436" s="25">
        <f>IF(OR(F436="",H436=""),"",IF(F436=H436,"","⚠ resolve"))</f>
        <v/>
      </c>
      <c r="J436" s="25" t="n"/>
    </row>
    <row r="437">
      <c r="A437" s="22">
        <f>IF(D437="","",ROW()-4)</f>
        <v/>
      </c>
      <c r="B437" s="22" t="n"/>
      <c r="C437" s="22" t="n"/>
      <c r="D437" s="22" t="n"/>
      <c r="E437" s="22" t="n"/>
      <c r="F437" s="22" t="n"/>
      <c r="G437" s="22" t="n"/>
      <c r="H437" s="22" t="n"/>
      <c r="I437" s="22">
        <f>IF(OR(F437="",H437=""),"",IF(F437=H437,"","⚠ resolve"))</f>
        <v/>
      </c>
      <c r="J437" s="22" t="n"/>
    </row>
    <row r="438">
      <c r="A438" s="25">
        <f>IF(D438="","",ROW()-4)</f>
        <v/>
      </c>
      <c r="B438" s="25" t="n"/>
      <c r="C438" s="25" t="n"/>
      <c r="D438" s="25" t="n"/>
      <c r="E438" s="25" t="n"/>
      <c r="F438" s="25" t="n"/>
      <c r="G438" s="25" t="n"/>
      <c r="H438" s="25" t="n"/>
      <c r="I438" s="25">
        <f>IF(OR(F438="",H438=""),"",IF(F438=H438,"","⚠ resolve"))</f>
        <v/>
      </c>
      <c r="J438" s="25" t="n"/>
    </row>
    <row r="439">
      <c r="A439" s="22">
        <f>IF(D439="","",ROW()-4)</f>
        <v/>
      </c>
      <c r="B439" s="22" t="n"/>
      <c r="C439" s="22" t="n"/>
      <c r="D439" s="22" t="n"/>
      <c r="E439" s="22" t="n"/>
      <c r="F439" s="22" t="n"/>
      <c r="G439" s="22" t="n"/>
      <c r="H439" s="22" t="n"/>
      <c r="I439" s="22">
        <f>IF(OR(F439="",H439=""),"",IF(F439=H439,"","⚠ resolve"))</f>
        <v/>
      </c>
      <c r="J439" s="22" t="n"/>
    </row>
    <row r="440">
      <c r="A440" s="25">
        <f>IF(D440="","",ROW()-4)</f>
        <v/>
      </c>
      <c r="B440" s="25" t="n"/>
      <c r="C440" s="25" t="n"/>
      <c r="D440" s="25" t="n"/>
      <c r="E440" s="25" t="n"/>
      <c r="F440" s="25" t="n"/>
      <c r="G440" s="25" t="n"/>
      <c r="H440" s="25" t="n"/>
      <c r="I440" s="25">
        <f>IF(OR(F440="",H440=""),"",IF(F440=H440,"","⚠ resolve"))</f>
        <v/>
      </c>
      <c r="J440" s="25" t="n"/>
    </row>
    <row r="441">
      <c r="A441" s="22">
        <f>IF(D441="","",ROW()-4)</f>
        <v/>
      </c>
      <c r="B441" s="22" t="n"/>
      <c r="C441" s="22" t="n"/>
      <c r="D441" s="22" t="n"/>
      <c r="E441" s="22" t="n"/>
      <c r="F441" s="22" t="n"/>
      <c r="G441" s="22" t="n"/>
      <c r="H441" s="22" t="n"/>
      <c r="I441" s="22">
        <f>IF(OR(F441="",H441=""),"",IF(F441=H441,"","⚠ resolve"))</f>
        <v/>
      </c>
      <c r="J441" s="22" t="n"/>
    </row>
    <row r="442">
      <c r="A442" s="25">
        <f>IF(D442="","",ROW()-4)</f>
        <v/>
      </c>
      <c r="B442" s="25" t="n"/>
      <c r="C442" s="25" t="n"/>
      <c r="D442" s="25" t="n"/>
      <c r="E442" s="25" t="n"/>
      <c r="F442" s="25" t="n"/>
      <c r="G442" s="25" t="n"/>
      <c r="H442" s="25" t="n"/>
      <c r="I442" s="25">
        <f>IF(OR(F442="",H442=""),"",IF(F442=H442,"","⚠ resolve"))</f>
        <v/>
      </c>
      <c r="J442" s="25" t="n"/>
    </row>
    <row r="443">
      <c r="A443" s="22">
        <f>IF(D443="","",ROW()-4)</f>
        <v/>
      </c>
      <c r="B443" s="22" t="n"/>
      <c r="C443" s="22" t="n"/>
      <c r="D443" s="22" t="n"/>
      <c r="E443" s="22" t="n"/>
      <c r="F443" s="22" t="n"/>
      <c r="G443" s="22" t="n"/>
      <c r="H443" s="22" t="n"/>
      <c r="I443" s="22">
        <f>IF(OR(F443="",H443=""),"",IF(F443=H443,"","⚠ resolve"))</f>
        <v/>
      </c>
      <c r="J443" s="22" t="n"/>
    </row>
    <row r="444">
      <c r="A444" s="25">
        <f>IF(D444="","",ROW()-4)</f>
        <v/>
      </c>
      <c r="B444" s="25" t="n"/>
      <c r="C444" s="25" t="n"/>
      <c r="D444" s="25" t="n"/>
      <c r="E444" s="25" t="n"/>
      <c r="F444" s="25" t="n"/>
      <c r="G444" s="25" t="n"/>
      <c r="H444" s="25" t="n"/>
      <c r="I444" s="25">
        <f>IF(OR(F444="",H444=""),"",IF(F444=H444,"","⚠ resolve"))</f>
        <v/>
      </c>
      <c r="J444" s="25" t="n"/>
    </row>
    <row r="445">
      <c r="A445" s="22">
        <f>IF(D445="","",ROW()-4)</f>
        <v/>
      </c>
      <c r="B445" s="22" t="n"/>
      <c r="C445" s="22" t="n"/>
      <c r="D445" s="22" t="n"/>
      <c r="E445" s="22" t="n"/>
      <c r="F445" s="22" t="n"/>
      <c r="G445" s="22" t="n"/>
      <c r="H445" s="22" t="n"/>
      <c r="I445" s="22">
        <f>IF(OR(F445="",H445=""),"",IF(F445=H445,"","⚠ resolve"))</f>
        <v/>
      </c>
      <c r="J445" s="22" t="n"/>
    </row>
    <row r="446">
      <c r="A446" s="25">
        <f>IF(D446="","",ROW()-4)</f>
        <v/>
      </c>
      <c r="B446" s="25" t="n"/>
      <c r="C446" s="25" t="n"/>
      <c r="D446" s="25" t="n"/>
      <c r="E446" s="25" t="n"/>
      <c r="F446" s="25" t="n"/>
      <c r="G446" s="25" t="n"/>
      <c r="H446" s="25" t="n"/>
      <c r="I446" s="25">
        <f>IF(OR(F446="",H446=""),"",IF(F446=H446,"","⚠ resolve"))</f>
        <v/>
      </c>
      <c r="J446" s="25" t="n"/>
    </row>
    <row r="447">
      <c r="A447" s="22">
        <f>IF(D447="","",ROW()-4)</f>
        <v/>
      </c>
      <c r="B447" s="22" t="n"/>
      <c r="C447" s="22" t="n"/>
      <c r="D447" s="22" t="n"/>
      <c r="E447" s="22" t="n"/>
      <c r="F447" s="22" t="n"/>
      <c r="G447" s="22" t="n"/>
      <c r="H447" s="22" t="n"/>
      <c r="I447" s="22">
        <f>IF(OR(F447="",H447=""),"",IF(F447=H447,"","⚠ resolve"))</f>
        <v/>
      </c>
      <c r="J447" s="22" t="n"/>
    </row>
    <row r="448">
      <c r="A448" s="25">
        <f>IF(D448="","",ROW()-4)</f>
        <v/>
      </c>
      <c r="B448" s="25" t="n"/>
      <c r="C448" s="25" t="n"/>
      <c r="D448" s="25" t="n"/>
      <c r="E448" s="25" t="n"/>
      <c r="F448" s="25" t="n"/>
      <c r="G448" s="25" t="n"/>
      <c r="H448" s="25" t="n"/>
      <c r="I448" s="25">
        <f>IF(OR(F448="",H448=""),"",IF(F448=H448,"","⚠ resolve"))</f>
        <v/>
      </c>
      <c r="J448" s="25" t="n"/>
    </row>
    <row r="449">
      <c r="A449" s="22">
        <f>IF(D449="","",ROW()-4)</f>
        <v/>
      </c>
      <c r="B449" s="22" t="n"/>
      <c r="C449" s="22" t="n"/>
      <c r="D449" s="22" t="n"/>
      <c r="E449" s="22" t="n"/>
      <c r="F449" s="22" t="n"/>
      <c r="G449" s="22" t="n"/>
      <c r="H449" s="22" t="n"/>
      <c r="I449" s="22">
        <f>IF(OR(F449="",H449=""),"",IF(F449=H449,"","⚠ resolve"))</f>
        <v/>
      </c>
      <c r="J449" s="22" t="n"/>
    </row>
    <row r="450">
      <c r="A450" s="25">
        <f>IF(D450="","",ROW()-4)</f>
        <v/>
      </c>
      <c r="B450" s="25" t="n"/>
      <c r="C450" s="25" t="n"/>
      <c r="D450" s="25" t="n"/>
      <c r="E450" s="25" t="n"/>
      <c r="F450" s="25" t="n"/>
      <c r="G450" s="25" t="n"/>
      <c r="H450" s="25" t="n"/>
      <c r="I450" s="25">
        <f>IF(OR(F450="",H450=""),"",IF(F450=H450,"","⚠ resolve"))</f>
        <v/>
      </c>
      <c r="J450" s="25" t="n"/>
    </row>
    <row r="451">
      <c r="A451" s="22">
        <f>IF(D451="","",ROW()-4)</f>
        <v/>
      </c>
      <c r="B451" s="22" t="n"/>
      <c r="C451" s="22" t="n"/>
      <c r="D451" s="22" t="n"/>
      <c r="E451" s="22" t="n"/>
      <c r="F451" s="22" t="n"/>
      <c r="G451" s="22" t="n"/>
      <c r="H451" s="22" t="n"/>
      <c r="I451" s="22">
        <f>IF(OR(F451="",H451=""),"",IF(F451=H451,"","⚠ resolve"))</f>
        <v/>
      </c>
      <c r="J451" s="22" t="n"/>
    </row>
    <row r="452">
      <c r="A452" s="25">
        <f>IF(D452="","",ROW()-4)</f>
        <v/>
      </c>
      <c r="B452" s="25" t="n"/>
      <c r="C452" s="25" t="n"/>
      <c r="D452" s="25" t="n"/>
      <c r="E452" s="25" t="n"/>
      <c r="F452" s="25" t="n"/>
      <c r="G452" s="25" t="n"/>
      <c r="H452" s="25" t="n"/>
      <c r="I452" s="25">
        <f>IF(OR(F452="",H452=""),"",IF(F452=H452,"","⚠ resolve"))</f>
        <v/>
      </c>
      <c r="J452" s="25" t="n"/>
    </row>
    <row r="453">
      <c r="A453" s="22">
        <f>IF(D453="","",ROW()-4)</f>
        <v/>
      </c>
      <c r="B453" s="22" t="n"/>
      <c r="C453" s="22" t="n"/>
      <c r="D453" s="22" t="n"/>
      <c r="E453" s="22" t="n"/>
      <c r="F453" s="22" t="n"/>
      <c r="G453" s="22" t="n"/>
      <c r="H453" s="22" t="n"/>
      <c r="I453" s="22">
        <f>IF(OR(F453="",H453=""),"",IF(F453=H453,"","⚠ resolve"))</f>
        <v/>
      </c>
      <c r="J453" s="22" t="n"/>
    </row>
    <row r="454">
      <c r="A454" s="25">
        <f>IF(D454="","",ROW()-4)</f>
        <v/>
      </c>
      <c r="B454" s="25" t="n"/>
      <c r="C454" s="25" t="n"/>
      <c r="D454" s="25" t="n"/>
      <c r="E454" s="25" t="n"/>
      <c r="F454" s="25" t="n"/>
      <c r="G454" s="25" t="n"/>
      <c r="H454" s="25" t="n"/>
      <c r="I454" s="25">
        <f>IF(OR(F454="",H454=""),"",IF(F454=H454,"","⚠ resolve"))</f>
        <v/>
      </c>
      <c r="J454" s="25" t="n"/>
    </row>
    <row r="455">
      <c r="A455" s="22">
        <f>IF(D455="","",ROW()-4)</f>
        <v/>
      </c>
      <c r="B455" s="22" t="n"/>
      <c r="C455" s="22" t="n"/>
      <c r="D455" s="22" t="n"/>
      <c r="E455" s="22" t="n"/>
      <c r="F455" s="22" t="n"/>
      <c r="G455" s="22" t="n"/>
      <c r="H455" s="22" t="n"/>
      <c r="I455" s="22">
        <f>IF(OR(F455="",H455=""),"",IF(F455=H455,"","⚠ resolve"))</f>
        <v/>
      </c>
      <c r="J455" s="22" t="n"/>
    </row>
    <row r="456">
      <c r="A456" s="25">
        <f>IF(D456="","",ROW()-4)</f>
        <v/>
      </c>
      <c r="B456" s="25" t="n"/>
      <c r="C456" s="25" t="n"/>
      <c r="D456" s="25" t="n"/>
      <c r="E456" s="25" t="n"/>
      <c r="F456" s="25" t="n"/>
      <c r="G456" s="25" t="n"/>
      <c r="H456" s="25" t="n"/>
      <c r="I456" s="25">
        <f>IF(OR(F456="",H456=""),"",IF(F456=H456,"","⚠ resolve"))</f>
        <v/>
      </c>
      <c r="J456" s="25" t="n"/>
    </row>
    <row r="457">
      <c r="A457" s="22">
        <f>IF(D457="","",ROW()-4)</f>
        <v/>
      </c>
      <c r="B457" s="22" t="n"/>
      <c r="C457" s="22" t="n"/>
      <c r="D457" s="22" t="n"/>
      <c r="E457" s="22" t="n"/>
      <c r="F457" s="22" t="n"/>
      <c r="G457" s="22" t="n"/>
      <c r="H457" s="22" t="n"/>
      <c r="I457" s="22">
        <f>IF(OR(F457="",H457=""),"",IF(F457=H457,"","⚠ resolve"))</f>
        <v/>
      </c>
      <c r="J457" s="22" t="n"/>
    </row>
    <row r="458">
      <c r="A458" s="25">
        <f>IF(D458="","",ROW()-4)</f>
        <v/>
      </c>
      <c r="B458" s="25" t="n"/>
      <c r="C458" s="25" t="n"/>
      <c r="D458" s="25" t="n"/>
      <c r="E458" s="25" t="n"/>
      <c r="F458" s="25" t="n"/>
      <c r="G458" s="25" t="n"/>
      <c r="H458" s="25" t="n"/>
      <c r="I458" s="25">
        <f>IF(OR(F458="",H458=""),"",IF(F458=H458,"","⚠ resolve"))</f>
        <v/>
      </c>
      <c r="J458" s="25" t="n"/>
    </row>
    <row r="459">
      <c r="A459" s="22">
        <f>IF(D459="","",ROW()-4)</f>
        <v/>
      </c>
      <c r="B459" s="22" t="n"/>
      <c r="C459" s="22" t="n"/>
      <c r="D459" s="22" t="n"/>
      <c r="E459" s="22" t="n"/>
      <c r="F459" s="22" t="n"/>
      <c r="G459" s="22" t="n"/>
      <c r="H459" s="22" t="n"/>
      <c r="I459" s="22">
        <f>IF(OR(F459="",H459=""),"",IF(F459=H459,"","⚠ resolve"))</f>
        <v/>
      </c>
      <c r="J459" s="22" t="n"/>
    </row>
    <row r="460">
      <c r="A460" s="25">
        <f>IF(D460="","",ROW()-4)</f>
        <v/>
      </c>
      <c r="B460" s="25" t="n"/>
      <c r="C460" s="25" t="n"/>
      <c r="D460" s="25" t="n"/>
      <c r="E460" s="25" t="n"/>
      <c r="F460" s="25" t="n"/>
      <c r="G460" s="25" t="n"/>
      <c r="H460" s="25" t="n"/>
      <c r="I460" s="25">
        <f>IF(OR(F460="",H460=""),"",IF(F460=H460,"","⚠ resolve"))</f>
        <v/>
      </c>
      <c r="J460" s="25" t="n"/>
    </row>
    <row r="461">
      <c r="A461" s="22">
        <f>IF(D461="","",ROW()-4)</f>
        <v/>
      </c>
      <c r="B461" s="22" t="n"/>
      <c r="C461" s="22" t="n"/>
      <c r="D461" s="22" t="n"/>
      <c r="E461" s="22" t="n"/>
      <c r="F461" s="22" t="n"/>
      <c r="G461" s="22" t="n"/>
      <c r="H461" s="22" t="n"/>
      <c r="I461" s="22">
        <f>IF(OR(F461="",H461=""),"",IF(F461=H461,"","⚠ resolve"))</f>
        <v/>
      </c>
      <c r="J461" s="22" t="n"/>
    </row>
    <row r="462">
      <c r="A462" s="25">
        <f>IF(D462="","",ROW()-4)</f>
        <v/>
      </c>
      <c r="B462" s="25" t="n"/>
      <c r="C462" s="25" t="n"/>
      <c r="D462" s="25" t="n"/>
      <c r="E462" s="25" t="n"/>
      <c r="F462" s="25" t="n"/>
      <c r="G462" s="25" t="n"/>
      <c r="H462" s="25" t="n"/>
      <c r="I462" s="25">
        <f>IF(OR(F462="",H462=""),"",IF(F462=H462,"","⚠ resolve"))</f>
        <v/>
      </c>
      <c r="J462" s="25" t="n"/>
    </row>
    <row r="463">
      <c r="A463" s="22">
        <f>IF(D463="","",ROW()-4)</f>
        <v/>
      </c>
      <c r="B463" s="22" t="n"/>
      <c r="C463" s="22" t="n"/>
      <c r="D463" s="22" t="n"/>
      <c r="E463" s="22" t="n"/>
      <c r="F463" s="22" t="n"/>
      <c r="G463" s="22" t="n"/>
      <c r="H463" s="22" t="n"/>
      <c r="I463" s="22">
        <f>IF(OR(F463="",H463=""),"",IF(F463=H463,"","⚠ resolve"))</f>
        <v/>
      </c>
      <c r="J463" s="22" t="n"/>
    </row>
    <row r="464">
      <c r="A464" s="25">
        <f>IF(D464="","",ROW()-4)</f>
        <v/>
      </c>
      <c r="B464" s="25" t="n"/>
      <c r="C464" s="25" t="n"/>
      <c r="D464" s="25" t="n"/>
      <c r="E464" s="25" t="n"/>
      <c r="F464" s="25" t="n"/>
      <c r="G464" s="25" t="n"/>
      <c r="H464" s="25" t="n"/>
      <c r="I464" s="25">
        <f>IF(OR(F464="",H464=""),"",IF(F464=H464,"","⚠ resolve"))</f>
        <v/>
      </c>
      <c r="J464" s="25" t="n"/>
    </row>
    <row r="465">
      <c r="A465" s="22">
        <f>IF(D465="","",ROW()-4)</f>
        <v/>
      </c>
      <c r="B465" s="22" t="n"/>
      <c r="C465" s="22" t="n"/>
      <c r="D465" s="22" t="n"/>
      <c r="E465" s="22" t="n"/>
      <c r="F465" s="22" t="n"/>
      <c r="G465" s="22" t="n"/>
      <c r="H465" s="22" t="n"/>
      <c r="I465" s="22">
        <f>IF(OR(F465="",H465=""),"",IF(F465=H465,"","⚠ resolve"))</f>
        <v/>
      </c>
      <c r="J465" s="22" t="n"/>
    </row>
    <row r="466">
      <c r="A466" s="25">
        <f>IF(D466="","",ROW()-4)</f>
        <v/>
      </c>
      <c r="B466" s="25" t="n"/>
      <c r="C466" s="25" t="n"/>
      <c r="D466" s="25" t="n"/>
      <c r="E466" s="25" t="n"/>
      <c r="F466" s="25" t="n"/>
      <c r="G466" s="25" t="n"/>
      <c r="H466" s="25" t="n"/>
      <c r="I466" s="25">
        <f>IF(OR(F466="",H466=""),"",IF(F466=H466,"","⚠ resolve"))</f>
        <v/>
      </c>
      <c r="J466" s="25" t="n"/>
    </row>
    <row r="467">
      <c r="A467" s="22">
        <f>IF(D467="","",ROW()-4)</f>
        <v/>
      </c>
      <c r="B467" s="22" t="n"/>
      <c r="C467" s="22" t="n"/>
      <c r="D467" s="22" t="n"/>
      <c r="E467" s="22" t="n"/>
      <c r="F467" s="22" t="n"/>
      <c r="G467" s="22" t="n"/>
      <c r="H467" s="22" t="n"/>
      <c r="I467" s="22">
        <f>IF(OR(F467="",H467=""),"",IF(F467=H467,"","⚠ resolve"))</f>
        <v/>
      </c>
      <c r="J467" s="22" t="n"/>
    </row>
    <row r="468">
      <c r="A468" s="25">
        <f>IF(D468="","",ROW()-4)</f>
        <v/>
      </c>
      <c r="B468" s="25" t="n"/>
      <c r="C468" s="25" t="n"/>
      <c r="D468" s="25" t="n"/>
      <c r="E468" s="25" t="n"/>
      <c r="F468" s="25" t="n"/>
      <c r="G468" s="25" t="n"/>
      <c r="H468" s="25" t="n"/>
      <c r="I468" s="25">
        <f>IF(OR(F468="",H468=""),"",IF(F468=H468,"","⚠ resolve"))</f>
        <v/>
      </c>
      <c r="J468" s="25" t="n"/>
    </row>
    <row r="469">
      <c r="A469" s="22">
        <f>IF(D469="","",ROW()-4)</f>
        <v/>
      </c>
      <c r="B469" s="22" t="n"/>
      <c r="C469" s="22" t="n"/>
      <c r="D469" s="22" t="n"/>
      <c r="E469" s="22" t="n"/>
      <c r="F469" s="22" t="n"/>
      <c r="G469" s="22" t="n"/>
      <c r="H469" s="22" t="n"/>
      <c r="I469" s="22">
        <f>IF(OR(F469="",H469=""),"",IF(F469=H469,"","⚠ resolve"))</f>
        <v/>
      </c>
      <c r="J469" s="22" t="n"/>
    </row>
    <row r="470">
      <c r="A470" s="25">
        <f>IF(D470="","",ROW()-4)</f>
        <v/>
      </c>
      <c r="B470" s="25" t="n"/>
      <c r="C470" s="25" t="n"/>
      <c r="D470" s="25" t="n"/>
      <c r="E470" s="25" t="n"/>
      <c r="F470" s="25" t="n"/>
      <c r="G470" s="25" t="n"/>
      <c r="H470" s="25" t="n"/>
      <c r="I470" s="25">
        <f>IF(OR(F470="",H470=""),"",IF(F470=H470,"","⚠ resolve"))</f>
        <v/>
      </c>
      <c r="J470" s="25" t="n"/>
    </row>
    <row r="471">
      <c r="A471" s="22">
        <f>IF(D471="","",ROW()-4)</f>
        <v/>
      </c>
      <c r="B471" s="22" t="n"/>
      <c r="C471" s="22" t="n"/>
      <c r="D471" s="22" t="n"/>
      <c r="E471" s="22" t="n"/>
      <c r="F471" s="22" t="n"/>
      <c r="G471" s="22" t="n"/>
      <c r="H471" s="22" t="n"/>
      <c r="I471" s="22">
        <f>IF(OR(F471="",H471=""),"",IF(F471=H471,"","⚠ resolve"))</f>
        <v/>
      </c>
      <c r="J471" s="22" t="n"/>
    </row>
    <row r="472">
      <c r="A472" s="25">
        <f>IF(D472="","",ROW()-4)</f>
        <v/>
      </c>
      <c r="B472" s="25" t="n"/>
      <c r="C472" s="25" t="n"/>
      <c r="D472" s="25" t="n"/>
      <c r="E472" s="25" t="n"/>
      <c r="F472" s="25" t="n"/>
      <c r="G472" s="25" t="n"/>
      <c r="H472" s="25" t="n"/>
      <c r="I472" s="25">
        <f>IF(OR(F472="",H472=""),"",IF(F472=H472,"","⚠ resolve"))</f>
        <v/>
      </c>
      <c r="J472" s="25" t="n"/>
    </row>
    <row r="473">
      <c r="A473" s="22">
        <f>IF(D473="","",ROW()-4)</f>
        <v/>
      </c>
      <c r="B473" s="22" t="n"/>
      <c r="C473" s="22" t="n"/>
      <c r="D473" s="22" t="n"/>
      <c r="E473" s="22" t="n"/>
      <c r="F473" s="22" t="n"/>
      <c r="G473" s="22" t="n"/>
      <c r="H473" s="22" t="n"/>
      <c r="I473" s="22">
        <f>IF(OR(F473="",H473=""),"",IF(F473=H473,"","⚠ resolve"))</f>
        <v/>
      </c>
      <c r="J473" s="22" t="n"/>
    </row>
    <row r="474">
      <c r="A474" s="25">
        <f>IF(D474="","",ROW()-4)</f>
        <v/>
      </c>
      <c r="B474" s="25" t="n"/>
      <c r="C474" s="25" t="n"/>
      <c r="D474" s="25" t="n"/>
      <c r="E474" s="25" t="n"/>
      <c r="F474" s="25" t="n"/>
      <c r="G474" s="25" t="n"/>
      <c r="H474" s="25" t="n"/>
      <c r="I474" s="25">
        <f>IF(OR(F474="",H474=""),"",IF(F474=H474,"","⚠ resolve"))</f>
        <v/>
      </c>
      <c r="J474" s="25" t="n"/>
    </row>
    <row r="475">
      <c r="A475" s="22">
        <f>IF(D475="","",ROW()-4)</f>
        <v/>
      </c>
      <c r="B475" s="22" t="n"/>
      <c r="C475" s="22" t="n"/>
      <c r="D475" s="22" t="n"/>
      <c r="E475" s="22" t="n"/>
      <c r="F475" s="22" t="n"/>
      <c r="G475" s="22" t="n"/>
      <c r="H475" s="22" t="n"/>
      <c r="I475" s="22">
        <f>IF(OR(F475="",H475=""),"",IF(F475=H475,"","⚠ resolve"))</f>
        <v/>
      </c>
      <c r="J475" s="22" t="n"/>
    </row>
    <row r="476">
      <c r="A476" s="25">
        <f>IF(D476="","",ROW()-4)</f>
        <v/>
      </c>
      <c r="B476" s="25" t="n"/>
      <c r="C476" s="25" t="n"/>
      <c r="D476" s="25" t="n"/>
      <c r="E476" s="25" t="n"/>
      <c r="F476" s="25" t="n"/>
      <c r="G476" s="25" t="n"/>
      <c r="H476" s="25" t="n"/>
      <c r="I476" s="25">
        <f>IF(OR(F476="",H476=""),"",IF(F476=H476,"","⚠ resolve"))</f>
        <v/>
      </c>
      <c r="J476" s="25" t="n"/>
    </row>
    <row r="477">
      <c r="A477" s="22">
        <f>IF(D477="","",ROW()-4)</f>
        <v/>
      </c>
      <c r="B477" s="22" t="n"/>
      <c r="C477" s="22" t="n"/>
      <c r="D477" s="22" t="n"/>
      <c r="E477" s="22" t="n"/>
      <c r="F477" s="22" t="n"/>
      <c r="G477" s="22" t="n"/>
      <c r="H477" s="22" t="n"/>
      <c r="I477" s="22">
        <f>IF(OR(F477="",H477=""),"",IF(F477=H477,"","⚠ resolve"))</f>
        <v/>
      </c>
      <c r="J477" s="22" t="n"/>
    </row>
    <row r="478">
      <c r="A478" s="25">
        <f>IF(D478="","",ROW()-4)</f>
        <v/>
      </c>
      <c r="B478" s="25" t="n"/>
      <c r="C478" s="25" t="n"/>
      <c r="D478" s="25" t="n"/>
      <c r="E478" s="25" t="n"/>
      <c r="F478" s="25" t="n"/>
      <c r="G478" s="25" t="n"/>
      <c r="H478" s="25" t="n"/>
      <c r="I478" s="25">
        <f>IF(OR(F478="",H478=""),"",IF(F478=H478,"","⚠ resolve"))</f>
        <v/>
      </c>
      <c r="J478" s="25" t="n"/>
    </row>
    <row r="479">
      <c r="A479" s="22">
        <f>IF(D479="","",ROW()-4)</f>
        <v/>
      </c>
      <c r="B479" s="22" t="n"/>
      <c r="C479" s="22" t="n"/>
      <c r="D479" s="22" t="n"/>
      <c r="E479" s="22" t="n"/>
      <c r="F479" s="22" t="n"/>
      <c r="G479" s="22" t="n"/>
      <c r="H479" s="22" t="n"/>
      <c r="I479" s="22">
        <f>IF(OR(F479="",H479=""),"",IF(F479=H479,"","⚠ resolve"))</f>
        <v/>
      </c>
      <c r="J479" s="22" t="n"/>
    </row>
    <row r="480">
      <c r="A480" s="25">
        <f>IF(D480="","",ROW()-4)</f>
        <v/>
      </c>
      <c r="B480" s="25" t="n"/>
      <c r="C480" s="25" t="n"/>
      <c r="D480" s="25" t="n"/>
      <c r="E480" s="25" t="n"/>
      <c r="F480" s="25" t="n"/>
      <c r="G480" s="25" t="n"/>
      <c r="H480" s="25" t="n"/>
      <c r="I480" s="25">
        <f>IF(OR(F480="",H480=""),"",IF(F480=H480,"","⚠ resolve"))</f>
        <v/>
      </c>
      <c r="J480" s="25" t="n"/>
    </row>
    <row r="481">
      <c r="A481" s="22">
        <f>IF(D481="","",ROW()-4)</f>
        <v/>
      </c>
      <c r="B481" s="22" t="n"/>
      <c r="C481" s="22" t="n"/>
      <c r="D481" s="22" t="n"/>
      <c r="E481" s="22" t="n"/>
      <c r="F481" s="22" t="n"/>
      <c r="G481" s="22" t="n"/>
      <c r="H481" s="22" t="n"/>
      <c r="I481" s="22">
        <f>IF(OR(F481="",H481=""),"",IF(F481=H481,"","⚠ resolve"))</f>
        <v/>
      </c>
      <c r="J481" s="22" t="n"/>
    </row>
    <row r="482">
      <c r="A482" s="25">
        <f>IF(D482="","",ROW()-4)</f>
        <v/>
      </c>
      <c r="B482" s="25" t="n"/>
      <c r="C482" s="25" t="n"/>
      <c r="D482" s="25" t="n"/>
      <c r="E482" s="25" t="n"/>
      <c r="F482" s="25" t="n"/>
      <c r="G482" s="25" t="n"/>
      <c r="H482" s="25" t="n"/>
      <c r="I482" s="25">
        <f>IF(OR(F482="",H482=""),"",IF(F482=H482,"","⚠ resolve"))</f>
        <v/>
      </c>
      <c r="J482" s="25" t="n"/>
    </row>
    <row r="483">
      <c r="A483" s="22">
        <f>IF(D483="","",ROW()-4)</f>
        <v/>
      </c>
      <c r="B483" s="22" t="n"/>
      <c r="C483" s="22" t="n"/>
      <c r="D483" s="22" t="n"/>
      <c r="E483" s="22" t="n"/>
      <c r="F483" s="22" t="n"/>
      <c r="G483" s="22" t="n"/>
      <c r="H483" s="22" t="n"/>
      <c r="I483" s="22">
        <f>IF(OR(F483="",H483=""),"",IF(F483=H483,"","⚠ resolve"))</f>
        <v/>
      </c>
      <c r="J483" s="22" t="n"/>
    </row>
    <row r="484">
      <c r="A484" s="25">
        <f>IF(D484="","",ROW()-4)</f>
        <v/>
      </c>
      <c r="B484" s="25" t="n"/>
      <c r="C484" s="25" t="n"/>
      <c r="D484" s="25" t="n"/>
      <c r="E484" s="25" t="n"/>
      <c r="F484" s="25" t="n"/>
      <c r="G484" s="25" t="n"/>
      <c r="H484" s="25" t="n"/>
      <c r="I484" s="25">
        <f>IF(OR(F484="",H484=""),"",IF(F484=H484,"","⚠ resolve"))</f>
        <v/>
      </c>
      <c r="J484" s="25" t="n"/>
    </row>
    <row r="485">
      <c r="A485" s="22">
        <f>IF(D485="","",ROW()-4)</f>
        <v/>
      </c>
      <c r="B485" s="22" t="n"/>
      <c r="C485" s="22" t="n"/>
      <c r="D485" s="22" t="n"/>
      <c r="E485" s="22" t="n"/>
      <c r="F485" s="22" t="n"/>
      <c r="G485" s="22" t="n"/>
      <c r="H485" s="22" t="n"/>
      <c r="I485" s="22">
        <f>IF(OR(F485="",H485=""),"",IF(F485=H485,"","⚠ resolve"))</f>
        <v/>
      </c>
      <c r="J485" s="22" t="n"/>
    </row>
    <row r="486">
      <c r="A486" s="25">
        <f>IF(D486="","",ROW()-4)</f>
        <v/>
      </c>
      <c r="B486" s="25" t="n"/>
      <c r="C486" s="25" t="n"/>
      <c r="D486" s="25" t="n"/>
      <c r="E486" s="25" t="n"/>
      <c r="F486" s="25" t="n"/>
      <c r="G486" s="25" t="n"/>
      <c r="H486" s="25" t="n"/>
      <c r="I486" s="25">
        <f>IF(OR(F486="",H486=""),"",IF(F486=H486,"","⚠ resolve"))</f>
        <v/>
      </c>
      <c r="J486" s="25" t="n"/>
    </row>
    <row r="487">
      <c r="A487" s="22">
        <f>IF(D487="","",ROW()-4)</f>
        <v/>
      </c>
      <c r="B487" s="22" t="n"/>
      <c r="C487" s="22" t="n"/>
      <c r="D487" s="22" t="n"/>
      <c r="E487" s="22" t="n"/>
      <c r="F487" s="22" t="n"/>
      <c r="G487" s="22" t="n"/>
      <c r="H487" s="22" t="n"/>
      <c r="I487" s="22">
        <f>IF(OR(F487="",H487=""),"",IF(F487=H487,"","⚠ resolve"))</f>
        <v/>
      </c>
      <c r="J487" s="22" t="n"/>
    </row>
    <row r="488">
      <c r="A488" s="25">
        <f>IF(D488="","",ROW()-4)</f>
        <v/>
      </c>
      <c r="B488" s="25" t="n"/>
      <c r="C488" s="25" t="n"/>
      <c r="D488" s="25" t="n"/>
      <c r="E488" s="25" t="n"/>
      <c r="F488" s="25" t="n"/>
      <c r="G488" s="25" t="n"/>
      <c r="H488" s="25" t="n"/>
      <c r="I488" s="25">
        <f>IF(OR(F488="",H488=""),"",IF(F488=H488,"","⚠ resolve"))</f>
        <v/>
      </c>
      <c r="J488" s="25" t="n"/>
    </row>
    <row r="489">
      <c r="A489" s="22">
        <f>IF(D489="","",ROW()-4)</f>
        <v/>
      </c>
      <c r="B489" s="22" t="n"/>
      <c r="C489" s="22" t="n"/>
      <c r="D489" s="22" t="n"/>
      <c r="E489" s="22" t="n"/>
      <c r="F489" s="22" t="n"/>
      <c r="G489" s="22" t="n"/>
      <c r="H489" s="22" t="n"/>
      <c r="I489" s="22">
        <f>IF(OR(F489="",H489=""),"",IF(F489=H489,"","⚠ resolve"))</f>
        <v/>
      </c>
      <c r="J489" s="22" t="n"/>
    </row>
    <row r="490">
      <c r="A490" s="25">
        <f>IF(D490="","",ROW()-4)</f>
        <v/>
      </c>
      <c r="B490" s="25" t="n"/>
      <c r="C490" s="25" t="n"/>
      <c r="D490" s="25" t="n"/>
      <c r="E490" s="25" t="n"/>
      <c r="F490" s="25" t="n"/>
      <c r="G490" s="25" t="n"/>
      <c r="H490" s="25" t="n"/>
      <c r="I490" s="25">
        <f>IF(OR(F490="",H490=""),"",IF(F490=H490,"","⚠ resolve"))</f>
        <v/>
      </c>
      <c r="J490" s="25" t="n"/>
    </row>
    <row r="491">
      <c r="A491" s="22">
        <f>IF(D491="","",ROW()-4)</f>
        <v/>
      </c>
      <c r="B491" s="22" t="n"/>
      <c r="C491" s="22" t="n"/>
      <c r="D491" s="22" t="n"/>
      <c r="E491" s="22" t="n"/>
      <c r="F491" s="22" t="n"/>
      <c r="G491" s="22" t="n"/>
      <c r="H491" s="22" t="n"/>
      <c r="I491" s="22">
        <f>IF(OR(F491="",H491=""),"",IF(F491=H491,"","⚠ resolve"))</f>
        <v/>
      </c>
      <c r="J491" s="22" t="n"/>
    </row>
    <row r="492">
      <c r="A492" s="25">
        <f>IF(D492="","",ROW()-4)</f>
        <v/>
      </c>
      <c r="B492" s="25" t="n"/>
      <c r="C492" s="25" t="n"/>
      <c r="D492" s="25" t="n"/>
      <c r="E492" s="25" t="n"/>
      <c r="F492" s="25" t="n"/>
      <c r="G492" s="25" t="n"/>
      <c r="H492" s="25" t="n"/>
      <c r="I492" s="25">
        <f>IF(OR(F492="",H492=""),"",IF(F492=H492,"","⚠ resolve"))</f>
        <v/>
      </c>
      <c r="J492" s="25" t="n"/>
    </row>
    <row r="493">
      <c r="A493" s="22">
        <f>IF(D493="","",ROW()-4)</f>
        <v/>
      </c>
      <c r="B493" s="22" t="n"/>
      <c r="C493" s="22" t="n"/>
      <c r="D493" s="22" t="n"/>
      <c r="E493" s="22" t="n"/>
      <c r="F493" s="22" t="n"/>
      <c r="G493" s="22" t="n"/>
      <c r="H493" s="22" t="n"/>
      <c r="I493" s="22">
        <f>IF(OR(F493="",H493=""),"",IF(F493=H493,"","⚠ resolve"))</f>
        <v/>
      </c>
      <c r="J493" s="22" t="n"/>
    </row>
    <row r="494">
      <c r="A494" s="25">
        <f>IF(D494="","",ROW()-4)</f>
        <v/>
      </c>
      <c r="B494" s="25" t="n"/>
      <c r="C494" s="25" t="n"/>
      <c r="D494" s="25" t="n"/>
      <c r="E494" s="25" t="n"/>
      <c r="F494" s="25" t="n"/>
      <c r="G494" s="25" t="n"/>
      <c r="H494" s="25" t="n"/>
      <c r="I494" s="25">
        <f>IF(OR(F494="",H494=""),"",IF(F494=H494,"","⚠ resolve"))</f>
        <v/>
      </c>
      <c r="J494" s="25" t="n"/>
    </row>
    <row r="495">
      <c r="A495" s="22">
        <f>IF(D495="","",ROW()-4)</f>
        <v/>
      </c>
      <c r="B495" s="22" t="n"/>
      <c r="C495" s="22" t="n"/>
      <c r="D495" s="22" t="n"/>
      <c r="E495" s="22" t="n"/>
      <c r="F495" s="22" t="n"/>
      <c r="G495" s="22" t="n"/>
      <c r="H495" s="22" t="n"/>
      <c r="I495" s="22">
        <f>IF(OR(F495="",H495=""),"",IF(F495=H495,"","⚠ resolve"))</f>
        <v/>
      </c>
      <c r="J495" s="22" t="n"/>
    </row>
    <row r="496">
      <c r="A496" s="25">
        <f>IF(D496="","",ROW()-4)</f>
        <v/>
      </c>
      <c r="B496" s="25" t="n"/>
      <c r="C496" s="25" t="n"/>
      <c r="D496" s="25" t="n"/>
      <c r="E496" s="25" t="n"/>
      <c r="F496" s="25" t="n"/>
      <c r="G496" s="25" t="n"/>
      <c r="H496" s="25" t="n"/>
      <c r="I496" s="25">
        <f>IF(OR(F496="",H496=""),"",IF(F496=H496,"","⚠ resolve"))</f>
        <v/>
      </c>
      <c r="J496" s="25" t="n"/>
    </row>
    <row r="497">
      <c r="A497" s="22">
        <f>IF(D497="","",ROW()-4)</f>
        <v/>
      </c>
      <c r="B497" s="22" t="n"/>
      <c r="C497" s="22" t="n"/>
      <c r="D497" s="22" t="n"/>
      <c r="E497" s="22" t="n"/>
      <c r="F497" s="22" t="n"/>
      <c r="G497" s="22" t="n"/>
      <c r="H497" s="22" t="n"/>
      <c r="I497" s="22">
        <f>IF(OR(F497="",H497=""),"",IF(F497=H497,"","⚠ resolve"))</f>
        <v/>
      </c>
      <c r="J497" s="22" t="n"/>
    </row>
    <row r="498">
      <c r="A498" s="25">
        <f>IF(D498="","",ROW()-4)</f>
        <v/>
      </c>
      <c r="B498" s="25" t="n"/>
      <c r="C498" s="25" t="n"/>
      <c r="D498" s="25" t="n"/>
      <c r="E498" s="25" t="n"/>
      <c r="F498" s="25" t="n"/>
      <c r="G498" s="25" t="n"/>
      <c r="H498" s="25" t="n"/>
      <c r="I498" s="25">
        <f>IF(OR(F498="",H498=""),"",IF(F498=H498,"","⚠ resolve"))</f>
        <v/>
      </c>
      <c r="J498" s="25" t="n"/>
    </row>
    <row r="499">
      <c r="A499" s="22">
        <f>IF(D499="","",ROW()-4)</f>
        <v/>
      </c>
      <c r="B499" s="22" t="n"/>
      <c r="C499" s="22" t="n"/>
      <c r="D499" s="22" t="n"/>
      <c r="E499" s="22" t="n"/>
      <c r="F499" s="22" t="n"/>
      <c r="G499" s="22" t="n"/>
      <c r="H499" s="22" t="n"/>
      <c r="I499" s="22">
        <f>IF(OR(F499="",H499=""),"",IF(F499=H499,"","⚠ resolve"))</f>
        <v/>
      </c>
      <c r="J499" s="22" t="n"/>
    </row>
    <row r="500">
      <c r="A500" s="25">
        <f>IF(D500="","",ROW()-4)</f>
        <v/>
      </c>
      <c r="B500" s="25" t="n"/>
      <c r="C500" s="25" t="n"/>
      <c r="D500" s="25" t="n"/>
      <c r="E500" s="25" t="n"/>
      <c r="F500" s="25" t="n"/>
      <c r="G500" s="25" t="n"/>
      <c r="H500" s="25" t="n"/>
      <c r="I500" s="25">
        <f>IF(OR(F500="",H500=""),"",IF(F500=H500,"","⚠ resolve"))</f>
        <v/>
      </c>
      <c r="J500" s="25" t="n"/>
    </row>
    <row r="501">
      <c r="A501" s="22">
        <f>IF(D501="","",ROW()-4)</f>
        <v/>
      </c>
      <c r="B501" s="22" t="n"/>
      <c r="C501" s="22" t="n"/>
      <c r="D501" s="22" t="n"/>
      <c r="E501" s="22" t="n"/>
      <c r="F501" s="22" t="n"/>
      <c r="G501" s="22" t="n"/>
      <c r="H501" s="22" t="n"/>
      <c r="I501" s="22">
        <f>IF(OR(F501="",H501=""),"",IF(F501=H501,"","⚠ resolve"))</f>
        <v/>
      </c>
      <c r="J501" s="22" t="n"/>
    </row>
    <row r="502">
      <c r="A502" s="25">
        <f>IF(D502="","",ROW()-4)</f>
        <v/>
      </c>
      <c r="B502" s="25" t="n"/>
      <c r="C502" s="25" t="n"/>
      <c r="D502" s="25" t="n"/>
      <c r="E502" s="25" t="n"/>
      <c r="F502" s="25" t="n"/>
      <c r="G502" s="25" t="n"/>
      <c r="H502" s="25" t="n"/>
      <c r="I502" s="25">
        <f>IF(OR(F502="",H502=""),"",IF(F502=H502,"","⚠ resolve"))</f>
        <v/>
      </c>
      <c r="J502" s="25" t="n"/>
    </row>
    <row r="503">
      <c r="A503" s="22">
        <f>IF(D503="","",ROW()-4)</f>
        <v/>
      </c>
      <c r="B503" s="22" t="n"/>
      <c r="C503" s="22" t="n"/>
      <c r="D503" s="22" t="n"/>
      <c r="E503" s="22" t="n"/>
      <c r="F503" s="22" t="n"/>
      <c r="G503" s="22" t="n"/>
      <c r="H503" s="22" t="n"/>
      <c r="I503" s="22">
        <f>IF(OR(F503="",H503=""),"",IF(F503=H503,"","⚠ resolve"))</f>
        <v/>
      </c>
      <c r="J503" s="22" t="n"/>
    </row>
    <row r="504">
      <c r="A504" s="25">
        <f>IF(D504="","",ROW()-4)</f>
        <v/>
      </c>
      <c r="B504" s="25" t="n"/>
      <c r="C504" s="25" t="n"/>
      <c r="D504" s="25" t="n"/>
      <c r="E504" s="25" t="n"/>
      <c r="F504" s="25" t="n"/>
      <c r="G504" s="25" t="n"/>
      <c r="H504" s="25" t="n"/>
      <c r="I504" s="25">
        <f>IF(OR(F504="",H504=""),"",IF(F504=H504,"","⚠ resolve"))</f>
        <v/>
      </c>
      <c r="J504" s="25" t="n"/>
    </row>
  </sheetData>
  <autoFilter ref="A4:J504"/>
  <mergeCells count="2">
    <mergeCell ref="A1:J1"/>
    <mergeCell ref="A2:J2"/>
  </mergeCells>
  <conditionalFormatting sqref="F5:F504">
    <cfRule type="cellIs" priority="1" operator="equal" dxfId="3">
      <formula>"Include"</formula>
    </cfRule>
    <cfRule type="cellIs" priority="2" operator="equal" dxfId="4">
      <formula>"Exclude"</formula>
    </cfRule>
    <cfRule type="cellIs" priority="3" operator="equal" dxfId="0">
      <formula>"Unsure"</formula>
    </cfRule>
  </conditionalFormatting>
  <conditionalFormatting sqref="H5:H504">
    <cfRule type="cellIs" priority="4" operator="equal" dxfId="3">
      <formula>"Include"</formula>
    </cfRule>
    <cfRule type="cellIs" priority="5" operator="equal" dxfId="4">
      <formula>"Exclude"</formula>
    </cfRule>
    <cfRule type="cellIs" priority="6" operator="equal" dxfId="0">
      <formula>"Unsure"</formula>
    </cfRule>
  </conditionalFormatting>
  <conditionalFormatting sqref="I5:I504">
    <cfRule type="cellIs" priority="7" operator="equal" dxfId="4">
      <formula>"⚠ resolve"</formula>
    </cfRule>
  </conditionalFormatting>
  <dataValidations count="3">
    <dataValidation sqref="F5:F504" showDropDown="0" showInputMessage="0" showErrorMessage="0" allowBlank="1" type="list">
      <formula1>Lists!$A$1:$A$3</formula1>
    </dataValidation>
    <dataValidation sqref="G5:G504" showDropDown="0" showInputMessage="0" showErrorMessage="0" allowBlank="1" type="list">
      <formula1>Lists!$B$1:$B$9</formula1>
    </dataValidation>
    <dataValidation sqref="H5:H504" showDropDown="0" showInputMessage="0" showErrorMessage="0" allowBlank="1" type="list">
      <formula1>Lists!$A$1:$A$3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4" customWidth="1" min="4" max="4"/>
    <col width="16" customWidth="1" min="5" max="5"/>
    <col width="11" customWidth="1" min="6" max="6"/>
    <col width="14" customWidth="1" min="7" max="7"/>
    <col width="28" customWidth="1" min="8" max="8"/>
    <col width="14" customWidth="1" min="9" max="9"/>
    <col width="11" customWidth="1" min="10" max="10"/>
    <col width="30" customWidth="1" min="11" max="11"/>
  </cols>
  <sheetData>
    <row r="1" ht="26" customHeight="1">
      <c r="A1" s="7" t="inlineStr">
        <is>
          <t>Full-Text</t>
        </is>
      </c>
    </row>
    <row r="2" ht="28" customHeight="1">
      <c r="A2" s="8" t="inlineStr">
        <is>
          <t>Every record you sought as full text gets a row — including the ones you could not retrieve. Citation-search / website / expert records enter HERE directly with Arm = Other source (they skip T/A screening). Leave Arm blank for Database/Register.</t>
        </is>
      </c>
    </row>
    <row r="4" ht="30" customHeight="1">
      <c r="A4" s="21" t="inlineStr">
        <is>
          <t>#</t>
        </is>
      </c>
      <c r="B4" s="21" t="inlineStr">
        <is>
          <t>Record ID</t>
        </is>
      </c>
      <c r="C4" s="21" t="inlineStr">
        <is>
          <t>Author (Year)</t>
        </is>
      </c>
      <c r="D4" s="21" t="inlineStr">
        <is>
          <t>Title</t>
        </is>
      </c>
      <c r="E4" s="21" t="inlineStr">
        <is>
          <t>Arm</t>
        </is>
      </c>
      <c r="F4" s="21" t="inlineStr">
        <is>
          <t>Retrieved?</t>
        </is>
      </c>
      <c r="G4" s="21" t="inlineStr">
        <is>
          <t>Decision (final)</t>
        </is>
      </c>
      <c r="H4" s="21" t="inlineStr">
        <is>
          <t>Exclusion reason (coded)</t>
        </is>
      </c>
      <c r="I4" s="21" t="inlineStr">
        <is>
          <t>Reviewer 2 (optional)</t>
        </is>
      </c>
      <c r="J4" s="21" t="inlineStr">
        <is>
          <t>Conflict</t>
        </is>
      </c>
      <c r="K4" s="21" t="inlineStr">
        <is>
          <t>Notes</t>
        </is>
      </c>
    </row>
    <row r="5">
      <c r="A5" s="22">
        <f>IF(C5="","",ROW()-4)</f>
        <v/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>
        <f>IF(OR(G5="",I5=""),"",IF(G5=I5,"","⚠ resolve"))</f>
        <v/>
      </c>
      <c r="K5" s="22" t="n"/>
    </row>
    <row r="6">
      <c r="A6" s="25">
        <f>IF(C6="","",ROW()-4)</f>
        <v/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>
        <f>IF(OR(G6="",I6=""),"",IF(G6=I6,"","⚠ resolve"))</f>
        <v/>
      </c>
      <c r="K6" s="25" t="n"/>
    </row>
    <row r="7">
      <c r="A7" s="22">
        <f>IF(C7="","",ROW()-4)</f>
        <v/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>
        <f>IF(OR(G7="",I7=""),"",IF(G7=I7,"","⚠ resolve"))</f>
        <v/>
      </c>
      <c r="K7" s="22" t="n"/>
    </row>
    <row r="8">
      <c r="A8" s="25">
        <f>IF(C8="","",ROW()-4)</f>
        <v/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>
        <f>IF(OR(G8="",I8=""),"",IF(G8=I8,"","⚠ resolve"))</f>
        <v/>
      </c>
      <c r="K8" s="25" t="n"/>
    </row>
    <row r="9">
      <c r="A9" s="22">
        <f>IF(C9="","",ROW()-4)</f>
        <v/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>
        <f>IF(OR(G9="",I9=""),"",IF(G9=I9,"","⚠ resolve"))</f>
        <v/>
      </c>
      <c r="K9" s="22" t="n"/>
    </row>
    <row r="10">
      <c r="A10" s="25">
        <f>IF(C10="","",ROW()-4)</f>
        <v/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>
        <f>IF(OR(G10="",I10=""),"",IF(G10=I10,"","⚠ resolve"))</f>
        <v/>
      </c>
      <c r="K10" s="25" t="n"/>
    </row>
    <row r="11">
      <c r="A11" s="22">
        <f>IF(C11="","",ROW()-4)</f>
        <v/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>
        <f>IF(OR(G11="",I11=""),"",IF(G11=I11,"","⚠ resolve"))</f>
        <v/>
      </c>
      <c r="K11" s="22" t="n"/>
    </row>
    <row r="12">
      <c r="A12" s="25">
        <f>IF(C12="","",ROW()-4)</f>
        <v/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>
        <f>IF(OR(G12="",I12=""),"",IF(G12=I12,"","⚠ resolve"))</f>
        <v/>
      </c>
      <c r="K12" s="25" t="n"/>
    </row>
    <row r="13">
      <c r="A13" s="22">
        <f>IF(C13="","",ROW()-4)</f>
        <v/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>
        <f>IF(OR(G13="",I13=""),"",IF(G13=I13,"","⚠ resolve"))</f>
        <v/>
      </c>
      <c r="K13" s="22" t="n"/>
    </row>
    <row r="14">
      <c r="A14" s="25">
        <f>IF(C14="","",ROW()-4)</f>
        <v/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>
        <f>IF(OR(G14="",I14=""),"",IF(G14=I14,"","⚠ resolve"))</f>
        <v/>
      </c>
      <c r="K14" s="25" t="n"/>
    </row>
    <row r="15">
      <c r="A15" s="22">
        <f>IF(C15="","",ROW()-4)</f>
        <v/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>
        <f>IF(OR(G15="",I15=""),"",IF(G15=I15,"","⚠ resolve"))</f>
        <v/>
      </c>
      <c r="K15" s="22" t="n"/>
    </row>
    <row r="16">
      <c r="A16" s="25">
        <f>IF(C16="","",ROW()-4)</f>
        <v/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>
        <f>IF(OR(G16="",I16=""),"",IF(G16=I16,"","⚠ resolve"))</f>
        <v/>
      </c>
      <c r="K16" s="25" t="n"/>
    </row>
    <row r="17">
      <c r="A17" s="22">
        <f>IF(C17="","",ROW()-4)</f>
        <v/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>
        <f>IF(OR(G17="",I17=""),"",IF(G17=I17,"","⚠ resolve"))</f>
        <v/>
      </c>
      <c r="K17" s="22" t="n"/>
    </row>
    <row r="18">
      <c r="A18" s="25">
        <f>IF(C18="","",ROW()-4)</f>
        <v/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>
        <f>IF(OR(G18="",I18=""),"",IF(G18=I18,"","⚠ resolve"))</f>
        <v/>
      </c>
      <c r="K18" s="25" t="n"/>
    </row>
    <row r="19">
      <c r="A19" s="22">
        <f>IF(C19="","",ROW()-4)</f>
        <v/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>
        <f>IF(OR(G19="",I19=""),"",IF(G19=I19,"","⚠ resolve"))</f>
        <v/>
      </c>
      <c r="K19" s="22" t="n"/>
    </row>
    <row r="20">
      <c r="A20" s="25">
        <f>IF(C20="","",ROW()-4)</f>
        <v/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>
        <f>IF(OR(G20="",I20=""),"",IF(G20=I20,"","⚠ resolve"))</f>
        <v/>
      </c>
      <c r="K20" s="25" t="n"/>
    </row>
    <row r="21">
      <c r="A21" s="22">
        <f>IF(C21="","",ROW()-4)</f>
        <v/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>
        <f>IF(OR(G21="",I21=""),"",IF(G21=I21,"","⚠ resolve"))</f>
        <v/>
      </c>
      <c r="K21" s="22" t="n"/>
    </row>
    <row r="22">
      <c r="A22" s="25">
        <f>IF(C22="","",ROW()-4)</f>
        <v/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>
        <f>IF(OR(G22="",I22=""),"",IF(G22=I22,"","⚠ resolve"))</f>
        <v/>
      </c>
      <c r="K22" s="25" t="n"/>
    </row>
    <row r="23">
      <c r="A23" s="22">
        <f>IF(C23="","",ROW()-4)</f>
        <v/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>
        <f>IF(OR(G23="",I23=""),"",IF(G23=I23,"","⚠ resolve"))</f>
        <v/>
      </c>
      <c r="K23" s="22" t="n"/>
    </row>
    <row r="24">
      <c r="A24" s="25">
        <f>IF(C24="","",ROW()-4)</f>
        <v/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>
        <f>IF(OR(G24="",I24=""),"",IF(G24=I24,"","⚠ resolve"))</f>
        <v/>
      </c>
      <c r="K24" s="25" t="n"/>
    </row>
    <row r="25">
      <c r="A25" s="22">
        <f>IF(C25="","",ROW()-4)</f>
        <v/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>
        <f>IF(OR(G25="",I25=""),"",IF(G25=I25,"","⚠ resolve"))</f>
        <v/>
      </c>
      <c r="K25" s="22" t="n"/>
    </row>
    <row r="26">
      <c r="A26" s="25">
        <f>IF(C26="","",ROW()-4)</f>
        <v/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>
        <f>IF(OR(G26="",I26=""),"",IF(G26=I26,"","⚠ resolve"))</f>
        <v/>
      </c>
      <c r="K26" s="25" t="n"/>
    </row>
    <row r="27">
      <c r="A27" s="22">
        <f>IF(C27="","",ROW()-4)</f>
        <v/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>
        <f>IF(OR(G27="",I27=""),"",IF(G27=I27,"","⚠ resolve"))</f>
        <v/>
      </c>
      <c r="K27" s="22" t="n"/>
    </row>
    <row r="28">
      <c r="A28" s="25">
        <f>IF(C28="","",ROW()-4)</f>
        <v/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>
        <f>IF(OR(G28="",I28=""),"",IF(G28=I28,"","⚠ resolve"))</f>
        <v/>
      </c>
      <c r="K28" s="25" t="n"/>
    </row>
    <row r="29">
      <c r="A29" s="22">
        <f>IF(C29="","",ROW()-4)</f>
        <v/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>
        <f>IF(OR(G29="",I29=""),"",IF(G29=I29,"","⚠ resolve"))</f>
        <v/>
      </c>
      <c r="K29" s="22" t="n"/>
    </row>
    <row r="30">
      <c r="A30" s="25">
        <f>IF(C30="","",ROW()-4)</f>
        <v/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>
        <f>IF(OR(G30="",I30=""),"",IF(G30=I30,"","⚠ resolve"))</f>
        <v/>
      </c>
      <c r="K30" s="25" t="n"/>
    </row>
    <row r="31">
      <c r="A31" s="22">
        <f>IF(C31="","",ROW()-4)</f>
        <v/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>
        <f>IF(OR(G31="",I31=""),"",IF(G31=I31,"","⚠ resolve"))</f>
        <v/>
      </c>
      <c r="K31" s="22" t="n"/>
    </row>
    <row r="32">
      <c r="A32" s="25">
        <f>IF(C32="","",ROW()-4)</f>
        <v/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>
        <f>IF(OR(G32="",I32=""),"",IF(G32=I32,"","⚠ resolve"))</f>
        <v/>
      </c>
      <c r="K32" s="25" t="n"/>
    </row>
    <row r="33">
      <c r="A33" s="22">
        <f>IF(C33="","",ROW()-4)</f>
        <v/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>
        <f>IF(OR(G33="",I33=""),"",IF(G33=I33,"","⚠ resolve"))</f>
        <v/>
      </c>
      <c r="K33" s="22" t="n"/>
    </row>
    <row r="34">
      <c r="A34" s="25">
        <f>IF(C34="","",ROW()-4)</f>
        <v/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>
        <f>IF(OR(G34="",I34=""),"",IF(G34=I34,"","⚠ resolve"))</f>
        <v/>
      </c>
      <c r="K34" s="25" t="n"/>
    </row>
    <row r="35">
      <c r="A35" s="22">
        <f>IF(C35="","",ROW()-4)</f>
        <v/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>
        <f>IF(OR(G35="",I35=""),"",IF(G35=I35,"","⚠ resolve"))</f>
        <v/>
      </c>
      <c r="K35" s="22" t="n"/>
    </row>
    <row r="36">
      <c r="A36" s="25">
        <f>IF(C36="","",ROW()-4)</f>
        <v/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>
        <f>IF(OR(G36="",I36=""),"",IF(G36=I36,"","⚠ resolve"))</f>
        <v/>
      </c>
      <c r="K36" s="25" t="n"/>
    </row>
    <row r="37">
      <c r="A37" s="22">
        <f>IF(C37="","",ROW()-4)</f>
        <v/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>
        <f>IF(OR(G37="",I37=""),"",IF(G37=I37,"","⚠ resolve"))</f>
        <v/>
      </c>
      <c r="K37" s="22" t="n"/>
    </row>
    <row r="38">
      <c r="A38" s="25">
        <f>IF(C38="","",ROW()-4)</f>
        <v/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>
        <f>IF(OR(G38="",I38=""),"",IF(G38=I38,"","⚠ resolve"))</f>
        <v/>
      </c>
      <c r="K38" s="25" t="n"/>
    </row>
    <row r="39">
      <c r="A39" s="22">
        <f>IF(C39="","",ROW()-4)</f>
        <v/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>
        <f>IF(OR(G39="",I39=""),"",IF(G39=I39,"","⚠ resolve"))</f>
        <v/>
      </c>
      <c r="K39" s="22" t="n"/>
    </row>
    <row r="40">
      <c r="A40" s="25">
        <f>IF(C40="","",ROW()-4)</f>
        <v/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>
        <f>IF(OR(G40="",I40=""),"",IF(G40=I40,"","⚠ resolve"))</f>
        <v/>
      </c>
      <c r="K40" s="25" t="n"/>
    </row>
    <row r="41">
      <c r="A41" s="22">
        <f>IF(C41="","",ROW()-4)</f>
        <v/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>
        <f>IF(OR(G41="",I41=""),"",IF(G41=I41,"","⚠ resolve"))</f>
        <v/>
      </c>
      <c r="K41" s="22" t="n"/>
    </row>
    <row r="42">
      <c r="A42" s="25">
        <f>IF(C42="","",ROW()-4)</f>
        <v/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>
        <f>IF(OR(G42="",I42=""),"",IF(G42=I42,"","⚠ resolve"))</f>
        <v/>
      </c>
      <c r="K42" s="25" t="n"/>
    </row>
    <row r="43">
      <c r="A43" s="22">
        <f>IF(C43="","",ROW()-4)</f>
        <v/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>
        <f>IF(OR(G43="",I43=""),"",IF(G43=I43,"","⚠ resolve"))</f>
        <v/>
      </c>
      <c r="K43" s="22" t="n"/>
    </row>
    <row r="44">
      <c r="A44" s="25">
        <f>IF(C44="","",ROW()-4)</f>
        <v/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>
        <f>IF(OR(G44="",I44=""),"",IF(G44=I44,"","⚠ resolve"))</f>
        <v/>
      </c>
      <c r="K44" s="25" t="n"/>
    </row>
    <row r="45">
      <c r="A45" s="22">
        <f>IF(C45="","",ROW()-4)</f>
        <v/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>
        <f>IF(OR(G45="",I45=""),"",IF(G45=I45,"","⚠ resolve"))</f>
        <v/>
      </c>
      <c r="K45" s="22" t="n"/>
    </row>
    <row r="46">
      <c r="A46" s="25">
        <f>IF(C46="","",ROW()-4)</f>
        <v/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>
        <f>IF(OR(G46="",I46=""),"",IF(G46=I46,"","⚠ resolve"))</f>
        <v/>
      </c>
      <c r="K46" s="25" t="n"/>
    </row>
    <row r="47">
      <c r="A47" s="22">
        <f>IF(C47="","",ROW()-4)</f>
        <v/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>
        <f>IF(OR(G47="",I47=""),"",IF(G47=I47,"","⚠ resolve"))</f>
        <v/>
      </c>
      <c r="K47" s="22" t="n"/>
    </row>
    <row r="48">
      <c r="A48" s="25">
        <f>IF(C48="","",ROW()-4)</f>
        <v/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>
        <f>IF(OR(G48="",I48=""),"",IF(G48=I48,"","⚠ resolve"))</f>
        <v/>
      </c>
      <c r="K48" s="25" t="n"/>
    </row>
    <row r="49">
      <c r="A49" s="22">
        <f>IF(C49="","",ROW()-4)</f>
        <v/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>
        <f>IF(OR(G49="",I49=""),"",IF(G49=I49,"","⚠ resolve"))</f>
        <v/>
      </c>
      <c r="K49" s="22" t="n"/>
    </row>
    <row r="50">
      <c r="A50" s="25">
        <f>IF(C50="","",ROW()-4)</f>
        <v/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>
        <f>IF(OR(G50="",I50=""),"",IF(G50=I50,"","⚠ resolve"))</f>
        <v/>
      </c>
      <c r="K50" s="25" t="n"/>
    </row>
    <row r="51">
      <c r="A51" s="22">
        <f>IF(C51="","",ROW()-4)</f>
        <v/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>
        <f>IF(OR(G51="",I51=""),"",IF(G51=I51,"","⚠ resolve"))</f>
        <v/>
      </c>
      <c r="K51" s="22" t="n"/>
    </row>
    <row r="52">
      <c r="A52" s="25">
        <f>IF(C52="","",ROW()-4)</f>
        <v/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>
        <f>IF(OR(G52="",I52=""),"",IF(G52=I52,"","⚠ resolve"))</f>
        <v/>
      </c>
      <c r="K52" s="25" t="n"/>
    </row>
    <row r="53">
      <c r="A53" s="22">
        <f>IF(C53="","",ROW()-4)</f>
        <v/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>
        <f>IF(OR(G53="",I53=""),"",IF(G53=I53,"","⚠ resolve"))</f>
        <v/>
      </c>
      <c r="K53" s="22" t="n"/>
    </row>
    <row r="54">
      <c r="A54" s="25">
        <f>IF(C54="","",ROW()-4)</f>
        <v/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>
        <f>IF(OR(G54="",I54=""),"",IF(G54=I54,"","⚠ resolve"))</f>
        <v/>
      </c>
      <c r="K54" s="25" t="n"/>
    </row>
    <row r="55">
      <c r="A55" s="22">
        <f>IF(C55="","",ROW()-4)</f>
        <v/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>
        <f>IF(OR(G55="",I55=""),"",IF(G55=I55,"","⚠ resolve"))</f>
        <v/>
      </c>
      <c r="K55" s="22" t="n"/>
    </row>
    <row r="56">
      <c r="A56" s="25">
        <f>IF(C56="","",ROW()-4)</f>
        <v/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>
        <f>IF(OR(G56="",I56=""),"",IF(G56=I56,"","⚠ resolve"))</f>
        <v/>
      </c>
      <c r="K56" s="25" t="n"/>
    </row>
    <row r="57">
      <c r="A57" s="22">
        <f>IF(C57="","",ROW()-4)</f>
        <v/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>
        <f>IF(OR(G57="",I57=""),"",IF(G57=I57,"","⚠ resolve"))</f>
        <v/>
      </c>
      <c r="K57" s="22" t="n"/>
    </row>
    <row r="58">
      <c r="A58" s="25">
        <f>IF(C58="","",ROW()-4)</f>
        <v/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>
        <f>IF(OR(G58="",I58=""),"",IF(G58=I58,"","⚠ resolve"))</f>
        <v/>
      </c>
      <c r="K58" s="25" t="n"/>
    </row>
    <row r="59">
      <c r="A59" s="22">
        <f>IF(C59="","",ROW()-4)</f>
        <v/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>
        <f>IF(OR(G59="",I59=""),"",IF(G59=I59,"","⚠ resolve"))</f>
        <v/>
      </c>
      <c r="K59" s="22" t="n"/>
    </row>
    <row r="60">
      <c r="A60" s="25">
        <f>IF(C60="","",ROW()-4)</f>
        <v/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>
        <f>IF(OR(G60="",I60=""),"",IF(G60=I60,"","⚠ resolve"))</f>
        <v/>
      </c>
      <c r="K60" s="25" t="n"/>
    </row>
    <row r="61">
      <c r="A61" s="22">
        <f>IF(C61="","",ROW()-4)</f>
        <v/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>
        <f>IF(OR(G61="",I61=""),"",IF(G61=I61,"","⚠ resolve"))</f>
        <v/>
      </c>
      <c r="K61" s="22" t="n"/>
    </row>
    <row r="62">
      <c r="A62" s="25">
        <f>IF(C62="","",ROW()-4)</f>
        <v/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>
        <f>IF(OR(G62="",I62=""),"",IF(G62=I62,"","⚠ resolve"))</f>
        <v/>
      </c>
      <c r="K62" s="25" t="n"/>
    </row>
    <row r="63">
      <c r="A63" s="22">
        <f>IF(C63="","",ROW()-4)</f>
        <v/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>
        <f>IF(OR(G63="",I63=""),"",IF(G63=I63,"","⚠ resolve"))</f>
        <v/>
      </c>
      <c r="K63" s="22" t="n"/>
    </row>
    <row r="64">
      <c r="A64" s="25">
        <f>IF(C64="","",ROW()-4)</f>
        <v/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>
        <f>IF(OR(G64="",I64=""),"",IF(G64=I64,"","⚠ resolve"))</f>
        <v/>
      </c>
      <c r="K64" s="25" t="n"/>
    </row>
    <row r="65">
      <c r="A65" s="22">
        <f>IF(C65="","",ROW()-4)</f>
        <v/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>
        <f>IF(OR(G65="",I65=""),"",IF(G65=I65,"","⚠ resolve"))</f>
        <v/>
      </c>
      <c r="K65" s="22" t="n"/>
    </row>
    <row r="66">
      <c r="A66" s="25">
        <f>IF(C66="","",ROW()-4)</f>
        <v/>
      </c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>
        <f>IF(OR(G66="",I66=""),"",IF(G66=I66,"","⚠ resolve"))</f>
        <v/>
      </c>
      <c r="K66" s="25" t="n"/>
    </row>
    <row r="67">
      <c r="A67" s="22">
        <f>IF(C67="","",ROW()-4)</f>
        <v/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>
        <f>IF(OR(G67="",I67=""),"",IF(G67=I67,"","⚠ resolve"))</f>
        <v/>
      </c>
      <c r="K67" s="22" t="n"/>
    </row>
    <row r="68">
      <c r="A68" s="25">
        <f>IF(C68="","",ROW()-4)</f>
        <v/>
      </c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>
        <f>IF(OR(G68="",I68=""),"",IF(G68=I68,"","⚠ resolve"))</f>
        <v/>
      </c>
      <c r="K68" s="25" t="n"/>
    </row>
    <row r="69">
      <c r="A69" s="22">
        <f>IF(C69="","",ROW()-4)</f>
        <v/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>
        <f>IF(OR(G69="",I69=""),"",IF(G69=I69,"","⚠ resolve"))</f>
        <v/>
      </c>
      <c r="K69" s="22" t="n"/>
    </row>
    <row r="70">
      <c r="A70" s="25">
        <f>IF(C70="","",ROW()-4)</f>
        <v/>
      </c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>
        <f>IF(OR(G70="",I70=""),"",IF(G70=I70,"","⚠ resolve"))</f>
        <v/>
      </c>
      <c r="K70" s="25" t="n"/>
    </row>
    <row r="71">
      <c r="A71" s="22">
        <f>IF(C71="","",ROW()-4)</f>
        <v/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>
        <f>IF(OR(G71="",I71=""),"",IF(G71=I71,"","⚠ resolve"))</f>
        <v/>
      </c>
      <c r="K71" s="22" t="n"/>
    </row>
    <row r="72">
      <c r="A72" s="25">
        <f>IF(C72="","",ROW()-4)</f>
        <v/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>
        <f>IF(OR(G72="",I72=""),"",IF(G72=I72,"","⚠ resolve"))</f>
        <v/>
      </c>
      <c r="K72" s="25" t="n"/>
    </row>
    <row r="73">
      <c r="A73" s="22">
        <f>IF(C73="","",ROW()-4)</f>
        <v/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>
        <f>IF(OR(G73="",I73=""),"",IF(G73=I73,"","⚠ resolve"))</f>
        <v/>
      </c>
      <c r="K73" s="22" t="n"/>
    </row>
    <row r="74">
      <c r="A74" s="25">
        <f>IF(C74="","",ROW()-4)</f>
        <v/>
      </c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>
        <f>IF(OR(G74="",I74=""),"",IF(G74=I74,"","⚠ resolve"))</f>
        <v/>
      </c>
      <c r="K74" s="25" t="n"/>
    </row>
    <row r="75">
      <c r="A75" s="22">
        <f>IF(C75="","",ROW()-4)</f>
        <v/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>
        <f>IF(OR(G75="",I75=""),"",IF(G75=I75,"","⚠ resolve"))</f>
        <v/>
      </c>
      <c r="K75" s="22" t="n"/>
    </row>
    <row r="76">
      <c r="A76" s="25">
        <f>IF(C76="","",ROW()-4)</f>
        <v/>
      </c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>
        <f>IF(OR(G76="",I76=""),"",IF(G76=I76,"","⚠ resolve"))</f>
        <v/>
      </c>
      <c r="K76" s="25" t="n"/>
    </row>
    <row r="77">
      <c r="A77" s="22">
        <f>IF(C77="","",ROW()-4)</f>
        <v/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>
        <f>IF(OR(G77="",I77=""),"",IF(G77=I77,"","⚠ resolve"))</f>
        <v/>
      </c>
      <c r="K77" s="22" t="n"/>
    </row>
    <row r="78">
      <c r="A78" s="25">
        <f>IF(C78="","",ROW()-4)</f>
        <v/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>
        <f>IF(OR(G78="",I78=""),"",IF(G78=I78,"","⚠ resolve"))</f>
        <v/>
      </c>
      <c r="K78" s="25" t="n"/>
    </row>
    <row r="79">
      <c r="A79" s="22">
        <f>IF(C79="","",ROW()-4)</f>
        <v/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>
        <f>IF(OR(G79="",I79=""),"",IF(G79=I79,"","⚠ resolve"))</f>
        <v/>
      </c>
      <c r="K79" s="22" t="n"/>
    </row>
    <row r="80">
      <c r="A80" s="25">
        <f>IF(C80="","",ROW()-4)</f>
        <v/>
      </c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>
        <f>IF(OR(G80="",I80=""),"",IF(G80=I80,"","⚠ resolve"))</f>
        <v/>
      </c>
      <c r="K80" s="25" t="n"/>
    </row>
    <row r="81">
      <c r="A81" s="22">
        <f>IF(C81="","",ROW()-4)</f>
        <v/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>
        <f>IF(OR(G81="",I81=""),"",IF(G81=I81,"","⚠ resolve"))</f>
        <v/>
      </c>
      <c r="K81" s="22" t="n"/>
    </row>
    <row r="82">
      <c r="A82" s="25">
        <f>IF(C82="","",ROW()-4)</f>
        <v/>
      </c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>
        <f>IF(OR(G82="",I82=""),"",IF(G82=I82,"","⚠ resolve"))</f>
        <v/>
      </c>
      <c r="K82" s="25" t="n"/>
    </row>
    <row r="83">
      <c r="A83" s="22">
        <f>IF(C83="","",ROW()-4)</f>
        <v/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>
        <f>IF(OR(G83="",I83=""),"",IF(G83=I83,"","⚠ resolve"))</f>
        <v/>
      </c>
      <c r="K83" s="22" t="n"/>
    </row>
    <row r="84">
      <c r="A84" s="25">
        <f>IF(C84="","",ROW()-4)</f>
        <v/>
      </c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>
        <f>IF(OR(G84="",I84=""),"",IF(G84=I84,"","⚠ resolve"))</f>
        <v/>
      </c>
      <c r="K84" s="25" t="n"/>
    </row>
    <row r="85">
      <c r="A85" s="22">
        <f>IF(C85="","",ROW()-4)</f>
        <v/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>
        <f>IF(OR(G85="",I85=""),"",IF(G85=I85,"","⚠ resolve"))</f>
        <v/>
      </c>
      <c r="K85" s="22" t="n"/>
    </row>
    <row r="86">
      <c r="A86" s="25">
        <f>IF(C86="","",ROW()-4)</f>
        <v/>
      </c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>
        <f>IF(OR(G86="",I86=""),"",IF(G86=I86,"","⚠ resolve"))</f>
        <v/>
      </c>
      <c r="K86" s="25" t="n"/>
    </row>
    <row r="87">
      <c r="A87" s="22">
        <f>IF(C87="","",ROW()-4)</f>
        <v/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>
        <f>IF(OR(G87="",I87=""),"",IF(G87=I87,"","⚠ resolve"))</f>
        <v/>
      </c>
      <c r="K87" s="22" t="n"/>
    </row>
    <row r="88">
      <c r="A88" s="25">
        <f>IF(C88="","",ROW()-4)</f>
        <v/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>
        <f>IF(OR(G88="",I88=""),"",IF(G88=I88,"","⚠ resolve"))</f>
        <v/>
      </c>
      <c r="K88" s="25" t="n"/>
    </row>
    <row r="89">
      <c r="A89" s="22">
        <f>IF(C89="","",ROW()-4)</f>
        <v/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>
        <f>IF(OR(G89="",I89=""),"",IF(G89=I89,"","⚠ resolve"))</f>
        <v/>
      </c>
      <c r="K89" s="22" t="n"/>
    </row>
    <row r="90">
      <c r="A90" s="25">
        <f>IF(C90="","",ROW()-4)</f>
        <v/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>
        <f>IF(OR(G90="",I90=""),"",IF(G90=I90,"","⚠ resolve"))</f>
        <v/>
      </c>
      <c r="K90" s="25" t="n"/>
    </row>
    <row r="91">
      <c r="A91" s="22">
        <f>IF(C91="","",ROW()-4)</f>
        <v/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>
        <f>IF(OR(G91="",I91=""),"",IF(G91=I91,"","⚠ resolve"))</f>
        <v/>
      </c>
      <c r="K91" s="22" t="n"/>
    </row>
    <row r="92">
      <c r="A92" s="25">
        <f>IF(C92="","",ROW()-4)</f>
        <v/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>
        <f>IF(OR(G92="",I92=""),"",IF(G92=I92,"","⚠ resolve"))</f>
        <v/>
      </c>
      <c r="K92" s="25" t="n"/>
    </row>
    <row r="93">
      <c r="A93" s="22">
        <f>IF(C93="","",ROW()-4)</f>
        <v/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>
        <f>IF(OR(G93="",I93=""),"",IF(G93=I93,"","⚠ resolve"))</f>
        <v/>
      </c>
      <c r="K93" s="22" t="n"/>
    </row>
    <row r="94">
      <c r="A94" s="25">
        <f>IF(C94="","",ROW()-4)</f>
        <v/>
      </c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>
        <f>IF(OR(G94="",I94=""),"",IF(G94=I94,"","⚠ resolve"))</f>
        <v/>
      </c>
      <c r="K94" s="25" t="n"/>
    </row>
    <row r="95">
      <c r="A95" s="22">
        <f>IF(C95="","",ROW()-4)</f>
        <v/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>
        <f>IF(OR(G95="",I95=""),"",IF(G95=I95,"","⚠ resolve"))</f>
        <v/>
      </c>
      <c r="K95" s="22" t="n"/>
    </row>
    <row r="96">
      <c r="A96" s="25">
        <f>IF(C96="","",ROW()-4)</f>
        <v/>
      </c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>
        <f>IF(OR(G96="",I96=""),"",IF(G96=I96,"","⚠ resolve"))</f>
        <v/>
      </c>
      <c r="K96" s="25" t="n"/>
    </row>
    <row r="97">
      <c r="A97" s="22">
        <f>IF(C97="","",ROW()-4)</f>
        <v/>
      </c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>
        <f>IF(OR(G97="",I97=""),"",IF(G97=I97,"","⚠ resolve"))</f>
        <v/>
      </c>
      <c r="K97" s="22" t="n"/>
    </row>
    <row r="98">
      <c r="A98" s="25">
        <f>IF(C98="","",ROW()-4)</f>
        <v/>
      </c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>
        <f>IF(OR(G98="",I98=""),"",IF(G98=I98,"","⚠ resolve"))</f>
        <v/>
      </c>
      <c r="K98" s="25" t="n"/>
    </row>
    <row r="99">
      <c r="A99" s="22">
        <f>IF(C99="","",ROW()-4)</f>
        <v/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>
        <f>IF(OR(G99="",I99=""),"",IF(G99=I99,"","⚠ resolve"))</f>
        <v/>
      </c>
      <c r="K99" s="22" t="n"/>
    </row>
    <row r="100">
      <c r="A100" s="25">
        <f>IF(C100="","",ROW()-4)</f>
        <v/>
      </c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>
        <f>IF(OR(G100="",I100=""),"",IF(G100=I100,"","⚠ resolve"))</f>
        <v/>
      </c>
      <c r="K100" s="25" t="n"/>
    </row>
    <row r="101">
      <c r="A101" s="22">
        <f>IF(C101="","",ROW()-4)</f>
        <v/>
      </c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>
        <f>IF(OR(G101="",I101=""),"",IF(G101=I101,"","⚠ resolve"))</f>
        <v/>
      </c>
      <c r="K101" s="22" t="n"/>
    </row>
    <row r="102">
      <c r="A102" s="25">
        <f>IF(C102="","",ROW()-4)</f>
        <v/>
      </c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>
        <f>IF(OR(G102="",I102=""),"",IF(G102=I102,"","⚠ resolve"))</f>
        <v/>
      </c>
      <c r="K102" s="25" t="n"/>
    </row>
    <row r="103">
      <c r="A103" s="22">
        <f>IF(C103="","",ROW()-4)</f>
        <v/>
      </c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>
        <f>IF(OR(G103="",I103=""),"",IF(G103=I103,"","⚠ resolve"))</f>
        <v/>
      </c>
      <c r="K103" s="22" t="n"/>
    </row>
    <row r="104">
      <c r="A104" s="25">
        <f>IF(C104="","",ROW()-4)</f>
        <v/>
      </c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>
        <f>IF(OR(G104="",I104=""),"",IF(G104=I104,"","⚠ resolve"))</f>
        <v/>
      </c>
      <c r="K104" s="25" t="n"/>
    </row>
    <row r="105">
      <c r="A105" s="22">
        <f>IF(C105="","",ROW()-4)</f>
        <v/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>
        <f>IF(OR(G105="",I105=""),"",IF(G105=I105,"","⚠ resolve"))</f>
        <v/>
      </c>
      <c r="K105" s="22" t="n"/>
    </row>
    <row r="106">
      <c r="A106" s="25">
        <f>IF(C106="","",ROW()-4)</f>
        <v/>
      </c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>
        <f>IF(OR(G106="",I106=""),"",IF(G106=I106,"","⚠ resolve"))</f>
        <v/>
      </c>
      <c r="K106" s="25" t="n"/>
    </row>
    <row r="107">
      <c r="A107" s="22">
        <f>IF(C107="","",ROW()-4)</f>
        <v/>
      </c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>
        <f>IF(OR(G107="",I107=""),"",IF(G107=I107,"","⚠ resolve"))</f>
        <v/>
      </c>
      <c r="K107" s="22" t="n"/>
    </row>
    <row r="108">
      <c r="A108" s="25">
        <f>IF(C108="","",ROW()-4)</f>
        <v/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>
        <f>IF(OR(G108="",I108=""),"",IF(G108=I108,"","⚠ resolve"))</f>
        <v/>
      </c>
      <c r="K108" s="25" t="n"/>
    </row>
    <row r="109">
      <c r="A109" s="22">
        <f>IF(C109="","",ROW()-4)</f>
        <v/>
      </c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>
        <f>IF(OR(G109="",I109=""),"",IF(G109=I109,"","⚠ resolve"))</f>
        <v/>
      </c>
      <c r="K109" s="22" t="n"/>
    </row>
    <row r="110">
      <c r="A110" s="25">
        <f>IF(C110="","",ROW()-4)</f>
        <v/>
      </c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>
        <f>IF(OR(G110="",I110=""),"",IF(G110=I110,"","⚠ resolve"))</f>
        <v/>
      </c>
      <c r="K110" s="25" t="n"/>
    </row>
    <row r="111">
      <c r="A111" s="22">
        <f>IF(C111="","",ROW()-4)</f>
        <v/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>
        <f>IF(OR(G111="",I111=""),"",IF(G111=I111,"","⚠ resolve"))</f>
        <v/>
      </c>
      <c r="K111" s="22" t="n"/>
    </row>
    <row r="112">
      <c r="A112" s="25">
        <f>IF(C112="","",ROW()-4)</f>
        <v/>
      </c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>
        <f>IF(OR(G112="",I112=""),"",IF(G112=I112,"","⚠ resolve"))</f>
        <v/>
      </c>
      <c r="K112" s="25" t="n"/>
    </row>
    <row r="113">
      <c r="A113" s="22">
        <f>IF(C113="","",ROW()-4)</f>
        <v/>
      </c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>
        <f>IF(OR(G113="",I113=""),"",IF(G113=I113,"","⚠ resolve"))</f>
        <v/>
      </c>
      <c r="K113" s="22" t="n"/>
    </row>
    <row r="114">
      <c r="A114" s="25">
        <f>IF(C114="","",ROW()-4)</f>
        <v/>
      </c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>
        <f>IF(OR(G114="",I114=""),"",IF(G114=I114,"","⚠ resolve"))</f>
        <v/>
      </c>
      <c r="K114" s="25" t="n"/>
    </row>
    <row r="115">
      <c r="A115" s="22">
        <f>IF(C115="","",ROW()-4)</f>
        <v/>
      </c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>
        <f>IF(OR(G115="",I115=""),"",IF(G115=I115,"","⚠ resolve"))</f>
        <v/>
      </c>
      <c r="K115" s="22" t="n"/>
    </row>
    <row r="116">
      <c r="A116" s="25">
        <f>IF(C116="","",ROW()-4)</f>
        <v/>
      </c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>
        <f>IF(OR(G116="",I116=""),"",IF(G116=I116,"","⚠ resolve"))</f>
        <v/>
      </c>
      <c r="K116" s="25" t="n"/>
    </row>
    <row r="117">
      <c r="A117" s="22">
        <f>IF(C117="","",ROW()-4)</f>
        <v/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>
        <f>IF(OR(G117="",I117=""),"",IF(G117=I117,"","⚠ resolve"))</f>
        <v/>
      </c>
      <c r="K117" s="22" t="n"/>
    </row>
    <row r="118">
      <c r="A118" s="25">
        <f>IF(C118="","",ROW()-4)</f>
        <v/>
      </c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>
        <f>IF(OR(G118="",I118=""),"",IF(G118=I118,"","⚠ resolve"))</f>
        <v/>
      </c>
      <c r="K118" s="25" t="n"/>
    </row>
    <row r="119">
      <c r="A119" s="22">
        <f>IF(C119="","",ROW()-4)</f>
        <v/>
      </c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>
        <f>IF(OR(G119="",I119=""),"",IF(G119=I119,"","⚠ resolve"))</f>
        <v/>
      </c>
      <c r="K119" s="22" t="n"/>
    </row>
    <row r="120">
      <c r="A120" s="25">
        <f>IF(C120="","",ROW()-4)</f>
        <v/>
      </c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>
        <f>IF(OR(G120="",I120=""),"",IF(G120=I120,"","⚠ resolve"))</f>
        <v/>
      </c>
      <c r="K120" s="25" t="n"/>
    </row>
    <row r="121">
      <c r="A121" s="22">
        <f>IF(C121="","",ROW()-4)</f>
        <v/>
      </c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>
        <f>IF(OR(G121="",I121=""),"",IF(G121=I121,"","⚠ resolve"))</f>
        <v/>
      </c>
      <c r="K121" s="22" t="n"/>
    </row>
    <row r="122">
      <c r="A122" s="25">
        <f>IF(C122="","",ROW()-4)</f>
        <v/>
      </c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>
        <f>IF(OR(G122="",I122=""),"",IF(G122=I122,"","⚠ resolve"))</f>
        <v/>
      </c>
      <c r="K122" s="25" t="n"/>
    </row>
    <row r="123">
      <c r="A123" s="22">
        <f>IF(C123="","",ROW()-4)</f>
        <v/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>
        <f>IF(OR(G123="",I123=""),"",IF(G123=I123,"","⚠ resolve"))</f>
        <v/>
      </c>
      <c r="K123" s="22" t="n"/>
    </row>
    <row r="124">
      <c r="A124" s="25">
        <f>IF(C124="","",ROW()-4)</f>
        <v/>
      </c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>
        <f>IF(OR(G124="",I124=""),"",IF(G124=I124,"","⚠ resolve"))</f>
        <v/>
      </c>
      <c r="K124" s="25" t="n"/>
    </row>
    <row r="125">
      <c r="A125" s="22">
        <f>IF(C125="","",ROW()-4)</f>
        <v/>
      </c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>
        <f>IF(OR(G125="",I125=""),"",IF(G125=I125,"","⚠ resolve"))</f>
        <v/>
      </c>
      <c r="K125" s="22" t="n"/>
    </row>
    <row r="126">
      <c r="A126" s="25">
        <f>IF(C126="","",ROW()-4)</f>
        <v/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>
        <f>IF(OR(G126="",I126=""),"",IF(G126=I126,"","⚠ resolve"))</f>
        <v/>
      </c>
      <c r="K126" s="25" t="n"/>
    </row>
    <row r="127">
      <c r="A127" s="22">
        <f>IF(C127="","",ROW()-4)</f>
        <v/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>
        <f>IF(OR(G127="",I127=""),"",IF(G127=I127,"","⚠ resolve"))</f>
        <v/>
      </c>
      <c r="K127" s="22" t="n"/>
    </row>
    <row r="128">
      <c r="A128" s="25">
        <f>IF(C128="","",ROW()-4)</f>
        <v/>
      </c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>
        <f>IF(OR(G128="",I128=""),"",IF(G128=I128,"","⚠ resolve"))</f>
        <v/>
      </c>
      <c r="K128" s="25" t="n"/>
    </row>
    <row r="129">
      <c r="A129" s="22">
        <f>IF(C129="","",ROW()-4)</f>
        <v/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>
        <f>IF(OR(G129="",I129=""),"",IF(G129=I129,"","⚠ resolve"))</f>
        <v/>
      </c>
      <c r="K129" s="22" t="n"/>
    </row>
    <row r="130">
      <c r="A130" s="25">
        <f>IF(C130="","",ROW()-4)</f>
        <v/>
      </c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>
        <f>IF(OR(G130="",I130=""),"",IF(G130=I130,"","⚠ resolve"))</f>
        <v/>
      </c>
      <c r="K130" s="25" t="n"/>
    </row>
    <row r="131">
      <c r="A131" s="22">
        <f>IF(C131="","",ROW()-4)</f>
        <v/>
      </c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>
        <f>IF(OR(G131="",I131=""),"",IF(G131=I131,"","⚠ resolve"))</f>
        <v/>
      </c>
      <c r="K131" s="22" t="n"/>
    </row>
    <row r="132">
      <c r="A132" s="25">
        <f>IF(C132="","",ROW()-4)</f>
        <v/>
      </c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>
        <f>IF(OR(G132="",I132=""),"",IF(G132=I132,"","⚠ resolve"))</f>
        <v/>
      </c>
      <c r="K132" s="25" t="n"/>
    </row>
    <row r="133">
      <c r="A133" s="22">
        <f>IF(C133="","",ROW()-4)</f>
        <v/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>
        <f>IF(OR(G133="",I133=""),"",IF(G133=I133,"","⚠ resolve"))</f>
        <v/>
      </c>
      <c r="K133" s="22" t="n"/>
    </row>
    <row r="134">
      <c r="A134" s="25">
        <f>IF(C134="","",ROW()-4)</f>
        <v/>
      </c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>
        <f>IF(OR(G134="",I134=""),"",IF(G134=I134,"","⚠ resolve"))</f>
        <v/>
      </c>
      <c r="K134" s="25" t="n"/>
    </row>
    <row r="135">
      <c r="A135" s="22">
        <f>IF(C135="","",ROW()-4)</f>
        <v/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>
        <f>IF(OR(G135="",I135=""),"",IF(G135=I135,"","⚠ resolve"))</f>
        <v/>
      </c>
      <c r="K135" s="22" t="n"/>
    </row>
    <row r="136">
      <c r="A136" s="25">
        <f>IF(C136="","",ROW()-4)</f>
        <v/>
      </c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>
        <f>IF(OR(G136="",I136=""),"",IF(G136=I136,"","⚠ resolve"))</f>
        <v/>
      </c>
      <c r="K136" s="25" t="n"/>
    </row>
    <row r="137">
      <c r="A137" s="22">
        <f>IF(C137="","",ROW()-4)</f>
        <v/>
      </c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>
        <f>IF(OR(G137="",I137=""),"",IF(G137=I137,"","⚠ resolve"))</f>
        <v/>
      </c>
      <c r="K137" s="22" t="n"/>
    </row>
    <row r="138">
      <c r="A138" s="25">
        <f>IF(C138="","",ROW()-4)</f>
        <v/>
      </c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>
        <f>IF(OR(G138="",I138=""),"",IF(G138=I138,"","⚠ resolve"))</f>
        <v/>
      </c>
      <c r="K138" s="25" t="n"/>
    </row>
    <row r="139">
      <c r="A139" s="22">
        <f>IF(C139="","",ROW()-4)</f>
        <v/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>
        <f>IF(OR(G139="",I139=""),"",IF(G139=I139,"","⚠ resolve"))</f>
        <v/>
      </c>
      <c r="K139" s="22" t="n"/>
    </row>
    <row r="140">
      <c r="A140" s="25">
        <f>IF(C140="","",ROW()-4)</f>
        <v/>
      </c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>
        <f>IF(OR(G140="",I140=""),"",IF(G140=I140,"","⚠ resolve"))</f>
        <v/>
      </c>
      <c r="K140" s="25" t="n"/>
    </row>
    <row r="141">
      <c r="A141" s="22">
        <f>IF(C141="","",ROW()-4)</f>
        <v/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>
        <f>IF(OR(G141="",I141=""),"",IF(G141=I141,"","⚠ resolve"))</f>
        <v/>
      </c>
      <c r="K141" s="22" t="n"/>
    </row>
    <row r="142">
      <c r="A142" s="25">
        <f>IF(C142="","",ROW()-4)</f>
        <v/>
      </c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>
        <f>IF(OR(G142="",I142=""),"",IF(G142=I142,"","⚠ resolve"))</f>
        <v/>
      </c>
      <c r="K142" s="25" t="n"/>
    </row>
    <row r="143">
      <c r="A143" s="22">
        <f>IF(C143="","",ROW()-4)</f>
        <v/>
      </c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>
        <f>IF(OR(G143="",I143=""),"",IF(G143=I143,"","⚠ resolve"))</f>
        <v/>
      </c>
      <c r="K143" s="22" t="n"/>
    </row>
    <row r="144">
      <c r="A144" s="25">
        <f>IF(C144="","",ROW()-4)</f>
        <v/>
      </c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>
        <f>IF(OR(G144="",I144=""),"",IF(G144=I144,"","⚠ resolve"))</f>
        <v/>
      </c>
      <c r="K144" s="25" t="n"/>
    </row>
    <row r="145">
      <c r="A145" s="22">
        <f>IF(C145="","",ROW()-4)</f>
        <v/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>
        <f>IF(OR(G145="",I145=""),"",IF(G145=I145,"","⚠ resolve"))</f>
        <v/>
      </c>
      <c r="K145" s="22" t="n"/>
    </row>
    <row r="146">
      <c r="A146" s="25">
        <f>IF(C146="","",ROW()-4)</f>
        <v/>
      </c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>
        <f>IF(OR(G146="",I146=""),"",IF(G146=I146,"","⚠ resolve"))</f>
        <v/>
      </c>
      <c r="K146" s="25" t="n"/>
    </row>
    <row r="147">
      <c r="A147" s="22">
        <f>IF(C147="","",ROW()-4)</f>
        <v/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>
        <f>IF(OR(G147="",I147=""),"",IF(G147=I147,"","⚠ resolve"))</f>
        <v/>
      </c>
      <c r="K147" s="22" t="n"/>
    </row>
    <row r="148">
      <c r="A148" s="25">
        <f>IF(C148="","",ROW()-4)</f>
        <v/>
      </c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>
        <f>IF(OR(G148="",I148=""),"",IF(G148=I148,"","⚠ resolve"))</f>
        <v/>
      </c>
      <c r="K148" s="25" t="n"/>
    </row>
    <row r="149">
      <c r="A149" s="22">
        <f>IF(C149="","",ROW()-4)</f>
        <v/>
      </c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>
        <f>IF(OR(G149="",I149=""),"",IF(G149=I149,"","⚠ resolve"))</f>
        <v/>
      </c>
      <c r="K149" s="22" t="n"/>
    </row>
    <row r="150">
      <c r="A150" s="25">
        <f>IF(C150="","",ROW()-4)</f>
        <v/>
      </c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>
        <f>IF(OR(G150="",I150=""),"",IF(G150=I150,"","⚠ resolve"))</f>
        <v/>
      </c>
      <c r="K150" s="25" t="n"/>
    </row>
    <row r="151">
      <c r="A151" s="22">
        <f>IF(C151="","",ROW()-4)</f>
        <v/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>
        <f>IF(OR(G151="",I151=""),"",IF(G151=I151,"","⚠ resolve"))</f>
        <v/>
      </c>
      <c r="K151" s="22" t="n"/>
    </row>
    <row r="152">
      <c r="A152" s="25">
        <f>IF(C152="","",ROW()-4)</f>
        <v/>
      </c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>
        <f>IF(OR(G152="",I152=""),"",IF(G152=I152,"","⚠ resolve"))</f>
        <v/>
      </c>
      <c r="K152" s="25" t="n"/>
    </row>
    <row r="153">
      <c r="A153" s="22">
        <f>IF(C153="","",ROW()-4)</f>
        <v/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>
        <f>IF(OR(G153="",I153=""),"",IF(G153=I153,"","⚠ resolve"))</f>
        <v/>
      </c>
      <c r="K153" s="22" t="n"/>
    </row>
    <row r="154">
      <c r="A154" s="25">
        <f>IF(C154="","",ROW()-4)</f>
        <v/>
      </c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>
        <f>IF(OR(G154="",I154=""),"",IF(G154=I154,"","⚠ resolve"))</f>
        <v/>
      </c>
      <c r="K154" s="25" t="n"/>
    </row>
    <row r="155">
      <c r="A155" s="22">
        <f>IF(C155="","",ROW()-4)</f>
        <v/>
      </c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>
        <f>IF(OR(G155="",I155=""),"",IF(G155=I155,"","⚠ resolve"))</f>
        <v/>
      </c>
      <c r="K155" s="22" t="n"/>
    </row>
    <row r="156">
      <c r="A156" s="25">
        <f>IF(C156="","",ROW()-4)</f>
        <v/>
      </c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>
        <f>IF(OR(G156="",I156=""),"",IF(G156=I156,"","⚠ resolve"))</f>
        <v/>
      </c>
      <c r="K156" s="25" t="n"/>
    </row>
    <row r="157">
      <c r="A157" s="22">
        <f>IF(C157="","",ROW()-4)</f>
        <v/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>
        <f>IF(OR(G157="",I157=""),"",IF(G157=I157,"","⚠ resolve"))</f>
        <v/>
      </c>
      <c r="K157" s="22" t="n"/>
    </row>
    <row r="158">
      <c r="A158" s="25">
        <f>IF(C158="","",ROW()-4)</f>
        <v/>
      </c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>
        <f>IF(OR(G158="",I158=""),"",IF(G158=I158,"","⚠ resolve"))</f>
        <v/>
      </c>
      <c r="K158" s="25" t="n"/>
    </row>
    <row r="159">
      <c r="A159" s="22">
        <f>IF(C159="","",ROW()-4)</f>
        <v/>
      </c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>
        <f>IF(OR(G159="",I159=""),"",IF(G159=I159,"","⚠ resolve"))</f>
        <v/>
      </c>
      <c r="K159" s="22" t="n"/>
    </row>
    <row r="160">
      <c r="A160" s="25">
        <f>IF(C160="","",ROW()-4)</f>
        <v/>
      </c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>
        <f>IF(OR(G160="",I160=""),"",IF(G160=I160,"","⚠ resolve"))</f>
        <v/>
      </c>
      <c r="K160" s="25" t="n"/>
    </row>
    <row r="161">
      <c r="A161" s="22">
        <f>IF(C161="","",ROW()-4)</f>
        <v/>
      </c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>
        <f>IF(OR(G161="",I161=""),"",IF(G161=I161,"","⚠ resolve"))</f>
        <v/>
      </c>
      <c r="K161" s="22" t="n"/>
    </row>
    <row r="162">
      <c r="A162" s="25">
        <f>IF(C162="","",ROW()-4)</f>
        <v/>
      </c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>
        <f>IF(OR(G162="",I162=""),"",IF(G162=I162,"","⚠ resolve"))</f>
        <v/>
      </c>
      <c r="K162" s="25" t="n"/>
    </row>
    <row r="163">
      <c r="A163" s="22">
        <f>IF(C163="","",ROW()-4)</f>
        <v/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>
        <f>IF(OR(G163="",I163=""),"",IF(G163=I163,"","⚠ resolve"))</f>
        <v/>
      </c>
      <c r="K163" s="22" t="n"/>
    </row>
    <row r="164">
      <c r="A164" s="25">
        <f>IF(C164="","",ROW()-4)</f>
        <v/>
      </c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>
        <f>IF(OR(G164="",I164=""),"",IF(G164=I164,"","⚠ resolve"))</f>
        <v/>
      </c>
      <c r="K164" s="25" t="n"/>
    </row>
    <row r="165">
      <c r="A165" s="22">
        <f>IF(C165="","",ROW()-4)</f>
        <v/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>
        <f>IF(OR(G165="",I165=""),"",IF(G165=I165,"","⚠ resolve"))</f>
        <v/>
      </c>
      <c r="K165" s="22" t="n"/>
    </row>
    <row r="166">
      <c r="A166" s="25">
        <f>IF(C166="","",ROW()-4)</f>
        <v/>
      </c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>
        <f>IF(OR(G166="",I166=""),"",IF(G166=I166,"","⚠ resolve"))</f>
        <v/>
      </c>
      <c r="K166" s="25" t="n"/>
    </row>
    <row r="167">
      <c r="A167" s="22">
        <f>IF(C167="","",ROW()-4)</f>
        <v/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>
        <f>IF(OR(G167="",I167=""),"",IF(G167=I167,"","⚠ resolve"))</f>
        <v/>
      </c>
      <c r="K167" s="22" t="n"/>
    </row>
    <row r="168">
      <c r="A168" s="25">
        <f>IF(C168="","",ROW()-4)</f>
        <v/>
      </c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>
        <f>IF(OR(G168="",I168=""),"",IF(G168=I168,"","⚠ resolve"))</f>
        <v/>
      </c>
      <c r="K168" s="25" t="n"/>
    </row>
    <row r="169">
      <c r="A169" s="22">
        <f>IF(C169="","",ROW()-4)</f>
        <v/>
      </c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>
        <f>IF(OR(G169="",I169=""),"",IF(G169=I169,"","⚠ resolve"))</f>
        <v/>
      </c>
      <c r="K169" s="22" t="n"/>
    </row>
    <row r="170">
      <c r="A170" s="25">
        <f>IF(C170="","",ROW()-4)</f>
        <v/>
      </c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>
        <f>IF(OR(G170="",I170=""),"",IF(G170=I170,"","⚠ resolve"))</f>
        <v/>
      </c>
      <c r="K170" s="25" t="n"/>
    </row>
    <row r="171">
      <c r="A171" s="22">
        <f>IF(C171="","",ROW()-4)</f>
        <v/>
      </c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>
        <f>IF(OR(G171="",I171=""),"",IF(G171=I171,"","⚠ resolve"))</f>
        <v/>
      </c>
      <c r="K171" s="22" t="n"/>
    </row>
    <row r="172">
      <c r="A172" s="25">
        <f>IF(C172="","",ROW()-4)</f>
        <v/>
      </c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>
        <f>IF(OR(G172="",I172=""),"",IF(G172=I172,"","⚠ resolve"))</f>
        <v/>
      </c>
      <c r="K172" s="25" t="n"/>
    </row>
    <row r="173">
      <c r="A173" s="22">
        <f>IF(C173="","",ROW()-4)</f>
        <v/>
      </c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>
        <f>IF(OR(G173="",I173=""),"",IF(G173=I173,"","⚠ resolve"))</f>
        <v/>
      </c>
      <c r="K173" s="22" t="n"/>
    </row>
    <row r="174">
      <c r="A174" s="25">
        <f>IF(C174="","",ROW()-4)</f>
        <v/>
      </c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>
        <f>IF(OR(G174="",I174=""),"",IF(G174=I174,"","⚠ resolve"))</f>
        <v/>
      </c>
      <c r="K174" s="25" t="n"/>
    </row>
    <row r="175">
      <c r="A175" s="22">
        <f>IF(C175="","",ROW()-4)</f>
        <v/>
      </c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>
        <f>IF(OR(G175="",I175=""),"",IF(G175=I175,"","⚠ resolve"))</f>
        <v/>
      </c>
      <c r="K175" s="22" t="n"/>
    </row>
    <row r="176">
      <c r="A176" s="25">
        <f>IF(C176="","",ROW()-4)</f>
        <v/>
      </c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>
        <f>IF(OR(G176="",I176=""),"",IF(G176=I176,"","⚠ resolve"))</f>
        <v/>
      </c>
      <c r="K176" s="25" t="n"/>
    </row>
    <row r="177">
      <c r="A177" s="22">
        <f>IF(C177="","",ROW()-4)</f>
        <v/>
      </c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>
        <f>IF(OR(G177="",I177=""),"",IF(G177=I177,"","⚠ resolve"))</f>
        <v/>
      </c>
      <c r="K177" s="22" t="n"/>
    </row>
    <row r="178">
      <c r="A178" s="25">
        <f>IF(C178="","",ROW()-4)</f>
        <v/>
      </c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>
        <f>IF(OR(G178="",I178=""),"",IF(G178=I178,"","⚠ resolve"))</f>
        <v/>
      </c>
      <c r="K178" s="25" t="n"/>
    </row>
    <row r="179">
      <c r="A179" s="22">
        <f>IF(C179="","",ROW()-4)</f>
        <v/>
      </c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>
        <f>IF(OR(G179="",I179=""),"",IF(G179=I179,"","⚠ resolve"))</f>
        <v/>
      </c>
      <c r="K179" s="22" t="n"/>
    </row>
    <row r="180">
      <c r="A180" s="25">
        <f>IF(C180="","",ROW()-4)</f>
        <v/>
      </c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>
        <f>IF(OR(G180="",I180=""),"",IF(G180=I180,"","⚠ resolve"))</f>
        <v/>
      </c>
      <c r="K180" s="25" t="n"/>
    </row>
    <row r="181">
      <c r="A181" s="22">
        <f>IF(C181="","",ROW()-4)</f>
        <v/>
      </c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>
        <f>IF(OR(G181="",I181=""),"",IF(G181=I181,"","⚠ resolve"))</f>
        <v/>
      </c>
      <c r="K181" s="22" t="n"/>
    </row>
    <row r="182">
      <c r="A182" s="25">
        <f>IF(C182="","",ROW()-4)</f>
        <v/>
      </c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>
        <f>IF(OR(G182="",I182=""),"",IF(G182=I182,"","⚠ resolve"))</f>
        <v/>
      </c>
      <c r="K182" s="25" t="n"/>
    </row>
    <row r="183">
      <c r="A183" s="22">
        <f>IF(C183="","",ROW()-4)</f>
        <v/>
      </c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>
        <f>IF(OR(G183="",I183=""),"",IF(G183=I183,"","⚠ resolve"))</f>
        <v/>
      </c>
      <c r="K183" s="22" t="n"/>
    </row>
    <row r="184">
      <c r="A184" s="25">
        <f>IF(C184="","",ROW()-4)</f>
        <v/>
      </c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>
        <f>IF(OR(G184="",I184=""),"",IF(G184=I184,"","⚠ resolve"))</f>
        <v/>
      </c>
      <c r="K184" s="25" t="n"/>
    </row>
    <row r="185">
      <c r="A185" s="22">
        <f>IF(C185="","",ROW()-4)</f>
        <v/>
      </c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>
        <f>IF(OR(G185="",I185=""),"",IF(G185=I185,"","⚠ resolve"))</f>
        <v/>
      </c>
      <c r="K185" s="22" t="n"/>
    </row>
    <row r="186">
      <c r="A186" s="25">
        <f>IF(C186="","",ROW()-4)</f>
        <v/>
      </c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>
        <f>IF(OR(G186="",I186=""),"",IF(G186=I186,"","⚠ resolve"))</f>
        <v/>
      </c>
      <c r="K186" s="25" t="n"/>
    </row>
    <row r="187">
      <c r="A187" s="22">
        <f>IF(C187="","",ROW()-4)</f>
        <v/>
      </c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>
        <f>IF(OR(G187="",I187=""),"",IF(G187=I187,"","⚠ resolve"))</f>
        <v/>
      </c>
      <c r="K187" s="22" t="n"/>
    </row>
    <row r="188">
      <c r="A188" s="25">
        <f>IF(C188="","",ROW()-4)</f>
        <v/>
      </c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>
        <f>IF(OR(G188="",I188=""),"",IF(G188=I188,"","⚠ resolve"))</f>
        <v/>
      </c>
      <c r="K188" s="25" t="n"/>
    </row>
    <row r="189">
      <c r="A189" s="22">
        <f>IF(C189="","",ROW()-4)</f>
        <v/>
      </c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>
        <f>IF(OR(G189="",I189=""),"",IF(G189=I189,"","⚠ resolve"))</f>
        <v/>
      </c>
      <c r="K189" s="22" t="n"/>
    </row>
    <row r="190">
      <c r="A190" s="25">
        <f>IF(C190="","",ROW()-4)</f>
        <v/>
      </c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>
        <f>IF(OR(G190="",I190=""),"",IF(G190=I190,"","⚠ resolve"))</f>
        <v/>
      </c>
      <c r="K190" s="25" t="n"/>
    </row>
    <row r="191">
      <c r="A191" s="22">
        <f>IF(C191="","",ROW()-4)</f>
        <v/>
      </c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>
        <f>IF(OR(G191="",I191=""),"",IF(G191=I191,"","⚠ resolve"))</f>
        <v/>
      </c>
      <c r="K191" s="22" t="n"/>
    </row>
    <row r="192">
      <c r="A192" s="25">
        <f>IF(C192="","",ROW()-4)</f>
        <v/>
      </c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>
        <f>IF(OR(G192="",I192=""),"",IF(G192=I192,"","⚠ resolve"))</f>
        <v/>
      </c>
      <c r="K192" s="25" t="n"/>
    </row>
    <row r="193">
      <c r="A193" s="22">
        <f>IF(C193="","",ROW()-4)</f>
        <v/>
      </c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>
        <f>IF(OR(G193="",I193=""),"",IF(G193=I193,"","⚠ resolve"))</f>
        <v/>
      </c>
      <c r="K193" s="22" t="n"/>
    </row>
    <row r="194">
      <c r="A194" s="25">
        <f>IF(C194="","",ROW()-4)</f>
        <v/>
      </c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>
        <f>IF(OR(G194="",I194=""),"",IF(G194=I194,"","⚠ resolve"))</f>
        <v/>
      </c>
      <c r="K194" s="25" t="n"/>
    </row>
    <row r="195">
      <c r="A195" s="22">
        <f>IF(C195="","",ROW()-4)</f>
        <v/>
      </c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>
        <f>IF(OR(G195="",I195=""),"",IF(G195=I195,"","⚠ resolve"))</f>
        <v/>
      </c>
      <c r="K195" s="22" t="n"/>
    </row>
    <row r="196">
      <c r="A196" s="25">
        <f>IF(C196="","",ROW()-4)</f>
        <v/>
      </c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>
        <f>IF(OR(G196="",I196=""),"",IF(G196=I196,"","⚠ resolve"))</f>
        <v/>
      </c>
      <c r="K196" s="25" t="n"/>
    </row>
    <row r="197">
      <c r="A197" s="22">
        <f>IF(C197="","",ROW()-4)</f>
        <v/>
      </c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>
        <f>IF(OR(G197="",I197=""),"",IF(G197=I197,"","⚠ resolve"))</f>
        <v/>
      </c>
      <c r="K197" s="22" t="n"/>
    </row>
    <row r="198">
      <c r="A198" s="25">
        <f>IF(C198="","",ROW()-4)</f>
        <v/>
      </c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>
        <f>IF(OR(G198="",I198=""),"",IF(G198=I198,"","⚠ resolve"))</f>
        <v/>
      </c>
      <c r="K198" s="25" t="n"/>
    </row>
    <row r="199">
      <c r="A199" s="22">
        <f>IF(C199="","",ROW()-4)</f>
        <v/>
      </c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>
        <f>IF(OR(G199="",I199=""),"",IF(G199=I199,"","⚠ resolve"))</f>
        <v/>
      </c>
      <c r="K199" s="22" t="n"/>
    </row>
    <row r="200">
      <c r="A200" s="25">
        <f>IF(C200="","",ROW()-4)</f>
        <v/>
      </c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>
        <f>IF(OR(G200="",I200=""),"",IF(G200=I200,"","⚠ resolve"))</f>
        <v/>
      </c>
      <c r="K200" s="25" t="n"/>
    </row>
    <row r="201">
      <c r="A201" s="22">
        <f>IF(C201="","",ROW()-4)</f>
        <v/>
      </c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>
        <f>IF(OR(G201="",I201=""),"",IF(G201=I201,"","⚠ resolve"))</f>
        <v/>
      </c>
      <c r="K201" s="22" t="n"/>
    </row>
    <row r="202">
      <c r="A202" s="25">
        <f>IF(C202="","",ROW()-4)</f>
        <v/>
      </c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>
        <f>IF(OR(G202="",I202=""),"",IF(G202=I202,"","⚠ resolve"))</f>
        <v/>
      </c>
      <c r="K202" s="25" t="n"/>
    </row>
    <row r="203">
      <c r="A203" s="22">
        <f>IF(C203="","",ROW()-4)</f>
        <v/>
      </c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>
        <f>IF(OR(G203="",I203=""),"",IF(G203=I203,"","⚠ resolve"))</f>
        <v/>
      </c>
      <c r="K203" s="22" t="n"/>
    </row>
    <row r="204">
      <c r="A204" s="25">
        <f>IF(C204="","",ROW()-4)</f>
        <v/>
      </c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>
        <f>IF(OR(G204="",I204=""),"",IF(G204=I204,"","⚠ resolve"))</f>
        <v/>
      </c>
      <c r="K204" s="25" t="n"/>
    </row>
  </sheetData>
  <autoFilter ref="A4:K204"/>
  <mergeCells count="2">
    <mergeCell ref="A2:K2"/>
    <mergeCell ref="A1:K1"/>
  </mergeCells>
  <conditionalFormatting sqref="F5:F204">
    <cfRule type="cellIs" priority="1" operator="equal" dxfId="0">
      <formula>"No"</formula>
    </cfRule>
  </conditionalFormatting>
  <conditionalFormatting sqref="G5:G204">
    <cfRule type="cellIs" priority="2" operator="equal" dxfId="3">
      <formula>"Include"</formula>
    </cfRule>
    <cfRule type="cellIs" priority="3" operator="equal" dxfId="4">
      <formula>"Exclude"</formula>
    </cfRule>
    <cfRule type="cellIs" priority="4" operator="equal" dxfId="0">
      <formula>"Unsure"</formula>
    </cfRule>
  </conditionalFormatting>
  <conditionalFormatting sqref="I5:I204">
    <cfRule type="cellIs" priority="5" operator="equal" dxfId="3">
      <formula>"Include"</formula>
    </cfRule>
    <cfRule type="cellIs" priority="6" operator="equal" dxfId="4">
      <formula>"Exclude"</formula>
    </cfRule>
    <cfRule type="cellIs" priority="7" operator="equal" dxfId="0">
      <formula>"Unsure"</formula>
    </cfRule>
  </conditionalFormatting>
  <conditionalFormatting sqref="J5:J204">
    <cfRule type="cellIs" priority="8" operator="equal" dxfId="4">
      <formula>"⚠ resolve"</formula>
    </cfRule>
  </conditionalFormatting>
  <dataValidations count="5">
    <dataValidation sqref="E5:E204" showDropDown="0" showInputMessage="0" showErrorMessage="0" allowBlank="1" type="list">
      <formula1>Lists!$D$1:$D$2</formula1>
    </dataValidation>
    <dataValidation sqref="F5:F204" showDropDown="0" showInputMessage="0" showErrorMessage="0" allowBlank="1" type="list">
      <formula1>Lists!$E$1:$E$2</formula1>
    </dataValidation>
    <dataValidation sqref="G5:G204" showDropDown="0" showInputMessage="0" showErrorMessage="0" allowBlank="1" type="list">
      <formula1>Lists!$A$1:$A$3</formula1>
    </dataValidation>
    <dataValidation sqref="H5:H204" showDropDown="0" showInputMessage="0" showErrorMessage="0" allowBlank="1" type="list">
      <formula1>Lists!$B$1:$B$9</formula1>
    </dataValidation>
    <dataValidation sqref="I5:I204" showDropDown="0" showInputMessage="0" showErrorMessage="0" allowBlank="1" type="list">
      <formula1>Lists!$A$1:$A$3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8" customWidth="1" min="4" max="4"/>
    <col width="10" customWidth="1" min="5" max="5"/>
    <col width="28" customWidth="1" min="6" max="6"/>
    <col width="28" customWidth="1" min="7" max="7"/>
    <col width="20" customWidth="1" min="8" max="8"/>
    <col width="30" customWidth="1" min="9" max="9"/>
    <col width="32" customWidth="1" min="10" max="10"/>
    <col width="12" customWidth="1" min="11" max="11"/>
    <col width="13" customWidth="1" min="12" max="12"/>
    <col width="32" customWidth="1" min="13" max="13"/>
  </cols>
  <sheetData>
    <row r="1" ht="26" customHeight="1">
      <c r="A1" s="7" t="inlineStr">
        <is>
          <t>Extraction</t>
        </is>
      </c>
    </row>
    <row r="2" ht="28" customHeight="1">
      <c r="A2" s="8" t="inlineStr">
        <is>
          <t>Copy included studies over from Full-Text. Rename or add columns freely — nothing on this sheet is referenced by cell beyond column L (Status).</t>
        </is>
      </c>
    </row>
    <row r="4" ht="30" customHeight="1">
      <c r="A4" s="21" t="inlineStr">
        <is>
          <t>#</t>
        </is>
      </c>
      <c r="B4" s="21" t="inlineStr">
        <is>
          <t>Study ID</t>
        </is>
      </c>
      <c r="C4" s="21" t="inlineStr">
        <is>
          <t>Author (Year)</t>
        </is>
      </c>
      <c r="D4" s="21" t="inlineStr">
        <is>
          <t>Design</t>
        </is>
      </c>
      <c r="E4" s="21" t="inlineStr">
        <is>
          <t>N</t>
        </is>
      </c>
      <c r="F4" s="21" t="inlineStr">
        <is>
          <t>Population / setting</t>
        </is>
      </c>
      <c r="G4" s="21" t="inlineStr">
        <is>
          <t>Intervention / Exposure</t>
        </is>
      </c>
      <c r="H4" s="21" t="inlineStr">
        <is>
          <t>Comparator</t>
        </is>
      </c>
      <c r="I4" s="21" t="inlineStr">
        <is>
          <t>Outcome(s) &amp; measure</t>
        </is>
      </c>
      <c r="J4" s="21" t="inlineStr">
        <is>
          <t>Effect / key result</t>
        </is>
      </c>
      <c r="K4" s="21" t="inlineStr">
        <is>
          <t>Direction</t>
        </is>
      </c>
      <c r="L4" s="21" t="inlineStr">
        <is>
          <t>Status</t>
        </is>
      </c>
      <c r="M4" s="21" t="inlineStr">
        <is>
          <t>Notes</t>
        </is>
      </c>
    </row>
    <row r="5">
      <c r="A5" s="22">
        <f>IF(C5="","",ROW()-4)</f>
        <v/>
      </c>
      <c r="B5" s="22" t="n"/>
      <c r="C5" s="22" t="n"/>
      <c r="D5" s="22" t="n"/>
      <c r="E5" s="24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>
      <c r="A6" s="25">
        <f>IF(C6="","",ROW()-4)</f>
        <v/>
      </c>
      <c r="B6" s="25" t="n"/>
      <c r="C6" s="25" t="n"/>
      <c r="D6" s="25" t="n"/>
      <c r="E6" s="27" t="n"/>
      <c r="F6" s="25" t="n"/>
      <c r="G6" s="25" t="n"/>
      <c r="H6" s="25" t="n"/>
      <c r="I6" s="25" t="n"/>
      <c r="J6" s="25" t="n"/>
      <c r="K6" s="25" t="n"/>
      <c r="L6" s="25" t="n"/>
      <c r="M6" s="25" t="n"/>
    </row>
    <row r="7">
      <c r="A7" s="22">
        <f>IF(C7="","",ROW()-4)</f>
        <v/>
      </c>
      <c r="B7" s="22" t="n"/>
      <c r="C7" s="22" t="n"/>
      <c r="D7" s="22" t="n"/>
      <c r="E7" s="24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>
      <c r="A8" s="25">
        <f>IF(C8="","",ROW()-4)</f>
        <v/>
      </c>
      <c r="B8" s="25" t="n"/>
      <c r="C8" s="25" t="n"/>
      <c r="D8" s="25" t="n"/>
      <c r="E8" s="27" t="n"/>
      <c r="F8" s="25" t="n"/>
      <c r="G8" s="25" t="n"/>
      <c r="H8" s="25" t="n"/>
      <c r="I8" s="25" t="n"/>
      <c r="J8" s="25" t="n"/>
      <c r="K8" s="25" t="n"/>
      <c r="L8" s="25" t="n"/>
      <c r="M8" s="25" t="n"/>
    </row>
    <row r="9">
      <c r="A9" s="22">
        <f>IF(C9="","",ROW()-4)</f>
        <v/>
      </c>
      <c r="B9" s="22" t="n"/>
      <c r="C9" s="22" t="n"/>
      <c r="D9" s="22" t="n"/>
      <c r="E9" s="24" t="n"/>
      <c r="F9" s="22" t="n"/>
      <c r="G9" s="22" t="n"/>
      <c r="H9" s="22" t="n"/>
      <c r="I9" s="22" t="n"/>
      <c r="J9" s="22" t="n"/>
      <c r="K9" s="22" t="n"/>
      <c r="L9" s="22" t="n"/>
      <c r="M9" s="22" t="n"/>
    </row>
    <row r="10">
      <c r="A10" s="25">
        <f>IF(C10="","",ROW()-4)</f>
        <v/>
      </c>
      <c r="B10" s="25" t="n"/>
      <c r="C10" s="25" t="n"/>
      <c r="D10" s="25" t="n"/>
      <c r="E10" s="27" t="n"/>
      <c r="F10" s="25" t="n"/>
      <c r="G10" s="25" t="n"/>
      <c r="H10" s="25" t="n"/>
      <c r="I10" s="25" t="n"/>
      <c r="J10" s="25" t="n"/>
      <c r="K10" s="25" t="n"/>
      <c r="L10" s="25" t="n"/>
      <c r="M10" s="25" t="n"/>
    </row>
    <row r="11">
      <c r="A11" s="22">
        <f>IF(C11="","",ROW()-4)</f>
        <v/>
      </c>
      <c r="B11" s="22" t="n"/>
      <c r="C11" s="22" t="n"/>
      <c r="D11" s="22" t="n"/>
      <c r="E11" s="24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>
      <c r="A12" s="25">
        <f>IF(C12="","",ROW()-4)</f>
        <v/>
      </c>
      <c r="B12" s="25" t="n"/>
      <c r="C12" s="25" t="n"/>
      <c r="D12" s="25" t="n"/>
      <c r="E12" s="27" t="n"/>
      <c r="F12" s="25" t="n"/>
      <c r="G12" s="25" t="n"/>
      <c r="H12" s="25" t="n"/>
      <c r="I12" s="25" t="n"/>
      <c r="J12" s="25" t="n"/>
      <c r="K12" s="25" t="n"/>
      <c r="L12" s="25" t="n"/>
      <c r="M12" s="25" t="n"/>
    </row>
    <row r="13">
      <c r="A13" s="22">
        <f>IF(C13="","",ROW()-4)</f>
        <v/>
      </c>
      <c r="B13" s="22" t="n"/>
      <c r="C13" s="22" t="n"/>
      <c r="D13" s="22" t="n"/>
      <c r="E13" s="24" t="n"/>
      <c r="F13" s="22" t="n"/>
      <c r="G13" s="22" t="n"/>
      <c r="H13" s="22" t="n"/>
      <c r="I13" s="22" t="n"/>
      <c r="J13" s="22" t="n"/>
      <c r="K13" s="22" t="n"/>
      <c r="L13" s="22" t="n"/>
      <c r="M13" s="22" t="n"/>
    </row>
    <row r="14">
      <c r="A14" s="25">
        <f>IF(C14="","",ROW()-4)</f>
        <v/>
      </c>
      <c r="B14" s="25" t="n"/>
      <c r="C14" s="25" t="n"/>
      <c r="D14" s="25" t="n"/>
      <c r="E14" s="27" t="n"/>
      <c r="F14" s="25" t="n"/>
      <c r="G14" s="25" t="n"/>
      <c r="H14" s="25" t="n"/>
      <c r="I14" s="25" t="n"/>
      <c r="J14" s="25" t="n"/>
      <c r="K14" s="25" t="n"/>
      <c r="L14" s="25" t="n"/>
      <c r="M14" s="25" t="n"/>
    </row>
    <row r="15">
      <c r="A15" s="22">
        <f>IF(C15="","",ROW()-4)</f>
        <v/>
      </c>
      <c r="B15" s="22" t="n"/>
      <c r="C15" s="22" t="n"/>
      <c r="D15" s="22" t="n"/>
      <c r="E15" s="24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>
      <c r="A16" s="25">
        <f>IF(C16="","",ROW()-4)</f>
        <v/>
      </c>
      <c r="B16" s="25" t="n"/>
      <c r="C16" s="25" t="n"/>
      <c r="D16" s="25" t="n"/>
      <c r="E16" s="27" t="n"/>
      <c r="F16" s="25" t="n"/>
      <c r="G16" s="25" t="n"/>
      <c r="H16" s="25" t="n"/>
      <c r="I16" s="25" t="n"/>
      <c r="J16" s="25" t="n"/>
      <c r="K16" s="25" t="n"/>
      <c r="L16" s="25" t="n"/>
      <c r="M16" s="25" t="n"/>
    </row>
    <row r="17">
      <c r="A17" s="22">
        <f>IF(C17="","",ROW()-4)</f>
        <v/>
      </c>
      <c r="B17" s="22" t="n"/>
      <c r="C17" s="22" t="n"/>
      <c r="D17" s="22" t="n"/>
      <c r="E17" s="24" t="n"/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>
      <c r="A18" s="25">
        <f>IF(C18="","",ROW()-4)</f>
        <v/>
      </c>
      <c r="B18" s="25" t="n"/>
      <c r="C18" s="25" t="n"/>
      <c r="D18" s="25" t="n"/>
      <c r="E18" s="27" t="n"/>
      <c r="F18" s="25" t="n"/>
      <c r="G18" s="25" t="n"/>
      <c r="H18" s="25" t="n"/>
      <c r="I18" s="25" t="n"/>
      <c r="J18" s="25" t="n"/>
      <c r="K18" s="25" t="n"/>
      <c r="L18" s="25" t="n"/>
      <c r="M18" s="25" t="n"/>
    </row>
    <row r="19">
      <c r="A19" s="22">
        <f>IF(C19="","",ROW()-4)</f>
        <v/>
      </c>
      <c r="B19" s="22" t="n"/>
      <c r="C19" s="22" t="n"/>
      <c r="D19" s="22" t="n"/>
      <c r="E19" s="24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>
      <c r="A20" s="25">
        <f>IF(C20="","",ROW()-4)</f>
        <v/>
      </c>
      <c r="B20" s="25" t="n"/>
      <c r="C20" s="25" t="n"/>
      <c r="D20" s="25" t="n"/>
      <c r="E20" s="27" t="n"/>
      <c r="F20" s="25" t="n"/>
      <c r="G20" s="25" t="n"/>
      <c r="H20" s="25" t="n"/>
      <c r="I20" s="25" t="n"/>
      <c r="J20" s="25" t="n"/>
      <c r="K20" s="25" t="n"/>
      <c r="L20" s="25" t="n"/>
      <c r="M20" s="25" t="n"/>
    </row>
    <row r="21">
      <c r="A21" s="22">
        <f>IF(C21="","",ROW()-4)</f>
        <v/>
      </c>
      <c r="B21" s="22" t="n"/>
      <c r="C21" s="22" t="n"/>
      <c r="D21" s="22" t="n"/>
      <c r="E21" s="24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>
      <c r="A22" s="25">
        <f>IF(C22="","",ROW()-4)</f>
        <v/>
      </c>
      <c r="B22" s="25" t="n"/>
      <c r="C22" s="25" t="n"/>
      <c r="D22" s="25" t="n"/>
      <c r="E22" s="27" t="n"/>
      <c r="F22" s="25" t="n"/>
      <c r="G22" s="25" t="n"/>
      <c r="H22" s="25" t="n"/>
      <c r="I22" s="25" t="n"/>
      <c r="J22" s="25" t="n"/>
      <c r="K22" s="25" t="n"/>
      <c r="L22" s="25" t="n"/>
      <c r="M22" s="25" t="n"/>
    </row>
    <row r="23">
      <c r="A23" s="22">
        <f>IF(C23="","",ROW()-4)</f>
        <v/>
      </c>
      <c r="B23" s="22" t="n"/>
      <c r="C23" s="22" t="n"/>
      <c r="D23" s="22" t="n"/>
      <c r="E23" s="24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>
      <c r="A24" s="25">
        <f>IF(C24="","",ROW()-4)</f>
        <v/>
      </c>
      <c r="B24" s="25" t="n"/>
      <c r="C24" s="25" t="n"/>
      <c r="D24" s="25" t="n"/>
      <c r="E24" s="27" t="n"/>
      <c r="F24" s="25" t="n"/>
      <c r="G24" s="25" t="n"/>
      <c r="H24" s="25" t="n"/>
      <c r="I24" s="25" t="n"/>
      <c r="J24" s="25" t="n"/>
      <c r="K24" s="25" t="n"/>
      <c r="L24" s="25" t="n"/>
      <c r="M24" s="25" t="n"/>
    </row>
    <row r="25">
      <c r="A25" s="22">
        <f>IF(C25="","",ROW()-4)</f>
        <v/>
      </c>
      <c r="B25" s="22" t="n"/>
      <c r="C25" s="22" t="n"/>
      <c r="D25" s="22" t="n"/>
      <c r="E25" s="24" t="n"/>
      <c r="F25" s="22" t="n"/>
      <c r="G25" s="22" t="n"/>
      <c r="H25" s="22" t="n"/>
      <c r="I25" s="22" t="n"/>
      <c r="J25" s="22" t="n"/>
      <c r="K25" s="22" t="n"/>
      <c r="L25" s="22" t="n"/>
      <c r="M25" s="22" t="n"/>
    </row>
    <row r="26">
      <c r="A26" s="25">
        <f>IF(C26="","",ROW()-4)</f>
        <v/>
      </c>
      <c r="B26" s="25" t="n"/>
      <c r="C26" s="25" t="n"/>
      <c r="D26" s="25" t="n"/>
      <c r="E26" s="27" t="n"/>
      <c r="F26" s="25" t="n"/>
      <c r="G26" s="25" t="n"/>
      <c r="H26" s="25" t="n"/>
      <c r="I26" s="25" t="n"/>
      <c r="J26" s="25" t="n"/>
      <c r="K26" s="25" t="n"/>
      <c r="L26" s="25" t="n"/>
      <c r="M26" s="25" t="n"/>
    </row>
    <row r="27">
      <c r="A27" s="22">
        <f>IF(C27="","",ROW()-4)</f>
        <v/>
      </c>
      <c r="B27" s="22" t="n"/>
      <c r="C27" s="22" t="n"/>
      <c r="D27" s="22" t="n"/>
      <c r="E27" s="24" t="n"/>
      <c r="F27" s="22" t="n"/>
      <c r="G27" s="22" t="n"/>
      <c r="H27" s="22" t="n"/>
      <c r="I27" s="22" t="n"/>
      <c r="J27" s="22" t="n"/>
      <c r="K27" s="22" t="n"/>
      <c r="L27" s="22" t="n"/>
      <c r="M27" s="22" t="n"/>
    </row>
    <row r="28">
      <c r="A28" s="25">
        <f>IF(C28="","",ROW()-4)</f>
        <v/>
      </c>
      <c r="B28" s="25" t="n"/>
      <c r="C28" s="25" t="n"/>
      <c r="D28" s="25" t="n"/>
      <c r="E28" s="27" t="n"/>
      <c r="F28" s="25" t="n"/>
      <c r="G28" s="25" t="n"/>
      <c r="H28" s="25" t="n"/>
      <c r="I28" s="25" t="n"/>
      <c r="J28" s="25" t="n"/>
      <c r="K28" s="25" t="n"/>
      <c r="L28" s="25" t="n"/>
      <c r="M28" s="25" t="n"/>
    </row>
    <row r="29">
      <c r="A29" s="22">
        <f>IF(C29="","",ROW()-4)</f>
        <v/>
      </c>
      <c r="B29" s="22" t="n"/>
      <c r="C29" s="22" t="n"/>
      <c r="D29" s="22" t="n"/>
      <c r="E29" s="24" t="n"/>
      <c r="F29" s="22" t="n"/>
      <c r="G29" s="22" t="n"/>
      <c r="H29" s="22" t="n"/>
      <c r="I29" s="22" t="n"/>
      <c r="J29" s="22" t="n"/>
      <c r="K29" s="22" t="n"/>
      <c r="L29" s="22" t="n"/>
      <c r="M29" s="22" t="n"/>
    </row>
    <row r="30">
      <c r="A30" s="25">
        <f>IF(C30="","",ROW()-4)</f>
        <v/>
      </c>
      <c r="B30" s="25" t="n"/>
      <c r="C30" s="25" t="n"/>
      <c r="D30" s="25" t="n"/>
      <c r="E30" s="27" t="n"/>
      <c r="F30" s="25" t="n"/>
      <c r="G30" s="25" t="n"/>
      <c r="H30" s="25" t="n"/>
      <c r="I30" s="25" t="n"/>
      <c r="J30" s="25" t="n"/>
      <c r="K30" s="25" t="n"/>
      <c r="L30" s="25" t="n"/>
      <c r="M30" s="25" t="n"/>
    </row>
    <row r="31">
      <c r="A31" s="22">
        <f>IF(C31="","",ROW()-4)</f>
        <v/>
      </c>
      <c r="B31" s="22" t="n"/>
      <c r="C31" s="22" t="n"/>
      <c r="D31" s="22" t="n"/>
      <c r="E31" s="24" t="n"/>
      <c r="F31" s="22" t="n"/>
      <c r="G31" s="22" t="n"/>
      <c r="H31" s="22" t="n"/>
      <c r="I31" s="22" t="n"/>
      <c r="J31" s="22" t="n"/>
      <c r="K31" s="22" t="n"/>
      <c r="L31" s="22" t="n"/>
      <c r="M31" s="22" t="n"/>
    </row>
    <row r="32">
      <c r="A32" s="25">
        <f>IF(C32="","",ROW()-4)</f>
        <v/>
      </c>
      <c r="B32" s="25" t="n"/>
      <c r="C32" s="25" t="n"/>
      <c r="D32" s="25" t="n"/>
      <c r="E32" s="27" t="n"/>
      <c r="F32" s="25" t="n"/>
      <c r="G32" s="25" t="n"/>
      <c r="H32" s="25" t="n"/>
      <c r="I32" s="25" t="n"/>
      <c r="J32" s="25" t="n"/>
      <c r="K32" s="25" t="n"/>
      <c r="L32" s="25" t="n"/>
      <c r="M32" s="25" t="n"/>
    </row>
    <row r="33">
      <c r="A33" s="22">
        <f>IF(C33="","",ROW()-4)</f>
        <v/>
      </c>
      <c r="B33" s="22" t="n"/>
      <c r="C33" s="22" t="n"/>
      <c r="D33" s="22" t="n"/>
      <c r="E33" s="24" t="n"/>
      <c r="F33" s="22" t="n"/>
      <c r="G33" s="22" t="n"/>
      <c r="H33" s="22" t="n"/>
      <c r="I33" s="22" t="n"/>
      <c r="J33" s="22" t="n"/>
      <c r="K33" s="22" t="n"/>
      <c r="L33" s="22" t="n"/>
      <c r="M33" s="22" t="n"/>
    </row>
    <row r="34">
      <c r="A34" s="25">
        <f>IF(C34="","",ROW()-4)</f>
        <v/>
      </c>
      <c r="B34" s="25" t="n"/>
      <c r="C34" s="25" t="n"/>
      <c r="D34" s="25" t="n"/>
      <c r="E34" s="27" t="n"/>
      <c r="F34" s="25" t="n"/>
      <c r="G34" s="25" t="n"/>
      <c r="H34" s="25" t="n"/>
      <c r="I34" s="25" t="n"/>
      <c r="J34" s="25" t="n"/>
      <c r="K34" s="25" t="n"/>
      <c r="L34" s="25" t="n"/>
      <c r="M34" s="25" t="n"/>
    </row>
    <row r="35">
      <c r="A35" s="22">
        <f>IF(C35="","",ROW()-4)</f>
        <v/>
      </c>
      <c r="B35" s="22" t="n"/>
      <c r="C35" s="22" t="n"/>
      <c r="D35" s="22" t="n"/>
      <c r="E35" s="24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6">
      <c r="A36" s="25">
        <f>IF(C36="","",ROW()-4)</f>
        <v/>
      </c>
      <c r="B36" s="25" t="n"/>
      <c r="C36" s="25" t="n"/>
      <c r="D36" s="25" t="n"/>
      <c r="E36" s="27" t="n"/>
      <c r="F36" s="25" t="n"/>
      <c r="G36" s="25" t="n"/>
      <c r="H36" s="25" t="n"/>
      <c r="I36" s="25" t="n"/>
      <c r="J36" s="25" t="n"/>
      <c r="K36" s="25" t="n"/>
      <c r="L36" s="25" t="n"/>
      <c r="M36" s="25" t="n"/>
    </row>
    <row r="37">
      <c r="A37" s="22">
        <f>IF(C37="","",ROW()-4)</f>
        <v/>
      </c>
      <c r="B37" s="22" t="n"/>
      <c r="C37" s="22" t="n"/>
      <c r="D37" s="22" t="n"/>
      <c r="E37" s="24" t="n"/>
      <c r="F37" s="22" t="n"/>
      <c r="G37" s="22" t="n"/>
      <c r="H37" s="22" t="n"/>
      <c r="I37" s="22" t="n"/>
      <c r="J37" s="22" t="n"/>
      <c r="K37" s="22" t="n"/>
      <c r="L37" s="22" t="n"/>
      <c r="M37" s="22" t="n"/>
    </row>
    <row r="38">
      <c r="A38" s="25">
        <f>IF(C38="","",ROW()-4)</f>
        <v/>
      </c>
      <c r="B38" s="25" t="n"/>
      <c r="C38" s="25" t="n"/>
      <c r="D38" s="25" t="n"/>
      <c r="E38" s="27" t="n"/>
      <c r="F38" s="25" t="n"/>
      <c r="G38" s="25" t="n"/>
      <c r="H38" s="25" t="n"/>
      <c r="I38" s="25" t="n"/>
      <c r="J38" s="25" t="n"/>
      <c r="K38" s="25" t="n"/>
      <c r="L38" s="25" t="n"/>
      <c r="M38" s="25" t="n"/>
    </row>
    <row r="39">
      <c r="A39" s="22">
        <f>IF(C39="","",ROW()-4)</f>
        <v/>
      </c>
      <c r="B39" s="22" t="n"/>
      <c r="C39" s="22" t="n"/>
      <c r="D39" s="22" t="n"/>
      <c r="E39" s="24" t="n"/>
      <c r="F39" s="22" t="n"/>
      <c r="G39" s="22" t="n"/>
      <c r="H39" s="22" t="n"/>
      <c r="I39" s="22" t="n"/>
      <c r="J39" s="22" t="n"/>
      <c r="K39" s="22" t="n"/>
      <c r="L39" s="22" t="n"/>
      <c r="M39" s="22" t="n"/>
    </row>
    <row r="40">
      <c r="A40" s="25">
        <f>IF(C40="","",ROW()-4)</f>
        <v/>
      </c>
      <c r="B40" s="25" t="n"/>
      <c r="C40" s="25" t="n"/>
      <c r="D40" s="25" t="n"/>
      <c r="E40" s="27" t="n"/>
      <c r="F40" s="25" t="n"/>
      <c r="G40" s="25" t="n"/>
      <c r="H40" s="25" t="n"/>
      <c r="I40" s="25" t="n"/>
      <c r="J40" s="25" t="n"/>
      <c r="K40" s="25" t="n"/>
      <c r="L40" s="25" t="n"/>
      <c r="M40" s="25" t="n"/>
    </row>
    <row r="41">
      <c r="A41" s="22">
        <f>IF(C41="","",ROW()-4)</f>
        <v/>
      </c>
      <c r="B41" s="22" t="n"/>
      <c r="C41" s="22" t="n"/>
      <c r="D41" s="22" t="n"/>
      <c r="E41" s="24" t="n"/>
      <c r="F41" s="22" t="n"/>
      <c r="G41" s="22" t="n"/>
      <c r="H41" s="22" t="n"/>
      <c r="I41" s="22" t="n"/>
      <c r="J41" s="22" t="n"/>
      <c r="K41" s="22" t="n"/>
      <c r="L41" s="22" t="n"/>
      <c r="M41" s="22" t="n"/>
    </row>
    <row r="42">
      <c r="A42" s="25">
        <f>IF(C42="","",ROW()-4)</f>
        <v/>
      </c>
      <c r="B42" s="25" t="n"/>
      <c r="C42" s="25" t="n"/>
      <c r="D42" s="25" t="n"/>
      <c r="E42" s="27" t="n"/>
      <c r="F42" s="25" t="n"/>
      <c r="G42" s="25" t="n"/>
      <c r="H42" s="25" t="n"/>
      <c r="I42" s="25" t="n"/>
      <c r="J42" s="25" t="n"/>
      <c r="K42" s="25" t="n"/>
      <c r="L42" s="25" t="n"/>
      <c r="M42" s="25" t="n"/>
    </row>
    <row r="43">
      <c r="A43" s="22">
        <f>IF(C43="","",ROW()-4)</f>
        <v/>
      </c>
      <c r="B43" s="22" t="n"/>
      <c r="C43" s="22" t="n"/>
      <c r="D43" s="22" t="n"/>
      <c r="E43" s="24" t="n"/>
      <c r="F43" s="22" t="n"/>
      <c r="G43" s="22" t="n"/>
      <c r="H43" s="22" t="n"/>
      <c r="I43" s="22" t="n"/>
      <c r="J43" s="22" t="n"/>
      <c r="K43" s="22" t="n"/>
      <c r="L43" s="22" t="n"/>
      <c r="M43" s="22" t="n"/>
    </row>
    <row r="44">
      <c r="A44" s="25">
        <f>IF(C44="","",ROW()-4)</f>
        <v/>
      </c>
      <c r="B44" s="25" t="n"/>
      <c r="C44" s="25" t="n"/>
      <c r="D44" s="25" t="n"/>
      <c r="E44" s="27" t="n"/>
      <c r="F44" s="25" t="n"/>
      <c r="G44" s="25" t="n"/>
      <c r="H44" s="25" t="n"/>
      <c r="I44" s="25" t="n"/>
      <c r="J44" s="25" t="n"/>
      <c r="K44" s="25" t="n"/>
      <c r="L44" s="25" t="n"/>
      <c r="M44" s="25" t="n"/>
    </row>
    <row r="45">
      <c r="A45" s="22">
        <f>IF(C45="","",ROW()-4)</f>
        <v/>
      </c>
      <c r="B45" s="22" t="n"/>
      <c r="C45" s="22" t="n"/>
      <c r="D45" s="22" t="n"/>
      <c r="E45" s="24" t="n"/>
      <c r="F45" s="22" t="n"/>
      <c r="G45" s="22" t="n"/>
      <c r="H45" s="22" t="n"/>
      <c r="I45" s="22" t="n"/>
      <c r="J45" s="22" t="n"/>
      <c r="K45" s="22" t="n"/>
      <c r="L45" s="22" t="n"/>
      <c r="M45" s="22" t="n"/>
    </row>
    <row r="46">
      <c r="A46" s="25">
        <f>IF(C46="","",ROW()-4)</f>
        <v/>
      </c>
      <c r="B46" s="25" t="n"/>
      <c r="C46" s="25" t="n"/>
      <c r="D46" s="25" t="n"/>
      <c r="E46" s="27" t="n"/>
      <c r="F46" s="25" t="n"/>
      <c r="G46" s="25" t="n"/>
      <c r="H46" s="25" t="n"/>
      <c r="I46" s="25" t="n"/>
      <c r="J46" s="25" t="n"/>
      <c r="K46" s="25" t="n"/>
      <c r="L46" s="25" t="n"/>
      <c r="M46" s="25" t="n"/>
    </row>
    <row r="47">
      <c r="A47" s="22">
        <f>IF(C47="","",ROW()-4)</f>
        <v/>
      </c>
      <c r="B47" s="22" t="n"/>
      <c r="C47" s="22" t="n"/>
      <c r="D47" s="22" t="n"/>
      <c r="E47" s="24" t="n"/>
      <c r="F47" s="22" t="n"/>
      <c r="G47" s="22" t="n"/>
      <c r="H47" s="22" t="n"/>
      <c r="I47" s="22" t="n"/>
      <c r="J47" s="22" t="n"/>
      <c r="K47" s="22" t="n"/>
      <c r="L47" s="22" t="n"/>
      <c r="M47" s="22" t="n"/>
    </row>
    <row r="48">
      <c r="A48" s="25">
        <f>IF(C48="","",ROW()-4)</f>
        <v/>
      </c>
      <c r="B48" s="25" t="n"/>
      <c r="C48" s="25" t="n"/>
      <c r="D48" s="25" t="n"/>
      <c r="E48" s="27" t="n"/>
      <c r="F48" s="25" t="n"/>
      <c r="G48" s="25" t="n"/>
      <c r="H48" s="25" t="n"/>
      <c r="I48" s="25" t="n"/>
      <c r="J48" s="25" t="n"/>
      <c r="K48" s="25" t="n"/>
      <c r="L48" s="25" t="n"/>
      <c r="M48" s="25" t="n"/>
    </row>
    <row r="49">
      <c r="A49" s="22">
        <f>IF(C49="","",ROW()-4)</f>
        <v/>
      </c>
      <c r="B49" s="22" t="n"/>
      <c r="C49" s="22" t="n"/>
      <c r="D49" s="22" t="n"/>
      <c r="E49" s="24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>
      <c r="A50" s="25">
        <f>IF(C50="","",ROW()-4)</f>
        <v/>
      </c>
      <c r="B50" s="25" t="n"/>
      <c r="C50" s="25" t="n"/>
      <c r="D50" s="25" t="n"/>
      <c r="E50" s="27" t="n"/>
      <c r="F50" s="25" t="n"/>
      <c r="G50" s="25" t="n"/>
      <c r="H50" s="25" t="n"/>
      <c r="I50" s="25" t="n"/>
      <c r="J50" s="25" t="n"/>
      <c r="K50" s="25" t="n"/>
      <c r="L50" s="25" t="n"/>
      <c r="M50" s="25" t="n"/>
    </row>
    <row r="51">
      <c r="A51" s="22">
        <f>IF(C51="","",ROW()-4)</f>
        <v/>
      </c>
      <c r="B51" s="22" t="n"/>
      <c r="C51" s="22" t="n"/>
      <c r="D51" s="22" t="n"/>
      <c r="E51" s="24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>
      <c r="A52" s="25">
        <f>IF(C52="","",ROW()-4)</f>
        <v/>
      </c>
      <c r="B52" s="25" t="n"/>
      <c r="C52" s="25" t="n"/>
      <c r="D52" s="25" t="n"/>
      <c r="E52" s="27" t="n"/>
      <c r="F52" s="25" t="n"/>
      <c r="G52" s="25" t="n"/>
      <c r="H52" s="25" t="n"/>
      <c r="I52" s="25" t="n"/>
      <c r="J52" s="25" t="n"/>
      <c r="K52" s="25" t="n"/>
      <c r="L52" s="25" t="n"/>
      <c r="M52" s="25" t="n"/>
    </row>
    <row r="53">
      <c r="A53" s="22">
        <f>IF(C53="","",ROW()-4)</f>
        <v/>
      </c>
      <c r="B53" s="22" t="n"/>
      <c r="C53" s="22" t="n"/>
      <c r="D53" s="22" t="n"/>
      <c r="E53" s="24" t="n"/>
      <c r="F53" s="22" t="n"/>
      <c r="G53" s="22" t="n"/>
      <c r="H53" s="22" t="n"/>
      <c r="I53" s="22" t="n"/>
      <c r="J53" s="22" t="n"/>
      <c r="K53" s="22" t="n"/>
      <c r="L53" s="22" t="n"/>
      <c r="M53" s="22" t="n"/>
    </row>
    <row r="54">
      <c r="A54" s="25">
        <f>IF(C54="","",ROW()-4)</f>
        <v/>
      </c>
      <c r="B54" s="25" t="n"/>
      <c r="C54" s="25" t="n"/>
      <c r="D54" s="25" t="n"/>
      <c r="E54" s="27" t="n"/>
      <c r="F54" s="25" t="n"/>
      <c r="G54" s="25" t="n"/>
      <c r="H54" s="25" t="n"/>
      <c r="I54" s="25" t="n"/>
      <c r="J54" s="25" t="n"/>
      <c r="K54" s="25" t="n"/>
      <c r="L54" s="25" t="n"/>
      <c r="M54" s="25" t="n"/>
    </row>
    <row r="55">
      <c r="A55" s="22">
        <f>IF(C55="","",ROW()-4)</f>
        <v/>
      </c>
      <c r="B55" s="22" t="n"/>
      <c r="C55" s="22" t="n"/>
      <c r="D55" s="22" t="n"/>
      <c r="E55" s="24" t="n"/>
      <c r="F55" s="22" t="n"/>
      <c r="G55" s="22" t="n"/>
      <c r="H55" s="22" t="n"/>
      <c r="I55" s="22" t="n"/>
      <c r="J55" s="22" t="n"/>
      <c r="K55" s="22" t="n"/>
      <c r="L55" s="22" t="n"/>
      <c r="M55" s="22" t="n"/>
    </row>
    <row r="56">
      <c r="A56" s="25">
        <f>IF(C56="","",ROW()-4)</f>
        <v/>
      </c>
      <c r="B56" s="25" t="n"/>
      <c r="C56" s="25" t="n"/>
      <c r="D56" s="25" t="n"/>
      <c r="E56" s="27" t="n"/>
      <c r="F56" s="25" t="n"/>
      <c r="G56" s="25" t="n"/>
      <c r="H56" s="25" t="n"/>
      <c r="I56" s="25" t="n"/>
      <c r="J56" s="25" t="n"/>
      <c r="K56" s="25" t="n"/>
      <c r="L56" s="25" t="n"/>
      <c r="M56" s="25" t="n"/>
    </row>
    <row r="57">
      <c r="A57" s="22">
        <f>IF(C57="","",ROW()-4)</f>
        <v/>
      </c>
      <c r="B57" s="22" t="n"/>
      <c r="C57" s="22" t="n"/>
      <c r="D57" s="22" t="n"/>
      <c r="E57" s="24" t="n"/>
      <c r="F57" s="22" t="n"/>
      <c r="G57" s="22" t="n"/>
      <c r="H57" s="22" t="n"/>
      <c r="I57" s="22" t="n"/>
      <c r="J57" s="22" t="n"/>
      <c r="K57" s="22" t="n"/>
      <c r="L57" s="22" t="n"/>
      <c r="M57" s="22" t="n"/>
    </row>
    <row r="58">
      <c r="A58" s="25">
        <f>IF(C58="","",ROW()-4)</f>
        <v/>
      </c>
      <c r="B58" s="25" t="n"/>
      <c r="C58" s="25" t="n"/>
      <c r="D58" s="25" t="n"/>
      <c r="E58" s="27" t="n"/>
      <c r="F58" s="25" t="n"/>
      <c r="G58" s="25" t="n"/>
      <c r="H58" s="25" t="n"/>
      <c r="I58" s="25" t="n"/>
      <c r="J58" s="25" t="n"/>
      <c r="K58" s="25" t="n"/>
      <c r="L58" s="25" t="n"/>
      <c r="M58" s="25" t="n"/>
    </row>
    <row r="59">
      <c r="A59" s="22">
        <f>IF(C59="","",ROW()-4)</f>
        <v/>
      </c>
      <c r="B59" s="22" t="n"/>
      <c r="C59" s="22" t="n"/>
      <c r="D59" s="22" t="n"/>
      <c r="E59" s="24" t="n"/>
      <c r="F59" s="22" t="n"/>
      <c r="G59" s="22" t="n"/>
      <c r="H59" s="22" t="n"/>
      <c r="I59" s="22" t="n"/>
      <c r="J59" s="22" t="n"/>
      <c r="K59" s="22" t="n"/>
      <c r="L59" s="22" t="n"/>
      <c r="M59" s="22" t="n"/>
    </row>
    <row r="60">
      <c r="A60" s="25">
        <f>IF(C60="","",ROW()-4)</f>
        <v/>
      </c>
      <c r="B60" s="25" t="n"/>
      <c r="C60" s="25" t="n"/>
      <c r="D60" s="25" t="n"/>
      <c r="E60" s="27" t="n"/>
      <c r="F60" s="25" t="n"/>
      <c r="G60" s="25" t="n"/>
      <c r="H60" s="25" t="n"/>
      <c r="I60" s="25" t="n"/>
      <c r="J60" s="25" t="n"/>
      <c r="K60" s="25" t="n"/>
      <c r="L60" s="25" t="n"/>
      <c r="M60" s="25" t="n"/>
    </row>
    <row r="61">
      <c r="A61" s="22">
        <f>IF(C61="","",ROW()-4)</f>
        <v/>
      </c>
      <c r="B61" s="22" t="n"/>
      <c r="C61" s="22" t="n"/>
      <c r="D61" s="22" t="n"/>
      <c r="E61" s="24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>
      <c r="A62" s="25">
        <f>IF(C62="","",ROW()-4)</f>
        <v/>
      </c>
      <c r="B62" s="25" t="n"/>
      <c r="C62" s="25" t="n"/>
      <c r="D62" s="25" t="n"/>
      <c r="E62" s="27" t="n"/>
      <c r="F62" s="25" t="n"/>
      <c r="G62" s="25" t="n"/>
      <c r="H62" s="25" t="n"/>
      <c r="I62" s="25" t="n"/>
      <c r="J62" s="25" t="n"/>
      <c r="K62" s="25" t="n"/>
      <c r="L62" s="25" t="n"/>
      <c r="M62" s="25" t="n"/>
    </row>
    <row r="63">
      <c r="A63" s="22">
        <f>IF(C63="","",ROW()-4)</f>
        <v/>
      </c>
      <c r="B63" s="22" t="n"/>
      <c r="C63" s="22" t="n"/>
      <c r="D63" s="22" t="n"/>
      <c r="E63" s="24" t="n"/>
      <c r="F63" s="22" t="n"/>
      <c r="G63" s="22" t="n"/>
      <c r="H63" s="22" t="n"/>
      <c r="I63" s="22" t="n"/>
      <c r="J63" s="22" t="n"/>
      <c r="K63" s="22" t="n"/>
      <c r="L63" s="22" t="n"/>
      <c r="M63" s="22" t="n"/>
    </row>
    <row r="64">
      <c r="A64" s="25">
        <f>IF(C64="","",ROW()-4)</f>
        <v/>
      </c>
      <c r="B64" s="25" t="n"/>
      <c r="C64" s="25" t="n"/>
      <c r="D64" s="25" t="n"/>
      <c r="E64" s="27" t="n"/>
      <c r="F64" s="25" t="n"/>
      <c r="G64" s="25" t="n"/>
      <c r="H64" s="25" t="n"/>
      <c r="I64" s="25" t="n"/>
      <c r="J64" s="25" t="n"/>
      <c r="K64" s="25" t="n"/>
      <c r="L64" s="25" t="n"/>
      <c r="M64" s="25" t="n"/>
    </row>
    <row r="65">
      <c r="A65" s="22">
        <f>IF(C65="","",ROW()-4)</f>
        <v/>
      </c>
      <c r="B65" s="22" t="n"/>
      <c r="C65" s="22" t="n"/>
      <c r="D65" s="22" t="n"/>
      <c r="E65" s="24" t="n"/>
      <c r="F65" s="22" t="n"/>
      <c r="G65" s="22" t="n"/>
      <c r="H65" s="22" t="n"/>
      <c r="I65" s="22" t="n"/>
      <c r="J65" s="22" t="n"/>
      <c r="K65" s="22" t="n"/>
      <c r="L65" s="22" t="n"/>
      <c r="M65" s="22" t="n"/>
    </row>
    <row r="66">
      <c r="A66" s="25">
        <f>IF(C66="","",ROW()-4)</f>
        <v/>
      </c>
      <c r="B66" s="25" t="n"/>
      <c r="C66" s="25" t="n"/>
      <c r="D66" s="25" t="n"/>
      <c r="E66" s="27" t="n"/>
      <c r="F66" s="25" t="n"/>
      <c r="G66" s="25" t="n"/>
      <c r="H66" s="25" t="n"/>
      <c r="I66" s="25" t="n"/>
      <c r="J66" s="25" t="n"/>
      <c r="K66" s="25" t="n"/>
      <c r="L66" s="25" t="n"/>
      <c r="M66" s="25" t="n"/>
    </row>
    <row r="67">
      <c r="A67" s="22">
        <f>IF(C67="","",ROW()-4)</f>
        <v/>
      </c>
      <c r="B67" s="22" t="n"/>
      <c r="C67" s="22" t="n"/>
      <c r="D67" s="22" t="n"/>
      <c r="E67" s="24" t="n"/>
      <c r="F67" s="22" t="n"/>
      <c r="G67" s="22" t="n"/>
      <c r="H67" s="22" t="n"/>
      <c r="I67" s="22" t="n"/>
      <c r="J67" s="22" t="n"/>
      <c r="K67" s="22" t="n"/>
      <c r="L67" s="22" t="n"/>
      <c r="M67" s="22" t="n"/>
    </row>
    <row r="68">
      <c r="A68" s="25">
        <f>IF(C68="","",ROW()-4)</f>
        <v/>
      </c>
      <c r="B68" s="25" t="n"/>
      <c r="C68" s="25" t="n"/>
      <c r="D68" s="25" t="n"/>
      <c r="E68" s="27" t="n"/>
      <c r="F68" s="25" t="n"/>
      <c r="G68" s="25" t="n"/>
      <c r="H68" s="25" t="n"/>
      <c r="I68" s="25" t="n"/>
      <c r="J68" s="25" t="n"/>
      <c r="K68" s="25" t="n"/>
      <c r="L68" s="25" t="n"/>
      <c r="M68" s="25" t="n"/>
    </row>
    <row r="69">
      <c r="A69" s="22">
        <f>IF(C69="","",ROW()-4)</f>
        <v/>
      </c>
      <c r="B69" s="22" t="n"/>
      <c r="C69" s="22" t="n"/>
      <c r="D69" s="22" t="n"/>
      <c r="E69" s="24" t="n"/>
      <c r="F69" s="22" t="n"/>
      <c r="G69" s="22" t="n"/>
      <c r="H69" s="22" t="n"/>
      <c r="I69" s="22" t="n"/>
      <c r="J69" s="22" t="n"/>
      <c r="K69" s="22" t="n"/>
      <c r="L69" s="22" t="n"/>
      <c r="M69" s="22" t="n"/>
    </row>
    <row r="70">
      <c r="A70" s="25">
        <f>IF(C70="","",ROW()-4)</f>
        <v/>
      </c>
      <c r="B70" s="25" t="n"/>
      <c r="C70" s="25" t="n"/>
      <c r="D70" s="25" t="n"/>
      <c r="E70" s="27" t="n"/>
      <c r="F70" s="25" t="n"/>
      <c r="G70" s="25" t="n"/>
      <c r="H70" s="25" t="n"/>
      <c r="I70" s="25" t="n"/>
      <c r="J70" s="25" t="n"/>
      <c r="K70" s="25" t="n"/>
      <c r="L70" s="25" t="n"/>
      <c r="M70" s="25" t="n"/>
    </row>
    <row r="71">
      <c r="A71" s="22">
        <f>IF(C71="","",ROW()-4)</f>
        <v/>
      </c>
      <c r="B71" s="22" t="n"/>
      <c r="C71" s="22" t="n"/>
      <c r="D71" s="22" t="n"/>
      <c r="E71" s="24" t="n"/>
      <c r="F71" s="22" t="n"/>
      <c r="G71" s="22" t="n"/>
      <c r="H71" s="22" t="n"/>
      <c r="I71" s="22" t="n"/>
      <c r="J71" s="22" t="n"/>
      <c r="K71" s="22" t="n"/>
      <c r="L71" s="22" t="n"/>
      <c r="M71" s="22" t="n"/>
    </row>
    <row r="72">
      <c r="A72" s="25">
        <f>IF(C72="","",ROW()-4)</f>
        <v/>
      </c>
      <c r="B72" s="25" t="n"/>
      <c r="C72" s="25" t="n"/>
      <c r="D72" s="25" t="n"/>
      <c r="E72" s="27" t="n"/>
      <c r="F72" s="25" t="n"/>
      <c r="G72" s="25" t="n"/>
      <c r="H72" s="25" t="n"/>
      <c r="I72" s="25" t="n"/>
      <c r="J72" s="25" t="n"/>
      <c r="K72" s="25" t="n"/>
      <c r="L72" s="25" t="n"/>
      <c r="M72" s="25" t="n"/>
    </row>
    <row r="73">
      <c r="A73" s="22">
        <f>IF(C73="","",ROW()-4)</f>
        <v/>
      </c>
      <c r="B73" s="22" t="n"/>
      <c r="C73" s="22" t="n"/>
      <c r="D73" s="22" t="n"/>
      <c r="E73" s="24" t="n"/>
      <c r="F73" s="22" t="n"/>
      <c r="G73" s="22" t="n"/>
      <c r="H73" s="22" t="n"/>
      <c r="I73" s="22" t="n"/>
      <c r="J73" s="22" t="n"/>
      <c r="K73" s="22" t="n"/>
      <c r="L73" s="22" t="n"/>
      <c r="M73" s="22" t="n"/>
    </row>
    <row r="74">
      <c r="A74" s="25">
        <f>IF(C74="","",ROW()-4)</f>
        <v/>
      </c>
      <c r="B74" s="25" t="n"/>
      <c r="C74" s="25" t="n"/>
      <c r="D74" s="25" t="n"/>
      <c r="E74" s="27" t="n"/>
      <c r="F74" s="25" t="n"/>
      <c r="G74" s="25" t="n"/>
      <c r="H74" s="25" t="n"/>
      <c r="I74" s="25" t="n"/>
      <c r="J74" s="25" t="n"/>
      <c r="K74" s="25" t="n"/>
      <c r="L74" s="25" t="n"/>
      <c r="M74" s="25" t="n"/>
    </row>
    <row r="75">
      <c r="A75" s="22">
        <f>IF(C75="","",ROW()-4)</f>
        <v/>
      </c>
      <c r="B75" s="22" t="n"/>
      <c r="C75" s="22" t="n"/>
      <c r="D75" s="22" t="n"/>
      <c r="E75" s="24" t="n"/>
      <c r="F75" s="22" t="n"/>
      <c r="G75" s="22" t="n"/>
      <c r="H75" s="22" t="n"/>
      <c r="I75" s="22" t="n"/>
      <c r="J75" s="22" t="n"/>
      <c r="K75" s="22" t="n"/>
      <c r="L75" s="22" t="n"/>
      <c r="M75" s="22" t="n"/>
    </row>
    <row r="76">
      <c r="A76" s="25">
        <f>IF(C76="","",ROW()-4)</f>
        <v/>
      </c>
      <c r="B76" s="25" t="n"/>
      <c r="C76" s="25" t="n"/>
      <c r="D76" s="25" t="n"/>
      <c r="E76" s="27" t="n"/>
      <c r="F76" s="25" t="n"/>
      <c r="G76" s="25" t="n"/>
      <c r="H76" s="25" t="n"/>
      <c r="I76" s="25" t="n"/>
      <c r="J76" s="25" t="n"/>
      <c r="K76" s="25" t="n"/>
      <c r="L76" s="25" t="n"/>
      <c r="M76" s="25" t="n"/>
    </row>
    <row r="77">
      <c r="A77" s="22">
        <f>IF(C77="","",ROW()-4)</f>
        <v/>
      </c>
      <c r="B77" s="22" t="n"/>
      <c r="C77" s="22" t="n"/>
      <c r="D77" s="22" t="n"/>
      <c r="E77" s="24" t="n"/>
      <c r="F77" s="22" t="n"/>
      <c r="G77" s="22" t="n"/>
      <c r="H77" s="22" t="n"/>
      <c r="I77" s="22" t="n"/>
      <c r="J77" s="22" t="n"/>
      <c r="K77" s="22" t="n"/>
      <c r="L77" s="22" t="n"/>
      <c r="M77" s="22" t="n"/>
    </row>
    <row r="78">
      <c r="A78" s="25">
        <f>IF(C78="","",ROW()-4)</f>
        <v/>
      </c>
      <c r="B78" s="25" t="n"/>
      <c r="C78" s="25" t="n"/>
      <c r="D78" s="25" t="n"/>
      <c r="E78" s="27" t="n"/>
      <c r="F78" s="25" t="n"/>
      <c r="G78" s="25" t="n"/>
      <c r="H78" s="25" t="n"/>
      <c r="I78" s="25" t="n"/>
      <c r="J78" s="25" t="n"/>
      <c r="K78" s="25" t="n"/>
      <c r="L78" s="25" t="n"/>
      <c r="M78" s="25" t="n"/>
    </row>
    <row r="79">
      <c r="A79" s="22">
        <f>IF(C79="","",ROW()-4)</f>
        <v/>
      </c>
      <c r="B79" s="22" t="n"/>
      <c r="C79" s="22" t="n"/>
      <c r="D79" s="22" t="n"/>
      <c r="E79" s="24" t="n"/>
      <c r="F79" s="22" t="n"/>
      <c r="G79" s="22" t="n"/>
      <c r="H79" s="22" t="n"/>
      <c r="I79" s="22" t="n"/>
      <c r="J79" s="22" t="n"/>
      <c r="K79" s="22" t="n"/>
      <c r="L79" s="22" t="n"/>
      <c r="M79" s="22" t="n"/>
    </row>
    <row r="80">
      <c r="A80" s="25">
        <f>IF(C80="","",ROW()-4)</f>
        <v/>
      </c>
      <c r="B80" s="25" t="n"/>
      <c r="C80" s="25" t="n"/>
      <c r="D80" s="25" t="n"/>
      <c r="E80" s="27" t="n"/>
      <c r="F80" s="25" t="n"/>
      <c r="G80" s="25" t="n"/>
      <c r="H80" s="25" t="n"/>
      <c r="I80" s="25" t="n"/>
      <c r="J80" s="25" t="n"/>
      <c r="K80" s="25" t="n"/>
      <c r="L80" s="25" t="n"/>
      <c r="M80" s="25" t="n"/>
    </row>
    <row r="81">
      <c r="A81" s="22">
        <f>IF(C81="","",ROW()-4)</f>
        <v/>
      </c>
      <c r="B81" s="22" t="n"/>
      <c r="C81" s="22" t="n"/>
      <c r="D81" s="22" t="n"/>
      <c r="E81" s="24" t="n"/>
      <c r="F81" s="22" t="n"/>
      <c r="G81" s="22" t="n"/>
      <c r="H81" s="22" t="n"/>
      <c r="I81" s="22" t="n"/>
      <c r="J81" s="22" t="n"/>
      <c r="K81" s="22" t="n"/>
      <c r="L81" s="22" t="n"/>
      <c r="M81" s="22" t="n"/>
    </row>
    <row r="82">
      <c r="A82" s="25">
        <f>IF(C82="","",ROW()-4)</f>
        <v/>
      </c>
      <c r="B82" s="25" t="n"/>
      <c r="C82" s="25" t="n"/>
      <c r="D82" s="25" t="n"/>
      <c r="E82" s="27" t="n"/>
      <c r="F82" s="25" t="n"/>
      <c r="G82" s="25" t="n"/>
      <c r="H82" s="25" t="n"/>
      <c r="I82" s="25" t="n"/>
      <c r="J82" s="25" t="n"/>
      <c r="K82" s="25" t="n"/>
      <c r="L82" s="25" t="n"/>
      <c r="M82" s="25" t="n"/>
    </row>
    <row r="83">
      <c r="A83" s="22">
        <f>IF(C83="","",ROW()-4)</f>
        <v/>
      </c>
      <c r="B83" s="22" t="n"/>
      <c r="C83" s="22" t="n"/>
      <c r="D83" s="22" t="n"/>
      <c r="E83" s="24" t="n"/>
      <c r="F83" s="22" t="n"/>
      <c r="G83" s="22" t="n"/>
      <c r="H83" s="22" t="n"/>
      <c r="I83" s="22" t="n"/>
      <c r="J83" s="22" t="n"/>
      <c r="K83" s="22" t="n"/>
      <c r="L83" s="22" t="n"/>
      <c r="M83" s="22" t="n"/>
    </row>
    <row r="84">
      <c r="A84" s="25">
        <f>IF(C84="","",ROW()-4)</f>
        <v/>
      </c>
      <c r="B84" s="25" t="n"/>
      <c r="C84" s="25" t="n"/>
      <c r="D84" s="25" t="n"/>
      <c r="E84" s="27" t="n"/>
      <c r="F84" s="25" t="n"/>
      <c r="G84" s="25" t="n"/>
      <c r="H84" s="25" t="n"/>
      <c r="I84" s="25" t="n"/>
      <c r="J84" s="25" t="n"/>
      <c r="K84" s="25" t="n"/>
      <c r="L84" s="25" t="n"/>
      <c r="M84" s="25" t="n"/>
    </row>
    <row r="85">
      <c r="A85" s="22">
        <f>IF(C85="","",ROW()-4)</f>
        <v/>
      </c>
      <c r="B85" s="22" t="n"/>
      <c r="C85" s="22" t="n"/>
      <c r="D85" s="22" t="n"/>
      <c r="E85" s="24" t="n"/>
      <c r="F85" s="22" t="n"/>
      <c r="G85" s="22" t="n"/>
      <c r="H85" s="22" t="n"/>
      <c r="I85" s="22" t="n"/>
      <c r="J85" s="22" t="n"/>
      <c r="K85" s="22" t="n"/>
      <c r="L85" s="22" t="n"/>
      <c r="M85" s="22" t="n"/>
    </row>
    <row r="86">
      <c r="A86" s="25">
        <f>IF(C86="","",ROW()-4)</f>
        <v/>
      </c>
      <c r="B86" s="25" t="n"/>
      <c r="C86" s="25" t="n"/>
      <c r="D86" s="25" t="n"/>
      <c r="E86" s="27" t="n"/>
      <c r="F86" s="25" t="n"/>
      <c r="G86" s="25" t="n"/>
      <c r="H86" s="25" t="n"/>
      <c r="I86" s="25" t="n"/>
      <c r="J86" s="25" t="n"/>
      <c r="K86" s="25" t="n"/>
      <c r="L86" s="25" t="n"/>
      <c r="M86" s="25" t="n"/>
    </row>
    <row r="87">
      <c r="A87" s="22">
        <f>IF(C87="","",ROW()-4)</f>
        <v/>
      </c>
      <c r="B87" s="22" t="n"/>
      <c r="C87" s="22" t="n"/>
      <c r="D87" s="22" t="n"/>
      <c r="E87" s="24" t="n"/>
      <c r="F87" s="22" t="n"/>
      <c r="G87" s="22" t="n"/>
      <c r="H87" s="22" t="n"/>
      <c r="I87" s="22" t="n"/>
      <c r="J87" s="22" t="n"/>
      <c r="K87" s="22" t="n"/>
      <c r="L87" s="22" t="n"/>
      <c r="M87" s="22" t="n"/>
    </row>
    <row r="88">
      <c r="A88" s="25">
        <f>IF(C88="","",ROW()-4)</f>
        <v/>
      </c>
      <c r="B88" s="25" t="n"/>
      <c r="C88" s="25" t="n"/>
      <c r="D88" s="25" t="n"/>
      <c r="E88" s="27" t="n"/>
      <c r="F88" s="25" t="n"/>
      <c r="G88" s="25" t="n"/>
      <c r="H88" s="25" t="n"/>
      <c r="I88" s="25" t="n"/>
      <c r="J88" s="25" t="n"/>
      <c r="K88" s="25" t="n"/>
      <c r="L88" s="25" t="n"/>
      <c r="M88" s="25" t="n"/>
    </row>
    <row r="89">
      <c r="A89" s="22">
        <f>IF(C89="","",ROW()-4)</f>
        <v/>
      </c>
      <c r="B89" s="22" t="n"/>
      <c r="C89" s="22" t="n"/>
      <c r="D89" s="22" t="n"/>
      <c r="E89" s="24" t="n"/>
      <c r="F89" s="22" t="n"/>
      <c r="G89" s="22" t="n"/>
      <c r="H89" s="22" t="n"/>
      <c r="I89" s="22" t="n"/>
      <c r="J89" s="22" t="n"/>
      <c r="K89" s="22" t="n"/>
      <c r="L89" s="22" t="n"/>
      <c r="M89" s="22" t="n"/>
    </row>
    <row r="90">
      <c r="A90" s="25">
        <f>IF(C90="","",ROW()-4)</f>
        <v/>
      </c>
      <c r="B90" s="25" t="n"/>
      <c r="C90" s="25" t="n"/>
      <c r="D90" s="25" t="n"/>
      <c r="E90" s="27" t="n"/>
      <c r="F90" s="25" t="n"/>
      <c r="G90" s="25" t="n"/>
      <c r="H90" s="25" t="n"/>
      <c r="I90" s="25" t="n"/>
      <c r="J90" s="25" t="n"/>
      <c r="K90" s="25" t="n"/>
      <c r="L90" s="25" t="n"/>
      <c r="M90" s="25" t="n"/>
    </row>
    <row r="91">
      <c r="A91" s="22">
        <f>IF(C91="","",ROW()-4)</f>
        <v/>
      </c>
      <c r="B91" s="22" t="n"/>
      <c r="C91" s="22" t="n"/>
      <c r="D91" s="22" t="n"/>
      <c r="E91" s="24" t="n"/>
      <c r="F91" s="22" t="n"/>
      <c r="G91" s="22" t="n"/>
      <c r="H91" s="22" t="n"/>
      <c r="I91" s="22" t="n"/>
      <c r="J91" s="22" t="n"/>
      <c r="K91" s="22" t="n"/>
      <c r="L91" s="22" t="n"/>
      <c r="M91" s="22" t="n"/>
    </row>
    <row r="92">
      <c r="A92" s="25">
        <f>IF(C92="","",ROW()-4)</f>
        <v/>
      </c>
      <c r="B92" s="25" t="n"/>
      <c r="C92" s="25" t="n"/>
      <c r="D92" s="25" t="n"/>
      <c r="E92" s="27" t="n"/>
      <c r="F92" s="25" t="n"/>
      <c r="G92" s="25" t="n"/>
      <c r="H92" s="25" t="n"/>
      <c r="I92" s="25" t="n"/>
      <c r="J92" s="25" t="n"/>
      <c r="K92" s="25" t="n"/>
      <c r="L92" s="25" t="n"/>
      <c r="M92" s="25" t="n"/>
    </row>
    <row r="93">
      <c r="A93" s="22">
        <f>IF(C93="","",ROW()-4)</f>
        <v/>
      </c>
      <c r="B93" s="22" t="n"/>
      <c r="C93" s="22" t="n"/>
      <c r="D93" s="22" t="n"/>
      <c r="E93" s="24" t="n"/>
      <c r="F93" s="22" t="n"/>
      <c r="G93" s="22" t="n"/>
      <c r="H93" s="22" t="n"/>
      <c r="I93" s="22" t="n"/>
      <c r="J93" s="22" t="n"/>
      <c r="K93" s="22" t="n"/>
      <c r="L93" s="22" t="n"/>
      <c r="M93" s="22" t="n"/>
    </row>
    <row r="94">
      <c r="A94" s="25">
        <f>IF(C94="","",ROW()-4)</f>
        <v/>
      </c>
      <c r="B94" s="25" t="n"/>
      <c r="C94" s="25" t="n"/>
      <c r="D94" s="25" t="n"/>
      <c r="E94" s="27" t="n"/>
      <c r="F94" s="25" t="n"/>
      <c r="G94" s="25" t="n"/>
      <c r="H94" s="25" t="n"/>
      <c r="I94" s="25" t="n"/>
      <c r="J94" s="25" t="n"/>
      <c r="K94" s="25" t="n"/>
      <c r="L94" s="25" t="n"/>
      <c r="M94" s="25" t="n"/>
    </row>
    <row r="95">
      <c r="A95" s="22">
        <f>IF(C95="","",ROW()-4)</f>
        <v/>
      </c>
      <c r="B95" s="22" t="n"/>
      <c r="C95" s="22" t="n"/>
      <c r="D95" s="22" t="n"/>
      <c r="E95" s="24" t="n"/>
      <c r="F95" s="22" t="n"/>
      <c r="G95" s="22" t="n"/>
      <c r="H95" s="22" t="n"/>
      <c r="I95" s="22" t="n"/>
      <c r="J95" s="22" t="n"/>
      <c r="K95" s="22" t="n"/>
      <c r="L95" s="22" t="n"/>
      <c r="M95" s="22" t="n"/>
    </row>
    <row r="96">
      <c r="A96" s="25">
        <f>IF(C96="","",ROW()-4)</f>
        <v/>
      </c>
      <c r="B96" s="25" t="n"/>
      <c r="C96" s="25" t="n"/>
      <c r="D96" s="25" t="n"/>
      <c r="E96" s="27" t="n"/>
      <c r="F96" s="25" t="n"/>
      <c r="G96" s="25" t="n"/>
      <c r="H96" s="25" t="n"/>
      <c r="I96" s="25" t="n"/>
      <c r="J96" s="25" t="n"/>
      <c r="K96" s="25" t="n"/>
      <c r="L96" s="25" t="n"/>
      <c r="M96" s="25" t="n"/>
    </row>
    <row r="97">
      <c r="A97" s="22">
        <f>IF(C97="","",ROW()-4)</f>
        <v/>
      </c>
      <c r="B97" s="22" t="n"/>
      <c r="C97" s="22" t="n"/>
      <c r="D97" s="22" t="n"/>
      <c r="E97" s="24" t="n"/>
      <c r="F97" s="22" t="n"/>
      <c r="G97" s="22" t="n"/>
      <c r="H97" s="22" t="n"/>
      <c r="I97" s="22" t="n"/>
      <c r="J97" s="22" t="n"/>
      <c r="K97" s="22" t="n"/>
      <c r="L97" s="22" t="n"/>
      <c r="M97" s="22" t="n"/>
    </row>
    <row r="98">
      <c r="A98" s="25">
        <f>IF(C98="","",ROW()-4)</f>
        <v/>
      </c>
      <c r="B98" s="25" t="n"/>
      <c r="C98" s="25" t="n"/>
      <c r="D98" s="25" t="n"/>
      <c r="E98" s="27" t="n"/>
      <c r="F98" s="25" t="n"/>
      <c r="G98" s="25" t="n"/>
      <c r="H98" s="25" t="n"/>
      <c r="I98" s="25" t="n"/>
      <c r="J98" s="25" t="n"/>
      <c r="K98" s="25" t="n"/>
      <c r="L98" s="25" t="n"/>
      <c r="M98" s="25" t="n"/>
    </row>
    <row r="99">
      <c r="A99" s="22">
        <f>IF(C99="","",ROW()-4)</f>
        <v/>
      </c>
      <c r="B99" s="22" t="n"/>
      <c r="C99" s="22" t="n"/>
      <c r="D99" s="22" t="n"/>
      <c r="E99" s="24" t="n"/>
      <c r="F99" s="22" t="n"/>
      <c r="G99" s="22" t="n"/>
      <c r="H99" s="22" t="n"/>
      <c r="I99" s="22" t="n"/>
      <c r="J99" s="22" t="n"/>
      <c r="K99" s="22" t="n"/>
      <c r="L99" s="22" t="n"/>
      <c r="M99" s="22" t="n"/>
    </row>
    <row r="100">
      <c r="A100" s="25">
        <f>IF(C100="","",ROW()-4)</f>
        <v/>
      </c>
      <c r="B100" s="25" t="n"/>
      <c r="C100" s="25" t="n"/>
      <c r="D100" s="25" t="n"/>
      <c r="E100" s="27" t="n"/>
      <c r="F100" s="25" t="n"/>
      <c r="G100" s="25" t="n"/>
      <c r="H100" s="25" t="n"/>
      <c r="I100" s="25" t="n"/>
      <c r="J100" s="25" t="n"/>
      <c r="K100" s="25" t="n"/>
      <c r="L100" s="25" t="n"/>
      <c r="M100" s="25" t="n"/>
    </row>
    <row r="101">
      <c r="A101" s="22">
        <f>IF(C101="","",ROW()-4)</f>
        <v/>
      </c>
      <c r="B101" s="22" t="n"/>
      <c r="C101" s="22" t="n"/>
      <c r="D101" s="22" t="n"/>
      <c r="E101" s="24" t="n"/>
      <c r="F101" s="22" t="n"/>
      <c r="G101" s="22" t="n"/>
      <c r="H101" s="22" t="n"/>
      <c r="I101" s="22" t="n"/>
      <c r="J101" s="22" t="n"/>
      <c r="K101" s="22" t="n"/>
      <c r="L101" s="22" t="n"/>
      <c r="M101" s="22" t="n"/>
    </row>
    <row r="102">
      <c r="A102" s="25">
        <f>IF(C102="","",ROW()-4)</f>
        <v/>
      </c>
      <c r="B102" s="25" t="n"/>
      <c r="C102" s="25" t="n"/>
      <c r="D102" s="25" t="n"/>
      <c r="E102" s="27" t="n"/>
      <c r="F102" s="25" t="n"/>
      <c r="G102" s="25" t="n"/>
      <c r="H102" s="25" t="n"/>
      <c r="I102" s="25" t="n"/>
      <c r="J102" s="25" t="n"/>
      <c r="K102" s="25" t="n"/>
      <c r="L102" s="25" t="n"/>
      <c r="M102" s="25" t="n"/>
    </row>
    <row r="103">
      <c r="A103" s="22">
        <f>IF(C103="","",ROW()-4)</f>
        <v/>
      </c>
      <c r="B103" s="22" t="n"/>
      <c r="C103" s="22" t="n"/>
      <c r="D103" s="22" t="n"/>
      <c r="E103" s="24" t="n"/>
      <c r="F103" s="22" t="n"/>
      <c r="G103" s="22" t="n"/>
      <c r="H103" s="22" t="n"/>
      <c r="I103" s="22" t="n"/>
      <c r="J103" s="22" t="n"/>
      <c r="K103" s="22" t="n"/>
      <c r="L103" s="22" t="n"/>
      <c r="M103" s="22" t="n"/>
    </row>
    <row r="104">
      <c r="A104" s="25">
        <f>IF(C104="","",ROW()-4)</f>
        <v/>
      </c>
      <c r="B104" s="25" t="n"/>
      <c r="C104" s="25" t="n"/>
      <c r="D104" s="25" t="n"/>
      <c r="E104" s="27" t="n"/>
      <c r="F104" s="25" t="n"/>
      <c r="G104" s="25" t="n"/>
      <c r="H104" s="25" t="n"/>
      <c r="I104" s="25" t="n"/>
      <c r="J104" s="25" t="n"/>
      <c r="K104" s="25" t="n"/>
      <c r="L104" s="25" t="n"/>
      <c r="M104" s="25" t="n"/>
    </row>
  </sheetData>
  <autoFilter ref="A4:M104"/>
  <mergeCells count="2">
    <mergeCell ref="A2:M2"/>
    <mergeCell ref="A1:M1"/>
  </mergeCells>
  <conditionalFormatting sqref="L5:L104">
    <cfRule type="cellIs" priority="1" operator="equal" dxfId="0">
      <formula>"Not started"</formula>
    </cfRule>
    <cfRule type="cellIs" priority="2" operator="equal" dxfId="5">
      <formula>"In progress"</formula>
    </cfRule>
    <cfRule type="cellIs" priority="3" operator="equal" dxfId="3">
      <formula>"Done"</formula>
    </cfRule>
  </conditionalFormatting>
  <conditionalFormatting sqref="K5:K104">
    <cfRule type="cellIs" priority="4" operator="equal" dxfId="3">
      <formula>"Positive"</formula>
    </cfRule>
    <cfRule type="cellIs" priority="5" operator="equal" dxfId="4">
      <formula>"Negative"</formula>
    </cfRule>
    <cfRule type="cellIs" priority="6" operator="equal" dxfId="0">
      <formula>"Mixed"</formula>
    </cfRule>
    <cfRule type="cellIs" priority="7" operator="equal" dxfId="5">
      <formula>"Null"</formula>
    </cfRule>
    <cfRule type="cellIs" priority="8" operator="equal" dxfId="0">
      <formula>"Unclear"</formula>
    </cfRule>
  </conditionalFormatting>
  <dataValidations count="3">
    <dataValidation sqref="D5:D104" showDropDown="0" showInputMessage="0" showErrorMessage="0" allowBlank="1" type="list">
      <formula1>Lists!$F$1:$F$9</formula1>
    </dataValidation>
    <dataValidation sqref="K5:K104" showDropDown="0" showInputMessage="0" showErrorMessage="0" allowBlank="1" type="list">
      <formula1>Lists!$G$1:$G$5</formula1>
    </dataValidation>
    <dataValidation sqref="L5:L104" showDropDown="0" showInputMessage="0" showErrorMessage="0" allowBlank="1" type="list">
      <formula1>Lists!$H$1:$H$3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44" customWidth="1" min="10" max="10"/>
  </cols>
  <sheetData>
    <row r="1" ht="26" customHeight="1">
      <c r="A1" s="7" t="inlineStr">
        <is>
          <t>Appraisal</t>
        </is>
      </c>
    </row>
    <row r="2" ht="28" customHeight="1">
      <c r="A2" s="8" t="inlineStr">
        <is>
          <t>Generic domain structure inspired by common appraisal approaches — NOT a substitute for validated instruments (RoB 2, ROBINS-I, CASP, JBI). Record the tool you actually used; Overall is your judgement, never a formula.</t>
        </is>
      </c>
    </row>
    <row r="4" ht="30" customHeight="1">
      <c r="A4" s="21" t="inlineStr">
        <is>
          <t>#</t>
        </is>
      </c>
      <c r="B4" s="21" t="inlineStr">
        <is>
          <t>Study ID</t>
        </is>
      </c>
      <c r="C4" s="21" t="inlineStr">
        <is>
          <t>Author (Year)</t>
        </is>
      </c>
      <c r="D4" s="21" t="inlineStr">
        <is>
          <t>Appraisal tool used (e.g. RoB 2, ROBINS-I, CASP, JBI)</t>
        </is>
      </c>
      <c r="E4" s="21" t="inlineStr">
        <is>
          <t>D1 Selection &amp; sampling</t>
        </is>
      </c>
      <c r="F4" s="21" t="inlineStr">
        <is>
          <t>D2 Measurement &amp; data</t>
        </is>
      </c>
      <c r="G4" s="21" t="inlineStr">
        <is>
          <t>D3 Confounding &amp; bias control</t>
        </is>
      </c>
      <c r="H4" s="21" t="inlineStr">
        <is>
          <t>D4 Reporting completeness</t>
        </is>
      </c>
      <c r="I4" s="21" t="inlineStr">
        <is>
          <t>Overall (your judgement)</t>
        </is>
      </c>
      <c r="J4" s="21" t="inlineStr">
        <is>
          <t>Justification / notes</t>
        </is>
      </c>
    </row>
    <row r="5">
      <c r="A5" s="22">
        <f>IF(C5="","",ROW()-4)</f>
        <v/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6">
      <c r="A6" s="25">
        <f>IF(C6="","",ROW()-4)</f>
        <v/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22">
        <f>IF(C7="","",ROW()-4)</f>
        <v/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  <row r="8">
      <c r="A8" s="25">
        <f>IF(C8="","",ROW()-4)</f>
        <v/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</row>
    <row r="9">
      <c r="A9" s="22">
        <f>IF(C9="","",ROW()-4)</f>
        <v/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>
      <c r="A10" s="25">
        <f>IF(C10="","",ROW()-4)</f>
        <v/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</row>
    <row r="11">
      <c r="A11" s="22">
        <f>IF(C11="","",ROW()-4)</f>
        <v/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>
      <c r="A12" s="25">
        <f>IF(C12="","",ROW()-4)</f>
        <v/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>
      <c r="A13" s="22">
        <f>IF(C13="","",ROW()-4)</f>
        <v/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>
      <c r="A14" s="25">
        <f>IF(C14="","",ROW()-4)</f>
        <v/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</row>
    <row r="15">
      <c r="A15" s="22">
        <f>IF(C15="","",ROW()-4)</f>
        <v/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  <row r="16">
      <c r="A16" s="25">
        <f>IF(C16="","",ROW()-4)</f>
        <v/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22">
        <f>IF(C17="","",ROW()-4)</f>
        <v/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</row>
    <row r="18">
      <c r="A18" s="25">
        <f>IF(C18="","",ROW()-4)</f>
        <v/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A19" s="22">
        <f>IF(C19="","",ROW()-4)</f>
        <v/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0">
      <c r="A20" s="25">
        <f>IF(C20="","",ROW()-4)</f>
        <v/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1">
      <c r="A21" s="22">
        <f>IF(C21="","",ROW()-4)</f>
        <v/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</row>
    <row r="22">
      <c r="A22" s="25">
        <f>IF(C22="","",ROW()-4)</f>
        <v/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</row>
    <row r="23">
      <c r="A23" s="22">
        <f>IF(C23="","",ROW()-4)</f>
        <v/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>
      <c r="A24" s="25">
        <f>IF(C24="","",ROW()-4)</f>
        <v/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</row>
    <row r="25">
      <c r="A25" s="22">
        <f>IF(C25="","",ROW()-4)</f>
        <v/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>
      <c r="A26" s="25">
        <f>IF(C26="","",ROW()-4)</f>
        <v/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</row>
    <row r="27">
      <c r="A27" s="22">
        <f>IF(C27="","",ROW()-4)</f>
        <v/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>
      <c r="A28" s="25">
        <f>IF(C28="","",ROW()-4)</f>
        <v/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</row>
    <row r="29">
      <c r="A29" s="22">
        <f>IF(C29="","",ROW()-4)</f>
        <v/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</row>
    <row r="30">
      <c r="A30" s="25">
        <f>IF(C30="","",ROW()-4)</f>
        <v/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</row>
    <row r="31">
      <c r="A31" s="22">
        <f>IF(C31="","",ROW()-4)</f>
        <v/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</row>
    <row r="32">
      <c r="A32" s="25">
        <f>IF(C32="","",ROW()-4)</f>
        <v/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</row>
    <row r="33">
      <c r="A33" s="22">
        <f>IF(C33="","",ROW()-4)</f>
        <v/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</row>
    <row r="34">
      <c r="A34" s="25">
        <f>IF(C34="","",ROW()-4)</f>
        <v/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</row>
    <row r="35">
      <c r="A35" s="22">
        <f>IF(C35="","",ROW()-4)</f>
        <v/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</row>
    <row r="36">
      <c r="A36" s="25">
        <f>IF(C36="","",ROW()-4)</f>
        <v/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</row>
    <row r="37">
      <c r="A37" s="22">
        <f>IF(C37="","",ROW()-4)</f>
        <v/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</row>
    <row r="38">
      <c r="A38" s="25">
        <f>IF(C38="","",ROW()-4)</f>
        <v/>
      </c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</row>
    <row r="39">
      <c r="A39" s="22">
        <f>IF(C39="","",ROW()-4)</f>
        <v/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</row>
    <row r="40">
      <c r="A40" s="25">
        <f>IF(C40="","",ROW()-4)</f>
        <v/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</row>
    <row r="41">
      <c r="A41" s="22">
        <f>IF(C41="","",ROW()-4)</f>
        <v/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</row>
    <row r="42">
      <c r="A42" s="25">
        <f>IF(C42="","",ROW()-4)</f>
        <v/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</row>
    <row r="43">
      <c r="A43" s="22">
        <f>IF(C43="","",ROW()-4)</f>
        <v/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</row>
    <row r="44">
      <c r="A44" s="25">
        <f>IF(C44="","",ROW()-4)</f>
        <v/>
      </c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</row>
    <row r="45">
      <c r="A45" s="22">
        <f>IF(C45="","",ROW()-4)</f>
        <v/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</row>
    <row r="46">
      <c r="A46" s="25">
        <f>IF(C46="","",ROW()-4)</f>
        <v/>
      </c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</row>
    <row r="47">
      <c r="A47" s="22">
        <f>IF(C47="","",ROW()-4)</f>
        <v/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</row>
    <row r="48">
      <c r="A48" s="25">
        <f>IF(C48="","",ROW()-4)</f>
        <v/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</row>
    <row r="49">
      <c r="A49" s="22">
        <f>IF(C49="","",ROW()-4)</f>
        <v/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</row>
    <row r="50">
      <c r="A50" s="25">
        <f>IF(C50="","",ROW()-4)</f>
        <v/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</row>
    <row r="51">
      <c r="A51" s="22">
        <f>IF(C51="","",ROW()-4)</f>
        <v/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</row>
    <row r="52">
      <c r="A52" s="25">
        <f>IF(C52="","",ROW()-4)</f>
        <v/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</row>
    <row r="53">
      <c r="A53" s="22">
        <f>IF(C53="","",ROW()-4)</f>
        <v/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</row>
    <row r="54">
      <c r="A54" s="25">
        <f>IF(C54="","",ROW()-4)</f>
        <v/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</row>
    <row r="55">
      <c r="A55" s="22">
        <f>IF(C55="","",ROW()-4)</f>
        <v/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</row>
    <row r="56">
      <c r="A56" s="25">
        <f>IF(C56="","",ROW()-4)</f>
        <v/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</row>
    <row r="57">
      <c r="A57" s="22">
        <f>IF(C57="","",ROW()-4)</f>
        <v/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</row>
    <row r="58">
      <c r="A58" s="25">
        <f>IF(C58="","",ROW()-4)</f>
        <v/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</row>
    <row r="59">
      <c r="A59" s="22">
        <f>IF(C59="","",ROW()-4)</f>
        <v/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</row>
    <row r="60">
      <c r="A60" s="25">
        <f>IF(C60="","",ROW()-4)</f>
        <v/>
      </c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</row>
    <row r="61">
      <c r="A61" s="22">
        <f>IF(C61="","",ROW()-4)</f>
        <v/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</row>
    <row r="62">
      <c r="A62" s="25">
        <f>IF(C62="","",ROW()-4)</f>
        <v/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</row>
    <row r="63">
      <c r="A63" s="22">
        <f>IF(C63="","",ROW()-4)</f>
        <v/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</row>
    <row r="64">
      <c r="A64" s="25">
        <f>IF(C64="","",ROW()-4)</f>
        <v/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</row>
    <row r="65">
      <c r="A65" s="22">
        <f>IF(C65="","",ROW()-4)</f>
        <v/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</row>
    <row r="66">
      <c r="A66" s="25">
        <f>IF(C66="","",ROW()-4)</f>
        <v/>
      </c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</row>
    <row r="67">
      <c r="A67" s="22">
        <f>IF(C67="","",ROW()-4)</f>
        <v/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</row>
    <row r="68">
      <c r="A68" s="25">
        <f>IF(C68="","",ROW()-4)</f>
        <v/>
      </c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</row>
    <row r="69">
      <c r="A69" s="22">
        <f>IF(C69="","",ROW()-4)</f>
        <v/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</row>
    <row r="70">
      <c r="A70" s="25">
        <f>IF(C70="","",ROW()-4)</f>
        <v/>
      </c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</row>
    <row r="71">
      <c r="A71" s="22">
        <f>IF(C71="","",ROW()-4)</f>
        <v/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</row>
    <row r="72">
      <c r="A72" s="25">
        <f>IF(C72="","",ROW()-4)</f>
        <v/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</row>
    <row r="73">
      <c r="A73" s="22">
        <f>IF(C73="","",ROW()-4)</f>
        <v/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</row>
    <row r="74">
      <c r="A74" s="25">
        <f>IF(C74="","",ROW()-4)</f>
        <v/>
      </c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</row>
    <row r="75">
      <c r="A75" s="22">
        <f>IF(C75="","",ROW()-4)</f>
        <v/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</row>
    <row r="76">
      <c r="A76" s="25">
        <f>IF(C76="","",ROW()-4)</f>
        <v/>
      </c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</row>
    <row r="77">
      <c r="A77" s="22">
        <f>IF(C77="","",ROW()-4)</f>
        <v/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</row>
    <row r="78">
      <c r="A78" s="25">
        <f>IF(C78="","",ROW()-4)</f>
        <v/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</row>
    <row r="79">
      <c r="A79" s="22">
        <f>IF(C79="","",ROW()-4)</f>
        <v/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</row>
    <row r="80">
      <c r="A80" s="25">
        <f>IF(C80="","",ROW()-4)</f>
        <v/>
      </c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</row>
    <row r="81">
      <c r="A81" s="22">
        <f>IF(C81="","",ROW()-4)</f>
        <v/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</row>
    <row r="82">
      <c r="A82" s="25">
        <f>IF(C82="","",ROW()-4)</f>
        <v/>
      </c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</row>
    <row r="83">
      <c r="A83" s="22">
        <f>IF(C83="","",ROW()-4)</f>
        <v/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</row>
    <row r="84">
      <c r="A84" s="25">
        <f>IF(C84="","",ROW()-4)</f>
        <v/>
      </c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</row>
    <row r="85">
      <c r="A85" s="22">
        <f>IF(C85="","",ROW()-4)</f>
        <v/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</row>
    <row r="86">
      <c r="A86" s="25">
        <f>IF(C86="","",ROW()-4)</f>
        <v/>
      </c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</row>
    <row r="87">
      <c r="A87" s="22">
        <f>IF(C87="","",ROW()-4)</f>
        <v/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</row>
    <row r="88">
      <c r="A88" s="25">
        <f>IF(C88="","",ROW()-4)</f>
        <v/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</row>
    <row r="89">
      <c r="A89" s="22">
        <f>IF(C89="","",ROW()-4)</f>
        <v/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</row>
    <row r="90">
      <c r="A90" s="25">
        <f>IF(C90="","",ROW()-4)</f>
        <v/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</row>
    <row r="91">
      <c r="A91" s="22">
        <f>IF(C91="","",ROW()-4)</f>
        <v/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</row>
    <row r="92">
      <c r="A92" s="25">
        <f>IF(C92="","",ROW()-4)</f>
        <v/>
      </c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</row>
    <row r="93">
      <c r="A93" s="22">
        <f>IF(C93="","",ROW()-4)</f>
        <v/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</row>
    <row r="94">
      <c r="A94" s="25">
        <f>IF(C94="","",ROW()-4)</f>
        <v/>
      </c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</row>
    <row r="95">
      <c r="A95" s="22">
        <f>IF(C95="","",ROW()-4)</f>
        <v/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</row>
    <row r="96">
      <c r="A96" s="25">
        <f>IF(C96="","",ROW()-4)</f>
        <v/>
      </c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</row>
    <row r="97">
      <c r="A97" s="22">
        <f>IF(C97="","",ROW()-4)</f>
        <v/>
      </c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</row>
    <row r="98">
      <c r="A98" s="25">
        <f>IF(C98="","",ROW()-4)</f>
        <v/>
      </c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</row>
    <row r="99">
      <c r="A99" s="22">
        <f>IF(C99="","",ROW()-4)</f>
        <v/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</row>
    <row r="100">
      <c r="A100" s="25">
        <f>IF(C100="","",ROW()-4)</f>
        <v/>
      </c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</row>
    <row r="101">
      <c r="A101" s="22">
        <f>IF(C101="","",ROW()-4)</f>
        <v/>
      </c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</row>
    <row r="102">
      <c r="A102" s="25">
        <f>IF(C102="","",ROW()-4)</f>
        <v/>
      </c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</row>
    <row r="103">
      <c r="A103" s="22">
        <f>IF(C103="","",ROW()-4)</f>
        <v/>
      </c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</row>
    <row r="104">
      <c r="A104" s="25">
        <f>IF(C104="","",ROW()-4)</f>
        <v/>
      </c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</row>
  </sheetData>
  <mergeCells count="2">
    <mergeCell ref="A1:J1"/>
    <mergeCell ref="A2:J2"/>
  </mergeCells>
  <conditionalFormatting sqref="E5:H104">
    <cfRule type="cellIs" priority="1" operator="equal" dxfId="3">
      <formula>"Low"</formula>
    </cfRule>
    <cfRule type="cellIs" priority="2" operator="equal" dxfId="0">
      <formula>"Some concerns"</formula>
    </cfRule>
    <cfRule type="cellIs" priority="3" operator="equal" dxfId="4">
      <formula>"High"</formula>
    </cfRule>
  </conditionalFormatting>
  <conditionalFormatting sqref="I5:I104">
    <cfRule type="cellIs" priority="4" operator="equal" dxfId="3">
      <formula>"Low concern"</formula>
    </cfRule>
    <cfRule type="cellIs" priority="5" operator="equal" dxfId="0">
      <formula>"Moderate concern"</formula>
    </cfRule>
    <cfRule type="cellIs" priority="6" operator="equal" dxfId="4">
      <formula>"High concern"</formula>
    </cfRule>
  </conditionalFormatting>
  <dataValidations count="2">
    <dataValidation sqref="E5:H104" showDropDown="0" showInputMessage="0" showErrorMessage="0" allowBlank="1" type="list">
      <formula1>Lists!$I$1:$I$3</formula1>
    </dataValidation>
    <dataValidation sqref="I5:I104" showDropDown="0" showInputMessage="0" showErrorMessage="0" allowBlank="1" type="list">
      <formula1>Lists!$J$1:$J$3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34" customWidth="1" min="4" max="4"/>
  </cols>
  <sheetData>
    <row r="1" ht="26" customHeight="1">
      <c r="A1" s="7" t="inlineStr">
        <is>
          <t>PRISMA Flow</t>
        </is>
      </c>
    </row>
    <row r="2" ht="28" customHeight="1">
      <c r="A2" s="8" t="inlineStr">
        <is>
          <t>Every number a PRISMA 2020 flow diagram needs — computed from Search Log, Dedup, TA Screening and Full-Text. Never type here.</t>
        </is>
      </c>
    </row>
    <row r="4" ht="22" customHeight="1">
      <c r="B4" s="9" t="inlineStr">
        <is>
          <t>IDENTIFICATION — DATABASES &amp; REGISTERS</t>
        </is>
      </c>
    </row>
    <row r="5" ht="22" customHeight="1">
      <c r="B5" s="31" t="inlineStr">
        <is>
          <t>Records identified from databases</t>
        </is>
      </c>
      <c r="C5" s="28">
        <f>IF(COUNTA('Search Log'!B5:B34)=0,"—",SUMIF('Search Log'!C5:C34,"Database",'Search Log'!G5:G34))</f>
        <v/>
      </c>
      <c r="D5" s="32" t="inlineStr">
        <is>
          <t>auto from Search Log</t>
        </is>
      </c>
    </row>
    <row r="6" ht="22" customHeight="1">
      <c r="B6" s="31" t="inlineStr">
        <is>
          <t>Records identified from registers</t>
        </is>
      </c>
      <c r="C6" s="28">
        <f>IF(COUNTA('Search Log'!B5:B34)=0,"—",SUMIF('Search Log'!C5:C34,"Register",'Search Log'!G5:G34))</f>
        <v/>
      </c>
      <c r="D6" s="32" t="inlineStr">
        <is>
          <t>auto from Search Log</t>
        </is>
      </c>
    </row>
    <row r="7" ht="22" customHeight="1">
      <c r="B7" s="31" t="inlineStr">
        <is>
          <t>Records removed: duplicates</t>
        </is>
      </c>
      <c r="C7" s="28">
        <f>IF(Dedup!C8="","—",Dedup!C8)</f>
        <v/>
      </c>
      <c r="D7" s="32" t="inlineStr">
        <is>
          <t>from Dedup — you enter once</t>
        </is>
      </c>
    </row>
    <row r="8" ht="22" customHeight="1">
      <c r="B8" s="31" t="inlineStr">
        <is>
          <t>Records removed: automation tools</t>
        </is>
      </c>
      <c r="C8" s="28">
        <f>IF(Dedup!C9="","—",Dedup!C9)</f>
        <v/>
      </c>
      <c r="D8" s="32" t="inlineStr">
        <is>
          <t>from Dedup — you enter once</t>
        </is>
      </c>
    </row>
    <row r="9" ht="22" customHeight="1">
      <c r="B9" s="31" t="inlineStr">
        <is>
          <t>Records removed: other reasons</t>
        </is>
      </c>
      <c r="C9" s="28">
        <f>IF(Dedup!C10="","—",Dedup!C10)</f>
        <v/>
      </c>
      <c r="D9" s="32" t="inlineStr">
        <is>
          <t>from Dedup — you enter once</t>
        </is>
      </c>
    </row>
    <row r="11" ht="22" customHeight="1">
      <c r="B11" s="9" t="inlineStr">
        <is>
          <t>SCREENING</t>
        </is>
      </c>
    </row>
    <row r="12" ht="22" customHeight="1">
      <c r="B12" s="31" t="inlineStr">
        <is>
          <t>Records screened</t>
        </is>
      </c>
      <c r="C12" s="28">
        <f>Dedup!C12</f>
        <v/>
      </c>
      <c r="D12" s="32" t="inlineStr">
        <is>
          <t>auto from Dedup</t>
        </is>
      </c>
    </row>
    <row r="13" ht="22" customHeight="1">
      <c r="B13" s="31" t="inlineStr">
        <is>
          <t>Records excluded at title/abstract</t>
        </is>
      </c>
      <c r="C13" s="28">
        <f>IF(COUNTA('TA Screening'!F5:F504)=0,"—",COUNTIF('TA Screening'!F5:F504,"Exclude"))</f>
        <v/>
      </c>
      <c r="D13" s="32" t="inlineStr">
        <is>
          <t>auto from TA Screening</t>
        </is>
      </c>
    </row>
    <row r="14" ht="22" customHeight="1">
      <c r="B14" s="31" t="inlineStr">
        <is>
          <t>Reports sought for retrieval</t>
        </is>
      </c>
      <c r="C14" s="28">
        <f>IF(COUNTA('TA Screening'!F5:F504)=0,"—",COUNTIF('TA Screening'!F5:F504,"Include"))</f>
        <v/>
      </c>
      <c r="D14" s="32" t="inlineStr">
        <is>
          <t>auto from TA Screening</t>
        </is>
      </c>
    </row>
    <row r="15" ht="22" customHeight="1">
      <c r="B15" s="31" t="inlineStr">
        <is>
          <t>Reports not retrieved</t>
        </is>
      </c>
      <c r="C15" s="28">
        <f>IF(COUNTA('Full-Text'!C5:C204)=0,"—",COUNTIF('Full-Text'!F5:F204,"No")-COUNTIFS('Full-Text'!F5:F204,"No",'Full-Text'!E5:E204,"Other source"))</f>
        <v/>
      </c>
      <c r="D15" s="32" t="inlineStr">
        <is>
          <t>auto from Full-Text</t>
        </is>
      </c>
    </row>
    <row r="16" ht="22" customHeight="1">
      <c r="B16" s="31" t="inlineStr">
        <is>
          <t>Reports assessed for eligibility</t>
        </is>
      </c>
      <c r="C16" s="28">
        <f>IF(COUNTA('Full-Text'!C5:C204)=0,"—",COUNTIF('Full-Text'!F5:F204,"Yes")-COUNTIFS('Full-Text'!F5:F204,"Yes",'Full-Text'!E5:E204,"Other source"))</f>
        <v/>
      </c>
      <c r="D16" s="32" t="inlineStr">
        <is>
          <t>auto from Full-Text</t>
        </is>
      </c>
    </row>
    <row r="18" ht="22" customHeight="1">
      <c r="B18" s="9" t="inlineStr">
        <is>
          <t>REPORTS EXCLUDED, WITH REASONS</t>
        </is>
      </c>
    </row>
    <row r="19" ht="22" customHeight="1">
      <c r="B19" s="31" t="inlineStr">
        <is>
          <t>Reports excluded — total</t>
        </is>
      </c>
      <c r="C19" s="28">
        <f>IF(COUNTA('Full-Text'!C5:C204)=0,"—",COUNTIF('Full-Text'!G5:G204,"Exclude")-COUNTIFS('Full-Text'!G5:G204,"Exclude",'Full-Text'!E5:E204,"Other source"))</f>
        <v/>
      </c>
      <c r="D19" s="32" t="inlineStr">
        <is>
          <t>auto from Full-Text</t>
        </is>
      </c>
    </row>
    <row r="20" ht="22" customHeight="1">
      <c r="B20" s="31" t="inlineStr">
        <is>
          <t>R1 · Wrong population</t>
        </is>
      </c>
      <c r="C20" s="28">
        <f>IF(COUNTA('Full-Text'!C5:C204)=0,"—",COUNTIFS('Full-Text'!G5:G204,"Exclude",'Full-Text'!H5:H204,"R1 · Wrong population")-COUNTIFS('Full-Text'!G5:G204,"Exclude",'Full-Text'!H5:H204,"R1 · Wrong population",'Full-Text'!E5:E204,"Other source"))</f>
        <v/>
      </c>
    </row>
    <row r="21" ht="22" customHeight="1">
      <c r="B21" s="31" t="inlineStr">
        <is>
          <t>R2 · Wrong intervention/exposure</t>
        </is>
      </c>
      <c r="C21" s="28">
        <f>IF(COUNTA('Full-Text'!C5:C204)=0,"—",COUNTIFS('Full-Text'!G5:G204,"Exclude",'Full-Text'!H5:H204,"R2 · Wrong intervention/exposure")-COUNTIFS('Full-Text'!G5:G204,"Exclude",'Full-Text'!H5:H204,"R2 · Wrong intervention/exposure",'Full-Text'!E5:E204,"Other source"))</f>
        <v/>
      </c>
    </row>
    <row r="22" ht="22" customHeight="1">
      <c r="B22" s="31" t="inlineStr">
        <is>
          <t>R3 · Wrong comparator</t>
        </is>
      </c>
      <c r="C22" s="28">
        <f>IF(COUNTA('Full-Text'!C5:C204)=0,"—",COUNTIFS('Full-Text'!G5:G204,"Exclude",'Full-Text'!H5:H204,"R3 · Wrong comparator")-COUNTIFS('Full-Text'!G5:G204,"Exclude",'Full-Text'!H5:H204,"R3 · Wrong comparator",'Full-Text'!E5:E204,"Other source"))</f>
        <v/>
      </c>
    </row>
    <row r="23" ht="22" customHeight="1">
      <c r="B23" s="31" t="inlineStr">
        <is>
          <t>R4 · Wrong outcome</t>
        </is>
      </c>
      <c r="C23" s="28">
        <f>IF(COUNTA('Full-Text'!C5:C204)=0,"—",COUNTIFS('Full-Text'!G5:G204,"Exclude",'Full-Text'!H5:H204,"R4 · Wrong outcome")-COUNTIFS('Full-Text'!G5:G204,"Exclude",'Full-Text'!H5:H204,"R4 · Wrong outcome",'Full-Text'!E5:E204,"Other source"))</f>
        <v/>
      </c>
    </row>
    <row r="24" ht="22" customHeight="1">
      <c r="B24" s="31" t="inlineStr">
        <is>
          <t>R5 · Wrong study design</t>
        </is>
      </c>
      <c r="C24" s="28">
        <f>IF(COUNTA('Full-Text'!C5:C204)=0,"—",COUNTIFS('Full-Text'!G5:G204,"Exclude",'Full-Text'!H5:H204,"R5 · Wrong study design")-COUNTIFS('Full-Text'!G5:G204,"Exclude",'Full-Text'!H5:H204,"R5 · Wrong study design",'Full-Text'!E5:E204,"Other source"))</f>
        <v/>
      </c>
    </row>
    <row r="25" ht="22" customHeight="1">
      <c r="B25" s="31" t="inlineStr">
        <is>
          <t>R6 · Wrong publication type</t>
        </is>
      </c>
      <c r="C25" s="28">
        <f>IF(COUNTA('Full-Text'!C5:C204)=0,"—",COUNTIFS('Full-Text'!G5:G204,"Exclude",'Full-Text'!H5:H204,"R6 · Wrong publication type")-COUNTIFS('Full-Text'!G5:G204,"Exclude",'Full-Text'!H5:H204,"R6 · Wrong publication type",'Full-Text'!E5:E204,"Other source"))</f>
        <v/>
      </c>
    </row>
    <row r="26" ht="22" customHeight="1">
      <c r="B26" s="31" t="inlineStr">
        <is>
          <t>R7 · Wrong language</t>
        </is>
      </c>
      <c r="C26" s="28">
        <f>IF(COUNTA('Full-Text'!C5:C204)=0,"—",COUNTIFS('Full-Text'!G5:G204,"Exclude",'Full-Text'!H5:H204,"R7 · Wrong language")-COUNTIFS('Full-Text'!G5:G204,"Exclude",'Full-Text'!H5:H204,"R7 · Wrong language",'Full-Text'!E5:E204,"Other source"))</f>
        <v/>
      </c>
    </row>
    <row r="27" ht="22" customHeight="1">
      <c r="B27" s="31" t="inlineStr">
        <is>
          <t>R8 · Duplicate</t>
        </is>
      </c>
      <c r="C27" s="28">
        <f>IF(COUNTA('Full-Text'!C5:C204)=0,"—",COUNTIFS('Full-Text'!G5:G204,"Exclude",'Full-Text'!H5:H204,"R8 · Duplicate")-COUNTIFS('Full-Text'!G5:G204,"Exclude",'Full-Text'!H5:H204,"R8 · Duplicate",'Full-Text'!E5:E204,"Other source"))</f>
        <v/>
      </c>
    </row>
    <row r="28" ht="22" customHeight="1">
      <c r="B28" s="31" t="inlineStr">
        <is>
          <t>R9 · Other (see notes)</t>
        </is>
      </c>
      <c r="C28" s="28">
        <f>IF(COUNTA('Full-Text'!C5:C204)=0,"—",COUNTIFS('Full-Text'!G5:G204,"Exclude",'Full-Text'!H5:H204,"R9 · Other (see notes)")-COUNTIFS('Full-Text'!G5:G204,"Exclude",'Full-Text'!H5:H204,"R9 · Other (see notes)",'Full-Text'!E5:E204,"Other source"))</f>
        <v/>
      </c>
    </row>
    <row r="30" ht="22" customHeight="1">
      <c r="B30" s="9" t="inlineStr">
        <is>
          <t>IDENTIFICATION — OTHER METHODS (citation searching, websites, experts)</t>
        </is>
      </c>
    </row>
    <row r="31" ht="22" customHeight="1">
      <c r="B31" s="31" t="inlineStr">
        <is>
          <t>Records identified from other sources</t>
        </is>
      </c>
      <c r="C31" s="28">
        <f>IF(COUNTA('Search Log'!B5:B34)=0,"—",SUMIF('Search Log'!C5:C34,"Other source",'Search Log'!G5:G34))</f>
        <v/>
      </c>
      <c r="D31" s="32" t="inlineStr">
        <is>
          <t>auto from Search Log</t>
        </is>
      </c>
    </row>
    <row r="32" ht="22" customHeight="1">
      <c r="B32" s="31" t="inlineStr">
        <is>
          <t>Reports sought for retrieval (other)</t>
        </is>
      </c>
      <c r="C32" s="28">
        <f>IF(COUNTA('Full-Text'!C5:C204)=0,"—",COUNTIF('Full-Text'!E5:E204,"Other source"))</f>
        <v/>
      </c>
      <c r="D32" s="32" t="inlineStr">
        <is>
          <t>auto from Full-Text</t>
        </is>
      </c>
    </row>
    <row r="33" ht="22" customHeight="1">
      <c r="B33" s="31" t="inlineStr">
        <is>
          <t>Reports not retrieved (other)</t>
        </is>
      </c>
      <c r="C33" s="28">
        <f>IF(COUNTA('Full-Text'!C5:C204)=0,"—",COUNTIFS('Full-Text'!F5:F204,"No",'Full-Text'!E5:E204,"Other source"))</f>
        <v/>
      </c>
      <c r="D33" s="32" t="inlineStr">
        <is>
          <t>auto from Full-Text</t>
        </is>
      </c>
    </row>
    <row r="34" ht="22" customHeight="1">
      <c r="B34" s="31" t="inlineStr">
        <is>
          <t>Reports assessed for eligibility (other)</t>
        </is>
      </c>
      <c r="C34" s="28">
        <f>IF(COUNTA('Full-Text'!C5:C204)=0,"—",COUNTIFS('Full-Text'!F5:F204,"Yes",'Full-Text'!E5:E204,"Other source"))</f>
        <v/>
      </c>
      <c r="D34" s="32" t="inlineStr">
        <is>
          <t>auto from Full-Text</t>
        </is>
      </c>
    </row>
    <row r="35" ht="22" customHeight="1">
      <c r="B35" s="31" t="inlineStr">
        <is>
          <t>Reports excluded (other)</t>
        </is>
      </c>
      <c r="C35" s="28">
        <f>IF(COUNTA('Full-Text'!C5:C204)=0,"—",COUNTIFS('Full-Text'!G5:G204,"Exclude",'Full-Text'!E5:E204,"Other source"))</f>
        <v/>
      </c>
      <c r="D35" s="32" t="inlineStr">
        <is>
          <t>auto from Full-Text</t>
        </is>
      </c>
    </row>
    <row r="37" ht="22" customHeight="1">
      <c r="B37" s="9" t="inlineStr">
        <is>
          <t>INCLUDED</t>
        </is>
      </c>
    </row>
    <row r="38" ht="30" customHeight="1">
      <c r="B38" s="33" t="inlineStr">
        <is>
          <t>Studies included in review</t>
        </is>
      </c>
      <c r="C38" s="34">
        <f>IF(COUNTA('Full-Text'!C5:C204)=0,"—",COUNTIF('Full-Text'!G5:G204,"Include"))</f>
        <v/>
      </c>
      <c r="D38" s="32" t="inlineStr">
        <is>
          <t>auto from Full-Text</t>
        </is>
      </c>
    </row>
    <row r="40" ht="22" customHeight="1">
      <c r="B40" s="9" t="inlineStr">
        <is>
          <t>WORKING CHECKS — RESOLVE BEFORE REPORTING</t>
        </is>
      </c>
    </row>
    <row r="41" ht="22" customHeight="1">
      <c r="B41" s="31" t="inlineStr">
        <is>
          <t>Unsure decisions left</t>
        </is>
      </c>
      <c r="C41" s="35">
        <f>COUNTIF('TA Screening'!F5:F504,"Unsure")+COUNTIF('Full-Text'!G5:G204,"Unsure")</f>
        <v/>
      </c>
      <c r="D41" s="32" t="inlineStr">
        <is>
          <t>decisions still marked Unsure</t>
        </is>
      </c>
    </row>
    <row r="42" ht="22" customHeight="1">
      <c r="B42" s="31" t="inlineStr">
        <is>
          <t>Reviewer conflicts flagged</t>
        </is>
      </c>
      <c r="C42" s="35">
        <f>COUNTIF('TA Screening'!I5:I504,"⚠ resolve")+COUNTIF('Full-Text'!J5:J204,"⚠ resolve")</f>
        <v/>
      </c>
      <c r="D42" s="32" t="inlineStr">
        <is>
          <t>two reviewers disagree</t>
        </is>
      </c>
    </row>
    <row r="43" ht="22" customHeight="1">
      <c r="B43" s="31" t="inlineStr">
        <is>
          <t>T/A rows vs. records to screen</t>
        </is>
      </c>
      <c r="C43" s="28">
        <f>IF(OR(Dedup!C12="—",COUNTA('TA Screening'!D5:D504)=0),"—",IF(Dedup!C12=COUNTA('TA Screening'!D5:D504),"✓ match","⚠ differs"))</f>
        <v/>
      </c>
      <c r="D43" s="32" t="inlineStr">
        <is>
          <t>Dedup!C12 vs. actual T/A rows</t>
        </is>
      </c>
    </row>
    <row r="44" ht="22" customHeight="1">
      <c r="B44" s="31" t="inlineStr">
        <is>
          <t>Excluded without a coded reason</t>
        </is>
      </c>
      <c r="C44" s="28">
        <f>IF(C19="—",0,C19-SUM(C20:C28))</f>
        <v/>
      </c>
      <c r="D44" s="32" t="inlineStr">
        <is>
          <t>add a coded reason in Full-Text</t>
        </is>
      </c>
    </row>
    <row r="45" ht="22" customHeight="1">
      <c r="B45" s="31" t="inlineStr">
        <is>
          <t>Search Log hits vs. identified totals</t>
        </is>
      </c>
      <c r="C45" s="28">
        <f>IF(COUNTA('Search Log'!B5:B34)=0,"—",IF(SUM('Search Log'!G5:G34)=C5+C6+C31,"✓ match","⚠ differs — a Search Log row may be missing its Type"))</f>
        <v/>
      </c>
      <c r="D45" s="32" t="inlineStr">
        <is>
          <t>pairs with the amber warning on Search Log</t>
        </is>
      </c>
    </row>
    <row r="47" ht="30" customHeight="1">
      <c r="B47" s="19" t="inlineStr">
        <is>
          <t>PRISMA 2020 is a reporting guideline. This sheet computes your counts — paste them into the official flow diagram template from prisma-statement.org. Independent product, not affiliated with or endorsed by the PRISMA group.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B47:D47"/>
    <mergeCell ref="A2:D2"/>
  </mergeCells>
  <conditionalFormatting sqref="C41:C42">
    <cfRule type="cellIs" priority="1" operator="greaterThan" dxfId="1">
      <formula>0</formula>
    </cfRule>
  </conditionalFormatting>
  <conditionalFormatting sqref="C43">
    <cfRule type="expression" priority="2" dxfId="1">
      <formula>ISNUMBER(SEARCH("⚠",C43))</formula>
    </cfRule>
    <cfRule type="expression" priority="3" dxfId="2">
      <formula>ISNUMBER(SEARCH("✓",C43))</formula>
    </cfRule>
  </conditionalFormatting>
  <conditionalFormatting sqref="C44">
    <cfRule type="cellIs" priority="4" operator="greaterThan" dxfId="1">
      <formula>0</formula>
    </cfRule>
  </conditionalFormatting>
  <conditionalFormatting sqref="C45">
    <cfRule type="expression" priority="5" dxfId="1">
      <formula>ISNUMBER(SEARCH("⚠",C45))</formula>
    </cfRule>
    <cfRule type="expression" priority="6" dxfId="2">
      <formula>ISNUMBER(SEARCH("✓",C45))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10" customWidth="1" min="4" max="4"/>
  </cols>
  <sheetData>
    <row r="1" ht="26" customHeight="1">
      <c r="A1" s="7" t="inlineStr">
        <is>
          <t>AI Research Prompts</t>
        </is>
      </c>
    </row>
    <row r="2" ht="28" customHeight="1">
      <c r="A2" s="8" t="inlineStr">
        <is>
          <t>6 prompts for real review work. They make the AI your assistant — the decisions stay yours.</t>
        </is>
      </c>
    </row>
    <row r="4" ht="30" customHeight="1">
      <c r="A4" s="21" t="inlineStr">
        <is>
          <t>#</t>
        </is>
      </c>
      <c r="B4" s="21" t="inlineStr">
        <is>
          <t>Stage</t>
        </is>
      </c>
      <c r="C4" s="21" t="inlineStr">
        <is>
          <t>When to use it</t>
        </is>
      </c>
      <c r="D4" s="21" t="inlineStr">
        <is>
          <t>Prompt (copy, fill the [brackets], paste)</t>
        </is>
      </c>
    </row>
    <row r="5" ht="130" customHeight="1">
      <c r="A5" s="22" t="n">
        <v>1</v>
      </c>
      <c r="B5" s="36" t="inlineStr">
        <is>
          <t>Protocol</t>
        </is>
      </c>
      <c r="C5" s="22" t="inlineStr">
        <is>
          <t>Criteria stress test — run it BEFORE you screen a single abstract.</t>
        </is>
      </c>
      <c r="D5" s="22" t="inlineStr">
        <is>
          <t>Here are the inclusion and exclusion criteria for my systematic review on [topic]:
[paste criteria]
Stress-test them like a second reviewer who has to apply them to 500 abstracts without asking me questions: (1) list every term that is ambiguous or undefined (e.g. 'adults', 'intervention', 'chronic'), (2) invent 5 realistic borderline studies and tell me for each whether my criteria include or exclude it — and where they fail to decide, (3) propose sharpened wording for each weak criterion. Do not soften the criteria; make them decidable.</t>
        </is>
      </c>
    </row>
    <row r="6" ht="130" customHeight="1">
      <c r="A6" s="25" t="n">
        <v>2</v>
      </c>
      <c r="B6" s="37" t="inlineStr">
        <is>
          <t>Search</t>
        </is>
      </c>
      <c r="C6" s="25" t="inlineStr">
        <is>
          <t>Search strategy expander — one building block per PICO concept.</t>
        </is>
      </c>
      <c r="D6" s="25" t="inlineStr">
        <is>
          <t>My review question in PICO terms: Population [___], Intervention/Exposure [___], Comparator [___], Outcome(s) [___].
For each concept, build a search block: synonyms, US/UK spelling variants, broader and narrower terms, and likely database index terms. Then combine the blocks with AND/OR into one draft search string for [database, e.g. PubMed], and tell me exactly what I would need to change when adapting it for [second database]. Flag any concept where synonyms could flood the search with noise. I will verify every index term in the database's own thesaurus before running it.</t>
        </is>
      </c>
    </row>
    <row r="7" ht="130" customHeight="1">
      <c r="A7" s="22" t="n">
        <v>3</v>
      </c>
      <c r="B7" s="36" t="inlineStr">
        <is>
          <t>Screening</t>
        </is>
      </c>
      <c r="C7" s="22" t="inlineStr">
        <is>
          <t>Screening conflict resolver — when two reviewers disagree.</t>
        </is>
      </c>
      <c r="D7" s="22" t="inlineStr">
        <is>
          <t>Two reviewers disagree on this record during [title/abstract OR full-text] screening.
Criteria: [paste inclusion/exclusion criteria]
Record: [paste title + abstract, or the key full-text passages]
Reviewer 1 says [Include/Exclude] because [reason]. Reviewer 2 says [Include/Exclude] because [reason].
Argue each side's strongest case strictly from the criteria — no outside preferences. Then say which decision the criteria actually support, or state plainly that the criteria are silent and propose the one-sentence rule we should add to the protocol so this conflict type never recurs. The final decision is ours, not yours.</t>
        </is>
      </c>
    </row>
    <row r="8" ht="130" customHeight="1">
      <c r="A8" s="25" t="n">
        <v>4</v>
      </c>
      <c r="B8" s="37" t="inlineStr">
        <is>
          <t>Extraction</t>
        </is>
      </c>
      <c r="C8" s="25" t="inlineStr">
        <is>
          <t>Extraction double-check — before a row counts as Done.</t>
        </is>
      </c>
      <c r="D8" s="25" t="inlineStr">
        <is>
          <t>I extracted data from a study for my systematic review. Here is the relevant text from the paper:
[paste methods/results excerpts]
And here is my extraction row — Design: [___] · N: [___] · Population: [___] · Intervention/Exposure: [___] · Comparator: [___] · Outcome &amp; measure: [___] · Effect / key result: [___].
Check each field against the text: confirm it, correct it, or mark it 'not reported'. Watch specifically for: randomized vs. merely assigned wording, analyzed N vs. recruited N, adjusted vs. unadjusted effects, and outcome timepoints. List every discrepancy with the exact quote it comes from. If the text does not support a value, say so — do not guess.</t>
        </is>
      </c>
    </row>
    <row r="9" ht="130" customHeight="1">
      <c r="A9" s="22" t="n">
        <v>5</v>
      </c>
      <c r="B9" s="36" t="inlineStr">
        <is>
          <t>Synthesis</t>
        </is>
      </c>
      <c r="C9" s="22" t="inlineStr">
        <is>
          <t>Synthesis matrix builder — from extraction rows to patterns.</t>
        </is>
      </c>
      <c r="D9" s="22" t="inlineStr">
        <is>
          <t>Here are the extraction rows for the [N] studies included in my systematic review:
[paste rows: author/year, design, N, population, intervention/exposure, outcome, effect]
Build a synthesis matrix: group the studies by [outcome / population / intervention], and for each group summarize: how many studies, which designs, the direction of effects (consistent / mixed / contradictory), and the largest and smallest study. Then name (1) patterns that hold across groups, (2) contradictions worth investigating — with the exact study pairs that clash, (3) gaps where no study exists. Descriptive synthesis only: no pooled estimates, no invented numbers.</t>
        </is>
      </c>
    </row>
    <row r="10" ht="130" customHeight="1">
      <c r="A10" s="25" t="n">
        <v>6</v>
      </c>
      <c r="B10" s="37" t="inlineStr">
        <is>
          <t>Reporting</t>
        </is>
      </c>
      <c r="C10" s="25" t="inlineStr">
        <is>
          <t>Methods paragraph drafter — PRISMA-style, past tense.</t>
        </is>
      </c>
      <c r="D10" s="25" t="inlineStr">
        <is>
          <t>Draft the search-and-selection part of my systematic review's methods section, following PRISMA 2020 reporting items. My numbers (from my PRISMA Flow sheet): databases searched: [list + dates]; records identified: [n]; duplicates removed: [n]; records screened: [n]; excluded at title/abstract: [n]; reports sought: [n]; not retrieved: [n]; assessed at full text: [n]; excluded with reasons: [reason: n, …]; studies included: [n]. Screening was done by [one reviewer / two reviewers independently; conflicts resolved by ___].
Write past tense, neutral academic tone, no self-praise, one short paragraph per stage. Mark anything I still must add as [TODO: …]. Do not invent numbers or procedures I did not state.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2026-07-15T15:27:19Z</dcterms:created>
  <dcterms:modified xsi:type="dcterms:W3CDTF">2026-07-15T15:27:20Z</dcterms:modified>
</cp:coreProperties>
</file>