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Lists" sheetId="2" state="hidden" r:id="rId2"/>
    <sheet name="Dashboard" sheetId="3" state="visible" r:id="rId3"/>
    <sheet name="Search Log" sheetId="4" state="visible" r:id="rId4"/>
    <sheet name="Screening" sheetId="5" state="visible" r:id="rId5"/>
    <sheet name="Deep Read" sheetId="6" state="visible" r:id="rId6"/>
    <sheet name="Synthesis Matrix" sheetId="7" state="visible" r:id="rId7"/>
    <sheet name="AI Prompts" sheetId="8" state="visible" r:id="rId8"/>
  </sheets>
  <definedNames>
    <definedName name="_xlnm._FilterDatabase" localSheetId="3" hidden="1">'Search Log'!$A$4:$H$104</definedName>
    <definedName name="_xlnm._FilterDatabase" localSheetId="4" hidden="1">'Screening'!$A$4:$J$504</definedName>
    <definedName name="_xlnm._FilterDatabase" localSheetId="5" hidden="1">'Deep Read'!$A$4:$S$304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0">
    <font>
      <name val="Calibri"/>
      <family val="2"/>
      <color theme="1"/>
      <sz val="11"/>
      <scheme val="minor"/>
    </font>
    <font>
      <b val="1"/>
      <color rgb="002D3A8C"/>
      <sz val="20"/>
    </font>
    <font>
      <color rgb="00555B7A"/>
      <sz val="12"/>
    </font>
    <font>
      <color rgb="001E2340"/>
      <sz val="10"/>
    </font>
    <font>
      <b val="1"/>
      <color rgb="001F7A6D"/>
      <sz val="13"/>
    </font>
    <font>
      <color rgb="001E2340"/>
      <sz val="11"/>
    </font>
    <font>
      <color rgb="00555B7A"/>
      <sz val="9"/>
    </font>
    <font>
      <b val="1"/>
      <color rgb="002D3A8C"/>
      <sz val="16"/>
    </font>
    <font>
      <color rgb="00555B7A"/>
      <sz val="10"/>
    </font>
    <font>
      <b val="1"/>
      <color rgb="001F7A6D"/>
      <sz val="11"/>
    </font>
    <font>
      <b val="1"/>
      <color rgb="002D3A8C"/>
      <sz val="18"/>
    </font>
    <font>
      <b val="1"/>
      <color rgb="001F7A6D"/>
      <sz val="18"/>
    </font>
    <font>
      <b val="1"/>
      <color rgb="00B4540A"/>
      <sz val="18"/>
    </font>
    <font>
      <b val="1"/>
      <color rgb="008A3333"/>
      <sz val="18"/>
    </font>
    <font>
      <b val="1"/>
      <color rgb="00555B7A"/>
      <sz val="18"/>
    </font>
    <font>
      <i val="1"/>
      <color rgb="00555B7A"/>
      <sz val="9"/>
    </font>
    <font>
      <b val="1"/>
      <color rgb="00FFFFFF"/>
      <sz val="11"/>
    </font>
    <font>
      <i val="1"/>
      <color rgb="00555B7A"/>
      <sz val="10"/>
    </font>
    <font>
      <b val="1"/>
      <color rgb="002D3A8C"/>
      <sz val="10"/>
    </font>
    <font>
      <b val="1"/>
      <color rgb="002D3A8C"/>
    </font>
  </fonts>
  <fills count="9">
    <fill>
      <patternFill/>
    </fill>
    <fill>
      <patternFill patternType="gray125"/>
    </fill>
    <fill>
      <patternFill patternType="solid">
        <fgColor rgb="00EEF1FB"/>
      </patternFill>
    </fill>
    <fill>
      <patternFill patternType="solid">
        <fgColor rgb="00E3F1EE"/>
      </patternFill>
    </fill>
    <fill>
      <patternFill patternType="solid">
        <fgColor rgb="00FFF1CC"/>
      </patternFill>
    </fill>
    <fill>
      <patternFill patternType="solid">
        <fgColor rgb="00F5DBDB"/>
      </patternFill>
    </fill>
    <fill>
      <patternFill patternType="solid">
        <fgColor rgb="00E4E4EC"/>
      </patternFill>
    </fill>
    <fill>
      <patternFill patternType="solid">
        <fgColor rgb="002D3A8C"/>
      </patternFill>
    </fill>
    <fill>
      <patternFill patternType="solid">
        <fgColor rgb="00F7F8FC"/>
      </patternFill>
    </fill>
  </fills>
  <borders count="2">
    <border>
      <left/>
      <right/>
      <top/>
      <bottom/>
      <diagonal/>
    </border>
    <border>
      <left style="thin">
        <color rgb="00D9DCEA"/>
      </left>
      <right style="thin">
        <color rgb="00D9DCEA"/>
      </right>
      <top style="thin">
        <color rgb="00D9DCEA"/>
      </top>
      <bottom style="thin">
        <color rgb="00D9DCEA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1" applyAlignment="1" pivotButton="0" quotePrefix="0" xfId="0">
      <alignment horizontal="center"/>
    </xf>
    <xf numFmtId="0" fontId="11" fillId="3" borderId="1" applyAlignment="1" pivotButton="0" quotePrefix="0" xfId="0">
      <alignment horizontal="center"/>
    </xf>
    <xf numFmtId="0" fontId="13" fillId="5" borderId="1" applyAlignment="1" pivotButton="0" quotePrefix="0" xfId="0">
      <alignment horizontal="center"/>
    </xf>
    <xf numFmtId="0" fontId="12" fillId="4" borderId="1" applyAlignment="1" pivotButton="0" quotePrefix="0" xfId="0">
      <alignment horizontal="center"/>
    </xf>
    <xf numFmtId="0" fontId="14" fillId="6" borderId="1" applyAlignment="1" pivotButton="0" quotePrefix="0" xfId="0">
      <alignment horizontal="center"/>
    </xf>
    <xf numFmtId="0" fontId="15" fillId="0" borderId="0" pivotButton="0" quotePrefix="0" xfId="0"/>
    <xf numFmtId="0" fontId="16" fillId="7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164" fontId="0" fillId="8" borderId="1" applyAlignment="1" pivotButton="0" quotePrefix="0" xfId="0">
      <alignment vertical="top" wrapText="1"/>
    </xf>
    <xf numFmtId="1" fontId="0" fillId="8" borderId="1" applyAlignment="1" pivotButton="0" quotePrefix="0" xfId="0">
      <alignment vertical="top" wrapText="1"/>
    </xf>
    <xf numFmtId="0" fontId="17" fillId="0" borderId="0" applyAlignment="1" pivotButton="0" quotePrefix="0" xfId="0">
      <alignment horizontal="right" vertical="center"/>
    </xf>
    <xf numFmtId="1" fontId="18" fillId="2" borderId="1" applyAlignment="1" pivotButton="0" quotePrefix="0" xfId="0">
      <alignment horizontal="center" vertical="center"/>
    </xf>
    <xf numFmtId="0" fontId="19" fillId="0" borderId="1" applyAlignment="1" pivotButton="0" quotePrefix="0" xfId="0">
      <alignment vertical="top" wrapText="1"/>
    </xf>
    <xf numFmtId="0" fontId="19" fillId="8" borderId="1" applyAlignment="1" pivotButton="0" quotePrefix="0" xfId="0">
      <alignment vertical="top" wrapText="1"/>
    </xf>
  </cellXfs>
  <cellStyles count="1">
    <cellStyle name="Normal" xfId="0" builtinId="0" hidden="0"/>
  </cellStyles>
  <dxfs count="7">
    <dxf>
      <fill>
        <patternFill patternType="solid">
          <fgColor rgb="00DCF2E4"/>
        </patternFill>
      </fill>
    </dxf>
    <dxf>
      <fill>
        <patternFill patternType="solid">
          <fgColor rgb="00F5DBDB"/>
        </patternFill>
      </fill>
    </dxf>
    <dxf>
      <fill>
        <patternFill patternType="solid">
          <fgColor rgb="00FFF1CC"/>
        </patternFill>
      </fill>
    </dxf>
    <dxf>
      <fill>
        <patternFill patternType="solid">
          <fgColor rgb="00E4E4EC"/>
        </patternFill>
      </fill>
    </dxf>
    <dxf>
      <fill>
        <patternFill patternType="solid">
          <fgColor rgb="00DCE9FF"/>
        </patternFill>
      </fill>
    </dxf>
    <dxf>
      <fill>
        <patternFill patternType="solid">
          <fgColor rgb="00BFE8CF"/>
        </patternFill>
      </fill>
    </dxf>
    <dxf>
      <fill>
        <patternFill patternType="solid">
          <fgColor rgb="00E3F1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28" customHeight="1">
      <c r="B2" s="1" t="inlineStr">
        <is>
          <t>Literature Review Tracker</t>
        </is>
      </c>
    </row>
    <row r="3" ht="20" customHeight="1">
      <c r="B3" s="2" t="inlineStr">
        <is>
          <t>From search strings to synthesis — your whole literature review in one calm spreadsheet.</t>
        </is>
      </c>
    </row>
    <row r="4" ht="18" customHeight="1">
      <c r="B4" s="3" t="inlineStr"/>
    </row>
    <row r="5" ht="21" customHeight="1">
      <c r="B5" s="4" t="inlineStr">
        <is>
          <t>HOW TO USE THIS WORKBOOK</t>
        </is>
      </c>
    </row>
    <row r="6" ht="19" customHeight="1">
      <c r="B6" s="5" t="inlineStr">
        <is>
          <t>1 · Dashboard — your review at a glance. Screening progress, reading progress, contradictions, gaps. Never type in a grey cell.</t>
        </is>
      </c>
    </row>
    <row r="7" ht="19" customHeight="1">
      <c r="B7" s="5" t="inlineStr">
        <is>
          <t>2 · Search Log — one row per search: database, date, the EXACT string, hits. A search counts once its exact string is logged. Your methods section will thank you.</t>
        </is>
      </c>
    </row>
    <row r="8" ht="19" customHeight="1">
      <c r="B8" s="5" t="inlineStr">
        <is>
          <t>3 · Screening — one row per record. Decide Include / Exclude / Maybe / Duplicate and pick the reason. The 'In Deep Read?' column checks automatically which included sources you still need to carry over — copy the Author (Year) cell into Deep Read, don't retype it: the auto-check matches the exact text.</t>
        </is>
      </c>
    </row>
    <row r="9" ht="19" customHeight="1">
      <c r="B9" s="5" t="inlineStr">
        <is>
          <t>4 · Deep Read — 300 rows, 19 fields per source: findings, methods, limitations, the gap it leaves open, quotes with page numbers, your critique.</t>
        </is>
      </c>
    </row>
    <row r="10" ht="19" customHeight="1">
      <c r="B10" s="5" t="inlineStr">
        <is>
          <t>5 · Synthesis Matrix — rename the theme columns to YOUR themes, then mark each source: Core / Supports / Contradicts / Mentions. The gap column is where your contribution starts.</t>
        </is>
      </c>
    </row>
    <row r="11" ht="19" customHeight="1">
      <c r="B11" s="5" t="inlineStr">
        <is>
          <t>6 · AI Research Prompts — 8 copy-paste prompts for real review work. They make the AI your assistant — the judgment stays yours.</t>
        </is>
      </c>
    </row>
    <row r="12" ht="18" customHeight="1">
      <c r="B12" s="3" t="inlineStr"/>
    </row>
    <row r="13" ht="19" customHeight="1">
      <c r="B13" s="5" t="inlineStr">
        <is>
          <t>GOOGLE SHEETS: File → Import → Upload this file. Formulas, dropdowns and colors survive the trip.</t>
        </is>
      </c>
    </row>
    <row r="14" ht="19" customHeight="1">
      <c r="B14" s="5" t="inlineStr">
        <is>
          <t>TIP: Duplicate the file per review. Archive, don't delete — your Search Log is the audit trail reviewers ask about.</t>
        </is>
      </c>
    </row>
    <row r="15" ht="18" customHeight="1">
      <c r="B15" s="3" t="inlineStr"/>
    </row>
    <row r="16" ht="18" customHeight="1">
      <c r="B16" s="6" t="inlineStr">
        <is>
          <t>LICENSE — Personal use. One buyer, unlimited own projects &amp; devices. Please don't resell or redistribute.</t>
        </is>
      </c>
    </row>
    <row r="17" ht="18" customHeight="1">
      <c r="B17" s="6" t="inlineStr">
        <is>
          <t>Questions or a broken formula? Message us on Etsy or kontakt@arbeitstyp.de — we answer within 48 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 read</t>
        </is>
      </c>
      <c r="B1" t="inlineStr">
        <is>
          <t>Include</t>
        </is>
      </c>
      <c r="C1" t="inlineStr">
        <is>
          <t>High</t>
        </is>
      </c>
      <c r="D1" t="inlineStr">
        <is>
          <t>Journal article</t>
        </is>
      </c>
      <c r="E1" t="inlineStr">
        <is>
          <t>Google Scholar</t>
        </is>
      </c>
      <c r="F1" t="inlineStr">
        <is>
          <t>Title/Abstract</t>
        </is>
      </c>
      <c r="G1" t="inlineStr">
        <is>
          <t>Off-topic</t>
        </is>
      </c>
      <c r="H1" t="inlineStr">
        <is>
          <t>Core</t>
        </is>
      </c>
    </row>
    <row r="2">
      <c r="A2" t="inlineStr">
        <is>
          <t>Reading</t>
        </is>
      </c>
      <c r="B2" t="inlineStr">
        <is>
          <t>Exclude</t>
        </is>
      </c>
      <c r="C2" t="inlineStr">
        <is>
          <t>Medium</t>
        </is>
      </c>
      <c r="D2" t="inlineStr">
        <is>
          <t>Book</t>
        </is>
      </c>
      <c r="E2" t="inlineStr">
        <is>
          <t>Scopus</t>
        </is>
      </c>
      <c r="F2" t="inlineStr">
        <is>
          <t>Full text</t>
        </is>
      </c>
      <c r="G2" t="inlineStr">
        <is>
          <t>Wrong population</t>
        </is>
      </c>
      <c r="H2" t="inlineStr">
        <is>
          <t>Supports</t>
        </is>
      </c>
    </row>
    <row r="3">
      <c r="A3" t="inlineStr">
        <is>
          <t>Read</t>
        </is>
      </c>
      <c r="B3" t="inlineStr">
        <is>
          <t>Maybe</t>
        </is>
      </c>
      <c r="C3" t="inlineStr">
        <is>
          <t>Low</t>
        </is>
      </c>
      <c r="D3" t="inlineStr">
        <is>
          <t>Book chapter</t>
        </is>
      </c>
      <c r="E3" t="inlineStr">
        <is>
          <t>Web of Science</t>
        </is>
      </c>
      <c r="G3" t="inlineStr">
        <is>
          <t>Wrong method/design</t>
        </is>
      </c>
      <c r="H3" t="inlineStr">
        <is>
          <t>Contradicts</t>
        </is>
      </c>
    </row>
    <row r="4">
      <c r="A4" t="inlineStr">
        <is>
          <t>Cited</t>
        </is>
      </c>
      <c r="B4" t="inlineStr">
        <is>
          <t>Duplicate</t>
        </is>
      </c>
      <c r="D4" t="inlineStr">
        <is>
          <t>Conference paper</t>
        </is>
      </c>
      <c r="E4" t="inlineStr">
        <is>
          <t>PubMed</t>
        </is>
      </c>
      <c r="G4" t="inlineStr">
        <is>
          <t>Wrong outcome</t>
        </is>
      </c>
      <c r="H4" t="inlineStr">
        <is>
          <t>Mentions</t>
        </is>
      </c>
    </row>
    <row r="5">
      <c r="A5" t="inlineStr">
        <is>
          <t>Parked</t>
        </is>
      </c>
      <c r="D5" t="inlineStr">
        <is>
          <t>Preprint</t>
        </is>
      </c>
      <c r="E5" t="inlineStr">
        <is>
          <t>PsycINFO</t>
        </is>
      </c>
      <c r="G5" t="inlineStr">
        <is>
          <t>Not peer-reviewed</t>
        </is>
      </c>
    </row>
    <row r="6">
      <c r="D6" t="inlineStr">
        <is>
          <t>Thesis</t>
        </is>
      </c>
      <c r="E6" t="inlineStr">
        <is>
          <t>ERIC</t>
        </is>
      </c>
      <c r="G6" t="inlineStr">
        <is>
          <t>Wrong language</t>
        </is>
      </c>
    </row>
    <row r="7">
      <c r="D7" t="inlineStr">
        <is>
          <t>Report</t>
        </is>
      </c>
      <c r="E7" t="inlineStr">
        <is>
          <t>IEEE Xplore</t>
        </is>
      </c>
      <c r="G7" t="inlineStr">
        <is>
          <t>Duplicate</t>
        </is>
      </c>
    </row>
    <row r="8">
      <c r="D8" t="inlineStr">
        <is>
          <t>Web/Other</t>
        </is>
      </c>
      <c r="E8" t="inlineStr">
        <is>
          <t>JSTOR</t>
        </is>
      </c>
      <c r="G8" t="inlineStr">
        <is>
          <t>No full text access</t>
        </is>
      </c>
    </row>
    <row r="9">
      <c r="E9" t="inlineStr">
        <is>
          <t>ProQuest</t>
        </is>
      </c>
      <c r="G9" t="inlineStr">
        <is>
          <t>Other</t>
        </is>
      </c>
    </row>
    <row r="10">
      <c r="E10" t="inlineStr">
        <is>
          <t>arXiv</t>
        </is>
      </c>
    </row>
    <row r="11">
      <c r="E11" t="inlineStr">
        <is>
          <t>SSRN</t>
        </is>
      </c>
    </row>
    <row r="12">
      <c r="E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4" customWidth="1" min="3" max="3"/>
    <col width="28" customWidth="1" min="4" max="4"/>
    <col width="14" customWidth="1" min="5" max="5"/>
    <col width="4" customWidth="1" min="6" max="6"/>
    <col width="30" customWidth="1" min="7" max="7"/>
    <col width="16" customWidth="1" min="8" max="8"/>
  </cols>
  <sheetData>
    <row r="1" ht="26" customHeight="1">
      <c r="A1" s="7" t="inlineStr">
        <is>
          <t>Dashboard</t>
        </is>
      </c>
    </row>
    <row r="2">
      <c r="A2" s="8" t="inlineStr">
        <is>
          <t>Live overview — all numbers update automatically from the other sheets.</t>
        </is>
      </c>
    </row>
    <row r="4">
      <c r="A4" s="9" t="inlineStr">
        <is>
          <t>SEARCH &amp; SCREENING</t>
        </is>
      </c>
      <c r="D4" s="9" t="inlineStr">
        <is>
          <t>DEEP READING</t>
        </is>
      </c>
      <c r="G4" s="9" t="inlineStr">
        <is>
          <t>SYNTHESIS &amp; GAPS</t>
        </is>
      </c>
    </row>
    <row r="5">
      <c r="A5" s="8" t="inlineStr">
        <is>
          <t>Searches logged</t>
        </is>
      </c>
      <c r="B5" s="8" t="inlineStr">
        <is>
          <t>Records screened</t>
        </is>
      </c>
      <c r="D5" s="8" t="inlineStr">
        <is>
          <t>Sources tracked</t>
        </is>
      </c>
      <c r="E5" s="8" t="inlineStr">
        <is>
          <t>Read or cited</t>
        </is>
      </c>
      <c r="G5" s="8" t="inlineStr">
        <is>
          <t>Theme links mapped</t>
        </is>
      </c>
      <c r="H5" s="8" t="inlineStr">
        <is>
          <t>Contradictions</t>
        </is>
      </c>
    </row>
    <row r="6">
      <c r="A6" s="10">
        <f>COUNTA('Search Log'!D5:D104)</f>
        <v/>
      </c>
      <c r="B6" s="10">
        <f>COUNTA(Screening!B5:B504)</f>
        <v/>
      </c>
      <c r="D6" s="10">
        <f>COUNTA('Deep Read'!B5:B304)</f>
        <v/>
      </c>
      <c r="E6" s="11">
        <f>COUNTIF('Deep Read'!F5:F304,"Read")+COUNTIF('Deep Read'!F5:F304,"Cited")</f>
        <v/>
      </c>
      <c r="G6" s="10">
        <f>COUNTA('Synthesis Matrix'!C6:J155)</f>
        <v/>
      </c>
      <c r="H6" s="12">
        <f>COUNTIF('Synthesis Matrix'!C6:J155,"Contradicts")</f>
        <v/>
      </c>
    </row>
    <row r="8">
      <c r="A8" s="8" t="inlineStr">
        <is>
          <t>Included</t>
        </is>
      </c>
      <c r="B8" s="8" t="inlineStr">
        <is>
          <t>Screening progress</t>
        </is>
      </c>
      <c r="D8" s="8" t="inlineStr">
        <is>
          <t>Reading now</t>
        </is>
      </c>
      <c r="E8" s="8" t="inlineStr">
        <is>
          <t>High-priority to read</t>
        </is>
      </c>
      <c r="G8" s="8" t="inlineStr">
        <is>
          <t>Gaps flagged</t>
        </is>
      </c>
      <c r="H8" s="8" t="inlineStr">
        <is>
          <t>Sources with quotes</t>
        </is>
      </c>
    </row>
    <row r="9">
      <c r="A9" s="11">
        <f>COUNTIF(Screening!G5:G504,"Include")</f>
        <v/>
      </c>
      <c r="B9" s="11">
        <f>IF(COUNTA(Screening!B5:B504)=0,"—",TEXT((COUNTIF(Screening!G5:G504,"Include")+COUNTIF(Screening!G5:G504,"Exclude")+COUNTIF(Screening!G5:G504,"Duplicate"))/COUNTA(Screening!B5:B504),"0%"))</f>
        <v/>
      </c>
      <c r="D9" s="10">
        <f>COUNTIF('Deep Read'!F5:F304,"Reading")</f>
        <v/>
      </c>
      <c r="E9" s="13">
        <f>COUNTIFS('Deep Read'!G5:G304,"High",'Deep Read'!F5:F304,"To read")</f>
        <v/>
      </c>
      <c r="G9" s="13">
        <f>COUNTA('Synthesis Matrix'!L6:L155)+COUNTA('Deep Read'!N5:N304)</f>
        <v/>
      </c>
      <c r="H9" s="11">
        <f>COUNTA('Deep Read'!O5:O304)</f>
        <v/>
      </c>
    </row>
    <row r="12">
      <c r="A12" s="9" t="inlineStr">
        <is>
          <t>PRISMA 2020 FLOW — THE NUMBERS YOU NEED</t>
        </is>
      </c>
    </row>
    <row r="13">
      <c r="A13" s="8" t="inlineStr">
        <is>
          <t>Identified (records exported)</t>
        </is>
      </c>
      <c r="B13" s="8" t="inlineStr">
        <is>
          <t>Screened (after dedup)</t>
        </is>
      </c>
      <c r="D13" s="8" t="inlineStr">
        <is>
          <t>Duplicates removed</t>
        </is>
      </c>
      <c r="E13" s="8" t="inlineStr">
        <is>
          <t>Excluded</t>
        </is>
      </c>
      <c r="G13" s="8" t="inlineStr">
        <is>
          <t>Undecided (Maybe)</t>
        </is>
      </c>
      <c r="H13" s="8" t="inlineStr">
        <is>
          <t>Included</t>
        </is>
      </c>
    </row>
    <row r="14">
      <c r="A14" s="10">
        <f>IF(SUM('Search Log'!G5:G104)=0,"—",SUM('Search Log'!G5:G104))</f>
        <v/>
      </c>
      <c r="B14" s="10">
        <f>COUNTA(Screening!B5:B504)-COUNTIF(Screening!G5:G504,"Duplicate")</f>
        <v/>
      </c>
      <c r="D14" s="14">
        <f>COUNTIF(Screening!G5:G504,"Duplicate")</f>
        <v/>
      </c>
      <c r="E14" s="12">
        <f>COUNTIF(Screening!G5:G504,"Exclude")</f>
        <v/>
      </c>
      <c r="G14" s="13">
        <f>COUNTIF(Screening!G5:G504,"Maybe")</f>
        <v/>
      </c>
      <c r="H14" s="11">
        <f>COUNTIF(Screening!G5:G504,"Include")</f>
        <v/>
      </c>
    </row>
    <row r="16">
      <c r="A16" s="15" t="inlineStr">
        <is>
          <t>The headline counts for a PRISMA 2020 flow diagram — stage-level splits (reason × stage) live in your Screening sheet, filter by Stage + Reason.</t>
        </is>
      </c>
    </row>
    <row r="17">
      <c r="A17" s="15" t="inlineStr">
        <is>
          <t>Never type on this sheet — it computes itself.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8" customWidth="1" min="3" max="3"/>
    <col width="46" customWidth="1" min="4" max="4"/>
    <col width="26" customWidth="1" min="5" max="5"/>
    <col width="10" customWidth="1" min="6" max="6"/>
    <col width="12" customWidth="1" min="7" max="7"/>
    <col width="34" customWidth="1" min="8" max="8"/>
  </cols>
  <sheetData>
    <row r="1" ht="26" customHeight="1">
      <c r="A1" s="7" t="inlineStr">
        <is>
          <t>Search Log</t>
        </is>
      </c>
    </row>
    <row r="2">
      <c r="A2" s="8" t="inlineStr">
        <is>
          <t>One row per search. Log the EXACT string and the hit count — your methods section and your future self will thank you.</t>
        </is>
      </c>
    </row>
    <row r="4" ht="30" customHeight="1">
      <c r="A4" s="16" t="inlineStr">
        <is>
          <t>#</t>
        </is>
      </c>
      <c r="B4" s="16" t="inlineStr">
        <is>
          <t>Date</t>
        </is>
      </c>
      <c r="C4" s="16" t="inlineStr">
        <is>
          <t>Database</t>
        </is>
      </c>
      <c r="D4" s="16" t="inlineStr">
        <is>
          <t>Search string (exact)</t>
        </is>
      </c>
      <c r="E4" s="16" t="inlineStr">
        <is>
          <t>Filters / limits</t>
        </is>
      </c>
      <c r="F4" s="16" t="inlineStr">
        <is>
          <t>Results</t>
        </is>
      </c>
      <c r="G4" s="16" t="inlineStr">
        <is>
          <t>Exported to Screening</t>
        </is>
      </c>
      <c r="H4" s="16" t="inlineStr">
        <is>
          <t>Notes / refine next</t>
        </is>
      </c>
    </row>
    <row r="5">
      <c r="A5" s="17">
        <f>IF(D5="","",ROW()-4)</f>
        <v/>
      </c>
      <c r="B5" s="18" t="n"/>
      <c r="C5" s="17" t="n"/>
      <c r="D5" s="17" t="n"/>
      <c r="E5" s="17" t="n"/>
      <c r="F5" s="19" t="n"/>
      <c r="G5" s="19" t="n"/>
      <c r="H5" s="17" t="n"/>
    </row>
    <row r="6">
      <c r="A6" s="20">
        <f>IF(D6="","",ROW()-4)</f>
        <v/>
      </c>
      <c r="B6" s="21" t="n"/>
      <c r="C6" s="20" t="n"/>
      <c r="D6" s="20" t="n"/>
      <c r="E6" s="20" t="n"/>
      <c r="F6" s="22" t="n"/>
      <c r="G6" s="22" t="n"/>
      <c r="H6" s="20" t="n"/>
    </row>
    <row r="7">
      <c r="A7" s="17">
        <f>IF(D7="","",ROW()-4)</f>
        <v/>
      </c>
      <c r="B7" s="18" t="n"/>
      <c r="C7" s="17" t="n"/>
      <c r="D7" s="17" t="n"/>
      <c r="E7" s="17" t="n"/>
      <c r="F7" s="19" t="n"/>
      <c r="G7" s="19" t="n"/>
      <c r="H7" s="17" t="n"/>
    </row>
    <row r="8">
      <c r="A8" s="20">
        <f>IF(D8="","",ROW()-4)</f>
        <v/>
      </c>
      <c r="B8" s="21" t="n"/>
      <c r="C8" s="20" t="n"/>
      <c r="D8" s="20" t="n"/>
      <c r="E8" s="20" t="n"/>
      <c r="F8" s="22" t="n"/>
      <c r="G8" s="22" t="n"/>
      <c r="H8" s="20" t="n"/>
    </row>
    <row r="9">
      <c r="A9" s="17">
        <f>IF(D9="","",ROW()-4)</f>
        <v/>
      </c>
      <c r="B9" s="18" t="n"/>
      <c r="C9" s="17" t="n"/>
      <c r="D9" s="17" t="n"/>
      <c r="E9" s="17" t="n"/>
      <c r="F9" s="19" t="n"/>
      <c r="G9" s="19" t="n"/>
      <c r="H9" s="17" t="n"/>
    </row>
    <row r="10">
      <c r="A10" s="20">
        <f>IF(D10="","",ROW()-4)</f>
        <v/>
      </c>
      <c r="B10" s="21" t="n"/>
      <c r="C10" s="20" t="n"/>
      <c r="D10" s="20" t="n"/>
      <c r="E10" s="20" t="n"/>
      <c r="F10" s="22" t="n"/>
      <c r="G10" s="22" t="n"/>
      <c r="H10" s="20" t="n"/>
    </row>
    <row r="11">
      <c r="A11" s="17">
        <f>IF(D11="","",ROW()-4)</f>
        <v/>
      </c>
      <c r="B11" s="18" t="n"/>
      <c r="C11" s="17" t="n"/>
      <c r="D11" s="17" t="n"/>
      <c r="E11" s="17" t="n"/>
      <c r="F11" s="19" t="n"/>
      <c r="G11" s="19" t="n"/>
      <c r="H11" s="17" t="n"/>
    </row>
    <row r="12">
      <c r="A12" s="20">
        <f>IF(D12="","",ROW()-4)</f>
        <v/>
      </c>
      <c r="B12" s="21" t="n"/>
      <c r="C12" s="20" t="n"/>
      <c r="D12" s="20" t="n"/>
      <c r="E12" s="20" t="n"/>
      <c r="F12" s="22" t="n"/>
      <c r="G12" s="22" t="n"/>
      <c r="H12" s="20" t="n"/>
    </row>
    <row r="13">
      <c r="A13" s="17">
        <f>IF(D13="","",ROW()-4)</f>
        <v/>
      </c>
      <c r="B13" s="18" t="n"/>
      <c r="C13" s="17" t="n"/>
      <c r="D13" s="17" t="n"/>
      <c r="E13" s="17" t="n"/>
      <c r="F13" s="19" t="n"/>
      <c r="G13" s="19" t="n"/>
      <c r="H13" s="17" t="n"/>
    </row>
    <row r="14">
      <c r="A14" s="20">
        <f>IF(D14="","",ROW()-4)</f>
        <v/>
      </c>
      <c r="B14" s="21" t="n"/>
      <c r="C14" s="20" t="n"/>
      <c r="D14" s="20" t="n"/>
      <c r="E14" s="20" t="n"/>
      <c r="F14" s="22" t="n"/>
      <c r="G14" s="22" t="n"/>
      <c r="H14" s="20" t="n"/>
    </row>
    <row r="15">
      <c r="A15" s="17">
        <f>IF(D15="","",ROW()-4)</f>
        <v/>
      </c>
      <c r="B15" s="18" t="n"/>
      <c r="C15" s="17" t="n"/>
      <c r="D15" s="17" t="n"/>
      <c r="E15" s="17" t="n"/>
      <c r="F15" s="19" t="n"/>
      <c r="G15" s="19" t="n"/>
      <c r="H15" s="17" t="n"/>
    </row>
    <row r="16">
      <c r="A16" s="20">
        <f>IF(D16="","",ROW()-4)</f>
        <v/>
      </c>
      <c r="B16" s="21" t="n"/>
      <c r="C16" s="20" t="n"/>
      <c r="D16" s="20" t="n"/>
      <c r="E16" s="20" t="n"/>
      <c r="F16" s="22" t="n"/>
      <c r="G16" s="22" t="n"/>
      <c r="H16" s="20" t="n"/>
    </row>
    <row r="17">
      <c r="A17" s="17">
        <f>IF(D17="","",ROW()-4)</f>
        <v/>
      </c>
      <c r="B17" s="18" t="n"/>
      <c r="C17" s="17" t="n"/>
      <c r="D17" s="17" t="n"/>
      <c r="E17" s="17" t="n"/>
      <c r="F17" s="19" t="n"/>
      <c r="G17" s="19" t="n"/>
      <c r="H17" s="17" t="n"/>
    </row>
    <row r="18">
      <c r="A18" s="20">
        <f>IF(D18="","",ROW()-4)</f>
        <v/>
      </c>
      <c r="B18" s="21" t="n"/>
      <c r="C18" s="20" t="n"/>
      <c r="D18" s="20" t="n"/>
      <c r="E18" s="20" t="n"/>
      <c r="F18" s="22" t="n"/>
      <c r="G18" s="22" t="n"/>
      <c r="H18" s="20" t="n"/>
    </row>
    <row r="19">
      <c r="A19" s="17">
        <f>IF(D19="","",ROW()-4)</f>
        <v/>
      </c>
      <c r="B19" s="18" t="n"/>
      <c r="C19" s="17" t="n"/>
      <c r="D19" s="17" t="n"/>
      <c r="E19" s="17" t="n"/>
      <c r="F19" s="19" t="n"/>
      <c r="G19" s="19" t="n"/>
      <c r="H19" s="17" t="n"/>
    </row>
    <row r="20">
      <c r="A20" s="20">
        <f>IF(D20="","",ROW()-4)</f>
        <v/>
      </c>
      <c r="B20" s="21" t="n"/>
      <c r="C20" s="20" t="n"/>
      <c r="D20" s="20" t="n"/>
      <c r="E20" s="20" t="n"/>
      <c r="F20" s="22" t="n"/>
      <c r="G20" s="22" t="n"/>
      <c r="H20" s="20" t="n"/>
    </row>
    <row r="21">
      <c r="A21" s="17">
        <f>IF(D21="","",ROW()-4)</f>
        <v/>
      </c>
      <c r="B21" s="18" t="n"/>
      <c r="C21" s="17" t="n"/>
      <c r="D21" s="17" t="n"/>
      <c r="E21" s="17" t="n"/>
      <c r="F21" s="19" t="n"/>
      <c r="G21" s="19" t="n"/>
      <c r="H21" s="17" t="n"/>
    </row>
    <row r="22">
      <c r="A22" s="20">
        <f>IF(D22="","",ROW()-4)</f>
        <v/>
      </c>
      <c r="B22" s="21" t="n"/>
      <c r="C22" s="20" t="n"/>
      <c r="D22" s="20" t="n"/>
      <c r="E22" s="20" t="n"/>
      <c r="F22" s="22" t="n"/>
      <c r="G22" s="22" t="n"/>
      <c r="H22" s="20" t="n"/>
    </row>
    <row r="23">
      <c r="A23" s="17">
        <f>IF(D23="","",ROW()-4)</f>
        <v/>
      </c>
      <c r="B23" s="18" t="n"/>
      <c r="C23" s="17" t="n"/>
      <c r="D23" s="17" t="n"/>
      <c r="E23" s="17" t="n"/>
      <c r="F23" s="19" t="n"/>
      <c r="G23" s="19" t="n"/>
      <c r="H23" s="17" t="n"/>
    </row>
    <row r="24">
      <c r="A24" s="20">
        <f>IF(D24="","",ROW()-4)</f>
        <v/>
      </c>
      <c r="B24" s="21" t="n"/>
      <c r="C24" s="20" t="n"/>
      <c r="D24" s="20" t="n"/>
      <c r="E24" s="20" t="n"/>
      <c r="F24" s="22" t="n"/>
      <c r="G24" s="22" t="n"/>
      <c r="H24" s="20" t="n"/>
    </row>
    <row r="25">
      <c r="A25" s="17">
        <f>IF(D25="","",ROW()-4)</f>
        <v/>
      </c>
      <c r="B25" s="18" t="n"/>
      <c r="C25" s="17" t="n"/>
      <c r="D25" s="17" t="n"/>
      <c r="E25" s="17" t="n"/>
      <c r="F25" s="19" t="n"/>
      <c r="G25" s="19" t="n"/>
      <c r="H25" s="17" t="n"/>
    </row>
    <row r="26">
      <c r="A26" s="20">
        <f>IF(D26="","",ROW()-4)</f>
        <v/>
      </c>
      <c r="B26" s="21" t="n"/>
      <c r="C26" s="20" t="n"/>
      <c r="D26" s="20" t="n"/>
      <c r="E26" s="20" t="n"/>
      <c r="F26" s="22" t="n"/>
      <c r="G26" s="22" t="n"/>
      <c r="H26" s="20" t="n"/>
    </row>
    <row r="27">
      <c r="A27" s="17">
        <f>IF(D27="","",ROW()-4)</f>
        <v/>
      </c>
      <c r="B27" s="18" t="n"/>
      <c r="C27" s="17" t="n"/>
      <c r="D27" s="17" t="n"/>
      <c r="E27" s="17" t="n"/>
      <c r="F27" s="19" t="n"/>
      <c r="G27" s="19" t="n"/>
      <c r="H27" s="17" t="n"/>
    </row>
    <row r="28">
      <c r="A28" s="20">
        <f>IF(D28="","",ROW()-4)</f>
        <v/>
      </c>
      <c r="B28" s="21" t="n"/>
      <c r="C28" s="20" t="n"/>
      <c r="D28" s="20" t="n"/>
      <c r="E28" s="20" t="n"/>
      <c r="F28" s="22" t="n"/>
      <c r="G28" s="22" t="n"/>
      <c r="H28" s="20" t="n"/>
    </row>
    <row r="29">
      <c r="A29" s="17">
        <f>IF(D29="","",ROW()-4)</f>
        <v/>
      </c>
      <c r="B29" s="18" t="n"/>
      <c r="C29" s="17" t="n"/>
      <c r="D29" s="17" t="n"/>
      <c r="E29" s="17" t="n"/>
      <c r="F29" s="19" t="n"/>
      <c r="G29" s="19" t="n"/>
      <c r="H29" s="17" t="n"/>
    </row>
    <row r="30">
      <c r="A30" s="20">
        <f>IF(D30="","",ROW()-4)</f>
        <v/>
      </c>
      <c r="B30" s="21" t="n"/>
      <c r="C30" s="20" t="n"/>
      <c r="D30" s="20" t="n"/>
      <c r="E30" s="20" t="n"/>
      <c r="F30" s="22" t="n"/>
      <c r="G30" s="22" t="n"/>
      <c r="H30" s="20" t="n"/>
    </row>
    <row r="31">
      <c r="A31" s="17">
        <f>IF(D31="","",ROW()-4)</f>
        <v/>
      </c>
      <c r="B31" s="18" t="n"/>
      <c r="C31" s="17" t="n"/>
      <c r="D31" s="17" t="n"/>
      <c r="E31" s="17" t="n"/>
      <c r="F31" s="19" t="n"/>
      <c r="G31" s="19" t="n"/>
      <c r="H31" s="17" t="n"/>
    </row>
    <row r="32">
      <c r="A32" s="20">
        <f>IF(D32="","",ROW()-4)</f>
        <v/>
      </c>
      <c r="B32" s="21" t="n"/>
      <c r="C32" s="20" t="n"/>
      <c r="D32" s="20" t="n"/>
      <c r="E32" s="20" t="n"/>
      <c r="F32" s="22" t="n"/>
      <c r="G32" s="22" t="n"/>
      <c r="H32" s="20" t="n"/>
    </row>
    <row r="33">
      <c r="A33" s="17">
        <f>IF(D33="","",ROW()-4)</f>
        <v/>
      </c>
      <c r="B33" s="18" t="n"/>
      <c r="C33" s="17" t="n"/>
      <c r="D33" s="17" t="n"/>
      <c r="E33" s="17" t="n"/>
      <c r="F33" s="19" t="n"/>
      <c r="G33" s="19" t="n"/>
      <c r="H33" s="17" t="n"/>
    </row>
    <row r="34">
      <c r="A34" s="20">
        <f>IF(D34="","",ROW()-4)</f>
        <v/>
      </c>
      <c r="B34" s="21" t="n"/>
      <c r="C34" s="20" t="n"/>
      <c r="D34" s="20" t="n"/>
      <c r="E34" s="20" t="n"/>
      <c r="F34" s="22" t="n"/>
      <c r="G34" s="22" t="n"/>
      <c r="H34" s="20" t="n"/>
    </row>
    <row r="35">
      <c r="A35" s="17">
        <f>IF(D35="","",ROW()-4)</f>
        <v/>
      </c>
      <c r="B35" s="18" t="n"/>
      <c r="C35" s="17" t="n"/>
      <c r="D35" s="17" t="n"/>
      <c r="E35" s="17" t="n"/>
      <c r="F35" s="19" t="n"/>
      <c r="G35" s="19" t="n"/>
      <c r="H35" s="17" t="n"/>
    </row>
    <row r="36">
      <c r="A36" s="20">
        <f>IF(D36="","",ROW()-4)</f>
        <v/>
      </c>
      <c r="B36" s="21" t="n"/>
      <c r="C36" s="20" t="n"/>
      <c r="D36" s="20" t="n"/>
      <c r="E36" s="20" t="n"/>
      <c r="F36" s="22" t="n"/>
      <c r="G36" s="22" t="n"/>
      <c r="H36" s="20" t="n"/>
    </row>
    <row r="37">
      <c r="A37" s="17">
        <f>IF(D37="","",ROW()-4)</f>
        <v/>
      </c>
      <c r="B37" s="18" t="n"/>
      <c r="C37" s="17" t="n"/>
      <c r="D37" s="17" t="n"/>
      <c r="E37" s="17" t="n"/>
      <c r="F37" s="19" t="n"/>
      <c r="G37" s="19" t="n"/>
      <c r="H37" s="17" t="n"/>
    </row>
    <row r="38">
      <c r="A38" s="20">
        <f>IF(D38="","",ROW()-4)</f>
        <v/>
      </c>
      <c r="B38" s="21" t="n"/>
      <c r="C38" s="20" t="n"/>
      <c r="D38" s="20" t="n"/>
      <c r="E38" s="20" t="n"/>
      <c r="F38" s="22" t="n"/>
      <c r="G38" s="22" t="n"/>
      <c r="H38" s="20" t="n"/>
    </row>
    <row r="39">
      <c r="A39" s="17">
        <f>IF(D39="","",ROW()-4)</f>
        <v/>
      </c>
      <c r="B39" s="18" t="n"/>
      <c r="C39" s="17" t="n"/>
      <c r="D39" s="17" t="n"/>
      <c r="E39" s="17" t="n"/>
      <c r="F39" s="19" t="n"/>
      <c r="G39" s="19" t="n"/>
      <c r="H39" s="17" t="n"/>
    </row>
    <row r="40">
      <c r="A40" s="20">
        <f>IF(D40="","",ROW()-4)</f>
        <v/>
      </c>
      <c r="B40" s="21" t="n"/>
      <c r="C40" s="20" t="n"/>
      <c r="D40" s="20" t="n"/>
      <c r="E40" s="20" t="n"/>
      <c r="F40" s="22" t="n"/>
      <c r="G40" s="22" t="n"/>
      <c r="H40" s="20" t="n"/>
    </row>
    <row r="41">
      <c r="A41" s="17">
        <f>IF(D41="","",ROW()-4)</f>
        <v/>
      </c>
      <c r="B41" s="18" t="n"/>
      <c r="C41" s="17" t="n"/>
      <c r="D41" s="17" t="n"/>
      <c r="E41" s="17" t="n"/>
      <c r="F41" s="19" t="n"/>
      <c r="G41" s="19" t="n"/>
      <c r="H41" s="17" t="n"/>
    </row>
    <row r="42">
      <c r="A42" s="20">
        <f>IF(D42="","",ROW()-4)</f>
        <v/>
      </c>
      <c r="B42" s="21" t="n"/>
      <c r="C42" s="20" t="n"/>
      <c r="D42" s="20" t="n"/>
      <c r="E42" s="20" t="n"/>
      <c r="F42" s="22" t="n"/>
      <c r="G42" s="22" t="n"/>
      <c r="H42" s="20" t="n"/>
    </row>
    <row r="43">
      <c r="A43" s="17">
        <f>IF(D43="","",ROW()-4)</f>
        <v/>
      </c>
      <c r="B43" s="18" t="n"/>
      <c r="C43" s="17" t="n"/>
      <c r="D43" s="17" t="n"/>
      <c r="E43" s="17" t="n"/>
      <c r="F43" s="19" t="n"/>
      <c r="G43" s="19" t="n"/>
      <c r="H43" s="17" t="n"/>
    </row>
    <row r="44">
      <c r="A44" s="20">
        <f>IF(D44="","",ROW()-4)</f>
        <v/>
      </c>
      <c r="B44" s="21" t="n"/>
      <c r="C44" s="20" t="n"/>
      <c r="D44" s="20" t="n"/>
      <c r="E44" s="20" t="n"/>
      <c r="F44" s="22" t="n"/>
      <c r="G44" s="22" t="n"/>
      <c r="H44" s="20" t="n"/>
    </row>
    <row r="45">
      <c r="A45" s="17">
        <f>IF(D45="","",ROW()-4)</f>
        <v/>
      </c>
      <c r="B45" s="18" t="n"/>
      <c r="C45" s="17" t="n"/>
      <c r="D45" s="17" t="n"/>
      <c r="E45" s="17" t="n"/>
      <c r="F45" s="19" t="n"/>
      <c r="G45" s="19" t="n"/>
      <c r="H45" s="17" t="n"/>
    </row>
    <row r="46">
      <c r="A46" s="20">
        <f>IF(D46="","",ROW()-4)</f>
        <v/>
      </c>
      <c r="B46" s="21" t="n"/>
      <c r="C46" s="20" t="n"/>
      <c r="D46" s="20" t="n"/>
      <c r="E46" s="20" t="n"/>
      <c r="F46" s="22" t="n"/>
      <c r="G46" s="22" t="n"/>
      <c r="H46" s="20" t="n"/>
    </row>
    <row r="47">
      <c r="A47" s="17">
        <f>IF(D47="","",ROW()-4)</f>
        <v/>
      </c>
      <c r="B47" s="18" t="n"/>
      <c r="C47" s="17" t="n"/>
      <c r="D47" s="17" t="n"/>
      <c r="E47" s="17" t="n"/>
      <c r="F47" s="19" t="n"/>
      <c r="G47" s="19" t="n"/>
      <c r="H47" s="17" t="n"/>
    </row>
    <row r="48">
      <c r="A48" s="20">
        <f>IF(D48="","",ROW()-4)</f>
        <v/>
      </c>
      <c r="B48" s="21" t="n"/>
      <c r="C48" s="20" t="n"/>
      <c r="D48" s="20" t="n"/>
      <c r="E48" s="20" t="n"/>
      <c r="F48" s="22" t="n"/>
      <c r="G48" s="22" t="n"/>
      <c r="H48" s="20" t="n"/>
    </row>
    <row r="49">
      <c r="A49" s="17">
        <f>IF(D49="","",ROW()-4)</f>
        <v/>
      </c>
      <c r="B49" s="18" t="n"/>
      <c r="C49" s="17" t="n"/>
      <c r="D49" s="17" t="n"/>
      <c r="E49" s="17" t="n"/>
      <c r="F49" s="19" t="n"/>
      <c r="G49" s="19" t="n"/>
      <c r="H49" s="17" t="n"/>
    </row>
    <row r="50">
      <c r="A50" s="20">
        <f>IF(D50="","",ROW()-4)</f>
        <v/>
      </c>
      <c r="B50" s="21" t="n"/>
      <c r="C50" s="20" t="n"/>
      <c r="D50" s="20" t="n"/>
      <c r="E50" s="20" t="n"/>
      <c r="F50" s="22" t="n"/>
      <c r="G50" s="22" t="n"/>
      <c r="H50" s="20" t="n"/>
    </row>
    <row r="51">
      <c r="A51" s="17">
        <f>IF(D51="","",ROW()-4)</f>
        <v/>
      </c>
      <c r="B51" s="18" t="n"/>
      <c r="C51" s="17" t="n"/>
      <c r="D51" s="17" t="n"/>
      <c r="E51" s="17" t="n"/>
      <c r="F51" s="19" t="n"/>
      <c r="G51" s="19" t="n"/>
      <c r="H51" s="17" t="n"/>
    </row>
    <row r="52">
      <c r="A52" s="20">
        <f>IF(D52="","",ROW()-4)</f>
        <v/>
      </c>
      <c r="B52" s="21" t="n"/>
      <c r="C52" s="20" t="n"/>
      <c r="D52" s="20" t="n"/>
      <c r="E52" s="20" t="n"/>
      <c r="F52" s="22" t="n"/>
      <c r="G52" s="22" t="n"/>
      <c r="H52" s="20" t="n"/>
    </row>
    <row r="53">
      <c r="A53" s="17">
        <f>IF(D53="","",ROW()-4)</f>
        <v/>
      </c>
      <c r="B53" s="18" t="n"/>
      <c r="C53" s="17" t="n"/>
      <c r="D53" s="17" t="n"/>
      <c r="E53" s="17" t="n"/>
      <c r="F53" s="19" t="n"/>
      <c r="G53" s="19" t="n"/>
      <c r="H53" s="17" t="n"/>
    </row>
    <row r="54">
      <c r="A54" s="20">
        <f>IF(D54="","",ROW()-4)</f>
        <v/>
      </c>
      <c r="B54" s="21" t="n"/>
      <c r="C54" s="20" t="n"/>
      <c r="D54" s="20" t="n"/>
      <c r="E54" s="20" t="n"/>
      <c r="F54" s="22" t="n"/>
      <c r="G54" s="22" t="n"/>
      <c r="H54" s="20" t="n"/>
    </row>
    <row r="55">
      <c r="A55" s="17">
        <f>IF(D55="","",ROW()-4)</f>
        <v/>
      </c>
      <c r="B55" s="18" t="n"/>
      <c r="C55" s="17" t="n"/>
      <c r="D55" s="17" t="n"/>
      <c r="E55" s="17" t="n"/>
      <c r="F55" s="19" t="n"/>
      <c r="G55" s="19" t="n"/>
      <c r="H55" s="17" t="n"/>
    </row>
    <row r="56">
      <c r="A56" s="20">
        <f>IF(D56="","",ROW()-4)</f>
        <v/>
      </c>
      <c r="B56" s="21" t="n"/>
      <c r="C56" s="20" t="n"/>
      <c r="D56" s="20" t="n"/>
      <c r="E56" s="20" t="n"/>
      <c r="F56" s="22" t="n"/>
      <c r="G56" s="22" t="n"/>
      <c r="H56" s="20" t="n"/>
    </row>
    <row r="57">
      <c r="A57" s="17">
        <f>IF(D57="","",ROW()-4)</f>
        <v/>
      </c>
      <c r="B57" s="18" t="n"/>
      <c r="C57" s="17" t="n"/>
      <c r="D57" s="17" t="n"/>
      <c r="E57" s="17" t="n"/>
      <c r="F57" s="19" t="n"/>
      <c r="G57" s="19" t="n"/>
      <c r="H57" s="17" t="n"/>
    </row>
    <row r="58">
      <c r="A58" s="20">
        <f>IF(D58="","",ROW()-4)</f>
        <v/>
      </c>
      <c r="B58" s="21" t="n"/>
      <c r="C58" s="20" t="n"/>
      <c r="D58" s="20" t="n"/>
      <c r="E58" s="20" t="n"/>
      <c r="F58" s="22" t="n"/>
      <c r="G58" s="22" t="n"/>
      <c r="H58" s="20" t="n"/>
    </row>
    <row r="59">
      <c r="A59" s="17">
        <f>IF(D59="","",ROW()-4)</f>
        <v/>
      </c>
      <c r="B59" s="18" t="n"/>
      <c r="C59" s="17" t="n"/>
      <c r="D59" s="17" t="n"/>
      <c r="E59" s="17" t="n"/>
      <c r="F59" s="19" t="n"/>
      <c r="G59" s="19" t="n"/>
      <c r="H59" s="17" t="n"/>
    </row>
    <row r="60">
      <c r="A60" s="20">
        <f>IF(D60="","",ROW()-4)</f>
        <v/>
      </c>
      <c r="B60" s="21" t="n"/>
      <c r="C60" s="20" t="n"/>
      <c r="D60" s="20" t="n"/>
      <c r="E60" s="20" t="n"/>
      <c r="F60" s="22" t="n"/>
      <c r="G60" s="22" t="n"/>
      <c r="H60" s="20" t="n"/>
    </row>
    <row r="61">
      <c r="A61" s="17">
        <f>IF(D61="","",ROW()-4)</f>
        <v/>
      </c>
      <c r="B61" s="18" t="n"/>
      <c r="C61" s="17" t="n"/>
      <c r="D61" s="17" t="n"/>
      <c r="E61" s="17" t="n"/>
      <c r="F61" s="19" t="n"/>
      <c r="G61" s="19" t="n"/>
      <c r="H61" s="17" t="n"/>
    </row>
    <row r="62">
      <c r="A62" s="20">
        <f>IF(D62="","",ROW()-4)</f>
        <v/>
      </c>
      <c r="B62" s="21" t="n"/>
      <c r="C62" s="20" t="n"/>
      <c r="D62" s="20" t="n"/>
      <c r="E62" s="20" t="n"/>
      <c r="F62" s="22" t="n"/>
      <c r="G62" s="22" t="n"/>
      <c r="H62" s="20" t="n"/>
    </row>
    <row r="63">
      <c r="A63" s="17">
        <f>IF(D63="","",ROW()-4)</f>
        <v/>
      </c>
      <c r="B63" s="18" t="n"/>
      <c r="C63" s="17" t="n"/>
      <c r="D63" s="17" t="n"/>
      <c r="E63" s="17" t="n"/>
      <c r="F63" s="19" t="n"/>
      <c r="G63" s="19" t="n"/>
      <c r="H63" s="17" t="n"/>
    </row>
    <row r="64">
      <c r="A64" s="20">
        <f>IF(D64="","",ROW()-4)</f>
        <v/>
      </c>
      <c r="B64" s="21" t="n"/>
      <c r="C64" s="20" t="n"/>
      <c r="D64" s="20" t="n"/>
      <c r="E64" s="20" t="n"/>
      <c r="F64" s="22" t="n"/>
      <c r="G64" s="22" t="n"/>
      <c r="H64" s="20" t="n"/>
    </row>
    <row r="65">
      <c r="A65" s="17">
        <f>IF(D65="","",ROW()-4)</f>
        <v/>
      </c>
      <c r="B65" s="18" t="n"/>
      <c r="C65" s="17" t="n"/>
      <c r="D65" s="17" t="n"/>
      <c r="E65" s="17" t="n"/>
      <c r="F65" s="19" t="n"/>
      <c r="G65" s="19" t="n"/>
      <c r="H65" s="17" t="n"/>
    </row>
    <row r="66">
      <c r="A66" s="20">
        <f>IF(D66="","",ROW()-4)</f>
        <v/>
      </c>
      <c r="B66" s="21" t="n"/>
      <c r="C66" s="20" t="n"/>
      <c r="D66" s="20" t="n"/>
      <c r="E66" s="20" t="n"/>
      <c r="F66" s="22" t="n"/>
      <c r="G66" s="22" t="n"/>
      <c r="H66" s="20" t="n"/>
    </row>
    <row r="67">
      <c r="A67" s="17">
        <f>IF(D67="","",ROW()-4)</f>
        <v/>
      </c>
      <c r="B67" s="18" t="n"/>
      <c r="C67" s="17" t="n"/>
      <c r="D67" s="17" t="n"/>
      <c r="E67" s="17" t="n"/>
      <c r="F67" s="19" t="n"/>
      <c r="G67" s="19" t="n"/>
      <c r="H67" s="17" t="n"/>
    </row>
    <row r="68">
      <c r="A68" s="20">
        <f>IF(D68="","",ROW()-4)</f>
        <v/>
      </c>
      <c r="B68" s="21" t="n"/>
      <c r="C68" s="20" t="n"/>
      <c r="D68" s="20" t="n"/>
      <c r="E68" s="20" t="n"/>
      <c r="F68" s="22" t="n"/>
      <c r="G68" s="22" t="n"/>
      <c r="H68" s="20" t="n"/>
    </row>
    <row r="69">
      <c r="A69" s="17">
        <f>IF(D69="","",ROW()-4)</f>
        <v/>
      </c>
      <c r="B69" s="18" t="n"/>
      <c r="C69" s="17" t="n"/>
      <c r="D69" s="17" t="n"/>
      <c r="E69" s="17" t="n"/>
      <c r="F69" s="19" t="n"/>
      <c r="G69" s="19" t="n"/>
      <c r="H69" s="17" t="n"/>
    </row>
    <row r="70">
      <c r="A70" s="20">
        <f>IF(D70="","",ROW()-4)</f>
        <v/>
      </c>
      <c r="B70" s="21" t="n"/>
      <c r="C70" s="20" t="n"/>
      <c r="D70" s="20" t="n"/>
      <c r="E70" s="20" t="n"/>
      <c r="F70" s="22" t="n"/>
      <c r="G70" s="22" t="n"/>
      <c r="H70" s="20" t="n"/>
    </row>
    <row r="71">
      <c r="A71" s="17">
        <f>IF(D71="","",ROW()-4)</f>
        <v/>
      </c>
      <c r="B71" s="18" t="n"/>
      <c r="C71" s="17" t="n"/>
      <c r="D71" s="17" t="n"/>
      <c r="E71" s="17" t="n"/>
      <c r="F71" s="19" t="n"/>
      <c r="G71" s="19" t="n"/>
      <c r="H71" s="17" t="n"/>
    </row>
    <row r="72">
      <c r="A72" s="20">
        <f>IF(D72="","",ROW()-4)</f>
        <v/>
      </c>
      <c r="B72" s="21" t="n"/>
      <c r="C72" s="20" t="n"/>
      <c r="D72" s="20" t="n"/>
      <c r="E72" s="20" t="n"/>
      <c r="F72" s="22" t="n"/>
      <c r="G72" s="22" t="n"/>
      <c r="H72" s="20" t="n"/>
    </row>
    <row r="73">
      <c r="A73" s="17">
        <f>IF(D73="","",ROW()-4)</f>
        <v/>
      </c>
      <c r="B73" s="18" t="n"/>
      <c r="C73" s="17" t="n"/>
      <c r="D73" s="17" t="n"/>
      <c r="E73" s="17" t="n"/>
      <c r="F73" s="19" t="n"/>
      <c r="G73" s="19" t="n"/>
      <c r="H73" s="17" t="n"/>
    </row>
    <row r="74">
      <c r="A74" s="20">
        <f>IF(D74="","",ROW()-4)</f>
        <v/>
      </c>
      <c r="B74" s="21" t="n"/>
      <c r="C74" s="20" t="n"/>
      <c r="D74" s="20" t="n"/>
      <c r="E74" s="20" t="n"/>
      <c r="F74" s="22" t="n"/>
      <c r="G74" s="22" t="n"/>
      <c r="H74" s="20" t="n"/>
    </row>
    <row r="75">
      <c r="A75" s="17">
        <f>IF(D75="","",ROW()-4)</f>
        <v/>
      </c>
      <c r="B75" s="18" t="n"/>
      <c r="C75" s="17" t="n"/>
      <c r="D75" s="17" t="n"/>
      <c r="E75" s="17" t="n"/>
      <c r="F75" s="19" t="n"/>
      <c r="G75" s="19" t="n"/>
      <c r="H75" s="17" t="n"/>
    </row>
    <row r="76">
      <c r="A76" s="20">
        <f>IF(D76="","",ROW()-4)</f>
        <v/>
      </c>
      <c r="B76" s="21" t="n"/>
      <c r="C76" s="20" t="n"/>
      <c r="D76" s="20" t="n"/>
      <c r="E76" s="20" t="n"/>
      <c r="F76" s="22" t="n"/>
      <c r="G76" s="22" t="n"/>
      <c r="H76" s="20" t="n"/>
    </row>
    <row r="77">
      <c r="A77" s="17">
        <f>IF(D77="","",ROW()-4)</f>
        <v/>
      </c>
      <c r="B77" s="18" t="n"/>
      <c r="C77" s="17" t="n"/>
      <c r="D77" s="17" t="n"/>
      <c r="E77" s="17" t="n"/>
      <c r="F77" s="19" t="n"/>
      <c r="G77" s="19" t="n"/>
      <c r="H77" s="17" t="n"/>
    </row>
    <row r="78">
      <c r="A78" s="20">
        <f>IF(D78="","",ROW()-4)</f>
        <v/>
      </c>
      <c r="B78" s="21" t="n"/>
      <c r="C78" s="20" t="n"/>
      <c r="D78" s="20" t="n"/>
      <c r="E78" s="20" t="n"/>
      <c r="F78" s="22" t="n"/>
      <c r="G78" s="22" t="n"/>
      <c r="H78" s="20" t="n"/>
    </row>
    <row r="79">
      <c r="A79" s="17">
        <f>IF(D79="","",ROW()-4)</f>
        <v/>
      </c>
      <c r="B79" s="18" t="n"/>
      <c r="C79" s="17" t="n"/>
      <c r="D79" s="17" t="n"/>
      <c r="E79" s="17" t="n"/>
      <c r="F79" s="19" t="n"/>
      <c r="G79" s="19" t="n"/>
      <c r="H79" s="17" t="n"/>
    </row>
    <row r="80">
      <c r="A80" s="20">
        <f>IF(D80="","",ROW()-4)</f>
        <v/>
      </c>
      <c r="B80" s="21" t="n"/>
      <c r="C80" s="20" t="n"/>
      <c r="D80" s="20" t="n"/>
      <c r="E80" s="20" t="n"/>
      <c r="F80" s="22" t="n"/>
      <c r="G80" s="22" t="n"/>
      <c r="H80" s="20" t="n"/>
    </row>
    <row r="81">
      <c r="A81" s="17">
        <f>IF(D81="","",ROW()-4)</f>
        <v/>
      </c>
      <c r="B81" s="18" t="n"/>
      <c r="C81" s="17" t="n"/>
      <c r="D81" s="17" t="n"/>
      <c r="E81" s="17" t="n"/>
      <c r="F81" s="19" t="n"/>
      <c r="G81" s="19" t="n"/>
      <c r="H81" s="17" t="n"/>
    </row>
    <row r="82">
      <c r="A82" s="20">
        <f>IF(D82="","",ROW()-4)</f>
        <v/>
      </c>
      <c r="B82" s="21" t="n"/>
      <c r="C82" s="20" t="n"/>
      <c r="D82" s="20" t="n"/>
      <c r="E82" s="20" t="n"/>
      <c r="F82" s="22" t="n"/>
      <c r="G82" s="22" t="n"/>
      <c r="H82" s="20" t="n"/>
    </row>
    <row r="83">
      <c r="A83" s="17">
        <f>IF(D83="","",ROW()-4)</f>
        <v/>
      </c>
      <c r="B83" s="18" t="n"/>
      <c r="C83" s="17" t="n"/>
      <c r="D83" s="17" t="n"/>
      <c r="E83" s="17" t="n"/>
      <c r="F83" s="19" t="n"/>
      <c r="G83" s="19" t="n"/>
      <c r="H83" s="17" t="n"/>
    </row>
    <row r="84">
      <c r="A84" s="20">
        <f>IF(D84="","",ROW()-4)</f>
        <v/>
      </c>
      <c r="B84" s="21" t="n"/>
      <c r="C84" s="20" t="n"/>
      <c r="D84" s="20" t="n"/>
      <c r="E84" s="20" t="n"/>
      <c r="F84" s="22" t="n"/>
      <c r="G84" s="22" t="n"/>
      <c r="H84" s="20" t="n"/>
    </row>
    <row r="85">
      <c r="A85" s="17">
        <f>IF(D85="","",ROW()-4)</f>
        <v/>
      </c>
      <c r="B85" s="18" t="n"/>
      <c r="C85" s="17" t="n"/>
      <c r="D85" s="17" t="n"/>
      <c r="E85" s="17" t="n"/>
      <c r="F85" s="19" t="n"/>
      <c r="G85" s="19" t="n"/>
      <c r="H85" s="17" t="n"/>
    </row>
    <row r="86">
      <c r="A86" s="20">
        <f>IF(D86="","",ROW()-4)</f>
        <v/>
      </c>
      <c r="B86" s="21" t="n"/>
      <c r="C86" s="20" t="n"/>
      <c r="D86" s="20" t="n"/>
      <c r="E86" s="20" t="n"/>
      <c r="F86" s="22" t="n"/>
      <c r="G86" s="22" t="n"/>
      <c r="H86" s="20" t="n"/>
    </row>
    <row r="87">
      <c r="A87" s="17">
        <f>IF(D87="","",ROW()-4)</f>
        <v/>
      </c>
      <c r="B87" s="18" t="n"/>
      <c r="C87" s="17" t="n"/>
      <c r="D87" s="17" t="n"/>
      <c r="E87" s="17" t="n"/>
      <c r="F87" s="19" t="n"/>
      <c r="G87" s="19" t="n"/>
      <c r="H87" s="17" t="n"/>
    </row>
    <row r="88">
      <c r="A88" s="20">
        <f>IF(D88="","",ROW()-4)</f>
        <v/>
      </c>
      <c r="B88" s="21" t="n"/>
      <c r="C88" s="20" t="n"/>
      <c r="D88" s="20" t="n"/>
      <c r="E88" s="20" t="n"/>
      <c r="F88" s="22" t="n"/>
      <c r="G88" s="22" t="n"/>
      <c r="H88" s="20" t="n"/>
    </row>
    <row r="89">
      <c r="A89" s="17">
        <f>IF(D89="","",ROW()-4)</f>
        <v/>
      </c>
      <c r="B89" s="18" t="n"/>
      <c r="C89" s="17" t="n"/>
      <c r="D89" s="17" t="n"/>
      <c r="E89" s="17" t="n"/>
      <c r="F89" s="19" t="n"/>
      <c r="G89" s="19" t="n"/>
      <c r="H89" s="17" t="n"/>
    </row>
    <row r="90">
      <c r="A90" s="20">
        <f>IF(D90="","",ROW()-4)</f>
        <v/>
      </c>
      <c r="B90" s="21" t="n"/>
      <c r="C90" s="20" t="n"/>
      <c r="D90" s="20" t="n"/>
      <c r="E90" s="20" t="n"/>
      <c r="F90" s="22" t="n"/>
      <c r="G90" s="22" t="n"/>
      <c r="H90" s="20" t="n"/>
    </row>
    <row r="91">
      <c r="A91" s="17">
        <f>IF(D91="","",ROW()-4)</f>
        <v/>
      </c>
      <c r="B91" s="18" t="n"/>
      <c r="C91" s="17" t="n"/>
      <c r="D91" s="17" t="n"/>
      <c r="E91" s="17" t="n"/>
      <c r="F91" s="19" t="n"/>
      <c r="G91" s="19" t="n"/>
      <c r="H91" s="17" t="n"/>
    </row>
    <row r="92">
      <c r="A92" s="20">
        <f>IF(D92="","",ROW()-4)</f>
        <v/>
      </c>
      <c r="B92" s="21" t="n"/>
      <c r="C92" s="20" t="n"/>
      <c r="D92" s="20" t="n"/>
      <c r="E92" s="20" t="n"/>
      <c r="F92" s="22" t="n"/>
      <c r="G92" s="22" t="n"/>
      <c r="H92" s="20" t="n"/>
    </row>
    <row r="93">
      <c r="A93" s="17">
        <f>IF(D93="","",ROW()-4)</f>
        <v/>
      </c>
      <c r="B93" s="18" t="n"/>
      <c r="C93" s="17" t="n"/>
      <c r="D93" s="17" t="n"/>
      <c r="E93" s="17" t="n"/>
      <c r="F93" s="19" t="n"/>
      <c r="G93" s="19" t="n"/>
      <c r="H93" s="17" t="n"/>
    </row>
    <row r="94">
      <c r="A94" s="20">
        <f>IF(D94="","",ROW()-4)</f>
        <v/>
      </c>
      <c r="B94" s="21" t="n"/>
      <c r="C94" s="20" t="n"/>
      <c r="D94" s="20" t="n"/>
      <c r="E94" s="20" t="n"/>
      <c r="F94" s="22" t="n"/>
      <c r="G94" s="22" t="n"/>
      <c r="H94" s="20" t="n"/>
    </row>
    <row r="95">
      <c r="A95" s="17">
        <f>IF(D95="","",ROW()-4)</f>
        <v/>
      </c>
      <c r="B95" s="18" t="n"/>
      <c r="C95" s="17" t="n"/>
      <c r="D95" s="17" t="n"/>
      <c r="E95" s="17" t="n"/>
      <c r="F95" s="19" t="n"/>
      <c r="G95" s="19" t="n"/>
      <c r="H95" s="17" t="n"/>
    </row>
    <row r="96">
      <c r="A96" s="20">
        <f>IF(D96="","",ROW()-4)</f>
        <v/>
      </c>
      <c r="B96" s="21" t="n"/>
      <c r="C96" s="20" t="n"/>
      <c r="D96" s="20" t="n"/>
      <c r="E96" s="20" t="n"/>
      <c r="F96" s="22" t="n"/>
      <c r="G96" s="22" t="n"/>
      <c r="H96" s="20" t="n"/>
    </row>
    <row r="97">
      <c r="A97" s="17">
        <f>IF(D97="","",ROW()-4)</f>
        <v/>
      </c>
      <c r="B97" s="18" t="n"/>
      <c r="C97" s="17" t="n"/>
      <c r="D97" s="17" t="n"/>
      <c r="E97" s="17" t="n"/>
      <c r="F97" s="19" t="n"/>
      <c r="G97" s="19" t="n"/>
      <c r="H97" s="17" t="n"/>
    </row>
    <row r="98">
      <c r="A98" s="20">
        <f>IF(D98="","",ROW()-4)</f>
        <v/>
      </c>
      <c r="B98" s="21" t="n"/>
      <c r="C98" s="20" t="n"/>
      <c r="D98" s="20" t="n"/>
      <c r="E98" s="20" t="n"/>
      <c r="F98" s="22" t="n"/>
      <c r="G98" s="22" t="n"/>
      <c r="H98" s="20" t="n"/>
    </row>
    <row r="99">
      <c r="A99" s="17">
        <f>IF(D99="","",ROW()-4)</f>
        <v/>
      </c>
      <c r="B99" s="18" t="n"/>
      <c r="C99" s="17" t="n"/>
      <c r="D99" s="17" t="n"/>
      <c r="E99" s="17" t="n"/>
      <c r="F99" s="19" t="n"/>
      <c r="G99" s="19" t="n"/>
      <c r="H99" s="17" t="n"/>
    </row>
    <row r="100">
      <c r="A100" s="20">
        <f>IF(D100="","",ROW()-4)</f>
        <v/>
      </c>
      <c r="B100" s="21" t="n"/>
      <c r="C100" s="20" t="n"/>
      <c r="D100" s="20" t="n"/>
      <c r="E100" s="20" t="n"/>
      <c r="F100" s="22" t="n"/>
      <c r="G100" s="22" t="n"/>
      <c r="H100" s="20" t="n"/>
    </row>
    <row r="101">
      <c r="A101" s="17">
        <f>IF(D101="","",ROW()-4)</f>
        <v/>
      </c>
      <c r="B101" s="18" t="n"/>
      <c r="C101" s="17" t="n"/>
      <c r="D101" s="17" t="n"/>
      <c r="E101" s="17" t="n"/>
      <c r="F101" s="19" t="n"/>
      <c r="G101" s="19" t="n"/>
      <c r="H101" s="17" t="n"/>
    </row>
    <row r="102">
      <c r="A102" s="20">
        <f>IF(D102="","",ROW()-4)</f>
        <v/>
      </c>
      <c r="B102" s="21" t="n"/>
      <c r="C102" s="20" t="n"/>
      <c r="D102" s="20" t="n"/>
      <c r="E102" s="20" t="n"/>
      <c r="F102" s="22" t="n"/>
      <c r="G102" s="22" t="n"/>
      <c r="H102" s="20" t="n"/>
    </row>
    <row r="103">
      <c r="A103" s="17">
        <f>IF(D103="","",ROW()-4)</f>
        <v/>
      </c>
      <c r="B103" s="18" t="n"/>
      <c r="C103" s="17" t="n"/>
      <c r="D103" s="17" t="n"/>
      <c r="E103" s="17" t="n"/>
      <c r="F103" s="19" t="n"/>
      <c r="G103" s="19" t="n"/>
      <c r="H103" s="17" t="n"/>
    </row>
    <row r="104">
      <c r="A104" s="20">
        <f>IF(D104="","",ROW()-4)</f>
        <v/>
      </c>
      <c r="B104" s="21" t="n"/>
      <c r="C104" s="20" t="n"/>
      <c r="D104" s="20" t="n"/>
      <c r="E104" s="20" t="n"/>
      <c r="F104" s="22" t="n"/>
      <c r="G104" s="22" t="n"/>
      <c r="H104" s="20" t="n"/>
    </row>
  </sheetData>
  <autoFilter ref="A4:H104"/>
  <mergeCells count="2">
    <mergeCell ref="A2:H2"/>
    <mergeCell ref="A1:H1"/>
  </mergeCells>
  <dataValidations count="1">
    <dataValidation sqref="C5:C104" showDropDown="0" showInputMessage="0" showErrorMessage="0" allowBlank="1" type="list">
      <formula1>Lists!$E$1:$E$12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42" customWidth="1" min="3" max="3"/>
    <col width="22" customWidth="1" min="4" max="4"/>
    <col width="12" customWidth="1" min="5" max="5"/>
    <col width="15" customWidth="1" min="6" max="6"/>
    <col width="13" customWidth="1" min="7" max="7"/>
    <col width="20" customWidth="1" min="8" max="8"/>
    <col width="13" customWidth="1" min="9" max="9"/>
    <col width="30" customWidth="1" min="10" max="10"/>
  </cols>
  <sheetData>
    <row r="1" ht="26" customHeight="1">
      <c r="A1" s="7" t="inlineStr">
        <is>
          <t>Screening Pipeline</t>
        </is>
      </c>
    </row>
    <row r="2">
      <c r="A2" s="8" t="inlineStr">
        <is>
          <t>Decide Include / Exclude / Maybe / Duplicate — with the reason. The In-Deep-Read column checks itself — copy the Author (Year) cell into Deep Read, don't retype it.</t>
        </is>
      </c>
    </row>
    <row r="4" ht="30" customHeight="1">
      <c r="A4" s="16" t="inlineStr">
        <is>
          <t>#</t>
        </is>
      </c>
      <c r="B4" s="16" t="inlineStr">
        <is>
          <t>Author (Year)</t>
        </is>
      </c>
      <c r="C4" s="16" t="inlineStr">
        <is>
          <t>Title</t>
        </is>
      </c>
      <c r="D4" s="16" t="inlineStr">
        <is>
          <t>Source / journal</t>
        </is>
      </c>
      <c r="E4" s="16" t="inlineStr">
        <is>
          <t>From search #</t>
        </is>
      </c>
      <c r="F4" s="16" t="inlineStr">
        <is>
          <t>Stage</t>
        </is>
      </c>
      <c r="G4" s="16" t="inlineStr">
        <is>
          <t>Decision</t>
        </is>
      </c>
      <c r="H4" s="16" t="inlineStr">
        <is>
          <t>Exclusion reason</t>
        </is>
      </c>
      <c r="I4" s="16" t="inlineStr">
        <is>
          <t>In Deep Read?</t>
        </is>
      </c>
      <c r="J4" s="16" t="inlineStr">
        <is>
          <t>Notes</t>
        </is>
      </c>
    </row>
    <row r="5">
      <c r="A5" s="17">
        <f>IF(B5="","",ROW()-4)</f>
        <v/>
      </c>
      <c r="B5" s="17" t="n"/>
      <c r="C5" s="17" t="n"/>
      <c r="D5" s="17" t="n"/>
      <c r="E5" s="19" t="n"/>
      <c r="F5" s="17" t="n"/>
      <c r="G5" s="17" t="n"/>
      <c r="H5" s="17" t="n"/>
      <c r="I5" s="17">
        <f>IF(B5="","",IF(COUNTIF('Deep Read'!$B$5:$B$304,B5)&gt;0,"✓",IF(G5="Include","→ add","")))</f>
        <v/>
      </c>
      <c r="J5" s="17" t="n"/>
    </row>
    <row r="6">
      <c r="A6" s="20">
        <f>IF(B6="","",ROW()-4)</f>
        <v/>
      </c>
      <c r="B6" s="20" t="n"/>
      <c r="C6" s="20" t="n"/>
      <c r="D6" s="20" t="n"/>
      <c r="E6" s="22" t="n"/>
      <c r="F6" s="20" t="n"/>
      <c r="G6" s="20" t="n"/>
      <c r="H6" s="20" t="n"/>
      <c r="I6" s="20">
        <f>IF(B6="","",IF(COUNTIF('Deep Read'!$B$5:$B$304,B6)&gt;0,"✓",IF(G6="Include","→ add","")))</f>
        <v/>
      </c>
      <c r="J6" s="20" t="n"/>
    </row>
    <row r="7">
      <c r="A7" s="17">
        <f>IF(B7="","",ROW()-4)</f>
        <v/>
      </c>
      <c r="B7" s="17" t="n"/>
      <c r="C7" s="17" t="n"/>
      <c r="D7" s="17" t="n"/>
      <c r="E7" s="19" t="n"/>
      <c r="F7" s="17" t="n"/>
      <c r="G7" s="17" t="n"/>
      <c r="H7" s="17" t="n"/>
      <c r="I7" s="17">
        <f>IF(B7="","",IF(COUNTIF('Deep Read'!$B$5:$B$304,B7)&gt;0,"✓",IF(G7="Include","→ add","")))</f>
        <v/>
      </c>
      <c r="J7" s="17" t="n"/>
    </row>
    <row r="8">
      <c r="A8" s="20">
        <f>IF(B8="","",ROW()-4)</f>
        <v/>
      </c>
      <c r="B8" s="20" t="n"/>
      <c r="C8" s="20" t="n"/>
      <c r="D8" s="20" t="n"/>
      <c r="E8" s="22" t="n"/>
      <c r="F8" s="20" t="n"/>
      <c r="G8" s="20" t="n"/>
      <c r="H8" s="20" t="n"/>
      <c r="I8" s="20">
        <f>IF(B8="","",IF(COUNTIF('Deep Read'!$B$5:$B$304,B8)&gt;0,"✓",IF(G8="Include","→ add","")))</f>
        <v/>
      </c>
      <c r="J8" s="20" t="n"/>
    </row>
    <row r="9">
      <c r="A9" s="17">
        <f>IF(B9="","",ROW()-4)</f>
        <v/>
      </c>
      <c r="B9" s="17" t="n"/>
      <c r="C9" s="17" t="n"/>
      <c r="D9" s="17" t="n"/>
      <c r="E9" s="19" t="n"/>
      <c r="F9" s="17" t="n"/>
      <c r="G9" s="17" t="n"/>
      <c r="H9" s="17" t="n"/>
      <c r="I9" s="17">
        <f>IF(B9="","",IF(COUNTIF('Deep Read'!$B$5:$B$304,B9)&gt;0,"✓",IF(G9="Include","→ add","")))</f>
        <v/>
      </c>
      <c r="J9" s="17" t="n"/>
    </row>
    <row r="10">
      <c r="A10" s="20">
        <f>IF(B10="","",ROW()-4)</f>
        <v/>
      </c>
      <c r="B10" s="20" t="n"/>
      <c r="C10" s="20" t="n"/>
      <c r="D10" s="20" t="n"/>
      <c r="E10" s="22" t="n"/>
      <c r="F10" s="20" t="n"/>
      <c r="G10" s="20" t="n"/>
      <c r="H10" s="20" t="n"/>
      <c r="I10" s="20">
        <f>IF(B10="","",IF(COUNTIF('Deep Read'!$B$5:$B$304,B10)&gt;0,"✓",IF(G10="Include","→ add","")))</f>
        <v/>
      </c>
      <c r="J10" s="20" t="n"/>
    </row>
    <row r="11">
      <c r="A11" s="17">
        <f>IF(B11="","",ROW()-4)</f>
        <v/>
      </c>
      <c r="B11" s="17" t="n"/>
      <c r="C11" s="17" t="n"/>
      <c r="D11" s="17" t="n"/>
      <c r="E11" s="19" t="n"/>
      <c r="F11" s="17" t="n"/>
      <c r="G11" s="17" t="n"/>
      <c r="H11" s="17" t="n"/>
      <c r="I11" s="17">
        <f>IF(B11="","",IF(COUNTIF('Deep Read'!$B$5:$B$304,B11)&gt;0,"✓",IF(G11="Include","→ add","")))</f>
        <v/>
      </c>
      <c r="J11" s="17" t="n"/>
    </row>
    <row r="12">
      <c r="A12" s="20">
        <f>IF(B12="","",ROW()-4)</f>
        <v/>
      </c>
      <c r="B12" s="20" t="n"/>
      <c r="C12" s="20" t="n"/>
      <c r="D12" s="20" t="n"/>
      <c r="E12" s="22" t="n"/>
      <c r="F12" s="20" t="n"/>
      <c r="G12" s="20" t="n"/>
      <c r="H12" s="20" t="n"/>
      <c r="I12" s="20">
        <f>IF(B12="","",IF(COUNTIF('Deep Read'!$B$5:$B$304,B12)&gt;0,"✓",IF(G12="Include","→ add","")))</f>
        <v/>
      </c>
      <c r="J12" s="20" t="n"/>
    </row>
    <row r="13">
      <c r="A13" s="17">
        <f>IF(B13="","",ROW()-4)</f>
        <v/>
      </c>
      <c r="B13" s="17" t="n"/>
      <c r="C13" s="17" t="n"/>
      <c r="D13" s="17" t="n"/>
      <c r="E13" s="19" t="n"/>
      <c r="F13" s="17" t="n"/>
      <c r="G13" s="17" t="n"/>
      <c r="H13" s="17" t="n"/>
      <c r="I13" s="17">
        <f>IF(B13="","",IF(COUNTIF('Deep Read'!$B$5:$B$304,B13)&gt;0,"✓",IF(G13="Include","→ add","")))</f>
        <v/>
      </c>
      <c r="J13" s="17" t="n"/>
    </row>
    <row r="14">
      <c r="A14" s="20">
        <f>IF(B14="","",ROW()-4)</f>
        <v/>
      </c>
      <c r="B14" s="20" t="n"/>
      <c r="C14" s="20" t="n"/>
      <c r="D14" s="20" t="n"/>
      <c r="E14" s="22" t="n"/>
      <c r="F14" s="20" t="n"/>
      <c r="G14" s="20" t="n"/>
      <c r="H14" s="20" t="n"/>
      <c r="I14" s="20">
        <f>IF(B14="","",IF(COUNTIF('Deep Read'!$B$5:$B$304,B14)&gt;0,"✓",IF(G14="Include","→ add","")))</f>
        <v/>
      </c>
      <c r="J14" s="20" t="n"/>
    </row>
    <row r="15">
      <c r="A15" s="17">
        <f>IF(B15="","",ROW()-4)</f>
        <v/>
      </c>
      <c r="B15" s="17" t="n"/>
      <c r="C15" s="17" t="n"/>
      <c r="D15" s="17" t="n"/>
      <c r="E15" s="19" t="n"/>
      <c r="F15" s="17" t="n"/>
      <c r="G15" s="17" t="n"/>
      <c r="H15" s="17" t="n"/>
      <c r="I15" s="17">
        <f>IF(B15="","",IF(COUNTIF('Deep Read'!$B$5:$B$304,B15)&gt;0,"✓",IF(G15="Include","→ add","")))</f>
        <v/>
      </c>
      <c r="J15" s="17" t="n"/>
    </row>
    <row r="16">
      <c r="A16" s="20">
        <f>IF(B16="","",ROW()-4)</f>
        <v/>
      </c>
      <c r="B16" s="20" t="n"/>
      <c r="C16" s="20" t="n"/>
      <c r="D16" s="20" t="n"/>
      <c r="E16" s="22" t="n"/>
      <c r="F16" s="20" t="n"/>
      <c r="G16" s="20" t="n"/>
      <c r="H16" s="20" t="n"/>
      <c r="I16" s="20">
        <f>IF(B16="","",IF(COUNTIF('Deep Read'!$B$5:$B$304,B16)&gt;0,"✓",IF(G16="Include","→ add","")))</f>
        <v/>
      </c>
      <c r="J16" s="20" t="n"/>
    </row>
    <row r="17">
      <c r="A17" s="17">
        <f>IF(B17="","",ROW()-4)</f>
        <v/>
      </c>
      <c r="B17" s="17" t="n"/>
      <c r="C17" s="17" t="n"/>
      <c r="D17" s="17" t="n"/>
      <c r="E17" s="19" t="n"/>
      <c r="F17" s="17" t="n"/>
      <c r="G17" s="17" t="n"/>
      <c r="H17" s="17" t="n"/>
      <c r="I17" s="17">
        <f>IF(B17="","",IF(COUNTIF('Deep Read'!$B$5:$B$304,B17)&gt;0,"✓",IF(G17="Include","→ add","")))</f>
        <v/>
      </c>
      <c r="J17" s="17" t="n"/>
    </row>
    <row r="18">
      <c r="A18" s="20">
        <f>IF(B18="","",ROW()-4)</f>
        <v/>
      </c>
      <c r="B18" s="20" t="n"/>
      <c r="C18" s="20" t="n"/>
      <c r="D18" s="20" t="n"/>
      <c r="E18" s="22" t="n"/>
      <c r="F18" s="20" t="n"/>
      <c r="G18" s="20" t="n"/>
      <c r="H18" s="20" t="n"/>
      <c r="I18" s="20">
        <f>IF(B18="","",IF(COUNTIF('Deep Read'!$B$5:$B$304,B18)&gt;0,"✓",IF(G18="Include","→ add","")))</f>
        <v/>
      </c>
      <c r="J18" s="20" t="n"/>
    </row>
    <row r="19">
      <c r="A19" s="17">
        <f>IF(B19="","",ROW()-4)</f>
        <v/>
      </c>
      <c r="B19" s="17" t="n"/>
      <c r="C19" s="17" t="n"/>
      <c r="D19" s="17" t="n"/>
      <c r="E19" s="19" t="n"/>
      <c r="F19" s="17" t="n"/>
      <c r="G19" s="17" t="n"/>
      <c r="H19" s="17" t="n"/>
      <c r="I19" s="17">
        <f>IF(B19="","",IF(COUNTIF('Deep Read'!$B$5:$B$304,B19)&gt;0,"✓",IF(G19="Include","→ add","")))</f>
        <v/>
      </c>
      <c r="J19" s="17" t="n"/>
    </row>
    <row r="20">
      <c r="A20" s="20">
        <f>IF(B20="","",ROW()-4)</f>
        <v/>
      </c>
      <c r="B20" s="20" t="n"/>
      <c r="C20" s="20" t="n"/>
      <c r="D20" s="20" t="n"/>
      <c r="E20" s="22" t="n"/>
      <c r="F20" s="20" t="n"/>
      <c r="G20" s="20" t="n"/>
      <c r="H20" s="20" t="n"/>
      <c r="I20" s="20">
        <f>IF(B20="","",IF(COUNTIF('Deep Read'!$B$5:$B$304,B20)&gt;0,"✓",IF(G20="Include","→ add","")))</f>
        <v/>
      </c>
      <c r="J20" s="20" t="n"/>
    </row>
    <row r="21">
      <c r="A21" s="17">
        <f>IF(B21="","",ROW()-4)</f>
        <v/>
      </c>
      <c r="B21" s="17" t="n"/>
      <c r="C21" s="17" t="n"/>
      <c r="D21" s="17" t="n"/>
      <c r="E21" s="19" t="n"/>
      <c r="F21" s="17" t="n"/>
      <c r="G21" s="17" t="n"/>
      <c r="H21" s="17" t="n"/>
      <c r="I21" s="17">
        <f>IF(B21="","",IF(COUNTIF('Deep Read'!$B$5:$B$304,B21)&gt;0,"✓",IF(G21="Include","→ add","")))</f>
        <v/>
      </c>
      <c r="J21" s="17" t="n"/>
    </row>
    <row r="22">
      <c r="A22" s="20">
        <f>IF(B22="","",ROW()-4)</f>
        <v/>
      </c>
      <c r="B22" s="20" t="n"/>
      <c r="C22" s="20" t="n"/>
      <c r="D22" s="20" t="n"/>
      <c r="E22" s="22" t="n"/>
      <c r="F22" s="20" t="n"/>
      <c r="G22" s="20" t="n"/>
      <c r="H22" s="20" t="n"/>
      <c r="I22" s="20">
        <f>IF(B22="","",IF(COUNTIF('Deep Read'!$B$5:$B$304,B22)&gt;0,"✓",IF(G22="Include","→ add","")))</f>
        <v/>
      </c>
      <c r="J22" s="20" t="n"/>
    </row>
    <row r="23">
      <c r="A23" s="17">
        <f>IF(B23="","",ROW()-4)</f>
        <v/>
      </c>
      <c r="B23" s="17" t="n"/>
      <c r="C23" s="17" t="n"/>
      <c r="D23" s="17" t="n"/>
      <c r="E23" s="19" t="n"/>
      <c r="F23" s="17" t="n"/>
      <c r="G23" s="17" t="n"/>
      <c r="H23" s="17" t="n"/>
      <c r="I23" s="17">
        <f>IF(B23="","",IF(COUNTIF('Deep Read'!$B$5:$B$304,B23)&gt;0,"✓",IF(G23="Include","→ add","")))</f>
        <v/>
      </c>
      <c r="J23" s="17" t="n"/>
    </row>
    <row r="24">
      <c r="A24" s="20">
        <f>IF(B24="","",ROW()-4)</f>
        <v/>
      </c>
      <c r="B24" s="20" t="n"/>
      <c r="C24" s="20" t="n"/>
      <c r="D24" s="20" t="n"/>
      <c r="E24" s="22" t="n"/>
      <c r="F24" s="20" t="n"/>
      <c r="G24" s="20" t="n"/>
      <c r="H24" s="20" t="n"/>
      <c r="I24" s="20">
        <f>IF(B24="","",IF(COUNTIF('Deep Read'!$B$5:$B$304,B24)&gt;0,"✓",IF(G24="Include","→ add","")))</f>
        <v/>
      </c>
      <c r="J24" s="20" t="n"/>
    </row>
    <row r="25">
      <c r="A25" s="17">
        <f>IF(B25="","",ROW()-4)</f>
        <v/>
      </c>
      <c r="B25" s="17" t="n"/>
      <c r="C25" s="17" t="n"/>
      <c r="D25" s="17" t="n"/>
      <c r="E25" s="19" t="n"/>
      <c r="F25" s="17" t="n"/>
      <c r="G25" s="17" t="n"/>
      <c r="H25" s="17" t="n"/>
      <c r="I25" s="17">
        <f>IF(B25="","",IF(COUNTIF('Deep Read'!$B$5:$B$304,B25)&gt;0,"✓",IF(G25="Include","→ add","")))</f>
        <v/>
      </c>
      <c r="J25" s="17" t="n"/>
    </row>
    <row r="26">
      <c r="A26" s="20">
        <f>IF(B26="","",ROW()-4)</f>
        <v/>
      </c>
      <c r="B26" s="20" t="n"/>
      <c r="C26" s="20" t="n"/>
      <c r="D26" s="20" t="n"/>
      <c r="E26" s="22" t="n"/>
      <c r="F26" s="20" t="n"/>
      <c r="G26" s="20" t="n"/>
      <c r="H26" s="20" t="n"/>
      <c r="I26" s="20">
        <f>IF(B26="","",IF(COUNTIF('Deep Read'!$B$5:$B$304,B26)&gt;0,"✓",IF(G26="Include","→ add","")))</f>
        <v/>
      </c>
      <c r="J26" s="20" t="n"/>
    </row>
    <row r="27">
      <c r="A27" s="17">
        <f>IF(B27="","",ROW()-4)</f>
        <v/>
      </c>
      <c r="B27" s="17" t="n"/>
      <c r="C27" s="17" t="n"/>
      <c r="D27" s="17" t="n"/>
      <c r="E27" s="19" t="n"/>
      <c r="F27" s="17" t="n"/>
      <c r="G27" s="17" t="n"/>
      <c r="H27" s="17" t="n"/>
      <c r="I27" s="17">
        <f>IF(B27="","",IF(COUNTIF('Deep Read'!$B$5:$B$304,B27)&gt;0,"✓",IF(G27="Include","→ add","")))</f>
        <v/>
      </c>
      <c r="J27" s="17" t="n"/>
    </row>
    <row r="28">
      <c r="A28" s="20">
        <f>IF(B28="","",ROW()-4)</f>
        <v/>
      </c>
      <c r="B28" s="20" t="n"/>
      <c r="C28" s="20" t="n"/>
      <c r="D28" s="20" t="n"/>
      <c r="E28" s="22" t="n"/>
      <c r="F28" s="20" t="n"/>
      <c r="G28" s="20" t="n"/>
      <c r="H28" s="20" t="n"/>
      <c r="I28" s="20">
        <f>IF(B28="","",IF(COUNTIF('Deep Read'!$B$5:$B$304,B28)&gt;0,"✓",IF(G28="Include","→ add","")))</f>
        <v/>
      </c>
      <c r="J28" s="20" t="n"/>
    </row>
    <row r="29">
      <c r="A29" s="17">
        <f>IF(B29="","",ROW()-4)</f>
        <v/>
      </c>
      <c r="B29" s="17" t="n"/>
      <c r="C29" s="17" t="n"/>
      <c r="D29" s="17" t="n"/>
      <c r="E29" s="19" t="n"/>
      <c r="F29" s="17" t="n"/>
      <c r="G29" s="17" t="n"/>
      <c r="H29" s="17" t="n"/>
      <c r="I29" s="17">
        <f>IF(B29="","",IF(COUNTIF('Deep Read'!$B$5:$B$304,B29)&gt;0,"✓",IF(G29="Include","→ add","")))</f>
        <v/>
      </c>
      <c r="J29" s="17" t="n"/>
    </row>
    <row r="30">
      <c r="A30" s="20">
        <f>IF(B30="","",ROW()-4)</f>
        <v/>
      </c>
      <c r="B30" s="20" t="n"/>
      <c r="C30" s="20" t="n"/>
      <c r="D30" s="20" t="n"/>
      <c r="E30" s="22" t="n"/>
      <c r="F30" s="20" t="n"/>
      <c r="G30" s="20" t="n"/>
      <c r="H30" s="20" t="n"/>
      <c r="I30" s="20">
        <f>IF(B30="","",IF(COUNTIF('Deep Read'!$B$5:$B$304,B30)&gt;0,"✓",IF(G30="Include","→ add","")))</f>
        <v/>
      </c>
      <c r="J30" s="20" t="n"/>
    </row>
    <row r="31">
      <c r="A31" s="17">
        <f>IF(B31="","",ROW()-4)</f>
        <v/>
      </c>
      <c r="B31" s="17" t="n"/>
      <c r="C31" s="17" t="n"/>
      <c r="D31" s="17" t="n"/>
      <c r="E31" s="19" t="n"/>
      <c r="F31" s="17" t="n"/>
      <c r="G31" s="17" t="n"/>
      <c r="H31" s="17" t="n"/>
      <c r="I31" s="17">
        <f>IF(B31="","",IF(COUNTIF('Deep Read'!$B$5:$B$304,B31)&gt;0,"✓",IF(G31="Include","→ add","")))</f>
        <v/>
      </c>
      <c r="J31" s="17" t="n"/>
    </row>
    <row r="32">
      <c r="A32" s="20">
        <f>IF(B32="","",ROW()-4)</f>
        <v/>
      </c>
      <c r="B32" s="20" t="n"/>
      <c r="C32" s="20" t="n"/>
      <c r="D32" s="20" t="n"/>
      <c r="E32" s="22" t="n"/>
      <c r="F32" s="20" t="n"/>
      <c r="G32" s="20" t="n"/>
      <c r="H32" s="20" t="n"/>
      <c r="I32" s="20">
        <f>IF(B32="","",IF(COUNTIF('Deep Read'!$B$5:$B$304,B32)&gt;0,"✓",IF(G32="Include","→ add","")))</f>
        <v/>
      </c>
      <c r="J32" s="20" t="n"/>
    </row>
    <row r="33">
      <c r="A33" s="17">
        <f>IF(B33="","",ROW()-4)</f>
        <v/>
      </c>
      <c r="B33" s="17" t="n"/>
      <c r="C33" s="17" t="n"/>
      <c r="D33" s="17" t="n"/>
      <c r="E33" s="19" t="n"/>
      <c r="F33" s="17" t="n"/>
      <c r="G33" s="17" t="n"/>
      <c r="H33" s="17" t="n"/>
      <c r="I33" s="17">
        <f>IF(B33="","",IF(COUNTIF('Deep Read'!$B$5:$B$304,B33)&gt;0,"✓",IF(G33="Include","→ add","")))</f>
        <v/>
      </c>
      <c r="J33" s="17" t="n"/>
    </row>
    <row r="34">
      <c r="A34" s="20">
        <f>IF(B34="","",ROW()-4)</f>
        <v/>
      </c>
      <c r="B34" s="20" t="n"/>
      <c r="C34" s="20" t="n"/>
      <c r="D34" s="20" t="n"/>
      <c r="E34" s="22" t="n"/>
      <c r="F34" s="20" t="n"/>
      <c r="G34" s="20" t="n"/>
      <c r="H34" s="20" t="n"/>
      <c r="I34" s="20">
        <f>IF(B34="","",IF(COUNTIF('Deep Read'!$B$5:$B$304,B34)&gt;0,"✓",IF(G34="Include","→ add","")))</f>
        <v/>
      </c>
      <c r="J34" s="20" t="n"/>
    </row>
    <row r="35">
      <c r="A35" s="17">
        <f>IF(B35="","",ROW()-4)</f>
        <v/>
      </c>
      <c r="B35" s="17" t="n"/>
      <c r="C35" s="17" t="n"/>
      <c r="D35" s="17" t="n"/>
      <c r="E35" s="19" t="n"/>
      <c r="F35" s="17" t="n"/>
      <c r="G35" s="17" t="n"/>
      <c r="H35" s="17" t="n"/>
      <c r="I35" s="17">
        <f>IF(B35="","",IF(COUNTIF('Deep Read'!$B$5:$B$304,B35)&gt;0,"✓",IF(G35="Include","→ add","")))</f>
        <v/>
      </c>
      <c r="J35" s="17" t="n"/>
    </row>
    <row r="36">
      <c r="A36" s="20">
        <f>IF(B36="","",ROW()-4)</f>
        <v/>
      </c>
      <c r="B36" s="20" t="n"/>
      <c r="C36" s="20" t="n"/>
      <c r="D36" s="20" t="n"/>
      <c r="E36" s="22" t="n"/>
      <c r="F36" s="20" t="n"/>
      <c r="G36" s="20" t="n"/>
      <c r="H36" s="20" t="n"/>
      <c r="I36" s="20">
        <f>IF(B36="","",IF(COUNTIF('Deep Read'!$B$5:$B$304,B36)&gt;0,"✓",IF(G36="Include","→ add","")))</f>
        <v/>
      </c>
      <c r="J36" s="20" t="n"/>
    </row>
    <row r="37">
      <c r="A37" s="17">
        <f>IF(B37="","",ROW()-4)</f>
        <v/>
      </c>
      <c r="B37" s="17" t="n"/>
      <c r="C37" s="17" t="n"/>
      <c r="D37" s="17" t="n"/>
      <c r="E37" s="19" t="n"/>
      <c r="F37" s="17" t="n"/>
      <c r="G37" s="17" t="n"/>
      <c r="H37" s="17" t="n"/>
      <c r="I37" s="17">
        <f>IF(B37="","",IF(COUNTIF('Deep Read'!$B$5:$B$304,B37)&gt;0,"✓",IF(G37="Include","→ add","")))</f>
        <v/>
      </c>
      <c r="J37" s="17" t="n"/>
    </row>
    <row r="38">
      <c r="A38" s="20">
        <f>IF(B38="","",ROW()-4)</f>
        <v/>
      </c>
      <c r="B38" s="20" t="n"/>
      <c r="C38" s="20" t="n"/>
      <c r="D38" s="20" t="n"/>
      <c r="E38" s="22" t="n"/>
      <c r="F38" s="20" t="n"/>
      <c r="G38" s="20" t="n"/>
      <c r="H38" s="20" t="n"/>
      <c r="I38" s="20">
        <f>IF(B38="","",IF(COUNTIF('Deep Read'!$B$5:$B$304,B38)&gt;0,"✓",IF(G38="Include","→ add","")))</f>
        <v/>
      </c>
      <c r="J38" s="20" t="n"/>
    </row>
    <row r="39">
      <c r="A39" s="17">
        <f>IF(B39="","",ROW()-4)</f>
        <v/>
      </c>
      <c r="B39" s="17" t="n"/>
      <c r="C39" s="17" t="n"/>
      <c r="D39" s="17" t="n"/>
      <c r="E39" s="19" t="n"/>
      <c r="F39" s="17" t="n"/>
      <c r="G39" s="17" t="n"/>
      <c r="H39" s="17" t="n"/>
      <c r="I39" s="17">
        <f>IF(B39="","",IF(COUNTIF('Deep Read'!$B$5:$B$304,B39)&gt;0,"✓",IF(G39="Include","→ add","")))</f>
        <v/>
      </c>
      <c r="J39" s="17" t="n"/>
    </row>
    <row r="40">
      <c r="A40" s="20">
        <f>IF(B40="","",ROW()-4)</f>
        <v/>
      </c>
      <c r="B40" s="20" t="n"/>
      <c r="C40" s="20" t="n"/>
      <c r="D40" s="20" t="n"/>
      <c r="E40" s="22" t="n"/>
      <c r="F40" s="20" t="n"/>
      <c r="G40" s="20" t="n"/>
      <c r="H40" s="20" t="n"/>
      <c r="I40" s="20">
        <f>IF(B40="","",IF(COUNTIF('Deep Read'!$B$5:$B$304,B40)&gt;0,"✓",IF(G40="Include","→ add","")))</f>
        <v/>
      </c>
      <c r="J40" s="20" t="n"/>
    </row>
    <row r="41">
      <c r="A41" s="17">
        <f>IF(B41="","",ROW()-4)</f>
        <v/>
      </c>
      <c r="B41" s="17" t="n"/>
      <c r="C41" s="17" t="n"/>
      <c r="D41" s="17" t="n"/>
      <c r="E41" s="19" t="n"/>
      <c r="F41" s="17" t="n"/>
      <c r="G41" s="17" t="n"/>
      <c r="H41" s="17" t="n"/>
      <c r="I41" s="17">
        <f>IF(B41="","",IF(COUNTIF('Deep Read'!$B$5:$B$304,B41)&gt;0,"✓",IF(G41="Include","→ add","")))</f>
        <v/>
      </c>
      <c r="J41" s="17" t="n"/>
    </row>
    <row r="42">
      <c r="A42" s="20">
        <f>IF(B42="","",ROW()-4)</f>
        <v/>
      </c>
      <c r="B42" s="20" t="n"/>
      <c r="C42" s="20" t="n"/>
      <c r="D42" s="20" t="n"/>
      <c r="E42" s="22" t="n"/>
      <c r="F42" s="20" t="n"/>
      <c r="G42" s="20" t="n"/>
      <c r="H42" s="20" t="n"/>
      <c r="I42" s="20">
        <f>IF(B42="","",IF(COUNTIF('Deep Read'!$B$5:$B$304,B42)&gt;0,"✓",IF(G42="Include","→ add","")))</f>
        <v/>
      </c>
      <c r="J42" s="20" t="n"/>
    </row>
    <row r="43">
      <c r="A43" s="17">
        <f>IF(B43="","",ROW()-4)</f>
        <v/>
      </c>
      <c r="B43" s="17" t="n"/>
      <c r="C43" s="17" t="n"/>
      <c r="D43" s="17" t="n"/>
      <c r="E43" s="19" t="n"/>
      <c r="F43" s="17" t="n"/>
      <c r="G43" s="17" t="n"/>
      <c r="H43" s="17" t="n"/>
      <c r="I43" s="17">
        <f>IF(B43="","",IF(COUNTIF('Deep Read'!$B$5:$B$304,B43)&gt;0,"✓",IF(G43="Include","→ add","")))</f>
        <v/>
      </c>
      <c r="J43" s="17" t="n"/>
    </row>
    <row r="44">
      <c r="A44" s="20">
        <f>IF(B44="","",ROW()-4)</f>
        <v/>
      </c>
      <c r="B44" s="20" t="n"/>
      <c r="C44" s="20" t="n"/>
      <c r="D44" s="20" t="n"/>
      <c r="E44" s="22" t="n"/>
      <c r="F44" s="20" t="n"/>
      <c r="G44" s="20" t="n"/>
      <c r="H44" s="20" t="n"/>
      <c r="I44" s="20">
        <f>IF(B44="","",IF(COUNTIF('Deep Read'!$B$5:$B$304,B44)&gt;0,"✓",IF(G44="Include","→ add","")))</f>
        <v/>
      </c>
      <c r="J44" s="20" t="n"/>
    </row>
    <row r="45">
      <c r="A45" s="17">
        <f>IF(B45="","",ROW()-4)</f>
        <v/>
      </c>
      <c r="B45" s="17" t="n"/>
      <c r="C45" s="17" t="n"/>
      <c r="D45" s="17" t="n"/>
      <c r="E45" s="19" t="n"/>
      <c r="F45" s="17" t="n"/>
      <c r="G45" s="17" t="n"/>
      <c r="H45" s="17" t="n"/>
      <c r="I45" s="17">
        <f>IF(B45="","",IF(COUNTIF('Deep Read'!$B$5:$B$304,B45)&gt;0,"✓",IF(G45="Include","→ add","")))</f>
        <v/>
      </c>
      <c r="J45" s="17" t="n"/>
    </row>
    <row r="46">
      <c r="A46" s="20">
        <f>IF(B46="","",ROW()-4)</f>
        <v/>
      </c>
      <c r="B46" s="20" t="n"/>
      <c r="C46" s="20" t="n"/>
      <c r="D46" s="20" t="n"/>
      <c r="E46" s="22" t="n"/>
      <c r="F46" s="20" t="n"/>
      <c r="G46" s="20" t="n"/>
      <c r="H46" s="20" t="n"/>
      <c r="I46" s="20">
        <f>IF(B46="","",IF(COUNTIF('Deep Read'!$B$5:$B$304,B46)&gt;0,"✓",IF(G46="Include","→ add","")))</f>
        <v/>
      </c>
      <c r="J46" s="20" t="n"/>
    </row>
    <row r="47">
      <c r="A47" s="17">
        <f>IF(B47="","",ROW()-4)</f>
        <v/>
      </c>
      <c r="B47" s="17" t="n"/>
      <c r="C47" s="17" t="n"/>
      <c r="D47" s="17" t="n"/>
      <c r="E47" s="19" t="n"/>
      <c r="F47" s="17" t="n"/>
      <c r="G47" s="17" t="n"/>
      <c r="H47" s="17" t="n"/>
      <c r="I47" s="17">
        <f>IF(B47="","",IF(COUNTIF('Deep Read'!$B$5:$B$304,B47)&gt;0,"✓",IF(G47="Include","→ add","")))</f>
        <v/>
      </c>
      <c r="J47" s="17" t="n"/>
    </row>
    <row r="48">
      <c r="A48" s="20">
        <f>IF(B48="","",ROW()-4)</f>
        <v/>
      </c>
      <c r="B48" s="20" t="n"/>
      <c r="C48" s="20" t="n"/>
      <c r="D48" s="20" t="n"/>
      <c r="E48" s="22" t="n"/>
      <c r="F48" s="20" t="n"/>
      <c r="G48" s="20" t="n"/>
      <c r="H48" s="20" t="n"/>
      <c r="I48" s="20">
        <f>IF(B48="","",IF(COUNTIF('Deep Read'!$B$5:$B$304,B48)&gt;0,"✓",IF(G48="Include","→ add","")))</f>
        <v/>
      </c>
      <c r="J48" s="20" t="n"/>
    </row>
    <row r="49">
      <c r="A49" s="17">
        <f>IF(B49="","",ROW()-4)</f>
        <v/>
      </c>
      <c r="B49" s="17" t="n"/>
      <c r="C49" s="17" t="n"/>
      <c r="D49" s="17" t="n"/>
      <c r="E49" s="19" t="n"/>
      <c r="F49" s="17" t="n"/>
      <c r="G49" s="17" t="n"/>
      <c r="H49" s="17" t="n"/>
      <c r="I49" s="17">
        <f>IF(B49="","",IF(COUNTIF('Deep Read'!$B$5:$B$304,B49)&gt;0,"✓",IF(G49="Include","→ add","")))</f>
        <v/>
      </c>
      <c r="J49" s="17" t="n"/>
    </row>
    <row r="50">
      <c r="A50" s="20">
        <f>IF(B50="","",ROW()-4)</f>
        <v/>
      </c>
      <c r="B50" s="20" t="n"/>
      <c r="C50" s="20" t="n"/>
      <c r="D50" s="20" t="n"/>
      <c r="E50" s="22" t="n"/>
      <c r="F50" s="20" t="n"/>
      <c r="G50" s="20" t="n"/>
      <c r="H50" s="20" t="n"/>
      <c r="I50" s="20">
        <f>IF(B50="","",IF(COUNTIF('Deep Read'!$B$5:$B$304,B50)&gt;0,"✓",IF(G50="Include","→ add","")))</f>
        <v/>
      </c>
      <c r="J50" s="20" t="n"/>
    </row>
    <row r="51">
      <c r="A51" s="17">
        <f>IF(B51="","",ROW()-4)</f>
        <v/>
      </c>
      <c r="B51" s="17" t="n"/>
      <c r="C51" s="17" t="n"/>
      <c r="D51" s="17" t="n"/>
      <c r="E51" s="19" t="n"/>
      <c r="F51" s="17" t="n"/>
      <c r="G51" s="17" t="n"/>
      <c r="H51" s="17" t="n"/>
      <c r="I51" s="17">
        <f>IF(B51="","",IF(COUNTIF('Deep Read'!$B$5:$B$304,B51)&gt;0,"✓",IF(G51="Include","→ add","")))</f>
        <v/>
      </c>
      <c r="J51" s="17" t="n"/>
    </row>
    <row r="52">
      <c r="A52" s="20">
        <f>IF(B52="","",ROW()-4)</f>
        <v/>
      </c>
      <c r="B52" s="20" t="n"/>
      <c r="C52" s="20" t="n"/>
      <c r="D52" s="20" t="n"/>
      <c r="E52" s="22" t="n"/>
      <c r="F52" s="20" t="n"/>
      <c r="G52" s="20" t="n"/>
      <c r="H52" s="20" t="n"/>
      <c r="I52" s="20">
        <f>IF(B52="","",IF(COUNTIF('Deep Read'!$B$5:$B$304,B52)&gt;0,"✓",IF(G52="Include","→ add","")))</f>
        <v/>
      </c>
      <c r="J52" s="20" t="n"/>
    </row>
    <row r="53">
      <c r="A53" s="17">
        <f>IF(B53="","",ROW()-4)</f>
        <v/>
      </c>
      <c r="B53" s="17" t="n"/>
      <c r="C53" s="17" t="n"/>
      <c r="D53" s="17" t="n"/>
      <c r="E53" s="19" t="n"/>
      <c r="F53" s="17" t="n"/>
      <c r="G53" s="17" t="n"/>
      <c r="H53" s="17" t="n"/>
      <c r="I53" s="17">
        <f>IF(B53="","",IF(COUNTIF('Deep Read'!$B$5:$B$304,B53)&gt;0,"✓",IF(G53="Include","→ add","")))</f>
        <v/>
      </c>
      <c r="J53" s="17" t="n"/>
    </row>
    <row r="54">
      <c r="A54" s="20">
        <f>IF(B54="","",ROW()-4)</f>
        <v/>
      </c>
      <c r="B54" s="20" t="n"/>
      <c r="C54" s="20" t="n"/>
      <c r="D54" s="20" t="n"/>
      <c r="E54" s="22" t="n"/>
      <c r="F54" s="20" t="n"/>
      <c r="G54" s="20" t="n"/>
      <c r="H54" s="20" t="n"/>
      <c r="I54" s="20">
        <f>IF(B54="","",IF(COUNTIF('Deep Read'!$B$5:$B$304,B54)&gt;0,"✓",IF(G54="Include","→ add","")))</f>
        <v/>
      </c>
      <c r="J54" s="20" t="n"/>
    </row>
    <row r="55">
      <c r="A55" s="17">
        <f>IF(B55="","",ROW()-4)</f>
        <v/>
      </c>
      <c r="B55" s="17" t="n"/>
      <c r="C55" s="17" t="n"/>
      <c r="D55" s="17" t="n"/>
      <c r="E55" s="19" t="n"/>
      <c r="F55" s="17" t="n"/>
      <c r="G55" s="17" t="n"/>
      <c r="H55" s="17" t="n"/>
      <c r="I55" s="17">
        <f>IF(B55="","",IF(COUNTIF('Deep Read'!$B$5:$B$304,B55)&gt;0,"✓",IF(G55="Include","→ add","")))</f>
        <v/>
      </c>
      <c r="J55" s="17" t="n"/>
    </row>
    <row r="56">
      <c r="A56" s="20">
        <f>IF(B56="","",ROW()-4)</f>
        <v/>
      </c>
      <c r="B56" s="20" t="n"/>
      <c r="C56" s="20" t="n"/>
      <c r="D56" s="20" t="n"/>
      <c r="E56" s="22" t="n"/>
      <c r="F56" s="20" t="n"/>
      <c r="G56" s="20" t="n"/>
      <c r="H56" s="20" t="n"/>
      <c r="I56" s="20">
        <f>IF(B56="","",IF(COUNTIF('Deep Read'!$B$5:$B$304,B56)&gt;0,"✓",IF(G56="Include","→ add","")))</f>
        <v/>
      </c>
      <c r="J56" s="20" t="n"/>
    </row>
    <row r="57">
      <c r="A57" s="17">
        <f>IF(B57="","",ROW()-4)</f>
        <v/>
      </c>
      <c r="B57" s="17" t="n"/>
      <c r="C57" s="17" t="n"/>
      <c r="D57" s="17" t="n"/>
      <c r="E57" s="19" t="n"/>
      <c r="F57" s="17" t="n"/>
      <c r="G57" s="17" t="n"/>
      <c r="H57" s="17" t="n"/>
      <c r="I57" s="17">
        <f>IF(B57="","",IF(COUNTIF('Deep Read'!$B$5:$B$304,B57)&gt;0,"✓",IF(G57="Include","→ add","")))</f>
        <v/>
      </c>
      <c r="J57" s="17" t="n"/>
    </row>
    <row r="58">
      <c r="A58" s="20">
        <f>IF(B58="","",ROW()-4)</f>
        <v/>
      </c>
      <c r="B58" s="20" t="n"/>
      <c r="C58" s="20" t="n"/>
      <c r="D58" s="20" t="n"/>
      <c r="E58" s="22" t="n"/>
      <c r="F58" s="20" t="n"/>
      <c r="G58" s="20" t="n"/>
      <c r="H58" s="20" t="n"/>
      <c r="I58" s="20">
        <f>IF(B58="","",IF(COUNTIF('Deep Read'!$B$5:$B$304,B58)&gt;0,"✓",IF(G58="Include","→ add","")))</f>
        <v/>
      </c>
      <c r="J58" s="20" t="n"/>
    </row>
    <row r="59">
      <c r="A59" s="17">
        <f>IF(B59="","",ROW()-4)</f>
        <v/>
      </c>
      <c r="B59" s="17" t="n"/>
      <c r="C59" s="17" t="n"/>
      <c r="D59" s="17" t="n"/>
      <c r="E59" s="19" t="n"/>
      <c r="F59" s="17" t="n"/>
      <c r="G59" s="17" t="n"/>
      <c r="H59" s="17" t="n"/>
      <c r="I59" s="17">
        <f>IF(B59="","",IF(COUNTIF('Deep Read'!$B$5:$B$304,B59)&gt;0,"✓",IF(G59="Include","→ add","")))</f>
        <v/>
      </c>
      <c r="J59" s="17" t="n"/>
    </row>
    <row r="60">
      <c r="A60" s="20">
        <f>IF(B60="","",ROW()-4)</f>
        <v/>
      </c>
      <c r="B60" s="20" t="n"/>
      <c r="C60" s="20" t="n"/>
      <c r="D60" s="20" t="n"/>
      <c r="E60" s="22" t="n"/>
      <c r="F60" s="20" t="n"/>
      <c r="G60" s="20" t="n"/>
      <c r="H60" s="20" t="n"/>
      <c r="I60" s="20">
        <f>IF(B60="","",IF(COUNTIF('Deep Read'!$B$5:$B$304,B60)&gt;0,"✓",IF(G60="Include","→ add","")))</f>
        <v/>
      </c>
      <c r="J60" s="20" t="n"/>
    </row>
    <row r="61">
      <c r="A61" s="17">
        <f>IF(B61="","",ROW()-4)</f>
        <v/>
      </c>
      <c r="B61" s="17" t="n"/>
      <c r="C61" s="17" t="n"/>
      <c r="D61" s="17" t="n"/>
      <c r="E61" s="19" t="n"/>
      <c r="F61" s="17" t="n"/>
      <c r="G61" s="17" t="n"/>
      <c r="H61" s="17" t="n"/>
      <c r="I61" s="17">
        <f>IF(B61="","",IF(COUNTIF('Deep Read'!$B$5:$B$304,B61)&gt;0,"✓",IF(G61="Include","→ add","")))</f>
        <v/>
      </c>
      <c r="J61" s="17" t="n"/>
    </row>
    <row r="62">
      <c r="A62" s="20">
        <f>IF(B62="","",ROW()-4)</f>
        <v/>
      </c>
      <c r="B62" s="20" t="n"/>
      <c r="C62" s="20" t="n"/>
      <c r="D62" s="20" t="n"/>
      <c r="E62" s="22" t="n"/>
      <c r="F62" s="20" t="n"/>
      <c r="G62" s="20" t="n"/>
      <c r="H62" s="20" t="n"/>
      <c r="I62" s="20">
        <f>IF(B62="","",IF(COUNTIF('Deep Read'!$B$5:$B$304,B62)&gt;0,"✓",IF(G62="Include","→ add","")))</f>
        <v/>
      </c>
      <c r="J62" s="20" t="n"/>
    </row>
    <row r="63">
      <c r="A63" s="17">
        <f>IF(B63="","",ROW()-4)</f>
        <v/>
      </c>
      <c r="B63" s="17" t="n"/>
      <c r="C63" s="17" t="n"/>
      <c r="D63" s="17" t="n"/>
      <c r="E63" s="19" t="n"/>
      <c r="F63" s="17" t="n"/>
      <c r="G63" s="17" t="n"/>
      <c r="H63" s="17" t="n"/>
      <c r="I63" s="17">
        <f>IF(B63="","",IF(COUNTIF('Deep Read'!$B$5:$B$304,B63)&gt;0,"✓",IF(G63="Include","→ add","")))</f>
        <v/>
      </c>
      <c r="J63" s="17" t="n"/>
    </row>
    <row r="64">
      <c r="A64" s="20">
        <f>IF(B64="","",ROW()-4)</f>
        <v/>
      </c>
      <c r="B64" s="20" t="n"/>
      <c r="C64" s="20" t="n"/>
      <c r="D64" s="20" t="n"/>
      <c r="E64" s="22" t="n"/>
      <c r="F64" s="20" t="n"/>
      <c r="G64" s="20" t="n"/>
      <c r="H64" s="20" t="n"/>
      <c r="I64" s="20">
        <f>IF(B64="","",IF(COUNTIF('Deep Read'!$B$5:$B$304,B64)&gt;0,"✓",IF(G64="Include","→ add","")))</f>
        <v/>
      </c>
      <c r="J64" s="20" t="n"/>
    </row>
    <row r="65">
      <c r="A65" s="17">
        <f>IF(B65="","",ROW()-4)</f>
        <v/>
      </c>
      <c r="B65" s="17" t="n"/>
      <c r="C65" s="17" t="n"/>
      <c r="D65" s="17" t="n"/>
      <c r="E65" s="19" t="n"/>
      <c r="F65" s="17" t="n"/>
      <c r="G65" s="17" t="n"/>
      <c r="H65" s="17" t="n"/>
      <c r="I65" s="17">
        <f>IF(B65="","",IF(COUNTIF('Deep Read'!$B$5:$B$304,B65)&gt;0,"✓",IF(G65="Include","→ add","")))</f>
        <v/>
      </c>
      <c r="J65" s="17" t="n"/>
    </row>
    <row r="66">
      <c r="A66" s="20">
        <f>IF(B66="","",ROW()-4)</f>
        <v/>
      </c>
      <c r="B66" s="20" t="n"/>
      <c r="C66" s="20" t="n"/>
      <c r="D66" s="20" t="n"/>
      <c r="E66" s="22" t="n"/>
      <c r="F66" s="20" t="n"/>
      <c r="G66" s="20" t="n"/>
      <c r="H66" s="20" t="n"/>
      <c r="I66" s="20">
        <f>IF(B66="","",IF(COUNTIF('Deep Read'!$B$5:$B$304,B66)&gt;0,"✓",IF(G66="Include","→ add","")))</f>
        <v/>
      </c>
      <c r="J66" s="20" t="n"/>
    </row>
    <row r="67">
      <c r="A67" s="17">
        <f>IF(B67="","",ROW()-4)</f>
        <v/>
      </c>
      <c r="B67" s="17" t="n"/>
      <c r="C67" s="17" t="n"/>
      <c r="D67" s="17" t="n"/>
      <c r="E67" s="19" t="n"/>
      <c r="F67" s="17" t="n"/>
      <c r="G67" s="17" t="n"/>
      <c r="H67" s="17" t="n"/>
      <c r="I67" s="17">
        <f>IF(B67="","",IF(COUNTIF('Deep Read'!$B$5:$B$304,B67)&gt;0,"✓",IF(G67="Include","→ add","")))</f>
        <v/>
      </c>
      <c r="J67" s="17" t="n"/>
    </row>
    <row r="68">
      <c r="A68" s="20">
        <f>IF(B68="","",ROW()-4)</f>
        <v/>
      </c>
      <c r="B68" s="20" t="n"/>
      <c r="C68" s="20" t="n"/>
      <c r="D68" s="20" t="n"/>
      <c r="E68" s="22" t="n"/>
      <c r="F68" s="20" t="n"/>
      <c r="G68" s="20" t="n"/>
      <c r="H68" s="20" t="n"/>
      <c r="I68" s="20">
        <f>IF(B68="","",IF(COUNTIF('Deep Read'!$B$5:$B$304,B68)&gt;0,"✓",IF(G68="Include","→ add","")))</f>
        <v/>
      </c>
      <c r="J68" s="20" t="n"/>
    </row>
    <row r="69">
      <c r="A69" s="17">
        <f>IF(B69="","",ROW()-4)</f>
        <v/>
      </c>
      <c r="B69" s="17" t="n"/>
      <c r="C69" s="17" t="n"/>
      <c r="D69" s="17" t="n"/>
      <c r="E69" s="19" t="n"/>
      <c r="F69" s="17" t="n"/>
      <c r="G69" s="17" t="n"/>
      <c r="H69" s="17" t="n"/>
      <c r="I69" s="17">
        <f>IF(B69="","",IF(COUNTIF('Deep Read'!$B$5:$B$304,B69)&gt;0,"✓",IF(G69="Include","→ add","")))</f>
        <v/>
      </c>
      <c r="J69" s="17" t="n"/>
    </row>
    <row r="70">
      <c r="A70" s="20">
        <f>IF(B70="","",ROW()-4)</f>
        <v/>
      </c>
      <c r="B70" s="20" t="n"/>
      <c r="C70" s="20" t="n"/>
      <c r="D70" s="20" t="n"/>
      <c r="E70" s="22" t="n"/>
      <c r="F70" s="20" t="n"/>
      <c r="G70" s="20" t="n"/>
      <c r="H70" s="20" t="n"/>
      <c r="I70" s="20">
        <f>IF(B70="","",IF(COUNTIF('Deep Read'!$B$5:$B$304,B70)&gt;0,"✓",IF(G70="Include","→ add","")))</f>
        <v/>
      </c>
      <c r="J70" s="20" t="n"/>
    </row>
    <row r="71">
      <c r="A71" s="17">
        <f>IF(B71="","",ROW()-4)</f>
        <v/>
      </c>
      <c r="B71" s="17" t="n"/>
      <c r="C71" s="17" t="n"/>
      <c r="D71" s="17" t="n"/>
      <c r="E71" s="19" t="n"/>
      <c r="F71" s="17" t="n"/>
      <c r="G71" s="17" t="n"/>
      <c r="H71" s="17" t="n"/>
      <c r="I71" s="17">
        <f>IF(B71="","",IF(COUNTIF('Deep Read'!$B$5:$B$304,B71)&gt;0,"✓",IF(G71="Include","→ add","")))</f>
        <v/>
      </c>
      <c r="J71" s="17" t="n"/>
    </row>
    <row r="72">
      <c r="A72" s="20">
        <f>IF(B72="","",ROW()-4)</f>
        <v/>
      </c>
      <c r="B72" s="20" t="n"/>
      <c r="C72" s="20" t="n"/>
      <c r="D72" s="20" t="n"/>
      <c r="E72" s="22" t="n"/>
      <c r="F72" s="20" t="n"/>
      <c r="G72" s="20" t="n"/>
      <c r="H72" s="20" t="n"/>
      <c r="I72" s="20">
        <f>IF(B72="","",IF(COUNTIF('Deep Read'!$B$5:$B$304,B72)&gt;0,"✓",IF(G72="Include","→ add","")))</f>
        <v/>
      </c>
      <c r="J72" s="20" t="n"/>
    </row>
    <row r="73">
      <c r="A73" s="17">
        <f>IF(B73="","",ROW()-4)</f>
        <v/>
      </c>
      <c r="B73" s="17" t="n"/>
      <c r="C73" s="17" t="n"/>
      <c r="D73" s="17" t="n"/>
      <c r="E73" s="19" t="n"/>
      <c r="F73" s="17" t="n"/>
      <c r="G73" s="17" t="n"/>
      <c r="H73" s="17" t="n"/>
      <c r="I73" s="17">
        <f>IF(B73="","",IF(COUNTIF('Deep Read'!$B$5:$B$304,B73)&gt;0,"✓",IF(G73="Include","→ add","")))</f>
        <v/>
      </c>
      <c r="J73" s="17" t="n"/>
    </row>
    <row r="74">
      <c r="A74" s="20">
        <f>IF(B74="","",ROW()-4)</f>
        <v/>
      </c>
      <c r="B74" s="20" t="n"/>
      <c r="C74" s="20" t="n"/>
      <c r="D74" s="20" t="n"/>
      <c r="E74" s="22" t="n"/>
      <c r="F74" s="20" t="n"/>
      <c r="G74" s="20" t="n"/>
      <c r="H74" s="20" t="n"/>
      <c r="I74" s="20">
        <f>IF(B74="","",IF(COUNTIF('Deep Read'!$B$5:$B$304,B74)&gt;0,"✓",IF(G74="Include","→ add","")))</f>
        <v/>
      </c>
      <c r="J74" s="20" t="n"/>
    </row>
    <row r="75">
      <c r="A75" s="17">
        <f>IF(B75="","",ROW()-4)</f>
        <v/>
      </c>
      <c r="B75" s="17" t="n"/>
      <c r="C75" s="17" t="n"/>
      <c r="D75" s="17" t="n"/>
      <c r="E75" s="19" t="n"/>
      <c r="F75" s="17" t="n"/>
      <c r="G75" s="17" t="n"/>
      <c r="H75" s="17" t="n"/>
      <c r="I75" s="17">
        <f>IF(B75="","",IF(COUNTIF('Deep Read'!$B$5:$B$304,B75)&gt;0,"✓",IF(G75="Include","→ add","")))</f>
        <v/>
      </c>
      <c r="J75" s="17" t="n"/>
    </row>
    <row r="76">
      <c r="A76" s="20">
        <f>IF(B76="","",ROW()-4)</f>
        <v/>
      </c>
      <c r="B76" s="20" t="n"/>
      <c r="C76" s="20" t="n"/>
      <c r="D76" s="20" t="n"/>
      <c r="E76" s="22" t="n"/>
      <c r="F76" s="20" t="n"/>
      <c r="G76" s="20" t="n"/>
      <c r="H76" s="20" t="n"/>
      <c r="I76" s="20">
        <f>IF(B76="","",IF(COUNTIF('Deep Read'!$B$5:$B$304,B76)&gt;0,"✓",IF(G76="Include","→ add","")))</f>
        <v/>
      </c>
      <c r="J76" s="20" t="n"/>
    </row>
    <row r="77">
      <c r="A77" s="17">
        <f>IF(B77="","",ROW()-4)</f>
        <v/>
      </c>
      <c r="B77" s="17" t="n"/>
      <c r="C77" s="17" t="n"/>
      <c r="D77" s="17" t="n"/>
      <c r="E77" s="19" t="n"/>
      <c r="F77" s="17" t="n"/>
      <c r="G77" s="17" t="n"/>
      <c r="H77" s="17" t="n"/>
      <c r="I77" s="17">
        <f>IF(B77="","",IF(COUNTIF('Deep Read'!$B$5:$B$304,B77)&gt;0,"✓",IF(G77="Include","→ add","")))</f>
        <v/>
      </c>
      <c r="J77" s="17" t="n"/>
    </row>
    <row r="78">
      <c r="A78" s="20">
        <f>IF(B78="","",ROW()-4)</f>
        <v/>
      </c>
      <c r="B78" s="20" t="n"/>
      <c r="C78" s="20" t="n"/>
      <c r="D78" s="20" t="n"/>
      <c r="E78" s="22" t="n"/>
      <c r="F78" s="20" t="n"/>
      <c r="G78" s="20" t="n"/>
      <c r="H78" s="20" t="n"/>
      <c r="I78" s="20">
        <f>IF(B78="","",IF(COUNTIF('Deep Read'!$B$5:$B$304,B78)&gt;0,"✓",IF(G78="Include","→ add","")))</f>
        <v/>
      </c>
      <c r="J78" s="20" t="n"/>
    </row>
    <row r="79">
      <c r="A79" s="17">
        <f>IF(B79="","",ROW()-4)</f>
        <v/>
      </c>
      <c r="B79" s="17" t="n"/>
      <c r="C79" s="17" t="n"/>
      <c r="D79" s="17" t="n"/>
      <c r="E79" s="19" t="n"/>
      <c r="F79" s="17" t="n"/>
      <c r="G79" s="17" t="n"/>
      <c r="H79" s="17" t="n"/>
      <c r="I79" s="17">
        <f>IF(B79="","",IF(COUNTIF('Deep Read'!$B$5:$B$304,B79)&gt;0,"✓",IF(G79="Include","→ add","")))</f>
        <v/>
      </c>
      <c r="J79" s="17" t="n"/>
    </row>
    <row r="80">
      <c r="A80" s="20">
        <f>IF(B80="","",ROW()-4)</f>
        <v/>
      </c>
      <c r="B80" s="20" t="n"/>
      <c r="C80" s="20" t="n"/>
      <c r="D80" s="20" t="n"/>
      <c r="E80" s="22" t="n"/>
      <c r="F80" s="20" t="n"/>
      <c r="G80" s="20" t="n"/>
      <c r="H80" s="20" t="n"/>
      <c r="I80" s="20">
        <f>IF(B80="","",IF(COUNTIF('Deep Read'!$B$5:$B$304,B80)&gt;0,"✓",IF(G80="Include","→ add","")))</f>
        <v/>
      </c>
      <c r="J80" s="20" t="n"/>
    </row>
    <row r="81">
      <c r="A81" s="17">
        <f>IF(B81="","",ROW()-4)</f>
        <v/>
      </c>
      <c r="B81" s="17" t="n"/>
      <c r="C81" s="17" t="n"/>
      <c r="D81" s="17" t="n"/>
      <c r="E81" s="19" t="n"/>
      <c r="F81" s="17" t="n"/>
      <c r="G81" s="17" t="n"/>
      <c r="H81" s="17" t="n"/>
      <c r="I81" s="17">
        <f>IF(B81="","",IF(COUNTIF('Deep Read'!$B$5:$B$304,B81)&gt;0,"✓",IF(G81="Include","→ add","")))</f>
        <v/>
      </c>
      <c r="J81" s="17" t="n"/>
    </row>
    <row r="82">
      <c r="A82" s="20">
        <f>IF(B82="","",ROW()-4)</f>
        <v/>
      </c>
      <c r="B82" s="20" t="n"/>
      <c r="C82" s="20" t="n"/>
      <c r="D82" s="20" t="n"/>
      <c r="E82" s="22" t="n"/>
      <c r="F82" s="20" t="n"/>
      <c r="G82" s="20" t="n"/>
      <c r="H82" s="20" t="n"/>
      <c r="I82" s="20">
        <f>IF(B82="","",IF(COUNTIF('Deep Read'!$B$5:$B$304,B82)&gt;0,"✓",IF(G82="Include","→ add","")))</f>
        <v/>
      </c>
      <c r="J82" s="20" t="n"/>
    </row>
    <row r="83">
      <c r="A83" s="17">
        <f>IF(B83="","",ROW()-4)</f>
        <v/>
      </c>
      <c r="B83" s="17" t="n"/>
      <c r="C83" s="17" t="n"/>
      <c r="D83" s="17" t="n"/>
      <c r="E83" s="19" t="n"/>
      <c r="F83" s="17" t="n"/>
      <c r="G83" s="17" t="n"/>
      <c r="H83" s="17" t="n"/>
      <c r="I83" s="17">
        <f>IF(B83="","",IF(COUNTIF('Deep Read'!$B$5:$B$304,B83)&gt;0,"✓",IF(G83="Include","→ add","")))</f>
        <v/>
      </c>
      <c r="J83" s="17" t="n"/>
    </row>
    <row r="84">
      <c r="A84" s="20">
        <f>IF(B84="","",ROW()-4)</f>
        <v/>
      </c>
      <c r="B84" s="20" t="n"/>
      <c r="C84" s="20" t="n"/>
      <c r="D84" s="20" t="n"/>
      <c r="E84" s="22" t="n"/>
      <c r="F84" s="20" t="n"/>
      <c r="G84" s="20" t="n"/>
      <c r="H84" s="20" t="n"/>
      <c r="I84" s="20">
        <f>IF(B84="","",IF(COUNTIF('Deep Read'!$B$5:$B$304,B84)&gt;0,"✓",IF(G84="Include","→ add","")))</f>
        <v/>
      </c>
      <c r="J84" s="20" t="n"/>
    </row>
    <row r="85">
      <c r="A85" s="17">
        <f>IF(B85="","",ROW()-4)</f>
        <v/>
      </c>
      <c r="B85" s="17" t="n"/>
      <c r="C85" s="17" t="n"/>
      <c r="D85" s="17" t="n"/>
      <c r="E85" s="19" t="n"/>
      <c r="F85" s="17" t="n"/>
      <c r="G85" s="17" t="n"/>
      <c r="H85" s="17" t="n"/>
      <c r="I85" s="17">
        <f>IF(B85="","",IF(COUNTIF('Deep Read'!$B$5:$B$304,B85)&gt;0,"✓",IF(G85="Include","→ add","")))</f>
        <v/>
      </c>
      <c r="J85" s="17" t="n"/>
    </row>
    <row r="86">
      <c r="A86" s="20">
        <f>IF(B86="","",ROW()-4)</f>
        <v/>
      </c>
      <c r="B86" s="20" t="n"/>
      <c r="C86" s="20" t="n"/>
      <c r="D86" s="20" t="n"/>
      <c r="E86" s="22" t="n"/>
      <c r="F86" s="20" t="n"/>
      <c r="G86" s="20" t="n"/>
      <c r="H86" s="20" t="n"/>
      <c r="I86" s="20">
        <f>IF(B86="","",IF(COUNTIF('Deep Read'!$B$5:$B$304,B86)&gt;0,"✓",IF(G86="Include","→ add","")))</f>
        <v/>
      </c>
      <c r="J86" s="20" t="n"/>
    </row>
    <row r="87">
      <c r="A87" s="17">
        <f>IF(B87="","",ROW()-4)</f>
        <v/>
      </c>
      <c r="B87" s="17" t="n"/>
      <c r="C87" s="17" t="n"/>
      <c r="D87" s="17" t="n"/>
      <c r="E87" s="19" t="n"/>
      <c r="F87" s="17" t="n"/>
      <c r="G87" s="17" t="n"/>
      <c r="H87" s="17" t="n"/>
      <c r="I87" s="17">
        <f>IF(B87="","",IF(COUNTIF('Deep Read'!$B$5:$B$304,B87)&gt;0,"✓",IF(G87="Include","→ add","")))</f>
        <v/>
      </c>
      <c r="J87" s="17" t="n"/>
    </row>
    <row r="88">
      <c r="A88" s="20">
        <f>IF(B88="","",ROW()-4)</f>
        <v/>
      </c>
      <c r="B88" s="20" t="n"/>
      <c r="C88" s="20" t="n"/>
      <c r="D88" s="20" t="n"/>
      <c r="E88" s="22" t="n"/>
      <c r="F88" s="20" t="n"/>
      <c r="G88" s="20" t="n"/>
      <c r="H88" s="20" t="n"/>
      <c r="I88" s="20">
        <f>IF(B88="","",IF(COUNTIF('Deep Read'!$B$5:$B$304,B88)&gt;0,"✓",IF(G88="Include","→ add","")))</f>
        <v/>
      </c>
      <c r="J88" s="20" t="n"/>
    </row>
    <row r="89">
      <c r="A89" s="17">
        <f>IF(B89="","",ROW()-4)</f>
        <v/>
      </c>
      <c r="B89" s="17" t="n"/>
      <c r="C89" s="17" t="n"/>
      <c r="D89" s="17" t="n"/>
      <c r="E89" s="19" t="n"/>
      <c r="F89" s="17" t="n"/>
      <c r="G89" s="17" t="n"/>
      <c r="H89" s="17" t="n"/>
      <c r="I89" s="17">
        <f>IF(B89="","",IF(COUNTIF('Deep Read'!$B$5:$B$304,B89)&gt;0,"✓",IF(G89="Include","→ add","")))</f>
        <v/>
      </c>
      <c r="J89" s="17" t="n"/>
    </row>
    <row r="90">
      <c r="A90" s="20">
        <f>IF(B90="","",ROW()-4)</f>
        <v/>
      </c>
      <c r="B90" s="20" t="n"/>
      <c r="C90" s="20" t="n"/>
      <c r="D90" s="20" t="n"/>
      <c r="E90" s="22" t="n"/>
      <c r="F90" s="20" t="n"/>
      <c r="G90" s="20" t="n"/>
      <c r="H90" s="20" t="n"/>
      <c r="I90" s="20">
        <f>IF(B90="","",IF(COUNTIF('Deep Read'!$B$5:$B$304,B90)&gt;0,"✓",IF(G90="Include","→ add","")))</f>
        <v/>
      </c>
      <c r="J90" s="20" t="n"/>
    </row>
    <row r="91">
      <c r="A91" s="17">
        <f>IF(B91="","",ROW()-4)</f>
        <v/>
      </c>
      <c r="B91" s="17" t="n"/>
      <c r="C91" s="17" t="n"/>
      <c r="D91" s="17" t="n"/>
      <c r="E91" s="19" t="n"/>
      <c r="F91" s="17" t="n"/>
      <c r="G91" s="17" t="n"/>
      <c r="H91" s="17" t="n"/>
      <c r="I91" s="17">
        <f>IF(B91="","",IF(COUNTIF('Deep Read'!$B$5:$B$304,B91)&gt;0,"✓",IF(G91="Include","→ add","")))</f>
        <v/>
      </c>
      <c r="J91" s="17" t="n"/>
    </row>
    <row r="92">
      <c r="A92" s="20">
        <f>IF(B92="","",ROW()-4)</f>
        <v/>
      </c>
      <c r="B92" s="20" t="n"/>
      <c r="C92" s="20" t="n"/>
      <c r="D92" s="20" t="n"/>
      <c r="E92" s="22" t="n"/>
      <c r="F92" s="20" t="n"/>
      <c r="G92" s="20" t="n"/>
      <c r="H92" s="20" t="n"/>
      <c r="I92" s="20">
        <f>IF(B92="","",IF(COUNTIF('Deep Read'!$B$5:$B$304,B92)&gt;0,"✓",IF(G92="Include","→ add","")))</f>
        <v/>
      </c>
      <c r="J92" s="20" t="n"/>
    </row>
    <row r="93">
      <c r="A93" s="17">
        <f>IF(B93="","",ROW()-4)</f>
        <v/>
      </c>
      <c r="B93" s="17" t="n"/>
      <c r="C93" s="17" t="n"/>
      <c r="D93" s="17" t="n"/>
      <c r="E93" s="19" t="n"/>
      <c r="F93" s="17" t="n"/>
      <c r="G93" s="17" t="n"/>
      <c r="H93" s="17" t="n"/>
      <c r="I93" s="17">
        <f>IF(B93="","",IF(COUNTIF('Deep Read'!$B$5:$B$304,B93)&gt;0,"✓",IF(G93="Include","→ add","")))</f>
        <v/>
      </c>
      <c r="J93" s="17" t="n"/>
    </row>
    <row r="94">
      <c r="A94" s="20">
        <f>IF(B94="","",ROW()-4)</f>
        <v/>
      </c>
      <c r="B94" s="20" t="n"/>
      <c r="C94" s="20" t="n"/>
      <c r="D94" s="20" t="n"/>
      <c r="E94" s="22" t="n"/>
      <c r="F94" s="20" t="n"/>
      <c r="G94" s="20" t="n"/>
      <c r="H94" s="20" t="n"/>
      <c r="I94" s="20">
        <f>IF(B94="","",IF(COUNTIF('Deep Read'!$B$5:$B$304,B94)&gt;0,"✓",IF(G94="Include","→ add","")))</f>
        <v/>
      </c>
      <c r="J94" s="20" t="n"/>
    </row>
    <row r="95">
      <c r="A95" s="17">
        <f>IF(B95="","",ROW()-4)</f>
        <v/>
      </c>
      <c r="B95" s="17" t="n"/>
      <c r="C95" s="17" t="n"/>
      <c r="D95" s="17" t="n"/>
      <c r="E95" s="19" t="n"/>
      <c r="F95" s="17" t="n"/>
      <c r="G95" s="17" t="n"/>
      <c r="H95" s="17" t="n"/>
      <c r="I95" s="17">
        <f>IF(B95="","",IF(COUNTIF('Deep Read'!$B$5:$B$304,B95)&gt;0,"✓",IF(G95="Include","→ add","")))</f>
        <v/>
      </c>
      <c r="J95" s="17" t="n"/>
    </row>
    <row r="96">
      <c r="A96" s="20">
        <f>IF(B96="","",ROW()-4)</f>
        <v/>
      </c>
      <c r="B96" s="20" t="n"/>
      <c r="C96" s="20" t="n"/>
      <c r="D96" s="20" t="n"/>
      <c r="E96" s="22" t="n"/>
      <c r="F96" s="20" t="n"/>
      <c r="G96" s="20" t="n"/>
      <c r="H96" s="20" t="n"/>
      <c r="I96" s="20">
        <f>IF(B96="","",IF(COUNTIF('Deep Read'!$B$5:$B$304,B96)&gt;0,"✓",IF(G96="Include","→ add","")))</f>
        <v/>
      </c>
      <c r="J96" s="20" t="n"/>
    </row>
    <row r="97">
      <c r="A97" s="17">
        <f>IF(B97="","",ROW()-4)</f>
        <v/>
      </c>
      <c r="B97" s="17" t="n"/>
      <c r="C97" s="17" t="n"/>
      <c r="D97" s="17" t="n"/>
      <c r="E97" s="19" t="n"/>
      <c r="F97" s="17" t="n"/>
      <c r="G97" s="17" t="n"/>
      <c r="H97" s="17" t="n"/>
      <c r="I97" s="17">
        <f>IF(B97="","",IF(COUNTIF('Deep Read'!$B$5:$B$304,B97)&gt;0,"✓",IF(G97="Include","→ add","")))</f>
        <v/>
      </c>
      <c r="J97" s="17" t="n"/>
    </row>
    <row r="98">
      <c r="A98" s="20">
        <f>IF(B98="","",ROW()-4)</f>
        <v/>
      </c>
      <c r="B98" s="20" t="n"/>
      <c r="C98" s="20" t="n"/>
      <c r="D98" s="20" t="n"/>
      <c r="E98" s="22" t="n"/>
      <c r="F98" s="20" t="n"/>
      <c r="G98" s="20" t="n"/>
      <c r="H98" s="20" t="n"/>
      <c r="I98" s="20">
        <f>IF(B98="","",IF(COUNTIF('Deep Read'!$B$5:$B$304,B98)&gt;0,"✓",IF(G98="Include","→ add","")))</f>
        <v/>
      </c>
      <c r="J98" s="20" t="n"/>
    </row>
    <row r="99">
      <c r="A99" s="17">
        <f>IF(B99="","",ROW()-4)</f>
        <v/>
      </c>
      <c r="B99" s="17" t="n"/>
      <c r="C99" s="17" t="n"/>
      <c r="D99" s="17" t="n"/>
      <c r="E99" s="19" t="n"/>
      <c r="F99" s="17" t="n"/>
      <c r="G99" s="17" t="n"/>
      <c r="H99" s="17" t="n"/>
      <c r="I99" s="17">
        <f>IF(B99="","",IF(COUNTIF('Deep Read'!$B$5:$B$304,B99)&gt;0,"✓",IF(G99="Include","→ add","")))</f>
        <v/>
      </c>
      <c r="J99" s="17" t="n"/>
    </row>
    <row r="100">
      <c r="A100" s="20">
        <f>IF(B100="","",ROW()-4)</f>
        <v/>
      </c>
      <c r="B100" s="20" t="n"/>
      <c r="C100" s="20" t="n"/>
      <c r="D100" s="20" t="n"/>
      <c r="E100" s="22" t="n"/>
      <c r="F100" s="20" t="n"/>
      <c r="G100" s="20" t="n"/>
      <c r="H100" s="20" t="n"/>
      <c r="I100" s="20">
        <f>IF(B100="","",IF(COUNTIF('Deep Read'!$B$5:$B$304,B100)&gt;0,"✓",IF(G100="Include","→ add","")))</f>
        <v/>
      </c>
      <c r="J100" s="20" t="n"/>
    </row>
    <row r="101">
      <c r="A101" s="17">
        <f>IF(B101="","",ROW()-4)</f>
        <v/>
      </c>
      <c r="B101" s="17" t="n"/>
      <c r="C101" s="17" t="n"/>
      <c r="D101" s="17" t="n"/>
      <c r="E101" s="19" t="n"/>
      <c r="F101" s="17" t="n"/>
      <c r="G101" s="17" t="n"/>
      <c r="H101" s="17" t="n"/>
      <c r="I101" s="17">
        <f>IF(B101="","",IF(COUNTIF('Deep Read'!$B$5:$B$304,B101)&gt;0,"✓",IF(G101="Include","→ add","")))</f>
        <v/>
      </c>
      <c r="J101" s="17" t="n"/>
    </row>
    <row r="102">
      <c r="A102" s="20">
        <f>IF(B102="","",ROW()-4)</f>
        <v/>
      </c>
      <c r="B102" s="20" t="n"/>
      <c r="C102" s="20" t="n"/>
      <c r="D102" s="20" t="n"/>
      <c r="E102" s="22" t="n"/>
      <c r="F102" s="20" t="n"/>
      <c r="G102" s="20" t="n"/>
      <c r="H102" s="20" t="n"/>
      <c r="I102" s="20">
        <f>IF(B102="","",IF(COUNTIF('Deep Read'!$B$5:$B$304,B102)&gt;0,"✓",IF(G102="Include","→ add","")))</f>
        <v/>
      </c>
      <c r="J102" s="20" t="n"/>
    </row>
    <row r="103">
      <c r="A103" s="17">
        <f>IF(B103="","",ROW()-4)</f>
        <v/>
      </c>
      <c r="B103" s="17" t="n"/>
      <c r="C103" s="17" t="n"/>
      <c r="D103" s="17" t="n"/>
      <c r="E103" s="19" t="n"/>
      <c r="F103" s="17" t="n"/>
      <c r="G103" s="17" t="n"/>
      <c r="H103" s="17" t="n"/>
      <c r="I103" s="17">
        <f>IF(B103="","",IF(COUNTIF('Deep Read'!$B$5:$B$304,B103)&gt;0,"✓",IF(G103="Include","→ add","")))</f>
        <v/>
      </c>
      <c r="J103" s="17" t="n"/>
    </row>
    <row r="104">
      <c r="A104" s="20">
        <f>IF(B104="","",ROW()-4)</f>
        <v/>
      </c>
      <c r="B104" s="20" t="n"/>
      <c r="C104" s="20" t="n"/>
      <c r="D104" s="20" t="n"/>
      <c r="E104" s="22" t="n"/>
      <c r="F104" s="20" t="n"/>
      <c r="G104" s="20" t="n"/>
      <c r="H104" s="20" t="n"/>
      <c r="I104" s="20">
        <f>IF(B104="","",IF(COUNTIF('Deep Read'!$B$5:$B$304,B104)&gt;0,"✓",IF(G104="Include","→ add","")))</f>
        <v/>
      </c>
      <c r="J104" s="20" t="n"/>
    </row>
    <row r="105">
      <c r="A105" s="17">
        <f>IF(B105="","",ROW()-4)</f>
        <v/>
      </c>
      <c r="B105" s="17" t="n"/>
      <c r="C105" s="17" t="n"/>
      <c r="D105" s="17" t="n"/>
      <c r="E105" s="19" t="n"/>
      <c r="F105" s="17" t="n"/>
      <c r="G105" s="17" t="n"/>
      <c r="H105" s="17" t="n"/>
      <c r="I105" s="17">
        <f>IF(B105="","",IF(COUNTIF('Deep Read'!$B$5:$B$304,B105)&gt;0,"✓",IF(G105="Include","→ add","")))</f>
        <v/>
      </c>
      <c r="J105" s="17" t="n"/>
    </row>
    <row r="106">
      <c r="A106" s="20">
        <f>IF(B106="","",ROW()-4)</f>
        <v/>
      </c>
      <c r="B106" s="20" t="n"/>
      <c r="C106" s="20" t="n"/>
      <c r="D106" s="20" t="n"/>
      <c r="E106" s="22" t="n"/>
      <c r="F106" s="20" t="n"/>
      <c r="G106" s="20" t="n"/>
      <c r="H106" s="20" t="n"/>
      <c r="I106" s="20">
        <f>IF(B106="","",IF(COUNTIF('Deep Read'!$B$5:$B$304,B106)&gt;0,"✓",IF(G106="Include","→ add","")))</f>
        <v/>
      </c>
      <c r="J106" s="20" t="n"/>
    </row>
    <row r="107">
      <c r="A107" s="17">
        <f>IF(B107="","",ROW()-4)</f>
        <v/>
      </c>
      <c r="B107" s="17" t="n"/>
      <c r="C107" s="17" t="n"/>
      <c r="D107" s="17" t="n"/>
      <c r="E107" s="19" t="n"/>
      <c r="F107" s="17" t="n"/>
      <c r="G107" s="17" t="n"/>
      <c r="H107" s="17" t="n"/>
      <c r="I107" s="17">
        <f>IF(B107="","",IF(COUNTIF('Deep Read'!$B$5:$B$304,B107)&gt;0,"✓",IF(G107="Include","→ add","")))</f>
        <v/>
      </c>
      <c r="J107" s="17" t="n"/>
    </row>
    <row r="108">
      <c r="A108" s="20">
        <f>IF(B108="","",ROW()-4)</f>
        <v/>
      </c>
      <c r="B108" s="20" t="n"/>
      <c r="C108" s="20" t="n"/>
      <c r="D108" s="20" t="n"/>
      <c r="E108" s="22" t="n"/>
      <c r="F108" s="20" t="n"/>
      <c r="G108" s="20" t="n"/>
      <c r="H108" s="20" t="n"/>
      <c r="I108" s="20">
        <f>IF(B108="","",IF(COUNTIF('Deep Read'!$B$5:$B$304,B108)&gt;0,"✓",IF(G108="Include","→ add","")))</f>
        <v/>
      </c>
      <c r="J108" s="20" t="n"/>
    </row>
    <row r="109">
      <c r="A109" s="17">
        <f>IF(B109="","",ROW()-4)</f>
        <v/>
      </c>
      <c r="B109" s="17" t="n"/>
      <c r="C109" s="17" t="n"/>
      <c r="D109" s="17" t="n"/>
      <c r="E109" s="19" t="n"/>
      <c r="F109" s="17" t="n"/>
      <c r="G109" s="17" t="n"/>
      <c r="H109" s="17" t="n"/>
      <c r="I109" s="17">
        <f>IF(B109="","",IF(COUNTIF('Deep Read'!$B$5:$B$304,B109)&gt;0,"✓",IF(G109="Include","→ add","")))</f>
        <v/>
      </c>
      <c r="J109" s="17" t="n"/>
    </row>
    <row r="110">
      <c r="A110" s="20">
        <f>IF(B110="","",ROW()-4)</f>
        <v/>
      </c>
      <c r="B110" s="20" t="n"/>
      <c r="C110" s="20" t="n"/>
      <c r="D110" s="20" t="n"/>
      <c r="E110" s="22" t="n"/>
      <c r="F110" s="20" t="n"/>
      <c r="G110" s="20" t="n"/>
      <c r="H110" s="20" t="n"/>
      <c r="I110" s="20">
        <f>IF(B110="","",IF(COUNTIF('Deep Read'!$B$5:$B$304,B110)&gt;0,"✓",IF(G110="Include","→ add","")))</f>
        <v/>
      </c>
      <c r="J110" s="20" t="n"/>
    </row>
    <row r="111">
      <c r="A111" s="17">
        <f>IF(B111="","",ROW()-4)</f>
        <v/>
      </c>
      <c r="B111" s="17" t="n"/>
      <c r="C111" s="17" t="n"/>
      <c r="D111" s="17" t="n"/>
      <c r="E111" s="19" t="n"/>
      <c r="F111" s="17" t="n"/>
      <c r="G111" s="17" t="n"/>
      <c r="H111" s="17" t="n"/>
      <c r="I111" s="17">
        <f>IF(B111="","",IF(COUNTIF('Deep Read'!$B$5:$B$304,B111)&gt;0,"✓",IF(G111="Include","→ add","")))</f>
        <v/>
      </c>
      <c r="J111" s="17" t="n"/>
    </row>
    <row r="112">
      <c r="A112" s="20">
        <f>IF(B112="","",ROW()-4)</f>
        <v/>
      </c>
      <c r="B112" s="20" t="n"/>
      <c r="C112" s="20" t="n"/>
      <c r="D112" s="20" t="n"/>
      <c r="E112" s="22" t="n"/>
      <c r="F112" s="20" t="n"/>
      <c r="G112" s="20" t="n"/>
      <c r="H112" s="20" t="n"/>
      <c r="I112" s="20">
        <f>IF(B112="","",IF(COUNTIF('Deep Read'!$B$5:$B$304,B112)&gt;0,"✓",IF(G112="Include","→ add","")))</f>
        <v/>
      </c>
      <c r="J112" s="20" t="n"/>
    </row>
    <row r="113">
      <c r="A113" s="17">
        <f>IF(B113="","",ROW()-4)</f>
        <v/>
      </c>
      <c r="B113" s="17" t="n"/>
      <c r="C113" s="17" t="n"/>
      <c r="D113" s="17" t="n"/>
      <c r="E113" s="19" t="n"/>
      <c r="F113" s="17" t="n"/>
      <c r="G113" s="17" t="n"/>
      <c r="H113" s="17" t="n"/>
      <c r="I113" s="17">
        <f>IF(B113="","",IF(COUNTIF('Deep Read'!$B$5:$B$304,B113)&gt;0,"✓",IF(G113="Include","→ add","")))</f>
        <v/>
      </c>
      <c r="J113" s="17" t="n"/>
    </row>
    <row r="114">
      <c r="A114" s="20">
        <f>IF(B114="","",ROW()-4)</f>
        <v/>
      </c>
      <c r="B114" s="20" t="n"/>
      <c r="C114" s="20" t="n"/>
      <c r="D114" s="20" t="n"/>
      <c r="E114" s="22" t="n"/>
      <c r="F114" s="20" t="n"/>
      <c r="G114" s="20" t="n"/>
      <c r="H114" s="20" t="n"/>
      <c r="I114" s="20">
        <f>IF(B114="","",IF(COUNTIF('Deep Read'!$B$5:$B$304,B114)&gt;0,"✓",IF(G114="Include","→ add","")))</f>
        <v/>
      </c>
      <c r="J114" s="20" t="n"/>
    </row>
    <row r="115">
      <c r="A115" s="17">
        <f>IF(B115="","",ROW()-4)</f>
        <v/>
      </c>
      <c r="B115" s="17" t="n"/>
      <c r="C115" s="17" t="n"/>
      <c r="D115" s="17" t="n"/>
      <c r="E115" s="19" t="n"/>
      <c r="F115" s="17" t="n"/>
      <c r="G115" s="17" t="n"/>
      <c r="H115" s="17" t="n"/>
      <c r="I115" s="17">
        <f>IF(B115="","",IF(COUNTIF('Deep Read'!$B$5:$B$304,B115)&gt;0,"✓",IF(G115="Include","→ add","")))</f>
        <v/>
      </c>
      <c r="J115" s="17" t="n"/>
    </row>
    <row r="116">
      <c r="A116" s="20">
        <f>IF(B116="","",ROW()-4)</f>
        <v/>
      </c>
      <c r="B116" s="20" t="n"/>
      <c r="C116" s="20" t="n"/>
      <c r="D116" s="20" t="n"/>
      <c r="E116" s="22" t="n"/>
      <c r="F116" s="20" t="n"/>
      <c r="G116" s="20" t="n"/>
      <c r="H116" s="20" t="n"/>
      <c r="I116" s="20">
        <f>IF(B116="","",IF(COUNTIF('Deep Read'!$B$5:$B$304,B116)&gt;0,"✓",IF(G116="Include","→ add","")))</f>
        <v/>
      </c>
      <c r="J116" s="20" t="n"/>
    </row>
    <row r="117">
      <c r="A117" s="17">
        <f>IF(B117="","",ROW()-4)</f>
        <v/>
      </c>
      <c r="B117" s="17" t="n"/>
      <c r="C117" s="17" t="n"/>
      <c r="D117" s="17" t="n"/>
      <c r="E117" s="19" t="n"/>
      <c r="F117" s="17" t="n"/>
      <c r="G117" s="17" t="n"/>
      <c r="H117" s="17" t="n"/>
      <c r="I117" s="17">
        <f>IF(B117="","",IF(COUNTIF('Deep Read'!$B$5:$B$304,B117)&gt;0,"✓",IF(G117="Include","→ add","")))</f>
        <v/>
      </c>
      <c r="J117" s="17" t="n"/>
    </row>
    <row r="118">
      <c r="A118" s="20">
        <f>IF(B118="","",ROW()-4)</f>
        <v/>
      </c>
      <c r="B118" s="20" t="n"/>
      <c r="C118" s="20" t="n"/>
      <c r="D118" s="20" t="n"/>
      <c r="E118" s="22" t="n"/>
      <c r="F118" s="20" t="n"/>
      <c r="G118" s="20" t="n"/>
      <c r="H118" s="20" t="n"/>
      <c r="I118" s="20">
        <f>IF(B118="","",IF(COUNTIF('Deep Read'!$B$5:$B$304,B118)&gt;0,"✓",IF(G118="Include","→ add","")))</f>
        <v/>
      </c>
      <c r="J118" s="20" t="n"/>
    </row>
    <row r="119">
      <c r="A119" s="17">
        <f>IF(B119="","",ROW()-4)</f>
        <v/>
      </c>
      <c r="B119" s="17" t="n"/>
      <c r="C119" s="17" t="n"/>
      <c r="D119" s="17" t="n"/>
      <c r="E119" s="19" t="n"/>
      <c r="F119" s="17" t="n"/>
      <c r="G119" s="17" t="n"/>
      <c r="H119" s="17" t="n"/>
      <c r="I119" s="17">
        <f>IF(B119="","",IF(COUNTIF('Deep Read'!$B$5:$B$304,B119)&gt;0,"✓",IF(G119="Include","→ add","")))</f>
        <v/>
      </c>
      <c r="J119" s="17" t="n"/>
    </row>
    <row r="120">
      <c r="A120" s="20">
        <f>IF(B120="","",ROW()-4)</f>
        <v/>
      </c>
      <c r="B120" s="20" t="n"/>
      <c r="C120" s="20" t="n"/>
      <c r="D120" s="20" t="n"/>
      <c r="E120" s="22" t="n"/>
      <c r="F120" s="20" t="n"/>
      <c r="G120" s="20" t="n"/>
      <c r="H120" s="20" t="n"/>
      <c r="I120" s="20">
        <f>IF(B120="","",IF(COUNTIF('Deep Read'!$B$5:$B$304,B120)&gt;0,"✓",IF(G120="Include","→ add","")))</f>
        <v/>
      </c>
      <c r="J120" s="20" t="n"/>
    </row>
    <row r="121">
      <c r="A121" s="17">
        <f>IF(B121="","",ROW()-4)</f>
        <v/>
      </c>
      <c r="B121" s="17" t="n"/>
      <c r="C121" s="17" t="n"/>
      <c r="D121" s="17" t="n"/>
      <c r="E121" s="19" t="n"/>
      <c r="F121" s="17" t="n"/>
      <c r="G121" s="17" t="n"/>
      <c r="H121" s="17" t="n"/>
      <c r="I121" s="17">
        <f>IF(B121="","",IF(COUNTIF('Deep Read'!$B$5:$B$304,B121)&gt;0,"✓",IF(G121="Include","→ add","")))</f>
        <v/>
      </c>
      <c r="J121" s="17" t="n"/>
    </row>
    <row r="122">
      <c r="A122" s="20">
        <f>IF(B122="","",ROW()-4)</f>
        <v/>
      </c>
      <c r="B122" s="20" t="n"/>
      <c r="C122" s="20" t="n"/>
      <c r="D122" s="20" t="n"/>
      <c r="E122" s="22" t="n"/>
      <c r="F122" s="20" t="n"/>
      <c r="G122" s="20" t="n"/>
      <c r="H122" s="20" t="n"/>
      <c r="I122" s="20">
        <f>IF(B122="","",IF(COUNTIF('Deep Read'!$B$5:$B$304,B122)&gt;0,"✓",IF(G122="Include","→ add","")))</f>
        <v/>
      </c>
      <c r="J122" s="20" t="n"/>
    </row>
    <row r="123">
      <c r="A123" s="17">
        <f>IF(B123="","",ROW()-4)</f>
        <v/>
      </c>
      <c r="B123" s="17" t="n"/>
      <c r="C123" s="17" t="n"/>
      <c r="D123" s="17" t="n"/>
      <c r="E123" s="19" t="n"/>
      <c r="F123" s="17" t="n"/>
      <c r="G123" s="17" t="n"/>
      <c r="H123" s="17" t="n"/>
      <c r="I123" s="17">
        <f>IF(B123="","",IF(COUNTIF('Deep Read'!$B$5:$B$304,B123)&gt;0,"✓",IF(G123="Include","→ add","")))</f>
        <v/>
      </c>
      <c r="J123" s="17" t="n"/>
    </row>
    <row r="124">
      <c r="A124" s="20">
        <f>IF(B124="","",ROW()-4)</f>
        <v/>
      </c>
      <c r="B124" s="20" t="n"/>
      <c r="C124" s="20" t="n"/>
      <c r="D124" s="20" t="n"/>
      <c r="E124" s="22" t="n"/>
      <c r="F124" s="20" t="n"/>
      <c r="G124" s="20" t="n"/>
      <c r="H124" s="20" t="n"/>
      <c r="I124" s="20">
        <f>IF(B124="","",IF(COUNTIF('Deep Read'!$B$5:$B$304,B124)&gt;0,"✓",IF(G124="Include","→ add","")))</f>
        <v/>
      </c>
      <c r="J124" s="20" t="n"/>
    </row>
    <row r="125">
      <c r="A125" s="17">
        <f>IF(B125="","",ROW()-4)</f>
        <v/>
      </c>
      <c r="B125" s="17" t="n"/>
      <c r="C125" s="17" t="n"/>
      <c r="D125" s="17" t="n"/>
      <c r="E125" s="19" t="n"/>
      <c r="F125" s="17" t="n"/>
      <c r="G125" s="17" t="n"/>
      <c r="H125" s="17" t="n"/>
      <c r="I125" s="17">
        <f>IF(B125="","",IF(COUNTIF('Deep Read'!$B$5:$B$304,B125)&gt;0,"✓",IF(G125="Include","→ add","")))</f>
        <v/>
      </c>
      <c r="J125" s="17" t="n"/>
    </row>
    <row r="126">
      <c r="A126" s="20">
        <f>IF(B126="","",ROW()-4)</f>
        <v/>
      </c>
      <c r="B126" s="20" t="n"/>
      <c r="C126" s="20" t="n"/>
      <c r="D126" s="20" t="n"/>
      <c r="E126" s="22" t="n"/>
      <c r="F126" s="20" t="n"/>
      <c r="G126" s="20" t="n"/>
      <c r="H126" s="20" t="n"/>
      <c r="I126" s="20">
        <f>IF(B126="","",IF(COUNTIF('Deep Read'!$B$5:$B$304,B126)&gt;0,"✓",IF(G126="Include","→ add","")))</f>
        <v/>
      </c>
      <c r="J126" s="20" t="n"/>
    </row>
    <row r="127">
      <c r="A127" s="17">
        <f>IF(B127="","",ROW()-4)</f>
        <v/>
      </c>
      <c r="B127" s="17" t="n"/>
      <c r="C127" s="17" t="n"/>
      <c r="D127" s="17" t="n"/>
      <c r="E127" s="19" t="n"/>
      <c r="F127" s="17" t="n"/>
      <c r="G127" s="17" t="n"/>
      <c r="H127" s="17" t="n"/>
      <c r="I127" s="17">
        <f>IF(B127="","",IF(COUNTIF('Deep Read'!$B$5:$B$304,B127)&gt;0,"✓",IF(G127="Include","→ add","")))</f>
        <v/>
      </c>
      <c r="J127" s="17" t="n"/>
    </row>
    <row r="128">
      <c r="A128" s="20">
        <f>IF(B128="","",ROW()-4)</f>
        <v/>
      </c>
      <c r="B128" s="20" t="n"/>
      <c r="C128" s="20" t="n"/>
      <c r="D128" s="20" t="n"/>
      <c r="E128" s="22" t="n"/>
      <c r="F128" s="20" t="n"/>
      <c r="G128" s="20" t="n"/>
      <c r="H128" s="20" t="n"/>
      <c r="I128" s="20">
        <f>IF(B128="","",IF(COUNTIF('Deep Read'!$B$5:$B$304,B128)&gt;0,"✓",IF(G128="Include","→ add","")))</f>
        <v/>
      </c>
      <c r="J128" s="20" t="n"/>
    </row>
    <row r="129">
      <c r="A129" s="17">
        <f>IF(B129="","",ROW()-4)</f>
        <v/>
      </c>
      <c r="B129" s="17" t="n"/>
      <c r="C129" s="17" t="n"/>
      <c r="D129" s="17" t="n"/>
      <c r="E129" s="19" t="n"/>
      <c r="F129" s="17" t="n"/>
      <c r="G129" s="17" t="n"/>
      <c r="H129" s="17" t="n"/>
      <c r="I129" s="17">
        <f>IF(B129="","",IF(COUNTIF('Deep Read'!$B$5:$B$304,B129)&gt;0,"✓",IF(G129="Include","→ add","")))</f>
        <v/>
      </c>
      <c r="J129" s="17" t="n"/>
    </row>
    <row r="130">
      <c r="A130" s="20">
        <f>IF(B130="","",ROW()-4)</f>
        <v/>
      </c>
      <c r="B130" s="20" t="n"/>
      <c r="C130" s="20" t="n"/>
      <c r="D130" s="20" t="n"/>
      <c r="E130" s="22" t="n"/>
      <c r="F130" s="20" t="n"/>
      <c r="G130" s="20" t="n"/>
      <c r="H130" s="20" t="n"/>
      <c r="I130" s="20">
        <f>IF(B130="","",IF(COUNTIF('Deep Read'!$B$5:$B$304,B130)&gt;0,"✓",IF(G130="Include","→ add","")))</f>
        <v/>
      </c>
      <c r="J130" s="20" t="n"/>
    </row>
    <row r="131">
      <c r="A131" s="17">
        <f>IF(B131="","",ROW()-4)</f>
        <v/>
      </c>
      <c r="B131" s="17" t="n"/>
      <c r="C131" s="17" t="n"/>
      <c r="D131" s="17" t="n"/>
      <c r="E131" s="19" t="n"/>
      <c r="F131" s="17" t="n"/>
      <c r="G131" s="17" t="n"/>
      <c r="H131" s="17" t="n"/>
      <c r="I131" s="17">
        <f>IF(B131="","",IF(COUNTIF('Deep Read'!$B$5:$B$304,B131)&gt;0,"✓",IF(G131="Include","→ add","")))</f>
        <v/>
      </c>
      <c r="J131" s="17" t="n"/>
    </row>
    <row r="132">
      <c r="A132" s="20">
        <f>IF(B132="","",ROW()-4)</f>
        <v/>
      </c>
      <c r="B132" s="20" t="n"/>
      <c r="C132" s="20" t="n"/>
      <c r="D132" s="20" t="n"/>
      <c r="E132" s="22" t="n"/>
      <c r="F132" s="20" t="n"/>
      <c r="G132" s="20" t="n"/>
      <c r="H132" s="20" t="n"/>
      <c r="I132" s="20">
        <f>IF(B132="","",IF(COUNTIF('Deep Read'!$B$5:$B$304,B132)&gt;0,"✓",IF(G132="Include","→ add","")))</f>
        <v/>
      </c>
      <c r="J132" s="20" t="n"/>
    </row>
    <row r="133">
      <c r="A133" s="17">
        <f>IF(B133="","",ROW()-4)</f>
        <v/>
      </c>
      <c r="B133" s="17" t="n"/>
      <c r="C133" s="17" t="n"/>
      <c r="D133" s="17" t="n"/>
      <c r="E133" s="19" t="n"/>
      <c r="F133" s="17" t="n"/>
      <c r="G133" s="17" t="n"/>
      <c r="H133" s="17" t="n"/>
      <c r="I133" s="17">
        <f>IF(B133="","",IF(COUNTIF('Deep Read'!$B$5:$B$304,B133)&gt;0,"✓",IF(G133="Include","→ add","")))</f>
        <v/>
      </c>
      <c r="J133" s="17" t="n"/>
    </row>
    <row r="134">
      <c r="A134" s="20">
        <f>IF(B134="","",ROW()-4)</f>
        <v/>
      </c>
      <c r="B134" s="20" t="n"/>
      <c r="C134" s="20" t="n"/>
      <c r="D134" s="20" t="n"/>
      <c r="E134" s="22" t="n"/>
      <c r="F134" s="20" t="n"/>
      <c r="G134" s="20" t="n"/>
      <c r="H134" s="20" t="n"/>
      <c r="I134" s="20">
        <f>IF(B134="","",IF(COUNTIF('Deep Read'!$B$5:$B$304,B134)&gt;0,"✓",IF(G134="Include","→ add","")))</f>
        <v/>
      </c>
      <c r="J134" s="20" t="n"/>
    </row>
    <row r="135">
      <c r="A135" s="17">
        <f>IF(B135="","",ROW()-4)</f>
        <v/>
      </c>
      <c r="B135" s="17" t="n"/>
      <c r="C135" s="17" t="n"/>
      <c r="D135" s="17" t="n"/>
      <c r="E135" s="19" t="n"/>
      <c r="F135" s="17" t="n"/>
      <c r="G135" s="17" t="n"/>
      <c r="H135" s="17" t="n"/>
      <c r="I135" s="17">
        <f>IF(B135="","",IF(COUNTIF('Deep Read'!$B$5:$B$304,B135)&gt;0,"✓",IF(G135="Include","→ add","")))</f>
        <v/>
      </c>
      <c r="J135" s="17" t="n"/>
    </row>
    <row r="136">
      <c r="A136" s="20">
        <f>IF(B136="","",ROW()-4)</f>
        <v/>
      </c>
      <c r="B136" s="20" t="n"/>
      <c r="C136" s="20" t="n"/>
      <c r="D136" s="20" t="n"/>
      <c r="E136" s="22" t="n"/>
      <c r="F136" s="20" t="n"/>
      <c r="G136" s="20" t="n"/>
      <c r="H136" s="20" t="n"/>
      <c r="I136" s="20">
        <f>IF(B136="","",IF(COUNTIF('Deep Read'!$B$5:$B$304,B136)&gt;0,"✓",IF(G136="Include","→ add","")))</f>
        <v/>
      </c>
      <c r="J136" s="20" t="n"/>
    </row>
    <row r="137">
      <c r="A137" s="17">
        <f>IF(B137="","",ROW()-4)</f>
        <v/>
      </c>
      <c r="B137" s="17" t="n"/>
      <c r="C137" s="17" t="n"/>
      <c r="D137" s="17" t="n"/>
      <c r="E137" s="19" t="n"/>
      <c r="F137" s="17" t="n"/>
      <c r="G137" s="17" t="n"/>
      <c r="H137" s="17" t="n"/>
      <c r="I137" s="17">
        <f>IF(B137="","",IF(COUNTIF('Deep Read'!$B$5:$B$304,B137)&gt;0,"✓",IF(G137="Include","→ add","")))</f>
        <v/>
      </c>
      <c r="J137" s="17" t="n"/>
    </row>
    <row r="138">
      <c r="A138" s="20">
        <f>IF(B138="","",ROW()-4)</f>
        <v/>
      </c>
      <c r="B138" s="20" t="n"/>
      <c r="C138" s="20" t="n"/>
      <c r="D138" s="20" t="n"/>
      <c r="E138" s="22" t="n"/>
      <c r="F138" s="20" t="n"/>
      <c r="G138" s="20" t="n"/>
      <c r="H138" s="20" t="n"/>
      <c r="I138" s="20">
        <f>IF(B138="","",IF(COUNTIF('Deep Read'!$B$5:$B$304,B138)&gt;0,"✓",IF(G138="Include","→ add","")))</f>
        <v/>
      </c>
      <c r="J138" s="20" t="n"/>
    </row>
    <row r="139">
      <c r="A139" s="17">
        <f>IF(B139="","",ROW()-4)</f>
        <v/>
      </c>
      <c r="B139" s="17" t="n"/>
      <c r="C139" s="17" t="n"/>
      <c r="D139" s="17" t="n"/>
      <c r="E139" s="19" t="n"/>
      <c r="F139" s="17" t="n"/>
      <c r="G139" s="17" t="n"/>
      <c r="H139" s="17" t="n"/>
      <c r="I139" s="17">
        <f>IF(B139="","",IF(COUNTIF('Deep Read'!$B$5:$B$304,B139)&gt;0,"✓",IF(G139="Include","→ add","")))</f>
        <v/>
      </c>
      <c r="J139" s="17" t="n"/>
    </row>
    <row r="140">
      <c r="A140" s="20">
        <f>IF(B140="","",ROW()-4)</f>
        <v/>
      </c>
      <c r="B140" s="20" t="n"/>
      <c r="C140" s="20" t="n"/>
      <c r="D140" s="20" t="n"/>
      <c r="E140" s="22" t="n"/>
      <c r="F140" s="20" t="n"/>
      <c r="G140" s="20" t="n"/>
      <c r="H140" s="20" t="n"/>
      <c r="I140" s="20">
        <f>IF(B140="","",IF(COUNTIF('Deep Read'!$B$5:$B$304,B140)&gt;0,"✓",IF(G140="Include","→ add","")))</f>
        <v/>
      </c>
      <c r="J140" s="20" t="n"/>
    </row>
    <row r="141">
      <c r="A141" s="17">
        <f>IF(B141="","",ROW()-4)</f>
        <v/>
      </c>
      <c r="B141" s="17" t="n"/>
      <c r="C141" s="17" t="n"/>
      <c r="D141" s="17" t="n"/>
      <c r="E141" s="19" t="n"/>
      <c r="F141" s="17" t="n"/>
      <c r="G141" s="17" t="n"/>
      <c r="H141" s="17" t="n"/>
      <c r="I141" s="17">
        <f>IF(B141="","",IF(COUNTIF('Deep Read'!$B$5:$B$304,B141)&gt;0,"✓",IF(G141="Include","→ add","")))</f>
        <v/>
      </c>
      <c r="J141" s="17" t="n"/>
    </row>
    <row r="142">
      <c r="A142" s="20">
        <f>IF(B142="","",ROW()-4)</f>
        <v/>
      </c>
      <c r="B142" s="20" t="n"/>
      <c r="C142" s="20" t="n"/>
      <c r="D142" s="20" t="n"/>
      <c r="E142" s="22" t="n"/>
      <c r="F142" s="20" t="n"/>
      <c r="G142" s="20" t="n"/>
      <c r="H142" s="20" t="n"/>
      <c r="I142" s="20">
        <f>IF(B142="","",IF(COUNTIF('Deep Read'!$B$5:$B$304,B142)&gt;0,"✓",IF(G142="Include","→ add","")))</f>
        <v/>
      </c>
      <c r="J142" s="20" t="n"/>
    </row>
    <row r="143">
      <c r="A143" s="17">
        <f>IF(B143="","",ROW()-4)</f>
        <v/>
      </c>
      <c r="B143" s="17" t="n"/>
      <c r="C143" s="17" t="n"/>
      <c r="D143" s="17" t="n"/>
      <c r="E143" s="19" t="n"/>
      <c r="F143" s="17" t="n"/>
      <c r="G143" s="17" t="n"/>
      <c r="H143" s="17" t="n"/>
      <c r="I143" s="17">
        <f>IF(B143="","",IF(COUNTIF('Deep Read'!$B$5:$B$304,B143)&gt;0,"✓",IF(G143="Include","→ add","")))</f>
        <v/>
      </c>
      <c r="J143" s="17" t="n"/>
    </row>
    <row r="144">
      <c r="A144" s="20">
        <f>IF(B144="","",ROW()-4)</f>
        <v/>
      </c>
      <c r="B144" s="20" t="n"/>
      <c r="C144" s="20" t="n"/>
      <c r="D144" s="20" t="n"/>
      <c r="E144" s="22" t="n"/>
      <c r="F144" s="20" t="n"/>
      <c r="G144" s="20" t="n"/>
      <c r="H144" s="20" t="n"/>
      <c r="I144" s="20">
        <f>IF(B144="","",IF(COUNTIF('Deep Read'!$B$5:$B$304,B144)&gt;0,"✓",IF(G144="Include","→ add","")))</f>
        <v/>
      </c>
      <c r="J144" s="20" t="n"/>
    </row>
    <row r="145">
      <c r="A145" s="17">
        <f>IF(B145="","",ROW()-4)</f>
        <v/>
      </c>
      <c r="B145" s="17" t="n"/>
      <c r="C145" s="17" t="n"/>
      <c r="D145" s="17" t="n"/>
      <c r="E145" s="19" t="n"/>
      <c r="F145" s="17" t="n"/>
      <c r="G145" s="17" t="n"/>
      <c r="H145" s="17" t="n"/>
      <c r="I145" s="17">
        <f>IF(B145="","",IF(COUNTIF('Deep Read'!$B$5:$B$304,B145)&gt;0,"✓",IF(G145="Include","→ add","")))</f>
        <v/>
      </c>
      <c r="J145" s="17" t="n"/>
    </row>
    <row r="146">
      <c r="A146" s="20">
        <f>IF(B146="","",ROW()-4)</f>
        <v/>
      </c>
      <c r="B146" s="20" t="n"/>
      <c r="C146" s="20" t="n"/>
      <c r="D146" s="20" t="n"/>
      <c r="E146" s="22" t="n"/>
      <c r="F146" s="20" t="n"/>
      <c r="G146" s="20" t="n"/>
      <c r="H146" s="20" t="n"/>
      <c r="I146" s="20">
        <f>IF(B146="","",IF(COUNTIF('Deep Read'!$B$5:$B$304,B146)&gt;0,"✓",IF(G146="Include","→ add","")))</f>
        <v/>
      </c>
      <c r="J146" s="20" t="n"/>
    </row>
    <row r="147">
      <c r="A147" s="17">
        <f>IF(B147="","",ROW()-4)</f>
        <v/>
      </c>
      <c r="B147" s="17" t="n"/>
      <c r="C147" s="17" t="n"/>
      <c r="D147" s="17" t="n"/>
      <c r="E147" s="19" t="n"/>
      <c r="F147" s="17" t="n"/>
      <c r="G147" s="17" t="n"/>
      <c r="H147" s="17" t="n"/>
      <c r="I147" s="17">
        <f>IF(B147="","",IF(COUNTIF('Deep Read'!$B$5:$B$304,B147)&gt;0,"✓",IF(G147="Include","→ add","")))</f>
        <v/>
      </c>
      <c r="J147" s="17" t="n"/>
    </row>
    <row r="148">
      <c r="A148" s="20">
        <f>IF(B148="","",ROW()-4)</f>
        <v/>
      </c>
      <c r="B148" s="20" t="n"/>
      <c r="C148" s="20" t="n"/>
      <c r="D148" s="20" t="n"/>
      <c r="E148" s="22" t="n"/>
      <c r="F148" s="20" t="n"/>
      <c r="G148" s="20" t="n"/>
      <c r="H148" s="20" t="n"/>
      <c r="I148" s="20">
        <f>IF(B148="","",IF(COUNTIF('Deep Read'!$B$5:$B$304,B148)&gt;0,"✓",IF(G148="Include","→ add","")))</f>
        <v/>
      </c>
      <c r="J148" s="20" t="n"/>
    </row>
    <row r="149">
      <c r="A149" s="17">
        <f>IF(B149="","",ROW()-4)</f>
        <v/>
      </c>
      <c r="B149" s="17" t="n"/>
      <c r="C149" s="17" t="n"/>
      <c r="D149" s="17" t="n"/>
      <c r="E149" s="19" t="n"/>
      <c r="F149" s="17" t="n"/>
      <c r="G149" s="17" t="n"/>
      <c r="H149" s="17" t="n"/>
      <c r="I149" s="17">
        <f>IF(B149="","",IF(COUNTIF('Deep Read'!$B$5:$B$304,B149)&gt;0,"✓",IF(G149="Include","→ add","")))</f>
        <v/>
      </c>
      <c r="J149" s="17" t="n"/>
    </row>
    <row r="150">
      <c r="A150" s="20">
        <f>IF(B150="","",ROW()-4)</f>
        <v/>
      </c>
      <c r="B150" s="20" t="n"/>
      <c r="C150" s="20" t="n"/>
      <c r="D150" s="20" t="n"/>
      <c r="E150" s="22" t="n"/>
      <c r="F150" s="20" t="n"/>
      <c r="G150" s="20" t="n"/>
      <c r="H150" s="20" t="n"/>
      <c r="I150" s="20">
        <f>IF(B150="","",IF(COUNTIF('Deep Read'!$B$5:$B$304,B150)&gt;0,"✓",IF(G150="Include","→ add","")))</f>
        <v/>
      </c>
      <c r="J150" s="20" t="n"/>
    </row>
    <row r="151">
      <c r="A151" s="17">
        <f>IF(B151="","",ROW()-4)</f>
        <v/>
      </c>
      <c r="B151" s="17" t="n"/>
      <c r="C151" s="17" t="n"/>
      <c r="D151" s="17" t="n"/>
      <c r="E151" s="19" t="n"/>
      <c r="F151" s="17" t="n"/>
      <c r="G151" s="17" t="n"/>
      <c r="H151" s="17" t="n"/>
      <c r="I151" s="17">
        <f>IF(B151="","",IF(COUNTIF('Deep Read'!$B$5:$B$304,B151)&gt;0,"✓",IF(G151="Include","→ add","")))</f>
        <v/>
      </c>
      <c r="J151" s="17" t="n"/>
    </row>
    <row r="152">
      <c r="A152" s="20">
        <f>IF(B152="","",ROW()-4)</f>
        <v/>
      </c>
      <c r="B152" s="20" t="n"/>
      <c r="C152" s="20" t="n"/>
      <c r="D152" s="20" t="n"/>
      <c r="E152" s="22" t="n"/>
      <c r="F152" s="20" t="n"/>
      <c r="G152" s="20" t="n"/>
      <c r="H152" s="20" t="n"/>
      <c r="I152" s="20">
        <f>IF(B152="","",IF(COUNTIF('Deep Read'!$B$5:$B$304,B152)&gt;0,"✓",IF(G152="Include","→ add","")))</f>
        <v/>
      </c>
      <c r="J152" s="20" t="n"/>
    </row>
    <row r="153">
      <c r="A153" s="17">
        <f>IF(B153="","",ROW()-4)</f>
        <v/>
      </c>
      <c r="B153" s="17" t="n"/>
      <c r="C153" s="17" t="n"/>
      <c r="D153" s="17" t="n"/>
      <c r="E153" s="19" t="n"/>
      <c r="F153" s="17" t="n"/>
      <c r="G153" s="17" t="n"/>
      <c r="H153" s="17" t="n"/>
      <c r="I153" s="17">
        <f>IF(B153="","",IF(COUNTIF('Deep Read'!$B$5:$B$304,B153)&gt;0,"✓",IF(G153="Include","→ add","")))</f>
        <v/>
      </c>
      <c r="J153" s="17" t="n"/>
    </row>
    <row r="154">
      <c r="A154" s="20">
        <f>IF(B154="","",ROW()-4)</f>
        <v/>
      </c>
      <c r="B154" s="20" t="n"/>
      <c r="C154" s="20" t="n"/>
      <c r="D154" s="20" t="n"/>
      <c r="E154" s="22" t="n"/>
      <c r="F154" s="20" t="n"/>
      <c r="G154" s="20" t="n"/>
      <c r="H154" s="20" t="n"/>
      <c r="I154" s="20">
        <f>IF(B154="","",IF(COUNTIF('Deep Read'!$B$5:$B$304,B154)&gt;0,"✓",IF(G154="Include","→ add","")))</f>
        <v/>
      </c>
      <c r="J154" s="20" t="n"/>
    </row>
    <row r="155">
      <c r="A155" s="17">
        <f>IF(B155="","",ROW()-4)</f>
        <v/>
      </c>
      <c r="B155" s="17" t="n"/>
      <c r="C155" s="17" t="n"/>
      <c r="D155" s="17" t="n"/>
      <c r="E155" s="19" t="n"/>
      <c r="F155" s="17" t="n"/>
      <c r="G155" s="17" t="n"/>
      <c r="H155" s="17" t="n"/>
      <c r="I155" s="17">
        <f>IF(B155="","",IF(COUNTIF('Deep Read'!$B$5:$B$304,B155)&gt;0,"✓",IF(G155="Include","→ add","")))</f>
        <v/>
      </c>
      <c r="J155" s="17" t="n"/>
    </row>
    <row r="156">
      <c r="A156" s="20">
        <f>IF(B156="","",ROW()-4)</f>
        <v/>
      </c>
      <c r="B156" s="20" t="n"/>
      <c r="C156" s="20" t="n"/>
      <c r="D156" s="20" t="n"/>
      <c r="E156" s="22" t="n"/>
      <c r="F156" s="20" t="n"/>
      <c r="G156" s="20" t="n"/>
      <c r="H156" s="20" t="n"/>
      <c r="I156" s="20">
        <f>IF(B156="","",IF(COUNTIF('Deep Read'!$B$5:$B$304,B156)&gt;0,"✓",IF(G156="Include","→ add","")))</f>
        <v/>
      </c>
      <c r="J156" s="20" t="n"/>
    </row>
    <row r="157">
      <c r="A157" s="17">
        <f>IF(B157="","",ROW()-4)</f>
        <v/>
      </c>
      <c r="B157" s="17" t="n"/>
      <c r="C157" s="17" t="n"/>
      <c r="D157" s="17" t="n"/>
      <c r="E157" s="19" t="n"/>
      <c r="F157" s="17" t="n"/>
      <c r="G157" s="17" t="n"/>
      <c r="H157" s="17" t="n"/>
      <c r="I157" s="17">
        <f>IF(B157="","",IF(COUNTIF('Deep Read'!$B$5:$B$304,B157)&gt;0,"✓",IF(G157="Include","→ add","")))</f>
        <v/>
      </c>
      <c r="J157" s="17" t="n"/>
    </row>
    <row r="158">
      <c r="A158" s="20">
        <f>IF(B158="","",ROW()-4)</f>
        <v/>
      </c>
      <c r="B158" s="20" t="n"/>
      <c r="C158" s="20" t="n"/>
      <c r="D158" s="20" t="n"/>
      <c r="E158" s="22" t="n"/>
      <c r="F158" s="20" t="n"/>
      <c r="G158" s="20" t="n"/>
      <c r="H158" s="20" t="n"/>
      <c r="I158" s="20">
        <f>IF(B158="","",IF(COUNTIF('Deep Read'!$B$5:$B$304,B158)&gt;0,"✓",IF(G158="Include","→ add","")))</f>
        <v/>
      </c>
      <c r="J158" s="20" t="n"/>
    </row>
    <row r="159">
      <c r="A159" s="17">
        <f>IF(B159="","",ROW()-4)</f>
        <v/>
      </c>
      <c r="B159" s="17" t="n"/>
      <c r="C159" s="17" t="n"/>
      <c r="D159" s="17" t="n"/>
      <c r="E159" s="19" t="n"/>
      <c r="F159" s="17" t="n"/>
      <c r="G159" s="17" t="n"/>
      <c r="H159" s="17" t="n"/>
      <c r="I159" s="17">
        <f>IF(B159="","",IF(COUNTIF('Deep Read'!$B$5:$B$304,B159)&gt;0,"✓",IF(G159="Include","→ add","")))</f>
        <v/>
      </c>
      <c r="J159" s="17" t="n"/>
    </row>
    <row r="160">
      <c r="A160" s="20">
        <f>IF(B160="","",ROW()-4)</f>
        <v/>
      </c>
      <c r="B160" s="20" t="n"/>
      <c r="C160" s="20" t="n"/>
      <c r="D160" s="20" t="n"/>
      <c r="E160" s="22" t="n"/>
      <c r="F160" s="20" t="n"/>
      <c r="G160" s="20" t="n"/>
      <c r="H160" s="20" t="n"/>
      <c r="I160" s="20">
        <f>IF(B160="","",IF(COUNTIF('Deep Read'!$B$5:$B$304,B160)&gt;0,"✓",IF(G160="Include","→ add","")))</f>
        <v/>
      </c>
      <c r="J160" s="20" t="n"/>
    </row>
    <row r="161">
      <c r="A161" s="17">
        <f>IF(B161="","",ROW()-4)</f>
        <v/>
      </c>
      <c r="B161" s="17" t="n"/>
      <c r="C161" s="17" t="n"/>
      <c r="D161" s="17" t="n"/>
      <c r="E161" s="19" t="n"/>
      <c r="F161" s="17" t="n"/>
      <c r="G161" s="17" t="n"/>
      <c r="H161" s="17" t="n"/>
      <c r="I161" s="17">
        <f>IF(B161="","",IF(COUNTIF('Deep Read'!$B$5:$B$304,B161)&gt;0,"✓",IF(G161="Include","→ add","")))</f>
        <v/>
      </c>
      <c r="J161" s="17" t="n"/>
    </row>
    <row r="162">
      <c r="A162" s="20">
        <f>IF(B162="","",ROW()-4)</f>
        <v/>
      </c>
      <c r="B162" s="20" t="n"/>
      <c r="C162" s="20" t="n"/>
      <c r="D162" s="20" t="n"/>
      <c r="E162" s="22" t="n"/>
      <c r="F162" s="20" t="n"/>
      <c r="G162" s="20" t="n"/>
      <c r="H162" s="20" t="n"/>
      <c r="I162" s="20">
        <f>IF(B162="","",IF(COUNTIF('Deep Read'!$B$5:$B$304,B162)&gt;0,"✓",IF(G162="Include","→ add","")))</f>
        <v/>
      </c>
      <c r="J162" s="20" t="n"/>
    </row>
    <row r="163">
      <c r="A163" s="17">
        <f>IF(B163="","",ROW()-4)</f>
        <v/>
      </c>
      <c r="B163" s="17" t="n"/>
      <c r="C163" s="17" t="n"/>
      <c r="D163" s="17" t="n"/>
      <c r="E163" s="19" t="n"/>
      <c r="F163" s="17" t="n"/>
      <c r="G163" s="17" t="n"/>
      <c r="H163" s="17" t="n"/>
      <c r="I163" s="17">
        <f>IF(B163="","",IF(COUNTIF('Deep Read'!$B$5:$B$304,B163)&gt;0,"✓",IF(G163="Include","→ add","")))</f>
        <v/>
      </c>
      <c r="J163" s="17" t="n"/>
    </row>
    <row r="164">
      <c r="A164" s="20">
        <f>IF(B164="","",ROW()-4)</f>
        <v/>
      </c>
      <c r="B164" s="20" t="n"/>
      <c r="C164" s="20" t="n"/>
      <c r="D164" s="20" t="n"/>
      <c r="E164" s="22" t="n"/>
      <c r="F164" s="20" t="n"/>
      <c r="G164" s="20" t="n"/>
      <c r="H164" s="20" t="n"/>
      <c r="I164" s="20">
        <f>IF(B164="","",IF(COUNTIF('Deep Read'!$B$5:$B$304,B164)&gt;0,"✓",IF(G164="Include","→ add","")))</f>
        <v/>
      </c>
      <c r="J164" s="20" t="n"/>
    </row>
    <row r="165">
      <c r="A165" s="17">
        <f>IF(B165="","",ROW()-4)</f>
        <v/>
      </c>
      <c r="B165" s="17" t="n"/>
      <c r="C165" s="17" t="n"/>
      <c r="D165" s="17" t="n"/>
      <c r="E165" s="19" t="n"/>
      <c r="F165" s="17" t="n"/>
      <c r="G165" s="17" t="n"/>
      <c r="H165" s="17" t="n"/>
      <c r="I165" s="17">
        <f>IF(B165="","",IF(COUNTIF('Deep Read'!$B$5:$B$304,B165)&gt;0,"✓",IF(G165="Include","→ add","")))</f>
        <v/>
      </c>
      <c r="J165" s="17" t="n"/>
    </row>
    <row r="166">
      <c r="A166" s="20">
        <f>IF(B166="","",ROW()-4)</f>
        <v/>
      </c>
      <c r="B166" s="20" t="n"/>
      <c r="C166" s="20" t="n"/>
      <c r="D166" s="20" t="n"/>
      <c r="E166" s="22" t="n"/>
      <c r="F166" s="20" t="n"/>
      <c r="G166" s="20" t="n"/>
      <c r="H166" s="20" t="n"/>
      <c r="I166" s="20">
        <f>IF(B166="","",IF(COUNTIF('Deep Read'!$B$5:$B$304,B166)&gt;0,"✓",IF(G166="Include","→ add","")))</f>
        <v/>
      </c>
      <c r="J166" s="20" t="n"/>
    </row>
    <row r="167">
      <c r="A167" s="17">
        <f>IF(B167="","",ROW()-4)</f>
        <v/>
      </c>
      <c r="B167" s="17" t="n"/>
      <c r="C167" s="17" t="n"/>
      <c r="D167" s="17" t="n"/>
      <c r="E167" s="19" t="n"/>
      <c r="F167" s="17" t="n"/>
      <c r="G167" s="17" t="n"/>
      <c r="H167" s="17" t="n"/>
      <c r="I167" s="17">
        <f>IF(B167="","",IF(COUNTIF('Deep Read'!$B$5:$B$304,B167)&gt;0,"✓",IF(G167="Include","→ add","")))</f>
        <v/>
      </c>
      <c r="J167" s="17" t="n"/>
    </row>
    <row r="168">
      <c r="A168" s="20">
        <f>IF(B168="","",ROW()-4)</f>
        <v/>
      </c>
      <c r="B168" s="20" t="n"/>
      <c r="C168" s="20" t="n"/>
      <c r="D168" s="20" t="n"/>
      <c r="E168" s="22" t="n"/>
      <c r="F168" s="20" t="n"/>
      <c r="G168" s="20" t="n"/>
      <c r="H168" s="20" t="n"/>
      <c r="I168" s="20">
        <f>IF(B168="","",IF(COUNTIF('Deep Read'!$B$5:$B$304,B168)&gt;0,"✓",IF(G168="Include","→ add","")))</f>
        <v/>
      </c>
      <c r="J168" s="20" t="n"/>
    </row>
    <row r="169">
      <c r="A169" s="17">
        <f>IF(B169="","",ROW()-4)</f>
        <v/>
      </c>
      <c r="B169" s="17" t="n"/>
      <c r="C169" s="17" t="n"/>
      <c r="D169" s="17" t="n"/>
      <c r="E169" s="19" t="n"/>
      <c r="F169" s="17" t="n"/>
      <c r="G169" s="17" t="n"/>
      <c r="H169" s="17" t="n"/>
      <c r="I169" s="17">
        <f>IF(B169="","",IF(COUNTIF('Deep Read'!$B$5:$B$304,B169)&gt;0,"✓",IF(G169="Include","→ add","")))</f>
        <v/>
      </c>
      <c r="J169" s="17" t="n"/>
    </row>
    <row r="170">
      <c r="A170" s="20">
        <f>IF(B170="","",ROW()-4)</f>
        <v/>
      </c>
      <c r="B170" s="20" t="n"/>
      <c r="C170" s="20" t="n"/>
      <c r="D170" s="20" t="n"/>
      <c r="E170" s="22" t="n"/>
      <c r="F170" s="20" t="n"/>
      <c r="G170" s="20" t="n"/>
      <c r="H170" s="20" t="n"/>
      <c r="I170" s="20">
        <f>IF(B170="","",IF(COUNTIF('Deep Read'!$B$5:$B$304,B170)&gt;0,"✓",IF(G170="Include","→ add","")))</f>
        <v/>
      </c>
      <c r="J170" s="20" t="n"/>
    </row>
    <row r="171">
      <c r="A171" s="17">
        <f>IF(B171="","",ROW()-4)</f>
        <v/>
      </c>
      <c r="B171" s="17" t="n"/>
      <c r="C171" s="17" t="n"/>
      <c r="D171" s="17" t="n"/>
      <c r="E171" s="19" t="n"/>
      <c r="F171" s="17" t="n"/>
      <c r="G171" s="17" t="n"/>
      <c r="H171" s="17" t="n"/>
      <c r="I171" s="17">
        <f>IF(B171="","",IF(COUNTIF('Deep Read'!$B$5:$B$304,B171)&gt;0,"✓",IF(G171="Include","→ add","")))</f>
        <v/>
      </c>
      <c r="J171" s="17" t="n"/>
    </row>
    <row r="172">
      <c r="A172" s="20">
        <f>IF(B172="","",ROW()-4)</f>
        <v/>
      </c>
      <c r="B172" s="20" t="n"/>
      <c r="C172" s="20" t="n"/>
      <c r="D172" s="20" t="n"/>
      <c r="E172" s="22" t="n"/>
      <c r="F172" s="20" t="n"/>
      <c r="G172" s="20" t="n"/>
      <c r="H172" s="20" t="n"/>
      <c r="I172" s="20">
        <f>IF(B172="","",IF(COUNTIF('Deep Read'!$B$5:$B$304,B172)&gt;0,"✓",IF(G172="Include","→ add","")))</f>
        <v/>
      </c>
      <c r="J172" s="20" t="n"/>
    </row>
    <row r="173">
      <c r="A173" s="17">
        <f>IF(B173="","",ROW()-4)</f>
        <v/>
      </c>
      <c r="B173" s="17" t="n"/>
      <c r="C173" s="17" t="n"/>
      <c r="D173" s="17" t="n"/>
      <c r="E173" s="19" t="n"/>
      <c r="F173" s="17" t="n"/>
      <c r="G173" s="17" t="n"/>
      <c r="H173" s="17" t="n"/>
      <c r="I173" s="17">
        <f>IF(B173="","",IF(COUNTIF('Deep Read'!$B$5:$B$304,B173)&gt;0,"✓",IF(G173="Include","→ add","")))</f>
        <v/>
      </c>
      <c r="J173" s="17" t="n"/>
    </row>
    <row r="174">
      <c r="A174" s="20">
        <f>IF(B174="","",ROW()-4)</f>
        <v/>
      </c>
      <c r="B174" s="20" t="n"/>
      <c r="C174" s="20" t="n"/>
      <c r="D174" s="20" t="n"/>
      <c r="E174" s="22" t="n"/>
      <c r="F174" s="20" t="n"/>
      <c r="G174" s="20" t="n"/>
      <c r="H174" s="20" t="n"/>
      <c r="I174" s="20">
        <f>IF(B174="","",IF(COUNTIF('Deep Read'!$B$5:$B$304,B174)&gt;0,"✓",IF(G174="Include","→ add","")))</f>
        <v/>
      </c>
      <c r="J174" s="20" t="n"/>
    </row>
    <row r="175">
      <c r="A175" s="17">
        <f>IF(B175="","",ROW()-4)</f>
        <v/>
      </c>
      <c r="B175" s="17" t="n"/>
      <c r="C175" s="17" t="n"/>
      <c r="D175" s="17" t="n"/>
      <c r="E175" s="19" t="n"/>
      <c r="F175" s="17" t="n"/>
      <c r="G175" s="17" t="n"/>
      <c r="H175" s="17" t="n"/>
      <c r="I175" s="17">
        <f>IF(B175="","",IF(COUNTIF('Deep Read'!$B$5:$B$304,B175)&gt;0,"✓",IF(G175="Include","→ add","")))</f>
        <v/>
      </c>
      <c r="J175" s="17" t="n"/>
    </row>
    <row r="176">
      <c r="A176" s="20">
        <f>IF(B176="","",ROW()-4)</f>
        <v/>
      </c>
      <c r="B176" s="20" t="n"/>
      <c r="C176" s="20" t="n"/>
      <c r="D176" s="20" t="n"/>
      <c r="E176" s="22" t="n"/>
      <c r="F176" s="20" t="n"/>
      <c r="G176" s="20" t="n"/>
      <c r="H176" s="20" t="n"/>
      <c r="I176" s="20">
        <f>IF(B176="","",IF(COUNTIF('Deep Read'!$B$5:$B$304,B176)&gt;0,"✓",IF(G176="Include","→ add","")))</f>
        <v/>
      </c>
      <c r="J176" s="20" t="n"/>
    </row>
    <row r="177">
      <c r="A177" s="17">
        <f>IF(B177="","",ROW()-4)</f>
        <v/>
      </c>
      <c r="B177" s="17" t="n"/>
      <c r="C177" s="17" t="n"/>
      <c r="D177" s="17" t="n"/>
      <c r="E177" s="19" t="n"/>
      <c r="F177" s="17" t="n"/>
      <c r="G177" s="17" t="n"/>
      <c r="H177" s="17" t="n"/>
      <c r="I177" s="17">
        <f>IF(B177="","",IF(COUNTIF('Deep Read'!$B$5:$B$304,B177)&gt;0,"✓",IF(G177="Include","→ add","")))</f>
        <v/>
      </c>
      <c r="J177" s="17" t="n"/>
    </row>
    <row r="178">
      <c r="A178" s="20">
        <f>IF(B178="","",ROW()-4)</f>
        <v/>
      </c>
      <c r="B178" s="20" t="n"/>
      <c r="C178" s="20" t="n"/>
      <c r="D178" s="20" t="n"/>
      <c r="E178" s="22" t="n"/>
      <c r="F178" s="20" t="n"/>
      <c r="G178" s="20" t="n"/>
      <c r="H178" s="20" t="n"/>
      <c r="I178" s="20">
        <f>IF(B178="","",IF(COUNTIF('Deep Read'!$B$5:$B$304,B178)&gt;0,"✓",IF(G178="Include","→ add","")))</f>
        <v/>
      </c>
      <c r="J178" s="20" t="n"/>
    </row>
    <row r="179">
      <c r="A179" s="17">
        <f>IF(B179="","",ROW()-4)</f>
        <v/>
      </c>
      <c r="B179" s="17" t="n"/>
      <c r="C179" s="17" t="n"/>
      <c r="D179" s="17" t="n"/>
      <c r="E179" s="19" t="n"/>
      <c r="F179" s="17" t="n"/>
      <c r="G179" s="17" t="n"/>
      <c r="H179" s="17" t="n"/>
      <c r="I179" s="17">
        <f>IF(B179="","",IF(COUNTIF('Deep Read'!$B$5:$B$304,B179)&gt;0,"✓",IF(G179="Include","→ add","")))</f>
        <v/>
      </c>
      <c r="J179" s="17" t="n"/>
    </row>
    <row r="180">
      <c r="A180" s="20">
        <f>IF(B180="","",ROW()-4)</f>
        <v/>
      </c>
      <c r="B180" s="20" t="n"/>
      <c r="C180" s="20" t="n"/>
      <c r="D180" s="20" t="n"/>
      <c r="E180" s="22" t="n"/>
      <c r="F180" s="20" t="n"/>
      <c r="G180" s="20" t="n"/>
      <c r="H180" s="20" t="n"/>
      <c r="I180" s="20">
        <f>IF(B180="","",IF(COUNTIF('Deep Read'!$B$5:$B$304,B180)&gt;0,"✓",IF(G180="Include","→ add","")))</f>
        <v/>
      </c>
      <c r="J180" s="20" t="n"/>
    </row>
    <row r="181">
      <c r="A181" s="17">
        <f>IF(B181="","",ROW()-4)</f>
        <v/>
      </c>
      <c r="B181" s="17" t="n"/>
      <c r="C181" s="17" t="n"/>
      <c r="D181" s="17" t="n"/>
      <c r="E181" s="19" t="n"/>
      <c r="F181" s="17" t="n"/>
      <c r="G181" s="17" t="n"/>
      <c r="H181" s="17" t="n"/>
      <c r="I181" s="17">
        <f>IF(B181="","",IF(COUNTIF('Deep Read'!$B$5:$B$304,B181)&gt;0,"✓",IF(G181="Include","→ add","")))</f>
        <v/>
      </c>
      <c r="J181" s="17" t="n"/>
    </row>
    <row r="182">
      <c r="A182" s="20">
        <f>IF(B182="","",ROW()-4)</f>
        <v/>
      </c>
      <c r="B182" s="20" t="n"/>
      <c r="C182" s="20" t="n"/>
      <c r="D182" s="20" t="n"/>
      <c r="E182" s="22" t="n"/>
      <c r="F182" s="20" t="n"/>
      <c r="G182" s="20" t="n"/>
      <c r="H182" s="20" t="n"/>
      <c r="I182" s="20">
        <f>IF(B182="","",IF(COUNTIF('Deep Read'!$B$5:$B$304,B182)&gt;0,"✓",IF(G182="Include","→ add","")))</f>
        <v/>
      </c>
      <c r="J182" s="20" t="n"/>
    </row>
    <row r="183">
      <c r="A183" s="17">
        <f>IF(B183="","",ROW()-4)</f>
        <v/>
      </c>
      <c r="B183" s="17" t="n"/>
      <c r="C183" s="17" t="n"/>
      <c r="D183" s="17" t="n"/>
      <c r="E183" s="19" t="n"/>
      <c r="F183" s="17" t="n"/>
      <c r="G183" s="17" t="n"/>
      <c r="H183" s="17" t="n"/>
      <c r="I183" s="17">
        <f>IF(B183="","",IF(COUNTIF('Deep Read'!$B$5:$B$304,B183)&gt;0,"✓",IF(G183="Include","→ add","")))</f>
        <v/>
      </c>
      <c r="J183" s="17" t="n"/>
    </row>
    <row r="184">
      <c r="A184" s="20">
        <f>IF(B184="","",ROW()-4)</f>
        <v/>
      </c>
      <c r="B184" s="20" t="n"/>
      <c r="C184" s="20" t="n"/>
      <c r="D184" s="20" t="n"/>
      <c r="E184" s="22" t="n"/>
      <c r="F184" s="20" t="n"/>
      <c r="G184" s="20" t="n"/>
      <c r="H184" s="20" t="n"/>
      <c r="I184" s="20">
        <f>IF(B184="","",IF(COUNTIF('Deep Read'!$B$5:$B$304,B184)&gt;0,"✓",IF(G184="Include","→ add","")))</f>
        <v/>
      </c>
      <c r="J184" s="20" t="n"/>
    </row>
    <row r="185">
      <c r="A185" s="17">
        <f>IF(B185="","",ROW()-4)</f>
        <v/>
      </c>
      <c r="B185" s="17" t="n"/>
      <c r="C185" s="17" t="n"/>
      <c r="D185" s="17" t="n"/>
      <c r="E185" s="19" t="n"/>
      <c r="F185" s="17" t="n"/>
      <c r="G185" s="17" t="n"/>
      <c r="H185" s="17" t="n"/>
      <c r="I185" s="17">
        <f>IF(B185="","",IF(COUNTIF('Deep Read'!$B$5:$B$304,B185)&gt;0,"✓",IF(G185="Include","→ add","")))</f>
        <v/>
      </c>
      <c r="J185" s="17" t="n"/>
    </row>
    <row r="186">
      <c r="A186" s="20">
        <f>IF(B186="","",ROW()-4)</f>
        <v/>
      </c>
      <c r="B186" s="20" t="n"/>
      <c r="C186" s="20" t="n"/>
      <c r="D186" s="20" t="n"/>
      <c r="E186" s="22" t="n"/>
      <c r="F186" s="20" t="n"/>
      <c r="G186" s="20" t="n"/>
      <c r="H186" s="20" t="n"/>
      <c r="I186" s="20">
        <f>IF(B186="","",IF(COUNTIF('Deep Read'!$B$5:$B$304,B186)&gt;0,"✓",IF(G186="Include","→ add","")))</f>
        <v/>
      </c>
      <c r="J186" s="20" t="n"/>
    </row>
    <row r="187">
      <c r="A187" s="17">
        <f>IF(B187="","",ROW()-4)</f>
        <v/>
      </c>
      <c r="B187" s="17" t="n"/>
      <c r="C187" s="17" t="n"/>
      <c r="D187" s="17" t="n"/>
      <c r="E187" s="19" t="n"/>
      <c r="F187" s="17" t="n"/>
      <c r="G187" s="17" t="n"/>
      <c r="H187" s="17" t="n"/>
      <c r="I187" s="17">
        <f>IF(B187="","",IF(COUNTIF('Deep Read'!$B$5:$B$304,B187)&gt;0,"✓",IF(G187="Include","→ add","")))</f>
        <v/>
      </c>
      <c r="J187" s="17" t="n"/>
    </row>
    <row r="188">
      <c r="A188" s="20">
        <f>IF(B188="","",ROW()-4)</f>
        <v/>
      </c>
      <c r="B188" s="20" t="n"/>
      <c r="C188" s="20" t="n"/>
      <c r="D188" s="20" t="n"/>
      <c r="E188" s="22" t="n"/>
      <c r="F188" s="20" t="n"/>
      <c r="G188" s="20" t="n"/>
      <c r="H188" s="20" t="n"/>
      <c r="I188" s="20">
        <f>IF(B188="","",IF(COUNTIF('Deep Read'!$B$5:$B$304,B188)&gt;0,"✓",IF(G188="Include","→ add","")))</f>
        <v/>
      </c>
      <c r="J188" s="20" t="n"/>
    </row>
    <row r="189">
      <c r="A189" s="17">
        <f>IF(B189="","",ROW()-4)</f>
        <v/>
      </c>
      <c r="B189" s="17" t="n"/>
      <c r="C189" s="17" t="n"/>
      <c r="D189" s="17" t="n"/>
      <c r="E189" s="19" t="n"/>
      <c r="F189" s="17" t="n"/>
      <c r="G189" s="17" t="n"/>
      <c r="H189" s="17" t="n"/>
      <c r="I189" s="17">
        <f>IF(B189="","",IF(COUNTIF('Deep Read'!$B$5:$B$304,B189)&gt;0,"✓",IF(G189="Include","→ add","")))</f>
        <v/>
      </c>
      <c r="J189" s="17" t="n"/>
    </row>
    <row r="190">
      <c r="A190" s="20">
        <f>IF(B190="","",ROW()-4)</f>
        <v/>
      </c>
      <c r="B190" s="20" t="n"/>
      <c r="C190" s="20" t="n"/>
      <c r="D190" s="20" t="n"/>
      <c r="E190" s="22" t="n"/>
      <c r="F190" s="20" t="n"/>
      <c r="G190" s="20" t="n"/>
      <c r="H190" s="20" t="n"/>
      <c r="I190" s="20">
        <f>IF(B190="","",IF(COUNTIF('Deep Read'!$B$5:$B$304,B190)&gt;0,"✓",IF(G190="Include","→ add","")))</f>
        <v/>
      </c>
      <c r="J190" s="20" t="n"/>
    </row>
    <row r="191">
      <c r="A191" s="17">
        <f>IF(B191="","",ROW()-4)</f>
        <v/>
      </c>
      <c r="B191" s="17" t="n"/>
      <c r="C191" s="17" t="n"/>
      <c r="D191" s="17" t="n"/>
      <c r="E191" s="19" t="n"/>
      <c r="F191" s="17" t="n"/>
      <c r="G191" s="17" t="n"/>
      <c r="H191" s="17" t="n"/>
      <c r="I191" s="17">
        <f>IF(B191="","",IF(COUNTIF('Deep Read'!$B$5:$B$304,B191)&gt;0,"✓",IF(G191="Include","→ add","")))</f>
        <v/>
      </c>
      <c r="J191" s="17" t="n"/>
    </row>
    <row r="192">
      <c r="A192" s="20">
        <f>IF(B192="","",ROW()-4)</f>
        <v/>
      </c>
      <c r="B192" s="20" t="n"/>
      <c r="C192" s="20" t="n"/>
      <c r="D192" s="20" t="n"/>
      <c r="E192" s="22" t="n"/>
      <c r="F192" s="20" t="n"/>
      <c r="G192" s="20" t="n"/>
      <c r="H192" s="20" t="n"/>
      <c r="I192" s="20">
        <f>IF(B192="","",IF(COUNTIF('Deep Read'!$B$5:$B$304,B192)&gt;0,"✓",IF(G192="Include","→ add","")))</f>
        <v/>
      </c>
      <c r="J192" s="20" t="n"/>
    </row>
    <row r="193">
      <c r="A193" s="17">
        <f>IF(B193="","",ROW()-4)</f>
        <v/>
      </c>
      <c r="B193" s="17" t="n"/>
      <c r="C193" s="17" t="n"/>
      <c r="D193" s="17" t="n"/>
      <c r="E193" s="19" t="n"/>
      <c r="F193" s="17" t="n"/>
      <c r="G193" s="17" t="n"/>
      <c r="H193" s="17" t="n"/>
      <c r="I193" s="17">
        <f>IF(B193="","",IF(COUNTIF('Deep Read'!$B$5:$B$304,B193)&gt;0,"✓",IF(G193="Include","→ add","")))</f>
        <v/>
      </c>
      <c r="J193" s="17" t="n"/>
    </row>
    <row r="194">
      <c r="A194" s="20">
        <f>IF(B194="","",ROW()-4)</f>
        <v/>
      </c>
      <c r="B194" s="20" t="n"/>
      <c r="C194" s="20" t="n"/>
      <c r="D194" s="20" t="n"/>
      <c r="E194" s="22" t="n"/>
      <c r="F194" s="20" t="n"/>
      <c r="G194" s="20" t="n"/>
      <c r="H194" s="20" t="n"/>
      <c r="I194" s="20">
        <f>IF(B194="","",IF(COUNTIF('Deep Read'!$B$5:$B$304,B194)&gt;0,"✓",IF(G194="Include","→ add","")))</f>
        <v/>
      </c>
      <c r="J194" s="20" t="n"/>
    </row>
    <row r="195">
      <c r="A195" s="17">
        <f>IF(B195="","",ROW()-4)</f>
        <v/>
      </c>
      <c r="B195" s="17" t="n"/>
      <c r="C195" s="17" t="n"/>
      <c r="D195" s="17" t="n"/>
      <c r="E195" s="19" t="n"/>
      <c r="F195" s="17" t="n"/>
      <c r="G195" s="17" t="n"/>
      <c r="H195" s="17" t="n"/>
      <c r="I195" s="17">
        <f>IF(B195="","",IF(COUNTIF('Deep Read'!$B$5:$B$304,B195)&gt;0,"✓",IF(G195="Include","→ add","")))</f>
        <v/>
      </c>
      <c r="J195" s="17" t="n"/>
    </row>
    <row r="196">
      <c r="A196" s="20">
        <f>IF(B196="","",ROW()-4)</f>
        <v/>
      </c>
      <c r="B196" s="20" t="n"/>
      <c r="C196" s="20" t="n"/>
      <c r="D196" s="20" t="n"/>
      <c r="E196" s="22" t="n"/>
      <c r="F196" s="20" t="n"/>
      <c r="G196" s="20" t="n"/>
      <c r="H196" s="20" t="n"/>
      <c r="I196" s="20">
        <f>IF(B196="","",IF(COUNTIF('Deep Read'!$B$5:$B$304,B196)&gt;0,"✓",IF(G196="Include","→ add","")))</f>
        <v/>
      </c>
      <c r="J196" s="20" t="n"/>
    </row>
    <row r="197">
      <c r="A197" s="17">
        <f>IF(B197="","",ROW()-4)</f>
        <v/>
      </c>
      <c r="B197" s="17" t="n"/>
      <c r="C197" s="17" t="n"/>
      <c r="D197" s="17" t="n"/>
      <c r="E197" s="19" t="n"/>
      <c r="F197" s="17" t="n"/>
      <c r="G197" s="17" t="n"/>
      <c r="H197" s="17" t="n"/>
      <c r="I197" s="17">
        <f>IF(B197="","",IF(COUNTIF('Deep Read'!$B$5:$B$304,B197)&gt;0,"✓",IF(G197="Include","→ add","")))</f>
        <v/>
      </c>
      <c r="J197" s="17" t="n"/>
    </row>
    <row r="198">
      <c r="A198" s="20">
        <f>IF(B198="","",ROW()-4)</f>
        <v/>
      </c>
      <c r="B198" s="20" t="n"/>
      <c r="C198" s="20" t="n"/>
      <c r="D198" s="20" t="n"/>
      <c r="E198" s="22" t="n"/>
      <c r="F198" s="20" t="n"/>
      <c r="G198" s="20" t="n"/>
      <c r="H198" s="20" t="n"/>
      <c r="I198" s="20">
        <f>IF(B198="","",IF(COUNTIF('Deep Read'!$B$5:$B$304,B198)&gt;0,"✓",IF(G198="Include","→ add","")))</f>
        <v/>
      </c>
      <c r="J198" s="20" t="n"/>
    </row>
    <row r="199">
      <c r="A199" s="17">
        <f>IF(B199="","",ROW()-4)</f>
        <v/>
      </c>
      <c r="B199" s="17" t="n"/>
      <c r="C199" s="17" t="n"/>
      <c r="D199" s="17" t="n"/>
      <c r="E199" s="19" t="n"/>
      <c r="F199" s="17" t="n"/>
      <c r="G199" s="17" t="n"/>
      <c r="H199" s="17" t="n"/>
      <c r="I199" s="17">
        <f>IF(B199="","",IF(COUNTIF('Deep Read'!$B$5:$B$304,B199)&gt;0,"✓",IF(G199="Include","→ add","")))</f>
        <v/>
      </c>
      <c r="J199" s="17" t="n"/>
    </row>
    <row r="200">
      <c r="A200" s="20">
        <f>IF(B200="","",ROW()-4)</f>
        <v/>
      </c>
      <c r="B200" s="20" t="n"/>
      <c r="C200" s="20" t="n"/>
      <c r="D200" s="20" t="n"/>
      <c r="E200" s="22" t="n"/>
      <c r="F200" s="20" t="n"/>
      <c r="G200" s="20" t="n"/>
      <c r="H200" s="20" t="n"/>
      <c r="I200" s="20">
        <f>IF(B200="","",IF(COUNTIF('Deep Read'!$B$5:$B$304,B200)&gt;0,"✓",IF(G200="Include","→ add","")))</f>
        <v/>
      </c>
      <c r="J200" s="20" t="n"/>
    </row>
    <row r="201">
      <c r="A201" s="17">
        <f>IF(B201="","",ROW()-4)</f>
        <v/>
      </c>
      <c r="B201" s="17" t="n"/>
      <c r="C201" s="17" t="n"/>
      <c r="D201" s="17" t="n"/>
      <c r="E201" s="19" t="n"/>
      <c r="F201" s="17" t="n"/>
      <c r="G201" s="17" t="n"/>
      <c r="H201" s="17" t="n"/>
      <c r="I201" s="17">
        <f>IF(B201="","",IF(COUNTIF('Deep Read'!$B$5:$B$304,B201)&gt;0,"✓",IF(G201="Include","→ add","")))</f>
        <v/>
      </c>
      <c r="J201" s="17" t="n"/>
    </row>
    <row r="202">
      <c r="A202" s="20">
        <f>IF(B202="","",ROW()-4)</f>
        <v/>
      </c>
      <c r="B202" s="20" t="n"/>
      <c r="C202" s="20" t="n"/>
      <c r="D202" s="20" t="n"/>
      <c r="E202" s="22" t="n"/>
      <c r="F202" s="20" t="n"/>
      <c r="G202" s="20" t="n"/>
      <c r="H202" s="20" t="n"/>
      <c r="I202" s="20">
        <f>IF(B202="","",IF(COUNTIF('Deep Read'!$B$5:$B$304,B202)&gt;0,"✓",IF(G202="Include","→ add","")))</f>
        <v/>
      </c>
      <c r="J202" s="20" t="n"/>
    </row>
    <row r="203">
      <c r="A203" s="17">
        <f>IF(B203="","",ROW()-4)</f>
        <v/>
      </c>
      <c r="B203" s="17" t="n"/>
      <c r="C203" s="17" t="n"/>
      <c r="D203" s="17" t="n"/>
      <c r="E203" s="19" t="n"/>
      <c r="F203" s="17" t="n"/>
      <c r="G203" s="17" t="n"/>
      <c r="H203" s="17" t="n"/>
      <c r="I203" s="17">
        <f>IF(B203="","",IF(COUNTIF('Deep Read'!$B$5:$B$304,B203)&gt;0,"✓",IF(G203="Include","→ add","")))</f>
        <v/>
      </c>
      <c r="J203" s="17" t="n"/>
    </row>
    <row r="204">
      <c r="A204" s="20">
        <f>IF(B204="","",ROW()-4)</f>
        <v/>
      </c>
      <c r="B204" s="20" t="n"/>
      <c r="C204" s="20" t="n"/>
      <c r="D204" s="20" t="n"/>
      <c r="E204" s="22" t="n"/>
      <c r="F204" s="20" t="n"/>
      <c r="G204" s="20" t="n"/>
      <c r="H204" s="20" t="n"/>
      <c r="I204" s="20">
        <f>IF(B204="","",IF(COUNTIF('Deep Read'!$B$5:$B$304,B204)&gt;0,"✓",IF(G204="Include","→ add","")))</f>
        <v/>
      </c>
      <c r="J204" s="20" t="n"/>
    </row>
    <row r="205">
      <c r="A205" s="17">
        <f>IF(B205="","",ROW()-4)</f>
        <v/>
      </c>
      <c r="B205" s="17" t="n"/>
      <c r="C205" s="17" t="n"/>
      <c r="D205" s="17" t="n"/>
      <c r="E205" s="19" t="n"/>
      <c r="F205" s="17" t="n"/>
      <c r="G205" s="17" t="n"/>
      <c r="H205" s="17" t="n"/>
      <c r="I205" s="17">
        <f>IF(B205="","",IF(COUNTIF('Deep Read'!$B$5:$B$304,B205)&gt;0,"✓",IF(G205="Include","→ add","")))</f>
        <v/>
      </c>
      <c r="J205" s="17" t="n"/>
    </row>
    <row r="206">
      <c r="A206" s="20">
        <f>IF(B206="","",ROW()-4)</f>
        <v/>
      </c>
      <c r="B206" s="20" t="n"/>
      <c r="C206" s="20" t="n"/>
      <c r="D206" s="20" t="n"/>
      <c r="E206" s="22" t="n"/>
      <c r="F206" s="20" t="n"/>
      <c r="G206" s="20" t="n"/>
      <c r="H206" s="20" t="n"/>
      <c r="I206" s="20">
        <f>IF(B206="","",IF(COUNTIF('Deep Read'!$B$5:$B$304,B206)&gt;0,"✓",IF(G206="Include","→ add","")))</f>
        <v/>
      </c>
      <c r="J206" s="20" t="n"/>
    </row>
    <row r="207">
      <c r="A207" s="17">
        <f>IF(B207="","",ROW()-4)</f>
        <v/>
      </c>
      <c r="B207" s="17" t="n"/>
      <c r="C207" s="17" t="n"/>
      <c r="D207" s="17" t="n"/>
      <c r="E207" s="19" t="n"/>
      <c r="F207" s="17" t="n"/>
      <c r="G207" s="17" t="n"/>
      <c r="H207" s="17" t="n"/>
      <c r="I207" s="17">
        <f>IF(B207="","",IF(COUNTIF('Deep Read'!$B$5:$B$304,B207)&gt;0,"✓",IF(G207="Include","→ add","")))</f>
        <v/>
      </c>
      <c r="J207" s="17" t="n"/>
    </row>
    <row r="208">
      <c r="A208" s="20">
        <f>IF(B208="","",ROW()-4)</f>
        <v/>
      </c>
      <c r="B208" s="20" t="n"/>
      <c r="C208" s="20" t="n"/>
      <c r="D208" s="20" t="n"/>
      <c r="E208" s="22" t="n"/>
      <c r="F208" s="20" t="n"/>
      <c r="G208" s="20" t="n"/>
      <c r="H208" s="20" t="n"/>
      <c r="I208" s="20">
        <f>IF(B208="","",IF(COUNTIF('Deep Read'!$B$5:$B$304,B208)&gt;0,"✓",IF(G208="Include","→ add","")))</f>
        <v/>
      </c>
      <c r="J208" s="20" t="n"/>
    </row>
    <row r="209">
      <c r="A209" s="17">
        <f>IF(B209="","",ROW()-4)</f>
        <v/>
      </c>
      <c r="B209" s="17" t="n"/>
      <c r="C209" s="17" t="n"/>
      <c r="D209" s="17" t="n"/>
      <c r="E209" s="19" t="n"/>
      <c r="F209" s="17" t="n"/>
      <c r="G209" s="17" t="n"/>
      <c r="H209" s="17" t="n"/>
      <c r="I209" s="17">
        <f>IF(B209="","",IF(COUNTIF('Deep Read'!$B$5:$B$304,B209)&gt;0,"✓",IF(G209="Include","→ add","")))</f>
        <v/>
      </c>
      <c r="J209" s="17" t="n"/>
    </row>
    <row r="210">
      <c r="A210" s="20">
        <f>IF(B210="","",ROW()-4)</f>
        <v/>
      </c>
      <c r="B210" s="20" t="n"/>
      <c r="C210" s="20" t="n"/>
      <c r="D210" s="20" t="n"/>
      <c r="E210" s="22" t="n"/>
      <c r="F210" s="20" t="n"/>
      <c r="G210" s="20" t="n"/>
      <c r="H210" s="20" t="n"/>
      <c r="I210" s="20">
        <f>IF(B210="","",IF(COUNTIF('Deep Read'!$B$5:$B$304,B210)&gt;0,"✓",IF(G210="Include","→ add","")))</f>
        <v/>
      </c>
      <c r="J210" s="20" t="n"/>
    </row>
    <row r="211">
      <c r="A211" s="17">
        <f>IF(B211="","",ROW()-4)</f>
        <v/>
      </c>
      <c r="B211" s="17" t="n"/>
      <c r="C211" s="17" t="n"/>
      <c r="D211" s="17" t="n"/>
      <c r="E211" s="19" t="n"/>
      <c r="F211" s="17" t="n"/>
      <c r="G211" s="17" t="n"/>
      <c r="H211" s="17" t="n"/>
      <c r="I211" s="17">
        <f>IF(B211="","",IF(COUNTIF('Deep Read'!$B$5:$B$304,B211)&gt;0,"✓",IF(G211="Include","→ add","")))</f>
        <v/>
      </c>
      <c r="J211" s="17" t="n"/>
    </row>
    <row r="212">
      <c r="A212" s="20">
        <f>IF(B212="","",ROW()-4)</f>
        <v/>
      </c>
      <c r="B212" s="20" t="n"/>
      <c r="C212" s="20" t="n"/>
      <c r="D212" s="20" t="n"/>
      <c r="E212" s="22" t="n"/>
      <c r="F212" s="20" t="n"/>
      <c r="G212" s="20" t="n"/>
      <c r="H212" s="20" t="n"/>
      <c r="I212" s="20">
        <f>IF(B212="","",IF(COUNTIF('Deep Read'!$B$5:$B$304,B212)&gt;0,"✓",IF(G212="Include","→ add","")))</f>
        <v/>
      </c>
      <c r="J212" s="20" t="n"/>
    </row>
    <row r="213">
      <c r="A213" s="17">
        <f>IF(B213="","",ROW()-4)</f>
        <v/>
      </c>
      <c r="B213" s="17" t="n"/>
      <c r="C213" s="17" t="n"/>
      <c r="D213" s="17" t="n"/>
      <c r="E213" s="19" t="n"/>
      <c r="F213" s="17" t="n"/>
      <c r="G213" s="17" t="n"/>
      <c r="H213" s="17" t="n"/>
      <c r="I213" s="17">
        <f>IF(B213="","",IF(COUNTIF('Deep Read'!$B$5:$B$304,B213)&gt;0,"✓",IF(G213="Include","→ add","")))</f>
        <v/>
      </c>
      <c r="J213" s="17" t="n"/>
    </row>
    <row r="214">
      <c r="A214" s="20">
        <f>IF(B214="","",ROW()-4)</f>
        <v/>
      </c>
      <c r="B214" s="20" t="n"/>
      <c r="C214" s="20" t="n"/>
      <c r="D214" s="20" t="n"/>
      <c r="E214" s="22" t="n"/>
      <c r="F214" s="20" t="n"/>
      <c r="G214" s="20" t="n"/>
      <c r="H214" s="20" t="n"/>
      <c r="I214" s="20">
        <f>IF(B214="","",IF(COUNTIF('Deep Read'!$B$5:$B$304,B214)&gt;0,"✓",IF(G214="Include","→ add","")))</f>
        <v/>
      </c>
      <c r="J214" s="20" t="n"/>
    </row>
    <row r="215">
      <c r="A215" s="17">
        <f>IF(B215="","",ROW()-4)</f>
        <v/>
      </c>
      <c r="B215" s="17" t="n"/>
      <c r="C215" s="17" t="n"/>
      <c r="D215" s="17" t="n"/>
      <c r="E215" s="19" t="n"/>
      <c r="F215" s="17" t="n"/>
      <c r="G215" s="17" t="n"/>
      <c r="H215" s="17" t="n"/>
      <c r="I215" s="17">
        <f>IF(B215="","",IF(COUNTIF('Deep Read'!$B$5:$B$304,B215)&gt;0,"✓",IF(G215="Include","→ add","")))</f>
        <v/>
      </c>
      <c r="J215" s="17" t="n"/>
    </row>
    <row r="216">
      <c r="A216" s="20">
        <f>IF(B216="","",ROW()-4)</f>
        <v/>
      </c>
      <c r="B216" s="20" t="n"/>
      <c r="C216" s="20" t="n"/>
      <c r="D216" s="20" t="n"/>
      <c r="E216" s="22" t="n"/>
      <c r="F216" s="20" t="n"/>
      <c r="G216" s="20" t="n"/>
      <c r="H216" s="20" t="n"/>
      <c r="I216" s="20">
        <f>IF(B216="","",IF(COUNTIF('Deep Read'!$B$5:$B$304,B216)&gt;0,"✓",IF(G216="Include","→ add","")))</f>
        <v/>
      </c>
      <c r="J216" s="20" t="n"/>
    </row>
    <row r="217">
      <c r="A217" s="17">
        <f>IF(B217="","",ROW()-4)</f>
        <v/>
      </c>
      <c r="B217" s="17" t="n"/>
      <c r="C217" s="17" t="n"/>
      <c r="D217" s="17" t="n"/>
      <c r="E217" s="19" t="n"/>
      <c r="F217" s="17" t="n"/>
      <c r="G217" s="17" t="n"/>
      <c r="H217" s="17" t="n"/>
      <c r="I217" s="17">
        <f>IF(B217="","",IF(COUNTIF('Deep Read'!$B$5:$B$304,B217)&gt;0,"✓",IF(G217="Include","→ add","")))</f>
        <v/>
      </c>
      <c r="J217" s="17" t="n"/>
    </row>
    <row r="218">
      <c r="A218" s="20">
        <f>IF(B218="","",ROW()-4)</f>
        <v/>
      </c>
      <c r="B218" s="20" t="n"/>
      <c r="C218" s="20" t="n"/>
      <c r="D218" s="20" t="n"/>
      <c r="E218" s="22" t="n"/>
      <c r="F218" s="20" t="n"/>
      <c r="G218" s="20" t="n"/>
      <c r="H218" s="20" t="n"/>
      <c r="I218" s="20">
        <f>IF(B218="","",IF(COUNTIF('Deep Read'!$B$5:$B$304,B218)&gt;0,"✓",IF(G218="Include","→ add","")))</f>
        <v/>
      </c>
      <c r="J218" s="20" t="n"/>
    </row>
    <row r="219">
      <c r="A219" s="17">
        <f>IF(B219="","",ROW()-4)</f>
        <v/>
      </c>
      <c r="B219" s="17" t="n"/>
      <c r="C219" s="17" t="n"/>
      <c r="D219" s="17" t="n"/>
      <c r="E219" s="19" t="n"/>
      <c r="F219" s="17" t="n"/>
      <c r="G219" s="17" t="n"/>
      <c r="H219" s="17" t="n"/>
      <c r="I219" s="17">
        <f>IF(B219="","",IF(COUNTIF('Deep Read'!$B$5:$B$304,B219)&gt;0,"✓",IF(G219="Include","→ add","")))</f>
        <v/>
      </c>
      <c r="J219" s="17" t="n"/>
    </row>
    <row r="220">
      <c r="A220" s="20">
        <f>IF(B220="","",ROW()-4)</f>
        <v/>
      </c>
      <c r="B220" s="20" t="n"/>
      <c r="C220" s="20" t="n"/>
      <c r="D220" s="20" t="n"/>
      <c r="E220" s="22" t="n"/>
      <c r="F220" s="20" t="n"/>
      <c r="G220" s="20" t="n"/>
      <c r="H220" s="20" t="n"/>
      <c r="I220" s="20">
        <f>IF(B220="","",IF(COUNTIF('Deep Read'!$B$5:$B$304,B220)&gt;0,"✓",IF(G220="Include","→ add","")))</f>
        <v/>
      </c>
      <c r="J220" s="20" t="n"/>
    </row>
    <row r="221">
      <c r="A221" s="17">
        <f>IF(B221="","",ROW()-4)</f>
        <v/>
      </c>
      <c r="B221" s="17" t="n"/>
      <c r="C221" s="17" t="n"/>
      <c r="D221" s="17" t="n"/>
      <c r="E221" s="19" t="n"/>
      <c r="F221" s="17" t="n"/>
      <c r="G221" s="17" t="n"/>
      <c r="H221" s="17" t="n"/>
      <c r="I221" s="17">
        <f>IF(B221="","",IF(COUNTIF('Deep Read'!$B$5:$B$304,B221)&gt;0,"✓",IF(G221="Include","→ add","")))</f>
        <v/>
      </c>
      <c r="J221" s="17" t="n"/>
    </row>
    <row r="222">
      <c r="A222" s="20">
        <f>IF(B222="","",ROW()-4)</f>
        <v/>
      </c>
      <c r="B222" s="20" t="n"/>
      <c r="C222" s="20" t="n"/>
      <c r="D222" s="20" t="n"/>
      <c r="E222" s="22" t="n"/>
      <c r="F222" s="20" t="n"/>
      <c r="G222" s="20" t="n"/>
      <c r="H222" s="20" t="n"/>
      <c r="I222" s="20">
        <f>IF(B222="","",IF(COUNTIF('Deep Read'!$B$5:$B$304,B222)&gt;0,"✓",IF(G222="Include","→ add","")))</f>
        <v/>
      </c>
      <c r="J222" s="20" t="n"/>
    </row>
    <row r="223">
      <c r="A223" s="17">
        <f>IF(B223="","",ROW()-4)</f>
        <v/>
      </c>
      <c r="B223" s="17" t="n"/>
      <c r="C223" s="17" t="n"/>
      <c r="D223" s="17" t="n"/>
      <c r="E223" s="19" t="n"/>
      <c r="F223" s="17" t="n"/>
      <c r="G223" s="17" t="n"/>
      <c r="H223" s="17" t="n"/>
      <c r="I223" s="17">
        <f>IF(B223="","",IF(COUNTIF('Deep Read'!$B$5:$B$304,B223)&gt;0,"✓",IF(G223="Include","→ add","")))</f>
        <v/>
      </c>
      <c r="J223" s="17" t="n"/>
    </row>
    <row r="224">
      <c r="A224" s="20">
        <f>IF(B224="","",ROW()-4)</f>
        <v/>
      </c>
      <c r="B224" s="20" t="n"/>
      <c r="C224" s="20" t="n"/>
      <c r="D224" s="20" t="n"/>
      <c r="E224" s="22" t="n"/>
      <c r="F224" s="20" t="n"/>
      <c r="G224" s="20" t="n"/>
      <c r="H224" s="20" t="n"/>
      <c r="I224" s="20">
        <f>IF(B224="","",IF(COUNTIF('Deep Read'!$B$5:$B$304,B224)&gt;0,"✓",IF(G224="Include","→ add","")))</f>
        <v/>
      </c>
      <c r="J224" s="20" t="n"/>
    </row>
    <row r="225">
      <c r="A225" s="17">
        <f>IF(B225="","",ROW()-4)</f>
        <v/>
      </c>
      <c r="B225" s="17" t="n"/>
      <c r="C225" s="17" t="n"/>
      <c r="D225" s="17" t="n"/>
      <c r="E225" s="19" t="n"/>
      <c r="F225" s="17" t="n"/>
      <c r="G225" s="17" t="n"/>
      <c r="H225" s="17" t="n"/>
      <c r="I225" s="17">
        <f>IF(B225="","",IF(COUNTIF('Deep Read'!$B$5:$B$304,B225)&gt;0,"✓",IF(G225="Include","→ add","")))</f>
        <v/>
      </c>
      <c r="J225" s="17" t="n"/>
    </row>
    <row r="226">
      <c r="A226" s="20">
        <f>IF(B226="","",ROW()-4)</f>
        <v/>
      </c>
      <c r="B226" s="20" t="n"/>
      <c r="C226" s="20" t="n"/>
      <c r="D226" s="20" t="n"/>
      <c r="E226" s="22" t="n"/>
      <c r="F226" s="20" t="n"/>
      <c r="G226" s="20" t="n"/>
      <c r="H226" s="20" t="n"/>
      <c r="I226" s="20">
        <f>IF(B226="","",IF(COUNTIF('Deep Read'!$B$5:$B$304,B226)&gt;0,"✓",IF(G226="Include","→ add","")))</f>
        <v/>
      </c>
      <c r="J226" s="20" t="n"/>
    </row>
    <row r="227">
      <c r="A227" s="17">
        <f>IF(B227="","",ROW()-4)</f>
        <v/>
      </c>
      <c r="B227" s="17" t="n"/>
      <c r="C227" s="17" t="n"/>
      <c r="D227" s="17" t="n"/>
      <c r="E227" s="19" t="n"/>
      <c r="F227" s="17" t="n"/>
      <c r="G227" s="17" t="n"/>
      <c r="H227" s="17" t="n"/>
      <c r="I227" s="17">
        <f>IF(B227="","",IF(COUNTIF('Deep Read'!$B$5:$B$304,B227)&gt;0,"✓",IF(G227="Include","→ add","")))</f>
        <v/>
      </c>
      <c r="J227" s="17" t="n"/>
    </row>
    <row r="228">
      <c r="A228" s="20">
        <f>IF(B228="","",ROW()-4)</f>
        <v/>
      </c>
      <c r="B228" s="20" t="n"/>
      <c r="C228" s="20" t="n"/>
      <c r="D228" s="20" t="n"/>
      <c r="E228" s="22" t="n"/>
      <c r="F228" s="20" t="n"/>
      <c r="G228" s="20" t="n"/>
      <c r="H228" s="20" t="n"/>
      <c r="I228" s="20">
        <f>IF(B228="","",IF(COUNTIF('Deep Read'!$B$5:$B$304,B228)&gt;0,"✓",IF(G228="Include","→ add","")))</f>
        <v/>
      </c>
      <c r="J228" s="20" t="n"/>
    </row>
    <row r="229">
      <c r="A229" s="17">
        <f>IF(B229="","",ROW()-4)</f>
        <v/>
      </c>
      <c r="B229" s="17" t="n"/>
      <c r="C229" s="17" t="n"/>
      <c r="D229" s="17" t="n"/>
      <c r="E229" s="19" t="n"/>
      <c r="F229" s="17" t="n"/>
      <c r="G229" s="17" t="n"/>
      <c r="H229" s="17" t="n"/>
      <c r="I229" s="17">
        <f>IF(B229="","",IF(COUNTIF('Deep Read'!$B$5:$B$304,B229)&gt;0,"✓",IF(G229="Include","→ add","")))</f>
        <v/>
      </c>
      <c r="J229" s="17" t="n"/>
    </row>
    <row r="230">
      <c r="A230" s="20">
        <f>IF(B230="","",ROW()-4)</f>
        <v/>
      </c>
      <c r="B230" s="20" t="n"/>
      <c r="C230" s="20" t="n"/>
      <c r="D230" s="20" t="n"/>
      <c r="E230" s="22" t="n"/>
      <c r="F230" s="20" t="n"/>
      <c r="G230" s="20" t="n"/>
      <c r="H230" s="20" t="n"/>
      <c r="I230" s="20">
        <f>IF(B230="","",IF(COUNTIF('Deep Read'!$B$5:$B$304,B230)&gt;0,"✓",IF(G230="Include","→ add","")))</f>
        <v/>
      </c>
      <c r="J230" s="20" t="n"/>
    </row>
    <row r="231">
      <c r="A231" s="17">
        <f>IF(B231="","",ROW()-4)</f>
        <v/>
      </c>
      <c r="B231" s="17" t="n"/>
      <c r="C231" s="17" t="n"/>
      <c r="D231" s="17" t="n"/>
      <c r="E231" s="19" t="n"/>
      <c r="F231" s="17" t="n"/>
      <c r="G231" s="17" t="n"/>
      <c r="H231" s="17" t="n"/>
      <c r="I231" s="17">
        <f>IF(B231="","",IF(COUNTIF('Deep Read'!$B$5:$B$304,B231)&gt;0,"✓",IF(G231="Include","→ add","")))</f>
        <v/>
      </c>
      <c r="J231" s="17" t="n"/>
    </row>
    <row r="232">
      <c r="A232" s="20">
        <f>IF(B232="","",ROW()-4)</f>
        <v/>
      </c>
      <c r="B232" s="20" t="n"/>
      <c r="C232" s="20" t="n"/>
      <c r="D232" s="20" t="n"/>
      <c r="E232" s="22" t="n"/>
      <c r="F232" s="20" t="n"/>
      <c r="G232" s="20" t="n"/>
      <c r="H232" s="20" t="n"/>
      <c r="I232" s="20">
        <f>IF(B232="","",IF(COUNTIF('Deep Read'!$B$5:$B$304,B232)&gt;0,"✓",IF(G232="Include","→ add","")))</f>
        <v/>
      </c>
      <c r="J232" s="20" t="n"/>
    </row>
    <row r="233">
      <c r="A233" s="17">
        <f>IF(B233="","",ROW()-4)</f>
        <v/>
      </c>
      <c r="B233" s="17" t="n"/>
      <c r="C233" s="17" t="n"/>
      <c r="D233" s="17" t="n"/>
      <c r="E233" s="19" t="n"/>
      <c r="F233" s="17" t="n"/>
      <c r="G233" s="17" t="n"/>
      <c r="H233" s="17" t="n"/>
      <c r="I233" s="17">
        <f>IF(B233="","",IF(COUNTIF('Deep Read'!$B$5:$B$304,B233)&gt;0,"✓",IF(G233="Include","→ add","")))</f>
        <v/>
      </c>
      <c r="J233" s="17" t="n"/>
    </row>
    <row r="234">
      <c r="A234" s="20">
        <f>IF(B234="","",ROW()-4)</f>
        <v/>
      </c>
      <c r="B234" s="20" t="n"/>
      <c r="C234" s="20" t="n"/>
      <c r="D234" s="20" t="n"/>
      <c r="E234" s="22" t="n"/>
      <c r="F234" s="20" t="n"/>
      <c r="G234" s="20" t="n"/>
      <c r="H234" s="20" t="n"/>
      <c r="I234" s="20">
        <f>IF(B234="","",IF(COUNTIF('Deep Read'!$B$5:$B$304,B234)&gt;0,"✓",IF(G234="Include","→ add","")))</f>
        <v/>
      </c>
      <c r="J234" s="20" t="n"/>
    </row>
    <row r="235">
      <c r="A235" s="17">
        <f>IF(B235="","",ROW()-4)</f>
        <v/>
      </c>
      <c r="B235" s="17" t="n"/>
      <c r="C235" s="17" t="n"/>
      <c r="D235" s="17" t="n"/>
      <c r="E235" s="19" t="n"/>
      <c r="F235" s="17" t="n"/>
      <c r="G235" s="17" t="n"/>
      <c r="H235" s="17" t="n"/>
      <c r="I235" s="17">
        <f>IF(B235="","",IF(COUNTIF('Deep Read'!$B$5:$B$304,B235)&gt;0,"✓",IF(G235="Include","→ add","")))</f>
        <v/>
      </c>
      <c r="J235" s="17" t="n"/>
    </row>
    <row r="236">
      <c r="A236" s="20">
        <f>IF(B236="","",ROW()-4)</f>
        <v/>
      </c>
      <c r="B236" s="20" t="n"/>
      <c r="C236" s="20" t="n"/>
      <c r="D236" s="20" t="n"/>
      <c r="E236" s="22" t="n"/>
      <c r="F236" s="20" t="n"/>
      <c r="G236" s="20" t="n"/>
      <c r="H236" s="20" t="n"/>
      <c r="I236" s="20">
        <f>IF(B236="","",IF(COUNTIF('Deep Read'!$B$5:$B$304,B236)&gt;0,"✓",IF(G236="Include","→ add","")))</f>
        <v/>
      </c>
      <c r="J236" s="20" t="n"/>
    </row>
    <row r="237">
      <c r="A237" s="17">
        <f>IF(B237="","",ROW()-4)</f>
        <v/>
      </c>
      <c r="B237" s="17" t="n"/>
      <c r="C237" s="17" t="n"/>
      <c r="D237" s="17" t="n"/>
      <c r="E237" s="19" t="n"/>
      <c r="F237" s="17" t="n"/>
      <c r="G237" s="17" t="n"/>
      <c r="H237" s="17" t="n"/>
      <c r="I237" s="17">
        <f>IF(B237="","",IF(COUNTIF('Deep Read'!$B$5:$B$304,B237)&gt;0,"✓",IF(G237="Include","→ add","")))</f>
        <v/>
      </c>
      <c r="J237" s="17" t="n"/>
    </row>
    <row r="238">
      <c r="A238" s="20">
        <f>IF(B238="","",ROW()-4)</f>
        <v/>
      </c>
      <c r="B238" s="20" t="n"/>
      <c r="C238" s="20" t="n"/>
      <c r="D238" s="20" t="n"/>
      <c r="E238" s="22" t="n"/>
      <c r="F238" s="20" t="n"/>
      <c r="G238" s="20" t="n"/>
      <c r="H238" s="20" t="n"/>
      <c r="I238" s="20">
        <f>IF(B238="","",IF(COUNTIF('Deep Read'!$B$5:$B$304,B238)&gt;0,"✓",IF(G238="Include","→ add","")))</f>
        <v/>
      </c>
      <c r="J238" s="20" t="n"/>
    </row>
    <row r="239">
      <c r="A239" s="17">
        <f>IF(B239="","",ROW()-4)</f>
        <v/>
      </c>
      <c r="B239" s="17" t="n"/>
      <c r="C239" s="17" t="n"/>
      <c r="D239" s="17" t="n"/>
      <c r="E239" s="19" t="n"/>
      <c r="F239" s="17" t="n"/>
      <c r="G239" s="17" t="n"/>
      <c r="H239" s="17" t="n"/>
      <c r="I239" s="17">
        <f>IF(B239="","",IF(COUNTIF('Deep Read'!$B$5:$B$304,B239)&gt;0,"✓",IF(G239="Include","→ add","")))</f>
        <v/>
      </c>
      <c r="J239" s="17" t="n"/>
    </row>
    <row r="240">
      <c r="A240" s="20">
        <f>IF(B240="","",ROW()-4)</f>
        <v/>
      </c>
      <c r="B240" s="20" t="n"/>
      <c r="C240" s="20" t="n"/>
      <c r="D240" s="20" t="n"/>
      <c r="E240" s="22" t="n"/>
      <c r="F240" s="20" t="n"/>
      <c r="G240" s="20" t="n"/>
      <c r="H240" s="20" t="n"/>
      <c r="I240" s="20">
        <f>IF(B240="","",IF(COUNTIF('Deep Read'!$B$5:$B$304,B240)&gt;0,"✓",IF(G240="Include","→ add","")))</f>
        <v/>
      </c>
      <c r="J240" s="20" t="n"/>
    </row>
    <row r="241">
      <c r="A241" s="17">
        <f>IF(B241="","",ROW()-4)</f>
        <v/>
      </c>
      <c r="B241" s="17" t="n"/>
      <c r="C241" s="17" t="n"/>
      <c r="D241" s="17" t="n"/>
      <c r="E241" s="19" t="n"/>
      <c r="F241" s="17" t="n"/>
      <c r="G241" s="17" t="n"/>
      <c r="H241" s="17" t="n"/>
      <c r="I241" s="17">
        <f>IF(B241="","",IF(COUNTIF('Deep Read'!$B$5:$B$304,B241)&gt;0,"✓",IF(G241="Include","→ add","")))</f>
        <v/>
      </c>
      <c r="J241" s="17" t="n"/>
    </row>
    <row r="242">
      <c r="A242" s="20">
        <f>IF(B242="","",ROW()-4)</f>
        <v/>
      </c>
      <c r="B242" s="20" t="n"/>
      <c r="C242" s="20" t="n"/>
      <c r="D242" s="20" t="n"/>
      <c r="E242" s="22" t="n"/>
      <c r="F242" s="20" t="n"/>
      <c r="G242" s="20" t="n"/>
      <c r="H242" s="20" t="n"/>
      <c r="I242" s="20">
        <f>IF(B242="","",IF(COUNTIF('Deep Read'!$B$5:$B$304,B242)&gt;0,"✓",IF(G242="Include","→ add","")))</f>
        <v/>
      </c>
      <c r="J242" s="20" t="n"/>
    </row>
    <row r="243">
      <c r="A243" s="17">
        <f>IF(B243="","",ROW()-4)</f>
        <v/>
      </c>
      <c r="B243" s="17" t="n"/>
      <c r="C243" s="17" t="n"/>
      <c r="D243" s="17" t="n"/>
      <c r="E243" s="19" t="n"/>
      <c r="F243" s="17" t="n"/>
      <c r="G243" s="17" t="n"/>
      <c r="H243" s="17" t="n"/>
      <c r="I243" s="17">
        <f>IF(B243="","",IF(COUNTIF('Deep Read'!$B$5:$B$304,B243)&gt;0,"✓",IF(G243="Include","→ add","")))</f>
        <v/>
      </c>
      <c r="J243" s="17" t="n"/>
    </row>
    <row r="244">
      <c r="A244" s="20">
        <f>IF(B244="","",ROW()-4)</f>
        <v/>
      </c>
      <c r="B244" s="20" t="n"/>
      <c r="C244" s="20" t="n"/>
      <c r="D244" s="20" t="n"/>
      <c r="E244" s="22" t="n"/>
      <c r="F244" s="20" t="n"/>
      <c r="G244" s="20" t="n"/>
      <c r="H244" s="20" t="n"/>
      <c r="I244" s="20">
        <f>IF(B244="","",IF(COUNTIF('Deep Read'!$B$5:$B$304,B244)&gt;0,"✓",IF(G244="Include","→ add","")))</f>
        <v/>
      </c>
      <c r="J244" s="20" t="n"/>
    </row>
    <row r="245">
      <c r="A245" s="17">
        <f>IF(B245="","",ROW()-4)</f>
        <v/>
      </c>
      <c r="B245" s="17" t="n"/>
      <c r="C245" s="17" t="n"/>
      <c r="D245" s="17" t="n"/>
      <c r="E245" s="19" t="n"/>
      <c r="F245" s="17" t="n"/>
      <c r="G245" s="17" t="n"/>
      <c r="H245" s="17" t="n"/>
      <c r="I245" s="17">
        <f>IF(B245="","",IF(COUNTIF('Deep Read'!$B$5:$B$304,B245)&gt;0,"✓",IF(G245="Include","→ add","")))</f>
        <v/>
      </c>
      <c r="J245" s="17" t="n"/>
    </row>
    <row r="246">
      <c r="A246" s="20">
        <f>IF(B246="","",ROW()-4)</f>
        <v/>
      </c>
      <c r="B246" s="20" t="n"/>
      <c r="C246" s="20" t="n"/>
      <c r="D246" s="20" t="n"/>
      <c r="E246" s="22" t="n"/>
      <c r="F246" s="20" t="n"/>
      <c r="G246" s="20" t="n"/>
      <c r="H246" s="20" t="n"/>
      <c r="I246" s="20">
        <f>IF(B246="","",IF(COUNTIF('Deep Read'!$B$5:$B$304,B246)&gt;0,"✓",IF(G246="Include","→ add","")))</f>
        <v/>
      </c>
      <c r="J246" s="20" t="n"/>
    </row>
    <row r="247">
      <c r="A247" s="17">
        <f>IF(B247="","",ROW()-4)</f>
        <v/>
      </c>
      <c r="B247" s="17" t="n"/>
      <c r="C247" s="17" t="n"/>
      <c r="D247" s="17" t="n"/>
      <c r="E247" s="19" t="n"/>
      <c r="F247" s="17" t="n"/>
      <c r="G247" s="17" t="n"/>
      <c r="H247" s="17" t="n"/>
      <c r="I247" s="17">
        <f>IF(B247="","",IF(COUNTIF('Deep Read'!$B$5:$B$304,B247)&gt;0,"✓",IF(G247="Include","→ add","")))</f>
        <v/>
      </c>
      <c r="J247" s="17" t="n"/>
    </row>
    <row r="248">
      <c r="A248" s="20">
        <f>IF(B248="","",ROW()-4)</f>
        <v/>
      </c>
      <c r="B248" s="20" t="n"/>
      <c r="C248" s="20" t="n"/>
      <c r="D248" s="20" t="n"/>
      <c r="E248" s="22" t="n"/>
      <c r="F248" s="20" t="n"/>
      <c r="G248" s="20" t="n"/>
      <c r="H248" s="20" t="n"/>
      <c r="I248" s="20">
        <f>IF(B248="","",IF(COUNTIF('Deep Read'!$B$5:$B$304,B248)&gt;0,"✓",IF(G248="Include","→ add","")))</f>
        <v/>
      </c>
      <c r="J248" s="20" t="n"/>
    </row>
    <row r="249">
      <c r="A249" s="17">
        <f>IF(B249="","",ROW()-4)</f>
        <v/>
      </c>
      <c r="B249" s="17" t="n"/>
      <c r="C249" s="17" t="n"/>
      <c r="D249" s="17" t="n"/>
      <c r="E249" s="19" t="n"/>
      <c r="F249" s="17" t="n"/>
      <c r="G249" s="17" t="n"/>
      <c r="H249" s="17" t="n"/>
      <c r="I249" s="17">
        <f>IF(B249="","",IF(COUNTIF('Deep Read'!$B$5:$B$304,B249)&gt;0,"✓",IF(G249="Include","→ add","")))</f>
        <v/>
      </c>
      <c r="J249" s="17" t="n"/>
    </row>
    <row r="250">
      <c r="A250" s="20">
        <f>IF(B250="","",ROW()-4)</f>
        <v/>
      </c>
      <c r="B250" s="20" t="n"/>
      <c r="C250" s="20" t="n"/>
      <c r="D250" s="20" t="n"/>
      <c r="E250" s="22" t="n"/>
      <c r="F250" s="20" t="n"/>
      <c r="G250" s="20" t="n"/>
      <c r="H250" s="20" t="n"/>
      <c r="I250" s="20">
        <f>IF(B250="","",IF(COUNTIF('Deep Read'!$B$5:$B$304,B250)&gt;0,"✓",IF(G250="Include","→ add","")))</f>
        <v/>
      </c>
      <c r="J250" s="20" t="n"/>
    </row>
    <row r="251">
      <c r="A251" s="17">
        <f>IF(B251="","",ROW()-4)</f>
        <v/>
      </c>
      <c r="B251" s="17" t="n"/>
      <c r="C251" s="17" t="n"/>
      <c r="D251" s="17" t="n"/>
      <c r="E251" s="19" t="n"/>
      <c r="F251" s="17" t="n"/>
      <c r="G251" s="17" t="n"/>
      <c r="H251" s="17" t="n"/>
      <c r="I251" s="17">
        <f>IF(B251="","",IF(COUNTIF('Deep Read'!$B$5:$B$304,B251)&gt;0,"✓",IF(G251="Include","→ add","")))</f>
        <v/>
      </c>
      <c r="J251" s="17" t="n"/>
    </row>
    <row r="252">
      <c r="A252" s="20">
        <f>IF(B252="","",ROW()-4)</f>
        <v/>
      </c>
      <c r="B252" s="20" t="n"/>
      <c r="C252" s="20" t="n"/>
      <c r="D252" s="20" t="n"/>
      <c r="E252" s="22" t="n"/>
      <c r="F252" s="20" t="n"/>
      <c r="G252" s="20" t="n"/>
      <c r="H252" s="20" t="n"/>
      <c r="I252" s="20">
        <f>IF(B252="","",IF(COUNTIF('Deep Read'!$B$5:$B$304,B252)&gt;0,"✓",IF(G252="Include","→ add","")))</f>
        <v/>
      </c>
      <c r="J252" s="20" t="n"/>
    </row>
    <row r="253">
      <c r="A253" s="17">
        <f>IF(B253="","",ROW()-4)</f>
        <v/>
      </c>
      <c r="B253" s="17" t="n"/>
      <c r="C253" s="17" t="n"/>
      <c r="D253" s="17" t="n"/>
      <c r="E253" s="19" t="n"/>
      <c r="F253" s="17" t="n"/>
      <c r="G253" s="17" t="n"/>
      <c r="H253" s="17" t="n"/>
      <c r="I253" s="17">
        <f>IF(B253="","",IF(COUNTIF('Deep Read'!$B$5:$B$304,B253)&gt;0,"✓",IF(G253="Include","→ add","")))</f>
        <v/>
      </c>
      <c r="J253" s="17" t="n"/>
    </row>
    <row r="254">
      <c r="A254" s="20">
        <f>IF(B254="","",ROW()-4)</f>
        <v/>
      </c>
      <c r="B254" s="20" t="n"/>
      <c r="C254" s="20" t="n"/>
      <c r="D254" s="20" t="n"/>
      <c r="E254" s="22" t="n"/>
      <c r="F254" s="20" t="n"/>
      <c r="G254" s="20" t="n"/>
      <c r="H254" s="20" t="n"/>
      <c r="I254" s="20">
        <f>IF(B254="","",IF(COUNTIF('Deep Read'!$B$5:$B$304,B254)&gt;0,"✓",IF(G254="Include","→ add","")))</f>
        <v/>
      </c>
      <c r="J254" s="20" t="n"/>
    </row>
    <row r="255">
      <c r="A255" s="17">
        <f>IF(B255="","",ROW()-4)</f>
        <v/>
      </c>
      <c r="B255" s="17" t="n"/>
      <c r="C255" s="17" t="n"/>
      <c r="D255" s="17" t="n"/>
      <c r="E255" s="19" t="n"/>
      <c r="F255" s="17" t="n"/>
      <c r="G255" s="17" t="n"/>
      <c r="H255" s="17" t="n"/>
      <c r="I255" s="17">
        <f>IF(B255="","",IF(COUNTIF('Deep Read'!$B$5:$B$304,B255)&gt;0,"✓",IF(G255="Include","→ add","")))</f>
        <v/>
      </c>
      <c r="J255" s="17" t="n"/>
    </row>
    <row r="256">
      <c r="A256" s="20">
        <f>IF(B256="","",ROW()-4)</f>
        <v/>
      </c>
      <c r="B256" s="20" t="n"/>
      <c r="C256" s="20" t="n"/>
      <c r="D256" s="20" t="n"/>
      <c r="E256" s="22" t="n"/>
      <c r="F256" s="20" t="n"/>
      <c r="G256" s="20" t="n"/>
      <c r="H256" s="20" t="n"/>
      <c r="I256" s="20">
        <f>IF(B256="","",IF(COUNTIF('Deep Read'!$B$5:$B$304,B256)&gt;0,"✓",IF(G256="Include","→ add","")))</f>
        <v/>
      </c>
      <c r="J256" s="20" t="n"/>
    </row>
    <row r="257">
      <c r="A257" s="17">
        <f>IF(B257="","",ROW()-4)</f>
        <v/>
      </c>
      <c r="B257" s="17" t="n"/>
      <c r="C257" s="17" t="n"/>
      <c r="D257" s="17" t="n"/>
      <c r="E257" s="19" t="n"/>
      <c r="F257" s="17" t="n"/>
      <c r="G257" s="17" t="n"/>
      <c r="H257" s="17" t="n"/>
      <c r="I257" s="17">
        <f>IF(B257="","",IF(COUNTIF('Deep Read'!$B$5:$B$304,B257)&gt;0,"✓",IF(G257="Include","→ add","")))</f>
        <v/>
      </c>
      <c r="J257" s="17" t="n"/>
    </row>
    <row r="258">
      <c r="A258" s="20">
        <f>IF(B258="","",ROW()-4)</f>
        <v/>
      </c>
      <c r="B258" s="20" t="n"/>
      <c r="C258" s="20" t="n"/>
      <c r="D258" s="20" t="n"/>
      <c r="E258" s="22" t="n"/>
      <c r="F258" s="20" t="n"/>
      <c r="G258" s="20" t="n"/>
      <c r="H258" s="20" t="n"/>
      <c r="I258" s="20">
        <f>IF(B258="","",IF(COUNTIF('Deep Read'!$B$5:$B$304,B258)&gt;0,"✓",IF(G258="Include","→ add","")))</f>
        <v/>
      </c>
      <c r="J258" s="20" t="n"/>
    </row>
    <row r="259">
      <c r="A259" s="17">
        <f>IF(B259="","",ROW()-4)</f>
        <v/>
      </c>
      <c r="B259" s="17" t="n"/>
      <c r="C259" s="17" t="n"/>
      <c r="D259" s="17" t="n"/>
      <c r="E259" s="19" t="n"/>
      <c r="F259" s="17" t="n"/>
      <c r="G259" s="17" t="n"/>
      <c r="H259" s="17" t="n"/>
      <c r="I259" s="17">
        <f>IF(B259="","",IF(COUNTIF('Deep Read'!$B$5:$B$304,B259)&gt;0,"✓",IF(G259="Include","→ add","")))</f>
        <v/>
      </c>
      <c r="J259" s="17" t="n"/>
    </row>
    <row r="260">
      <c r="A260" s="20">
        <f>IF(B260="","",ROW()-4)</f>
        <v/>
      </c>
      <c r="B260" s="20" t="n"/>
      <c r="C260" s="20" t="n"/>
      <c r="D260" s="20" t="n"/>
      <c r="E260" s="22" t="n"/>
      <c r="F260" s="20" t="n"/>
      <c r="G260" s="20" t="n"/>
      <c r="H260" s="20" t="n"/>
      <c r="I260" s="20">
        <f>IF(B260="","",IF(COUNTIF('Deep Read'!$B$5:$B$304,B260)&gt;0,"✓",IF(G260="Include","→ add","")))</f>
        <v/>
      </c>
      <c r="J260" s="20" t="n"/>
    </row>
    <row r="261">
      <c r="A261" s="17">
        <f>IF(B261="","",ROW()-4)</f>
        <v/>
      </c>
      <c r="B261" s="17" t="n"/>
      <c r="C261" s="17" t="n"/>
      <c r="D261" s="17" t="n"/>
      <c r="E261" s="19" t="n"/>
      <c r="F261" s="17" t="n"/>
      <c r="G261" s="17" t="n"/>
      <c r="H261" s="17" t="n"/>
      <c r="I261" s="17">
        <f>IF(B261="","",IF(COUNTIF('Deep Read'!$B$5:$B$304,B261)&gt;0,"✓",IF(G261="Include","→ add","")))</f>
        <v/>
      </c>
      <c r="J261" s="17" t="n"/>
    </row>
    <row r="262">
      <c r="A262" s="20">
        <f>IF(B262="","",ROW()-4)</f>
        <v/>
      </c>
      <c r="B262" s="20" t="n"/>
      <c r="C262" s="20" t="n"/>
      <c r="D262" s="20" t="n"/>
      <c r="E262" s="22" t="n"/>
      <c r="F262" s="20" t="n"/>
      <c r="G262" s="20" t="n"/>
      <c r="H262" s="20" t="n"/>
      <c r="I262" s="20">
        <f>IF(B262="","",IF(COUNTIF('Deep Read'!$B$5:$B$304,B262)&gt;0,"✓",IF(G262="Include","→ add","")))</f>
        <v/>
      </c>
      <c r="J262" s="20" t="n"/>
    </row>
    <row r="263">
      <c r="A263" s="17">
        <f>IF(B263="","",ROW()-4)</f>
        <v/>
      </c>
      <c r="B263" s="17" t="n"/>
      <c r="C263" s="17" t="n"/>
      <c r="D263" s="17" t="n"/>
      <c r="E263" s="19" t="n"/>
      <c r="F263" s="17" t="n"/>
      <c r="G263" s="17" t="n"/>
      <c r="H263" s="17" t="n"/>
      <c r="I263" s="17">
        <f>IF(B263="","",IF(COUNTIF('Deep Read'!$B$5:$B$304,B263)&gt;0,"✓",IF(G263="Include","→ add","")))</f>
        <v/>
      </c>
      <c r="J263" s="17" t="n"/>
    </row>
    <row r="264">
      <c r="A264" s="20">
        <f>IF(B264="","",ROW()-4)</f>
        <v/>
      </c>
      <c r="B264" s="20" t="n"/>
      <c r="C264" s="20" t="n"/>
      <c r="D264" s="20" t="n"/>
      <c r="E264" s="22" t="n"/>
      <c r="F264" s="20" t="n"/>
      <c r="G264" s="20" t="n"/>
      <c r="H264" s="20" t="n"/>
      <c r="I264" s="20">
        <f>IF(B264="","",IF(COUNTIF('Deep Read'!$B$5:$B$304,B264)&gt;0,"✓",IF(G264="Include","→ add","")))</f>
        <v/>
      </c>
      <c r="J264" s="20" t="n"/>
    </row>
    <row r="265">
      <c r="A265" s="17">
        <f>IF(B265="","",ROW()-4)</f>
        <v/>
      </c>
      <c r="B265" s="17" t="n"/>
      <c r="C265" s="17" t="n"/>
      <c r="D265" s="17" t="n"/>
      <c r="E265" s="19" t="n"/>
      <c r="F265" s="17" t="n"/>
      <c r="G265" s="17" t="n"/>
      <c r="H265" s="17" t="n"/>
      <c r="I265" s="17">
        <f>IF(B265="","",IF(COUNTIF('Deep Read'!$B$5:$B$304,B265)&gt;0,"✓",IF(G265="Include","→ add","")))</f>
        <v/>
      </c>
      <c r="J265" s="17" t="n"/>
    </row>
    <row r="266">
      <c r="A266" s="20">
        <f>IF(B266="","",ROW()-4)</f>
        <v/>
      </c>
      <c r="B266" s="20" t="n"/>
      <c r="C266" s="20" t="n"/>
      <c r="D266" s="20" t="n"/>
      <c r="E266" s="22" t="n"/>
      <c r="F266" s="20" t="n"/>
      <c r="G266" s="20" t="n"/>
      <c r="H266" s="20" t="n"/>
      <c r="I266" s="20">
        <f>IF(B266="","",IF(COUNTIF('Deep Read'!$B$5:$B$304,B266)&gt;0,"✓",IF(G266="Include","→ add","")))</f>
        <v/>
      </c>
      <c r="J266" s="20" t="n"/>
    </row>
    <row r="267">
      <c r="A267" s="17">
        <f>IF(B267="","",ROW()-4)</f>
        <v/>
      </c>
      <c r="B267" s="17" t="n"/>
      <c r="C267" s="17" t="n"/>
      <c r="D267" s="17" t="n"/>
      <c r="E267" s="19" t="n"/>
      <c r="F267" s="17" t="n"/>
      <c r="G267" s="17" t="n"/>
      <c r="H267" s="17" t="n"/>
      <c r="I267" s="17">
        <f>IF(B267="","",IF(COUNTIF('Deep Read'!$B$5:$B$304,B267)&gt;0,"✓",IF(G267="Include","→ add","")))</f>
        <v/>
      </c>
      <c r="J267" s="17" t="n"/>
    </row>
    <row r="268">
      <c r="A268" s="20">
        <f>IF(B268="","",ROW()-4)</f>
        <v/>
      </c>
      <c r="B268" s="20" t="n"/>
      <c r="C268" s="20" t="n"/>
      <c r="D268" s="20" t="n"/>
      <c r="E268" s="22" t="n"/>
      <c r="F268" s="20" t="n"/>
      <c r="G268" s="20" t="n"/>
      <c r="H268" s="20" t="n"/>
      <c r="I268" s="20">
        <f>IF(B268="","",IF(COUNTIF('Deep Read'!$B$5:$B$304,B268)&gt;0,"✓",IF(G268="Include","→ add","")))</f>
        <v/>
      </c>
      <c r="J268" s="20" t="n"/>
    </row>
    <row r="269">
      <c r="A269" s="17">
        <f>IF(B269="","",ROW()-4)</f>
        <v/>
      </c>
      <c r="B269" s="17" t="n"/>
      <c r="C269" s="17" t="n"/>
      <c r="D269" s="17" t="n"/>
      <c r="E269" s="19" t="n"/>
      <c r="F269" s="17" t="n"/>
      <c r="G269" s="17" t="n"/>
      <c r="H269" s="17" t="n"/>
      <c r="I269" s="17">
        <f>IF(B269="","",IF(COUNTIF('Deep Read'!$B$5:$B$304,B269)&gt;0,"✓",IF(G269="Include","→ add","")))</f>
        <v/>
      </c>
      <c r="J269" s="17" t="n"/>
    </row>
    <row r="270">
      <c r="A270" s="20">
        <f>IF(B270="","",ROW()-4)</f>
        <v/>
      </c>
      <c r="B270" s="20" t="n"/>
      <c r="C270" s="20" t="n"/>
      <c r="D270" s="20" t="n"/>
      <c r="E270" s="22" t="n"/>
      <c r="F270" s="20" t="n"/>
      <c r="G270" s="20" t="n"/>
      <c r="H270" s="20" t="n"/>
      <c r="I270" s="20">
        <f>IF(B270="","",IF(COUNTIF('Deep Read'!$B$5:$B$304,B270)&gt;0,"✓",IF(G270="Include","→ add","")))</f>
        <v/>
      </c>
      <c r="J270" s="20" t="n"/>
    </row>
    <row r="271">
      <c r="A271" s="17">
        <f>IF(B271="","",ROW()-4)</f>
        <v/>
      </c>
      <c r="B271" s="17" t="n"/>
      <c r="C271" s="17" t="n"/>
      <c r="D271" s="17" t="n"/>
      <c r="E271" s="19" t="n"/>
      <c r="F271" s="17" t="n"/>
      <c r="G271" s="17" t="n"/>
      <c r="H271" s="17" t="n"/>
      <c r="I271" s="17">
        <f>IF(B271="","",IF(COUNTIF('Deep Read'!$B$5:$B$304,B271)&gt;0,"✓",IF(G271="Include","→ add","")))</f>
        <v/>
      </c>
      <c r="J271" s="17" t="n"/>
    </row>
    <row r="272">
      <c r="A272" s="20">
        <f>IF(B272="","",ROW()-4)</f>
        <v/>
      </c>
      <c r="B272" s="20" t="n"/>
      <c r="C272" s="20" t="n"/>
      <c r="D272" s="20" t="n"/>
      <c r="E272" s="22" t="n"/>
      <c r="F272" s="20" t="n"/>
      <c r="G272" s="20" t="n"/>
      <c r="H272" s="20" t="n"/>
      <c r="I272" s="20">
        <f>IF(B272="","",IF(COUNTIF('Deep Read'!$B$5:$B$304,B272)&gt;0,"✓",IF(G272="Include","→ add","")))</f>
        <v/>
      </c>
      <c r="J272" s="20" t="n"/>
    </row>
    <row r="273">
      <c r="A273" s="17">
        <f>IF(B273="","",ROW()-4)</f>
        <v/>
      </c>
      <c r="B273" s="17" t="n"/>
      <c r="C273" s="17" t="n"/>
      <c r="D273" s="17" t="n"/>
      <c r="E273" s="19" t="n"/>
      <c r="F273" s="17" t="n"/>
      <c r="G273" s="17" t="n"/>
      <c r="H273" s="17" t="n"/>
      <c r="I273" s="17">
        <f>IF(B273="","",IF(COUNTIF('Deep Read'!$B$5:$B$304,B273)&gt;0,"✓",IF(G273="Include","→ add","")))</f>
        <v/>
      </c>
      <c r="J273" s="17" t="n"/>
    </row>
    <row r="274">
      <c r="A274" s="20">
        <f>IF(B274="","",ROW()-4)</f>
        <v/>
      </c>
      <c r="B274" s="20" t="n"/>
      <c r="C274" s="20" t="n"/>
      <c r="D274" s="20" t="n"/>
      <c r="E274" s="22" t="n"/>
      <c r="F274" s="20" t="n"/>
      <c r="G274" s="20" t="n"/>
      <c r="H274" s="20" t="n"/>
      <c r="I274" s="20">
        <f>IF(B274="","",IF(COUNTIF('Deep Read'!$B$5:$B$304,B274)&gt;0,"✓",IF(G274="Include","→ add","")))</f>
        <v/>
      </c>
      <c r="J274" s="20" t="n"/>
    </row>
    <row r="275">
      <c r="A275" s="17">
        <f>IF(B275="","",ROW()-4)</f>
        <v/>
      </c>
      <c r="B275" s="17" t="n"/>
      <c r="C275" s="17" t="n"/>
      <c r="D275" s="17" t="n"/>
      <c r="E275" s="19" t="n"/>
      <c r="F275" s="17" t="n"/>
      <c r="G275" s="17" t="n"/>
      <c r="H275" s="17" t="n"/>
      <c r="I275" s="17">
        <f>IF(B275="","",IF(COUNTIF('Deep Read'!$B$5:$B$304,B275)&gt;0,"✓",IF(G275="Include","→ add","")))</f>
        <v/>
      </c>
      <c r="J275" s="17" t="n"/>
    </row>
    <row r="276">
      <c r="A276" s="20">
        <f>IF(B276="","",ROW()-4)</f>
        <v/>
      </c>
      <c r="B276" s="20" t="n"/>
      <c r="C276" s="20" t="n"/>
      <c r="D276" s="20" t="n"/>
      <c r="E276" s="22" t="n"/>
      <c r="F276" s="20" t="n"/>
      <c r="G276" s="20" t="n"/>
      <c r="H276" s="20" t="n"/>
      <c r="I276" s="20">
        <f>IF(B276="","",IF(COUNTIF('Deep Read'!$B$5:$B$304,B276)&gt;0,"✓",IF(G276="Include","→ add","")))</f>
        <v/>
      </c>
      <c r="J276" s="20" t="n"/>
    </row>
    <row r="277">
      <c r="A277" s="17">
        <f>IF(B277="","",ROW()-4)</f>
        <v/>
      </c>
      <c r="B277" s="17" t="n"/>
      <c r="C277" s="17" t="n"/>
      <c r="D277" s="17" t="n"/>
      <c r="E277" s="19" t="n"/>
      <c r="F277" s="17" t="n"/>
      <c r="G277" s="17" t="n"/>
      <c r="H277" s="17" t="n"/>
      <c r="I277" s="17">
        <f>IF(B277="","",IF(COUNTIF('Deep Read'!$B$5:$B$304,B277)&gt;0,"✓",IF(G277="Include","→ add","")))</f>
        <v/>
      </c>
      <c r="J277" s="17" t="n"/>
    </row>
    <row r="278">
      <c r="A278" s="20">
        <f>IF(B278="","",ROW()-4)</f>
        <v/>
      </c>
      <c r="B278" s="20" t="n"/>
      <c r="C278" s="20" t="n"/>
      <c r="D278" s="20" t="n"/>
      <c r="E278" s="22" t="n"/>
      <c r="F278" s="20" t="n"/>
      <c r="G278" s="20" t="n"/>
      <c r="H278" s="20" t="n"/>
      <c r="I278" s="20">
        <f>IF(B278="","",IF(COUNTIF('Deep Read'!$B$5:$B$304,B278)&gt;0,"✓",IF(G278="Include","→ add","")))</f>
        <v/>
      </c>
      <c r="J278" s="20" t="n"/>
    </row>
    <row r="279">
      <c r="A279" s="17">
        <f>IF(B279="","",ROW()-4)</f>
        <v/>
      </c>
      <c r="B279" s="17" t="n"/>
      <c r="C279" s="17" t="n"/>
      <c r="D279" s="17" t="n"/>
      <c r="E279" s="19" t="n"/>
      <c r="F279" s="17" t="n"/>
      <c r="G279" s="17" t="n"/>
      <c r="H279" s="17" t="n"/>
      <c r="I279" s="17">
        <f>IF(B279="","",IF(COUNTIF('Deep Read'!$B$5:$B$304,B279)&gt;0,"✓",IF(G279="Include","→ add","")))</f>
        <v/>
      </c>
      <c r="J279" s="17" t="n"/>
    </row>
    <row r="280">
      <c r="A280" s="20">
        <f>IF(B280="","",ROW()-4)</f>
        <v/>
      </c>
      <c r="B280" s="20" t="n"/>
      <c r="C280" s="20" t="n"/>
      <c r="D280" s="20" t="n"/>
      <c r="E280" s="22" t="n"/>
      <c r="F280" s="20" t="n"/>
      <c r="G280" s="20" t="n"/>
      <c r="H280" s="20" t="n"/>
      <c r="I280" s="20">
        <f>IF(B280="","",IF(COUNTIF('Deep Read'!$B$5:$B$304,B280)&gt;0,"✓",IF(G280="Include","→ add","")))</f>
        <v/>
      </c>
      <c r="J280" s="20" t="n"/>
    </row>
    <row r="281">
      <c r="A281" s="17">
        <f>IF(B281="","",ROW()-4)</f>
        <v/>
      </c>
      <c r="B281" s="17" t="n"/>
      <c r="C281" s="17" t="n"/>
      <c r="D281" s="17" t="n"/>
      <c r="E281" s="19" t="n"/>
      <c r="F281" s="17" t="n"/>
      <c r="G281" s="17" t="n"/>
      <c r="H281" s="17" t="n"/>
      <c r="I281" s="17">
        <f>IF(B281="","",IF(COUNTIF('Deep Read'!$B$5:$B$304,B281)&gt;0,"✓",IF(G281="Include","→ add","")))</f>
        <v/>
      </c>
      <c r="J281" s="17" t="n"/>
    </row>
    <row r="282">
      <c r="A282" s="20">
        <f>IF(B282="","",ROW()-4)</f>
        <v/>
      </c>
      <c r="B282" s="20" t="n"/>
      <c r="C282" s="20" t="n"/>
      <c r="D282" s="20" t="n"/>
      <c r="E282" s="22" t="n"/>
      <c r="F282" s="20" t="n"/>
      <c r="G282" s="20" t="n"/>
      <c r="H282" s="20" t="n"/>
      <c r="I282" s="20">
        <f>IF(B282="","",IF(COUNTIF('Deep Read'!$B$5:$B$304,B282)&gt;0,"✓",IF(G282="Include","→ add","")))</f>
        <v/>
      </c>
      <c r="J282" s="20" t="n"/>
    </row>
    <row r="283">
      <c r="A283" s="17">
        <f>IF(B283="","",ROW()-4)</f>
        <v/>
      </c>
      <c r="B283" s="17" t="n"/>
      <c r="C283" s="17" t="n"/>
      <c r="D283" s="17" t="n"/>
      <c r="E283" s="19" t="n"/>
      <c r="F283" s="17" t="n"/>
      <c r="G283" s="17" t="n"/>
      <c r="H283" s="17" t="n"/>
      <c r="I283" s="17">
        <f>IF(B283="","",IF(COUNTIF('Deep Read'!$B$5:$B$304,B283)&gt;0,"✓",IF(G283="Include","→ add","")))</f>
        <v/>
      </c>
      <c r="J283" s="17" t="n"/>
    </row>
    <row r="284">
      <c r="A284" s="20">
        <f>IF(B284="","",ROW()-4)</f>
        <v/>
      </c>
      <c r="B284" s="20" t="n"/>
      <c r="C284" s="20" t="n"/>
      <c r="D284" s="20" t="n"/>
      <c r="E284" s="22" t="n"/>
      <c r="F284" s="20" t="n"/>
      <c r="G284" s="20" t="n"/>
      <c r="H284" s="20" t="n"/>
      <c r="I284" s="20">
        <f>IF(B284="","",IF(COUNTIF('Deep Read'!$B$5:$B$304,B284)&gt;0,"✓",IF(G284="Include","→ add","")))</f>
        <v/>
      </c>
      <c r="J284" s="20" t="n"/>
    </row>
    <row r="285">
      <c r="A285" s="17">
        <f>IF(B285="","",ROW()-4)</f>
        <v/>
      </c>
      <c r="B285" s="17" t="n"/>
      <c r="C285" s="17" t="n"/>
      <c r="D285" s="17" t="n"/>
      <c r="E285" s="19" t="n"/>
      <c r="F285" s="17" t="n"/>
      <c r="G285" s="17" t="n"/>
      <c r="H285" s="17" t="n"/>
      <c r="I285" s="17">
        <f>IF(B285="","",IF(COUNTIF('Deep Read'!$B$5:$B$304,B285)&gt;0,"✓",IF(G285="Include","→ add","")))</f>
        <v/>
      </c>
      <c r="J285" s="17" t="n"/>
    </row>
    <row r="286">
      <c r="A286" s="20">
        <f>IF(B286="","",ROW()-4)</f>
        <v/>
      </c>
      <c r="B286" s="20" t="n"/>
      <c r="C286" s="20" t="n"/>
      <c r="D286" s="20" t="n"/>
      <c r="E286" s="22" t="n"/>
      <c r="F286" s="20" t="n"/>
      <c r="G286" s="20" t="n"/>
      <c r="H286" s="20" t="n"/>
      <c r="I286" s="20">
        <f>IF(B286="","",IF(COUNTIF('Deep Read'!$B$5:$B$304,B286)&gt;0,"✓",IF(G286="Include","→ add","")))</f>
        <v/>
      </c>
      <c r="J286" s="20" t="n"/>
    </row>
    <row r="287">
      <c r="A287" s="17">
        <f>IF(B287="","",ROW()-4)</f>
        <v/>
      </c>
      <c r="B287" s="17" t="n"/>
      <c r="C287" s="17" t="n"/>
      <c r="D287" s="17" t="n"/>
      <c r="E287" s="19" t="n"/>
      <c r="F287" s="17" t="n"/>
      <c r="G287" s="17" t="n"/>
      <c r="H287" s="17" t="n"/>
      <c r="I287" s="17">
        <f>IF(B287="","",IF(COUNTIF('Deep Read'!$B$5:$B$304,B287)&gt;0,"✓",IF(G287="Include","→ add","")))</f>
        <v/>
      </c>
      <c r="J287" s="17" t="n"/>
    </row>
    <row r="288">
      <c r="A288" s="20">
        <f>IF(B288="","",ROW()-4)</f>
        <v/>
      </c>
      <c r="B288" s="20" t="n"/>
      <c r="C288" s="20" t="n"/>
      <c r="D288" s="20" t="n"/>
      <c r="E288" s="22" t="n"/>
      <c r="F288" s="20" t="n"/>
      <c r="G288" s="20" t="n"/>
      <c r="H288" s="20" t="n"/>
      <c r="I288" s="20">
        <f>IF(B288="","",IF(COUNTIF('Deep Read'!$B$5:$B$304,B288)&gt;0,"✓",IF(G288="Include","→ add","")))</f>
        <v/>
      </c>
      <c r="J288" s="20" t="n"/>
    </row>
    <row r="289">
      <c r="A289" s="17">
        <f>IF(B289="","",ROW()-4)</f>
        <v/>
      </c>
      <c r="B289" s="17" t="n"/>
      <c r="C289" s="17" t="n"/>
      <c r="D289" s="17" t="n"/>
      <c r="E289" s="19" t="n"/>
      <c r="F289" s="17" t="n"/>
      <c r="G289" s="17" t="n"/>
      <c r="H289" s="17" t="n"/>
      <c r="I289" s="17">
        <f>IF(B289="","",IF(COUNTIF('Deep Read'!$B$5:$B$304,B289)&gt;0,"✓",IF(G289="Include","→ add","")))</f>
        <v/>
      </c>
      <c r="J289" s="17" t="n"/>
    </row>
    <row r="290">
      <c r="A290" s="20">
        <f>IF(B290="","",ROW()-4)</f>
        <v/>
      </c>
      <c r="B290" s="20" t="n"/>
      <c r="C290" s="20" t="n"/>
      <c r="D290" s="20" t="n"/>
      <c r="E290" s="22" t="n"/>
      <c r="F290" s="20" t="n"/>
      <c r="G290" s="20" t="n"/>
      <c r="H290" s="20" t="n"/>
      <c r="I290" s="20">
        <f>IF(B290="","",IF(COUNTIF('Deep Read'!$B$5:$B$304,B290)&gt;0,"✓",IF(G290="Include","→ add","")))</f>
        <v/>
      </c>
      <c r="J290" s="20" t="n"/>
    </row>
    <row r="291">
      <c r="A291" s="17">
        <f>IF(B291="","",ROW()-4)</f>
        <v/>
      </c>
      <c r="B291" s="17" t="n"/>
      <c r="C291" s="17" t="n"/>
      <c r="D291" s="17" t="n"/>
      <c r="E291" s="19" t="n"/>
      <c r="F291" s="17" t="n"/>
      <c r="G291" s="17" t="n"/>
      <c r="H291" s="17" t="n"/>
      <c r="I291" s="17">
        <f>IF(B291="","",IF(COUNTIF('Deep Read'!$B$5:$B$304,B291)&gt;0,"✓",IF(G291="Include","→ add","")))</f>
        <v/>
      </c>
      <c r="J291" s="17" t="n"/>
    </row>
    <row r="292">
      <c r="A292" s="20">
        <f>IF(B292="","",ROW()-4)</f>
        <v/>
      </c>
      <c r="B292" s="20" t="n"/>
      <c r="C292" s="20" t="n"/>
      <c r="D292" s="20" t="n"/>
      <c r="E292" s="22" t="n"/>
      <c r="F292" s="20" t="n"/>
      <c r="G292" s="20" t="n"/>
      <c r="H292" s="20" t="n"/>
      <c r="I292" s="20">
        <f>IF(B292="","",IF(COUNTIF('Deep Read'!$B$5:$B$304,B292)&gt;0,"✓",IF(G292="Include","→ add","")))</f>
        <v/>
      </c>
      <c r="J292" s="20" t="n"/>
    </row>
    <row r="293">
      <c r="A293" s="17">
        <f>IF(B293="","",ROW()-4)</f>
        <v/>
      </c>
      <c r="B293" s="17" t="n"/>
      <c r="C293" s="17" t="n"/>
      <c r="D293" s="17" t="n"/>
      <c r="E293" s="19" t="n"/>
      <c r="F293" s="17" t="n"/>
      <c r="G293" s="17" t="n"/>
      <c r="H293" s="17" t="n"/>
      <c r="I293" s="17">
        <f>IF(B293="","",IF(COUNTIF('Deep Read'!$B$5:$B$304,B293)&gt;0,"✓",IF(G293="Include","→ add","")))</f>
        <v/>
      </c>
      <c r="J293" s="17" t="n"/>
    </row>
    <row r="294">
      <c r="A294" s="20">
        <f>IF(B294="","",ROW()-4)</f>
        <v/>
      </c>
      <c r="B294" s="20" t="n"/>
      <c r="C294" s="20" t="n"/>
      <c r="D294" s="20" t="n"/>
      <c r="E294" s="22" t="n"/>
      <c r="F294" s="20" t="n"/>
      <c r="G294" s="20" t="n"/>
      <c r="H294" s="20" t="n"/>
      <c r="I294" s="20">
        <f>IF(B294="","",IF(COUNTIF('Deep Read'!$B$5:$B$304,B294)&gt;0,"✓",IF(G294="Include","→ add","")))</f>
        <v/>
      </c>
      <c r="J294" s="20" t="n"/>
    </row>
    <row r="295">
      <c r="A295" s="17">
        <f>IF(B295="","",ROW()-4)</f>
        <v/>
      </c>
      <c r="B295" s="17" t="n"/>
      <c r="C295" s="17" t="n"/>
      <c r="D295" s="17" t="n"/>
      <c r="E295" s="19" t="n"/>
      <c r="F295" s="17" t="n"/>
      <c r="G295" s="17" t="n"/>
      <c r="H295" s="17" t="n"/>
      <c r="I295" s="17">
        <f>IF(B295="","",IF(COUNTIF('Deep Read'!$B$5:$B$304,B295)&gt;0,"✓",IF(G295="Include","→ add","")))</f>
        <v/>
      </c>
      <c r="J295" s="17" t="n"/>
    </row>
    <row r="296">
      <c r="A296" s="20">
        <f>IF(B296="","",ROW()-4)</f>
        <v/>
      </c>
      <c r="B296" s="20" t="n"/>
      <c r="C296" s="20" t="n"/>
      <c r="D296" s="20" t="n"/>
      <c r="E296" s="22" t="n"/>
      <c r="F296" s="20" t="n"/>
      <c r="G296" s="20" t="n"/>
      <c r="H296" s="20" t="n"/>
      <c r="I296" s="20">
        <f>IF(B296="","",IF(COUNTIF('Deep Read'!$B$5:$B$304,B296)&gt;0,"✓",IF(G296="Include","→ add","")))</f>
        <v/>
      </c>
      <c r="J296" s="20" t="n"/>
    </row>
    <row r="297">
      <c r="A297" s="17">
        <f>IF(B297="","",ROW()-4)</f>
        <v/>
      </c>
      <c r="B297" s="17" t="n"/>
      <c r="C297" s="17" t="n"/>
      <c r="D297" s="17" t="n"/>
      <c r="E297" s="19" t="n"/>
      <c r="F297" s="17" t="n"/>
      <c r="G297" s="17" t="n"/>
      <c r="H297" s="17" t="n"/>
      <c r="I297" s="17">
        <f>IF(B297="","",IF(COUNTIF('Deep Read'!$B$5:$B$304,B297)&gt;0,"✓",IF(G297="Include","→ add","")))</f>
        <v/>
      </c>
      <c r="J297" s="17" t="n"/>
    </row>
    <row r="298">
      <c r="A298" s="20">
        <f>IF(B298="","",ROW()-4)</f>
        <v/>
      </c>
      <c r="B298" s="20" t="n"/>
      <c r="C298" s="20" t="n"/>
      <c r="D298" s="20" t="n"/>
      <c r="E298" s="22" t="n"/>
      <c r="F298" s="20" t="n"/>
      <c r="G298" s="20" t="n"/>
      <c r="H298" s="20" t="n"/>
      <c r="I298" s="20">
        <f>IF(B298="","",IF(COUNTIF('Deep Read'!$B$5:$B$304,B298)&gt;0,"✓",IF(G298="Include","→ add","")))</f>
        <v/>
      </c>
      <c r="J298" s="20" t="n"/>
    </row>
    <row r="299">
      <c r="A299" s="17">
        <f>IF(B299="","",ROW()-4)</f>
        <v/>
      </c>
      <c r="B299" s="17" t="n"/>
      <c r="C299" s="17" t="n"/>
      <c r="D299" s="17" t="n"/>
      <c r="E299" s="19" t="n"/>
      <c r="F299" s="17" t="n"/>
      <c r="G299" s="17" t="n"/>
      <c r="H299" s="17" t="n"/>
      <c r="I299" s="17">
        <f>IF(B299="","",IF(COUNTIF('Deep Read'!$B$5:$B$304,B299)&gt;0,"✓",IF(G299="Include","→ add","")))</f>
        <v/>
      </c>
      <c r="J299" s="17" t="n"/>
    </row>
    <row r="300">
      <c r="A300" s="20">
        <f>IF(B300="","",ROW()-4)</f>
        <v/>
      </c>
      <c r="B300" s="20" t="n"/>
      <c r="C300" s="20" t="n"/>
      <c r="D300" s="20" t="n"/>
      <c r="E300" s="22" t="n"/>
      <c r="F300" s="20" t="n"/>
      <c r="G300" s="20" t="n"/>
      <c r="H300" s="20" t="n"/>
      <c r="I300" s="20">
        <f>IF(B300="","",IF(COUNTIF('Deep Read'!$B$5:$B$304,B300)&gt;0,"✓",IF(G300="Include","→ add","")))</f>
        <v/>
      </c>
      <c r="J300" s="20" t="n"/>
    </row>
    <row r="301">
      <c r="A301" s="17">
        <f>IF(B301="","",ROW()-4)</f>
        <v/>
      </c>
      <c r="B301" s="17" t="n"/>
      <c r="C301" s="17" t="n"/>
      <c r="D301" s="17" t="n"/>
      <c r="E301" s="19" t="n"/>
      <c r="F301" s="17" t="n"/>
      <c r="G301" s="17" t="n"/>
      <c r="H301" s="17" t="n"/>
      <c r="I301" s="17">
        <f>IF(B301="","",IF(COUNTIF('Deep Read'!$B$5:$B$304,B301)&gt;0,"✓",IF(G301="Include","→ add","")))</f>
        <v/>
      </c>
      <c r="J301" s="17" t="n"/>
    </row>
    <row r="302">
      <c r="A302" s="20">
        <f>IF(B302="","",ROW()-4)</f>
        <v/>
      </c>
      <c r="B302" s="20" t="n"/>
      <c r="C302" s="20" t="n"/>
      <c r="D302" s="20" t="n"/>
      <c r="E302" s="22" t="n"/>
      <c r="F302" s="20" t="n"/>
      <c r="G302" s="20" t="n"/>
      <c r="H302" s="20" t="n"/>
      <c r="I302" s="20">
        <f>IF(B302="","",IF(COUNTIF('Deep Read'!$B$5:$B$304,B302)&gt;0,"✓",IF(G302="Include","→ add","")))</f>
        <v/>
      </c>
      <c r="J302" s="20" t="n"/>
    </row>
    <row r="303">
      <c r="A303" s="17">
        <f>IF(B303="","",ROW()-4)</f>
        <v/>
      </c>
      <c r="B303" s="17" t="n"/>
      <c r="C303" s="17" t="n"/>
      <c r="D303" s="17" t="n"/>
      <c r="E303" s="19" t="n"/>
      <c r="F303" s="17" t="n"/>
      <c r="G303" s="17" t="n"/>
      <c r="H303" s="17" t="n"/>
      <c r="I303" s="17">
        <f>IF(B303="","",IF(COUNTIF('Deep Read'!$B$5:$B$304,B303)&gt;0,"✓",IF(G303="Include","→ add","")))</f>
        <v/>
      </c>
      <c r="J303" s="17" t="n"/>
    </row>
    <row r="304">
      <c r="A304" s="20">
        <f>IF(B304="","",ROW()-4)</f>
        <v/>
      </c>
      <c r="B304" s="20" t="n"/>
      <c r="C304" s="20" t="n"/>
      <c r="D304" s="20" t="n"/>
      <c r="E304" s="22" t="n"/>
      <c r="F304" s="20" t="n"/>
      <c r="G304" s="20" t="n"/>
      <c r="H304" s="20" t="n"/>
      <c r="I304" s="20">
        <f>IF(B304="","",IF(COUNTIF('Deep Read'!$B$5:$B$304,B304)&gt;0,"✓",IF(G304="Include","→ add","")))</f>
        <v/>
      </c>
      <c r="J304" s="20" t="n"/>
    </row>
    <row r="305">
      <c r="A305" s="17">
        <f>IF(B305="","",ROW()-4)</f>
        <v/>
      </c>
      <c r="B305" s="17" t="n"/>
      <c r="C305" s="17" t="n"/>
      <c r="D305" s="17" t="n"/>
      <c r="E305" s="19" t="n"/>
      <c r="F305" s="17" t="n"/>
      <c r="G305" s="17" t="n"/>
      <c r="H305" s="17" t="n"/>
      <c r="I305" s="17">
        <f>IF(B305="","",IF(COUNTIF('Deep Read'!$B$5:$B$304,B305)&gt;0,"✓",IF(G305="Include","→ add","")))</f>
        <v/>
      </c>
      <c r="J305" s="17" t="n"/>
    </row>
    <row r="306">
      <c r="A306" s="20">
        <f>IF(B306="","",ROW()-4)</f>
        <v/>
      </c>
      <c r="B306" s="20" t="n"/>
      <c r="C306" s="20" t="n"/>
      <c r="D306" s="20" t="n"/>
      <c r="E306" s="22" t="n"/>
      <c r="F306" s="20" t="n"/>
      <c r="G306" s="20" t="n"/>
      <c r="H306" s="20" t="n"/>
      <c r="I306" s="20">
        <f>IF(B306="","",IF(COUNTIF('Deep Read'!$B$5:$B$304,B306)&gt;0,"✓",IF(G306="Include","→ add","")))</f>
        <v/>
      </c>
      <c r="J306" s="20" t="n"/>
    </row>
    <row r="307">
      <c r="A307" s="17">
        <f>IF(B307="","",ROW()-4)</f>
        <v/>
      </c>
      <c r="B307" s="17" t="n"/>
      <c r="C307" s="17" t="n"/>
      <c r="D307" s="17" t="n"/>
      <c r="E307" s="19" t="n"/>
      <c r="F307" s="17" t="n"/>
      <c r="G307" s="17" t="n"/>
      <c r="H307" s="17" t="n"/>
      <c r="I307" s="17">
        <f>IF(B307="","",IF(COUNTIF('Deep Read'!$B$5:$B$304,B307)&gt;0,"✓",IF(G307="Include","→ add","")))</f>
        <v/>
      </c>
      <c r="J307" s="17" t="n"/>
    </row>
    <row r="308">
      <c r="A308" s="20">
        <f>IF(B308="","",ROW()-4)</f>
        <v/>
      </c>
      <c r="B308" s="20" t="n"/>
      <c r="C308" s="20" t="n"/>
      <c r="D308" s="20" t="n"/>
      <c r="E308" s="22" t="n"/>
      <c r="F308" s="20" t="n"/>
      <c r="G308" s="20" t="n"/>
      <c r="H308" s="20" t="n"/>
      <c r="I308" s="20">
        <f>IF(B308="","",IF(COUNTIF('Deep Read'!$B$5:$B$304,B308)&gt;0,"✓",IF(G308="Include","→ add","")))</f>
        <v/>
      </c>
      <c r="J308" s="20" t="n"/>
    </row>
    <row r="309">
      <c r="A309" s="17">
        <f>IF(B309="","",ROW()-4)</f>
        <v/>
      </c>
      <c r="B309" s="17" t="n"/>
      <c r="C309" s="17" t="n"/>
      <c r="D309" s="17" t="n"/>
      <c r="E309" s="19" t="n"/>
      <c r="F309" s="17" t="n"/>
      <c r="G309" s="17" t="n"/>
      <c r="H309" s="17" t="n"/>
      <c r="I309" s="17">
        <f>IF(B309="","",IF(COUNTIF('Deep Read'!$B$5:$B$304,B309)&gt;0,"✓",IF(G309="Include","→ add","")))</f>
        <v/>
      </c>
      <c r="J309" s="17" t="n"/>
    </row>
    <row r="310">
      <c r="A310" s="20">
        <f>IF(B310="","",ROW()-4)</f>
        <v/>
      </c>
      <c r="B310" s="20" t="n"/>
      <c r="C310" s="20" t="n"/>
      <c r="D310" s="20" t="n"/>
      <c r="E310" s="22" t="n"/>
      <c r="F310" s="20" t="n"/>
      <c r="G310" s="20" t="n"/>
      <c r="H310" s="20" t="n"/>
      <c r="I310" s="20">
        <f>IF(B310="","",IF(COUNTIF('Deep Read'!$B$5:$B$304,B310)&gt;0,"✓",IF(G310="Include","→ add","")))</f>
        <v/>
      </c>
      <c r="J310" s="20" t="n"/>
    </row>
    <row r="311">
      <c r="A311" s="17">
        <f>IF(B311="","",ROW()-4)</f>
        <v/>
      </c>
      <c r="B311" s="17" t="n"/>
      <c r="C311" s="17" t="n"/>
      <c r="D311" s="17" t="n"/>
      <c r="E311" s="19" t="n"/>
      <c r="F311" s="17" t="n"/>
      <c r="G311" s="17" t="n"/>
      <c r="H311" s="17" t="n"/>
      <c r="I311" s="17">
        <f>IF(B311="","",IF(COUNTIF('Deep Read'!$B$5:$B$304,B311)&gt;0,"✓",IF(G311="Include","→ add","")))</f>
        <v/>
      </c>
      <c r="J311" s="17" t="n"/>
    </row>
    <row r="312">
      <c r="A312" s="20">
        <f>IF(B312="","",ROW()-4)</f>
        <v/>
      </c>
      <c r="B312" s="20" t="n"/>
      <c r="C312" s="20" t="n"/>
      <c r="D312" s="20" t="n"/>
      <c r="E312" s="22" t="n"/>
      <c r="F312" s="20" t="n"/>
      <c r="G312" s="20" t="n"/>
      <c r="H312" s="20" t="n"/>
      <c r="I312" s="20">
        <f>IF(B312="","",IF(COUNTIF('Deep Read'!$B$5:$B$304,B312)&gt;0,"✓",IF(G312="Include","→ add","")))</f>
        <v/>
      </c>
      <c r="J312" s="20" t="n"/>
    </row>
    <row r="313">
      <c r="A313" s="17">
        <f>IF(B313="","",ROW()-4)</f>
        <v/>
      </c>
      <c r="B313" s="17" t="n"/>
      <c r="C313" s="17" t="n"/>
      <c r="D313" s="17" t="n"/>
      <c r="E313" s="19" t="n"/>
      <c r="F313" s="17" t="n"/>
      <c r="G313" s="17" t="n"/>
      <c r="H313" s="17" t="n"/>
      <c r="I313" s="17">
        <f>IF(B313="","",IF(COUNTIF('Deep Read'!$B$5:$B$304,B313)&gt;0,"✓",IF(G313="Include","→ add","")))</f>
        <v/>
      </c>
      <c r="J313" s="17" t="n"/>
    </row>
    <row r="314">
      <c r="A314" s="20">
        <f>IF(B314="","",ROW()-4)</f>
        <v/>
      </c>
      <c r="B314" s="20" t="n"/>
      <c r="C314" s="20" t="n"/>
      <c r="D314" s="20" t="n"/>
      <c r="E314" s="22" t="n"/>
      <c r="F314" s="20" t="n"/>
      <c r="G314" s="20" t="n"/>
      <c r="H314" s="20" t="n"/>
      <c r="I314" s="20">
        <f>IF(B314="","",IF(COUNTIF('Deep Read'!$B$5:$B$304,B314)&gt;0,"✓",IF(G314="Include","→ add","")))</f>
        <v/>
      </c>
      <c r="J314" s="20" t="n"/>
    </row>
    <row r="315">
      <c r="A315" s="17">
        <f>IF(B315="","",ROW()-4)</f>
        <v/>
      </c>
      <c r="B315" s="17" t="n"/>
      <c r="C315" s="17" t="n"/>
      <c r="D315" s="17" t="n"/>
      <c r="E315" s="19" t="n"/>
      <c r="F315" s="17" t="n"/>
      <c r="G315" s="17" t="n"/>
      <c r="H315" s="17" t="n"/>
      <c r="I315" s="17">
        <f>IF(B315="","",IF(COUNTIF('Deep Read'!$B$5:$B$304,B315)&gt;0,"✓",IF(G315="Include","→ add","")))</f>
        <v/>
      </c>
      <c r="J315" s="17" t="n"/>
    </row>
    <row r="316">
      <c r="A316" s="20">
        <f>IF(B316="","",ROW()-4)</f>
        <v/>
      </c>
      <c r="B316" s="20" t="n"/>
      <c r="C316" s="20" t="n"/>
      <c r="D316" s="20" t="n"/>
      <c r="E316" s="22" t="n"/>
      <c r="F316" s="20" t="n"/>
      <c r="G316" s="20" t="n"/>
      <c r="H316" s="20" t="n"/>
      <c r="I316" s="20">
        <f>IF(B316="","",IF(COUNTIF('Deep Read'!$B$5:$B$304,B316)&gt;0,"✓",IF(G316="Include","→ add","")))</f>
        <v/>
      </c>
      <c r="J316" s="20" t="n"/>
    </row>
    <row r="317">
      <c r="A317" s="17">
        <f>IF(B317="","",ROW()-4)</f>
        <v/>
      </c>
      <c r="B317" s="17" t="n"/>
      <c r="C317" s="17" t="n"/>
      <c r="D317" s="17" t="n"/>
      <c r="E317" s="19" t="n"/>
      <c r="F317" s="17" t="n"/>
      <c r="G317" s="17" t="n"/>
      <c r="H317" s="17" t="n"/>
      <c r="I317" s="17">
        <f>IF(B317="","",IF(COUNTIF('Deep Read'!$B$5:$B$304,B317)&gt;0,"✓",IF(G317="Include","→ add","")))</f>
        <v/>
      </c>
      <c r="J317" s="17" t="n"/>
    </row>
    <row r="318">
      <c r="A318" s="20">
        <f>IF(B318="","",ROW()-4)</f>
        <v/>
      </c>
      <c r="B318" s="20" t="n"/>
      <c r="C318" s="20" t="n"/>
      <c r="D318" s="20" t="n"/>
      <c r="E318" s="22" t="n"/>
      <c r="F318" s="20" t="n"/>
      <c r="G318" s="20" t="n"/>
      <c r="H318" s="20" t="n"/>
      <c r="I318" s="20">
        <f>IF(B318="","",IF(COUNTIF('Deep Read'!$B$5:$B$304,B318)&gt;0,"✓",IF(G318="Include","→ add","")))</f>
        <v/>
      </c>
      <c r="J318" s="20" t="n"/>
    </row>
    <row r="319">
      <c r="A319" s="17">
        <f>IF(B319="","",ROW()-4)</f>
        <v/>
      </c>
      <c r="B319" s="17" t="n"/>
      <c r="C319" s="17" t="n"/>
      <c r="D319" s="17" t="n"/>
      <c r="E319" s="19" t="n"/>
      <c r="F319" s="17" t="n"/>
      <c r="G319" s="17" t="n"/>
      <c r="H319" s="17" t="n"/>
      <c r="I319" s="17">
        <f>IF(B319="","",IF(COUNTIF('Deep Read'!$B$5:$B$304,B319)&gt;0,"✓",IF(G319="Include","→ add","")))</f>
        <v/>
      </c>
      <c r="J319" s="17" t="n"/>
    </row>
    <row r="320">
      <c r="A320" s="20">
        <f>IF(B320="","",ROW()-4)</f>
        <v/>
      </c>
      <c r="B320" s="20" t="n"/>
      <c r="C320" s="20" t="n"/>
      <c r="D320" s="20" t="n"/>
      <c r="E320" s="22" t="n"/>
      <c r="F320" s="20" t="n"/>
      <c r="G320" s="20" t="n"/>
      <c r="H320" s="20" t="n"/>
      <c r="I320" s="20">
        <f>IF(B320="","",IF(COUNTIF('Deep Read'!$B$5:$B$304,B320)&gt;0,"✓",IF(G320="Include","→ add","")))</f>
        <v/>
      </c>
      <c r="J320" s="20" t="n"/>
    </row>
    <row r="321">
      <c r="A321" s="17">
        <f>IF(B321="","",ROW()-4)</f>
        <v/>
      </c>
      <c r="B321" s="17" t="n"/>
      <c r="C321" s="17" t="n"/>
      <c r="D321" s="17" t="n"/>
      <c r="E321" s="19" t="n"/>
      <c r="F321" s="17" t="n"/>
      <c r="G321" s="17" t="n"/>
      <c r="H321" s="17" t="n"/>
      <c r="I321" s="17">
        <f>IF(B321="","",IF(COUNTIF('Deep Read'!$B$5:$B$304,B321)&gt;0,"✓",IF(G321="Include","→ add","")))</f>
        <v/>
      </c>
      <c r="J321" s="17" t="n"/>
    </row>
    <row r="322">
      <c r="A322" s="20">
        <f>IF(B322="","",ROW()-4)</f>
        <v/>
      </c>
      <c r="B322" s="20" t="n"/>
      <c r="C322" s="20" t="n"/>
      <c r="D322" s="20" t="n"/>
      <c r="E322" s="22" t="n"/>
      <c r="F322" s="20" t="n"/>
      <c r="G322" s="20" t="n"/>
      <c r="H322" s="20" t="n"/>
      <c r="I322" s="20">
        <f>IF(B322="","",IF(COUNTIF('Deep Read'!$B$5:$B$304,B322)&gt;0,"✓",IF(G322="Include","→ add","")))</f>
        <v/>
      </c>
      <c r="J322" s="20" t="n"/>
    </row>
    <row r="323">
      <c r="A323" s="17">
        <f>IF(B323="","",ROW()-4)</f>
        <v/>
      </c>
      <c r="B323" s="17" t="n"/>
      <c r="C323" s="17" t="n"/>
      <c r="D323" s="17" t="n"/>
      <c r="E323" s="19" t="n"/>
      <c r="F323" s="17" t="n"/>
      <c r="G323" s="17" t="n"/>
      <c r="H323" s="17" t="n"/>
      <c r="I323" s="17">
        <f>IF(B323="","",IF(COUNTIF('Deep Read'!$B$5:$B$304,B323)&gt;0,"✓",IF(G323="Include","→ add","")))</f>
        <v/>
      </c>
      <c r="J323" s="17" t="n"/>
    </row>
    <row r="324">
      <c r="A324" s="20">
        <f>IF(B324="","",ROW()-4)</f>
        <v/>
      </c>
      <c r="B324" s="20" t="n"/>
      <c r="C324" s="20" t="n"/>
      <c r="D324" s="20" t="n"/>
      <c r="E324" s="22" t="n"/>
      <c r="F324" s="20" t="n"/>
      <c r="G324" s="20" t="n"/>
      <c r="H324" s="20" t="n"/>
      <c r="I324" s="20">
        <f>IF(B324="","",IF(COUNTIF('Deep Read'!$B$5:$B$304,B324)&gt;0,"✓",IF(G324="Include","→ add","")))</f>
        <v/>
      </c>
      <c r="J324" s="20" t="n"/>
    </row>
    <row r="325">
      <c r="A325" s="17">
        <f>IF(B325="","",ROW()-4)</f>
        <v/>
      </c>
      <c r="B325" s="17" t="n"/>
      <c r="C325" s="17" t="n"/>
      <c r="D325" s="17" t="n"/>
      <c r="E325" s="19" t="n"/>
      <c r="F325" s="17" t="n"/>
      <c r="G325" s="17" t="n"/>
      <c r="H325" s="17" t="n"/>
      <c r="I325" s="17">
        <f>IF(B325="","",IF(COUNTIF('Deep Read'!$B$5:$B$304,B325)&gt;0,"✓",IF(G325="Include","→ add","")))</f>
        <v/>
      </c>
      <c r="J325" s="17" t="n"/>
    </row>
    <row r="326">
      <c r="A326" s="20">
        <f>IF(B326="","",ROW()-4)</f>
        <v/>
      </c>
      <c r="B326" s="20" t="n"/>
      <c r="C326" s="20" t="n"/>
      <c r="D326" s="20" t="n"/>
      <c r="E326" s="22" t="n"/>
      <c r="F326" s="20" t="n"/>
      <c r="G326" s="20" t="n"/>
      <c r="H326" s="20" t="n"/>
      <c r="I326" s="20">
        <f>IF(B326="","",IF(COUNTIF('Deep Read'!$B$5:$B$304,B326)&gt;0,"✓",IF(G326="Include","→ add","")))</f>
        <v/>
      </c>
      <c r="J326" s="20" t="n"/>
    </row>
    <row r="327">
      <c r="A327" s="17">
        <f>IF(B327="","",ROW()-4)</f>
        <v/>
      </c>
      <c r="B327" s="17" t="n"/>
      <c r="C327" s="17" t="n"/>
      <c r="D327" s="17" t="n"/>
      <c r="E327" s="19" t="n"/>
      <c r="F327" s="17" t="n"/>
      <c r="G327" s="17" t="n"/>
      <c r="H327" s="17" t="n"/>
      <c r="I327" s="17">
        <f>IF(B327="","",IF(COUNTIF('Deep Read'!$B$5:$B$304,B327)&gt;0,"✓",IF(G327="Include","→ add","")))</f>
        <v/>
      </c>
      <c r="J327" s="17" t="n"/>
    </row>
    <row r="328">
      <c r="A328" s="20">
        <f>IF(B328="","",ROW()-4)</f>
        <v/>
      </c>
      <c r="B328" s="20" t="n"/>
      <c r="C328" s="20" t="n"/>
      <c r="D328" s="20" t="n"/>
      <c r="E328" s="22" t="n"/>
      <c r="F328" s="20" t="n"/>
      <c r="G328" s="20" t="n"/>
      <c r="H328" s="20" t="n"/>
      <c r="I328" s="20">
        <f>IF(B328="","",IF(COUNTIF('Deep Read'!$B$5:$B$304,B328)&gt;0,"✓",IF(G328="Include","→ add","")))</f>
        <v/>
      </c>
      <c r="J328" s="20" t="n"/>
    </row>
    <row r="329">
      <c r="A329" s="17">
        <f>IF(B329="","",ROW()-4)</f>
        <v/>
      </c>
      <c r="B329" s="17" t="n"/>
      <c r="C329" s="17" t="n"/>
      <c r="D329" s="17" t="n"/>
      <c r="E329" s="19" t="n"/>
      <c r="F329" s="17" t="n"/>
      <c r="G329" s="17" t="n"/>
      <c r="H329" s="17" t="n"/>
      <c r="I329" s="17">
        <f>IF(B329="","",IF(COUNTIF('Deep Read'!$B$5:$B$304,B329)&gt;0,"✓",IF(G329="Include","→ add","")))</f>
        <v/>
      </c>
      <c r="J329" s="17" t="n"/>
    </row>
    <row r="330">
      <c r="A330" s="20">
        <f>IF(B330="","",ROW()-4)</f>
        <v/>
      </c>
      <c r="B330" s="20" t="n"/>
      <c r="C330" s="20" t="n"/>
      <c r="D330" s="20" t="n"/>
      <c r="E330" s="22" t="n"/>
      <c r="F330" s="20" t="n"/>
      <c r="G330" s="20" t="n"/>
      <c r="H330" s="20" t="n"/>
      <c r="I330" s="20">
        <f>IF(B330="","",IF(COUNTIF('Deep Read'!$B$5:$B$304,B330)&gt;0,"✓",IF(G330="Include","→ add","")))</f>
        <v/>
      </c>
      <c r="J330" s="20" t="n"/>
    </row>
    <row r="331">
      <c r="A331" s="17">
        <f>IF(B331="","",ROW()-4)</f>
        <v/>
      </c>
      <c r="B331" s="17" t="n"/>
      <c r="C331" s="17" t="n"/>
      <c r="D331" s="17" t="n"/>
      <c r="E331" s="19" t="n"/>
      <c r="F331" s="17" t="n"/>
      <c r="G331" s="17" t="n"/>
      <c r="H331" s="17" t="n"/>
      <c r="I331" s="17">
        <f>IF(B331="","",IF(COUNTIF('Deep Read'!$B$5:$B$304,B331)&gt;0,"✓",IF(G331="Include","→ add","")))</f>
        <v/>
      </c>
      <c r="J331" s="17" t="n"/>
    </row>
    <row r="332">
      <c r="A332" s="20">
        <f>IF(B332="","",ROW()-4)</f>
        <v/>
      </c>
      <c r="B332" s="20" t="n"/>
      <c r="C332" s="20" t="n"/>
      <c r="D332" s="20" t="n"/>
      <c r="E332" s="22" t="n"/>
      <c r="F332" s="20" t="n"/>
      <c r="G332" s="20" t="n"/>
      <c r="H332" s="20" t="n"/>
      <c r="I332" s="20">
        <f>IF(B332="","",IF(COUNTIF('Deep Read'!$B$5:$B$304,B332)&gt;0,"✓",IF(G332="Include","→ add","")))</f>
        <v/>
      </c>
      <c r="J332" s="20" t="n"/>
    </row>
    <row r="333">
      <c r="A333" s="17">
        <f>IF(B333="","",ROW()-4)</f>
        <v/>
      </c>
      <c r="B333" s="17" t="n"/>
      <c r="C333" s="17" t="n"/>
      <c r="D333" s="17" t="n"/>
      <c r="E333" s="19" t="n"/>
      <c r="F333" s="17" t="n"/>
      <c r="G333" s="17" t="n"/>
      <c r="H333" s="17" t="n"/>
      <c r="I333" s="17">
        <f>IF(B333="","",IF(COUNTIF('Deep Read'!$B$5:$B$304,B333)&gt;0,"✓",IF(G333="Include","→ add","")))</f>
        <v/>
      </c>
      <c r="J333" s="17" t="n"/>
    </row>
    <row r="334">
      <c r="A334" s="20">
        <f>IF(B334="","",ROW()-4)</f>
        <v/>
      </c>
      <c r="B334" s="20" t="n"/>
      <c r="C334" s="20" t="n"/>
      <c r="D334" s="20" t="n"/>
      <c r="E334" s="22" t="n"/>
      <c r="F334" s="20" t="n"/>
      <c r="G334" s="20" t="n"/>
      <c r="H334" s="20" t="n"/>
      <c r="I334" s="20">
        <f>IF(B334="","",IF(COUNTIF('Deep Read'!$B$5:$B$304,B334)&gt;0,"✓",IF(G334="Include","→ add","")))</f>
        <v/>
      </c>
      <c r="J334" s="20" t="n"/>
    </row>
    <row r="335">
      <c r="A335" s="17">
        <f>IF(B335="","",ROW()-4)</f>
        <v/>
      </c>
      <c r="B335" s="17" t="n"/>
      <c r="C335" s="17" t="n"/>
      <c r="D335" s="17" t="n"/>
      <c r="E335" s="19" t="n"/>
      <c r="F335" s="17" t="n"/>
      <c r="G335" s="17" t="n"/>
      <c r="H335" s="17" t="n"/>
      <c r="I335" s="17">
        <f>IF(B335="","",IF(COUNTIF('Deep Read'!$B$5:$B$304,B335)&gt;0,"✓",IF(G335="Include","→ add","")))</f>
        <v/>
      </c>
      <c r="J335" s="17" t="n"/>
    </row>
    <row r="336">
      <c r="A336" s="20">
        <f>IF(B336="","",ROW()-4)</f>
        <v/>
      </c>
      <c r="B336" s="20" t="n"/>
      <c r="C336" s="20" t="n"/>
      <c r="D336" s="20" t="n"/>
      <c r="E336" s="22" t="n"/>
      <c r="F336" s="20" t="n"/>
      <c r="G336" s="20" t="n"/>
      <c r="H336" s="20" t="n"/>
      <c r="I336" s="20">
        <f>IF(B336="","",IF(COUNTIF('Deep Read'!$B$5:$B$304,B336)&gt;0,"✓",IF(G336="Include","→ add","")))</f>
        <v/>
      </c>
      <c r="J336" s="20" t="n"/>
    </row>
    <row r="337">
      <c r="A337" s="17">
        <f>IF(B337="","",ROW()-4)</f>
        <v/>
      </c>
      <c r="B337" s="17" t="n"/>
      <c r="C337" s="17" t="n"/>
      <c r="D337" s="17" t="n"/>
      <c r="E337" s="19" t="n"/>
      <c r="F337" s="17" t="n"/>
      <c r="G337" s="17" t="n"/>
      <c r="H337" s="17" t="n"/>
      <c r="I337" s="17">
        <f>IF(B337="","",IF(COUNTIF('Deep Read'!$B$5:$B$304,B337)&gt;0,"✓",IF(G337="Include","→ add","")))</f>
        <v/>
      </c>
      <c r="J337" s="17" t="n"/>
    </row>
    <row r="338">
      <c r="A338" s="20">
        <f>IF(B338="","",ROW()-4)</f>
        <v/>
      </c>
      <c r="B338" s="20" t="n"/>
      <c r="C338" s="20" t="n"/>
      <c r="D338" s="20" t="n"/>
      <c r="E338" s="22" t="n"/>
      <c r="F338" s="20" t="n"/>
      <c r="G338" s="20" t="n"/>
      <c r="H338" s="20" t="n"/>
      <c r="I338" s="20">
        <f>IF(B338="","",IF(COUNTIF('Deep Read'!$B$5:$B$304,B338)&gt;0,"✓",IF(G338="Include","→ add","")))</f>
        <v/>
      </c>
      <c r="J338" s="20" t="n"/>
    </row>
    <row r="339">
      <c r="A339" s="17">
        <f>IF(B339="","",ROW()-4)</f>
        <v/>
      </c>
      <c r="B339" s="17" t="n"/>
      <c r="C339" s="17" t="n"/>
      <c r="D339" s="17" t="n"/>
      <c r="E339" s="19" t="n"/>
      <c r="F339" s="17" t="n"/>
      <c r="G339" s="17" t="n"/>
      <c r="H339" s="17" t="n"/>
      <c r="I339" s="17">
        <f>IF(B339="","",IF(COUNTIF('Deep Read'!$B$5:$B$304,B339)&gt;0,"✓",IF(G339="Include","→ add","")))</f>
        <v/>
      </c>
      <c r="J339" s="17" t="n"/>
    </row>
    <row r="340">
      <c r="A340" s="20">
        <f>IF(B340="","",ROW()-4)</f>
        <v/>
      </c>
      <c r="B340" s="20" t="n"/>
      <c r="C340" s="20" t="n"/>
      <c r="D340" s="20" t="n"/>
      <c r="E340" s="22" t="n"/>
      <c r="F340" s="20" t="n"/>
      <c r="G340" s="20" t="n"/>
      <c r="H340" s="20" t="n"/>
      <c r="I340" s="20">
        <f>IF(B340="","",IF(COUNTIF('Deep Read'!$B$5:$B$304,B340)&gt;0,"✓",IF(G340="Include","→ add","")))</f>
        <v/>
      </c>
      <c r="J340" s="20" t="n"/>
    </row>
    <row r="341">
      <c r="A341" s="17">
        <f>IF(B341="","",ROW()-4)</f>
        <v/>
      </c>
      <c r="B341" s="17" t="n"/>
      <c r="C341" s="17" t="n"/>
      <c r="D341" s="17" t="n"/>
      <c r="E341" s="19" t="n"/>
      <c r="F341" s="17" t="n"/>
      <c r="G341" s="17" t="n"/>
      <c r="H341" s="17" t="n"/>
      <c r="I341" s="17">
        <f>IF(B341="","",IF(COUNTIF('Deep Read'!$B$5:$B$304,B341)&gt;0,"✓",IF(G341="Include","→ add","")))</f>
        <v/>
      </c>
      <c r="J341" s="17" t="n"/>
    </row>
    <row r="342">
      <c r="A342" s="20">
        <f>IF(B342="","",ROW()-4)</f>
        <v/>
      </c>
      <c r="B342" s="20" t="n"/>
      <c r="C342" s="20" t="n"/>
      <c r="D342" s="20" t="n"/>
      <c r="E342" s="22" t="n"/>
      <c r="F342" s="20" t="n"/>
      <c r="G342" s="20" t="n"/>
      <c r="H342" s="20" t="n"/>
      <c r="I342" s="20">
        <f>IF(B342="","",IF(COUNTIF('Deep Read'!$B$5:$B$304,B342)&gt;0,"✓",IF(G342="Include","→ add","")))</f>
        <v/>
      </c>
      <c r="J342" s="20" t="n"/>
    </row>
    <row r="343">
      <c r="A343" s="17">
        <f>IF(B343="","",ROW()-4)</f>
        <v/>
      </c>
      <c r="B343" s="17" t="n"/>
      <c r="C343" s="17" t="n"/>
      <c r="D343" s="17" t="n"/>
      <c r="E343" s="19" t="n"/>
      <c r="F343" s="17" t="n"/>
      <c r="G343" s="17" t="n"/>
      <c r="H343" s="17" t="n"/>
      <c r="I343" s="17">
        <f>IF(B343="","",IF(COUNTIF('Deep Read'!$B$5:$B$304,B343)&gt;0,"✓",IF(G343="Include","→ add","")))</f>
        <v/>
      </c>
      <c r="J343" s="17" t="n"/>
    </row>
    <row r="344">
      <c r="A344" s="20">
        <f>IF(B344="","",ROW()-4)</f>
        <v/>
      </c>
      <c r="B344" s="20" t="n"/>
      <c r="C344" s="20" t="n"/>
      <c r="D344" s="20" t="n"/>
      <c r="E344" s="22" t="n"/>
      <c r="F344" s="20" t="n"/>
      <c r="G344" s="20" t="n"/>
      <c r="H344" s="20" t="n"/>
      <c r="I344" s="20">
        <f>IF(B344="","",IF(COUNTIF('Deep Read'!$B$5:$B$304,B344)&gt;0,"✓",IF(G344="Include","→ add","")))</f>
        <v/>
      </c>
      <c r="J344" s="20" t="n"/>
    </row>
    <row r="345">
      <c r="A345" s="17">
        <f>IF(B345="","",ROW()-4)</f>
        <v/>
      </c>
      <c r="B345" s="17" t="n"/>
      <c r="C345" s="17" t="n"/>
      <c r="D345" s="17" t="n"/>
      <c r="E345" s="19" t="n"/>
      <c r="F345" s="17" t="n"/>
      <c r="G345" s="17" t="n"/>
      <c r="H345" s="17" t="n"/>
      <c r="I345" s="17">
        <f>IF(B345="","",IF(COUNTIF('Deep Read'!$B$5:$B$304,B345)&gt;0,"✓",IF(G345="Include","→ add","")))</f>
        <v/>
      </c>
      <c r="J345" s="17" t="n"/>
    </row>
    <row r="346">
      <c r="A346" s="20">
        <f>IF(B346="","",ROW()-4)</f>
        <v/>
      </c>
      <c r="B346" s="20" t="n"/>
      <c r="C346" s="20" t="n"/>
      <c r="D346" s="20" t="n"/>
      <c r="E346" s="22" t="n"/>
      <c r="F346" s="20" t="n"/>
      <c r="G346" s="20" t="n"/>
      <c r="H346" s="20" t="n"/>
      <c r="I346" s="20">
        <f>IF(B346="","",IF(COUNTIF('Deep Read'!$B$5:$B$304,B346)&gt;0,"✓",IF(G346="Include","→ add","")))</f>
        <v/>
      </c>
      <c r="J346" s="20" t="n"/>
    </row>
    <row r="347">
      <c r="A347" s="17">
        <f>IF(B347="","",ROW()-4)</f>
        <v/>
      </c>
      <c r="B347" s="17" t="n"/>
      <c r="C347" s="17" t="n"/>
      <c r="D347" s="17" t="n"/>
      <c r="E347" s="19" t="n"/>
      <c r="F347" s="17" t="n"/>
      <c r="G347" s="17" t="n"/>
      <c r="H347" s="17" t="n"/>
      <c r="I347" s="17">
        <f>IF(B347="","",IF(COUNTIF('Deep Read'!$B$5:$B$304,B347)&gt;0,"✓",IF(G347="Include","→ add","")))</f>
        <v/>
      </c>
      <c r="J347" s="17" t="n"/>
    </row>
    <row r="348">
      <c r="A348" s="20">
        <f>IF(B348="","",ROW()-4)</f>
        <v/>
      </c>
      <c r="B348" s="20" t="n"/>
      <c r="C348" s="20" t="n"/>
      <c r="D348" s="20" t="n"/>
      <c r="E348" s="22" t="n"/>
      <c r="F348" s="20" t="n"/>
      <c r="G348" s="20" t="n"/>
      <c r="H348" s="20" t="n"/>
      <c r="I348" s="20">
        <f>IF(B348="","",IF(COUNTIF('Deep Read'!$B$5:$B$304,B348)&gt;0,"✓",IF(G348="Include","→ add","")))</f>
        <v/>
      </c>
      <c r="J348" s="20" t="n"/>
    </row>
    <row r="349">
      <c r="A349" s="17">
        <f>IF(B349="","",ROW()-4)</f>
        <v/>
      </c>
      <c r="B349" s="17" t="n"/>
      <c r="C349" s="17" t="n"/>
      <c r="D349" s="17" t="n"/>
      <c r="E349" s="19" t="n"/>
      <c r="F349" s="17" t="n"/>
      <c r="G349" s="17" t="n"/>
      <c r="H349" s="17" t="n"/>
      <c r="I349" s="17">
        <f>IF(B349="","",IF(COUNTIF('Deep Read'!$B$5:$B$304,B349)&gt;0,"✓",IF(G349="Include","→ add","")))</f>
        <v/>
      </c>
      <c r="J349" s="17" t="n"/>
    </row>
    <row r="350">
      <c r="A350" s="20">
        <f>IF(B350="","",ROW()-4)</f>
        <v/>
      </c>
      <c r="B350" s="20" t="n"/>
      <c r="C350" s="20" t="n"/>
      <c r="D350" s="20" t="n"/>
      <c r="E350" s="22" t="n"/>
      <c r="F350" s="20" t="n"/>
      <c r="G350" s="20" t="n"/>
      <c r="H350" s="20" t="n"/>
      <c r="I350" s="20">
        <f>IF(B350="","",IF(COUNTIF('Deep Read'!$B$5:$B$304,B350)&gt;0,"✓",IF(G350="Include","→ add","")))</f>
        <v/>
      </c>
      <c r="J350" s="20" t="n"/>
    </row>
    <row r="351">
      <c r="A351" s="17">
        <f>IF(B351="","",ROW()-4)</f>
        <v/>
      </c>
      <c r="B351" s="17" t="n"/>
      <c r="C351" s="17" t="n"/>
      <c r="D351" s="17" t="n"/>
      <c r="E351" s="19" t="n"/>
      <c r="F351" s="17" t="n"/>
      <c r="G351" s="17" t="n"/>
      <c r="H351" s="17" t="n"/>
      <c r="I351" s="17">
        <f>IF(B351="","",IF(COUNTIF('Deep Read'!$B$5:$B$304,B351)&gt;0,"✓",IF(G351="Include","→ add","")))</f>
        <v/>
      </c>
      <c r="J351" s="17" t="n"/>
    </row>
    <row r="352">
      <c r="A352" s="20">
        <f>IF(B352="","",ROW()-4)</f>
        <v/>
      </c>
      <c r="B352" s="20" t="n"/>
      <c r="C352" s="20" t="n"/>
      <c r="D352" s="20" t="n"/>
      <c r="E352" s="22" t="n"/>
      <c r="F352" s="20" t="n"/>
      <c r="G352" s="20" t="n"/>
      <c r="H352" s="20" t="n"/>
      <c r="I352" s="20">
        <f>IF(B352="","",IF(COUNTIF('Deep Read'!$B$5:$B$304,B352)&gt;0,"✓",IF(G352="Include","→ add","")))</f>
        <v/>
      </c>
      <c r="J352" s="20" t="n"/>
    </row>
    <row r="353">
      <c r="A353" s="17">
        <f>IF(B353="","",ROW()-4)</f>
        <v/>
      </c>
      <c r="B353" s="17" t="n"/>
      <c r="C353" s="17" t="n"/>
      <c r="D353" s="17" t="n"/>
      <c r="E353" s="19" t="n"/>
      <c r="F353" s="17" t="n"/>
      <c r="G353" s="17" t="n"/>
      <c r="H353" s="17" t="n"/>
      <c r="I353" s="17">
        <f>IF(B353="","",IF(COUNTIF('Deep Read'!$B$5:$B$304,B353)&gt;0,"✓",IF(G353="Include","→ add","")))</f>
        <v/>
      </c>
      <c r="J353" s="17" t="n"/>
    </row>
    <row r="354">
      <c r="A354" s="20">
        <f>IF(B354="","",ROW()-4)</f>
        <v/>
      </c>
      <c r="B354" s="20" t="n"/>
      <c r="C354" s="20" t="n"/>
      <c r="D354" s="20" t="n"/>
      <c r="E354" s="22" t="n"/>
      <c r="F354" s="20" t="n"/>
      <c r="G354" s="20" t="n"/>
      <c r="H354" s="20" t="n"/>
      <c r="I354" s="20">
        <f>IF(B354="","",IF(COUNTIF('Deep Read'!$B$5:$B$304,B354)&gt;0,"✓",IF(G354="Include","→ add","")))</f>
        <v/>
      </c>
      <c r="J354" s="20" t="n"/>
    </row>
    <row r="355">
      <c r="A355" s="17">
        <f>IF(B355="","",ROW()-4)</f>
        <v/>
      </c>
      <c r="B355" s="17" t="n"/>
      <c r="C355" s="17" t="n"/>
      <c r="D355" s="17" t="n"/>
      <c r="E355" s="19" t="n"/>
      <c r="F355" s="17" t="n"/>
      <c r="G355" s="17" t="n"/>
      <c r="H355" s="17" t="n"/>
      <c r="I355" s="17">
        <f>IF(B355="","",IF(COUNTIF('Deep Read'!$B$5:$B$304,B355)&gt;0,"✓",IF(G355="Include","→ add","")))</f>
        <v/>
      </c>
      <c r="J355" s="17" t="n"/>
    </row>
    <row r="356">
      <c r="A356" s="20">
        <f>IF(B356="","",ROW()-4)</f>
        <v/>
      </c>
      <c r="B356" s="20" t="n"/>
      <c r="C356" s="20" t="n"/>
      <c r="D356" s="20" t="n"/>
      <c r="E356" s="22" t="n"/>
      <c r="F356" s="20" t="n"/>
      <c r="G356" s="20" t="n"/>
      <c r="H356" s="20" t="n"/>
      <c r="I356" s="20">
        <f>IF(B356="","",IF(COUNTIF('Deep Read'!$B$5:$B$304,B356)&gt;0,"✓",IF(G356="Include","→ add","")))</f>
        <v/>
      </c>
      <c r="J356" s="20" t="n"/>
    </row>
    <row r="357">
      <c r="A357" s="17">
        <f>IF(B357="","",ROW()-4)</f>
        <v/>
      </c>
      <c r="B357" s="17" t="n"/>
      <c r="C357" s="17" t="n"/>
      <c r="D357" s="17" t="n"/>
      <c r="E357" s="19" t="n"/>
      <c r="F357" s="17" t="n"/>
      <c r="G357" s="17" t="n"/>
      <c r="H357" s="17" t="n"/>
      <c r="I357" s="17">
        <f>IF(B357="","",IF(COUNTIF('Deep Read'!$B$5:$B$304,B357)&gt;0,"✓",IF(G357="Include","→ add","")))</f>
        <v/>
      </c>
      <c r="J357" s="17" t="n"/>
    </row>
    <row r="358">
      <c r="A358" s="20">
        <f>IF(B358="","",ROW()-4)</f>
        <v/>
      </c>
      <c r="B358" s="20" t="n"/>
      <c r="C358" s="20" t="n"/>
      <c r="D358" s="20" t="n"/>
      <c r="E358" s="22" t="n"/>
      <c r="F358" s="20" t="n"/>
      <c r="G358" s="20" t="n"/>
      <c r="H358" s="20" t="n"/>
      <c r="I358" s="20">
        <f>IF(B358="","",IF(COUNTIF('Deep Read'!$B$5:$B$304,B358)&gt;0,"✓",IF(G358="Include","→ add","")))</f>
        <v/>
      </c>
      <c r="J358" s="20" t="n"/>
    </row>
    <row r="359">
      <c r="A359" s="17">
        <f>IF(B359="","",ROW()-4)</f>
        <v/>
      </c>
      <c r="B359" s="17" t="n"/>
      <c r="C359" s="17" t="n"/>
      <c r="D359" s="17" t="n"/>
      <c r="E359" s="19" t="n"/>
      <c r="F359" s="17" t="n"/>
      <c r="G359" s="17" t="n"/>
      <c r="H359" s="17" t="n"/>
      <c r="I359" s="17">
        <f>IF(B359="","",IF(COUNTIF('Deep Read'!$B$5:$B$304,B359)&gt;0,"✓",IF(G359="Include","→ add","")))</f>
        <v/>
      </c>
      <c r="J359" s="17" t="n"/>
    </row>
    <row r="360">
      <c r="A360" s="20">
        <f>IF(B360="","",ROW()-4)</f>
        <v/>
      </c>
      <c r="B360" s="20" t="n"/>
      <c r="C360" s="20" t="n"/>
      <c r="D360" s="20" t="n"/>
      <c r="E360" s="22" t="n"/>
      <c r="F360" s="20" t="n"/>
      <c r="G360" s="20" t="n"/>
      <c r="H360" s="20" t="n"/>
      <c r="I360" s="20">
        <f>IF(B360="","",IF(COUNTIF('Deep Read'!$B$5:$B$304,B360)&gt;0,"✓",IF(G360="Include","→ add","")))</f>
        <v/>
      </c>
      <c r="J360" s="20" t="n"/>
    </row>
    <row r="361">
      <c r="A361" s="17">
        <f>IF(B361="","",ROW()-4)</f>
        <v/>
      </c>
      <c r="B361" s="17" t="n"/>
      <c r="C361" s="17" t="n"/>
      <c r="D361" s="17" t="n"/>
      <c r="E361" s="19" t="n"/>
      <c r="F361" s="17" t="n"/>
      <c r="G361" s="17" t="n"/>
      <c r="H361" s="17" t="n"/>
      <c r="I361" s="17">
        <f>IF(B361="","",IF(COUNTIF('Deep Read'!$B$5:$B$304,B361)&gt;0,"✓",IF(G361="Include","→ add","")))</f>
        <v/>
      </c>
      <c r="J361" s="17" t="n"/>
    </row>
    <row r="362">
      <c r="A362" s="20">
        <f>IF(B362="","",ROW()-4)</f>
        <v/>
      </c>
      <c r="B362" s="20" t="n"/>
      <c r="C362" s="20" t="n"/>
      <c r="D362" s="20" t="n"/>
      <c r="E362" s="22" t="n"/>
      <c r="F362" s="20" t="n"/>
      <c r="G362" s="20" t="n"/>
      <c r="H362" s="20" t="n"/>
      <c r="I362" s="20">
        <f>IF(B362="","",IF(COUNTIF('Deep Read'!$B$5:$B$304,B362)&gt;0,"✓",IF(G362="Include","→ add","")))</f>
        <v/>
      </c>
      <c r="J362" s="20" t="n"/>
    </row>
    <row r="363">
      <c r="A363" s="17">
        <f>IF(B363="","",ROW()-4)</f>
        <v/>
      </c>
      <c r="B363" s="17" t="n"/>
      <c r="C363" s="17" t="n"/>
      <c r="D363" s="17" t="n"/>
      <c r="E363" s="19" t="n"/>
      <c r="F363" s="17" t="n"/>
      <c r="G363" s="17" t="n"/>
      <c r="H363" s="17" t="n"/>
      <c r="I363" s="17">
        <f>IF(B363="","",IF(COUNTIF('Deep Read'!$B$5:$B$304,B363)&gt;0,"✓",IF(G363="Include","→ add","")))</f>
        <v/>
      </c>
      <c r="J363" s="17" t="n"/>
    </row>
    <row r="364">
      <c r="A364" s="20">
        <f>IF(B364="","",ROW()-4)</f>
        <v/>
      </c>
      <c r="B364" s="20" t="n"/>
      <c r="C364" s="20" t="n"/>
      <c r="D364" s="20" t="n"/>
      <c r="E364" s="22" t="n"/>
      <c r="F364" s="20" t="n"/>
      <c r="G364" s="20" t="n"/>
      <c r="H364" s="20" t="n"/>
      <c r="I364" s="20">
        <f>IF(B364="","",IF(COUNTIF('Deep Read'!$B$5:$B$304,B364)&gt;0,"✓",IF(G364="Include","→ add","")))</f>
        <v/>
      </c>
      <c r="J364" s="20" t="n"/>
    </row>
    <row r="365">
      <c r="A365" s="17">
        <f>IF(B365="","",ROW()-4)</f>
        <v/>
      </c>
      <c r="B365" s="17" t="n"/>
      <c r="C365" s="17" t="n"/>
      <c r="D365" s="17" t="n"/>
      <c r="E365" s="19" t="n"/>
      <c r="F365" s="17" t="n"/>
      <c r="G365" s="17" t="n"/>
      <c r="H365" s="17" t="n"/>
      <c r="I365" s="17">
        <f>IF(B365="","",IF(COUNTIF('Deep Read'!$B$5:$B$304,B365)&gt;0,"✓",IF(G365="Include","→ add","")))</f>
        <v/>
      </c>
      <c r="J365" s="17" t="n"/>
    </row>
    <row r="366">
      <c r="A366" s="20">
        <f>IF(B366="","",ROW()-4)</f>
        <v/>
      </c>
      <c r="B366" s="20" t="n"/>
      <c r="C366" s="20" t="n"/>
      <c r="D366" s="20" t="n"/>
      <c r="E366" s="22" t="n"/>
      <c r="F366" s="20" t="n"/>
      <c r="G366" s="20" t="n"/>
      <c r="H366" s="20" t="n"/>
      <c r="I366" s="20">
        <f>IF(B366="","",IF(COUNTIF('Deep Read'!$B$5:$B$304,B366)&gt;0,"✓",IF(G366="Include","→ add","")))</f>
        <v/>
      </c>
      <c r="J366" s="20" t="n"/>
    </row>
    <row r="367">
      <c r="A367" s="17">
        <f>IF(B367="","",ROW()-4)</f>
        <v/>
      </c>
      <c r="B367" s="17" t="n"/>
      <c r="C367" s="17" t="n"/>
      <c r="D367" s="17" t="n"/>
      <c r="E367" s="19" t="n"/>
      <c r="F367" s="17" t="n"/>
      <c r="G367" s="17" t="n"/>
      <c r="H367" s="17" t="n"/>
      <c r="I367" s="17">
        <f>IF(B367="","",IF(COUNTIF('Deep Read'!$B$5:$B$304,B367)&gt;0,"✓",IF(G367="Include","→ add","")))</f>
        <v/>
      </c>
      <c r="J367" s="17" t="n"/>
    </row>
    <row r="368">
      <c r="A368" s="20">
        <f>IF(B368="","",ROW()-4)</f>
        <v/>
      </c>
      <c r="B368" s="20" t="n"/>
      <c r="C368" s="20" t="n"/>
      <c r="D368" s="20" t="n"/>
      <c r="E368" s="22" t="n"/>
      <c r="F368" s="20" t="n"/>
      <c r="G368" s="20" t="n"/>
      <c r="H368" s="20" t="n"/>
      <c r="I368" s="20">
        <f>IF(B368="","",IF(COUNTIF('Deep Read'!$B$5:$B$304,B368)&gt;0,"✓",IF(G368="Include","→ add","")))</f>
        <v/>
      </c>
      <c r="J368" s="20" t="n"/>
    </row>
    <row r="369">
      <c r="A369" s="17">
        <f>IF(B369="","",ROW()-4)</f>
        <v/>
      </c>
      <c r="B369" s="17" t="n"/>
      <c r="C369" s="17" t="n"/>
      <c r="D369" s="17" t="n"/>
      <c r="E369" s="19" t="n"/>
      <c r="F369" s="17" t="n"/>
      <c r="G369" s="17" t="n"/>
      <c r="H369" s="17" t="n"/>
      <c r="I369" s="17">
        <f>IF(B369="","",IF(COUNTIF('Deep Read'!$B$5:$B$304,B369)&gt;0,"✓",IF(G369="Include","→ add","")))</f>
        <v/>
      </c>
      <c r="J369" s="17" t="n"/>
    </row>
    <row r="370">
      <c r="A370" s="20">
        <f>IF(B370="","",ROW()-4)</f>
        <v/>
      </c>
      <c r="B370" s="20" t="n"/>
      <c r="C370" s="20" t="n"/>
      <c r="D370" s="20" t="n"/>
      <c r="E370" s="22" t="n"/>
      <c r="F370" s="20" t="n"/>
      <c r="G370" s="20" t="n"/>
      <c r="H370" s="20" t="n"/>
      <c r="I370" s="20">
        <f>IF(B370="","",IF(COUNTIF('Deep Read'!$B$5:$B$304,B370)&gt;0,"✓",IF(G370="Include","→ add","")))</f>
        <v/>
      </c>
      <c r="J370" s="20" t="n"/>
    </row>
    <row r="371">
      <c r="A371" s="17">
        <f>IF(B371="","",ROW()-4)</f>
        <v/>
      </c>
      <c r="B371" s="17" t="n"/>
      <c r="C371" s="17" t="n"/>
      <c r="D371" s="17" t="n"/>
      <c r="E371" s="19" t="n"/>
      <c r="F371" s="17" t="n"/>
      <c r="G371" s="17" t="n"/>
      <c r="H371" s="17" t="n"/>
      <c r="I371" s="17">
        <f>IF(B371="","",IF(COUNTIF('Deep Read'!$B$5:$B$304,B371)&gt;0,"✓",IF(G371="Include","→ add","")))</f>
        <v/>
      </c>
      <c r="J371" s="17" t="n"/>
    </row>
    <row r="372">
      <c r="A372" s="20">
        <f>IF(B372="","",ROW()-4)</f>
        <v/>
      </c>
      <c r="B372" s="20" t="n"/>
      <c r="C372" s="20" t="n"/>
      <c r="D372" s="20" t="n"/>
      <c r="E372" s="22" t="n"/>
      <c r="F372" s="20" t="n"/>
      <c r="G372" s="20" t="n"/>
      <c r="H372" s="20" t="n"/>
      <c r="I372" s="20">
        <f>IF(B372="","",IF(COUNTIF('Deep Read'!$B$5:$B$304,B372)&gt;0,"✓",IF(G372="Include","→ add","")))</f>
        <v/>
      </c>
      <c r="J372" s="20" t="n"/>
    </row>
    <row r="373">
      <c r="A373" s="17">
        <f>IF(B373="","",ROW()-4)</f>
        <v/>
      </c>
      <c r="B373" s="17" t="n"/>
      <c r="C373" s="17" t="n"/>
      <c r="D373" s="17" t="n"/>
      <c r="E373" s="19" t="n"/>
      <c r="F373" s="17" t="n"/>
      <c r="G373" s="17" t="n"/>
      <c r="H373" s="17" t="n"/>
      <c r="I373" s="17">
        <f>IF(B373="","",IF(COUNTIF('Deep Read'!$B$5:$B$304,B373)&gt;0,"✓",IF(G373="Include","→ add","")))</f>
        <v/>
      </c>
      <c r="J373" s="17" t="n"/>
    </row>
    <row r="374">
      <c r="A374" s="20">
        <f>IF(B374="","",ROW()-4)</f>
        <v/>
      </c>
      <c r="B374" s="20" t="n"/>
      <c r="C374" s="20" t="n"/>
      <c r="D374" s="20" t="n"/>
      <c r="E374" s="22" t="n"/>
      <c r="F374" s="20" t="n"/>
      <c r="G374" s="20" t="n"/>
      <c r="H374" s="20" t="n"/>
      <c r="I374" s="20">
        <f>IF(B374="","",IF(COUNTIF('Deep Read'!$B$5:$B$304,B374)&gt;0,"✓",IF(G374="Include","→ add","")))</f>
        <v/>
      </c>
      <c r="J374" s="20" t="n"/>
    </row>
    <row r="375">
      <c r="A375" s="17">
        <f>IF(B375="","",ROW()-4)</f>
        <v/>
      </c>
      <c r="B375" s="17" t="n"/>
      <c r="C375" s="17" t="n"/>
      <c r="D375" s="17" t="n"/>
      <c r="E375" s="19" t="n"/>
      <c r="F375" s="17" t="n"/>
      <c r="G375" s="17" t="n"/>
      <c r="H375" s="17" t="n"/>
      <c r="I375" s="17">
        <f>IF(B375="","",IF(COUNTIF('Deep Read'!$B$5:$B$304,B375)&gt;0,"✓",IF(G375="Include","→ add","")))</f>
        <v/>
      </c>
      <c r="J375" s="17" t="n"/>
    </row>
    <row r="376">
      <c r="A376" s="20">
        <f>IF(B376="","",ROW()-4)</f>
        <v/>
      </c>
      <c r="B376" s="20" t="n"/>
      <c r="C376" s="20" t="n"/>
      <c r="D376" s="20" t="n"/>
      <c r="E376" s="22" t="n"/>
      <c r="F376" s="20" t="n"/>
      <c r="G376" s="20" t="n"/>
      <c r="H376" s="20" t="n"/>
      <c r="I376" s="20">
        <f>IF(B376="","",IF(COUNTIF('Deep Read'!$B$5:$B$304,B376)&gt;0,"✓",IF(G376="Include","→ add","")))</f>
        <v/>
      </c>
      <c r="J376" s="20" t="n"/>
    </row>
    <row r="377">
      <c r="A377" s="17">
        <f>IF(B377="","",ROW()-4)</f>
        <v/>
      </c>
      <c r="B377" s="17" t="n"/>
      <c r="C377" s="17" t="n"/>
      <c r="D377" s="17" t="n"/>
      <c r="E377" s="19" t="n"/>
      <c r="F377" s="17" t="n"/>
      <c r="G377" s="17" t="n"/>
      <c r="H377" s="17" t="n"/>
      <c r="I377" s="17">
        <f>IF(B377="","",IF(COUNTIF('Deep Read'!$B$5:$B$304,B377)&gt;0,"✓",IF(G377="Include","→ add","")))</f>
        <v/>
      </c>
      <c r="J377" s="17" t="n"/>
    </row>
    <row r="378">
      <c r="A378" s="20">
        <f>IF(B378="","",ROW()-4)</f>
        <v/>
      </c>
      <c r="B378" s="20" t="n"/>
      <c r="C378" s="20" t="n"/>
      <c r="D378" s="20" t="n"/>
      <c r="E378" s="22" t="n"/>
      <c r="F378" s="20" t="n"/>
      <c r="G378" s="20" t="n"/>
      <c r="H378" s="20" t="n"/>
      <c r="I378" s="20">
        <f>IF(B378="","",IF(COUNTIF('Deep Read'!$B$5:$B$304,B378)&gt;0,"✓",IF(G378="Include","→ add","")))</f>
        <v/>
      </c>
      <c r="J378" s="20" t="n"/>
    </row>
    <row r="379">
      <c r="A379" s="17">
        <f>IF(B379="","",ROW()-4)</f>
        <v/>
      </c>
      <c r="B379" s="17" t="n"/>
      <c r="C379" s="17" t="n"/>
      <c r="D379" s="17" t="n"/>
      <c r="E379" s="19" t="n"/>
      <c r="F379" s="17" t="n"/>
      <c r="G379" s="17" t="n"/>
      <c r="H379" s="17" t="n"/>
      <c r="I379" s="17">
        <f>IF(B379="","",IF(COUNTIF('Deep Read'!$B$5:$B$304,B379)&gt;0,"✓",IF(G379="Include","→ add","")))</f>
        <v/>
      </c>
      <c r="J379" s="17" t="n"/>
    </row>
    <row r="380">
      <c r="A380" s="20">
        <f>IF(B380="","",ROW()-4)</f>
        <v/>
      </c>
      <c r="B380" s="20" t="n"/>
      <c r="C380" s="20" t="n"/>
      <c r="D380" s="20" t="n"/>
      <c r="E380" s="22" t="n"/>
      <c r="F380" s="20" t="n"/>
      <c r="G380" s="20" t="n"/>
      <c r="H380" s="20" t="n"/>
      <c r="I380" s="20">
        <f>IF(B380="","",IF(COUNTIF('Deep Read'!$B$5:$B$304,B380)&gt;0,"✓",IF(G380="Include","→ add","")))</f>
        <v/>
      </c>
      <c r="J380" s="20" t="n"/>
    </row>
    <row r="381">
      <c r="A381" s="17">
        <f>IF(B381="","",ROW()-4)</f>
        <v/>
      </c>
      <c r="B381" s="17" t="n"/>
      <c r="C381" s="17" t="n"/>
      <c r="D381" s="17" t="n"/>
      <c r="E381" s="19" t="n"/>
      <c r="F381" s="17" t="n"/>
      <c r="G381" s="17" t="n"/>
      <c r="H381" s="17" t="n"/>
      <c r="I381" s="17">
        <f>IF(B381="","",IF(COUNTIF('Deep Read'!$B$5:$B$304,B381)&gt;0,"✓",IF(G381="Include","→ add","")))</f>
        <v/>
      </c>
      <c r="J381" s="17" t="n"/>
    </row>
    <row r="382">
      <c r="A382" s="20">
        <f>IF(B382="","",ROW()-4)</f>
        <v/>
      </c>
      <c r="B382" s="20" t="n"/>
      <c r="C382" s="20" t="n"/>
      <c r="D382" s="20" t="n"/>
      <c r="E382" s="22" t="n"/>
      <c r="F382" s="20" t="n"/>
      <c r="G382" s="20" t="n"/>
      <c r="H382" s="20" t="n"/>
      <c r="I382" s="20">
        <f>IF(B382="","",IF(COUNTIF('Deep Read'!$B$5:$B$304,B382)&gt;0,"✓",IF(G382="Include","→ add","")))</f>
        <v/>
      </c>
      <c r="J382" s="20" t="n"/>
    </row>
    <row r="383">
      <c r="A383" s="17">
        <f>IF(B383="","",ROW()-4)</f>
        <v/>
      </c>
      <c r="B383" s="17" t="n"/>
      <c r="C383" s="17" t="n"/>
      <c r="D383" s="17" t="n"/>
      <c r="E383" s="19" t="n"/>
      <c r="F383" s="17" t="n"/>
      <c r="G383" s="17" t="n"/>
      <c r="H383" s="17" t="n"/>
      <c r="I383" s="17">
        <f>IF(B383="","",IF(COUNTIF('Deep Read'!$B$5:$B$304,B383)&gt;0,"✓",IF(G383="Include","→ add","")))</f>
        <v/>
      </c>
      <c r="J383" s="17" t="n"/>
    </row>
    <row r="384">
      <c r="A384" s="20">
        <f>IF(B384="","",ROW()-4)</f>
        <v/>
      </c>
      <c r="B384" s="20" t="n"/>
      <c r="C384" s="20" t="n"/>
      <c r="D384" s="20" t="n"/>
      <c r="E384" s="22" t="n"/>
      <c r="F384" s="20" t="n"/>
      <c r="G384" s="20" t="n"/>
      <c r="H384" s="20" t="n"/>
      <c r="I384" s="20">
        <f>IF(B384="","",IF(COUNTIF('Deep Read'!$B$5:$B$304,B384)&gt;0,"✓",IF(G384="Include","→ add","")))</f>
        <v/>
      </c>
      <c r="J384" s="20" t="n"/>
    </row>
    <row r="385">
      <c r="A385" s="17">
        <f>IF(B385="","",ROW()-4)</f>
        <v/>
      </c>
      <c r="B385" s="17" t="n"/>
      <c r="C385" s="17" t="n"/>
      <c r="D385" s="17" t="n"/>
      <c r="E385" s="19" t="n"/>
      <c r="F385" s="17" t="n"/>
      <c r="G385" s="17" t="n"/>
      <c r="H385" s="17" t="n"/>
      <c r="I385" s="17">
        <f>IF(B385="","",IF(COUNTIF('Deep Read'!$B$5:$B$304,B385)&gt;0,"✓",IF(G385="Include","→ add","")))</f>
        <v/>
      </c>
      <c r="J385" s="17" t="n"/>
    </row>
    <row r="386">
      <c r="A386" s="20">
        <f>IF(B386="","",ROW()-4)</f>
        <v/>
      </c>
      <c r="B386" s="20" t="n"/>
      <c r="C386" s="20" t="n"/>
      <c r="D386" s="20" t="n"/>
      <c r="E386" s="22" t="n"/>
      <c r="F386" s="20" t="n"/>
      <c r="G386" s="20" t="n"/>
      <c r="H386" s="20" t="n"/>
      <c r="I386" s="20">
        <f>IF(B386="","",IF(COUNTIF('Deep Read'!$B$5:$B$304,B386)&gt;0,"✓",IF(G386="Include","→ add","")))</f>
        <v/>
      </c>
      <c r="J386" s="20" t="n"/>
    </row>
    <row r="387">
      <c r="A387" s="17">
        <f>IF(B387="","",ROW()-4)</f>
        <v/>
      </c>
      <c r="B387" s="17" t="n"/>
      <c r="C387" s="17" t="n"/>
      <c r="D387" s="17" t="n"/>
      <c r="E387" s="19" t="n"/>
      <c r="F387" s="17" t="n"/>
      <c r="G387" s="17" t="n"/>
      <c r="H387" s="17" t="n"/>
      <c r="I387" s="17">
        <f>IF(B387="","",IF(COUNTIF('Deep Read'!$B$5:$B$304,B387)&gt;0,"✓",IF(G387="Include","→ add","")))</f>
        <v/>
      </c>
      <c r="J387" s="17" t="n"/>
    </row>
    <row r="388">
      <c r="A388" s="20">
        <f>IF(B388="","",ROW()-4)</f>
        <v/>
      </c>
      <c r="B388" s="20" t="n"/>
      <c r="C388" s="20" t="n"/>
      <c r="D388" s="20" t="n"/>
      <c r="E388" s="22" t="n"/>
      <c r="F388" s="20" t="n"/>
      <c r="G388" s="20" t="n"/>
      <c r="H388" s="20" t="n"/>
      <c r="I388" s="20">
        <f>IF(B388="","",IF(COUNTIF('Deep Read'!$B$5:$B$304,B388)&gt;0,"✓",IF(G388="Include","→ add","")))</f>
        <v/>
      </c>
      <c r="J388" s="20" t="n"/>
    </row>
    <row r="389">
      <c r="A389" s="17">
        <f>IF(B389="","",ROW()-4)</f>
        <v/>
      </c>
      <c r="B389" s="17" t="n"/>
      <c r="C389" s="17" t="n"/>
      <c r="D389" s="17" t="n"/>
      <c r="E389" s="19" t="n"/>
      <c r="F389" s="17" t="n"/>
      <c r="G389" s="17" t="n"/>
      <c r="H389" s="17" t="n"/>
      <c r="I389" s="17">
        <f>IF(B389="","",IF(COUNTIF('Deep Read'!$B$5:$B$304,B389)&gt;0,"✓",IF(G389="Include","→ add","")))</f>
        <v/>
      </c>
      <c r="J389" s="17" t="n"/>
    </row>
    <row r="390">
      <c r="A390" s="20">
        <f>IF(B390="","",ROW()-4)</f>
        <v/>
      </c>
      <c r="B390" s="20" t="n"/>
      <c r="C390" s="20" t="n"/>
      <c r="D390" s="20" t="n"/>
      <c r="E390" s="22" t="n"/>
      <c r="F390" s="20" t="n"/>
      <c r="G390" s="20" t="n"/>
      <c r="H390" s="20" t="n"/>
      <c r="I390" s="20">
        <f>IF(B390="","",IF(COUNTIF('Deep Read'!$B$5:$B$304,B390)&gt;0,"✓",IF(G390="Include","→ add","")))</f>
        <v/>
      </c>
      <c r="J390" s="20" t="n"/>
    </row>
    <row r="391">
      <c r="A391" s="17">
        <f>IF(B391="","",ROW()-4)</f>
        <v/>
      </c>
      <c r="B391" s="17" t="n"/>
      <c r="C391" s="17" t="n"/>
      <c r="D391" s="17" t="n"/>
      <c r="E391" s="19" t="n"/>
      <c r="F391" s="17" t="n"/>
      <c r="G391" s="17" t="n"/>
      <c r="H391" s="17" t="n"/>
      <c r="I391" s="17">
        <f>IF(B391="","",IF(COUNTIF('Deep Read'!$B$5:$B$304,B391)&gt;0,"✓",IF(G391="Include","→ add","")))</f>
        <v/>
      </c>
      <c r="J391" s="17" t="n"/>
    </row>
    <row r="392">
      <c r="A392" s="20">
        <f>IF(B392="","",ROW()-4)</f>
        <v/>
      </c>
      <c r="B392" s="20" t="n"/>
      <c r="C392" s="20" t="n"/>
      <c r="D392" s="20" t="n"/>
      <c r="E392" s="22" t="n"/>
      <c r="F392" s="20" t="n"/>
      <c r="G392" s="20" t="n"/>
      <c r="H392" s="20" t="n"/>
      <c r="I392" s="20">
        <f>IF(B392="","",IF(COUNTIF('Deep Read'!$B$5:$B$304,B392)&gt;0,"✓",IF(G392="Include","→ add","")))</f>
        <v/>
      </c>
      <c r="J392" s="20" t="n"/>
    </row>
    <row r="393">
      <c r="A393" s="17">
        <f>IF(B393="","",ROW()-4)</f>
        <v/>
      </c>
      <c r="B393" s="17" t="n"/>
      <c r="C393" s="17" t="n"/>
      <c r="D393" s="17" t="n"/>
      <c r="E393" s="19" t="n"/>
      <c r="F393" s="17" t="n"/>
      <c r="G393" s="17" t="n"/>
      <c r="H393" s="17" t="n"/>
      <c r="I393" s="17">
        <f>IF(B393="","",IF(COUNTIF('Deep Read'!$B$5:$B$304,B393)&gt;0,"✓",IF(G393="Include","→ add","")))</f>
        <v/>
      </c>
      <c r="J393" s="17" t="n"/>
    </row>
    <row r="394">
      <c r="A394" s="20">
        <f>IF(B394="","",ROW()-4)</f>
        <v/>
      </c>
      <c r="B394" s="20" t="n"/>
      <c r="C394" s="20" t="n"/>
      <c r="D394" s="20" t="n"/>
      <c r="E394" s="22" t="n"/>
      <c r="F394" s="20" t="n"/>
      <c r="G394" s="20" t="n"/>
      <c r="H394" s="20" t="n"/>
      <c r="I394" s="20">
        <f>IF(B394="","",IF(COUNTIF('Deep Read'!$B$5:$B$304,B394)&gt;0,"✓",IF(G394="Include","→ add","")))</f>
        <v/>
      </c>
      <c r="J394" s="20" t="n"/>
    </row>
    <row r="395">
      <c r="A395" s="17">
        <f>IF(B395="","",ROW()-4)</f>
        <v/>
      </c>
      <c r="B395" s="17" t="n"/>
      <c r="C395" s="17" t="n"/>
      <c r="D395" s="17" t="n"/>
      <c r="E395" s="19" t="n"/>
      <c r="F395" s="17" t="n"/>
      <c r="G395" s="17" t="n"/>
      <c r="H395" s="17" t="n"/>
      <c r="I395" s="17">
        <f>IF(B395="","",IF(COUNTIF('Deep Read'!$B$5:$B$304,B395)&gt;0,"✓",IF(G395="Include","→ add","")))</f>
        <v/>
      </c>
      <c r="J395" s="17" t="n"/>
    </row>
    <row r="396">
      <c r="A396" s="20">
        <f>IF(B396="","",ROW()-4)</f>
        <v/>
      </c>
      <c r="B396" s="20" t="n"/>
      <c r="C396" s="20" t="n"/>
      <c r="D396" s="20" t="n"/>
      <c r="E396" s="22" t="n"/>
      <c r="F396" s="20" t="n"/>
      <c r="G396" s="20" t="n"/>
      <c r="H396" s="20" t="n"/>
      <c r="I396" s="20">
        <f>IF(B396="","",IF(COUNTIF('Deep Read'!$B$5:$B$304,B396)&gt;0,"✓",IF(G396="Include","→ add","")))</f>
        <v/>
      </c>
      <c r="J396" s="20" t="n"/>
    </row>
    <row r="397">
      <c r="A397" s="17">
        <f>IF(B397="","",ROW()-4)</f>
        <v/>
      </c>
      <c r="B397" s="17" t="n"/>
      <c r="C397" s="17" t="n"/>
      <c r="D397" s="17" t="n"/>
      <c r="E397" s="19" t="n"/>
      <c r="F397" s="17" t="n"/>
      <c r="G397" s="17" t="n"/>
      <c r="H397" s="17" t="n"/>
      <c r="I397" s="17">
        <f>IF(B397="","",IF(COUNTIF('Deep Read'!$B$5:$B$304,B397)&gt;0,"✓",IF(G397="Include","→ add","")))</f>
        <v/>
      </c>
      <c r="J397" s="17" t="n"/>
    </row>
    <row r="398">
      <c r="A398" s="20">
        <f>IF(B398="","",ROW()-4)</f>
        <v/>
      </c>
      <c r="B398" s="20" t="n"/>
      <c r="C398" s="20" t="n"/>
      <c r="D398" s="20" t="n"/>
      <c r="E398" s="22" t="n"/>
      <c r="F398" s="20" t="n"/>
      <c r="G398" s="20" t="n"/>
      <c r="H398" s="20" t="n"/>
      <c r="I398" s="20">
        <f>IF(B398="","",IF(COUNTIF('Deep Read'!$B$5:$B$304,B398)&gt;0,"✓",IF(G398="Include","→ add","")))</f>
        <v/>
      </c>
      <c r="J398" s="20" t="n"/>
    </row>
    <row r="399">
      <c r="A399" s="17">
        <f>IF(B399="","",ROW()-4)</f>
        <v/>
      </c>
      <c r="B399" s="17" t="n"/>
      <c r="C399" s="17" t="n"/>
      <c r="D399" s="17" t="n"/>
      <c r="E399" s="19" t="n"/>
      <c r="F399" s="17" t="n"/>
      <c r="G399" s="17" t="n"/>
      <c r="H399" s="17" t="n"/>
      <c r="I399" s="17">
        <f>IF(B399="","",IF(COUNTIF('Deep Read'!$B$5:$B$304,B399)&gt;0,"✓",IF(G399="Include","→ add","")))</f>
        <v/>
      </c>
      <c r="J399" s="17" t="n"/>
    </row>
    <row r="400">
      <c r="A400" s="20">
        <f>IF(B400="","",ROW()-4)</f>
        <v/>
      </c>
      <c r="B400" s="20" t="n"/>
      <c r="C400" s="20" t="n"/>
      <c r="D400" s="20" t="n"/>
      <c r="E400" s="22" t="n"/>
      <c r="F400" s="20" t="n"/>
      <c r="G400" s="20" t="n"/>
      <c r="H400" s="20" t="n"/>
      <c r="I400" s="20">
        <f>IF(B400="","",IF(COUNTIF('Deep Read'!$B$5:$B$304,B400)&gt;0,"✓",IF(G400="Include","→ add","")))</f>
        <v/>
      </c>
      <c r="J400" s="20" t="n"/>
    </row>
    <row r="401">
      <c r="A401" s="17">
        <f>IF(B401="","",ROW()-4)</f>
        <v/>
      </c>
      <c r="B401" s="17" t="n"/>
      <c r="C401" s="17" t="n"/>
      <c r="D401" s="17" t="n"/>
      <c r="E401" s="19" t="n"/>
      <c r="F401" s="17" t="n"/>
      <c r="G401" s="17" t="n"/>
      <c r="H401" s="17" t="n"/>
      <c r="I401" s="17">
        <f>IF(B401="","",IF(COUNTIF('Deep Read'!$B$5:$B$304,B401)&gt;0,"✓",IF(G401="Include","→ add","")))</f>
        <v/>
      </c>
      <c r="J401" s="17" t="n"/>
    </row>
    <row r="402">
      <c r="A402" s="20">
        <f>IF(B402="","",ROW()-4)</f>
        <v/>
      </c>
      <c r="B402" s="20" t="n"/>
      <c r="C402" s="20" t="n"/>
      <c r="D402" s="20" t="n"/>
      <c r="E402" s="22" t="n"/>
      <c r="F402" s="20" t="n"/>
      <c r="G402" s="20" t="n"/>
      <c r="H402" s="20" t="n"/>
      <c r="I402" s="20">
        <f>IF(B402="","",IF(COUNTIF('Deep Read'!$B$5:$B$304,B402)&gt;0,"✓",IF(G402="Include","→ add","")))</f>
        <v/>
      </c>
      <c r="J402" s="20" t="n"/>
    </row>
    <row r="403">
      <c r="A403" s="17">
        <f>IF(B403="","",ROW()-4)</f>
        <v/>
      </c>
      <c r="B403" s="17" t="n"/>
      <c r="C403" s="17" t="n"/>
      <c r="D403" s="17" t="n"/>
      <c r="E403" s="19" t="n"/>
      <c r="F403" s="17" t="n"/>
      <c r="G403" s="17" t="n"/>
      <c r="H403" s="17" t="n"/>
      <c r="I403" s="17">
        <f>IF(B403="","",IF(COUNTIF('Deep Read'!$B$5:$B$304,B403)&gt;0,"✓",IF(G403="Include","→ add","")))</f>
        <v/>
      </c>
      <c r="J403" s="17" t="n"/>
    </row>
    <row r="404">
      <c r="A404" s="20">
        <f>IF(B404="","",ROW()-4)</f>
        <v/>
      </c>
      <c r="B404" s="20" t="n"/>
      <c r="C404" s="20" t="n"/>
      <c r="D404" s="20" t="n"/>
      <c r="E404" s="22" t="n"/>
      <c r="F404" s="20" t="n"/>
      <c r="G404" s="20" t="n"/>
      <c r="H404" s="20" t="n"/>
      <c r="I404" s="20">
        <f>IF(B404="","",IF(COUNTIF('Deep Read'!$B$5:$B$304,B404)&gt;0,"✓",IF(G404="Include","→ add","")))</f>
        <v/>
      </c>
      <c r="J404" s="20" t="n"/>
    </row>
    <row r="405">
      <c r="A405" s="17">
        <f>IF(B405="","",ROW()-4)</f>
        <v/>
      </c>
      <c r="B405" s="17" t="n"/>
      <c r="C405" s="17" t="n"/>
      <c r="D405" s="17" t="n"/>
      <c r="E405" s="19" t="n"/>
      <c r="F405" s="17" t="n"/>
      <c r="G405" s="17" t="n"/>
      <c r="H405" s="17" t="n"/>
      <c r="I405" s="17">
        <f>IF(B405="","",IF(COUNTIF('Deep Read'!$B$5:$B$304,B405)&gt;0,"✓",IF(G405="Include","→ add","")))</f>
        <v/>
      </c>
      <c r="J405" s="17" t="n"/>
    </row>
    <row r="406">
      <c r="A406" s="20">
        <f>IF(B406="","",ROW()-4)</f>
        <v/>
      </c>
      <c r="B406" s="20" t="n"/>
      <c r="C406" s="20" t="n"/>
      <c r="D406" s="20" t="n"/>
      <c r="E406" s="22" t="n"/>
      <c r="F406" s="20" t="n"/>
      <c r="G406" s="20" t="n"/>
      <c r="H406" s="20" t="n"/>
      <c r="I406" s="20">
        <f>IF(B406="","",IF(COUNTIF('Deep Read'!$B$5:$B$304,B406)&gt;0,"✓",IF(G406="Include","→ add","")))</f>
        <v/>
      </c>
      <c r="J406" s="20" t="n"/>
    </row>
    <row r="407">
      <c r="A407" s="17">
        <f>IF(B407="","",ROW()-4)</f>
        <v/>
      </c>
      <c r="B407" s="17" t="n"/>
      <c r="C407" s="17" t="n"/>
      <c r="D407" s="17" t="n"/>
      <c r="E407" s="19" t="n"/>
      <c r="F407" s="17" t="n"/>
      <c r="G407" s="17" t="n"/>
      <c r="H407" s="17" t="n"/>
      <c r="I407" s="17">
        <f>IF(B407="","",IF(COUNTIF('Deep Read'!$B$5:$B$304,B407)&gt;0,"✓",IF(G407="Include","→ add","")))</f>
        <v/>
      </c>
      <c r="J407" s="17" t="n"/>
    </row>
    <row r="408">
      <c r="A408" s="20">
        <f>IF(B408="","",ROW()-4)</f>
        <v/>
      </c>
      <c r="B408" s="20" t="n"/>
      <c r="C408" s="20" t="n"/>
      <c r="D408" s="20" t="n"/>
      <c r="E408" s="22" t="n"/>
      <c r="F408" s="20" t="n"/>
      <c r="G408" s="20" t="n"/>
      <c r="H408" s="20" t="n"/>
      <c r="I408" s="20">
        <f>IF(B408="","",IF(COUNTIF('Deep Read'!$B$5:$B$304,B408)&gt;0,"✓",IF(G408="Include","→ add","")))</f>
        <v/>
      </c>
      <c r="J408" s="20" t="n"/>
    </row>
    <row r="409">
      <c r="A409" s="17">
        <f>IF(B409="","",ROW()-4)</f>
        <v/>
      </c>
      <c r="B409" s="17" t="n"/>
      <c r="C409" s="17" t="n"/>
      <c r="D409" s="17" t="n"/>
      <c r="E409" s="19" t="n"/>
      <c r="F409" s="17" t="n"/>
      <c r="G409" s="17" t="n"/>
      <c r="H409" s="17" t="n"/>
      <c r="I409" s="17">
        <f>IF(B409="","",IF(COUNTIF('Deep Read'!$B$5:$B$304,B409)&gt;0,"✓",IF(G409="Include","→ add","")))</f>
        <v/>
      </c>
      <c r="J409" s="17" t="n"/>
    </row>
    <row r="410">
      <c r="A410" s="20">
        <f>IF(B410="","",ROW()-4)</f>
        <v/>
      </c>
      <c r="B410" s="20" t="n"/>
      <c r="C410" s="20" t="n"/>
      <c r="D410" s="20" t="n"/>
      <c r="E410" s="22" t="n"/>
      <c r="F410" s="20" t="n"/>
      <c r="G410" s="20" t="n"/>
      <c r="H410" s="20" t="n"/>
      <c r="I410" s="20">
        <f>IF(B410="","",IF(COUNTIF('Deep Read'!$B$5:$B$304,B410)&gt;0,"✓",IF(G410="Include","→ add","")))</f>
        <v/>
      </c>
      <c r="J410" s="20" t="n"/>
    </row>
    <row r="411">
      <c r="A411" s="17">
        <f>IF(B411="","",ROW()-4)</f>
        <v/>
      </c>
      <c r="B411" s="17" t="n"/>
      <c r="C411" s="17" t="n"/>
      <c r="D411" s="17" t="n"/>
      <c r="E411" s="19" t="n"/>
      <c r="F411" s="17" t="n"/>
      <c r="G411" s="17" t="n"/>
      <c r="H411" s="17" t="n"/>
      <c r="I411" s="17">
        <f>IF(B411="","",IF(COUNTIF('Deep Read'!$B$5:$B$304,B411)&gt;0,"✓",IF(G411="Include","→ add","")))</f>
        <v/>
      </c>
      <c r="J411" s="17" t="n"/>
    </row>
    <row r="412">
      <c r="A412" s="20">
        <f>IF(B412="","",ROW()-4)</f>
        <v/>
      </c>
      <c r="B412" s="20" t="n"/>
      <c r="C412" s="20" t="n"/>
      <c r="D412" s="20" t="n"/>
      <c r="E412" s="22" t="n"/>
      <c r="F412" s="20" t="n"/>
      <c r="G412" s="20" t="n"/>
      <c r="H412" s="20" t="n"/>
      <c r="I412" s="20">
        <f>IF(B412="","",IF(COUNTIF('Deep Read'!$B$5:$B$304,B412)&gt;0,"✓",IF(G412="Include","→ add","")))</f>
        <v/>
      </c>
      <c r="J412" s="20" t="n"/>
    </row>
    <row r="413">
      <c r="A413" s="17">
        <f>IF(B413="","",ROW()-4)</f>
        <v/>
      </c>
      <c r="B413" s="17" t="n"/>
      <c r="C413" s="17" t="n"/>
      <c r="D413" s="17" t="n"/>
      <c r="E413" s="19" t="n"/>
      <c r="F413" s="17" t="n"/>
      <c r="G413" s="17" t="n"/>
      <c r="H413" s="17" t="n"/>
      <c r="I413" s="17">
        <f>IF(B413="","",IF(COUNTIF('Deep Read'!$B$5:$B$304,B413)&gt;0,"✓",IF(G413="Include","→ add","")))</f>
        <v/>
      </c>
      <c r="J413" s="17" t="n"/>
    </row>
    <row r="414">
      <c r="A414" s="20">
        <f>IF(B414="","",ROW()-4)</f>
        <v/>
      </c>
      <c r="B414" s="20" t="n"/>
      <c r="C414" s="20" t="n"/>
      <c r="D414" s="20" t="n"/>
      <c r="E414" s="22" t="n"/>
      <c r="F414" s="20" t="n"/>
      <c r="G414" s="20" t="n"/>
      <c r="H414" s="20" t="n"/>
      <c r="I414" s="20">
        <f>IF(B414="","",IF(COUNTIF('Deep Read'!$B$5:$B$304,B414)&gt;0,"✓",IF(G414="Include","→ add","")))</f>
        <v/>
      </c>
      <c r="J414" s="20" t="n"/>
    </row>
    <row r="415">
      <c r="A415" s="17">
        <f>IF(B415="","",ROW()-4)</f>
        <v/>
      </c>
      <c r="B415" s="17" t="n"/>
      <c r="C415" s="17" t="n"/>
      <c r="D415" s="17" t="n"/>
      <c r="E415" s="19" t="n"/>
      <c r="F415" s="17" t="n"/>
      <c r="G415" s="17" t="n"/>
      <c r="H415" s="17" t="n"/>
      <c r="I415" s="17">
        <f>IF(B415="","",IF(COUNTIF('Deep Read'!$B$5:$B$304,B415)&gt;0,"✓",IF(G415="Include","→ add","")))</f>
        <v/>
      </c>
      <c r="J415" s="17" t="n"/>
    </row>
    <row r="416">
      <c r="A416" s="20">
        <f>IF(B416="","",ROW()-4)</f>
        <v/>
      </c>
      <c r="B416" s="20" t="n"/>
      <c r="C416" s="20" t="n"/>
      <c r="D416" s="20" t="n"/>
      <c r="E416" s="22" t="n"/>
      <c r="F416" s="20" t="n"/>
      <c r="G416" s="20" t="n"/>
      <c r="H416" s="20" t="n"/>
      <c r="I416" s="20">
        <f>IF(B416="","",IF(COUNTIF('Deep Read'!$B$5:$B$304,B416)&gt;0,"✓",IF(G416="Include","→ add","")))</f>
        <v/>
      </c>
      <c r="J416" s="20" t="n"/>
    </row>
    <row r="417">
      <c r="A417" s="17">
        <f>IF(B417="","",ROW()-4)</f>
        <v/>
      </c>
      <c r="B417" s="17" t="n"/>
      <c r="C417" s="17" t="n"/>
      <c r="D417" s="17" t="n"/>
      <c r="E417" s="19" t="n"/>
      <c r="F417" s="17" t="n"/>
      <c r="G417" s="17" t="n"/>
      <c r="H417" s="17" t="n"/>
      <c r="I417" s="17">
        <f>IF(B417="","",IF(COUNTIF('Deep Read'!$B$5:$B$304,B417)&gt;0,"✓",IF(G417="Include","→ add","")))</f>
        <v/>
      </c>
      <c r="J417" s="17" t="n"/>
    </row>
    <row r="418">
      <c r="A418" s="20">
        <f>IF(B418="","",ROW()-4)</f>
        <v/>
      </c>
      <c r="B418" s="20" t="n"/>
      <c r="C418" s="20" t="n"/>
      <c r="D418" s="20" t="n"/>
      <c r="E418" s="22" t="n"/>
      <c r="F418" s="20" t="n"/>
      <c r="G418" s="20" t="n"/>
      <c r="H418" s="20" t="n"/>
      <c r="I418" s="20">
        <f>IF(B418="","",IF(COUNTIF('Deep Read'!$B$5:$B$304,B418)&gt;0,"✓",IF(G418="Include","→ add","")))</f>
        <v/>
      </c>
      <c r="J418" s="20" t="n"/>
    </row>
    <row r="419">
      <c r="A419" s="17">
        <f>IF(B419="","",ROW()-4)</f>
        <v/>
      </c>
      <c r="B419" s="17" t="n"/>
      <c r="C419" s="17" t="n"/>
      <c r="D419" s="17" t="n"/>
      <c r="E419" s="19" t="n"/>
      <c r="F419" s="17" t="n"/>
      <c r="G419" s="17" t="n"/>
      <c r="H419" s="17" t="n"/>
      <c r="I419" s="17">
        <f>IF(B419="","",IF(COUNTIF('Deep Read'!$B$5:$B$304,B419)&gt;0,"✓",IF(G419="Include","→ add","")))</f>
        <v/>
      </c>
      <c r="J419" s="17" t="n"/>
    </row>
    <row r="420">
      <c r="A420" s="20">
        <f>IF(B420="","",ROW()-4)</f>
        <v/>
      </c>
      <c r="B420" s="20" t="n"/>
      <c r="C420" s="20" t="n"/>
      <c r="D420" s="20" t="n"/>
      <c r="E420" s="22" t="n"/>
      <c r="F420" s="20" t="n"/>
      <c r="G420" s="20" t="n"/>
      <c r="H420" s="20" t="n"/>
      <c r="I420" s="20">
        <f>IF(B420="","",IF(COUNTIF('Deep Read'!$B$5:$B$304,B420)&gt;0,"✓",IF(G420="Include","→ add","")))</f>
        <v/>
      </c>
      <c r="J420" s="20" t="n"/>
    </row>
    <row r="421">
      <c r="A421" s="17">
        <f>IF(B421="","",ROW()-4)</f>
        <v/>
      </c>
      <c r="B421" s="17" t="n"/>
      <c r="C421" s="17" t="n"/>
      <c r="D421" s="17" t="n"/>
      <c r="E421" s="19" t="n"/>
      <c r="F421" s="17" t="n"/>
      <c r="G421" s="17" t="n"/>
      <c r="H421" s="17" t="n"/>
      <c r="I421" s="17">
        <f>IF(B421="","",IF(COUNTIF('Deep Read'!$B$5:$B$304,B421)&gt;0,"✓",IF(G421="Include","→ add","")))</f>
        <v/>
      </c>
      <c r="J421" s="17" t="n"/>
    </row>
    <row r="422">
      <c r="A422" s="20">
        <f>IF(B422="","",ROW()-4)</f>
        <v/>
      </c>
      <c r="B422" s="20" t="n"/>
      <c r="C422" s="20" t="n"/>
      <c r="D422" s="20" t="n"/>
      <c r="E422" s="22" t="n"/>
      <c r="F422" s="20" t="n"/>
      <c r="G422" s="20" t="n"/>
      <c r="H422" s="20" t="n"/>
      <c r="I422" s="20">
        <f>IF(B422="","",IF(COUNTIF('Deep Read'!$B$5:$B$304,B422)&gt;0,"✓",IF(G422="Include","→ add","")))</f>
        <v/>
      </c>
      <c r="J422" s="20" t="n"/>
    </row>
    <row r="423">
      <c r="A423" s="17">
        <f>IF(B423="","",ROW()-4)</f>
        <v/>
      </c>
      <c r="B423" s="17" t="n"/>
      <c r="C423" s="17" t="n"/>
      <c r="D423" s="17" t="n"/>
      <c r="E423" s="19" t="n"/>
      <c r="F423" s="17" t="n"/>
      <c r="G423" s="17" t="n"/>
      <c r="H423" s="17" t="n"/>
      <c r="I423" s="17">
        <f>IF(B423="","",IF(COUNTIF('Deep Read'!$B$5:$B$304,B423)&gt;0,"✓",IF(G423="Include","→ add","")))</f>
        <v/>
      </c>
      <c r="J423" s="17" t="n"/>
    </row>
    <row r="424">
      <c r="A424" s="20">
        <f>IF(B424="","",ROW()-4)</f>
        <v/>
      </c>
      <c r="B424" s="20" t="n"/>
      <c r="C424" s="20" t="n"/>
      <c r="D424" s="20" t="n"/>
      <c r="E424" s="22" t="n"/>
      <c r="F424" s="20" t="n"/>
      <c r="G424" s="20" t="n"/>
      <c r="H424" s="20" t="n"/>
      <c r="I424" s="20">
        <f>IF(B424="","",IF(COUNTIF('Deep Read'!$B$5:$B$304,B424)&gt;0,"✓",IF(G424="Include","→ add","")))</f>
        <v/>
      </c>
      <c r="J424" s="20" t="n"/>
    </row>
    <row r="425">
      <c r="A425" s="17">
        <f>IF(B425="","",ROW()-4)</f>
        <v/>
      </c>
      <c r="B425" s="17" t="n"/>
      <c r="C425" s="17" t="n"/>
      <c r="D425" s="17" t="n"/>
      <c r="E425" s="19" t="n"/>
      <c r="F425" s="17" t="n"/>
      <c r="G425" s="17" t="n"/>
      <c r="H425" s="17" t="n"/>
      <c r="I425" s="17">
        <f>IF(B425="","",IF(COUNTIF('Deep Read'!$B$5:$B$304,B425)&gt;0,"✓",IF(G425="Include","→ add","")))</f>
        <v/>
      </c>
      <c r="J425" s="17" t="n"/>
    </row>
    <row r="426">
      <c r="A426" s="20">
        <f>IF(B426="","",ROW()-4)</f>
        <v/>
      </c>
      <c r="B426" s="20" t="n"/>
      <c r="C426" s="20" t="n"/>
      <c r="D426" s="20" t="n"/>
      <c r="E426" s="22" t="n"/>
      <c r="F426" s="20" t="n"/>
      <c r="G426" s="20" t="n"/>
      <c r="H426" s="20" t="n"/>
      <c r="I426" s="20">
        <f>IF(B426="","",IF(COUNTIF('Deep Read'!$B$5:$B$304,B426)&gt;0,"✓",IF(G426="Include","→ add","")))</f>
        <v/>
      </c>
      <c r="J426" s="20" t="n"/>
    </row>
    <row r="427">
      <c r="A427" s="17">
        <f>IF(B427="","",ROW()-4)</f>
        <v/>
      </c>
      <c r="B427" s="17" t="n"/>
      <c r="C427" s="17" t="n"/>
      <c r="D427" s="17" t="n"/>
      <c r="E427" s="19" t="n"/>
      <c r="F427" s="17" t="n"/>
      <c r="G427" s="17" t="n"/>
      <c r="H427" s="17" t="n"/>
      <c r="I427" s="17">
        <f>IF(B427="","",IF(COUNTIF('Deep Read'!$B$5:$B$304,B427)&gt;0,"✓",IF(G427="Include","→ add","")))</f>
        <v/>
      </c>
      <c r="J427" s="17" t="n"/>
    </row>
    <row r="428">
      <c r="A428" s="20">
        <f>IF(B428="","",ROW()-4)</f>
        <v/>
      </c>
      <c r="B428" s="20" t="n"/>
      <c r="C428" s="20" t="n"/>
      <c r="D428" s="20" t="n"/>
      <c r="E428" s="22" t="n"/>
      <c r="F428" s="20" t="n"/>
      <c r="G428" s="20" t="n"/>
      <c r="H428" s="20" t="n"/>
      <c r="I428" s="20">
        <f>IF(B428="","",IF(COUNTIF('Deep Read'!$B$5:$B$304,B428)&gt;0,"✓",IF(G428="Include","→ add","")))</f>
        <v/>
      </c>
      <c r="J428" s="20" t="n"/>
    </row>
    <row r="429">
      <c r="A429" s="17">
        <f>IF(B429="","",ROW()-4)</f>
        <v/>
      </c>
      <c r="B429" s="17" t="n"/>
      <c r="C429" s="17" t="n"/>
      <c r="D429" s="17" t="n"/>
      <c r="E429" s="19" t="n"/>
      <c r="F429" s="17" t="n"/>
      <c r="G429" s="17" t="n"/>
      <c r="H429" s="17" t="n"/>
      <c r="I429" s="17">
        <f>IF(B429="","",IF(COUNTIF('Deep Read'!$B$5:$B$304,B429)&gt;0,"✓",IF(G429="Include","→ add","")))</f>
        <v/>
      </c>
      <c r="J429" s="17" t="n"/>
    </row>
    <row r="430">
      <c r="A430" s="20">
        <f>IF(B430="","",ROW()-4)</f>
        <v/>
      </c>
      <c r="B430" s="20" t="n"/>
      <c r="C430" s="20" t="n"/>
      <c r="D430" s="20" t="n"/>
      <c r="E430" s="22" t="n"/>
      <c r="F430" s="20" t="n"/>
      <c r="G430" s="20" t="n"/>
      <c r="H430" s="20" t="n"/>
      <c r="I430" s="20">
        <f>IF(B430="","",IF(COUNTIF('Deep Read'!$B$5:$B$304,B430)&gt;0,"✓",IF(G430="Include","→ add","")))</f>
        <v/>
      </c>
      <c r="J430" s="20" t="n"/>
    </row>
    <row r="431">
      <c r="A431" s="17">
        <f>IF(B431="","",ROW()-4)</f>
        <v/>
      </c>
      <c r="B431" s="17" t="n"/>
      <c r="C431" s="17" t="n"/>
      <c r="D431" s="17" t="n"/>
      <c r="E431" s="19" t="n"/>
      <c r="F431" s="17" t="n"/>
      <c r="G431" s="17" t="n"/>
      <c r="H431" s="17" t="n"/>
      <c r="I431" s="17">
        <f>IF(B431="","",IF(COUNTIF('Deep Read'!$B$5:$B$304,B431)&gt;0,"✓",IF(G431="Include","→ add","")))</f>
        <v/>
      </c>
      <c r="J431" s="17" t="n"/>
    </row>
    <row r="432">
      <c r="A432" s="20">
        <f>IF(B432="","",ROW()-4)</f>
        <v/>
      </c>
      <c r="B432" s="20" t="n"/>
      <c r="C432" s="20" t="n"/>
      <c r="D432" s="20" t="n"/>
      <c r="E432" s="22" t="n"/>
      <c r="F432" s="20" t="n"/>
      <c r="G432" s="20" t="n"/>
      <c r="H432" s="20" t="n"/>
      <c r="I432" s="20">
        <f>IF(B432="","",IF(COUNTIF('Deep Read'!$B$5:$B$304,B432)&gt;0,"✓",IF(G432="Include","→ add","")))</f>
        <v/>
      </c>
      <c r="J432" s="20" t="n"/>
    </row>
    <row r="433">
      <c r="A433" s="17">
        <f>IF(B433="","",ROW()-4)</f>
        <v/>
      </c>
      <c r="B433" s="17" t="n"/>
      <c r="C433" s="17" t="n"/>
      <c r="D433" s="17" t="n"/>
      <c r="E433" s="19" t="n"/>
      <c r="F433" s="17" t="n"/>
      <c r="G433" s="17" t="n"/>
      <c r="H433" s="17" t="n"/>
      <c r="I433" s="17">
        <f>IF(B433="","",IF(COUNTIF('Deep Read'!$B$5:$B$304,B433)&gt;0,"✓",IF(G433="Include","→ add","")))</f>
        <v/>
      </c>
      <c r="J433" s="17" t="n"/>
    </row>
    <row r="434">
      <c r="A434" s="20">
        <f>IF(B434="","",ROW()-4)</f>
        <v/>
      </c>
      <c r="B434" s="20" t="n"/>
      <c r="C434" s="20" t="n"/>
      <c r="D434" s="20" t="n"/>
      <c r="E434" s="22" t="n"/>
      <c r="F434" s="20" t="n"/>
      <c r="G434" s="20" t="n"/>
      <c r="H434" s="20" t="n"/>
      <c r="I434" s="20">
        <f>IF(B434="","",IF(COUNTIF('Deep Read'!$B$5:$B$304,B434)&gt;0,"✓",IF(G434="Include","→ add","")))</f>
        <v/>
      </c>
      <c r="J434" s="20" t="n"/>
    </row>
    <row r="435">
      <c r="A435" s="17">
        <f>IF(B435="","",ROW()-4)</f>
        <v/>
      </c>
      <c r="B435" s="17" t="n"/>
      <c r="C435" s="17" t="n"/>
      <c r="D435" s="17" t="n"/>
      <c r="E435" s="19" t="n"/>
      <c r="F435" s="17" t="n"/>
      <c r="G435" s="17" t="n"/>
      <c r="H435" s="17" t="n"/>
      <c r="I435" s="17">
        <f>IF(B435="","",IF(COUNTIF('Deep Read'!$B$5:$B$304,B435)&gt;0,"✓",IF(G435="Include","→ add","")))</f>
        <v/>
      </c>
      <c r="J435" s="17" t="n"/>
    </row>
    <row r="436">
      <c r="A436" s="20">
        <f>IF(B436="","",ROW()-4)</f>
        <v/>
      </c>
      <c r="B436" s="20" t="n"/>
      <c r="C436" s="20" t="n"/>
      <c r="D436" s="20" t="n"/>
      <c r="E436" s="22" t="n"/>
      <c r="F436" s="20" t="n"/>
      <c r="G436" s="20" t="n"/>
      <c r="H436" s="20" t="n"/>
      <c r="I436" s="20">
        <f>IF(B436="","",IF(COUNTIF('Deep Read'!$B$5:$B$304,B436)&gt;0,"✓",IF(G436="Include","→ add","")))</f>
        <v/>
      </c>
      <c r="J436" s="20" t="n"/>
    </row>
    <row r="437">
      <c r="A437" s="17">
        <f>IF(B437="","",ROW()-4)</f>
        <v/>
      </c>
      <c r="B437" s="17" t="n"/>
      <c r="C437" s="17" t="n"/>
      <c r="D437" s="17" t="n"/>
      <c r="E437" s="19" t="n"/>
      <c r="F437" s="17" t="n"/>
      <c r="G437" s="17" t="n"/>
      <c r="H437" s="17" t="n"/>
      <c r="I437" s="17">
        <f>IF(B437="","",IF(COUNTIF('Deep Read'!$B$5:$B$304,B437)&gt;0,"✓",IF(G437="Include","→ add","")))</f>
        <v/>
      </c>
      <c r="J437" s="17" t="n"/>
    </row>
    <row r="438">
      <c r="A438" s="20">
        <f>IF(B438="","",ROW()-4)</f>
        <v/>
      </c>
      <c r="B438" s="20" t="n"/>
      <c r="C438" s="20" t="n"/>
      <c r="D438" s="20" t="n"/>
      <c r="E438" s="22" t="n"/>
      <c r="F438" s="20" t="n"/>
      <c r="G438" s="20" t="n"/>
      <c r="H438" s="20" t="n"/>
      <c r="I438" s="20">
        <f>IF(B438="","",IF(COUNTIF('Deep Read'!$B$5:$B$304,B438)&gt;0,"✓",IF(G438="Include","→ add","")))</f>
        <v/>
      </c>
      <c r="J438" s="20" t="n"/>
    </row>
    <row r="439">
      <c r="A439" s="17">
        <f>IF(B439="","",ROW()-4)</f>
        <v/>
      </c>
      <c r="B439" s="17" t="n"/>
      <c r="C439" s="17" t="n"/>
      <c r="D439" s="17" t="n"/>
      <c r="E439" s="19" t="n"/>
      <c r="F439" s="17" t="n"/>
      <c r="G439" s="17" t="n"/>
      <c r="H439" s="17" t="n"/>
      <c r="I439" s="17">
        <f>IF(B439="","",IF(COUNTIF('Deep Read'!$B$5:$B$304,B439)&gt;0,"✓",IF(G439="Include","→ add","")))</f>
        <v/>
      </c>
      <c r="J439" s="17" t="n"/>
    </row>
    <row r="440">
      <c r="A440" s="20">
        <f>IF(B440="","",ROW()-4)</f>
        <v/>
      </c>
      <c r="B440" s="20" t="n"/>
      <c r="C440" s="20" t="n"/>
      <c r="D440" s="20" t="n"/>
      <c r="E440" s="22" t="n"/>
      <c r="F440" s="20" t="n"/>
      <c r="G440" s="20" t="n"/>
      <c r="H440" s="20" t="n"/>
      <c r="I440" s="20">
        <f>IF(B440="","",IF(COUNTIF('Deep Read'!$B$5:$B$304,B440)&gt;0,"✓",IF(G440="Include","→ add","")))</f>
        <v/>
      </c>
      <c r="J440" s="20" t="n"/>
    </row>
    <row r="441">
      <c r="A441" s="17">
        <f>IF(B441="","",ROW()-4)</f>
        <v/>
      </c>
      <c r="B441" s="17" t="n"/>
      <c r="C441" s="17" t="n"/>
      <c r="D441" s="17" t="n"/>
      <c r="E441" s="19" t="n"/>
      <c r="F441" s="17" t="n"/>
      <c r="G441" s="17" t="n"/>
      <c r="H441" s="17" t="n"/>
      <c r="I441" s="17">
        <f>IF(B441="","",IF(COUNTIF('Deep Read'!$B$5:$B$304,B441)&gt;0,"✓",IF(G441="Include","→ add","")))</f>
        <v/>
      </c>
      <c r="J441" s="17" t="n"/>
    </row>
    <row r="442">
      <c r="A442" s="20">
        <f>IF(B442="","",ROW()-4)</f>
        <v/>
      </c>
      <c r="B442" s="20" t="n"/>
      <c r="C442" s="20" t="n"/>
      <c r="D442" s="20" t="n"/>
      <c r="E442" s="22" t="n"/>
      <c r="F442" s="20" t="n"/>
      <c r="G442" s="20" t="n"/>
      <c r="H442" s="20" t="n"/>
      <c r="I442" s="20">
        <f>IF(B442="","",IF(COUNTIF('Deep Read'!$B$5:$B$304,B442)&gt;0,"✓",IF(G442="Include","→ add","")))</f>
        <v/>
      </c>
      <c r="J442" s="20" t="n"/>
    </row>
    <row r="443">
      <c r="A443" s="17">
        <f>IF(B443="","",ROW()-4)</f>
        <v/>
      </c>
      <c r="B443" s="17" t="n"/>
      <c r="C443" s="17" t="n"/>
      <c r="D443" s="17" t="n"/>
      <c r="E443" s="19" t="n"/>
      <c r="F443" s="17" t="n"/>
      <c r="G443" s="17" t="n"/>
      <c r="H443" s="17" t="n"/>
      <c r="I443" s="17">
        <f>IF(B443="","",IF(COUNTIF('Deep Read'!$B$5:$B$304,B443)&gt;0,"✓",IF(G443="Include","→ add","")))</f>
        <v/>
      </c>
      <c r="J443" s="17" t="n"/>
    </row>
    <row r="444">
      <c r="A444" s="20">
        <f>IF(B444="","",ROW()-4)</f>
        <v/>
      </c>
      <c r="B444" s="20" t="n"/>
      <c r="C444" s="20" t="n"/>
      <c r="D444" s="20" t="n"/>
      <c r="E444" s="22" t="n"/>
      <c r="F444" s="20" t="n"/>
      <c r="G444" s="20" t="n"/>
      <c r="H444" s="20" t="n"/>
      <c r="I444" s="20">
        <f>IF(B444="","",IF(COUNTIF('Deep Read'!$B$5:$B$304,B444)&gt;0,"✓",IF(G444="Include","→ add","")))</f>
        <v/>
      </c>
      <c r="J444" s="20" t="n"/>
    </row>
    <row r="445">
      <c r="A445" s="17">
        <f>IF(B445="","",ROW()-4)</f>
        <v/>
      </c>
      <c r="B445" s="17" t="n"/>
      <c r="C445" s="17" t="n"/>
      <c r="D445" s="17" t="n"/>
      <c r="E445" s="19" t="n"/>
      <c r="F445" s="17" t="n"/>
      <c r="G445" s="17" t="n"/>
      <c r="H445" s="17" t="n"/>
      <c r="I445" s="17">
        <f>IF(B445="","",IF(COUNTIF('Deep Read'!$B$5:$B$304,B445)&gt;0,"✓",IF(G445="Include","→ add","")))</f>
        <v/>
      </c>
      <c r="J445" s="17" t="n"/>
    </row>
    <row r="446">
      <c r="A446" s="20">
        <f>IF(B446="","",ROW()-4)</f>
        <v/>
      </c>
      <c r="B446" s="20" t="n"/>
      <c r="C446" s="20" t="n"/>
      <c r="D446" s="20" t="n"/>
      <c r="E446" s="22" t="n"/>
      <c r="F446" s="20" t="n"/>
      <c r="G446" s="20" t="n"/>
      <c r="H446" s="20" t="n"/>
      <c r="I446" s="20">
        <f>IF(B446="","",IF(COUNTIF('Deep Read'!$B$5:$B$304,B446)&gt;0,"✓",IF(G446="Include","→ add","")))</f>
        <v/>
      </c>
      <c r="J446" s="20" t="n"/>
    </row>
    <row r="447">
      <c r="A447" s="17">
        <f>IF(B447="","",ROW()-4)</f>
        <v/>
      </c>
      <c r="B447" s="17" t="n"/>
      <c r="C447" s="17" t="n"/>
      <c r="D447" s="17" t="n"/>
      <c r="E447" s="19" t="n"/>
      <c r="F447" s="17" t="n"/>
      <c r="G447" s="17" t="n"/>
      <c r="H447" s="17" t="n"/>
      <c r="I447" s="17">
        <f>IF(B447="","",IF(COUNTIF('Deep Read'!$B$5:$B$304,B447)&gt;0,"✓",IF(G447="Include","→ add","")))</f>
        <v/>
      </c>
      <c r="J447" s="17" t="n"/>
    </row>
    <row r="448">
      <c r="A448" s="20">
        <f>IF(B448="","",ROW()-4)</f>
        <v/>
      </c>
      <c r="B448" s="20" t="n"/>
      <c r="C448" s="20" t="n"/>
      <c r="D448" s="20" t="n"/>
      <c r="E448" s="22" t="n"/>
      <c r="F448" s="20" t="n"/>
      <c r="G448" s="20" t="n"/>
      <c r="H448" s="20" t="n"/>
      <c r="I448" s="20">
        <f>IF(B448="","",IF(COUNTIF('Deep Read'!$B$5:$B$304,B448)&gt;0,"✓",IF(G448="Include","→ add","")))</f>
        <v/>
      </c>
      <c r="J448" s="20" t="n"/>
    </row>
    <row r="449">
      <c r="A449" s="17">
        <f>IF(B449="","",ROW()-4)</f>
        <v/>
      </c>
      <c r="B449" s="17" t="n"/>
      <c r="C449" s="17" t="n"/>
      <c r="D449" s="17" t="n"/>
      <c r="E449" s="19" t="n"/>
      <c r="F449" s="17" t="n"/>
      <c r="G449" s="17" t="n"/>
      <c r="H449" s="17" t="n"/>
      <c r="I449" s="17">
        <f>IF(B449="","",IF(COUNTIF('Deep Read'!$B$5:$B$304,B449)&gt;0,"✓",IF(G449="Include","→ add","")))</f>
        <v/>
      </c>
      <c r="J449" s="17" t="n"/>
    </row>
    <row r="450">
      <c r="A450" s="20">
        <f>IF(B450="","",ROW()-4)</f>
        <v/>
      </c>
      <c r="B450" s="20" t="n"/>
      <c r="C450" s="20" t="n"/>
      <c r="D450" s="20" t="n"/>
      <c r="E450" s="22" t="n"/>
      <c r="F450" s="20" t="n"/>
      <c r="G450" s="20" t="n"/>
      <c r="H450" s="20" t="n"/>
      <c r="I450" s="20">
        <f>IF(B450="","",IF(COUNTIF('Deep Read'!$B$5:$B$304,B450)&gt;0,"✓",IF(G450="Include","→ add","")))</f>
        <v/>
      </c>
      <c r="J450" s="20" t="n"/>
    </row>
    <row r="451">
      <c r="A451" s="17">
        <f>IF(B451="","",ROW()-4)</f>
        <v/>
      </c>
      <c r="B451" s="17" t="n"/>
      <c r="C451" s="17" t="n"/>
      <c r="D451" s="17" t="n"/>
      <c r="E451" s="19" t="n"/>
      <c r="F451" s="17" t="n"/>
      <c r="G451" s="17" t="n"/>
      <c r="H451" s="17" t="n"/>
      <c r="I451" s="17">
        <f>IF(B451="","",IF(COUNTIF('Deep Read'!$B$5:$B$304,B451)&gt;0,"✓",IF(G451="Include","→ add","")))</f>
        <v/>
      </c>
      <c r="J451" s="17" t="n"/>
    </row>
    <row r="452">
      <c r="A452" s="20">
        <f>IF(B452="","",ROW()-4)</f>
        <v/>
      </c>
      <c r="B452" s="20" t="n"/>
      <c r="C452" s="20" t="n"/>
      <c r="D452" s="20" t="n"/>
      <c r="E452" s="22" t="n"/>
      <c r="F452" s="20" t="n"/>
      <c r="G452" s="20" t="n"/>
      <c r="H452" s="20" t="n"/>
      <c r="I452" s="20">
        <f>IF(B452="","",IF(COUNTIF('Deep Read'!$B$5:$B$304,B452)&gt;0,"✓",IF(G452="Include","→ add","")))</f>
        <v/>
      </c>
      <c r="J452" s="20" t="n"/>
    </row>
    <row r="453">
      <c r="A453" s="17">
        <f>IF(B453="","",ROW()-4)</f>
        <v/>
      </c>
      <c r="B453" s="17" t="n"/>
      <c r="C453" s="17" t="n"/>
      <c r="D453" s="17" t="n"/>
      <c r="E453" s="19" t="n"/>
      <c r="F453" s="17" t="n"/>
      <c r="G453" s="17" t="n"/>
      <c r="H453" s="17" t="n"/>
      <c r="I453" s="17">
        <f>IF(B453="","",IF(COUNTIF('Deep Read'!$B$5:$B$304,B453)&gt;0,"✓",IF(G453="Include","→ add","")))</f>
        <v/>
      </c>
      <c r="J453" s="17" t="n"/>
    </row>
    <row r="454">
      <c r="A454" s="20">
        <f>IF(B454="","",ROW()-4)</f>
        <v/>
      </c>
      <c r="B454" s="20" t="n"/>
      <c r="C454" s="20" t="n"/>
      <c r="D454" s="20" t="n"/>
      <c r="E454" s="22" t="n"/>
      <c r="F454" s="20" t="n"/>
      <c r="G454" s="20" t="n"/>
      <c r="H454" s="20" t="n"/>
      <c r="I454" s="20">
        <f>IF(B454="","",IF(COUNTIF('Deep Read'!$B$5:$B$304,B454)&gt;0,"✓",IF(G454="Include","→ add","")))</f>
        <v/>
      </c>
      <c r="J454" s="20" t="n"/>
    </row>
    <row r="455">
      <c r="A455" s="17">
        <f>IF(B455="","",ROW()-4)</f>
        <v/>
      </c>
      <c r="B455" s="17" t="n"/>
      <c r="C455" s="17" t="n"/>
      <c r="D455" s="17" t="n"/>
      <c r="E455" s="19" t="n"/>
      <c r="F455" s="17" t="n"/>
      <c r="G455" s="17" t="n"/>
      <c r="H455" s="17" t="n"/>
      <c r="I455" s="17">
        <f>IF(B455="","",IF(COUNTIF('Deep Read'!$B$5:$B$304,B455)&gt;0,"✓",IF(G455="Include","→ add","")))</f>
        <v/>
      </c>
      <c r="J455" s="17" t="n"/>
    </row>
    <row r="456">
      <c r="A456" s="20">
        <f>IF(B456="","",ROW()-4)</f>
        <v/>
      </c>
      <c r="B456" s="20" t="n"/>
      <c r="C456" s="20" t="n"/>
      <c r="D456" s="20" t="n"/>
      <c r="E456" s="22" t="n"/>
      <c r="F456" s="20" t="n"/>
      <c r="G456" s="20" t="n"/>
      <c r="H456" s="20" t="n"/>
      <c r="I456" s="20">
        <f>IF(B456="","",IF(COUNTIF('Deep Read'!$B$5:$B$304,B456)&gt;0,"✓",IF(G456="Include","→ add","")))</f>
        <v/>
      </c>
      <c r="J456" s="20" t="n"/>
    </row>
    <row r="457">
      <c r="A457" s="17">
        <f>IF(B457="","",ROW()-4)</f>
        <v/>
      </c>
      <c r="B457" s="17" t="n"/>
      <c r="C457" s="17" t="n"/>
      <c r="D457" s="17" t="n"/>
      <c r="E457" s="19" t="n"/>
      <c r="F457" s="17" t="n"/>
      <c r="G457" s="17" t="n"/>
      <c r="H457" s="17" t="n"/>
      <c r="I457" s="17">
        <f>IF(B457="","",IF(COUNTIF('Deep Read'!$B$5:$B$304,B457)&gt;0,"✓",IF(G457="Include","→ add","")))</f>
        <v/>
      </c>
      <c r="J457" s="17" t="n"/>
    </row>
    <row r="458">
      <c r="A458" s="20">
        <f>IF(B458="","",ROW()-4)</f>
        <v/>
      </c>
      <c r="B458" s="20" t="n"/>
      <c r="C458" s="20" t="n"/>
      <c r="D458" s="20" t="n"/>
      <c r="E458" s="22" t="n"/>
      <c r="F458" s="20" t="n"/>
      <c r="G458" s="20" t="n"/>
      <c r="H458" s="20" t="n"/>
      <c r="I458" s="20">
        <f>IF(B458="","",IF(COUNTIF('Deep Read'!$B$5:$B$304,B458)&gt;0,"✓",IF(G458="Include","→ add","")))</f>
        <v/>
      </c>
      <c r="J458" s="20" t="n"/>
    </row>
    <row r="459">
      <c r="A459" s="17">
        <f>IF(B459="","",ROW()-4)</f>
        <v/>
      </c>
      <c r="B459" s="17" t="n"/>
      <c r="C459" s="17" t="n"/>
      <c r="D459" s="17" t="n"/>
      <c r="E459" s="19" t="n"/>
      <c r="F459" s="17" t="n"/>
      <c r="G459" s="17" t="n"/>
      <c r="H459" s="17" t="n"/>
      <c r="I459" s="17">
        <f>IF(B459="","",IF(COUNTIF('Deep Read'!$B$5:$B$304,B459)&gt;0,"✓",IF(G459="Include","→ add","")))</f>
        <v/>
      </c>
      <c r="J459" s="17" t="n"/>
    </row>
    <row r="460">
      <c r="A460" s="20">
        <f>IF(B460="","",ROW()-4)</f>
        <v/>
      </c>
      <c r="B460" s="20" t="n"/>
      <c r="C460" s="20" t="n"/>
      <c r="D460" s="20" t="n"/>
      <c r="E460" s="22" t="n"/>
      <c r="F460" s="20" t="n"/>
      <c r="G460" s="20" t="n"/>
      <c r="H460" s="20" t="n"/>
      <c r="I460" s="20">
        <f>IF(B460="","",IF(COUNTIF('Deep Read'!$B$5:$B$304,B460)&gt;0,"✓",IF(G460="Include","→ add","")))</f>
        <v/>
      </c>
      <c r="J460" s="20" t="n"/>
    </row>
    <row r="461">
      <c r="A461" s="17">
        <f>IF(B461="","",ROW()-4)</f>
        <v/>
      </c>
      <c r="B461" s="17" t="n"/>
      <c r="C461" s="17" t="n"/>
      <c r="D461" s="17" t="n"/>
      <c r="E461" s="19" t="n"/>
      <c r="F461" s="17" t="n"/>
      <c r="G461" s="17" t="n"/>
      <c r="H461" s="17" t="n"/>
      <c r="I461" s="17">
        <f>IF(B461="","",IF(COUNTIF('Deep Read'!$B$5:$B$304,B461)&gt;0,"✓",IF(G461="Include","→ add","")))</f>
        <v/>
      </c>
      <c r="J461" s="17" t="n"/>
    </row>
    <row r="462">
      <c r="A462" s="20">
        <f>IF(B462="","",ROW()-4)</f>
        <v/>
      </c>
      <c r="B462" s="20" t="n"/>
      <c r="C462" s="20" t="n"/>
      <c r="D462" s="20" t="n"/>
      <c r="E462" s="22" t="n"/>
      <c r="F462" s="20" t="n"/>
      <c r="G462" s="20" t="n"/>
      <c r="H462" s="20" t="n"/>
      <c r="I462" s="20">
        <f>IF(B462="","",IF(COUNTIF('Deep Read'!$B$5:$B$304,B462)&gt;0,"✓",IF(G462="Include","→ add","")))</f>
        <v/>
      </c>
      <c r="J462" s="20" t="n"/>
    </row>
    <row r="463">
      <c r="A463" s="17">
        <f>IF(B463="","",ROW()-4)</f>
        <v/>
      </c>
      <c r="B463" s="17" t="n"/>
      <c r="C463" s="17" t="n"/>
      <c r="D463" s="17" t="n"/>
      <c r="E463" s="19" t="n"/>
      <c r="F463" s="17" t="n"/>
      <c r="G463" s="17" t="n"/>
      <c r="H463" s="17" t="n"/>
      <c r="I463" s="17">
        <f>IF(B463="","",IF(COUNTIF('Deep Read'!$B$5:$B$304,B463)&gt;0,"✓",IF(G463="Include","→ add","")))</f>
        <v/>
      </c>
      <c r="J463" s="17" t="n"/>
    </row>
    <row r="464">
      <c r="A464" s="20">
        <f>IF(B464="","",ROW()-4)</f>
        <v/>
      </c>
      <c r="B464" s="20" t="n"/>
      <c r="C464" s="20" t="n"/>
      <c r="D464" s="20" t="n"/>
      <c r="E464" s="22" t="n"/>
      <c r="F464" s="20" t="n"/>
      <c r="G464" s="20" t="n"/>
      <c r="H464" s="20" t="n"/>
      <c r="I464" s="20">
        <f>IF(B464="","",IF(COUNTIF('Deep Read'!$B$5:$B$304,B464)&gt;0,"✓",IF(G464="Include","→ add","")))</f>
        <v/>
      </c>
      <c r="J464" s="20" t="n"/>
    </row>
    <row r="465">
      <c r="A465" s="17">
        <f>IF(B465="","",ROW()-4)</f>
        <v/>
      </c>
      <c r="B465" s="17" t="n"/>
      <c r="C465" s="17" t="n"/>
      <c r="D465" s="17" t="n"/>
      <c r="E465" s="19" t="n"/>
      <c r="F465" s="17" t="n"/>
      <c r="G465" s="17" t="n"/>
      <c r="H465" s="17" t="n"/>
      <c r="I465" s="17">
        <f>IF(B465="","",IF(COUNTIF('Deep Read'!$B$5:$B$304,B465)&gt;0,"✓",IF(G465="Include","→ add","")))</f>
        <v/>
      </c>
      <c r="J465" s="17" t="n"/>
    </row>
    <row r="466">
      <c r="A466" s="20">
        <f>IF(B466="","",ROW()-4)</f>
        <v/>
      </c>
      <c r="B466" s="20" t="n"/>
      <c r="C466" s="20" t="n"/>
      <c r="D466" s="20" t="n"/>
      <c r="E466" s="22" t="n"/>
      <c r="F466" s="20" t="n"/>
      <c r="G466" s="20" t="n"/>
      <c r="H466" s="20" t="n"/>
      <c r="I466" s="20">
        <f>IF(B466="","",IF(COUNTIF('Deep Read'!$B$5:$B$304,B466)&gt;0,"✓",IF(G466="Include","→ add","")))</f>
        <v/>
      </c>
      <c r="J466" s="20" t="n"/>
    </row>
    <row r="467">
      <c r="A467" s="17">
        <f>IF(B467="","",ROW()-4)</f>
        <v/>
      </c>
      <c r="B467" s="17" t="n"/>
      <c r="C467" s="17" t="n"/>
      <c r="D467" s="17" t="n"/>
      <c r="E467" s="19" t="n"/>
      <c r="F467" s="17" t="n"/>
      <c r="G467" s="17" t="n"/>
      <c r="H467" s="17" t="n"/>
      <c r="I467" s="17">
        <f>IF(B467="","",IF(COUNTIF('Deep Read'!$B$5:$B$304,B467)&gt;0,"✓",IF(G467="Include","→ add","")))</f>
        <v/>
      </c>
      <c r="J467" s="17" t="n"/>
    </row>
    <row r="468">
      <c r="A468" s="20">
        <f>IF(B468="","",ROW()-4)</f>
        <v/>
      </c>
      <c r="B468" s="20" t="n"/>
      <c r="C468" s="20" t="n"/>
      <c r="D468" s="20" t="n"/>
      <c r="E468" s="22" t="n"/>
      <c r="F468" s="20" t="n"/>
      <c r="G468" s="20" t="n"/>
      <c r="H468" s="20" t="n"/>
      <c r="I468" s="20">
        <f>IF(B468="","",IF(COUNTIF('Deep Read'!$B$5:$B$304,B468)&gt;0,"✓",IF(G468="Include","→ add","")))</f>
        <v/>
      </c>
      <c r="J468" s="20" t="n"/>
    </row>
    <row r="469">
      <c r="A469" s="17">
        <f>IF(B469="","",ROW()-4)</f>
        <v/>
      </c>
      <c r="B469" s="17" t="n"/>
      <c r="C469" s="17" t="n"/>
      <c r="D469" s="17" t="n"/>
      <c r="E469" s="19" t="n"/>
      <c r="F469" s="17" t="n"/>
      <c r="G469" s="17" t="n"/>
      <c r="H469" s="17" t="n"/>
      <c r="I469" s="17">
        <f>IF(B469="","",IF(COUNTIF('Deep Read'!$B$5:$B$304,B469)&gt;0,"✓",IF(G469="Include","→ add","")))</f>
        <v/>
      </c>
      <c r="J469" s="17" t="n"/>
    </row>
    <row r="470">
      <c r="A470" s="20">
        <f>IF(B470="","",ROW()-4)</f>
        <v/>
      </c>
      <c r="B470" s="20" t="n"/>
      <c r="C470" s="20" t="n"/>
      <c r="D470" s="20" t="n"/>
      <c r="E470" s="22" t="n"/>
      <c r="F470" s="20" t="n"/>
      <c r="G470" s="20" t="n"/>
      <c r="H470" s="20" t="n"/>
      <c r="I470" s="20">
        <f>IF(B470="","",IF(COUNTIF('Deep Read'!$B$5:$B$304,B470)&gt;0,"✓",IF(G470="Include","→ add","")))</f>
        <v/>
      </c>
      <c r="J470" s="20" t="n"/>
    </row>
    <row r="471">
      <c r="A471" s="17">
        <f>IF(B471="","",ROW()-4)</f>
        <v/>
      </c>
      <c r="B471" s="17" t="n"/>
      <c r="C471" s="17" t="n"/>
      <c r="D471" s="17" t="n"/>
      <c r="E471" s="19" t="n"/>
      <c r="F471" s="17" t="n"/>
      <c r="G471" s="17" t="n"/>
      <c r="H471" s="17" t="n"/>
      <c r="I471" s="17">
        <f>IF(B471="","",IF(COUNTIF('Deep Read'!$B$5:$B$304,B471)&gt;0,"✓",IF(G471="Include","→ add","")))</f>
        <v/>
      </c>
      <c r="J471" s="17" t="n"/>
    </row>
    <row r="472">
      <c r="A472" s="20">
        <f>IF(B472="","",ROW()-4)</f>
        <v/>
      </c>
      <c r="B472" s="20" t="n"/>
      <c r="C472" s="20" t="n"/>
      <c r="D472" s="20" t="n"/>
      <c r="E472" s="22" t="n"/>
      <c r="F472" s="20" t="n"/>
      <c r="G472" s="20" t="n"/>
      <c r="H472" s="20" t="n"/>
      <c r="I472" s="20">
        <f>IF(B472="","",IF(COUNTIF('Deep Read'!$B$5:$B$304,B472)&gt;0,"✓",IF(G472="Include","→ add","")))</f>
        <v/>
      </c>
      <c r="J472" s="20" t="n"/>
    </row>
    <row r="473">
      <c r="A473" s="17">
        <f>IF(B473="","",ROW()-4)</f>
        <v/>
      </c>
      <c r="B473" s="17" t="n"/>
      <c r="C473" s="17" t="n"/>
      <c r="D473" s="17" t="n"/>
      <c r="E473" s="19" t="n"/>
      <c r="F473" s="17" t="n"/>
      <c r="G473" s="17" t="n"/>
      <c r="H473" s="17" t="n"/>
      <c r="I473" s="17">
        <f>IF(B473="","",IF(COUNTIF('Deep Read'!$B$5:$B$304,B473)&gt;0,"✓",IF(G473="Include","→ add","")))</f>
        <v/>
      </c>
      <c r="J473" s="17" t="n"/>
    </row>
    <row r="474">
      <c r="A474" s="20">
        <f>IF(B474="","",ROW()-4)</f>
        <v/>
      </c>
      <c r="B474" s="20" t="n"/>
      <c r="C474" s="20" t="n"/>
      <c r="D474" s="20" t="n"/>
      <c r="E474" s="22" t="n"/>
      <c r="F474" s="20" t="n"/>
      <c r="G474" s="20" t="n"/>
      <c r="H474" s="20" t="n"/>
      <c r="I474" s="20">
        <f>IF(B474="","",IF(COUNTIF('Deep Read'!$B$5:$B$304,B474)&gt;0,"✓",IF(G474="Include","→ add","")))</f>
        <v/>
      </c>
      <c r="J474" s="20" t="n"/>
    </row>
    <row r="475">
      <c r="A475" s="17">
        <f>IF(B475="","",ROW()-4)</f>
        <v/>
      </c>
      <c r="B475" s="17" t="n"/>
      <c r="C475" s="17" t="n"/>
      <c r="D475" s="17" t="n"/>
      <c r="E475" s="19" t="n"/>
      <c r="F475" s="17" t="n"/>
      <c r="G475" s="17" t="n"/>
      <c r="H475" s="17" t="n"/>
      <c r="I475" s="17">
        <f>IF(B475="","",IF(COUNTIF('Deep Read'!$B$5:$B$304,B475)&gt;0,"✓",IF(G475="Include","→ add","")))</f>
        <v/>
      </c>
      <c r="J475" s="17" t="n"/>
    </row>
    <row r="476">
      <c r="A476" s="20">
        <f>IF(B476="","",ROW()-4)</f>
        <v/>
      </c>
      <c r="B476" s="20" t="n"/>
      <c r="C476" s="20" t="n"/>
      <c r="D476" s="20" t="n"/>
      <c r="E476" s="22" t="n"/>
      <c r="F476" s="20" t="n"/>
      <c r="G476" s="20" t="n"/>
      <c r="H476" s="20" t="n"/>
      <c r="I476" s="20">
        <f>IF(B476="","",IF(COUNTIF('Deep Read'!$B$5:$B$304,B476)&gt;0,"✓",IF(G476="Include","→ add","")))</f>
        <v/>
      </c>
      <c r="J476" s="20" t="n"/>
    </row>
    <row r="477">
      <c r="A477" s="17">
        <f>IF(B477="","",ROW()-4)</f>
        <v/>
      </c>
      <c r="B477" s="17" t="n"/>
      <c r="C477" s="17" t="n"/>
      <c r="D477" s="17" t="n"/>
      <c r="E477" s="19" t="n"/>
      <c r="F477" s="17" t="n"/>
      <c r="G477" s="17" t="n"/>
      <c r="H477" s="17" t="n"/>
      <c r="I477" s="17">
        <f>IF(B477="","",IF(COUNTIF('Deep Read'!$B$5:$B$304,B477)&gt;0,"✓",IF(G477="Include","→ add","")))</f>
        <v/>
      </c>
      <c r="J477" s="17" t="n"/>
    </row>
    <row r="478">
      <c r="A478" s="20">
        <f>IF(B478="","",ROW()-4)</f>
        <v/>
      </c>
      <c r="B478" s="20" t="n"/>
      <c r="C478" s="20" t="n"/>
      <c r="D478" s="20" t="n"/>
      <c r="E478" s="22" t="n"/>
      <c r="F478" s="20" t="n"/>
      <c r="G478" s="20" t="n"/>
      <c r="H478" s="20" t="n"/>
      <c r="I478" s="20">
        <f>IF(B478="","",IF(COUNTIF('Deep Read'!$B$5:$B$304,B478)&gt;0,"✓",IF(G478="Include","→ add","")))</f>
        <v/>
      </c>
      <c r="J478" s="20" t="n"/>
    </row>
    <row r="479">
      <c r="A479" s="17">
        <f>IF(B479="","",ROW()-4)</f>
        <v/>
      </c>
      <c r="B479" s="17" t="n"/>
      <c r="C479" s="17" t="n"/>
      <c r="D479" s="17" t="n"/>
      <c r="E479" s="19" t="n"/>
      <c r="F479" s="17" t="n"/>
      <c r="G479" s="17" t="n"/>
      <c r="H479" s="17" t="n"/>
      <c r="I479" s="17">
        <f>IF(B479="","",IF(COUNTIF('Deep Read'!$B$5:$B$304,B479)&gt;0,"✓",IF(G479="Include","→ add","")))</f>
        <v/>
      </c>
      <c r="J479" s="17" t="n"/>
    </row>
    <row r="480">
      <c r="A480" s="20">
        <f>IF(B480="","",ROW()-4)</f>
        <v/>
      </c>
      <c r="B480" s="20" t="n"/>
      <c r="C480" s="20" t="n"/>
      <c r="D480" s="20" t="n"/>
      <c r="E480" s="22" t="n"/>
      <c r="F480" s="20" t="n"/>
      <c r="G480" s="20" t="n"/>
      <c r="H480" s="20" t="n"/>
      <c r="I480" s="20">
        <f>IF(B480="","",IF(COUNTIF('Deep Read'!$B$5:$B$304,B480)&gt;0,"✓",IF(G480="Include","→ add","")))</f>
        <v/>
      </c>
      <c r="J480" s="20" t="n"/>
    </row>
    <row r="481">
      <c r="A481" s="17">
        <f>IF(B481="","",ROW()-4)</f>
        <v/>
      </c>
      <c r="B481" s="17" t="n"/>
      <c r="C481" s="17" t="n"/>
      <c r="D481" s="17" t="n"/>
      <c r="E481" s="19" t="n"/>
      <c r="F481" s="17" t="n"/>
      <c r="G481" s="17" t="n"/>
      <c r="H481" s="17" t="n"/>
      <c r="I481" s="17">
        <f>IF(B481="","",IF(COUNTIF('Deep Read'!$B$5:$B$304,B481)&gt;0,"✓",IF(G481="Include","→ add","")))</f>
        <v/>
      </c>
      <c r="J481" s="17" t="n"/>
    </row>
    <row r="482">
      <c r="A482" s="20">
        <f>IF(B482="","",ROW()-4)</f>
        <v/>
      </c>
      <c r="B482" s="20" t="n"/>
      <c r="C482" s="20" t="n"/>
      <c r="D482" s="20" t="n"/>
      <c r="E482" s="22" t="n"/>
      <c r="F482" s="20" t="n"/>
      <c r="G482" s="20" t="n"/>
      <c r="H482" s="20" t="n"/>
      <c r="I482" s="20">
        <f>IF(B482="","",IF(COUNTIF('Deep Read'!$B$5:$B$304,B482)&gt;0,"✓",IF(G482="Include","→ add","")))</f>
        <v/>
      </c>
      <c r="J482" s="20" t="n"/>
    </row>
    <row r="483">
      <c r="A483" s="17">
        <f>IF(B483="","",ROW()-4)</f>
        <v/>
      </c>
      <c r="B483" s="17" t="n"/>
      <c r="C483" s="17" t="n"/>
      <c r="D483" s="17" t="n"/>
      <c r="E483" s="19" t="n"/>
      <c r="F483" s="17" t="n"/>
      <c r="G483" s="17" t="n"/>
      <c r="H483" s="17" t="n"/>
      <c r="I483" s="17">
        <f>IF(B483="","",IF(COUNTIF('Deep Read'!$B$5:$B$304,B483)&gt;0,"✓",IF(G483="Include","→ add","")))</f>
        <v/>
      </c>
      <c r="J483" s="17" t="n"/>
    </row>
    <row r="484">
      <c r="A484" s="20">
        <f>IF(B484="","",ROW()-4)</f>
        <v/>
      </c>
      <c r="B484" s="20" t="n"/>
      <c r="C484" s="20" t="n"/>
      <c r="D484" s="20" t="n"/>
      <c r="E484" s="22" t="n"/>
      <c r="F484" s="20" t="n"/>
      <c r="G484" s="20" t="n"/>
      <c r="H484" s="20" t="n"/>
      <c r="I484" s="20">
        <f>IF(B484="","",IF(COUNTIF('Deep Read'!$B$5:$B$304,B484)&gt;0,"✓",IF(G484="Include","→ add","")))</f>
        <v/>
      </c>
      <c r="J484" s="20" t="n"/>
    </row>
    <row r="485">
      <c r="A485" s="17">
        <f>IF(B485="","",ROW()-4)</f>
        <v/>
      </c>
      <c r="B485" s="17" t="n"/>
      <c r="C485" s="17" t="n"/>
      <c r="D485" s="17" t="n"/>
      <c r="E485" s="19" t="n"/>
      <c r="F485" s="17" t="n"/>
      <c r="G485" s="17" t="n"/>
      <c r="H485" s="17" t="n"/>
      <c r="I485" s="17">
        <f>IF(B485="","",IF(COUNTIF('Deep Read'!$B$5:$B$304,B485)&gt;0,"✓",IF(G485="Include","→ add","")))</f>
        <v/>
      </c>
      <c r="J485" s="17" t="n"/>
    </row>
    <row r="486">
      <c r="A486" s="20">
        <f>IF(B486="","",ROW()-4)</f>
        <v/>
      </c>
      <c r="B486" s="20" t="n"/>
      <c r="C486" s="20" t="n"/>
      <c r="D486" s="20" t="n"/>
      <c r="E486" s="22" t="n"/>
      <c r="F486" s="20" t="n"/>
      <c r="G486" s="20" t="n"/>
      <c r="H486" s="20" t="n"/>
      <c r="I486" s="20">
        <f>IF(B486="","",IF(COUNTIF('Deep Read'!$B$5:$B$304,B486)&gt;0,"✓",IF(G486="Include","→ add","")))</f>
        <v/>
      </c>
      <c r="J486" s="20" t="n"/>
    </row>
    <row r="487">
      <c r="A487" s="17">
        <f>IF(B487="","",ROW()-4)</f>
        <v/>
      </c>
      <c r="B487" s="17" t="n"/>
      <c r="C487" s="17" t="n"/>
      <c r="D487" s="17" t="n"/>
      <c r="E487" s="19" t="n"/>
      <c r="F487" s="17" t="n"/>
      <c r="G487" s="17" t="n"/>
      <c r="H487" s="17" t="n"/>
      <c r="I487" s="17">
        <f>IF(B487="","",IF(COUNTIF('Deep Read'!$B$5:$B$304,B487)&gt;0,"✓",IF(G487="Include","→ add","")))</f>
        <v/>
      </c>
      <c r="J487" s="17" t="n"/>
    </row>
    <row r="488">
      <c r="A488" s="20">
        <f>IF(B488="","",ROW()-4)</f>
        <v/>
      </c>
      <c r="B488" s="20" t="n"/>
      <c r="C488" s="20" t="n"/>
      <c r="D488" s="20" t="n"/>
      <c r="E488" s="22" t="n"/>
      <c r="F488" s="20" t="n"/>
      <c r="G488" s="20" t="n"/>
      <c r="H488" s="20" t="n"/>
      <c r="I488" s="20">
        <f>IF(B488="","",IF(COUNTIF('Deep Read'!$B$5:$B$304,B488)&gt;0,"✓",IF(G488="Include","→ add","")))</f>
        <v/>
      </c>
      <c r="J488" s="20" t="n"/>
    </row>
    <row r="489">
      <c r="A489" s="17">
        <f>IF(B489="","",ROW()-4)</f>
        <v/>
      </c>
      <c r="B489" s="17" t="n"/>
      <c r="C489" s="17" t="n"/>
      <c r="D489" s="17" t="n"/>
      <c r="E489" s="19" t="n"/>
      <c r="F489" s="17" t="n"/>
      <c r="G489" s="17" t="n"/>
      <c r="H489" s="17" t="n"/>
      <c r="I489" s="17">
        <f>IF(B489="","",IF(COUNTIF('Deep Read'!$B$5:$B$304,B489)&gt;0,"✓",IF(G489="Include","→ add","")))</f>
        <v/>
      </c>
      <c r="J489" s="17" t="n"/>
    </row>
    <row r="490">
      <c r="A490" s="20">
        <f>IF(B490="","",ROW()-4)</f>
        <v/>
      </c>
      <c r="B490" s="20" t="n"/>
      <c r="C490" s="20" t="n"/>
      <c r="D490" s="20" t="n"/>
      <c r="E490" s="22" t="n"/>
      <c r="F490" s="20" t="n"/>
      <c r="G490" s="20" t="n"/>
      <c r="H490" s="20" t="n"/>
      <c r="I490" s="20">
        <f>IF(B490="","",IF(COUNTIF('Deep Read'!$B$5:$B$304,B490)&gt;0,"✓",IF(G490="Include","→ add","")))</f>
        <v/>
      </c>
      <c r="J490" s="20" t="n"/>
    </row>
    <row r="491">
      <c r="A491" s="17">
        <f>IF(B491="","",ROW()-4)</f>
        <v/>
      </c>
      <c r="B491" s="17" t="n"/>
      <c r="C491" s="17" t="n"/>
      <c r="D491" s="17" t="n"/>
      <c r="E491" s="19" t="n"/>
      <c r="F491" s="17" t="n"/>
      <c r="G491" s="17" t="n"/>
      <c r="H491" s="17" t="n"/>
      <c r="I491" s="17">
        <f>IF(B491="","",IF(COUNTIF('Deep Read'!$B$5:$B$304,B491)&gt;0,"✓",IF(G491="Include","→ add","")))</f>
        <v/>
      </c>
      <c r="J491" s="17" t="n"/>
    </row>
    <row r="492">
      <c r="A492" s="20">
        <f>IF(B492="","",ROW()-4)</f>
        <v/>
      </c>
      <c r="B492" s="20" t="n"/>
      <c r="C492" s="20" t="n"/>
      <c r="D492" s="20" t="n"/>
      <c r="E492" s="22" t="n"/>
      <c r="F492" s="20" t="n"/>
      <c r="G492" s="20" t="n"/>
      <c r="H492" s="20" t="n"/>
      <c r="I492" s="20">
        <f>IF(B492="","",IF(COUNTIF('Deep Read'!$B$5:$B$304,B492)&gt;0,"✓",IF(G492="Include","→ add","")))</f>
        <v/>
      </c>
      <c r="J492" s="20" t="n"/>
    </row>
    <row r="493">
      <c r="A493" s="17">
        <f>IF(B493="","",ROW()-4)</f>
        <v/>
      </c>
      <c r="B493" s="17" t="n"/>
      <c r="C493" s="17" t="n"/>
      <c r="D493" s="17" t="n"/>
      <c r="E493" s="19" t="n"/>
      <c r="F493" s="17" t="n"/>
      <c r="G493" s="17" t="n"/>
      <c r="H493" s="17" t="n"/>
      <c r="I493" s="17">
        <f>IF(B493="","",IF(COUNTIF('Deep Read'!$B$5:$B$304,B493)&gt;0,"✓",IF(G493="Include","→ add","")))</f>
        <v/>
      </c>
      <c r="J493" s="17" t="n"/>
    </row>
    <row r="494">
      <c r="A494" s="20">
        <f>IF(B494="","",ROW()-4)</f>
        <v/>
      </c>
      <c r="B494" s="20" t="n"/>
      <c r="C494" s="20" t="n"/>
      <c r="D494" s="20" t="n"/>
      <c r="E494" s="22" t="n"/>
      <c r="F494" s="20" t="n"/>
      <c r="G494" s="20" t="n"/>
      <c r="H494" s="20" t="n"/>
      <c r="I494" s="20">
        <f>IF(B494="","",IF(COUNTIF('Deep Read'!$B$5:$B$304,B494)&gt;0,"✓",IF(G494="Include","→ add","")))</f>
        <v/>
      </c>
      <c r="J494" s="20" t="n"/>
    </row>
    <row r="495">
      <c r="A495" s="17">
        <f>IF(B495="","",ROW()-4)</f>
        <v/>
      </c>
      <c r="B495" s="17" t="n"/>
      <c r="C495" s="17" t="n"/>
      <c r="D495" s="17" t="n"/>
      <c r="E495" s="19" t="n"/>
      <c r="F495" s="17" t="n"/>
      <c r="G495" s="17" t="n"/>
      <c r="H495" s="17" t="n"/>
      <c r="I495" s="17">
        <f>IF(B495="","",IF(COUNTIF('Deep Read'!$B$5:$B$304,B495)&gt;0,"✓",IF(G495="Include","→ add","")))</f>
        <v/>
      </c>
      <c r="J495" s="17" t="n"/>
    </row>
    <row r="496">
      <c r="A496" s="20">
        <f>IF(B496="","",ROW()-4)</f>
        <v/>
      </c>
      <c r="B496" s="20" t="n"/>
      <c r="C496" s="20" t="n"/>
      <c r="D496" s="20" t="n"/>
      <c r="E496" s="22" t="n"/>
      <c r="F496" s="20" t="n"/>
      <c r="G496" s="20" t="n"/>
      <c r="H496" s="20" t="n"/>
      <c r="I496" s="20">
        <f>IF(B496="","",IF(COUNTIF('Deep Read'!$B$5:$B$304,B496)&gt;0,"✓",IF(G496="Include","→ add","")))</f>
        <v/>
      </c>
      <c r="J496" s="20" t="n"/>
    </row>
    <row r="497">
      <c r="A497" s="17">
        <f>IF(B497="","",ROW()-4)</f>
        <v/>
      </c>
      <c r="B497" s="17" t="n"/>
      <c r="C497" s="17" t="n"/>
      <c r="D497" s="17" t="n"/>
      <c r="E497" s="19" t="n"/>
      <c r="F497" s="17" t="n"/>
      <c r="G497" s="17" t="n"/>
      <c r="H497" s="17" t="n"/>
      <c r="I497" s="17">
        <f>IF(B497="","",IF(COUNTIF('Deep Read'!$B$5:$B$304,B497)&gt;0,"✓",IF(G497="Include","→ add","")))</f>
        <v/>
      </c>
      <c r="J497" s="17" t="n"/>
    </row>
    <row r="498">
      <c r="A498" s="20">
        <f>IF(B498="","",ROW()-4)</f>
        <v/>
      </c>
      <c r="B498" s="20" t="n"/>
      <c r="C498" s="20" t="n"/>
      <c r="D498" s="20" t="n"/>
      <c r="E498" s="22" t="n"/>
      <c r="F498" s="20" t="n"/>
      <c r="G498" s="20" t="n"/>
      <c r="H498" s="20" t="n"/>
      <c r="I498" s="20">
        <f>IF(B498="","",IF(COUNTIF('Deep Read'!$B$5:$B$304,B498)&gt;0,"✓",IF(G498="Include","→ add","")))</f>
        <v/>
      </c>
      <c r="J498" s="20" t="n"/>
    </row>
    <row r="499">
      <c r="A499" s="17">
        <f>IF(B499="","",ROW()-4)</f>
        <v/>
      </c>
      <c r="B499" s="17" t="n"/>
      <c r="C499" s="17" t="n"/>
      <c r="D499" s="17" t="n"/>
      <c r="E499" s="19" t="n"/>
      <c r="F499" s="17" t="n"/>
      <c r="G499" s="17" t="n"/>
      <c r="H499" s="17" t="n"/>
      <c r="I499" s="17">
        <f>IF(B499="","",IF(COUNTIF('Deep Read'!$B$5:$B$304,B499)&gt;0,"✓",IF(G499="Include","→ add","")))</f>
        <v/>
      </c>
      <c r="J499" s="17" t="n"/>
    </row>
    <row r="500">
      <c r="A500" s="20">
        <f>IF(B500="","",ROW()-4)</f>
        <v/>
      </c>
      <c r="B500" s="20" t="n"/>
      <c r="C500" s="20" t="n"/>
      <c r="D500" s="20" t="n"/>
      <c r="E500" s="22" t="n"/>
      <c r="F500" s="20" t="n"/>
      <c r="G500" s="20" t="n"/>
      <c r="H500" s="20" t="n"/>
      <c r="I500" s="20">
        <f>IF(B500="","",IF(COUNTIF('Deep Read'!$B$5:$B$304,B500)&gt;0,"✓",IF(G500="Include","→ add","")))</f>
        <v/>
      </c>
      <c r="J500" s="20" t="n"/>
    </row>
    <row r="501">
      <c r="A501" s="17">
        <f>IF(B501="","",ROW()-4)</f>
        <v/>
      </c>
      <c r="B501" s="17" t="n"/>
      <c r="C501" s="17" t="n"/>
      <c r="D501" s="17" t="n"/>
      <c r="E501" s="19" t="n"/>
      <c r="F501" s="17" t="n"/>
      <c r="G501" s="17" t="n"/>
      <c r="H501" s="17" t="n"/>
      <c r="I501" s="17">
        <f>IF(B501="","",IF(COUNTIF('Deep Read'!$B$5:$B$304,B501)&gt;0,"✓",IF(G501="Include","→ add","")))</f>
        <v/>
      </c>
      <c r="J501" s="17" t="n"/>
    </row>
    <row r="502">
      <c r="A502" s="20">
        <f>IF(B502="","",ROW()-4)</f>
        <v/>
      </c>
      <c r="B502" s="20" t="n"/>
      <c r="C502" s="20" t="n"/>
      <c r="D502" s="20" t="n"/>
      <c r="E502" s="22" t="n"/>
      <c r="F502" s="20" t="n"/>
      <c r="G502" s="20" t="n"/>
      <c r="H502" s="20" t="n"/>
      <c r="I502" s="20">
        <f>IF(B502="","",IF(COUNTIF('Deep Read'!$B$5:$B$304,B502)&gt;0,"✓",IF(G502="Include","→ add","")))</f>
        <v/>
      </c>
      <c r="J502" s="20" t="n"/>
    </row>
    <row r="503">
      <c r="A503" s="17">
        <f>IF(B503="","",ROW()-4)</f>
        <v/>
      </c>
      <c r="B503" s="17" t="n"/>
      <c r="C503" s="17" t="n"/>
      <c r="D503" s="17" t="n"/>
      <c r="E503" s="19" t="n"/>
      <c r="F503" s="17" t="n"/>
      <c r="G503" s="17" t="n"/>
      <c r="H503" s="17" t="n"/>
      <c r="I503" s="17">
        <f>IF(B503="","",IF(COUNTIF('Deep Read'!$B$5:$B$304,B503)&gt;0,"✓",IF(G503="Include","→ add","")))</f>
        <v/>
      </c>
      <c r="J503" s="17" t="n"/>
    </row>
    <row r="504">
      <c r="A504" s="20">
        <f>IF(B504="","",ROW()-4)</f>
        <v/>
      </c>
      <c r="B504" s="20" t="n"/>
      <c r="C504" s="20" t="n"/>
      <c r="D504" s="20" t="n"/>
      <c r="E504" s="22" t="n"/>
      <c r="F504" s="20" t="n"/>
      <c r="G504" s="20" t="n"/>
      <c r="H504" s="20" t="n"/>
      <c r="I504" s="20">
        <f>IF(B504="","",IF(COUNTIF('Deep Read'!$B$5:$B$304,B504)&gt;0,"✓",IF(G504="Include","→ add","")))</f>
        <v/>
      </c>
      <c r="J504" s="20" t="n"/>
    </row>
  </sheetData>
  <autoFilter ref="A4:J504"/>
  <mergeCells count="2">
    <mergeCell ref="A1:J1"/>
    <mergeCell ref="A2:J2"/>
  </mergeCells>
  <conditionalFormatting sqref="G5:G504">
    <cfRule type="cellIs" priority="1" operator="equal" dxfId="0">
      <formula>"Include"</formula>
    </cfRule>
    <cfRule type="cellIs" priority="2" operator="equal" dxfId="1">
      <formula>"Exclude"</formula>
    </cfRule>
    <cfRule type="cellIs" priority="3" operator="equal" dxfId="2">
      <formula>"Maybe"</formula>
    </cfRule>
    <cfRule type="cellIs" priority="4" operator="equal" dxfId="3">
      <formula>"Duplicate"</formula>
    </cfRule>
  </conditionalFormatting>
  <conditionalFormatting sqref="I5:I504">
    <cfRule type="cellIs" priority="5" operator="equal" dxfId="0">
      <formula>"✓"</formula>
    </cfRule>
    <cfRule type="cellIs" priority="6" operator="equal" dxfId="2">
      <formula>"→ add"</formula>
    </cfRule>
  </conditionalFormatting>
  <dataValidations count="3">
    <dataValidation sqref="F5:F504" showDropDown="0" showInputMessage="0" showErrorMessage="0" allowBlank="1" type="list">
      <formula1>Lists!$F$1:$F$2</formula1>
    </dataValidation>
    <dataValidation sqref="G5:G504" showDropDown="0" showInputMessage="0" showErrorMessage="0" allowBlank="1" type="list">
      <formula1>Lists!$B$1:$B$4</formula1>
    </dataValidation>
    <dataValidation sqref="H5:H504" showDropDown="0" showInputMessage="0" showErrorMessage="0" allowBlank="1" type="list">
      <formula1>Lists!$G$1:$G$9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42" customWidth="1" min="3" max="3"/>
    <col width="22" customWidth="1" min="4" max="4"/>
    <col width="16" customWidth="1" min="5" max="5"/>
    <col width="13" customWidth="1" min="6" max="6"/>
    <col width="11" customWidth="1" min="7" max="7"/>
    <col width="13" customWidth="1" min="8" max="8"/>
    <col width="24" customWidth="1" min="9" max="9"/>
    <col width="22" customWidth="1" min="10" max="10"/>
    <col width="28" customWidth="1" min="11" max="11"/>
    <col width="40" customWidth="1" min="12" max="12"/>
    <col width="28" customWidth="1" min="13" max="13"/>
    <col width="28" customWidth="1" min="14" max="14"/>
    <col width="34" customWidth="1" min="15" max="15"/>
    <col width="34" customWidth="1" min="16" max="16"/>
    <col width="22" customWidth="1" min="17" max="17"/>
    <col width="24" customWidth="1" min="18" max="18"/>
    <col width="12" customWidth="1" min="19" max="19"/>
  </cols>
  <sheetData>
    <row r="1" ht="26" customHeight="1">
      <c r="A1" s="7" t="inlineStr">
        <is>
          <t>Deep Read Tracker</t>
        </is>
      </c>
    </row>
    <row r="2">
      <c r="A2" s="8" t="inlineStr">
        <is>
          <t>One row per included source. The three columns nobody else has: their limitations, the gap they leave open, and your critique.</t>
        </is>
      </c>
    </row>
    <row r="4" ht="30" customHeight="1">
      <c r="A4" s="16" t="inlineStr">
        <is>
          <t>#</t>
        </is>
      </c>
      <c r="B4" s="16" t="inlineStr">
        <is>
          <t>Author (Year)</t>
        </is>
      </c>
      <c r="C4" s="16" t="inlineStr">
        <is>
          <t>Title</t>
        </is>
      </c>
      <c r="D4" s="16" t="inlineStr">
        <is>
          <t>Source / journal</t>
        </is>
      </c>
      <c r="E4" s="16" t="inlineStr">
        <is>
          <t>Type</t>
        </is>
      </c>
      <c r="F4" s="16" t="inlineStr">
        <is>
          <t>Status</t>
        </is>
      </c>
      <c r="G4" s="16" t="inlineStr">
        <is>
          <t>Priority</t>
        </is>
      </c>
      <c r="H4" s="16" t="inlineStr">
        <is>
          <t>Relevance (1–5)</t>
        </is>
      </c>
      <c r="I4" s="16" t="inlineStr">
        <is>
          <t>Research aim / question</t>
        </is>
      </c>
      <c r="J4" s="16" t="inlineStr">
        <is>
          <t>Theory / framework</t>
        </is>
      </c>
      <c r="K4" s="16" t="inlineStr">
        <is>
          <t>Method &amp; sample</t>
        </is>
      </c>
      <c r="L4" s="16" t="inlineStr">
        <is>
          <t>Key findings</t>
        </is>
      </c>
      <c r="M4" s="16" t="inlineStr">
        <is>
          <t>Limitations (theirs)</t>
        </is>
      </c>
      <c r="N4" s="16" t="inlineStr">
        <is>
          <t>Gap it leaves open</t>
        </is>
      </c>
      <c r="O4" s="16" t="inlineStr">
        <is>
          <t>Best quotes (+ page)</t>
        </is>
      </c>
      <c r="P4" s="16" t="inlineStr">
        <is>
          <t>My critique</t>
        </is>
      </c>
      <c r="Q4" s="16" t="inlineStr">
        <is>
          <t>Themes / tags</t>
        </is>
      </c>
      <c r="R4" s="16" t="inlineStr">
        <is>
          <t>DOI / link</t>
        </is>
      </c>
      <c r="S4" s="16" t="inlineStr">
        <is>
          <t>Added</t>
        </is>
      </c>
    </row>
    <row r="5">
      <c r="A5" s="17">
        <f>IF(B5="","",ROW()-4)</f>
        <v/>
      </c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8" t="n"/>
    </row>
    <row r="6">
      <c r="A6" s="20">
        <f>IF(B6="","",ROW()-4)</f>
        <v/>
      </c>
      <c r="B6" s="20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1" t="n"/>
    </row>
    <row r="7">
      <c r="A7" s="17">
        <f>IF(B7="","",ROW()-4)</f>
        <v/>
      </c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8" t="n"/>
    </row>
    <row r="8">
      <c r="A8" s="20">
        <f>IF(B8="","",ROW()-4)</f>
        <v/>
      </c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1" t="n"/>
    </row>
    <row r="9">
      <c r="A9" s="17">
        <f>IF(B9="","",ROW()-4)</f>
        <v/>
      </c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8" t="n"/>
    </row>
    <row r="10">
      <c r="A10" s="20">
        <f>IF(B10="","",ROW()-4)</f>
        <v/>
      </c>
      <c r="B10" s="20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1" t="n"/>
    </row>
    <row r="11">
      <c r="A11" s="17">
        <f>IF(B11="","",ROW()-4)</f>
        <v/>
      </c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8" t="n"/>
    </row>
    <row r="12">
      <c r="A12" s="20">
        <f>IF(B12="","",ROW()-4)</f>
        <v/>
      </c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1" t="n"/>
    </row>
    <row r="13">
      <c r="A13" s="17">
        <f>IF(B13="","",ROW()-4)</f>
        <v/>
      </c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8" t="n"/>
    </row>
    <row r="14">
      <c r="A14" s="20">
        <f>IF(B14="","",ROW()-4)</f>
        <v/>
      </c>
      <c r="B14" s="20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1" t="n"/>
    </row>
    <row r="15">
      <c r="A15" s="17">
        <f>IF(B15="","",ROW()-4)</f>
        <v/>
      </c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8" t="n"/>
    </row>
    <row r="16">
      <c r="A16" s="20">
        <f>IF(B16="","",ROW()-4)</f>
        <v/>
      </c>
      <c r="B16" s="20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1" t="n"/>
    </row>
    <row r="17">
      <c r="A17" s="17">
        <f>IF(B17="","",ROW()-4)</f>
        <v/>
      </c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8" t="n"/>
    </row>
    <row r="18">
      <c r="A18" s="20">
        <f>IF(B18="","",ROW()-4)</f>
        <v/>
      </c>
      <c r="B18" s="20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1" t="n"/>
    </row>
    <row r="19">
      <c r="A19" s="17">
        <f>IF(B19="","",ROW()-4)</f>
        <v/>
      </c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8" t="n"/>
    </row>
    <row r="20">
      <c r="A20" s="20">
        <f>IF(B20="","",ROW()-4)</f>
        <v/>
      </c>
      <c r="B20" s="20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1" t="n"/>
    </row>
    <row r="21">
      <c r="A21" s="17">
        <f>IF(B21="","",ROW()-4)</f>
        <v/>
      </c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8" t="n"/>
    </row>
    <row r="22">
      <c r="A22" s="20">
        <f>IF(B22="","",ROW()-4)</f>
        <v/>
      </c>
      <c r="B22" s="20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1" t="n"/>
    </row>
    <row r="23">
      <c r="A23" s="17">
        <f>IF(B23="","",ROW()-4)</f>
        <v/>
      </c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8" t="n"/>
    </row>
    <row r="24">
      <c r="A24" s="20">
        <f>IF(B24="","",ROW()-4)</f>
        <v/>
      </c>
      <c r="B24" s="20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1" t="n"/>
    </row>
    <row r="25">
      <c r="A25" s="17">
        <f>IF(B25="","",ROW()-4)</f>
        <v/>
      </c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8" t="n"/>
    </row>
    <row r="26">
      <c r="A26" s="20">
        <f>IF(B26="","",ROW()-4)</f>
        <v/>
      </c>
      <c r="B26" s="20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1" t="n"/>
    </row>
    <row r="27">
      <c r="A27" s="17">
        <f>IF(B27="","",ROW()-4)</f>
        <v/>
      </c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8" t="n"/>
    </row>
    <row r="28">
      <c r="A28" s="20">
        <f>IF(B28="","",ROW()-4)</f>
        <v/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1" t="n"/>
    </row>
    <row r="29">
      <c r="A29" s="17">
        <f>IF(B29="","",ROW()-4)</f>
        <v/>
      </c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8" t="n"/>
    </row>
    <row r="30">
      <c r="A30" s="20">
        <f>IF(B30="","",ROW()-4)</f>
        <v/>
      </c>
      <c r="B30" s="20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1" t="n"/>
    </row>
    <row r="31">
      <c r="A31" s="17">
        <f>IF(B31="","",ROW()-4)</f>
        <v/>
      </c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8" t="n"/>
    </row>
    <row r="32">
      <c r="A32" s="20">
        <f>IF(B32="","",ROW()-4)</f>
        <v/>
      </c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1" t="n"/>
    </row>
    <row r="33">
      <c r="A33" s="17">
        <f>IF(B33="","",ROW()-4)</f>
        <v/>
      </c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8" t="n"/>
    </row>
    <row r="34">
      <c r="A34" s="20">
        <f>IF(B34="","",ROW()-4)</f>
        <v/>
      </c>
      <c r="B34" s="20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1" t="n"/>
    </row>
    <row r="35">
      <c r="A35" s="17">
        <f>IF(B35="","",ROW()-4)</f>
        <v/>
      </c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8" t="n"/>
    </row>
    <row r="36">
      <c r="A36" s="20">
        <f>IF(B36="","",ROW()-4)</f>
        <v/>
      </c>
      <c r="B36" s="20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1" t="n"/>
    </row>
    <row r="37">
      <c r="A37" s="17">
        <f>IF(B37="","",ROW()-4)</f>
        <v/>
      </c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8" t="n"/>
    </row>
    <row r="38">
      <c r="A38" s="20">
        <f>IF(B38="","",ROW()-4)</f>
        <v/>
      </c>
      <c r="B38" s="20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1" t="n"/>
    </row>
    <row r="39">
      <c r="A39" s="17">
        <f>IF(B39="","",ROW()-4)</f>
        <v/>
      </c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8" t="n"/>
    </row>
    <row r="40">
      <c r="A40" s="20">
        <f>IF(B40="","",ROW()-4)</f>
        <v/>
      </c>
      <c r="B40" s="20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1" t="n"/>
    </row>
    <row r="41">
      <c r="A41" s="17">
        <f>IF(B41="","",ROW()-4)</f>
        <v/>
      </c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8" t="n"/>
    </row>
    <row r="42">
      <c r="A42" s="20">
        <f>IF(B42="","",ROW()-4)</f>
        <v/>
      </c>
      <c r="B42" s="20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1" t="n"/>
    </row>
    <row r="43">
      <c r="A43" s="17">
        <f>IF(B43="","",ROW()-4)</f>
        <v/>
      </c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8" t="n"/>
    </row>
    <row r="44">
      <c r="A44" s="20">
        <f>IF(B44="","",ROW()-4)</f>
        <v/>
      </c>
      <c r="B44" s="20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1" t="n"/>
    </row>
    <row r="45">
      <c r="A45" s="17">
        <f>IF(B45="","",ROW()-4)</f>
        <v/>
      </c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8" t="n"/>
    </row>
    <row r="46">
      <c r="A46" s="20">
        <f>IF(B46="","",ROW()-4)</f>
        <v/>
      </c>
      <c r="B46" s="20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1" t="n"/>
    </row>
    <row r="47">
      <c r="A47" s="17">
        <f>IF(B47="","",ROW()-4)</f>
        <v/>
      </c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8" t="n"/>
    </row>
    <row r="48">
      <c r="A48" s="20">
        <f>IF(B48="","",ROW()-4)</f>
        <v/>
      </c>
      <c r="B48" s="20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1" t="n"/>
    </row>
    <row r="49">
      <c r="A49" s="17">
        <f>IF(B49="","",ROW()-4)</f>
        <v/>
      </c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8" t="n"/>
    </row>
    <row r="50">
      <c r="A50" s="20">
        <f>IF(B50="","",ROW()-4)</f>
        <v/>
      </c>
      <c r="B50" s="20" t="n"/>
      <c r="C50" s="20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1" t="n"/>
    </row>
    <row r="51">
      <c r="A51" s="17">
        <f>IF(B51="","",ROW()-4)</f>
        <v/>
      </c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8" t="n"/>
    </row>
    <row r="52">
      <c r="A52" s="20">
        <f>IF(B52="","",ROW()-4)</f>
        <v/>
      </c>
      <c r="B52" s="20" t="n"/>
      <c r="C52" s="20" t="n"/>
      <c r="D52" s="20" t="n"/>
      <c r="E52" s="20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20" t="n"/>
      <c r="P52" s="20" t="n"/>
      <c r="Q52" s="20" t="n"/>
      <c r="R52" s="20" t="n"/>
      <c r="S52" s="21" t="n"/>
    </row>
    <row r="53">
      <c r="A53" s="17">
        <f>IF(B53="","",ROW()-4)</f>
        <v/>
      </c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8" t="n"/>
    </row>
    <row r="54">
      <c r="A54" s="20">
        <f>IF(B54="","",ROW()-4)</f>
        <v/>
      </c>
      <c r="B54" s="20" t="n"/>
      <c r="C54" s="20" t="n"/>
      <c r="D54" s="20" t="n"/>
      <c r="E54" s="20" t="n"/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20" t="n"/>
      <c r="P54" s="20" t="n"/>
      <c r="Q54" s="20" t="n"/>
      <c r="R54" s="20" t="n"/>
      <c r="S54" s="21" t="n"/>
    </row>
    <row r="55">
      <c r="A55" s="17">
        <f>IF(B55="","",ROW()-4)</f>
        <v/>
      </c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8" t="n"/>
    </row>
    <row r="56">
      <c r="A56" s="20">
        <f>IF(B56="","",ROW()-4)</f>
        <v/>
      </c>
      <c r="B56" s="20" t="n"/>
      <c r="C56" s="20" t="n"/>
      <c r="D56" s="20" t="n"/>
      <c r="E56" s="20" t="n"/>
      <c r="F56" s="20" t="n"/>
      <c r="G56" s="20" t="n"/>
      <c r="H56" s="20" t="n"/>
      <c r="I56" s="20" t="n"/>
      <c r="J56" s="20" t="n"/>
      <c r="K56" s="20" t="n"/>
      <c r="L56" s="20" t="n"/>
      <c r="M56" s="20" t="n"/>
      <c r="N56" s="20" t="n"/>
      <c r="O56" s="20" t="n"/>
      <c r="P56" s="20" t="n"/>
      <c r="Q56" s="20" t="n"/>
      <c r="R56" s="20" t="n"/>
      <c r="S56" s="21" t="n"/>
    </row>
    <row r="57">
      <c r="A57" s="17">
        <f>IF(B57="","",ROW()-4)</f>
        <v/>
      </c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8" t="n"/>
    </row>
    <row r="58">
      <c r="A58" s="20">
        <f>IF(B58="","",ROW()-4)</f>
        <v/>
      </c>
      <c r="B58" s="20" t="n"/>
      <c r="C58" s="20" t="n"/>
      <c r="D58" s="20" t="n"/>
      <c r="E58" s="20" t="n"/>
      <c r="F58" s="20" t="n"/>
      <c r="G58" s="20" t="n"/>
      <c r="H58" s="20" t="n"/>
      <c r="I58" s="20" t="n"/>
      <c r="J58" s="20" t="n"/>
      <c r="K58" s="20" t="n"/>
      <c r="L58" s="20" t="n"/>
      <c r="M58" s="20" t="n"/>
      <c r="N58" s="20" t="n"/>
      <c r="O58" s="20" t="n"/>
      <c r="P58" s="20" t="n"/>
      <c r="Q58" s="20" t="n"/>
      <c r="R58" s="20" t="n"/>
      <c r="S58" s="21" t="n"/>
    </row>
    <row r="59">
      <c r="A59" s="17">
        <f>IF(B59="","",ROW()-4)</f>
        <v/>
      </c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8" t="n"/>
    </row>
    <row r="60">
      <c r="A60" s="20">
        <f>IF(B60="","",ROW()-4)</f>
        <v/>
      </c>
      <c r="B60" s="20" t="n"/>
      <c r="C60" s="20" t="n"/>
      <c r="D60" s="20" t="n"/>
      <c r="E60" s="20" t="n"/>
      <c r="F60" s="20" t="n"/>
      <c r="G60" s="20" t="n"/>
      <c r="H60" s="20" t="n"/>
      <c r="I60" s="20" t="n"/>
      <c r="J60" s="20" t="n"/>
      <c r="K60" s="20" t="n"/>
      <c r="L60" s="20" t="n"/>
      <c r="M60" s="20" t="n"/>
      <c r="N60" s="20" t="n"/>
      <c r="O60" s="20" t="n"/>
      <c r="P60" s="20" t="n"/>
      <c r="Q60" s="20" t="n"/>
      <c r="R60" s="20" t="n"/>
      <c r="S60" s="21" t="n"/>
    </row>
    <row r="61">
      <c r="A61" s="17">
        <f>IF(B61="","",ROW()-4)</f>
        <v/>
      </c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8" t="n"/>
    </row>
    <row r="62">
      <c r="A62" s="20">
        <f>IF(B62="","",ROW()-4)</f>
        <v/>
      </c>
      <c r="B62" s="20" t="n"/>
      <c r="C62" s="20" t="n"/>
      <c r="D62" s="20" t="n"/>
      <c r="E62" s="20" t="n"/>
      <c r="F62" s="20" t="n"/>
      <c r="G62" s="20" t="n"/>
      <c r="H62" s="20" t="n"/>
      <c r="I62" s="20" t="n"/>
      <c r="J62" s="20" t="n"/>
      <c r="K62" s="20" t="n"/>
      <c r="L62" s="20" t="n"/>
      <c r="M62" s="20" t="n"/>
      <c r="N62" s="20" t="n"/>
      <c r="O62" s="20" t="n"/>
      <c r="P62" s="20" t="n"/>
      <c r="Q62" s="20" t="n"/>
      <c r="R62" s="20" t="n"/>
      <c r="S62" s="21" t="n"/>
    </row>
    <row r="63">
      <c r="A63" s="17">
        <f>IF(B63="","",ROW()-4)</f>
        <v/>
      </c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8" t="n"/>
    </row>
    <row r="64">
      <c r="A64" s="20">
        <f>IF(B64="","",ROW()-4)</f>
        <v/>
      </c>
      <c r="B64" s="20" t="n"/>
      <c r="C64" s="20" t="n"/>
      <c r="D64" s="20" t="n"/>
      <c r="E64" s="20" t="n"/>
      <c r="F64" s="20" t="n"/>
      <c r="G64" s="20" t="n"/>
      <c r="H64" s="20" t="n"/>
      <c r="I64" s="20" t="n"/>
      <c r="J64" s="20" t="n"/>
      <c r="K64" s="20" t="n"/>
      <c r="L64" s="20" t="n"/>
      <c r="M64" s="20" t="n"/>
      <c r="N64" s="20" t="n"/>
      <c r="O64" s="20" t="n"/>
      <c r="P64" s="20" t="n"/>
      <c r="Q64" s="20" t="n"/>
      <c r="R64" s="20" t="n"/>
      <c r="S64" s="21" t="n"/>
    </row>
    <row r="65">
      <c r="A65" s="17">
        <f>IF(B65="","",ROW()-4)</f>
        <v/>
      </c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8" t="n"/>
    </row>
    <row r="66">
      <c r="A66" s="20">
        <f>IF(B66="","",ROW()-4)</f>
        <v/>
      </c>
      <c r="B66" s="20" t="n"/>
      <c r="C66" s="20" t="n"/>
      <c r="D66" s="20" t="n"/>
      <c r="E66" s="20" t="n"/>
      <c r="F66" s="20" t="n"/>
      <c r="G66" s="20" t="n"/>
      <c r="H66" s="20" t="n"/>
      <c r="I66" s="20" t="n"/>
      <c r="J66" s="20" t="n"/>
      <c r="K66" s="20" t="n"/>
      <c r="L66" s="20" t="n"/>
      <c r="M66" s="20" t="n"/>
      <c r="N66" s="20" t="n"/>
      <c r="O66" s="20" t="n"/>
      <c r="P66" s="20" t="n"/>
      <c r="Q66" s="20" t="n"/>
      <c r="R66" s="20" t="n"/>
      <c r="S66" s="21" t="n"/>
    </row>
    <row r="67">
      <c r="A67" s="17">
        <f>IF(B67="","",ROW()-4)</f>
        <v/>
      </c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8" t="n"/>
    </row>
    <row r="68">
      <c r="A68" s="20">
        <f>IF(B68="","",ROW()-4)</f>
        <v/>
      </c>
      <c r="B68" s="20" t="n"/>
      <c r="C68" s="20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20" t="n"/>
      <c r="P68" s="20" t="n"/>
      <c r="Q68" s="20" t="n"/>
      <c r="R68" s="20" t="n"/>
      <c r="S68" s="21" t="n"/>
    </row>
    <row r="69">
      <c r="A69" s="17">
        <f>IF(B69="","",ROW()-4)</f>
        <v/>
      </c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8" t="n"/>
    </row>
    <row r="70">
      <c r="A70" s="20">
        <f>IF(B70="","",ROW()-4)</f>
        <v/>
      </c>
      <c r="B70" s="20" t="n"/>
      <c r="C70" s="20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20" t="n"/>
      <c r="P70" s="20" t="n"/>
      <c r="Q70" s="20" t="n"/>
      <c r="R70" s="20" t="n"/>
      <c r="S70" s="21" t="n"/>
    </row>
    <row r="71">
      <c r="A71" s="17">
        <f>IF(B71="","",ROW()-4)</f>
        <v/>
      </c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8" t="n"/>
    </row>
    <row r="72">
      <c r="A72" s="20">
        <f>IF(B72="","",ROW()-4)</f>
        <v/>
      </c>
      <c r="B72" s="20" t="n"/>
      <c r="C72" s="20" t="n"/>
      <c r="D72" s="20" t="n"/>
      <c r="E72" s="20" t="n"/>
      <c r="F72" s="20" t="n"/>
      <c r="G72" s="20" t="n"/>
      <c r="H72" s="20" t="n"/>
      <c r="I72" s="20" t="n"/>
      <c r="J72" s="20" t="n"/>
      <c r="K72" s="20" t="n"/>
      <c r="L72" s="20" t="n"/>
      <c r="M72" s="20" t="n"/>
      <c r="N72" s="20" t="n"/>
      <c r="O72" s="20" t="n"/>
      <c r="P72" s="20" t="n"/>
      <c r="Q72" s="20" t="n"/>
      <c r="R72" s="20" t="n"/>
      <c r="S72" s="21" t="n"/>
    </row>
    <row r="73">
      <c r="A73" s="17">
        <f>IF(B73="","",ROW()-4)</f>
        <v/>
      </c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8" t="n"/>
    </row>
    <row r="74">
      <c r="A74" s="20">
        <f>IF(B74="","",ROW()-4)</f>
        <v/>
      </c>
      <c r="B74" s="20" t="n"/>
      <c r="C74" s="20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20" t="n"/>
      <c r="P74" s="20" t="n"/>
      <c r="Q74" s="20" t="n"/>
      <c r="R74" s="20" t="n"/>
      <c r="S74" s="21" t="n"/>
    </row>
    <row r="75">
      <c r="A75" s="17">
        <f>IF(B75="","",ROW()-4)</f>
        <v/>
      </c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8" t="n"/>
    </row>
    <row r="76">
      <c r="A76" s="20">
        <f>IF(B76="","",ROW()-4)</f>
        <v/>
      </c>
      <c r="B76" s="20" t="n"/>
      <c r="C76" s="20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20" t="n"/>
      <c r="P76" s="20" t="n"/>
      <c r="Q76" s="20" t="n"/>
      <c r="R76" s="20" t="n"/>
      <c r="S76" s="21" t="n"/>
    </row>
    <row r="77">
      <c r="A77" s="17">
        <f>IF(B77="","",ROW()-4)</f>
        <v/>
      </c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8" t="n"/>
    </row>
    <row r="78">
      <c r="A78" s="20">
        <f>IF(B78="","",ROW()-4)</f>
        <v/>
      </c>
      <c r="B78" s="20" t="n"/>
      <c r="C78" s="20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20" t="n"/>
      <c r="P78" s="20" t="n"/>
      <c r="Q78" s="20" t="n"/>
      <c r="R78" s="20" t="n"/>
      <c r="S78" s="21" t="n"/>
    </row>
    <row r="79">
      <c r="A79" s="17">
        <f>IF(B79="","",ROW()-4)</f>
        <v/>
      </c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8" t="n"/>
    </row>
    <row r="80">
      <c r="A80" s="20">
        <f>IF(B80="","",ROW()-4)</f>
        <v/>
      </c>
      <c r="B80" s="20" t="n"/>
      <c r="C80" s="20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20" t="n"/>
      <c r="P80" s="20" t="n"/>
      <c r="Q80" s="20" t="n"/>
      <c r="R80" s="20" t="n"/>
      <c r="S80" s="21" t="n"/>
    </row>
    <row r="81">
      <c r="A81" s="17">
        <f>IF(B81="","",ROW()-4)</f>
        <v/>
      </c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8" t="n"/>
    </row>
    <row r="82">
      <c r="A82" s="20">
        <f>IF(B82="","",ROW()-4)</f>
        <v/>
      </c>
      <c r="B82" s="20" t="n"/>
      <c r="C82" s="20" t="n"/>
      <c r="D82" s="20" t="n"/>
      <c r="E82" s="20" t="n"/>
      <c r="F82" s="20" t="n"/>
      <c r="G82" s="20" t="n"/>
      <c r="H82" s="20" t="n"/>
      <c r="I82" s="20" t="n"/>
      <c r="J82" s="20" t="n"/>
      <c r="K82" s="20" t="n"/>
      <c r="L82" s="20" t="n"/>
      <c r="M82" s="20" t="n"/>
      <c r="N82" s="20" t="n"/>
      <c r="O82" s="20" t="n"/>
      <c r="P82" s="20" t="n"/>
      <c r="Q82" s="20" t="n"/>
      <c r="R82" s="20" t="n"/>
      <c r="S82" s="21" t="n"/>
    </row>
    <row r="83">
      <c r="A83" s="17">
        <f>IF(B83="","",ROW()-4)</f>
        <v/>
      </c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8" t="n"/>
    </row>
    <row r="84">
      <c r="A84" s="20">
        <f>IF(B84="","",ROW()-4)</f>
        <v/>
      </c>
      <c r="B84" s="20" t="n"/>
      <c r="C84" s="20" t="n"/>
      <c r="D84" s="20" t="n"/>
      <c r="E84" s="20" t="n"/>
      <c r="F84" s="20" t="n"/>
      <c r="G84" s="20" t="n"/>
      <c r="H84" s="20" t="n"/>
      <c r="I84" s="20" t="n"/>
      <c r="J84" s="20" t="n"/>
      <c r="K84" s="20" t="n"/>
      <c r="L84" s="20" t="n"/>
      <c r="M84" s="20" t="n"/>
      <c r="N84" s="20" t="n"/>
      <c r="O84" s="20" t="n"/>
      <c r="P84" s="20" t="n"/>
      <c r="Q84" s="20" t="n"/>
      <c r="R84" s="20" t="n"/>
      <c r="S84" s="21" t="n"/>
    </row>
    <row r="85">
      <c r="A85" s="17">
        <f>IF(B85="","",ROW()-4)</f>
        <v/>
      </c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8" t="n"/>
    </row>
    <row r="86">
      <c r="A86" s="20">
        <f>IF(B86="","",ROW()-4)</f>
        <v/>
      </c>
      <c r="B86" s="20" t="n"/>
      <c r="C86" s="20" t="n"/>
      <c r="D86" s="20" t="n"/>
      <c r="E86" s="20" t="n"/>
      <c r="F86" s="20" t="n"/>
      <c r="G86" s="20" t="n"/>
      <c r="H86" s="20" t="n"/>
      <c r="I86" s="20" t="n"/>
      <c r="J86" s="20" t="n"/>
      <c r="K86" s="20" t="n"/>
      <c r="L86" s="20" t="n"/>
      <c r="M86" s="20" t="n"/>
      <c r="N86" s="20" t="n"/>
      <c r="O86" s="20" t="n"/>
      <c r="P86" s="20" t="n"/>
      <c r="Q86" s="20" t="n"/>
      <c r="R86" s="20" t="n"/>
      <c r="S86" s="21" t="n"/>
    </row>
    <row r="87">
      <c r="A87" s="17">
        <f>IF(B87="","",ROW()-4)</f>
        <v/>
      </c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8" t="n"/>
    </row>
    <row r="88">
      <c r="A88" s="20">
        <f>IF(B88="","",ROW()-4)</f>
        <v/>
      </c>
      <c r="B88" s="20" t="n"/>
      <c r="C88" s="20" t="n"/>
      <c r="D88" s="20" t="n"/>
      <c r="E88" s="20" t="n"/>
      <c r="F88" s="20" t="n"/>
      <c r="G88" s="20" t="n"/>
      <c r="H88" s="20" t="n"/>
      <c r="I88" s="20" t="n"/>
      <c r="J88" s="20" t="n"/>
      <c r="K88" s="20" t="n"/>
      <c r="L88" s="20" t="n"/>
      <c r="M88" s="20" t="n"/>
      <c r="N88" s="20" t="n"/>
      <c r="O88" s="20" t="n"/>
      <c r="P88" s="20" t="n"/>
      <c r="Q88" s="20" t="n"/>
      <c r="R88" s="20" t="n"/>
      <c r="S88" s="21" t="n"/>
    </row>
    <row r="89">
      <c r="A89" s="17">
        <f>IF(B89="","",ROW()-4)</f>
        <v/>
      </c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8" t="n"/>
    </row>
    <row r="90">
      <c r="A90" s="20">
        <f>IF(B90="","",ROW()-4)</f>
        <v/>
      </c>
      <c r="B90" s="20" t="n"/>
      <c r="C90" s="20" t="n"/>
      <c r="D90" s="20" t="n"/>
      <c r="E90" s="20" t="n"/>
      <c r="F90" s="20" t="n"/>
      <c r="G90" s="20" t="n"/>
      <c r="H90" s="20" t="n"/>
      <c r="I90" s="20" t="n"/>
      <c r="J90" s="20" t="n"/>
      <c r="K90" s="20" t="n"/>
      <c r="L90" s="20" t="n"/>
      <c r="M90" s="20" t="n"/>
      <c r="N90" s="20" t="n"/>
      <c r="O90" s="20" t="n"/>
      <c r="P90" s="20" t="n"/>
      <c r="Q90" s="20" t="n"/>
      <c r="R90" s="20" t="n"/>
      <c r="S90" s="21" t="n"/>
    </row>
    <row r="91">
      <c r="A91" s="17">
        <f>IF(B91="","",ROW()-4)</f>
        <v/>
      </c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8" t="n"/>
    </row>
    <row r="92">
      <c r="A92" s="20">
        <f>IF(B92="","",ROW()-4)</f>
        <v/>
      </c>
      <c r="B92" s="20" t="n"/>
      <c r="C92" s="20" t="n"/>
      <c r="D92" s="20" t="n"/>
      <c r="E92" s="20" t="n"/>
      <c r="F92" s="20" t="n"/>
      <c r="G92" s="20" t="n"/>
      <c r="H92" s="20" t="n"/>
      <c r="I92" s="20" t="n"/>
      <c r="J92" s="20" t="n"/>
      <c r="K92" s="20" t="n"/>
      <c r="L92" s="20" t="n"/>
      <c r="M92" s="20" t="n"/>
      <c r="N92" s="20" t="n"/>
      <c r="O92" s="20" t="n"/>
      <c r="P92" s="20" t="n"/>
      <c r="Q92" s="20" t="n"/>
      <c r="R92" s="20" t="n"/>
      <c r="S92" s="21" t="n"/>
    </row>
    <row r="93">
      <c r="A93" s="17">
        <f>IF(B93="","",ROW()-4)</f>
        <v/>
      </c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8" t="n"/>
    </row>
    <row r="94">
      <c r="A94" s="20">
        <f>IF(B94="","",ROW()-4)</f>
        <v/>
      </c>
      <c r="B94" s="20" t="n"/>
      <c r="C94" s="20" t="n"/>
      <c r="D94" s="20" t="n"/>
      <c r="E94" s="20" t="n"/>
      <c r="F94" s="20" t="n"/>
      <c r="G94" s="20" t="n"/>
      <c r="H94" s="20" t="n"/>
      <c r="I94" s="20" t="n"/>
      <c r="J94" s="20" t="n"/>
      <c r="K94" s="20" t="n"/>
      <c r="L94" s="20" t="n"/>
      <c r="M94" s="20" t="n"/>
      <c r="N94" s="20" t="n"/>
      <c r="O94" s="20" t="n"/>
      <c r="P94" s="20" t="n"/>
      <c r="Q94" s="20" t="n"/>
      <c r="R94" s="20" t="n"/>
      <c r="S94" s="21" t="n"/>
    </row>
    <row r="95">
      <c r="A95" s="17">
        <f>IF(B95="","",ROW()-4)</f>
        <v/>
      </c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8" t="n"/>
    </row>
    <row r="96">
      <c r="A96" s="20">
        <f>IF(B96="","",ROW()-4)</f>
        <v/>
      </c>
      <c r="B96" s="20" t="n"/>
      <c r="C96" s="20" t="n"/>
      <c r="D96" s="20" t="n"/>
      <c r="E96" s="20" t="n"/>
      <c r="F96" s="20" t="n"/>
      <c r="G96" s="20" t="n"/>
      <c r="H96" s="20" t="n"/>
      <c r="I96" s="20" t="n"/>
      <c r="J96" s="20" t="n"/>
      <c r="K96" s="20" t="n"/>
      <c r="L96" s="20" t="n"/>
      <c r="M96" s="20" t="n"/>
      <c r="N96" s="20" t="n"/>
      <c r="O96" s="20" t="n"/>
      <c r="P96" s="20" t="n"/>
      <c r="Q96" s="20" t="n"/>
      <c r="R96" s="20" t="n"/>
      <c r="S96" s="21" t="n"/>
    </row>
    <row r="97">
      <c r="A97" s="17">
        <f>IF(B97="","",ROW()-4)</f>
        <v/>
      </c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8" t="n"/>
    </row>
    <row r="98">
      <c r="A98" s="20">
        <f>IF(B98="","",ROW()-4)</f>
        <v/>
      </c>
      <c r="B98" s="20" t="n"/>
      <c r="C98" s="20" t="n"/>
      <c r="D98" s="20" t="n"/>
      <c r="E98" s="20" t="n"/>
      <c r="F98" s="20" t="n"/>
      <c r="G98" s="20" t="n"/>
      <c r="H98" s="20" t="n"/>
      <c r="I98" s="20" t="n"/>
      <c r="J98" s="20" t="n"/>
      <c r="K98" s="20" t="n"/>
      <c r="L98" s="20" t="n"/>
      <c r="M98" s="20" t="n"/>
      <c r="N98" s="20" t="n"/>
      <c r="O98" s="20" t="n"/>
      <c r="P98" s="20" t="n"/>
      <c r="Q98" s="20" t="n"/>
      <c r="R98" s="20" t="n"/>
      <c r="S98" s="21" t="n"/>
    </row>
    <row r="99">
      <c r="A99" s="17">
        <f>IF(B99="","",ROW()-4)</f>
        <v/>
      </c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8" t="n"/>
    </row>
    <row r="100">
      <c r="A100" s="20">
        <f>IF(B100="","",ROW()-4)</f>
        <v/>
      </c>
      <c r="B100" s="20" t="n"/>
      <c r="C100" s="20" t="n"/>
      <c r="D100" s="20" t="n"/>
      <c r="E100" s="20" t="n"/>
      <c r="F100" s="20" t="n"/>
      <c r="G100" s="20" t="n"/>
      <c r="H100" s="20" t="n"/>
      <c r="I100" s="20" t="n"/>
      <c r="J100" s="20" t="n"/>
      <c r="K100" s="20" t="n"/>
      <c r="L100" s="20" t="n"/>
      <c r="M100" s="20" t="n"/>
      <c r="N100" s="20" t="n"/>
      <c r="O100" s="20" t="n"/>
      <c r="P100" s="20" t="n"/>
      <c r="Q100" s="20" t="n"/>
      <c r="R100" s="20" t="n"/>
      <c r="S100" s="21" t="n"/>
    </row>
    <row r="101">
      <c r="A101" s="17">
        <f>IF(B101="","",ROW()-4)</f>
        <v/>
      </c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8" t="n"/>
    </row>
    <row r="102">
      <c r="A102" s="20">
        <f>IF(B102="","",ROW()-4)</f>
        <v/>
      </c>
      <c r="B102" s="20" t="n"/>
      <c r="C102" s="20" t="n"/>
      <c r="D102" s="20" t="n"/>
      <c r="E102" s="20" t="n"/>
      <c r="F102" s="20" t="n"/>
      <c r="G102" s="20" t="n"/>
      <c r="H102" s="20" t="n"/>
      <c r="I102" s="20" t="n"/>
      <c r="J102" s="20" t="n"/>
      <c r="K102" s="20" t="n"/>
      <c r="L102" s="20" t="n"/>
      <c r="M102" s="20" t="n"/>
      <c r="N102" s="20" t="n"/>
      <c r="O102" s="20" t="n"/>
      <c r="P102" s="20" t="n"/>
      <c r="Q102" s="20" t="n"/>
      <c r="R102" s="20" t="n"/>
      <c r="S102" s="21" t="n"/>
    </row>
    <row r="103">
      <c r="A103" s="17">
        <f>IF(B103="","",ROW()-4)</f>
        <v/>
      </c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8" t="n"/>
    </row>
    <row r="104">
      <c r="A104" s="20">
        <f>IF(B104="","",ROW()-4)</f>
        <v/>
      </c>
      <c r="B104" s="20" t="n"/>
      <c r="C104" s="20" t="n"/>
      <c r="D104" s="20" t="n"/>
      <c r="E104" s="20" t="n"/>
      <c r="F104" s="20" t="n"/>
      <c r="G104" s="20" t="n"/>
      <c r="H104" s="20" t="n"/>
      <c r="I104" s="20" t="n"/>
      <c r="J104" s="20" t="n"/>
      <c r="K104" s="20" t="n"/>
      <c r="L104" s="20" t="n"/>
      <c r="M104" s="20" t="n"/>
      <c r="N104" s="20" t="n"/>
      <c r="O104" s="20" t="n"/>
      <c r="P104" s="20" t="n"/>
      <c r="Q104" s="20" t="n"/>
      <c r="R104" s="20" t="n"/>
      <c r="S104" s="21" t="n"/>
    </row>
    <row r="105">
      <c r="A105" s="17">
        <f>IF(B105="","",ROW()-4)</f>
        <v/>
      </c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8" t="n"/>
    </row>
    <row r="106">
      <c r="A106" s="20">
        <f>IF(B106="","",ROW()-4)</f>
        <v/>
      </c>
      <c r="B106" s="20" t="n"/>
      <c r="C106" s="20" t="n"/>
      <c r="D106" s="20" t="n"/>
      <c r="E106" s="20" t="n"/>
      <c r="F106" s="20" t="n"/>
      <c r="G106" s="20" t="n"/>
      <c r="H106" s="20" t="n"/>
      <c r="I106" s="20" t="n"/>
      <c r="J106" s="20" t="n"/>
      <c r="K106" s="20" t="n"/>
      <c r="L106" s="20" t="n"/>
      <c r="M106" s="20" t="n"/>
      <c r="N106" s="20" t="n"/>
      <c r="O106" s="20" t="n"/>
      <c r="P106" s="20" t="n"/>
      <c r="Q106" s="20" t="n"/>
      <c r="R106" s="20" t="n"/>
      <c r="S106" s="21" t="n"/>
    </row>
    <row r="107">
      <c r="A107" s="17">
        <f>IF(B107="","",ROW()-4)</f>
        <v/>
      </c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8" t="n"/>
    </row>
    <row r="108">
      <c r="A108" s="20">
        <f>IF(B108="","",ROW()-4)</f>
        <v/>
      </c>
      <c r="B108" s="20" t="n"/>
      <c r="C108" s="20" t="n"/>
      <c r="D108" s="20" t="n"/>
      <c r="E108" s="20" t="n"/>
      <c r="F108" s="20" t="n"/>
      <c r="G108" s="20" t="n"/>
      <c r="H108" s="20" t="n"/>
      <c r="I108" s="20" t="n"/>
      <c r="J108" s="20" t="n"/>
      <c r="K108" s="20" t="n"/>
      <c r="L108" s="20" t="n"/>
      <c r="M108" s="20" t="n"/>
      <c r="N108" s="20" t="n"/>
      <c r="O108" s="20" t="n"/>
      <c r="P108" s="20" t="n"/>
      <c r="Q108" s="20" t="n"/>
      <c r="R108" s="20" t="n"/>
      <c r="S108" s="21" t="n"/>
    </row>
    <row r="109">
      <c r="A109" s="17">
        <f>IF(B109="","",ROW()-4)</f>
        <v/>
      </c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8" t="n"/>
    </row>
    <row r="110">
      <c r="A110" s="20">
        <f>IF(B110="","",ROW()-4)</f>
        <v/>
      </c>
      <c r="B110" s="20" t="n"/>
      <c r="C110" s="20" t="n"/>
      <c r="D110" s="20" t="n"/>
      <c r="E110" s="20" t="n"/>
      <c r="F110" s="20" t="n"/>
      <c r="G110" s="20" t="n"/>
      <c r="H110" s="20" t="n"/>
      <c r="I110" s="20" t="n"/>
      <c r="J110" s="20" t="n"/>
      <c r="K110" s="20" t="n"/>
      <c r="L110" s="20" t="n"/>
      <c r="M110" s="20" t="n"/>
      <c r="N110" s="20" t="n"/>
      <c r="O110" s="20" t="n"/>
      <c r="P110" s="20" t="n"/>
      <c r="Q110" s="20" t="n"/>
      <c r="R110" s="20" t="n"/>
      <c r="S110" s="21" t="n"/>
    </row>
    <row r="111">
      <c r="A111" s="17">
        <f>IF(B111="","",ROW()-4)</f>
        <v/>
      </c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8" t="n"/>
    </row>
    <row r="112">
      <c r="A112" s="20">
        <f>IF(B112="","",ROW()-4)</f>
        <v/>
      </c>
      <c r="B112" s="20" t="n"/>
      <c r="C112" s="20" t="n"/>
      <c r="D112" s="20" t="n"/>
      <c r="E112" s="20" t="n"/>
      <c r="F112" s="20" t="n"/>
      <c r="G112" s="20" t="n"/>
      <c r="H112" s="20" t="n"/>
      <c r="I112" s="20" t="n"/>
      <c r="J112" s="20" t="n"/>
      <c r="K112" s="20" t="n"/>
      <c r="L112" s="20" t="n"/>
      <c r="M112" s="20" t="n"/>
      <c r="N112" s="20" t="n"/>
      <c r="O112" s="20" t="n"/>
      <c r="P112" s="20" t="n"/>
      <c r="Q112" s="20" t="n"/>
      <c r="R112" s="20" t="n"/>
      <c r="S112" s="21" t="n"/>
    </row>
    <row r="113">
      <c r="A113" s="17">
        <f>IF(B113="","",ROW()-4)</f>
        <v/>
      </c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8" t="n"/>
    </row>
    <row r="114">
      <c r="A114" s="20">
        <f>IF(B114="","",ROW()-4)</f>
        <v/>
      </c>
      <c r="B114" s="20" t="n"/>
      <c r="C114" s="20" t="n"/>
      <c r="D114" s="20" t="n"/>
      <c r="E114" s="20" t="n"/>
      <c r="F114" s="20" t="n"/>
      <c r="G114" s="20" t="n"/>
      <c r="H114" s="20" t="n"/>
      <c r="I114" s="20" t="n"/>
      <c r="J114" s="20" t="n"/>
      <c r="K114" s="20" t="n"/>
      <c r="L114" s="20" t="n"/>
      <c r="M114" s="20" t="n"/>
      <c r="N114" s="20" t="n"/>
      <c r="O114" s="20" t="n"/>
      <c r="P114" s="20" t="n"/>
      <c r="Q114" s="20" t="n"/>
      <c r="R114" s="20" t="n"/>
      <c r="S114" s="21" t="n"/>
    </row>
    <row r="115">
      <c r="A115" s="17">
        <f>IF(B115="","",ROW()-4)</f>
        <v/>
      </c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8" t="n"/>
    </row>
    <row r="116">
      <c r="A116" s="20">
        <f>IF(B116="","",ROW()-4)</f>
        <v/>
      </c>
      <c r="B116" s="20" t="n"/>
      <c r="C116" s="20" t="n"/>
      <c r="D116" s="20" t="n"/>
      <c r="E116" s="20" t="n"/>
      <c r="F116" s="20" t="n"/>
      <c r="G116" s="20" t="n"/>
      <c r="H116" s="20" t="n"/>
      <c r="I116" s="20" t="n"/>
      <c r="J116" s="20" t="n"/>
      <c r="K116" s="20" t="n"/>
      <c r="L116" s="20" t="n"/>
      <c r="M116" s="20" t="n"/>
      <c r="N116" s="20" t="n"/>
      <c r="O116" s="20" t="n"/>
      <c r="P116" s="20" t="n"/>
      <c r="Q116" s="20" t="n"/>
      <c r="R116" s="20" t="n"/>
      <c r="S116" s="21" t="n"/>
    </row>
    <row r="117">
      <c r="A117" s="17">
        <f>IF(B117="","",ROW()-4)</f>
        <v/>
      </c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8" t="n"/>
    </row>
    <row r="118">
      <c r="A118" s="20">
        <f>IF(B118="","",ROW()-4)</f>
        <v/>
      </c>
      <c r="B118" s="20" t="n"/>
      <c r="C118" s="20" t="n"/>
      <c r="D118" s="20" t="n"/>
      <c r="E118" s="20" t="n"/>
      <c r="F118" s="20" t="n"/>
      <c r="G118" s="20" t="n"/>
      <c r="H118" s="20" t="n"/>
      <c r="I118" s="20" t="n"/>
      <c r="J118" s="20" t="n"/>
      <c r="K118" s="20" t="n"/>
      <c r="L118" s="20" t="n"/>
      <c r="M118" s="20" t="n"/>
      <c r="N118" s="20" t="n"/>
      <c r="O118" s="20" t="n"/>
      <c r="P118" s="20" t="n"/>
      <c r="Q118" s="20" t="n"/>
      <c r="R118" s="20" t="n"/>
      <c r="S118" s="21" t="n"/>
    </row>
    <row r="119">
      <c r="A119" s="17">
        <f>IF(B119="","",ROW()-4)</f>
        <v/>
      </c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8" t="n"/>
    </row>
    <row r="120">
      <c r="A120" s="20">
        <f>IF(B120="","",ROW()-4)</f>
        <v/>
      </c>
      <c r="B120" s="20" t="n"/>
      <c r="C120" s="20" t="n"/>
      <c r="D120" s="20" t="n"/>
      <c r="E120" s="20" t="n"/>
      <c r="F120" s="20" t="n"/>
      <c r="G120" s="20" t="n"/>
      <c r="H120" s="20" t="n"/>
      <c r="I120" s="20" t="n"/>
      <c r="J120" s="20" t="n"/>
      <c r="K120" s="20" t="n"/>
      <c r="L120" s="20" t="n"/>
      <c r="M120" s="20" t="n"/>
      <c r="N120" s="20" t="n"/>
      <c r="O120" s="20" t="n"/>
      <c r="P120" s="20" t="n"/>
      <c r="Q120" s="20" t="n"/>
      <c r="R120" s="20" t="n"/>
      <c r="S120" s="21" t="n"/>
    </row>
    <row r="121">
      <c r="A121" s="17">
        <f>IF(B121="","",ROW()-4)</f>
        <v/>
      </c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8" t="n"/>
    </row>
    <row r="122">
      <c r="A122" s="20">
        <f>IF(B122="","",ROW()-4)</f>
        <v/>
      </c>
      <c r="B122" s="20" t="n"/>
      <c r="C122" s="20" t="n"/>
      <c r="D122" s="20" t="n"/>
      <c r="E122" s="20" t="n"/>
      <c r="F122" s="20" t="n"/>
      <c r="G122" s="20" t="n"/>
      <c r="H122" s="20" t="n"/>
      <c r="I122" s="20" t="n"/>
      <c r="J122" s="20" t="n"/>
      <c r="K122" s="20" t="n"/>
      <c r="L122" s="20" t="n"/>
      <c r="M122" s="20" t="n"/>
      <c r="N122" s="20" t="n"/>
      <c r="O122" s="20" t="n"/>
      <c r="P122" s="20" t="n"/>
      <c r="Q122" s="20" t="n"/>
      <c r="R122" s="20" t="n"/>
      <c r="S122" s="21" t="n"/>
    </row>
    <row r="123">
      <c r="A123" s="17">
        <f>IF(B123="","",ROW()-4)</f>
        <v/>
      </c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8" t="n"/>
    </row>
    <row r="124">
      <c r="A124" s="20">
        <f>IF(B124="","",ROW()-4)</f>
        <v/>
      </c>
      <c r="B124" s="20" t="n"/>
      <c r="C124" s="20" t="n"/>
      <c r="D124" s="20" t="n"/>
      <c r="E124" s="20" t="n"/>
      <c r="F124" s="20" t="n"/>
      <c r="G124" s="20" t="n"/>
      <c r="H124" s="20" t="n"/>
      <c r="I124" s="20" t="n"/>
      <c r="J124" s="20" t="n"/>
      <c r="K124" s="20" t="n"/>
      <c r="L124" s="20" t="n"/>
      <c r="M124" s="20" t="n"/>
      <c r="N124" s="20" t="n"/>
      <c r="O124" s="20" t="n"/>
      <c r="P124" s="20" t="n"/>
      <c r="Q124" s="20" t="n"/>
      <c r="R124" s="20" t="n"/>
      <c r="S124" s="21" t="n"/>
    </row>
    <row r="125">
      <c r="A125" s="17">
        <f>IF(B125="","",ROW()-4)</f>
        <v/>
      </c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8" t="n"/>
    </row>
    <row r="126">
      <c r="A126" s="20">
        <f>IF(B126="","",ROW()-4)</f>
        <v/>
      </c>
      <c r="B126" s="20" t="n"/>
      <c r="C126" s="20" t="n"/>
      <c r="D126" s="20" t="n"/>
      <c r="E126" s="20" t="n"/>
      <c r="F126" s="20" t="n"/>
      <c r="G126" s="20" t="n"/>
      <c r="H126" s="20" t="n"/>
      <c r="I126" s="20" t="n"/>
      <c r="J126" s="20" t="n"/>
      <c r="K126" s="20" t="n"/>
      <c r="L126" s="20" t="n"/>
      <c r="M126" s="20" t="n"/>
      <c r="N126" s="20" t="n"/>
      <c r="O126" s="20" t="n"/>
      <c r="P126" s="20" t="n"/>
      <c r="Q126" s="20" t="n"/>
      <c r="R126" s="20" t="n"/>
      <c r="S126" s="21" t="n"/>
    </row>
    <row r="127">
      <c r="A127" s="17">
        <f>IF(B127="","",ROW()-4)</f>
        <v/>
      </c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8" t="n"/>
    </row>
    <row r="128">
      <c r="A128" s="20">
        <f>IF(B128="","",ROW()-4)</f>
        <v/>
      </c>
      <c r="B128" s="20" t="n"/>
      <c r="C128" s="20" t="n"/>
      <c r="D128" s="20" t="n"/>
      <c r="E128" s="20" t="n"/>
      <c r="F128" s="20" t="n"/>
      <c r="G128" s="20" t="n"/>
      <c r="H128" s="20" t="n"/>
      <c r="I128" s="20" t="n"/>
      <c r="J128" s="20" t="n"/>
      <c r="K128" s="20" t="n"/>
      <c r="L128" s="20" t="n"/>
      <c r="M128" s="20" t="n"/>
      <c r="N128" s="20" t="n"/>
      <c r="O128" s="20" t="n"/>
      <c r="P128" s="20" t="n"/>
      <c r="Q128" s="20" t="n"/>
      <c r="R128" s="20" t="n"/>
      <c r="S128" s="21" t="n"/>
    </row>
    <row r="129">
      <c r="A129" s="17">
        <f>IF(B129="","",ROW()-4)</f>
        <v/>
      </c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8" t="n"/>
    </row>
    <row r="130">
      <c r="A130" s="20">
        <f>IF(B130="","",ROW()-4)</f>
        <v/>
      </c>
      <c r="B130" s="20" t="n"/>
      <c r="C130" s="20" t="n"/>
      <c r="D130" s="20" t="n"/>
      <c r="E130" s="20" t="n"/>
      <c r="F130" s="20" t="n"/>
      <c r="G130" s="20" t="n"/>
      <c r="H130" s="20" t="n"/>
      <c r="I130" s="20" t="n"/>
      <c r="J130" s="20" t="n"/>
      <c r="K130" s="20" t="n"/>
      <c r="L130" s="20" t="n"/>
      <c r="M130" s="20" t="n"/>
      <c r="N130" s="20" t="n"/>
      <c r="O130" s="20" t="n"/>
      <c r="P130" s="20" t="n"/>
      <c r="Q130" s="20" t="n"/>
      <c r="R130" s="20" t="n"/>
      <c r="S130" s="21" t="n"/>
    </row>
    <row r="131">
      <c r="A131" s="17">
        <f>IF(B131="","",ROW()-4)</f>
        <v/>
      </c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8" t="n"/>
    </row>
    <row r="132">
      <c r="A132" s="20">
        <f>IF(B132="","",ROW()-4)</f>
        <v/>
      </c>
      <c r="B132" s="20" t="n"/>
      <c r="C132" s="20" t="n"/>
      <c r="D132" s="20" t="n"/>
      <c r="E132" s="20" t="n"/>
      <c r="F132" s="20" t="n"/>
      <c r="G132" s="20" t="n"/>
      <c r="H132" s="20" t="n"/>
      <c r="I132" s="20" t="n"/>
      <c r="J132" s="20" t="n"/>
      <c r="K132" s="20" t="n"/>
      <c r="L132" s="20" t="n"/>
      <c r="M132" s="20" t="n"/>
      <c r="N132" s="20" t="n"/>
      <c r="O132" s="20" t="n"/>
      <c r="P132" s="20" t="n"/>
      <c r="Q132" s="20" t="n"/>
      <c r="R132" s="20" t="n"/>
      <c r="S132" s="21" t="n"/>
    </row>
    <row r="133">
      <c r="A133" s="17">
        <f>IF(B133="","",ROW()-4)</f>
        <v/>
      </c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8" t="n"/>
    </row>
    <row r="134">
      <c r="A134" s="20">
        <f>IF(B134="","",ROW()-4)</f>
        <v/>
      </c>
      <c r="B134" s="20" t="n"/>
      <c r="C134" s="20" t="n"/>
      <c r="D134" s="20" t="n"/>
      <c r="E134" s="20" t="n"/>
      <c r="F134" s="20" t="n"/>
      <c r="G134" s="20" t="n"/>
      <c r="H134" s="20" t="n"/>
      <c r="I134" s="20" t="n"/>
      <c r="J134" s="20" t="n"/>
      <c r="K134" s="20" t="n"/>
      <c r="L134" s="20" t="n"/>
      <c r="M134" s="20" t="n"/>
      <c r="N134" s="20" t="n"/>
      <c r="O134" s="20" t="n"/>
      <c r="P134" s="20" t="n"/>
      <c r="Q134" s="20" t="n"/>
      <c r="R134" s="20" t="n"/>
      <c r="S134" s="21" t="n"/>
    </row>
    <row r="135">
      <c r="A135" s="17">
        <f>IF(B135="","",ROW()-4)</f>
        <v/>
      </c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8" t="n"/>
    </row>
    <row r="136">
      <c r="A136" s="20">
        <f>IF(B136="","",ROW()-4)</f>
        <v/>
      </c>
      <c r="B136" s="20" t="n"/>
      <c r="C136" s="20" t="n"/>
      <c r="D136" s="20" t="n"/>
      <c r="E136" s="20" t="n"/>
      <c r="F136" s="20" t="n"/>
      <c r="G136" s="20" t="n"/>
      <c r="H136" s="20" t="n"/>
      <c r="I136" s="20" t="n"/>
      <c r="J136" s="20" t="n"/>
      <c r="K136" s="20" t="n"/>
      <c r="L136" s="20" t="n"/>
      <c r="M136" s="20" t="n"/>
      <c r="N136" s="20" t="n"/>
      <c r="O136" s="20" t="n"/>
      <c r="P136" s="20" t="n"/>
      <c r="Q136" s="20" t="n"/>
      <c r="R136" s="20" t="n"/>
      <c r="S136" s="21" t="n"/>
    </row>
    <row r="137">
      <c r="A137" s="17">
        <f>IF(B137="","",ROW()-4)</f>
        <v/>
      </c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8" t="n"/>
    </row>
    <row r="138">
      <c r="A138" s="20">
        <f>IF(B138="","",ROW()-4)</f>
        <v/>
      </c>
      <c r="B138" s="20" t="n"/>
      <c r="C138" s="20" t="n"/>
      <c r="D138" s="20" t="n"/>
      <c r="E138" s="20" t="n"/>
      <c r="F138" s="20" t="n"/>
      <c r="G138" s="20" t="n"/>
      <c r="H138" s="20" t="n"/>
      <c r="I138" s="20" t="n"/>
      <c r="J138" s="20" t="n"/>
      <c r="K138" s="20" t="n"/>
      <c r="L138" s="20" t="n"/>
      <c r="M138" s="20" t="n"/>
      <c r="N138" s="20" t="n"/>
      <c r="O138" s="20" t="n"/>
      <c r="P138" s="20" t="n"/>
      <c r="Q138" s="20" t="n"/>
      <c r="R138" s="20" t="n"/>
      <c r="S138" s="21" t="n"/>
    </row>
    <row r="139">
      <c r="A139" s="17">
        <f>IF(B139="","",ROW()-4)</f>
        <v/>
      </c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8" t="n"/>
    </row>
    <row r="140">
      <c r="A140" s="20">
        <f>IF(B140="","",ROW()-4)</f>
        <v/>
      </c>
      <c r="B140" s="20" t="n"/>
      <c r="C140" s="20" t="n"/>
      <c r="D140" s="20" t="n"/>
      <c r="E140" s="20" t="n"/>
      <c r="F140" s="20" t="n"/>
      <c r="G140" s="20" t="n"/>
      <c r="H140" s="20" t="n"/>
      <c r="I140" s="20" t="n"/>
      <c r="J140" s="20" t="n"/>
      <c r="K140" s="20" t="n"/>
      <c r="L140" s="20" t="n"/>
      <c r="M140" s="20" t="n"/>
      <c r="N140" s="20" t="n"/>
      <c r="O140" s="20" t="n"/>
      <c r="P140" s="20" t="n"/>
      <c r="Q140" s="20" t="n"/>
      <c r="R140" s="20" t="n"/>
      <c r="S140" s="21" t="n"/>
    </row>
    <row r="141">
      <c r="A141" s="17">
        <f>IF(B141="","",ROW()-4)</f>
        <v/>
      </c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8" t="n"/>
    </row>
    <row r="142">
      <c r="A142" s="20">
        <f>IF(B142="","",ROW()-4)</f>
        <v/>
      </c>
      <c r="B142" s="20" t="n"/>
      <c r="C142" s="20" t="n"/>
      <c r="D142" s="20" t="n"/>
      <c r="E142" s="20" t="n"/>
      <c r="F142" s="20" t="n"/>
      <c r="G142" s="20" t="n"/>
      <c r="H142" s="20" t="n"/>
      <c r="I142" s="20" t="n"/>
      <c r="J142" s="20" t="n"/>
      <c r="K142" s="20" t="n"/>
      <c r="L142" s="20" t="n"/>
      <c r="M142" s="20" t="n"/>
      <c r="N142" s="20" t="n"/>
      <c r="O142" s="20" t="n"/>
      <c r="P142" s="20" t="n"/>
      <c r="Q142" s="20" t="n"/>
      <c r="R142" s="20" t="n"/>
      <c r="S142" s="21" t="n"/>
    </row>
    <row r="143">
      <c r="A143" s="17">
        <f>IF(B143="","",ROW()-4)</f>
        <v/>
      </c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8" t="n"/>
    </row>
    <row r="144">
      <c r="A144" s="20">
        <f>IF(B144="","",ROW()-4)</f>
        <v/>
      </c>
      <c r="B144" s="20" t="n"/>
      <c r="C144" s="20" t="n"/>
      <c r="D144" s="20" t="n"/>
      <c r="E144" s="20" t="n"/>
      <c r="F144" s="20" t="n"/>
      <c r="G144" s="20" t="n"/>
      <c r="H144" s="20" t="n"/>
      <c r="I144" s="20" t="n"/>
      <c r="J144" s="20" t="n"/>
      <c r="K144" s="20" t="n"/>
      <c r="L144" s="20" t="n"/>
      <c r="M144" s="20" t="n"/>
      <c r="N144" s="20" t="n"/>
      <c r="O144" s="20" t="n"/>
      <c r="P144" s="20" t="n"/>
      <c r="Q144" s="20" t="n"/>
      <c r="R144" s="20" t="n"/>
      <c r="S144" s="21" t="n"/>
    </row>
    <row r="145">
      <c r="A145" s="17">
        <f>IF(B145="","",ROW()-4)</f>
        <v/>
      </c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8" t="n"/>
    </row>
    <row r="146">
      <c r="A146" s="20">
        <f>IF(B146="","",ROW()-4)</f>
        <v/>
      </c>
      <c r="B146" s="20" t="n"/>
      <c r="C146" s="20" t="n"/>
      <c r="D146" s="20" t="n"/>
      <c r="E146" s="20" t="n"/>
      <c r="F146" s="20" t="n"/>
      <c r="G146" s="20" t="n"/>
      <c r="H146" s="20" t="n"/>
      <c r="I146" s="20" t="n"/>
      <c r="J146" s="20" t="n"/>
      <c r="K146" s="20" t="n"/>
      <c r="L146" s="20" t="n"/>
      <c r="M146" s="20" t="n"/>
      <c r="N146" s="20" t="n"/>
      <c r="O146" s="20" t="n"/>
      <c r="P146" s="20" t="n"/>
      <c r="Q146" s="20" t="n"/>
      <c r="R146" s="20" t="n"/>
      <c r="S146" s="21" t="n"/>
    </row>
    <row r="147">
      <c r="A147" s="17">
        <f>IF(B147="","",ROW()-4)</f>
        <v/>
      </c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8" t="n"/>
    </row>
    <row r="148">
      <c r="A148" s="20">
        <f>IF(B148="","",ROW()-4)</f>
        <v/>
      </c>
      <c r="B148" s="20" t="n"/>
      <c r="C148" s="20" t="n"/>
      <c r="D148" s="20" t="n"/>
      <c r="E148" s="20" t="n"/>
      <c r="F148" s="20" t="n"/>
      <c r="G148" s="20" t="n"/>
      <c r="H148" s="20" t="n"/>
      <c r="I148" s="20" t="n"/>
      <c r="J148" s="20" t="n"/>
      <c r="K148" s="20" t="n"/>
      <c r="L148" s="20" t="n"/>
      <c r="M148" s="20" t="n"/>
      <c r="N148" s="20" t="n"/>
      <c r="O148" s="20" t="n"/>
      <c r="P148" s="20" t="n"/>
      <c r="Q148" s="20" t="n"/>
      <c r="R148" s="20" t="n"/>
      <c r="S148" s="21" t="n"/>
    </row>
    <row r="149">
      <c r="A149" s="17">
        <f>IF(B149="","",ROW()-4)</f>
        <v/>
      </c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8" t="n"/>
    </row>
    <row r="150">
      <c r="A150" s="20">
        <f>IF(B150="","",ROW()-4)</f>
        <v/>
      </c>
      <c r="B150" s="20" t="n"/>
      <c r="C150" s="20" t="n"/>
      <c r="D150" s="20" t="n"/>
      <c r="E150" s="20" t="n"/>
      <c r="F150" s="20" t="n"/>
      <c r="G150" s="20" t="n"/>
      <c r="H150" s="20" t="n"/>
      <c r="I150" s="20" t="n"/>
      <c r="J150" s="20" t="n"/>
      <c r="K150" s="20" t="n"/>
      <c r="L150" s="20" t="n"/>
      <c r="M150" s="20" t="n"/>
      <c r="N150" s="20" t="n"/>
      <c r="O150" s="20" t="n"/>
      <c r="P150" s="20" t="n"/>
      <c r="Q150" s="20" t="n"/>
      <c r="R150" s="20" t="n"/>
      <c r="S150" s="21" t="n"/>
    </row>
    <row r="151">
      <c r="A151" s="17">
        <f>IF(B151="","",ROW()-4)</f>
        <v/>
      </c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8" t="n"/>
    </row>
    <row r="152">
      <c r="A152" s="20">
        <f>IF(B152="","",ROW()-4)</f>
        <v/>
      </c>
      <c r="B152" s="20" t="n"/>
      <c r="C152" s="20" t="n"/>
      <c r="D152" s="20" t="n"/>
      <c r="E152" s="20" t="n"/>
      <c r="F152" s="20" t="n"/>
      <c r="G152" s="20" t="n"/>
      <c r="H152" s="20" t="n"/>
      <c r="I152" s="20" t="n"/>
      <c r="J152" s="20" t="n"/>
      <c r="K152" s="20" t="n"/>
      <c r="L152" s="20" t="n"/>
      <c r="M152" s="20" t="n"/>
      <c r="N152" s="20" t="n"/>
      <c r="O152" s="20" t="n"/>
      <c r="P152" s="20" t="n"/>
      <c r="Q152" s="20" t="n"/>
      <c r="R152" s="20" t="n"/>
      <c r="S152" s="21" t="n"/>
    </row>
    <row r="153">
      <c r="A153" s="17">
        <f>IF(B153="","",ROW()-4)</f>
        <v/>
      </c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8" t="n"/>
    </row>
    <row r="154">
      <c r="A154" s="20">
        <f>IF(B154="","",ROW()-4)</f>
        <v/>
      </c>
      <c r="B154" s="20" t="n"/>
      <c r="C154" s="20" t="n"/>
      <c r="D154" s="20" t="n"/>
      <c r="E154" s="20" t="n"/>
      <c r="F154" s="20" t="n"/>
      <c r="G154" s="20" t="n"/>
      <c r="H154" s="20" t="n"/>
      <c r="I154" s="20" t="n"/>
      <c r="J154" s="20" t="n"/>
      <c r="K154" s="20" t="n"/>
      <c r="L154" s="20" t="n"/>
      <c r="M154" s="20" t="n"/>
      <c r="N154" s="20" t="n"/>
      <c r="O154" s="20" t="n"/>
      <c r="P154" s="20" t="n"/>
      <c r="Q154" s="20" t="n"/>
      <c r="R154" s="20" t="n"/>
      <c r="S154" s="21" t="n"/>
    </row>
    <row r="155">
      <c r="A155" s="17">
        <f>IF(B155="","",ROW()-4)</f>
        <v/>
      </c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8" t="n"/>
    </row>
    <row r="156">
      <c r="A156" s="20">
        <f>IF(B156="","",ROW()-4)</f>
        <v/>
      </c>
      <c r="B156" s="20" t="n"/>
      <c r="C156" s="20" t="n"/>
      <c r="D156" s="20" t="n"/>
      <c r="E156" s="20" t="n"/>
      <c r="F156" s="20" t="n"/>
      <c r="G156" s="20" t="n"/>
      <c r="H156" s="20" t="n"/>
      <c r="I156" s="20" t="n"/>
      <c r="J156" s="20" t="n"/>
      <c r="K156" s="20" t="n"/>
      <c r="L156" s="20" t="n"/>
      <c r="M156" s="20" t="n"/>
      <c r="N156" s="20" t="n"/>
      <c r="O156" s="20" t="n"/>
      <c r="P156" s="20" t="n"/>
      <c r="Q156" s="20" t="n"/>
      <c r="R156" s="20" t="n"/>
      <c r="S156" s="21" t="n"/>
    </row>
    <row r="157">
      <c r="A157" s="17">
        <f>IF(B157="","",ROW()-4)</f>
        <v/>
      </c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8" t="n"/>
    </row>
    <row r="158">
      <c r="A158" s="20">
        <f>IF(B158="","",ROW()-4)</f>
        <v/>
      </c>
      <c r="B158" s="20" t="n"/>
      <c r="C158" s="20" t="n"/>
      <c r="D158" s="20" t="n"/>
      <c r="E158" s="20" t="n"/>
      <c r="F158" s="20" t="n"/>
      <c r="G158" s="20" t="n"/>
      <c r="H158" s="20" t="n"/>
      <c r="I158" s="20" t="n"/>
      <c r="J158" s="20" t="n"/>
      <c r="K158" s="20" t="n"/>
      <c r="L158" s="20" t="n"/>
      <c r="M158" s="20" t="n"/>
      <c r="N158" s="20" t="n"/>
      <c r="O158" s="20" t="n"/>
      <c r="P158" s="20" t="n"/>
      <c r="Q158" s="20" t="n"/>
      <c r="R158" s="20" t="n"/>
      <c r="S158" s="21" t="n"/>
    </row>
    <row r="159">
      <c r="A159" s="17">
        <f>IF(B159="","",ROW()-4)</f>
        <v/>
      </c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8" t="n"/>
    </row>
    <row r="160">
      <c r="A160" s="20">
        <f>IF(B160="","",ROW()-4)</f>
        <v/>
      </c>
      <c r="B160" s="20" t="n"/>
      <c r="C160" s="20" t="n"/>
      <c r="D160" s="20" t="n"/>
      <c r="E160" s="20" t="n"/>
      <c r="F160" s="20" t="n"/>
      <c r="G160" s="20" t="n"/>
      <c r="H160" s="20" t="n"/>
      <c r="I160" s="20" t="n"/>
      <c r="J160" s="20" t="n"/>
      <c r="K160" s="20" t="n"/>
      <c r="L160" s="20" t="n"/>
      <c r="M160" s="20" t="n"/>
      <c r="N160" s="20" t="n"/>
      <c r="O160" s="20" t="n"/>
      <c r="P160" s="20" t="n"/>
      <c r="Q160" s="20" t="n"/>
      <c r="R160" s="20" t="n"/>
      <c r="S160" s="21" t="n"/>
    </row>
    <row r="161">
      <c r="A161" s="17">
        <f>IF(B161="","",ROW()-4)</f>
        <v/>
      </c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8" t="n"/>
    </row>
    <row r="162">
      <c r="A162" s="20">
        <f>IF(B162="","",ROW()-4)</f>
        <v/>
      </c>
      <c r="B162" s="20" t="n"/>
      <c r="C162" s="20" t="n"/>
      <c r="D162" s="20" t="n"/>
      <c r="E162" s="20" t="n"/>
      <c r="F162" s="20" t="n"/>
      <c r="G162" s="20" t="n"/>
      <c r="H162" s="20" t="n"/>
      <c r="I162" s="20" t="n"/>
      <c r="J162" s="20" t="n"/>
      <c r="K162" s="20" t="n"/>
      <c r="L162" s="20" t="n"/>
      <c r="M162" s="20" t="n"/>
      <c r="N162" s="20" t="n"/>
      <c r="O162" s="20" t="n"/>
      <c r="P162" s="20" t="n"/>
      <c r="Q162" s="20" t="n"/>
      <c r="R162" s="20" t="n"/>
      <c r="S162" s="21" t="n"/>
    </row>
    <row r="163">
      <c r="A163" s="17">
        <f>IF(B163="","",ROW()-4)</f>
        <v/>
      </c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8" t="n"/>
    </row>
    <row r="164">
      <c r="A164" s="20">
        <f>IF(B164="","",ROW()-4)</f>
        <v/>
      </c>
      <c r="B164" s="20" t="n"/>
      <c r="C164" s="20" t="n"/>
      <c r="D164" s="20" t="n"/>
      <c r="E164" s="20" t="n"/>
      <c r="F164" s="20" t="n"/>
      <c r="G164" s="20" t="n"/>
      <c r="H164" s="20" t="n"/>
      <c r="I164" s="20" t="n"/>
      <c r="J164" s="20" t="n"/>
      <c r="K164" s="20" t="n"/>
      <c r="L164" s="20" t="n"/>
      <c r="M164" s="20" t="n"/>
      <c r="N164" s="20" t="n"/>
      <c r="O164" s="20" t="n"/>
      <c r="P164" s="20" t="n"/>
      <c r="Q164" s="20" t="n"/>
      <c r="R164" s="20" t="n"/>
      <c r="S164" s="21" t="n"/>
    </row>
    <row r="165">
      <c r="A165" s="17">
        <f>IF(B165="","",ROW()-4)</f>
        <v/>
      </c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8" t="n"/>
    </row>
    <row r="166">
      <c r="A166" s="20">
        <f>IF(B166="","",ROW()-4)</f>
        <v/>
      </c>
      <c r="B166" s="20" t="n"/>
      <c r="C166" s="20" t="n"/>
      <c r="D166" s="20" t="n"/>
      <c r="E166" s="20" t="n"/>
      <c r="F166" s="20" t="n"/>
      <c r="G166" s="20" t="n"/>
      <c r="H166" s="20" t="n"/>
      <c r="I166" s="20" t="n"/>
      <c r="J166" s="20" t="n"/>
      <c r="K166" s="20" t="n"/>
      <c r="L166" s="20" t="n"/>
      <c r="M166" s="20" t="n"/>
      <c r="N166" s="20" t="n"/>
      <c r="O166" s="20" t="n"/>
      <c r="P166" s="20" t="n"/>
      <c r="Q166" s="20" t="n"/>
      <c r="R166" s="20" t="n"/>
      <c r="S166" s="21" t="n"/>
    </row>
    <row r="167">
      <c r="A167" s="17">
        <f>IF(B167="","",ROW()-4)</f>
        <v/>
      </c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8" t="n"/>
    </row>
    <row r="168">
      <c r="A168" s="20">
        <f>IF(B168="","",ROW()-4)</f>
        <v/>
      </c>
      <c r="B168" s="20" t="n"/>
      <c r="C168" s="20" t="n"/>
      <c r="D168" s="20" t="n"/>
      <c r="E168" s="20" t="n"/>
      <c r="F168" s="20" t="n"/>
      <c r="G168" s="20" t="n"/>
      <c r="H168" s="20" t="n"/>
      <c r="I168" s="20" t="n"/>
      <c r="J168" s="20" t="n"/>
      <c r="K168" s="20" t="n"/>
      <c r="L168" s="20" t="n"/>
      <c r="M168" s="20" t="n"/>
      <c r="N168" s="20" t="n"/>
      <c r="O168" s="20" t="n"/>
      <c r="P168" s="20" t="n"/>
      <c r="Q168" s="20" t="n"/>
      <c r="R168" s="20" t="n"/>
      <c r="S168" s="21" t="n"/>
    </row>
    <row r="169">
      <c r="A169" s="17">
        <f>IF(B169="","",ROW()-4)</f>
        <v/>
      </c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8" t="n"/>
    </row>
    <row r="170">
      <c r="A170" s="20">
        <f>IF(B170="","",ROW()-4)</f>
        <v/>
      </c>
      <c r="B170" s="20" t="n"/>
      <c r="C170" s="20" t="n"/>
      <c r="D170" s="20" t="n"/>
      <c r="E170" s="20" t="n"/>
      <c r="F170" s="20" t="n"/>
      <c r="G170" s="20" t="n"/>
      <c r="H170" s="20" t="n"/>
      <c r="I170" s="20" t="n"/>
      <c r="J170" s="20" t="n"/>
      <c r="K170" s="20" t="n"/>
      <c r="L170" s="20" t="n"/>
      <c r="M170" s="20" t="n"/>
      <c r="N170" s="20" t="n"/>
      <c r="O170" s="20" t="n"/>
      <c r="P170" s="20" t="n"/>
      <c r="Q170" s="20" t="n"/>
      <c r="R170" s="20" t="n"/>
      <c r="S170" s="21" t="n"/>
    </row>
    <row r="171">
      <c r="A171" s="17">
        <f>IF(B171="","",ROW()-4)</f>
        <v/>
      </c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8" t="n"/>
    </row>
    <row r="172">
      <c r="A172" s="20">
        <f>IF(B172="","",ROW()-4)</f>
        <v/>
      </c>
      <c r="B172" s="20" t="n"/>
      <c r="C172" s="20" t="n"/>
      <c r="D172" s="20" t="n"/>
      <c r="E172" s="20" t="n"/>
      <c r="F172" s="20" t="n"/>
      <c r="G172" s="20" t="n"/>
      <c r="H172" s="20" t="n"/>
      <c r="I172" s="20" t="n"/>
      <c r="J172" s="20" t="n"/>
      <c r="K172" s="20" t="n"/>
      <c r="L172" s="20" t="n"/>
      <c r="M172" s="20" t="n"/>
      <c r="N172" s="20" t="n"/>
      <c r="O172" s="20" t="n"/>
      <c r="P172" s="20" t="n"/>
      <c r="Q172" s="20" t="n"/>
      <c r="R172" s="20" t="n"/>
      <c r="S172" s="21" t="n"/>
    </row>
    <row r="173">
      <c r="A173" s="17">
        <f>IF(B173="","",ROW()-4)</f>
        <v/>
      </c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8" t="n"/>
    </row>
    <row r="174">
      <c r="A174" s="20">
        <f>IF(B174="","",ROW()-4)</f>
        <v/>
      </c>
      <c r="B174" s="20" t="n"/>
      <c r="C174" s="20" t="n"/>
      <c r="D174" s="20" t="n"/>
      <c r="E174" s="20" t="n"/>
      <c r="F174" s="20" t="n"/>
      <c r="G174" s="20" t="n"/>
      <c r="H174" s="20" t="n"/>
      <c r="I174" s="20" t="n"/>
      <c r="J174" s="20" t="n"/>
      <c r="K174" s="20" t="n"/>
      <c r="L174" s="20" t="n"/>
      <c r="M174" s="20" t="n"/>
      <c r="N174" s="20" t="n"/>
      <c r="O174" s="20" t="n"/>
      <c r="P174" s="20" t="n"/>
      <c r="Q174" s="20" t="n"/>
      <c r="R174" s="20" t="n"/>
      <c r="S174" s="21" t="n"/>
    </row>
    <row r="175">
      <c r="A175" s="17">
        <f>IF(B175="","",ROW()-4)</f>
        <v/>
      </c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8" t="n"/>
    </row>
    <row r="176">
      <c r="A176" s="20">
        <f>IF(B176="","",ROW()-4)</f>
        <v/>
      </c>
      <c r="B176" s="20" t="n"/>
      <c r="C176" s="20" t="n"/>
      <c r="D176" s="20" t="n"/>
      <c r="E176" s="20" t="n"/>
      <c r="F176" s="20" t="n"/>
      <c r="G176" s="20" t="n"/>
      <c r="H176" s="20" t="n"/>
      <c r="I176" s="20" t="n"/>
      <c r="J176" s="20" t="n"/>
      <c r="K176" s="20" t="n"/>
      <c r="L176" s="20" t="n"/>
      <c r="M176" s="20" t="n"/>
      <c r="N176" s="20" t="n"/>
      <c r="O176" s="20" t="n"/>
      <c r="P176" s="20" t="n"/>
      <c r="Q176" s="20" t="n"/>
      <c r="R176" s="20" t="n"/>
      <c r="S176" s="21" t="n"/>
    </row>
    <row r="177">
      <c r="A177" s="17">
        <f>IF(B177="","",ROW()-4)</f>
        <v/>
      </c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8" t="n"/>
    </row>
    <row r="178">
      <c r="A178" s="20">
        <f>IF(B178="","",ROW()-4)</f>
        <v/>
      </c>
      <c r="B178" s="20" t="n"/>
      <c r="C178" s="20" t="n"/>
      <c r="D178" s="20" t="n"/>
      <c r="E178" s="20" t="n"/>
      <c r="F178" s="20" t="n"/>
      <c r="G178" s="20" t="n"/>
      <c r="H178" s="20" t="n"/>
      <c r="I178" s="20" t="n"/>
      <c r="J178" s="20" t="n"/>
      <c r="K178" s="20" t="n"/>
      <c r="L178" s="20" t="n"/>
      <c r="M178" s="20" t="n"/>
      <c r="N178" s="20" t="n"/>
      <c r="O178" s="20" t="n"/>
      <c r="P178" s="20" t="n"/>
      <c r="Q178" s="20" t="n"/>
      <c r="R178" s="20" t="n"/>
      <c r="S178" s="21" t="n"/>
    </row>
    <row r="179">
      <c r="A179" s="17">
        <f>IF(B179="","",ROW()-4)</f>
        <v/>
      </c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8" t="n"/>
    </row>
    <row r="180">
      <c r="A180" s="20">
        <f>IF(B180="","",ROW()-4)</f>
        <v/>
      </c>
      <c r="B180" s="20" t="n"/>
      <c r="C180" s="20" t="n"/>
      <c r="D180" s="20" t="n"/>
      <c r="E180" s="20" t="n"/>
      <c r="F180" s="20" t="n"/>
      <c r="G180" s="20" t="n"/>
      <c r="H180" s="20" t="n"/>
      <c r="I180" s="20" t="n"/>
      <c r="J180" s="20" t="n"/>
      <c r="K180" s="20" t="n"/>
      <c r="L180" s="20" t="n"/>
      <c r="M180" s="20" t="n"/>
      <c r="N180" s="20" t="n"/>
      <c r="O180" s="20" t="n"/>
      <c r="P180" s="20" t="n"/>
      <c r="Q180" s="20" t="n"/>
      <c r="R180" s="20" t="n"/>
      <c r="S180" s="21" t="n"/>
    </row>
    <row r="181">
      <c r="A181" s="17">
        <f>IF(B181="","",ROW()-4)</f>
        <v/>
      </c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8" t="n"/>
    </row>
    <row r="182">
      <c r="A182" s="20">
        <f>IF(B182="","",ROW()-4)</f>
        <v/>
      </c>
      <c r="B182" s="20" t="n"/>
      <c r="C182" s="20" t="n"/>
      <c r="D182" s="20" t="n"/>
      <c r="E182" s="20" t="n"/>
      <c r="F182" s="20" t="n"/>
      <c r="G182" s="20" t="n"/>
      <c r="H182" s="20" t="n"/>
      <c r="I182" s="20" t="n"/>
      <c r="J182" s="20" t="n"/>
      <c r="K182" s="20" t="n"/>
      <c r="L182" s="20" t="n"/>
      <c r="M182" s="20" t="n"/>
      <c r="N182" s="20" t="n"/>
      <c r="O182" s="20" t="n"/>
      <c r="P182" s="20" t="n"/>
      <c r="Q182" s="20" t="n"/>
      <c r="R182" s="20" t="n"/>
      <c r="S182" s="21" t="n"/>
    </row>
    <row r="183">
      <c r="A183" s="17">
        <f>IF(B183="","",ROW()-4)</f>
        <v/>
      </c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8" t="n"/>
    </row>
    <row r="184">
      <c r="A184" s="20">
        <f>IF(B184="","",ROW()-4)</f>
        <v/>
      </c>
      <c r="B184" s="20" t="n"/>
      <c r="C184" s="20" t="n"/>
      <c r="D184" s="20" t="n"/>
      <c r="E184" s="20" t="n"/>
      <c r="F184" s="20" t="n"/>
      <c r="G184" s="20" t="n"/>
      <c r="H184" s="20" t="n"/>
      <c r="I184" s="20" t="n"/>
      <c r="J184" s="20" t="n"/>
      <c r="K184" s="20" t="n"/>
      <c r="L184" s="20" t="n"/>
      <c r="M184" s="20" t="n"/>
      <c r="N184" s="20" t="n"/>
      <c r="O184" s="20" t="n"/>
      <c r="P184" s="20" t="n"/>
      <c r="Q184" s="20" t="n"/>
      <c r="R184" s="20" t="n"/>
      <c r="S184" s="21" t="n"/>
    </row>
    <row r="185">
      <c r="A185" s="17">
        <f>IF(B185="","",ROW()-4)</f>
        <v/>
      </c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8" t="n"/>
    </row>
    <row r="186">
      <c r="A186" s="20">
        <f>IF(B186="","",ROW()-4)</f>
        <v/>
      </c>
      <c r="B186" s="20" t="n"/>
      <c r="C186" s="20" t="n"/>
      <c r="D186" s="20" t="n"/>
      <c r="E186" s="20" t="n"/>
      <c r="F186" s="20" t="n"/>
      <c r="G186" s="20" t="n"/>
      <c r="H186" s="20" t="n"/>
      <c r="I186" s="20" t="n"/>
      <c r="J186" s="20" t="n"/>
      <c r="K186" s="20" t="n"/>
      <c r="L186" s="20" t="n"/>
      <c r="M186" s="20" t="n"/>
      <c r="N186" s="20" t="n"/>
      <c r="O186" s="20" t="n"/>
      <c r="P186" s="20" t="n"/>
      <c r="Q186" s="20" t="n"/>
      <c r="R186" s="20" t="n"/>
      <c r="S186" s="21" t="n"/>
    </row>
    <row r="187">
      <c r="A187" s="17">
        <f>IF(B187="","",ROW()-4)</f>
        <v/>
      </c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8" t="n"/>
    </row>
    <row r="188">
      <c r="A188" s="20">
        <f>IF(B188="","",ROW()-4)</f>
        <v/>
      </c>
      <c r="B188" s="20" t="n"/>
      <c r="C188" s="20" t="n"/>
      <c r="D188" s="20" t="n"/>
      <c r="E188" s="20" t="n"/>
      <c r="F188" s="20" t="n"/>
      <c r="G188" s="20" t="n"/>
      <c r="H188" s="20" t="n"/>
      <c r="I188" s="20" t="n"/>
      <c r="J188" s="20" t="n"/>
      <c r="K188" s="20" t="n"/>
      <c r="L188" s="20" t="n"/>
      <c r="M188" s="20" t="n"/>
      <c r="N188" s="20" t="n"/>
      <c r="O188" s="20" t="n"/>
      <c r="P188" s="20" t="n"/>
      <c r="Q188" s="20" t="n"/>
      <c r="R188" s="20" t="n"/>
      <c r="S188" s="21" t="n"/>
    </row>
    <row r="189">
      <c r="A189" s="17">
        <f>IF(B189="","",ROW()-4)</f>
        <v/>
      </c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8" t="n"/>
    </row>
    <row r="190">
      <c r="A190" s="20">
        <f>IF(B190="","",ROW()-4)</f>
        <v/>
      </c>
      <c r="B190" s="20" t="n"/>
      <c r="C190" s="20" t="n"/>
      <c r="D190" s="20" t="n"/>
      <c r="E190" s="20" t="n"/>
      <c r="F190" s="20" t="n"/>
      <c r="G190" s="20" t="n"/>
      <c r="H190" s="20" t="n"/>
      <c r="I190" s="20" t="n"/>
      <c r="J190" s="20" t="n"/>
      <c r="K190" s="20" t="n"/>
      <c r="L190" s="20" t="n"/>
      <c r="M190" s="20" t="n"/>
      <c r="N190" s="20" t="n"/>
      <c r="O190" s="20" t="n"/>
      <c r="P190" s="20" t="n"/>
      <c r="Q190" s="20" t="n"/>
      <c r="R190" s="20" t="n"/>
      <c r="S190" s="21" t="n"/>
    </row>
    <row r="191">
      <c r="A191" s="17">
        <f>IF(B191="","",ROW()-4)</f>
        <v/>
      </c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8" t="n"/>
    </row>
    <row r="192">
      <c r="A192" s="20">
        <f>IF(B192="","",ROW()-4)</f>
        <v/>
      </c>
      <c r="B192" s="20" t="n"/>
      <c r="C192" s="20" t="n"/>
      <c r="D192" s="20" t="n"/>
      <c r="E192" s="20" t="n"/>
      <c r="F192" s="20" t="n"/>
      <c r="G192" s="20" t="n"/>
      <c r="H192" s="20" t="n"/>
      <c r="I192" s="20" t="n"/>
      <c r="J192" s="20" t="n"/>
      <c r="K192" s="20" t="n"/>
      <c r="L192" s="20" t="n"/>
      <c r="M192" s="20" t="n"/>
      <c r="N192" s="20" t="n"/>
      <c r="O192" s="20" t="n"/>
      <c r="P192" s="20" t="n"/>
      <c r="Q192" s="20" t="n"/>
      <c r="R192" s="20" t="n"/>
      <c r="S192" s="21" t="n"/>
    </row>
    <row r="193">
      <c r="A193" s="17">
        <f>IF(B193="","",ROW()-4)</f>
        <v/>
      </c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8" t="n"/>
    </row>
    <row r="194">
      <c r="A194" s="20">
        <f>IF(B194="","",ROW()-4)</f>
        <v/>
      </c>
      <c r="B194" s="20" t="n"/>
      <c r="C194" s="20" t="n"/>
      <c r="D194" s="20" t="n"/>
      <c r="E194" s="20" t="n"/>
      <c r="F194" s="20" t="n"/>
      <c r="G194" s="20" t="n"/>
      <c r="H194" s="20" t="n"/>
      <c r="I194" s="20" t="n"/>
      <c r="J194" s="20" t="n"/>
      <c r="K194" s="20" t="n"/>
      <c r="L194" s="20" t="n"/>
      <c r="M194" s="20" t="n"/>
      <c r="N194" s="20" t="n"/>
      <c r="O194" s="20" t="n"/>
      <c r="P194" s="20" t="n"/>
      <c r="Q194" s="20" t="n"/>
      <c r="R194" s="20" t="n"/>
      <c r="S194" s="21" t="n"/>
    </row>
    <row r="195">
      <c r="A195" s="17">
        <f>IF(B195="","",ROW()-4)</f>
        <v/>
      </c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8" t="n"/>
    </row>
    <row r="196">
      <c r="A196" s="20">
        <f>IF(B196="","",ROW()-4)</f>
        <v/>
      </c>
      <c r="B196" s="20" t="n"/>
      <c r="C196" s="20" t="n"/>
      <c r="D196" s="20" t="n"/>
      <c r="E196" s="20" t="n"/>
      <c r="F196" s="20" t="n"/>
      <c r="G196" s="20" t="n"/>
      <c r="H196" s="20" t="n"/>
      <c r="I196" s="20" t="n"/>
      <c r="J196" s="20" t="n"/>
      <c r="K196" s="20" t="n"/>
      <c r="L196" s="20" t="n"/>
      <c r="M196" s="20" t="n"/>
      <c r="N196" s="20" t="n"/>
      <c r="O196" s="20" t="n"/>
      <c r="P196" s="20" t="n"/>
      <c r="Q196" s="20" t="n"/>
      <c r="R196" s="20" t="n"/>
      <c r="S196" s="21" t="n"/>
    </row>
    <row r="197">
      <c r="A197" s="17">
        <f>IF(B197="","",ROW()-4)</f>
        <v/>
      </c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8" t="n"/>
    </row>
    <row r="198">
      <c r="A198" s="20">
        <f>IF(B198="","",ROW()-4)</f>
        <v/>
      </c>
      <c r="B198" s="20" t="n"/>
      <c r="C198" s="20" t="n"/>
      <c r="D198" s="20" t="n"/>
      <c r="E198" s="20" t="n"/>
      <c r="F198" s="20" t="n"/>
      <c r="G198" s="20" t="n"/>
      <c r="H198" s="20" t="n"/>
      <c r="I198" s="20" t="n"/>
      <c r="J198" s="20" t="n"/>
      <c r="K198" s="20" t="n"/>
      <c r="L198" s="20" t="n"/>
      <c r="M198" s="20" t="n"/>
      <c r="N198" s="20" t="n"/>
      <c r="O198" s="20" t="n"/>
      <c r="P198" s="20" t="n"/>
      <c r="Q198" s="20" t="n"/>
      <c r="R198" s="20" t="n"/>
      <c r="S198" s="21" t="n"/>
    </row>
    <row r="199">
      <c r="A199" s="17">
        <f>IF(B199="","",ROW()-4)</f>
        <v/>
      </c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8" t="n"/>
    </row>
    <row r="200">
      <c r="A200" s="20">
        <f>IF(B200="","",ROW()-4)</f>
        <v/>
      </c>
      <c r="B200" s="20" t="n"/>
      <c r="C200" s="20" t="n"/>
      <c r="D200" s="20" t="n"/>
      <c r="E200" s="20" t="n"/>
      <c r="F200" s="20" t="n"/>
      <c r="G200" s="20" t="n"/>
      <c r="H200" s="20" t="n"/>
      <c r="I200" s="20" t="n"/>
      <c r="J200" s="20" t="n"/>
      <c r="K200" s="20" t="n"/>
      <c r="L200" s="20" t="n"/>
      <c r="M200" s="20" t="n"/>
      <c r="N200" s="20" t="n"/>
      <c r="O200" s="20" t="n"/>
      <c r="P200" s="20" t="n"/>
      <c r="Q200" s="20" t="n"/>
      <c r="R200" s="20" t="n"/>
      <c r="S200" s="21" t="n"/>
    </row>
    <row r="201">
      <c r="A201" s="17">
        <f>IF(B201="","",ROW()-4)</f>
        <v/>
      </c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8" t="n"/>
    </row>
    <row r="202">
      <c r="A202" s="20">
        <f>IF(B202="","",ROW()-4)</f>
        <v/>
      </c>
      <c r="B202" s="20" t="n"/>
      <c r="C202" s="20" t="n"/>
      <c r="D202" s="20" t="n"/>
      <c r="E202" s="20" t="n"/>
      <c r="F202" s="20" t="n"/>
      <c r="G202" s="20" t="n"/>
      <c r="H202" s="20" t="n"/>
      <c r="I202" s="20" t="n"/>
      <c r="J202" s="20" t="n"/>
      <c r="K202" s="20" t="n"/>
      <c r="L202" s="20" t="n"/>
      <c r="M202" s="20" t="n"/>
      <c r="N202" s="20" t="n"/>
      <c r="O202" s="20" t="n"/>
      <c r="P202" s="20" t="n"/>
      <c r="Q202" s="20" t="n"/>
      <c r="R202" s="20" t="n"/>
      <c r="S202" s="21" t="n"/>
    </row>
    <row r="203">
      <c r="A203" s="17">
        <f>IF(B203="","",ROW()-4)</f>
        <v/>
      </c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8" t="n"/>
    </row>
    <row r="204">
      <c r="A204" s="20">
        <f>IF(B204="","",ROW()-4)</f>
        <v/>
      </c>
      <c r="B204" s="20" t="n"/>
      <c r="C204" s="20" t="n"/>
      <c r="D204" s="20" t="n"/>
      <c r="E204" s="20" t="n"/>
      <c r="F204" s="20" t="n"/>
      <c r="G204" s="20" t="n"/>
      <c r="H204" s="20" t="n"/>
      <c r="I204" s="20" t="n"/>
      <c r="J204" s="20" t="n"/>
      <c r="K204" s="20" t="n"/>
      <c r="L204" s="20" t="n"/>
      <c r="M204" s="20" t="n"/>
      <c r="N204" s="20" t="n"/>
      <c r="O204" s="20" t="n"/>
      <c r="P204" s="20" t="n"/>
      <c r="Q204" s="20" t="n"/>
      <c r="R204" s="20" t="n"/>
      <c r="S204" s="21" t="n"/>
    </row>
    <row r="205">
      <c r="A205" s="17">
        <f>IF(B205="","",ROW()-4)</f>
        <v/>
      </c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8" t="n"/>
    </row>
    <row r="206">
      <c r="A206" s="20">
        <f>IF(B206="","",ROW()-4)</f>
        <v/>
      </c>
      <c r="B206" s="20" t="n"/>
      <c r="C206" s="20" t="n"/>
      <c r="D206" s="20" t="n"/>
      <c r="E206" s="20" t="n"/>
      <c r="F206" s="20" t="n"/>
      <c r="G206" s="20" t="n"/>
      <c r="H206" s="20" t="n"/>
      <c r="I206" s="20" t="n"/>
      <c r="J206" s="20" t="n"/>
      <c r="K206" s="20" t="n"/>
      <c r="L206" s="20" t="n"/>
      <c r="M206" s="20" t="n"/>
      <c r="N206" s="20" t="n"/>
      <c r="O206" s="20" t="n"/>
      <c r="P206" s="20" t="n"/>
      <c r="Q206" s="20" t="n"/>
      <c r="R206" s="20" t="n"/>
      <c r="S206" s="21" t="n"/>
    </row>
    <row r="207">
      <c r="A207" s="17">
        <f>IF(B207="","",ROW()-4)</f>
        <v/>
      </c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8" t="n"/>
    </row>
    <row r="208">
      <c r="A208" s="20">
        <f>IF(B208="","",ROW()-4)</f>
        <v/>
      </c>
      <c r="B208" s="20" t="n"/>
      <c r="C208" s="20" t="n"/>
      <c r="D208" s="20" t="n"/>
      <c r="E208" s="20" t="n"/>
      <c r="F208" s="20" t="n"/>
      <c r="G208" s="20" t="n"/>
      <c r="H208" s="20" t="n"/>
      <c r="I208" s="20" t="n"/>
      <c r="J208" s="20" t="n"/>
      <c r="K208" s="20" t="n"/>
      <c r="L208" s="20" t="n"/>
      <c r="M208" s="20" t="n"/>
      <c r="N208" s="20" t="n"/>
      <c r="O208" s="20" t="n"/>
      <c r="P208" s="20" t="n"/>
      <c r="Q208" s="20" t="n"/>
      <c r="R208" s="20" t="n"/>
      <c r="S208" s="21" t="n"/>
    </row>
    <row r="209">
      <c r="A209" s="17">
        <f>IF(B209="","",ROW()-4)</f>
        <v/>
      </c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8" t="n"/>
    </row>
    <row r="210">
      <c r="A210" s="20">
        <f>IF(B210="","",ROW()-4)</f>
        <v/>
      </c>
      <c r="B210" s="20" t="n"/>
      <c r="C210" s="20" t="n"/>
      <c r="D210" s="20" t="n"/>
      <c r="E210" s="20" t="n"/>
      <c r="F210" s="20" t="n"/>
      <c r="G210" s="20" t="n"/>
      <c r="H210" s="20" t="n"/>
      <c r="I210" s="20" t="n"/>
      <c r="J210" s="20" t="n"/>
      <c r="K210" s="20" t="n"/>
      <c r="L210" s="20" t="n"/>
      <c r="M210" s="20" t="n"/>
      <c r="N210" s="20" t="n"/>
      <c r="O210" s="20" t="n"/>
      <c r="P210" s="20" t="n"/>
      <c r="Q210" s="20" t="n"/>
      <c r="R210" s="20" t="n"/>
      <c r="S210" s="21" t="n"/>
    </row>
    <row r="211">
      <c r="A211" s="17">
        <f>IF(B211="","",ROW()-4)</f>
        <v/>
      </c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8" t="n"/>
    </row>
    <row r="212">
      <c r="A212" s="20">
        <f>IF(B212="","",ROW()-4)</f>
        <v/>
      </c>
      <c r="B212" s="20" t="n"/>
      <c r="C212" s="20" t="n"/>
      <c r="D212" s="20" t="n"/>
      <c r="E212" s="20" t="n"/>
      <c r="F212" s="20" t="n"/>
      <c r="G212" s="20" t="n"/>
      <c r="H212" s="20" t="n"/>
      <c r="I212" s="20" t="n"/>
      <c r="J212" s="20" t="n"/>
      <c r="K212" s="20" t="n"/>
      <c r="L212" s="20" t="n"/>
      <c r="M212" s="20" t="n"/>
      <c r="N212" s="20" t="n"/>
      <c r="O212" s="20" t="n"/>
      <c r="P212" s="20" t="n"/>
      <c r="Q212" s="20" t="n"/>
      <c r="R212" s="20" t="n"/>
      <c r="S212" s="21" t="n"/>
    </row>
    <row r="213">
      <c r="A213" s="17">
        <f>IF(B213="","",ROW()-4)</f>
        <v/>
      </c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8" t="n"/>
    </row>
    <row r="214">
      <c r="A214" s="20">
        <f>IF(B214="","",ROW()-4)</f>
        <v/>
      </c>
      <c r="B214" s="20" t="n"/>
      <c r="C214" s="20" t="n"/>
      <c r="D214" s="20" t="n"/>
      <c r="E214" s="20" t="n"/>
      <c r="F214" s="20" t="n"/>
      <c r="G214" s="20" t="n"/>
      <c r="H214" s="20" t="n"/>
      <c r="I214" s="20" t="n"/>
      <c r="J214" s="20" t="n"/>
      <c r="K214" s="20" t="n"/>
      <c r="L214" s="20" t="n"/>
      <c r="M214" s="20" t="n"/>
      <c r="N214" s="20" t="n"/>
      <c r="O214" s="20" t="n"/>
      <c r="P214" s="20" t="n"/>
      <c r="Q214" s="20" t="n"/>
      <c r="R214" s="20" t="n"/>
      <c r="S214" s="21" t="n"/>
    </row>
    <row r="215">
      <c r="A215" s="17">
        <f>IF(B215="","",ROW()-4)</f>
        <v/>
      </c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8" t="n"/>
    </row>
    <row r="216">
      <c r="A216" s="20">
        <f>IF(B216="","",ROW()-4)</f>
        <v/>
      </c>
      <c r="B216" s="20" t="n"/>
      <c r="C216" s="20" t="n"/>
      <c r="D216" s="20" t="n"/>
      <c r="E216" s="20" t="n"/>
      <c r="F216" s="20" t="n"/>
      <c r="G216" s="20" t="n"/>
      <c r="H216" s="20" t="n"/>
      <c r="I216" s="20" t="n"/>
      <c r="J216" s="20" t="n"/>
      <c r="K216" s="20" t="n"/>
      <c r="L216" s="20" t="n"/>
      <c r="M216" s="20" t="n"/>
      <c r="N216" s="20" t="n"/>
      <c r="O216" s="20" t="n"/>
      <c r="P216" s="20" t="n"/>
      <c r="Q216" s="20" t="n"/>
      <c r="R216" s="20" t="n"/>
      <c r="S216" s="21" t="n"/>
    </row>
    <row r="217">
      <c r="A217" s="17">
        <f>IF(B217="","",ROW()-4)</f>
        <v/>
      </c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8" t="n"/>
    </row>
    <row r="218">
      <c r="A218" s="20">
        <f>IF(B218="","",ROW()-4)</f>
        <v/>
      </c>
      <c r="B218" s="20" t="n"/>
      <c r="C218" s="20" t="n"/>
      <c r="D218" s="20" t="n"/>
      <c r="E218" s="20" t="n"/>
      <c r="F218" s="20" t="n"/>
      <c r="G218" s="20" t="n"/>
      <c r="H218" s="20" t="n"/>
      <c r="I218" s="20" t="n"/>
      <c r="J218" s="20" t="n"/>
      <c r="K218" s="20" t="n"/>
      <c r="L218" s="20" t="n"/>
      <c r="M218" s="20" t="n"/>
      <c r="N218" s="20" t="n"/>
      <c r="O218" s="20" t="n"/>
      <c r="P218" s="20" t="n"/>
      <c r="Q218" s="20" t="n"/>
      <c r="R218" s="20" t="n"/>
      <c r="S218" s="21" t="n"/>
    </row>
    <row r="219">
      <c r="A219" s="17">
        <f>IF(B219="","",ROW()-4)</f>
        <v/>
      </c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8" t="n"/>
    </row>
    <row r="220">
      <c r="A220" s="20">
        <f>IF(B220="","",ROW()-4)</f>
        <v/>
      </c>
      <c r="B220" s="20" t="n"/>
      <c r="C220" s="20" t="n"/>
      <c r="D220" s="20" t="n"/>
      <c r="E220" s="20" t="n"/>
      <c r="F220" s="20" t="n"/>
      <c r="G220" s="20" t="n"/>
      <c r="H220" s="20" t="n"/>
      <c r="I220" s="20" t="n"/>
      <c r="J220" s="20" t="n"/>
      <c r="K220" s="20" t="n"/>
      <c r="L220" s="20" t="n"/>
      <c r="M220" s="20" t="n"/>
      <c r="N220" s="20" t="n"/>
      <c r="O220" s="20" t="n"/>
      <c r="P220" s="20" t="n"/>
      <c r="Q220" s="20" t="n"/>
      <c r="R220" s="20" t="n"/>
      <c r="S220" s="21" t="n"/>
    </row>
    <row r="221">
      <c r="A221" s="17">
        <f>IF(B221="","",ROW()-4)</f>
        <v/>
      </c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8" t="n"/>
    </row>
    <row r="222">
      <c r="A222" s="20">
        <f>IF(B222="","",ROW()-4)</f>
        <v/>
      </c>
      <c r="B222" s="20" t="n"/>
      <c r="C222" s="20" t="n"/>
      <c r="D222" s="20" t="n"/>
      <c r="E222" s="20" t="n"/>
      <c r="F222" s="20" t="n"/>
      <c r="G222" s="20" t="n"/>
      <c r="H222" s="20" t="n"/>
      <c r="I222" s="20" t="n"/>
      <c r="J222" s="20" t="n"/>
      <c r="K222" s="20" t="n"/>
      <c r="L222" s="20" t="n"/>
      <c r="M222" s="20" t="n"/>
      <c r="N222" s="20" t="n"/>
      <c r="O222" s="20" t="n"/>
      <c r="P222" s="20" t="n"/>
      <c r="Q222" s="20" t="n"/>
      <c r="R222" s="20" t="n"/>
      <c r="S222" s="21" t="n"/>
    </row>
    <row r="223">
      <c r="A223" s="17">
        <f>IF(B223="","",ROW()-4)</f>
        <v/>
      </c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8" t="n"/>
    </row>
    <row r="224">
      <c r="A224" s="20">
        <f>IF(B224="","",ROW()-4)</f>
        <v/>
      </c>
      <c r="B224" s="20" t="n"/>
      <c r="C224" s="20" t="n"/>
      <c r="D224" s="20" t="n"/>
      <c r="E224" s="20" t="n"/>
      <c r="F224" s="20" t="n"/>
      <c r="G224" s="20" t="n"/>
      <c r="H224" s="20" t="n"/>
      <c r="I224" s="20" t="n"/>
      <c r="J224" s="20" t="n"/>
      <c r="K224" s="20" t="n"/>
      <c r="L224" s="20" t="n"/>
      <c r="M224" s="20" t="n"/>
      <c r="N224" s="20" t="n"/>
      <c r="O224" s="20" t="n"/>
      <c r="P224" s="20" t="n"/>
      <c r="Q224" s="20" t="n"/>
      <c r="R224" s="20" t="n"/>
      <c r="S224" s="21" t="n"/>
    </row>
    <row r="225">
      <c r="A225" s="17">
        <f>IF(B225="","",ROW()-4)</f>
        <v/>
      </c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8" t="n"/>
    </row>
    <row r="226">
      <c r="A226" s="20">
        <f>IF(B226="","",ROW()-4)</f>
        <v/>
      </c>
      <c r="B226" s="20" t="n"/>
      <c r="C226" s="20" t="n"/>
      <c r="D226" s="20" t="n"/>
      <c r="E226" s="20" t="n"/>
      <c r="F226" s="20" t="n"/>
      <c r="G226" s="20" t="n"/>
      <c r="H226" s="20" t="n"/>
      <c r="I226" s="20" t="n"/>
      <c r="J226" s="20" t="n"/>
      <c r="K226" s="20" t="n"/>
      <c r="L226" s="20" t="n"/>
      <c r="M226" s="20" t="n"/>
      <c r="N226" s="20" t="n"/>
      <c r="O226" s="20" t="n"/>
      <c r="P226" s="20" t="n"/>
      <c r="Q226" s="20" t="n"/>
      <c r="R226" s="20" t="n"/>
      <c r="S226" s="21" t="n"/>
    </row>
    <row r="227">
      <c r="A227" s="17">
        <f>IF(B227="","",ROW()-4)</f>
        <v/>
      </c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8" t="n"/>
    </row>
    <row r="228">
      <c r="A228" s="20">
        <f>IF(B228="","",ROW()-4)</f>
        <v/>
      </c>
      <c r="B228" s="20" t="n"/>
      <c r="C228" s="20" t="n"/>
      <c r="D228" s="20" t="n"/>
      <c r="E228" s="20" t="n"/>
      <c r="F228" s="20" t="n"/>
      <c r="G228" s="20" t="n"/>
      <c r="H228" s="20" t="n"/>
      <c r="I228" s="20" t="n"/>
      <c r="J228" s="20" t="n"/>
      <c r="K228" s="20" t="n"/>
      <c r="L228" s="20" t="n"/>
      <c r="M228" s="20" t="n"/>
      <c r="N228" s="20" t="n"/>
      <c r="O228" s="20" t="n"/>
      <c r="P228" s="20" t="n"/>
      <c r="Q228" s="20" t="n"/>
      <c r="R228" s="20" t="n"/>
      <c r="S228" s="21" t="n"/>
    </row>
    <row r="229">
      <c r="A229" s="17">
        <f>IF(B229="","",ROW()-4)</f>
        <v/>
      </c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8" t="n"/>
    </row>
    <row r="230">
      <c r="A230" s="20">
        <f>IF(B230="","",ROW()-4)</f>
        <v/>
      </c>
      <c r="B230" s="20" t="n"/>
      <c r="C230" s="20" t="n"/>
      <c r="D230" s="20" t="n"/>
      <c r="E230" s="20" t="n"/>
      <c r="F230" s="20" t="n"/>
      <c r="G230" s="20" t="n"/>
      <c r="H230" s="20" t="n"/>
      <c r="I230" s="20" t="n"/>
      <c r="J230" s="20" t="n"/>
      <c r="K230" s="20" t="n"/>
      <c r="L230" s="20" t="n"/>
      <c r="M230" s="20" t="n"/>
      <c r="N230" s="20" t="n"/>
      <c r="O230" s="20" t="n"/>
      <c r="P230" s="20" t="n"/>
      <c r="Q230" s="20" t="n"/>
      <c r="R230" s="20" t="n"/>
      <c r="S230" s="21" t="n"/>
    </row>
    <row r="231">
      <c r="A231" s="17">
        <f>IF(B231="","",ROW()-4)</f>
        <v/>
      </c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8" t="n"/>
    </row>
    <row r="232">
      <c r="A232" s="20">
        <f>IF(B232="","",ROW()-4)</f>
        <v/>
      </c>
      <c r="B232" s="20" t="n"/>
      <c r="C232" s="20" t="n"/>
      <c r="D232" s="20" t="n"/>
      <c r="E232" s="20" t="n"/>
      <c r="F232" s="20" t="n"/>
      <c r="G232" s="20" t="n"/>
      <c r="H232" s="20" t="n"/>
      <c r="I232" s="20" t="n"/>
      <c r="J232" s="20" t="n"/>
      <c r="K232" s="20" t="n"/>
      <c r="L232" s="20" t="n"/>
      <c r="M232" s="20" t="n"/>
      <c r="N232" s="20" t="n"/>
      <c r="O232" s="20" t="n"/>
      <c r="P232" s="20" t="n"/>
      <c r="Q232" s="20" t="n"/>
      <c r="R232" s="20" t="n"/>
      <c r="S232" s="21" t="n"/>
    </row>
    <row r="233">
      <c r="A233" s="17">
        <f>IF(B233="","",ROW()-4)</f>
        <v/>
      </c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8" t="n"/>
    </row>
    <row r="234">
      <c r="A234" s="20">
        <f>IF(B234="","",ROW()-4)</f>
        <v/>
      </c>
      <c r="B234" s="20" t="n"/>
      <c r="C234" s="20" t="n"/>
      <c r="D234" s="20" t="n"/>
      <c r="E234" s="20" t="n"/>
      <c r="F234" s="20" t="n"/>
      <c r="G234" s="20" t="n"/>
      <c r="H234" s="20" t="n"/>
      <c r="I234" s="20" t="n"/>
      <c r="J234" s="20" t="n"/>
      <c r="K234" s="20" t="n"/>
      <c r="L234" s="20" t="n"/>
      <c r="M234" s="20" t="n"/>
      <c r="N234" s="20" t="n"/>
      <c r="O234" s="20" t="n"/>
      <c r="P234" s="20" t="n"/>
      <c r="Q234" s="20" t="n"/>
      <c r="R234" s="20" t="n"/>
      <c r="S234" s="21" t="n"/>
    </row>
    <row r="235">
      <c r="A235" s="17">
        <f>IF(B235="","",ROW()-4)</f>
        <v/>
      </c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8" t="n"/>
    </row>
    <row r="236">
      <c r="A236" s="20">
        <f>IF(B236="","",ROW()-4)</f>
        <v/>
      </c>
      <c r="B236" s="20" t="n"/>
      <c r="C236" s="20" t="n"/>
      <c r="D236" s="20" t="n"/>
      <c r="E236" s="20" t="n"/>
      <c r="F236" s="20" t="n"/>
      <c r="G236" s="20" t="n"/>
      <c r="H236" s="20" t="n"/>
      <c r="I236" s="20" t="n"/>
      <c r="J236" s="20" t="n"/>
      <c r="K236" s="20" t="n"/>
      <c r="L236" s="20" t="n"/>
      <c r="M236" s="20" t="n"/>
      <c r="N236" s="20" t="n"/>
      <c r="O236" s="20" t="n"/>
      <c r="P236" s="20" t="n"/>
      <c r="Q236" s="20" t="n"/>
      <c r="R236" s="20" t="n"/>
      <c r="S236" s="21" t="n"/>
    </row>
    <row r="237">
      <c r="A237" s="17">
        <f>IF(B237="","",ROW()-4)</f>
        <v/>
      </c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8" t="n"/>
    </row>
    <row r="238">
      <c r="A238" s="20">
        <f>IF(B238="","",ROW()-4)</f>
        <v/>
      </c>
      <c r="B238" s="20" t="n"/>
      <c r="C238" s="20" t="n"/>
      <c r="D238" s="20" t="n"/>
      <c r="E238" s="20" t="n"/>
      <c r="F238" s="20" t="n"/>
      <c r="G238" s="20" t="n"/>
      <c r="H238" s="20" t="n"/>
      <c r="I238" s="20" t="n"/>
      <c r="J238" s="20" t="n"/>
      <c r="K238" s="20" t="n"/>
      <c r="L238" s="20" t="n"/>
      <c r="M238" s="20" t="n"/>
      <c r="N238" s="20" t="n"/>
      <c r="O238" s="20" t="n"/>
      <c r="P238" s="20" t="n"/>
      <c r="Q238" s="20" t="n"/>
      <c r="R238" s="20" t="n"/>
      <c r="S238" s="21" t="n"/>
    </row>
    <row r="239">
      <c r="A239" s="17">
        <f>IF(B239="","",ROW()-4)</f>
        <v/>
      </c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8" t="n"/>
    </row>
    <row r="240">
      <c r="A240" s="20">
        <f>IF(B240="","",ROW()-4)</f>
        <v/>
      </c>
      <c r="B240" s="20" t="n"/>
      <c r="C240" s="20" t="n"/>
      <c r="D240" s="20" t="n"/>
      <c r="E240" s="20" t="n"/>
      <c r="F240" s="20" t="n"/>
      <c r="G240" s="20" t="n"/>
      <c r="H240" s="20" t="n"/>
      <c r="I240" s="20" t="n"/>
      <c r="J240" s="20" t="n"/>
      <c r="K240" s="20" t="n"/>
      <c r="L240" s="20" t="n"/>
      <c r="M240" s="20" t="n"/>
      <c r="N240" s="20" t="n"/>
      <c r="O240" s="20" t="n"/>
      <c r="P240" s="20" t="n"/>
      <c r="Q240" s="20" t="n"/>
      <c r="R240" s="20" t="n"/>
      <c r="S240" s="21" t="n"/>
    </row>
    <row r="241">
      <c r="A241" s="17">
        <f>IF(B241="","",ROW()-4)</f>
        <v/>
      </c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8" t="n"/>
    </row>
    <row r="242">
      <c r="A242" s="20">
        <f>IF(B242="","",ROW()-4)</f>
        <v/>
      </c>
      <c r="B242" s="20" t="n"/>
      <c r="C242" s="20" t="n"/>
      <c r="D242" s="20" t="n"/>
      <c r="E242" s="20" t="n"/>
      <c r="F242" s="20" t="n"/>
      <c r="G242" s="20" t="n"/>
      <c r="H242" s="20" t="n"/>
      <c r="I242" s="20" t="n"/>
      <c r="J242" s="20" t="n"/>
      <c r="K242" s="20" t="n"/>
      <c r="L242" s="20" t="n"/>
      <c r="M242" s="20" t="n"/>
      <c r="N242" s="20" t="n"/>
      <c r="O242" s="20" t="n"/>
      <c r="P242" s="20" t="n"/>
      <c r="Q242" s="20" t="n"/>
      <c r="R242" s="20" t="n"/>
      <c r="S242" s="21" t="n"/>
    </row>
    <row r="243">
      <c r="A243" s="17">
        <f>IF(B243="","",ROW()-4)</f>
        <v/>
      </c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8" t="n"/>
    </row>
    <row r="244">
      <c r="A244" s="20">
        <f>IF(B244="","",ROW()-4)</f>
        <v/>
      </c>
      <c r="B244" s="20" t="n"/>
      <c r="C244" s="20" t="n"/>
      <c r="D244" s="20" t="n"/>
      <c r="E244" s="20" t="n"/>
      <c r="F244" s="20" t="n"/>
      <c r="G244" s="20" t="n"/>
      <c r="H244" s="20" t="n"/>
      <c r="I244" s="20" t="n"/>
      <c r="J244" s="20" t="n"/>
      <c r="K244" s="20" t="n"/>
      <c r="L244" s="20" t="n"/>
      <c r="M244" s="20" t="n"/>
      <c r="N244" s="20" t="n"/>
      <c r="O244" s="20" t="n"/>
      <c r="P244" s="20" t="n"/>
      <c r="Q244" s="20" t="n"/>
      <c r="R244" s="20" t="n"/>
      <c r="S244" s="21" t="n"/>
    </row>
    <row r="245">
      <c r="A245" s="17">
        <f>IF(B245="","",ROW()-4)</f>
        <v/>
      </c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8" t="n"/>
    </row>
    <row r="246">
      <c r="A246" s="20">
        <f>IF(B246="","",ROW()-4)</f>
        <v/>
      </c>
      <c r="B246" s="20" t="n"/>
      <c r="C246" s="20" t="n"/>
      <c r="D246" s="20" t="n"/>
      <c r="E246" s="20" t="n"/>
      <c r="F246" s="20" t="n"/>
      <c r="G246" s="20" t="n"/>
      <c r="H246" s="20" t="n"/>
      <c r="I246" s="20" t="n"/>
      <c r="J246" s="20" t="n"/>
      <c r="K246" s="20" t="n"/>
      <c r="L246" s="20" t="n"/>
      <c r="M246" s="20" t="n"/>
      <c r="N246" s="20" t="n"/>
      <c r="O246" s="20" t="n"/>
      <c r="P246" s="20" t="n"/>
      <c r="Q246" s="20" t="n"/>
      <c r="R246" s="20" t="n"/>
      <c r="S246" s="21" t="n"/>
    </row>
    <row r="247">
      <c r="A247" s="17">
        <f>IF(B247="","",ROW()-4)</f>
        <v/>
      </c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8" t="n"/>
    </row>
    <row r="248">
      <c r="A248" s="20">
        <f>IF(B248="","",ROW()-4)</f>
        <v/>
      </c>
      <c r="B248" s="20" t="n"/>
      <c r="C248" s="20" t="n"/>
      <c r="D248" s="20" t="n"/>
      <c r="E248" s="20" t="n"/>
      <c r="F248" s="20" t="n"/>
      <c r="G248" s="20" t="n"/>
      <c r="H248" s="20" t="n"/>
      <c r="I248" s="20" t="n"/>
      <c r="J248" s="20" t="n"/>
      <c r="K248" s="20" t="n"/>
      <c r="L248" s="20" t="n"/>
      <c r="M248" s="20" t="n"/>
      <c r="N248" s="20" t="n"/>
      <c r="O248" s="20" t="n"/>
      <c r="P248" s="20" t="n"/>
      <c r="Q248" s="20" t="n"/>
      <c r="R248" s="20" t="n"/>
      <c r="S248" s="21" t="n"/>
    </row>
    <row r="249">
      <c r="A249" s="17">
        <f>IF(B249="","",ROW()-4)</f>
        <v/>
      </c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8" t="n"/>
    </row>
    <row r="250">
      <c r="A250" s="20">
        <f>IF(B250="","",ROW()-4)</f>
        <v/>
      </c>
      <c r="B250" s="20" t="n"/>
      <c r="C250" s="20" t="n"/>
      <c r="D250" s="20" t="n"/>
      <c r="E250" s="20" t="n"/>
      <c r="F250" s="20" t="n"/>
      <c r="G250" s="20" t="n"/>
      <c r="H250" s="20" t="n"/>
      <c r="I250" s="20" t="n"/>
      <c r="J250" s="20" t="n"/>
      <c r="K250" s="20" t="n"/>
      <c r="L250" s="20" t="n"/>
      <c r="M250" s="20" t="n"/>
      <c r="N250" s="20" t="n"/>
      <c r="O250" s="20" t="n"/>
      <c r="P250" s="20" t="n"/>
      <c r="Q250" s="20" t="n"/>
      <c r="R250" s="20" t="n"/>
      <c r="S250" s="21" t="n"/>
    </row>
    <row r="251">
      <c r="A251" s="17">
        <f>IF(B251="","",ROW()-4)</f>
        <v/>
      </c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8" t="n"/>
    </row>
    <row r="252">
      <c r="A252" s="20">
        <f>IF(B252="","",ROW()-4)</f>
        <v/>
      </c>
      <c r="B252" s="20" t="n"/>
      <c r="C252" s="20" t="n"/>
      <c r="D252" s="20" t="n"/>
      <c r="E252" s="20" t="n"/>
      <c r="F252" s="20" t="n"/>
      <c r="G252" s="20" t="n"/>
      <c r="H252" s="20" t="n"/>
      <c r="I252" s="20" t="n"/>
      <c r="J252" s="20" t="n"/>
      <c r="K252" s="20" t="n"/>
      <c r="L252" s="20" t="n"/>
      <c r="M252" s="20" t="n"/>
      <c r="N252" s="20" t="n"/>
      <c r="O252" s="20" t="n"/>
      <c r="P252" s="20" t="n"/>
      <c r="Q252" s="20" t="n"/>
      <c r="R252" s="20" t="n"/>
      <c r="S252" s="21" t="n"/>
    </row>
    <row r="253">
      <c r="A253" s="17">
        <f>IF(B253="","",ROW()-4)</f>
        <v/>
      </c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8" t="n"/>
    </row>
    <row r="254">
      <c r="A254" s="20">
        <f>IF(B254="","",ROW()-4)</f>
        <v/>
      </c>
      <c r="B254" s="20" t="n"/>
      <c r="C254" s="20" t="n"/>
      <c r="D254" s="20" t="n"/>
      <c r="E254" s="20" t="n"/>
      <c r="F254" s="20" t="n"/>
      <c r="G254" s="20" t="n"/>
      <c r="H254" s="20" t="n"/>
      <c r="I254" s="20" t="n"/>
      <c r="J254" s="20" t="n"/>
      <c r="K254" s="20" t="n"/>
      <c r="L254" s="20" t="n"/>
      <c r="M254" s="20" t="n"/>
      <c r="N254" s="20" t="n"/>
      <c r="O254" s="20" t="n"/>
      <c r="P254" s="20" t="n"/>
      <c r="Q254" s="20" t="n"/>
      <c r="R254" s="20" t="n"/>
      <c r="S254" s="21" t="n"/>
    </row>
    <row r="255">
      <c r="A255" s="17">
        <f>IF(B255="","",ROW()-4)</f>
        <v/>
      </c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8" t="n"/>
    </row>
    <row r="256">
      <c r="A256" s="20">
        <f>IF(B256="","",ROW()-4)</f>
        <v/>
      </c>
      <c r="B256" s="20" t="n"/>
      <c r="C256" s="20" t="n"/>
      <c r="D256" s="20" t="n"/>
      <c r="E256" s="20" t="n"/>
      <c r="F256" s="20" t="n"/>
      <c r="G256" s="20" t="n"/>
      <c r="H256" s="20" t="n"/>
      <c r="I256" s="20" t="n"/>
      <c r="J256" s="20" t="n"/>
      <c r="K256" s="20" t="n"/>
      <c r="L256" s="20" t="n"/>
      <c r="M256" s="20" t="n"/>
      <c r="N256" s="20" t="n"/>
      <c r="O256" s="20" t="n"/>
      <c r="P256" s="20" t="n"/>
      <c r="Q256" s="20" t="n"/>
      <c r="R256" s="20" t="n"/>
      <c r="S256" s="21" t="n"/>
    </row>
    <row r="257">
      <c r="A257" s="17">
        <f>IF(B257="","",ROW()-4)</f>
        <v/>
      </c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8" t="n"/>
    </row>
    <row r="258">
      <c r="A258" s="20">
        <f>IF(B258="","",ROW()-4)</f>
        <v/>
      </c>
      <c r="B258" s="20" t="n"/>
      <c r="C258" s="20" t="n"/>
      <c r="D258" s="20" t="n"/>
      <c r="E258" s="20" t="n"/>
      <c r="F258" s="20" t="n"/>
      <c r="G258" s="20" t="n"/>
      <c r="H258" s="20" t="n"/>
      <c r="I258" s="20" t="n"/>
      <c r="J258" s="20" t="n"/>
      <c r="K258" s="20" t="n"/>
      <c r="L258" s="20" t="n"/>
      <c r="M258" s="20" t="n"/>
      <c r="N258" s="20" t="n"/>
      <c r="O258" s="20" t="n"/>
      <c r="P258" s="20" t="n"/>
      <c r="Q258" s="20" t="n"/>
      <c r="R258" s="20" t="n"/>
      <c r="S258" s="21" t="n"/>
    </row>
    <row r="259">
      <c r="A259" s="17">
        <f>IF(B259="","",ROW()-4)</f>
        <v/>
      </c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8" t="n"/>
    </row>
    <row r="260">
      <c r="A260" s="20">
        <f>IF(B260="","",ROW()-4)</f>
        <v/>
      </c>
      <c r="B260" s="20" t="n"/>
      <c r="C260" s="20" t="n"/>
      <c r="D260" s="20" t="n"/>
      <c r="E260" s="20" t="n"/>
      <c r="F260" s="20" t="n"/>
      <c r="G260" s="20" t="n"/>
      <c r="H260" s="20" t="n"/>
      <c r="I260" s="20" t="n"/>
      <c r="J260" s="20" t="n"/>
      <c r="K260" s="20" t="n"/>
      <c r="L260" s="20" t="n"/>
      <c r="M260" s="20" t="n"/>
      <c r="N260" s="20" t="n"/>
      <c r="O260" s="20" t="n"/>
      <c r="P260" s="20" t="n"/>
      <c r="Q260" s="20" t="n"/>
      <c r="R260" s="20" t="n"/>
      <c r="S260" s="21" t="n"/>
    </row>
    <row r="261">
      <c r="A261" s="17">
        <f>IF(B261="","",ROW()-4)</f>
        <v/>
      </c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8" t="n"/>
    </row>
    <row r="262">
      <c r="A262" s="20">
        <f>IF(B262="","",ROW()-4)</f>
        <v/>
      </c>
      <c r="B262" s="20" t="n"/>
      <c r="C262" s="20" t="n"/>
      <c r="D262" s="20" t="n"/>
      <c r="E262" s="20" t="n"/>
      <c r="F262" s="20" t="n"/>
      <c r="G262" s="20" t="n"/>
      <c r="H262" s="20" t="n"/>
      <c r="I262" s="20" t="n"/>
      <c r="J262" s="20" t="n"/>
      <c r="K262" s="20" t="n"/>
      <c r="L262" s="20" t="n"/>
      <c r="M262" s="20" t="n"/>
      <c r="N262" s="20" t="n"/>
      <c r="O262" s="20" t="n"/>
      <c r="P262" s="20" t="n"/>
      <c r="Q262" s="20" t="n"/>
      <c r="R262" s="20" t="n"/>
      <c r="S262" s="21" t="n"/>
    </row>
    <row r="263">
      <c r="A263" s="17">
        <f>IF(B263="","",ROW()-4)</f>
        <v/>
      </c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8" t="n"/>
    </row>
    <row r="264">
      <c r="A264" s="20">
        <f>IF(B264="","",ROW()-4)</f>
        <v/>
      </c>
      <c r="B264" s="20" t="n"/>
      <c r="C264" s="20" t="n"/>
      <c r="D264" s="20" t="n"/>
      <c r="E264" s="20" t="n"/>
      <c r="F264" s="20" t="n"/>
      <c r="G264" s="20" t="n"/>
      <c r="H264" s="20" t="n"/>
      <c r="I264" s="20" t="n"/>
      <c r="J264" s="20" t="n"/>
      <c r="K264" s="20" t="n"/>
      <c r="L264" s="20" t="n"/>
      <c r="M264" s="20" t="n"/>
      <c r="N264" s="20" t="n"/>
      <c r="O264" s="20" t="n"/>
      <c r="P264" s="20" t="n"/>
      <c r="Q264" s="20" t="n"/>
      <c r="R264" s="20" t="n"/>
      <c r="S264" s="21" t="n"/>
    </row>
    <row r="265">
      <c r="A265" s="17">
        <f>IF(B265="","",ROW()-4)</f>
        <v/>
      </c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8" t="n"/>
    </row>
    <row r="266">
      <c r="A266" s="20">
        <f>IF(B266="","",ROW()-4)</f>
        <v/>
      </c>
      <c r="B266" s="20" t="n"/>
      <c r="C266" s="20" t="n"/>
      <c r="D266" s="20" t="n"/>
      <c r="E266" s="20" t="n"/>
      <c r="F266" s="20" t="n"/>
      <c r="G266" s="20" t="n"/>
      <c r="H266" s="20" t="n"/>
      <c r="I266" s="20" t="n"/>
      <c r="J266" s="20" t="n"/>
      <c r="K266" s="20" t="n"/>
      <c r="L266" s="20" t="n"/>
      <c r="M266" s="20" t="n"/>
      <c r="N266" s="20" t="n"/>
      <c r="O266" s="20" t="n"/>
      <c r="P266" s="20" t="n"/>
      <c r="Q266" s="20" t="n"/>
      <c r="R266" s="20" t="n"/>
      <c r="S266" s="21" t="n"/>
    </row>
    <row r="267">
      <c r="A267" s="17">
        <f>IF(B267="","",ROW()-4)</f>
        <v/>
      </c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8" t="n"/>
    </row>
    <row r="268">
      <c r="A268" s="20">
        <f>IF(B268="","",ROW()-4)</f>
        <v/>
      </c>
      <c r="B268" s="20" t="n"/>
      <c r="C268" s="20" t="n"/>
      <c r="D268" s="20" t="n"/>
      <c r="E268" s="20" t="n"/>
      <c r="F268" s="20" t="n"/>
      <c r="G268" s="20" t="n"/>
      <c r="H268" s="20" t="n"/>
      <c r="I268" s="20" t="n"/>
      <c r="J268" s="20" t="n"/>
      <c r="K268" s="20" t="n"/>
      <c r="L268" s="20" t="n"/>
      <c r="M268" s="20" t="n"/>
      <c r="N268" s="20" t="n"/>
      <c r="O268" s="20" t="n"/>
      <c r="P268" s="20" t="n"/>
      <c r="Q268" s="20" t="n"/>
      <c r="R268" s="20" t="n"/>
      <c r="S268" s="21" t="n"/>
    </row>
    <row r="269">
      <c r="A269" s="17">
        <f>IF(B269="","",ROW()-4)</f>
        <v/>
      </c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8" t="n"/>
    </row>
    <row r="270">
      <c r="A270" s="20">
        <f>IF(B270="","",ROW()-4)</f>
        <v/>
      </c>
      <c r="B270" s="20" t="n"/>
      <c r="C270" s="20" t="n"/>
      <c r="D270" s="20" t="n"/>
      <c r="E270" s="20" t="n"/>
      <c r="F270" s="20" t="n"/>
      <c r="G270" s="20" t="n"/>
      <c r="H270" s="20" t="n"/>
      <c r="I270" s="20" t="n"/>
      <c r="J270" s="20" t="n"/>
      <c r="K270" s="20" t="n"/>
      <c r="L270" s="20" t="n"/>
      <c r="M270" s="20" t="n"/>
      <c r="N270" s="20" t="n"/>
      <c r="O270" s="20" t="n"/>
      <c r="P270" s="20" t="n"/>
      <c r="Q270" s="20" t="n"/>
      <c r="R270" s="20" t="n"/>
      <c r="S270" s="21" t="n"/>
    </row>
    <row r="271">
      <c r="A271" s="17">
        <f>IF(B271="","",ROW()-4)</f>
        <v/>
      </c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8" t="n"/>
    </row>
    <row r="272">
      <c r="A272" s="20">
        <f>IF(B272="","",ROW()-4)</f>
        <v/>
      </c>
      <c r="B272" s="20" t="n"/>
      <c r="C272" s="20" t="n"/>
      <c r="D272" s="20" t="n"/>
      <c r="E272" s="20" t="n"/>
      <c r="F272" s="20" t="n"/>
      <c r="G272" s="20" t="n"/>
      <c r="H272" s="20" t="n"/>
      <c r="I272" s="20" t="n"/>
      <c r="J272" s="20" t="n"/>
      <c r="K272" s="20" t="n"/>
      <c r="L272" s="20" t="n"/>
      <c r="M272" s="20" t="n"/>
      <c r="N272" s="20" t="n"/>
      <c r="O272" s="20" t="n"/>
      <c r="P272" s="20" t="n"/>
      <c r="Q272" s="20" t="n"/>
      <c r="R272" s="20" t="n"/>
      <c r="S272" s="21" t="n"/>
    </row>
    <row r="273">
      <c r="A273" s="17">
        <f>IF(B273="","",ROW()-4)</f>
        <v/>
      </c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8" t="n"/>
    </row>
    <row r="274">
      <c r="A274" s="20">
        <f>IF(B274="","",ROW()-4)</f>
        <v/>
      </c>
      <c r="B274" s="20" t="n"/>
      <c r="C274" s="20" t="n"/>
      <c r="D274" s="20" t="n"/>
      <c r="E274" s="20" t="n"/>
      <c r="F274" s="20" t="n"/>
      <c r="G274" s="20" t="n"/>
      <c r="H274" s="20" t="n"/>
      <c r="I274" s="20" t="n"/>
      <c r="J274" s="20" t="n"/>
      <c r="K274" s="20" t="n"/>
      <c r="L274" s="20" t="n"/>
      <c r="M274" s="20" t="n"/>
      <c r="N274" s="20" t="n"/>
      <c r="O274" s="20" t="n"/>
      <c r="P274" s="20" t="n"/>
      <c r="Q274" s="20" t="n"/>
      <c r="R274" s="20" t="n"/>
      <c r="S274" s="21" t="n"/>
    </row>
    <row r="275">
      <c r="A275" s="17">
        <f>IF(B275="","",ROW()-4)</f>
        <v/>
      </c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8" t="n"/>
    </row>
    <row r="276">
      <c r="A276" s="20">
        <f>IF(B276="","",ROW()-4)</f>
        <v/>
      </c>
      <c r="B276" s="20" t="n"/>
      <c r="C276" s="20" t="n"/>
      <c r="D276" s="20" t="n"/>
      <c r="E276" s="20" t="n"/>
      <c r="F276" s="20" t="n"/>
      <c r="G276" s="20" t="n"/>
      <c r="H276" s="20" t="n"/>
      <c r="I276" s="20" t="n"/>
      <c r="J276" s="20" t="n"/>
      <c r="K276" s="20" t="n"/>
      <c r="L276" s="20" t="n"/>
      <c r="M276" s="20" t="n"/>
      <c r="N276" s="20" t="n"/>
      <c r="O276" s="20" t="n"/>
      <c r="P276" s="20" t="n"/>
      <c r="Q276" s="20" t="n"/>
      <c r="R276" s="20" t="n"/>
      <c r="S276" s="21" t="n"/>
    </row>
    <row r="277">
      <c r="A277" s="17">
        <f>IF(B277="","",ROW()-4)</f>
        <v/>
      </c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8" t="n"/>
    </row>
    <row r="278">
      <c r="A278" s="20">
        <f>IF(B278="","",ROW()-4)</f>
        <v/>
      </c>
      <c r="B278" s="20" t="n"/>
      <c r="C278" s="20" t="n"/>
      <c r="D278" s="20" t="n"/>
      <c r="E278" s="20" t="n"/>
      <c r="F278" s="20" t="n"/>
      <c r="G278" s="20" t="n"/>
      <c r="H278" s="20" t="n"/>
      <c r="I278" s="20" t="n"/>
      <c r="J278" s="20" t="n"/>
      <c r="K278" s="20" t="n"/>
      <c r="L278" s="20" t="n"/>
      <c r="M278" s="20" t="n"/>
      <c r="N278" s="20" t="n"/>
      <c r="O278" s="20" t="n"/>
      <c r="P278" s="20" t="n"/>
      <c r="Q278" s="20" t="n"/>
      <c r="R278" s="20" t="n"/>
      <c r="S278" s="21" t="n"/>
    </row>
    <row r="279">
      <c r="A279" s="17">
        <f>IF(B279="","",ROW()-4)</f>
        <v/>
      </c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8" t="n"/>
    </row>
    <row r="280">
      <c r="A280" s="20">
        <f>IF(B280="","",ROW()-4)</f>
        <v/>
      </c>
      <c r="B280" s="20" t="n"/>
      <c r="C280" s="20" t="n"/>
      <c r="D280" s="20" t="n"/>
      <c r="E280" s="20" t="n"/>
      <c r="F280" s="20" t="n"/>
      <c r="G280" s="20" t="n"/>
      <c r="H280" s="20" t="n"/>
      <c r="I280" s="20" t="n"/>
      <c r="J280" s="20" t="n"/>
      <c r="K280" s="20" t="n"/>
      <c r="L280" s="20" t="n"/>
      <c r="M280" s="20" t="n"/>
      <c r="N280" s="20" t="n"/>
      <c r="O280" s="20" t="n"/>
      <c r="P280" s="20" t="n"/>
      <c r="Q280" s="20" t="n"/>
      <c r="R280" s="20" t="n"/>
      <c r="S280" s="21" t="n"/>
    </row>
    <row r="281">
      <c r="A281" s="17">
        <f>IF(B281="","",ROW()-4)</f>
        <v/>
      </c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8" t="n"/>
    </row>
    <row r="282">
      <c r="A282" s="20">
        <f>IF(B282="","",ROW()-4)</f>
        <v/>
      </c>
      <c r="B282" s="20" t="n"/>
      <c r="C282" s="20" t="n"/>
      <c r="D282" s="20" t="n"/>
      <c r="E282" s="20" t="n"/>
      <c r="F282" s="20" t="n"/>
      <c r="G282" s="20" t="n"/>
      <c r="H282" s="20" t="n"/>
      <c r="I282" s="20" t="n"/>
      <c r="J282" s="20" t="n"/>
      <c r="K282" s="20" t="n"/>
      <c r="L282" s="20" t="n"/>
      <c r="M282" s="20" t="n"/>
      <c r="N282" s="20" t="n"/>
      <c r="O282" s="20" t="n"/>
      <c r="P282" s="20" t="n"/>
      <c r="Q282" s="20" t="n"/>
      <c r="R282" s="20" t="n"/>
      <c r="S282" s="21" t="n"/>
    </row>
    <row r="283">
      <c r="A283" s="17">
        <f>IF(B283="","",ROW()-4)</f>
        <v/>
      </c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8" t="n"/>
    </row>
    <row r="284">
      <c r="A284" s="20">
        <f>IF(B284="","",ROW()-4)</f>
        <v/>
      </c>
      <c r="B284" s="20" t="n"/>
      <c r="C284" s="20" t="n"/>
      <c r="D284" s="20" t="n"/>
      <c r="E284" s="20" t="n"/>
      <c r="F284" s="20" t="n"/>
      <c r="G284" s="20" t="n"/>
      <c r="H284" s="20" t="n"/>
      <c r="I284" s="20" t="n"/>
      <c r="J284" s="20" t="n"/>
      <c r="K284" s="20" t="n"/>
      <c r="L284" s="20" t="n"/>
      <c r="M284" s="20" t="n"/>
      <c r="N284" s="20" t="n"/>
      <c r="O284" s="20" t="n"/>
      <c r="P284" s="20" t="n"/>
      <c r="Q284" s="20" t="n"/>
      <c r="R284" s="20" t="n"/>
      <c r="S284" s="21" t="n"/>
    </row>
    <row r="285">
      <c r="A285" s="17">
        <f>IF(B285="","",ROW()-4)</f>
        <v/>
      </c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8" t="n"/>
    </row>
    <row r="286">
      <c r="A286" s="20">
        <f>IF(B286="","",ROW()-4)</f>
        <v/>
      </c>
      <c r="B286" s="20" t="n"/>
      <c r="C286" s="20" t="n"/>
      <c r="D286" s="20" t="n"/>
      <c r="E286" s="20" t="n"/>
      <c r="F286" s="20" t="n"/>
      <c r="G286" s="20" t="n"/>
      <c r="H286" s="20" t="n"/>
      <c r="I286" s="20" t="n"/>
      <c r="J286" s="20" t="n"/>
      <c r="K286" s="20" t="n"/>
      <c r="L286" s="20" t="n"/>
      <c r="M286" s="20" t="n"/>
      <c r="N286" s="20" t="n"/>
      <c r="O286" s="20" t="n"/>
      <c r="P286" s="20" t="n"/>
      <c r="Q286" s="20" t="n"/>
      <c r="R286" s="20" t="n"/>
      <c r="S286" s="21" t="n"/>
    </row>
    <row r="287">
      <c r="A287" s="17">
        <f>IF(B287="","",ROW()-4)</f>
        <v/>
      </c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8" t="n"/>
    </row>
    <row r="288">
      <c r="A288" s="20">
        <f>IF(B288="","",ROW()-4)</f>
        <v/>
      </c>
      <c r="B288" s="20" t="n"/>
      <c r="C288" s="20" t="n"/>
      <c r="D288" s="20" t="n"/>
      <c r="E288" s="20" t="n"/>
      <c r="F288" s="20" t="n"/>
      <c r="G288" s="20" t="n"/>
      <c r="H288" s="20" t="n"/>
      <c r="I288" s="20" t="n"/>
      <c r="J288" s="20" t="n"/>
      <c r="K288" s="20" t="n"/>
      <c r="L288" s="20" t="n"/>
      <c r="M288" s="20" t="n"/>
      <c r="N288" s="20" t="n"/>
      <c r="O288" s="20" t="n"/>
      <c r="P288" s="20" t="n"/>
      <c r="Q288" s="20" t="n"/>
      <c r="R288" s="20" t="n"/>
      <c r="S288" s="21" t="n"/>
    </row>
    <row r="289">
      <c r="A289" s="17">
        <f>IF(B289="","",ROW()-4)</f>
        <v/>
      </c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8" t="n"/>
    </row>
    <row r="290">
      <c r="A290" s="20">
        <f>IF(B290="","",ROW()-4)</f>
        <v/>
      </c>
      <c r="B290" s="20" t="n"/>
      <c r="C290" s="20" t="n"/>
      <c r="D290" s="20" t="n"/>
      <c r="E290" s="20" t="n"/>
      <c r="F290" s="20" t="n"/>
      <c r="G290" s="20" t="n"/>
      <c r="H290" s="20" t="n"/>
      <c r="I290" s="20" t="n"/>
      <c r="J290" s="20" t="n"/>
      <c r="K290" s="20" t="n"/>
      <c r="L290" s="20" t="n"/>
      <c r="M290" s="20" t="n"/>
      <c r="N290" s="20" t="n"/>
      <c r="O290" s="20" t="n"/>
      <c r="P290" s="20" t="n"/>
      <c r="Q290" s="20" t="n"/>
      <c r="R290" s="20" t="n"/>
      <c r="S290" s="21" t="n"/>
    </row>
    <row r="291">
      <c r="A291" s="17">
        <f>IF(B291="","",ROW()-4)</f>
        <v/>
      </c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8" t="n"/>
    </row>
    <row r="292">
      <c r="A292" s="20">
        <f>IF(B292="","",ROW()-4)</f>
        <v/>
      </c>
      <c r="B292" s="20" t="n"/>
      <c r="C292" s="20" t="n"/>
      <c r="D292" s="20" t="n"/>
      <c r="E292" s="20" t="n"/>
      <c r="F292" s="20" t="n"/>
      <c r="G292" s="20" t="n"/>
      <c r="H292" s="20" t="n"/>
      <c r="I292" s="20" t="n"/>
      <c r="J292" s="20" t="n"/>
      <c r="K292" s="20" t="n"/>
      <c r="L292" s="20" t="n"/>
      <c r="M292" s="20" t="n"/>
      <c r="N292" s="20" t="n"/>
      <c r="O292" s="20" t="n"/>
      <c r="P292" s="20" t="n"/>
      <c r="Q292" s="20" t="n"/>
      <c r="R292" s="20" t="n"/>
      <c r="S292" s="21" t="n"/>
    </row>
    <row r="293">
      <c r="A293" s="17">
        <f>IF(B293="","",ROW()-4)</f>
        <v/>
      </c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8" t="n"/>
    </row>
    <row r="294">
      <c r="A294" s="20">
        <f>IF(B294="","",ROW()-4)</f>
        <v/>
      </c>
      <c r="B294" s="20" t="n"/>
      <c r="C294" s="20" t="n"/>
      <c r="D294" s="20" t="n"/>
      <c r="E294" s="20" t="n"/>
      <c r="F294" s="20" t="n"/>
      <c r="G294" s="20" t="n"/>
      <c r="H294" s="20" t="n"/>
      <c r="I294" s="20" t="n"/>
      <c r="J294" s="20" t="n"/>
      <c r="K294" s="20" t="n"/>
      <c r="L294" s="20" t="n"/>
      <c r="M294" s="20" t="n"/>
      <c r="N294" s="20" t="n"/>
      <c r="O294" s="20" t="n"/>
      <c r="P294" s="20" t="n"/>
      <c r="Q294" s="20" t="n"/>
      <c r="R294" s="20" t="n"/>
      <c r="S294" s="21" t="n"/>
    </row>
    <row r="295">
      <c r="A295" s="17">
        <f>IF(B295="","",ROW()-4)</f>
        <v/>
      </c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8" t="n"/>
    </row>
    <row r="296">
      <c r="A296" s="20">
        <f>IF(B296="","",ROW()-4)</f>
        <v/>
      </c>
      <c r="B296" s="20" t="n"/>
      <c r="C296" s="20" t="n"/>
      <c r="D296" s="20" t="n"/>
      <c r="E296" s="20" t="n"/>
      <c r="F296" s="20" t="n"/>
      <c r="G296" s="20" t="n"/>
      <c r="H296" s="20" t="n"/>
      <c r="I296" s="20" t="n"/>
      <c r="J296" s="20" t="n"/>
      <c r="K296" s="20" t="n"/>
      <c r="L296" s="20" t="n"/>
      <c r="M296" s="20" t="n"/>
      <c r="N296" s="20" t="n"/>
      <c r="O296" s="20" t="n"/>
      <c r="P296" s="20" t="n"/>
      <c r="Q296" s="20" t="n"/>
      <c r="R296" s="20" t="n"/>
      <c r="S296" s="21" t="n"/>
    </row>
    <row r="297">
      <c r="A297" s="17">
        <f>IF(B297="","",ROW()-4)</f>
        <v/>
      </c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8" t="n"/>
    </row>
    <row r="298">
      <c r="A298" s="20">
        <f>IF(B298="","",ROW()-4)</f>
        <v/>
      </c>
      <c r="B298" s="20" t="n"/>
      <c r="C298" s="20" t="n"/>
      <c r="D298" s="20" t="n"/>
      <c r="E298" s="20" t="n"/>
      <c r="F298" s="20" t="n"/>
      <c r="G298" s="20" t="n"/>
      <c r="H298" s="20" t="n"/>
      <c r="I298" s="20" t="n"/>
      <c r="J298" s="20" t="n"/>
      <c r="K298" s="20" t="n"/>
      <c r="L298" s="20" t="n"/>
      <c r="M298" s="20" t="n"/>
      <c r="N298" s="20" t="n"/>
      <c r="O298" s="20" t="n"/>
      <c r="P298" s="20" t="n"/>
      <c r="Q298" s="20" t="n"/>
      <c r="R298" s="20" t="n"/>
      <c r="S298" s="21" t="n"/>
    </row>
    <row r="299">
      <c r="A299" s="17">
        <f>IF(B299="","",ROW()-4)</f>
        <v/>
      </c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8" t="n"/>
    </row>
    <row r="300">
      <c r="A300" s="20">
        <f>IF(B300="","",ROW()-4)</f>
        <v/>
      </c>
      <c r="B300" s="20" t="n"/>
      <c r="C300" s="20" t="n"/>
      <c r="D300" s="20" t="n"/>
      <c r="E300" s="20" t="n"/>
      <c r="F300" s="20" t="n"/>
      <c r="G300" s="20" t="n"/>
      <c r="H300" s="20" t="n"/>
      <c r="I300" s="20" t="n"/>
      <c r="J300" s="20" t="n"/>
      <c r="K300" s="20" t="n"/>
      <c r="L300" s="20" t="n"/>
      <c r="M300" s="20" t="n"/>
      <c r="N300" s="20" t="n"/>
      <c r="O300" s="20" t="n"/>
      <c r="P300" s="20" t="n"/>
      <c r="Q300" s="20" t="n"/>
      <c r="R300" s="20" t="n"/>
      <c r="S300" s="21" t="n"/>
    </row>
    <row r="301">
      <c r="A301" s="17">
        <f>IF(B301="","",ROW()-4)</f>
        <v/>
      </c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8" t="n"/>
    </row>
    <row r="302">
      <c r="A302" s="20">
        <f>IF(B302="","",ROW()-4)</f>
        <v/>
      </c>
      <c r="B302" s="20" t="n"/>
      <c r="C302" s="20" t="n"/>
      <c r="D302" s="20" t="n"/>
      <c r="E302" s="20" t="n"/>
      <c r="F302" s="20" t="n"/>
      <c r="G302" s="20" t="n"/>
      <c r="H302" s="20" t="n"/>
      <c r="I302" s="20" t="n"/>
      <c r="J302" s="20" t="n"/>
      <c r="K302" s="20" t="n"/>
      <c r="L302" s="20" t="n"/>
      <c r="M302" s="20" t="n"/>
      <c r="N302" s="20" t="n"/>
      <c r="O302" s="20" t="n"/>
      <c r="P302" s="20" t="n"/>
      <c r="Q302" s="20" t="n"/>
      <c r="R302" s="20" t="n"/>
      <c r="S302" s="21" t="n"/>
    </row>
    <row r="303">
      <c r="A303" s="17">
        <f>IF(B303="","",ROW()-4)</f>
        <v/>
      </c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8" t="n"/>
    </row>
    <row r="304">
      <c r="A304" s="20">
        <f>IF(B304="","",ROW()-4)</f>
        <v/>
      </c>
      <c r="B304" s="20" t="n"/>
      <c r="C304" s="20" t="n"/>
      <c r="D304" s="20" t="n"/>
      <c r="E304" s="20" t="n"/>
      <c r="F304" s="20" t="n"/>
      <c r="G304" s="20" t="n"/>
      <c r="H304" s="20" t="n"/>
      <c r="I304" s="20" t="n"/>
      <c r="J304" s="20" t="n"/>
      <c r="K304" s="20" t="n"/>
      <c r="L304" s="20" t="n"/>
      <c r="M304" s="20" t="n"/>
      <c r="N304" s="20" t="n"/>
      <c r="O304" s="20" t="n"/>
      <c r="P304" s="20" t="n"/>
      <c r="Q304" s="20" t="n"/>
      <c r="R304" s="20" t="n"/>
      <c r="S304" s="21" t="n"/>
    </row>
  </sheetData>
  <autoFilter ref="A4:S304"/>
  <mergeCells count="2">
    <mergeCell ref="A2:S2"/>
    <mergeCell ref="A1:S1"/>
  </mergeCells>
  <conditionalFormatting sqref="F5:F304">
    <cfRule type="cellIs" priority="1" operator="equal" dxfId="2">
      <formula>"To read"</formula>
    </cfRule>
    <cfRule type="cellIs" priority="2" operator="equal" dxfId="4">
      <formula>"Reading"</formula>
    </cfRule>
    <cfRule type="cellIs" priority="3" operator="equal" dxfId="0">
      <formula>"Read"</formula>
    </cfRule>
    <cfRule type="cellIs" priority="4" operator="equal" dxfId="5">
      <formula>"Cited"</formula>
    </cfRule>
    <cfRule type="cellIs" priority="5" operator="equal" dxfId="3">
      <formula>"Parked"</formula>
    </cfRule>
  </conditionalFormatting>
  <conditionalFormatting sqref="H5:H304">
    <cfRule type="expression" priority="6" dxfId="6">
      <formula>AND(ISNUMBER(H5),H5&gt;=4)</formula>
    </cfRule>
    <cfRule type="expression" priority="7" dxfId="1">
      <formula>AND(ISNUMBER(H5),H5&lt;=2)</formula>
    </cfRule>
  </conditionalFormatting>
  <dataValidations count="4">
    <dataValidation sqref="E5:E304" showDropDown="0" showInputMessage="0" showErrorMessage="0" allowBlank="1" type="list">
      <formula1>Lists!$D$1:$D$8</formula1>
    </dataValidation>
    <dataValidation sqref="F5:F304" showDropDown="0" showInputMessage="0" showErrorMessage="0" allowBlank="1" type="list">
      <formula1>Lists!$A$1:$A$5</formula1>
    </dataValidation>
    <dataValidation sqref="G5:G304" showDropDown="0" showInputMessage="0" showErrorMessage="0" allowBlank="1" type="list">
      <formula1>Lists!$C$1:$C$3</formula1>
    </dataValidation>
    <dataValidation sqref="H5:H304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1" customWidth="1" min="11" max="11"/>
    <col width="40" customWidth="1" min="12" max="12"/>
  </cols>
  <sheetData>
    <row r="1" ht="26" customHeight="1">
      <c r="A1" s="7" t="inlineStr">
        <is>
          <t>Synthesis Matrix</t>
        </is>
      </c>
    </row>
    <row r="2">
      <c r="A2" s="8" t="inlineStr">
        <is>
          <t>Rename Theme 1–8 to YOUR themes (just type over the header). Mark each source per theme — the gap column is where your contribution starts.</t>
        </is>
      </c>
    </row>
    <row r="4" ht="30" customHeight="1">
      <c r="A4" s="16" t="inlineStr">
        <is>
          <t>#</t>
        </is>
      </c>
      <c r="B4" s="16" t="inlineStr">
        <is>
          <t>Source (Author, Year)</t>
        </is>
      </c>
      <c r="C4" s="16" t="inlineStr">
        <is>
          <t>Theme 1</t>
        </is>
      </c>
      <c r="D4" s="16" t="inlineStr">
        <is>
          <t>Theme 2</t>
        </is>
      </c>
      <c r="E4" s="16" t="inlineStr">
        <is>
          <t>Theme 3</t>
        </is>
      </c>
      <c r="F4" s="16" t="inlineStr">
        <is>
          <t>Theme 4</t>
        </is>
      </c>
      <c r="G4" s="16" t="inlineStr">
        <is>
          <t>Theme 5</t>
        </is>
      </c>
      <c r="H4" s="16" t="inlineStr">
        <is>
          <t>Theme 6</t>
        </is>
      </c>
      <c r="I4" s="16" t="inlineStr">
        <is>
          <t>Theme 7</t>
        </is>
      </c>
      <c r="J4" s="16" t="inlineStr">
        <is>
          <t>Theme 8</t>
        </is>
      </c>
      <c r="K4" s="16" t="inlineStr">
        <is>
          <t>Coverage</t>
        </is>
      </c>
      <c r="L4" s="16" t="inlineStr">
        <is>
          <t>Gap / what's missing</t>
        </is>
      </c>
    </row>
    <row r="5">
      <c r="B5" s="23" t="inlineStr">
        <is>
          <t>Sources per theme →</t>
        </is>
      </c>
      <c r="C5" s="24">
        <f>IF(COUNTA(C6:C155)=0,"—",COUNTA(C6:C155))</f>
        <v/>
      </c>
      <c r="D5" s="24">
        <f>IF(COUNTA(D6:D155)=0,"—",COUNTA(D6:D155))</f>
        <v/>
      </c>
      <c r="E5" s="24">
        <f>IF(COUNTA(E6:E155)=0,"—",COUNTA(E6:E155))</f>
        <v/>
      </c>
      <c r="F5" s="24">
        <f>IF(COUNTA(F6:F155)=0,"—",COUNTA(F6:F155))</f>
        <v/>
      </c>
      <c r="G5" s="24">
        <f>IF(COUNTA(G6:G155)=0,"—",COUNTA(G6:G155))</f>
        <v/>
      </c>
      <c r="H5" s="24">
        <f>IF(COUNTA(H6:H155)=0,"—",COUNTA(H6:H155))</f>
        <v/>
      </c>
      <c r="I5" s="24">
        <f>IF(COUNTA(I6:I155)=0,"—",COUNTA(I6:I155))</f>
        <v/>
      </c>
      <c r="J5" s="24">
        <f>IF(COUNTA(J6:J155)=0,"—",COUNTA(J6:J155))</f>
        <v/>
      </c>
    </row>
    <row r="6">
      <c r="A6" s="20">
        <f>IF(B6="","",ROW()-5)</f>
        <v/>
      </c>
      <c r="B6" s="20" t="n"/>
      <c r="C6" s="20" t="n"/>
      <c r="D6" s="20" t="n"/>
      <c r="E6" s="20" t="n"/>
      <c r="F6" s="20" t="n"/>
      <c r="G6" s="20" t="n"/>
      <c r="H6" s="20" t="n"/>
      <c r="I6" s="20" t="n"/>
      <c r="J6" s="20" t="n"/>
      <c r="K6" s="22">
        <f>IF(B6="","",COUNTA(C6:J6))</f>
        <v/>
      </c>
      <c r="L6" s="20" t="n"/>
    </row>
    <row r="7">
      <c r="A7" s="17">
        <f>IF(B7="","",ROW()-5)</f>
        <v/>
      </c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9">
        <f>IF(B7="","",COUNTA(C7:J7))</f>
        <v/>
      </c>
      <c r="L7" s="17" t="n"/>
    </row>
    <row r="8">
      <c r="A8" s="20">
        <f>IF(B8="","",ROW()-5)</f>
        <v/>
      </c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  <c r="K8" s="22">
        <f>IF(B8="","",COUNTA(C8:J8))</f>
        <v/>
      </c>
      <c r="L8" s="20" t="n"/>
    </row>
    <row r="9">
      <c r="A9" s="17">
        <f>IF(B9="","",ROW()-5)</f>
        <v/>
      </c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9">
        <f>IF(B9="","",COUNTA(C9:J9))</f>
        <v/>
      </c>
      <c r="L9" s="17" t="n"/>
    </row>
    <row r="10">
      <c r="A10" s="20">
        <f>IF(B10="","",ROW()-5)</f>
        <v/>
      </c>
      <c r="B10" s="20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2">
        <f>IF(B10="","",COUNTA(C10:J10))</f>
        <v/>
      </c>
      <c r="L10" s="20" t="n"/>
    </row>
    <row r="11">
      <c r="A11" s="17">
        <f>IF(B11="","",ROW()-5)</f>
        <v/>
      </c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9">
        <f>IF(B11="","",COUNTA(C11:J11))</f>
        <v/>
      </c>
      <c r="L11" s="17" t="n"/>
    </row>
    <row r="12">
      <c r="A12" s="20">
        <f>IF(B12="","",ROW()-5)</f>
        <v/>
      </c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2">
        <f>IF(B12="","",COUNTA(C12:J12))</f>
        <v/>
      </c>
      <c r="L12" s="20" t="n"/>
    </row>
    <row r="13">
      <c r="A13" s="17">
        <f>IF(B13="","",ROW()-5)</f>
        <v/>
      </c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9">
        <f>IF(B13="","",COUNTA(C13:J13))</f>
        <v/>
      </c>
      <c r="L13" s="17" t="n"/>
    </row>
    <row r="14">
      <c r="A14" s="20">
        <f>IF(B14="","",ROW()-5)</f>
        <v/>
      </c>
      <c r="B14" s="20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2">
        <f>IF(B14="","",COUNTA(C14:J14))</f>
        <v/>
      </c>
      <c r="L14" s="20" t="n"/>
    </row>
    <row r="15">
      <c r="A15" s="17">
        <f>IF(B15="","",ROW()-5)</f>
        <v/>
      </c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9">
        <f>IF(B15="","",COUNTA(C15:J15))</f>
        <v/>
      </c>
      <c r="L15" s="17" t="n"/>
    </row>
    <row r="16">
      <c r="A16" s="20">
        <f>IF(B16="","",ROW()-5)</f>
        <v/>
      </c>
      <c r="B16" s="20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2">
        <f>IF(B16="","",COUNTA(C16:J16))</f>
        <v/>
      </c>
      <c r="L16" s="20" t="n"/>
    </row>
    <row r="17">
      <c r="A17" s="17">
        <f>IF(B17="","",ROW()-5)</f>
        <v/>
      </c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9">
        <f>IF(B17="","",COUNTA(C17:J17))</f>
        <v/>
      </c>
      <c r="L17" s="17" t="n"/>
    </row>
    <row r="18">
      <c r="A18" s="20">
        <f>IF(B18="","",ROW()-5)</f>
        <v/>
      </c>
      <c r="B18" s="20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2">
        <f>IF(B18="","",COUNTA(C18:J18))</f>
        <v/>
      </c>
      <c r="L18" s="20" t="n"/>
    </row>
    <row r="19">
      <c r="A19" s="17">
        <f>IF(B19="","",ROW()-5)</f>
        <v/>
      </c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9">
        <f>IF(B19="","",COUNTA(C19:J19))</f>
        <v/>
      </c>
      <c r="L19" s="17" t="n"/>
    </row>
    <row r="20">
      <c r="A20" s="20">
        <f>IF(B20="","",ROW()-5)</f>
        <v/>
      </c>
      <c r="B20" s="20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2">
        <f>IF(B20="","",COUNTA(C20:J20))</f>
        <v/>
      </c>
      <c r="L20" s="20" t="n"/>
    </row>
    <row r="21">
      <c r="A21" s="17">
        <f>IF(B21="","",ROW()-5)</f>
        <v/>
      </c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9">
        <f>IF(B21="","",COUNTA(C21:J21))</f>
        <v/>
      </c>
      <c r="L21" s="17" t="n"/>
    </row>
    <row r="22">
      <c r="A22" s="20">
        <f>IF(B22="","",ROW()-5)</f>
        <v/>
      </c>
      <c r="B22" s="20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2">
        <f>IF(B22="","",COUNTA(C22:J22))</f>
        <v/>
      </c>
      <c r="L22" s="20" t="n"/>
    </row>
    <row r="23">
      <c r="A23" s="17">
        <f>IF(B23="","",ROW()-5)</f>
        <v/>
      </c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9">
        <f>IF(B23="","",COUNTA(C23:J23))</f>
        <v/>
      </c>
      <c r="L23" s="17" t="n"/>
    </row>
    <row r="24">
      <c r="A24" s="20">
        <f>IF(B24="","",ROW()-5)</f>
        <v/>
      </c>
      <c r="B24" s="20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2">
        <f>IF(B24="","",COUNTA(C24:J24))</f>
        <v/>
      </c>
      <c r="L24" s="20" t="n"/>
    </row>
    <row r="25">
      <c r="A25" s="17">
        <f>IF(B25="","",ROW()-5)</f>
        <v/>
      </c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9">
        <f>IF(B25="","",COUNTA(C25:J25))</f>
        <v/>
      </c>
      <c r="L25" s="17" t="n"/>
    </row>
    <row r="26">
      <c r="A26" s="20">
        <f>IF(B26="","",ROW()-5)</f>
        <v/>
      </c>
      <c r="B26" s="20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2">
        <f>IF(B26="","",COUNTA(C26:J26))</f>
        <v/>
      </c>
      <c r="L26" s="20" t="n"/>
    </row>
    <row r="27">
      <c r="A27" s="17">
        <f>IF(B27="","",ROW()-5)</f>
        <v/>
      </c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9">
        <f>IF(B27="","",COUNTA(C27:J27))</f>
        <v/>
      </c>
      <c r="L27" s="17" t="n"/>
    </row>
    <row r="28">
      <c r="A28" s="20">
        <f>IF(B28="","",ROW()-5)</f>
        <v/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2">
        <f>IF(B28="","",COUNTA(C28:J28))</f>
        <v/>
      </c>
      <c r="L28" s="20" t="n"/>
    </row>
    <row r="29">
      <c r="A29" s="17">
        <f>IF(B29="","",ROW()-5)</f>
        <v/>
      </c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9">
        <f>IF(B29="","",COUNTA(C29:J29))</f>
        <v/>
      </c>
      <c r="L29" s="17" t="n"/>
    </row>
    <row r="30">
      <c r="A30" s="20">
        <f>IF(B30="","",ROW()-5)</f>
        <v/>
      </c>
      <c r="B30" s="20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2">
        <f>IF(B30="","",COUNTA(C30:J30))</f>
        <v/>
      </c>
      <c r="L30" s="20" t="n"/>
    </row>
    <row r="31">
      <c r="A31" s="17">
        <f>IF(B31="","",ROW()-5)</f>
        <v/>
      </c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9">
        <f>IF(B31="","",COUNTA(C31:J31))</f>
        <v/>
      </c>
      <c r="L31" s="17" t="n"/>
    </row>
    <row r="32">
      <c r="A32" s="20">
        <f>IF(B32="","",ROW()-5)</f>
        <v/>
      </c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2">
        <f>IF(B32="","",COUNTA(C32:J32))</f>
        <v/>
      </c>
      <c r="L32" s="20" t="n"/>
    </row>
    <row r="33">
      <c r="A33" s="17">
        <f>IF(B33="","",ROW()-5)</f>
        <v/>
      </c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9">
        <f>IF(B33="","",COUNTA(C33:J33))</f>
        <v/>
      </c>
      <c r="L33" s="17" t="n"/>
    </row>
    <row r="34">
      <c r="A34" s="20">
        <f>IF(B34="","",ROW()-5)</f>
        <v/>
      </c>
      <c r="B34" s="20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2">
        <f>IF(B34="","",COUNTA(C34:J34))</f>
        <v/>
      </c>
      <c r="L34" s="20" t="n"/>
    </row>
    <row r="35">
      <c r="A35" s="17">
        <f>IF(B35="","",ROW()-5)</f>
        <v/>
      </c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9">
        <f>IF(B35="","",COUNTA(C35:J35))</f>
        <v/>
      </c>
      <c r="L35" s="17" t="n"/>
    </row>
    <row r="36">
      <c r="A36" s="20">
        <f>IF(B36="","",ROW()-5)</f>
        <v/>
      </c>
      <c r="B36" s="20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2">
        <f>IF(B36="","",COUNTA(C36:J36))</f>
        <v/>
      </c>
      <c r="L36" s="20" t="n"/>
    </row>
    <row r="37">
      <c r="A37" s="17">
        <f>IF(B37="","",ROW()-5)</f>
        <v/>
      </c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9">
        <f>IF(B37="","",COUNTA(C37:J37))</f>
        <v/>
      </c>
      <c r="L37" s="17" t="n"/>
    </row>
    <row r="38">
      <c r="A38" s="20">
        <f>IF(B38="","",ROW()-5)</f>
        <v/>
      </c>
      <c r="B38" s="20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2">
        <f>IF(B38="","",COUNTA(C38:J38))</f>
        <v/>
      </c>
      <c r="L38" s="20" t="n"/>
    </row>
    <row r="39">
      <c r="A39" s="17">
        <f>IF(B39="","",ROW()-5)</f>
        <v/>
      </c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9">
        <f>IF(B39="","",COUNTA(C39:J39))</f>
        <v/>
      </c>
      <c r="L39" s="17" t="n"/>
    </row>
    <row r="40">
      <c r="A40" s="20">
        <f>IF(B40="","",ROW()-5)</f>
        <v/>
      </c>
      <c r="B40" s="20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2">
        <f>IF(B40="","",COUNTA(C40:J40))</f>
        <v/>
      </c>
      <c r="L40" s="20" t="n"/>
    </row>
    <row r="41">
      <c r="A41" s="17">
        <f>IF(B41="","",ROW()-5)</f>
        <v/>
      </c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9">
        <f>IF(B41="","",COUNTA(C41:J41))</f>
        <v/>
      </c>
      <c r="L41" s="17" t="n"/>
    </row>
    <row r="42">
      <c r="A42" s="20">
        <f>IF(B42="","",ROW()-5)</f>
        <v/>
      </c>
      <c r="B42" s="20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2">
        <f>IF(B42="","",COUNTA(C42:J42))</f>
        <v/>
      </c>
      <c r="L42" s="20" t="n"/>
    </row>
    <row r="43">
      <c r="A43" s="17">
        <f>IF(B43="","",ROW()-5)</f>
        <v/>
      </c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9">
        <f>IF(B43="","",COUNTA(C43:J43))</f>
        <v/>
      </c>
      <c r="L43" s="17" t="n"/>
    </row>
    <row r="44">
      <c r="A44" s="20">
        <f>IF(B44="","",ROW()-5)</f>
        <v/>
      </c>
      <c r="B44" s="20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2">
        <f>IF(B44="","",COUNTA(C44:J44))</f>
        <v/>
      </c>
      <c r="L44" s="20" t="n"/>
    </row>
    <row r="45">
      <c r="A45" s="17">
        <f>IF(B45="","",ROW()-5)</f>
        <v/>
      </c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9">
        <f>IF(B45="","",COUNTA(C45:J45))</f>
        <v/>
      </c>
      <c r="L45" s="17" t="n"/>
    </row>
    <row r="46">
      <c r="A46" s="20">
        <f>IF(B46="","",ROW()-5)</f>
        <v/>
      </c>
      <c r="B46" s="20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2">
        <f>IF(B46="","",COUNTA(C46:J46))</f>
        <v/>
      </c>
      <c r="L46" s="20" t="n"/>
    </row>
    <row r="47">
      <c r="A47" s="17">
        <f>IF(B47="","",ROW()-5)</f>
        <v/>
      </c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9">
        <f>IF(B47="","",COUNTA(C47:J47))</f>
        <v/>
      </c>
      <c r="L47" s="17" t="n"/>
    </row>
    <row r="48">
      <c r="A48" s="20">
        <f>IF(B48="","",ROW()-5)</f>
        <v/>
      </c>
      <c r="B48" s="20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2">
        <f>IF(B48="","",COUNTA(C48:J48))</f>
        <v/>
      </c>
      <c r="L48" s="20" t="n"/>
    </row>
    <row r="49">
      <c r="A49" s="17">
        <f>IF(B49="","",ROW()-5)</f>
        <v/>
      </c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9">
        <f>IF(B49="","",COUNTA(C49:J49))</f>
        <v/>
      </c>
      <c r="L49" s="17" t="n"/>
    </row>
    <row r="50">
      <c r="A50" s="20">
        <f>IF(B50="","",ROW()-5)</f>
        <v/>
      </c>
      <c r="B50" s="20" t="n"/>
      <c r="C50" s="20" t="n"/>
      <c r="D50" s="20" t="n"/>
      <c r="E50" s="20" t="n"/>
      <c r="F50" s="20" t="n"/>
      <c r="G50" s="20" t="n"/>
      <c r="H50" s="20" t="n"/>
      <c r="I50" s="20" t="n"/>
      <c r="J50" s="20" t="n"/>
      <c r="K50" s="22">
        <f>IF(B50="","",COUNTA(C50:J50))</f>
        <v/>
      </c>
      <c r="L50" s="20" t="n"/>
    </row>
    <row r="51">
      <c r="A51" s="17">
        <f>IF(B51="","",ROW()-5)</f>
        <v/>
      </c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9">
        <f>IF(B51="","",COUNTA(C51:J51))</f>
        <v/>
      </c>
      <c r="L51" s="17" t="n"/>
    </row>
    <row r="52">
      <c r="A52" s="20">
        <f>IF(B52="","",ROW()-5)</f>
        <v/>
      </c>
      <c r="B52" s="20" t="n"/>
      <c r="C52" s="20" t="n"/>
      <c r="D52" s="20" t="n"/>
      <c r="E52" s="20" t="n"/>
      <c r="F52" s="20" t="n"/>
      <c r="G52" s="20" t="n"/>
      <c r="H52" s="20" t="n"/>
      <c r="I52" s="20" t="n"/>
      <c r="J52" s="20" t="n"/>
      <c r="K52" s="22">
        <f>IF(B52="","",COUNTA(C52:J52))</f>
        <v/>
      </c>
      <c r="L52" s="20" t="n"/>
    </row>
    <row r="53">
      <c r="A53" s="17">
        <f>IF(B53="","",ROW()-5)</f>
        <v/>
      </c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9">
        <f>IF(B53="","",COUNTA(C53:J53))</f>
        <v/>
      </c>
      <c r="L53" s="17" t="n"/>
    </row>
    <row r="54">
      <c r="A54" s="20">
        <f>IF(B54="","",ROW()-5)</f>
        <v/>
      </c>
      <c r="B54" s="20" t="n"/>
      <c r="C54" s="20" t="n"/>
      <c r="D54" s="20" t="n"/>
      <c r="E54" s="20" t="n"/>
      <c r="F54" s="20" t="n"/>
      <c r="G54" s="20" t="n"/>
      <c r="H54" s="20" t="n"/>
      <c r="I54" s="20" t="n"/>
      <c r="J54" s="20" t="n"/>
      <c r="K54" s="22">
        <f>IF(B54="","",COUNTA(C54:J54))</f>
        <v/>
      </c>
      <c r="L54" s="20" t="n"/>
    </row>
    <row r="55">
      <c r="A55" s="17">
        <f>IF(B55="","",ROW()-5)</f>
        <v/>
      </c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9">
        <f>IF(B55="","",COUNTA(C55:J55))</f>
        <v/>
      </c>
      <c r="L55" s="17" t="n"/>
    </row>
    <row r="56">
      <c r="A56" s="20">
        <f>IF(B56="","",ROW()-5)</f>
        <v/>
      </c>
      <c r="B56" s="20" t="n"/>
      <c r="C56" s="20" t="n"/>
      <c r="D56" s="20" t="n"/>
      <c r="E56" s="20" t="n"/>
      <c r="F56" s="20" t="n"/>
      <c r="G56" s="20" t="n"/>
      <c r="H56" s="20" t="n"/>
      <c r="I56" s="20" t="n"/>
      <c r="J56" s="20" t="n"/>
      <c r="K56" s="22">
        <f>IF(B56="","",COUNTA(C56:J56))</f>
        <v/>
      </c>
      <c r="L56" s="20" t="n"/>
    </row>
    <row r="57">
      <c r="A57" s="17">
        <f>IF(B57="","",ROW()-5)</f>
        <v/>
      </c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9">
        <f>IF(B57="","",COUNTA(C57:J57))</f>
        <v/>
      </c>
      <c r="L57" s="17" t="n"/>
    </row>
    <row r="58">
      <c r="A58" s="20">
        <f>IF(B58="","",ROW()-5)</f>
        <v/>
      </c>
      <c r="B58" s="20" t="n"/>
      <c r="C58" s="20" t="n"/>
      <c r="D58" s="20" t="n"/>
      <c r="E58" s="20" t="n"/>
      <c r="F58" s="20" t="n"/>
      <c r="G58" s="20" t="n"/>
      <c r="H58" s="20" t="n"/>
      <c r="I58" s="20" t="n"/>
      <c r="J58" s="20" t="n"/>
      <c r="K58" s="22">
        <f>IF(B58="","",COUNTA(C58:J58))</f>
        <v/>
      </c>
      <c r="L58" s="20" t="n"/>
    </row>
    <row r="59">
      <c r="A59" s="17">
        <f>IF(B59="","",ROW()-5)</f>
        <v/>
      </c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9">
        <f>IF(B59="","",COUNTA(C59:J59))</f>
        <v/>
      </c>
      <c r="L59" s="17" t="n"/>
    </row>
    <row r="60">
      <c r="A60" s="20">
        <f>IF(B60="","",ROW()-5)</f>
        <v/>
      </c>
      <c r="B60" s="20" t="n"/>
      <c r="C60" s="20" t="n"/>
      <c r="D60" s="20" t="n"/>
      <c r="E60" s="20" t="n"/>
      <c r="F60" s="20" t="n"/>
      <c r="G60" s="20" t="n"/>
      <c r="H60" s="20" t="n"/>
      <c r="I60" s="20" t="n"/>
      <c r="J60" s="20" t="n"/>
      <c r="K60" s="22">
        <f>IF(B60="","",COUNTA(C60:J60))</f>
        <v/>
      </c>
      <c r="L60" s="20" t="n"/>
    </row>
    <row r="61">
      <c r="A61" s="17">
        <f>IF(B61="","",ROW()-5)</f>
        <v/>
      </c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9">
        <f>IF(B61="","",COUNTA(C61:J61))</f>
        <v/>
      </c>
      <c r="L61" s="17" t="n"/>
    </row>
    <row r="62">
      <c r="A62" s="20">
        <f>IF(B62="","",ROW()-5)</f>
        <v/>
      </c>
      <c r="B62" s="20" t="n"/>
      <c r="C62" s="20" t="n"/>
      <c r="D62" s="20" t="n"/>
      <c r="E62" s="20" t="n"/>
      <c r="F62" s="20" t="n"/>
      <c r="G62" s="20" t="n"/>
      <c r="H62" s="20" t="n"/>
      <c r="I62" s="20" t="n"/>
      <c r="J62" s="20" t="n"/>
      <c r="K62" s="22">
        <f>IF(B62="","",COUNTA(C62:J62))</f>
        <v/>
      </c>
      <c r="L62" s="20" t="n"/>
    </row>
    <row r="63">
      <c r="A63" s="17">
        <f>IF(B63="","",ROW()-5)</f>
        <v/>
      </c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9">
        <f>IF(B63="","",COUNTA(C63:J63))</f>
        <v/>
      </c>
      <c r="L63" s="17" t="n"/>
    </row>
    <row r="64">
      <c r="A64" s="20">
        <f>IF(B64="","",ROW()-5)</f>
        <v/>
      </c>
      <c r="B64" s="20" t="n"/>
      <c r="C64" s="20" t="n"/>
      <c r="D64" s="20" t="n"/>
      <c r="E64" s="20" t="n"/>
      <c r="F64" s="20" t="n"/>
      <c r="G64" s="20" t="n"/>
      <c r="H64" s="20" t="n"/>
      <c r="I64" s="20" t="n"/>
      <c r="J64" s="20" t="n"/>
      <c r="K64" s="22">
        <f>IF(B64="","",COUNTA(C64:J64))</f>
        <v/>
      </c>
      <c r="L64" s="20" t="n"/>
    </row>
    <row r="65">
      <c r="A65" s="17">
        <f>IF(B65="","",ROW()-5)</f>
        <v/>
      </c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9">
        <f>IF(B65="","",COUNTA(C65:J65))</f>
        <v/>
      </c>
      <c r="L65" s="17" t="n"/>
    </row>
    <row r="66">
      <c r="A66" s="20">
        <f>IF(B66="","",ROW()-5)</f>
        <v/>
      </c>
      <c r="B66" s="20" t="n"/>
      <c r="C66" s="20" t="n"/>
      <c r="D66" s="20" t="n"/>
      <c r="E66" s="20" t="n"/>
      <c r="F66" s="20" t="n"/>
      <c r="G66" s="20" t="n"/>
      <c r="H66" s="20" t="n"/>
      <c r="I66" s="20" t="n"/>
      <c r="J66" s="20" t="n"/>
      <c r="K66" s="22">
        <f>IF(B66="","",COUNTA(C66:J66))</f>
        <v/>
      </c>
      <c r="L66" s="20" t="n"/>
    </row>
    <row r="67">
      <c r="A67" s="17">
        <f>IF(B67="","",ROW()-5)</f>
        <v/>
      </c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9">
        <f>IF(B67="","",COUNTA(C67:J67))</f>
        <v/>
      </c>
      <c r="L67" s="17" t="n"/>
    </row>
    <row r="68">
      <c r="A68" s="20">
        <f>IF(B68="","",ROW()-5)</f>
        <v/>
      </c>
      <c r="B68" s="20" t="n"/>
      <c r="C68" s="20" t="n"/>
      <c r="D68" s="20" t="n"/>
      <c r="E68" s="20" t="n"/>
      <c r="F68" s="20" t="n"/>
      <c r="G68" s="20" t="n"/>
      <c r="H68" s="20" t="n"/>
      <c r="I68" s="20" t="n"/>
      <c r="J68" s="20" t="n"/>
      <c r="K68" s="22">
        <f>IF(B68="","",COUNTA(C68:J68))</f>
        <v/>
      </c>
      <c r="L68" s="20" t="n"/>
    </row>
    <row r="69">
      <c r="A69" s="17">
        <f>IF(B69="","",ROW()-5)</f>
        <v/>
      </c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9">
        <f>IF(B69="","",COUNTA(C69:J69))</f>
        <v/>
      </c>
      <c r="L69" s="17" t="n"/>
    </row>
    <row r="70">
      <c r="A70" s="20">
        <f>IF(B70="","",ROW()-5)</f>
        <v/>
      </c>
      <c r="B70" s="20" t="n"/>
      <c r="C70" s="20" t="n"/>
      <c r="D70" s="20" t="n"/>
      <c r="E70" s="20" t="n"/>
      <c r="F70" s="20" t="n"/>
      <c r="G70" s="20" t="n"/>
      <c r="H70" s="20" t="n"/>
      <c r="I70" s="20" t="n"/>
      <c r="J70" s="20" t="n"/>
      <c r="K70" s="22">
        <f>IF(B70="","",COUNTA(C70:J70))</f>
        <v/>
      </c>
      <c r="L70" s="20" t="n"/>
    </row>
    <row r="71">
      <c r="A71" s="17">
        <f>IF(B71="","",ROW()-5)</f>
        <v/>
      </c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9">
        <f>IF(B71="","",COUNTA(C71:J71))</f>
        <v/>
      </c>
      <c r="L71" s="17" t="n"/>
    </row>
    <row r="72">
      <c r="A72" s="20">
        <f>IF(B72="","",ROW()-5)</f>
        <v/>
      </c>
      <c r="B72" s="20" t="n"/>
      <c r="C72" s="20" t="n"/>
      <c r="D72" s="20" t="n"/>
      <c r="E72" s="20" t="n"/>
      <c r="F72" s="20" t="n"/>
      <c r="G72" s="20" t="n"/>
      <c r="H72" s="20" t="n"/>
      <c r="I72" s="20" t="n"/>
      <c r="J72" s="20" t="n"/>
      <c r="K72" s="22">
        <f>IF(B72="","",COUNTA(C72:J72))</f>
        <v/>
      </c>
      <c r="L72" s="20" t="n"/>
    </row>
    <row r="73">
      <c r="A73" s="17">
        <f>IF(B73="","",ROW()-5)</f>
        <v/>
      </c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9">
        <f>IF(B73="","",COUNTA(C73:J73))</f>
        <v/>
      </c>
      <c r="L73" s="17" t="n"/>
    </row>
    <row r="74">
      <c r="A74" s="20">
        <f>IF(B74="","",ROW()-5)</f>
        <v/>
      </c>
      <c r="B74" s="20" t="n"/>
      <c r="C74" s="20" t="n"/>
      <c r="D74" s="20" t="n"/>
      <c r="E74" s="20" t="n"/>
      <c r="F74" s="20" t="n"/>
      <c r="G74" s="20" t="n"/>
      <c r="H74" s="20" t="n"/>
      <c r="I74" s="20" t="n"/>
      <c r="J74" s="20" t="n"/>
      <c r="K74" s="22">
        <f>IF(B74="","",COUNTA(C74:J74))</f>
        <v/>
      </c>
      <c r="L74" s="20" t="n"/>
    </row>
    <row r="75">
      <c r="A75" s="17">
        <f>IF(B75="","",ROW()-5)</f>
        <v/>
      </c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9">
        <f>IF(B75="","",COUNTA(C75:J75))</f>
        <v/>
      </c>
      <c r="L75" s="17" t="n"/>
    </row>
    <row r="76">
      <c r="A76" s="20">
        <f>IF(B76="","",ROW()-5)</f>
        <v/>
      </c>
      <c r="B76" s="20" t="n"/>
      <c r="C76" s="20" t="n"/>
      <c r="D76" s="20" t="n"/>
      <c r="E76" s="20" t="n"/>
      <c r="F76" s="20" t="n"/>
      <c r="G76" s="20" t="n"/>
      <c r="H76" s="20" t="n"/>
      <c r="I76" s="20" t="n"/>
      <c r="J76" s="20" t="n"/>
      <c r="K76" s="22">
        <f>IF(B76="","",COUNTA(C76:J76))</f>
        <v/>
      </c>
      <c r="L76" s="20" t="n"/>
    </row>
    <row r="77">
      <c r="A77" s="17">
        <f>IF(B77="","",ROW()-5)</f>
        <v/>
      </c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9">
        <f>IF(B77="","",COUNTA(C77:J77))</f>
        <v/>
      </c>
      <c r="L77" s="17" t="n"/>
    </row>
    <row r="78">
      <c r="A78" s="20">
        <f>IF(B78="","",ROW()-5)</f>
        <v/>
      </c>
      <c r="B78" s="20" t="n"/>
      <c r="C78" s="20" t="n"/>
      <c r="D78" s="20" t="n"/>
      <c r="E78" s="20" t="n"/>
      <c r="F78" s="20" t="n"/>
      <c r="G78" s="20" t="n"/>
      <c r="H78" s="20" t="n"/>
      <c r="I78" s="20" t="n"/>
      <c r="J78" s="20" t="n"/>
      <c r="K78" s="22">
        <f>IF(B78="","",COUNTA(C78:J78))</f>
        <v/>
      </c>
      <c r="L78" s="20" t="n"/>
    </row>
    <row r="79">
      <c r="A79" s="17">
        <f>IF(B79="","",ROW()-5)</f>
        <v/>
      </c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9">
        <f>IF(B79="","",COUNTA(C79:J79))</f>
        <v/>
      </c>
      <c r="L79" s="17" t="n"/>
    </row>
    <row r="80">
      <c r="A80" s="20">
        <f>IF(B80="","",ROW()-5)</f>
        <v/>
      </c>
      <c r="B80" s="20" t="n"/>
      <c r="C80" s="20" t="n"/>
      <c r="D80" s="20" t="n"/>
      <c r="E80" s="20" t="n"/>
      <c r="F80" s="20" t="n"/>
      <c r="G80" s="20" t="n"/>
      <c r="H80" s="20" t="n"/>
      <c r="I80" s="20" t="n"/>
      <c r="J80" s="20" t="n"/>
      <c r="K80" s="22">
        <f>IF(B80="","",COUNTA(C80:J80))</f>
        <v/>
      </c>
      <c r="L80" s="20" t="n"/>
    </row>
    <row r="81">
      <c r="A81" s="17">
        <f>IF(B81="","",ROW()-5)</f>
        <v/>
      </c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9">
        <f>IF(B81="","",COUNTA(C81:J81))</f>
        <v/>
      </c>
      <c r="L81" s="17" t="n"/>
    </row>
    <row r="82">
      <c r="A82" s="20">
        <f>IF(B82="","",ROW()-5)</f>
        <v/>
      </c>
      <c r="B82" s="20" t="n"/>
      <c r="C82" s="20" t="n"/>
      <c r="D82" s="20" t="n"/>
      <c r="E82" s="20" t="n"/>
      <c r="F82" s="20" t="n"/>
      <c r="G82" s="20" t="n"/>
      <c r="H82" s="20" t="n"/>
      <c r="I82" s="20" t="n"/>
      <c r="J82" s="20" t="n"/>
      <c r="K82" s="22">
        <f>IF(B82="","",COUNTA(C82:J82))</f>
        <v/>
      </c>
      <c r="L82" s="20" t="n"/>
    </row>
    <row r="83">
      <c r="A83" s="17">
        <f>IF(B83="","",ROW()-5)</f>
        <v/>
      </c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9">
        <f>IF(B83="","",COUNTA(C83:J83))</f>
        <v/>
      </c>
      <c r="L83" s="17" t="n"/>
    </row>
    <row r="84">
      <c r="A84" s="20">
        <f>IF(B84="","",ROW()-5)</f>
        <v/>
      </c>
      <c r="B84" s="20" t="n"/>
      <c r="C84" s="20" t="n"/>
      <c r="D84" s="20" t="n"/>
      <c r="E84" s="20" t="n"/>
      <c r="F84" s="20" t="n"/>
      <c r="G84" s="20" t="n"/>
      <c r="H84" s="20" t="n"/>
      <c r="I84" s="20" t="n"/>
      <c r="J84" s="20" t="n"/>
      <c r="K84" s="22">
        <f>IF(B84="","",COUNTA(C84:J84))</f>
        <v/>
      </c>
      <c r="L84" s="20" t="n"/>
    </row>
    <row r="85">
      <c r="A85" s="17">
        <f>IF(B85="","",ROW()-5)</f>
        <v/>
      </c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9">
        <f>IF(B85="","",COUNTA(C85:J85))</f>
        <v/>
      </c>
      <c r="L85" s="17" t="n"/>
    </row>
    <row r="86">
      <c r="A86" s="20">
        <f>IF(B86="","",ROW()-5)</f>
        <v/>
      </c>
      <c r="B86" s="20" t="n"/>
      <c r="C86" s="20" t="n"/>
      <c r="D86" s="20" t="n"/>
      <c r="E86" s="20" t="n"/>
      <c r="F86" s="20" t="n"/>
      <c r="G86" s="20" t="n"/>
      <c r="H86" s="20" t="n"/>
      <c r="I86" s="20" t="n"/>
      <c r="J86" s="20" t="n"/>
      <c r="K86" s="22">
        <f>IF(B86="","",COUNTA(C86:J86))</f>
        <v/>
      </c>
      <c r="L86" s="20" t="n"/>
    </row>
    <row r="87">
      <c r="A87" s="17">
        <f>IF(B87="","",ROW()-5)</f>
        <v/>
      </c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9">
        <f>IF(B87="","",COUNTA(C87:J87))</f>
        <v/>
      </c>
      <c r="L87" s="17" t="n"/>
    </row>
    <row r="88">
      <c r="A88" s="20">
        <f>IF(B88="","",ROW()-5)</f>
        <v/>
      </c>
      <c r="B88" s="20" t="n"/>
      <c r="C88" s="20" t="n"/>
      <c r="D88" s="20" t="n"/>
      <c r="E88" s="20" t="n"/>
      <c r="F88" s="20" t="n"/>
      <c r="G88" s="20" t="n"/>
      <c r="H88" s="20" t="n"/>
      <c r="I88" s="20" t="n"/>
      <c r="J88" s="20" t="n"/>
      <c r="K88" s="22">
        <f>IF(B88="","",COUNTA(C88:J88))</f>
        <v/>
      </c>
      <c r="L88" s="20" t="n"/>
    </row>
    <row r="89">
      <c r="A89" s="17">
        <f>IF(B89="","",ROW()-5)</f>
        <v/>
      </c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9">
        <f>IF(B89="","",COUNTA(C89:J89))</f>
        <v/>
      </c>
      <c r="L89" s="17" t="n"/>
    </row>
    <row r="90">
      <c r="A90" s="20">
        <f>IF(B90="","",ROW()-5)</f>
        <v/>
      </c>
      <c r="B90" s="20" t="n"/>
      <c r="C90" s="20" t="n"/>
      <c r="D90" s="20" t="n"/>
      <c r="E90" s="20" t="n"/>
      <c r="F90" s="20" t="n"/>
      <c r="G90" s="20" t="n"/>
      <c r="H90" s="20" t="n"/>
      <c r="I90" s="20" t="n"/>
      <c r="J90" s="20" t="n"/>
      <c r="K90" s="22">
        <f>IF(B90="","",COUNTA(C90:J90))</f>
        <v/>
      </c>
      <c r="L90" s="20" t="n"/>
    </row>
    <row r="91">
      <c r="A91" s="17">
        <f>IF(B91="","",ROW()-5)</f>
        <v/>
      </c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9">
        <f>IF(B91="","",COUNTA(C91:J91))</f>
        <v/>
      </c>
      <c r="L91" s="17" t="n"/>
    </row>
    <row r="92">
      <c r="A92" s="20">
        <f>IF(B92="","",ROW()-5)</f>
        <v/>
      </c>
      <c r="B92" s="20" t="n"/>
      <c r="C92" s="20" t="n"/>
      <c r="D92" s="20" t="n"/>
      <c r="E92" s="20" t="n"/>
      <c r="F92" s="20" t="n"/>
      <c r="G92" s="20" t="n"/>
      <c r="H92" s="20" t="n"/>
      <c r="I92" s="20" t="n"/>
      <c r="J92" s="20" t="n"/>
      <c r="K92" s="22">
        <f>IF(B92="","",COUNTA(C92:J92))</f>
        <v/>
      </c>
      <c r="L92" s="20" t="n"/>
    </row>
    <row r="93">
      <c r="A93" s="17">
        <f>IF(B93="","",ROW()-5)</f>
        <v/>
      </c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9">
        <f>IF(B93="","",COUNTA(C93:J93))</f>
        <v/>
      </c>
      <c r="L93" s="17" t="n"/>
    </row>
    <row r="94">
      <c r="A94" s="20">
        <f>IF(B94="","",ROW()-5)</f>
        <v/>
      </c>
      <c r="B94" s="20" t="n"/>
      <c r="C94" s="20" t="n"/>
      <c r="D94" s="20" t="n"/>
      <c r="E94" s="20" t="n"/>
      <c r="F94" s="20" t="n"/>
      <c r="G94" s="20" t="n"/>
      <c r="H94" s="20" t="n"/>
      <c r="I94" s="20" t="n"/>
      <c r="J94" s="20" t="n"/>
      <c r="K94" s="22">
        <f>IF(B94="","",COUNTA(C94:J94))</f>
        <v/>
      </c>
      <c r="L94" s="20" t="n"/>
    </row>
    <row r="95">
      <c r="A95" s="17">
        <f>IF(B95="","",ROW()-5)</f>
        <v/>
      </c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9">
        <f>IF(B95="","",COUNTA(C95:J95))</f>
        <v/>
      </c>
      <c r="L95" s="17" t="n"/>
    </row>
    <row r="96">
      <c r="A96" s="20">
        <f>IF(B96="","",ROW()-5)</f>
        <v/>
      </c>
      <c r="B96" s="20" t="n"/>
      <c r="C96" s="20" t="n"/>
      <c r="D96" s="20" t="n"/>
      <c r="E96" s="20" t="n"/>
      <c r="F96" s="20" t="n"/>
      <c r="G96" s="20" t="n"/>
      <c r="H96" s="20" t="n"/>
      <c r="I96" s="20" t="n"/>
      <c r="J96" s="20" t="n"/>
      <c r="K96" s="22">
        <f>IF(B96="","",COUNTA(C96:J96))</f>
        <v/>
      </c>
      <c r="L96" s="20" t="n"/>
    </row>
    <row r="97">
      <c r="A97" s="17">
        <f>IF(B97="","",ROW()-5)</f>
        <v/>
      </c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9">
        <f>IF(B97="","",COUNTA(C97:J97))</f>
        <v/>
      </c>
      <c r="L97" s="17" t="n"/>
    </row>
    <row r="98">
      <c r="A98" s="20">
        <f>IF(B98="","",ROW()-5)</f>
        <v/>
      </c>
      <c r="B98" s="20" t="n"/>
      <c r="C98" s="20" t="n"/>
      <c r="D98" s="20" t="n"/>
      <c r="E98" s="20" t="n"/>
      <c r="F98" s="20" t="n"/>
      <c r="G98" s="20" t="n"/>
      <c r="H98" s="20" t="n"/>
      <c r="I98" s="20" t="n"/>
      <c r="J98" s="20" t="n"/>
      <c r="K98" s="22">
        <f>IF(B98="","",COUNTA(C98:J98))</f>
        <v/>
      </c>
      <c r="L98" s="20" t="n"/>
    </row>
    <row r="99">
      <c r="A99" s="17">
        <f>IF(B99="","",ROW()-5)</f>
        <v/>
      </c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9">
        <f>IF(B99="","",COUNTA(C99:J99))</f>
        <v/>
      </c>
      <c r="L99" s="17" t="n"/>
    </row>
    <row r="100">
      <c r="A100" s="20">
        <f>IF(B100="","",ROW()-5)</f>
        <v/>
      </c>
      <c r="B100" s="20" t="n"/>
      <c r="C100" s="20" t="n"/>
      <c r="D100" s="20" t="n"/>
      <c r="E100" s="20" t="n"/>
      <c r="F100" s="20" t="n"/>
      <c r="G100" s="20" t="n"/>
      <c r="H100" s="20" t="n"/>
      <c r="I100" s="20" t="n"/>
      <c r="J100" s="20" t="n"/>
      <c r="K100" s="22">
        <f>IF(B100="","",COUNTA(C100:J100))</f>
        <v/>
      </c>
      <c r="L100" s="20" t="n"/>
    </row>
    <row r="101">
      <c r="A101" s="17">
        <f>IF(B101="","",ROW()-5)</f>
        <v/>
      </c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9">
        <f>IF(B101="","",COUNTA(C101:J101))</f>
        <v/>
      </c>
      <c r="L101" s="17" t="n"/>
    </row>
    <row r="102">
      <c r="A102" s="20">
        <f>IF(B102="","",ROW()-5)</f>
        <v/>
      </c>
      <c r="B102" s="20" t="n"/>
      <c r="C102" s="20" t="n"/>
      <c r="D102" s="20" t="n"/>
      <c r="E102" s="20" t="n"/>
      <c r="F102" s="20" t="n"/>
      <c r="G102" s="20" t="n"/>
      <c r="H102" s="20" t="n"/>
      <c r="I102" s="20" t="n"/>
      <c r="J102" s="20" t="n"/>
      <c r="K102" s="22">
        <f>IF(B102="","",COUNTA(C102:J102))</f>
        <v/>
      </c>
      <c r="L102" s="20" t="n"/>
    </row>
    <row r="103">
      <c r="A103" s="17">
        <f>IF(B103="","",ROW()-5)</f>
        <v/>
      </c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9">
        <f>IF(B103="","",COUNTA(C103:J103))</f>
        <v/>
      </c>
      <c r="L103" s="17" t="n"/>
    </row>
    <row r="104">
      <c r="A104" s="20">
        <f>IF(B104="","",ROW()-5)</f>
        <v/>
      </c>
      <c r="B104" s="20" t="n"/>
      <c r="C104" s="20" t="n"/>
      <c r="D104" s="20" t="n"/>
      <c r="E104" s="20" t="n"/>
      <c r="F104" s="20" t="n"/>
      <c r="G104" s="20" t="n"/>
      <c r="H104" s="20" t="n"/>
      <c r="I104" s="20" t="n"/>
      <c r="J104" s="20" t="n"/>
      <c r="K104" s="22">
        <f>IF(B104="","",COUNTA(C104:J104))</f>
        <v/>
      </c>
      <c r="L104" s="20" t="n"/>
    </row>
    <row r="105">
      <c r="A105" s="17">
        <f>IF(B105="","",ROW()-5)</f>
        <v/>
      </c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9">
        <f>IF(B105="","",COUNTA(C105:J105))</f>
        <v/>
      </c>
      <c r="L105" s="17" t="n"/>
    </row>
    <row r="106">
      <c r="A106" s="20">
        <f>IF(B106="","",ROW()-5)</f>
        <v/>
      </c>
      <c r="B106" s="20" t="n"/>
      <c r="C106" s="20" t="n"/>
      <c r="D106" s="20" t="n"/>
      <c r="E106" s="20" t="n"/>
      <c r="F106" s="20" t="n"/>
      <c r="G106" s="20" t="n"/>
      <c r="H106" s="20" t="n"/>
      <c r="I106" s="20" t="n"/>
      <c r="J106" s="20" t="n"/>
      <c r="K106" s="22">
        <f>IF(B106="","",COUNTA(C106:J106))</f>
        <v/>
      </c>
      <c r="L106" s="20" t="n"/>
    </row>
    <row r="107">
      <c r="A107" s="17">
        <f>IF(B107="","",ROW()-5)</f>
        <v/>
      </c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9">
        <f>IF(B107="","",COUNTA(C107:J107))</f>
        <v/>
      </c>
      <c r="L107" s="17" t="n"/>
    </row>
    <row r="108">
      <c r="A108" s="20">
        <f>IF(B108="","",ROW()-5)</f>
        <v/>
      </c>
      <c r="B108" s="20" t="n"/>
      <c r="C108" s="20" t="n"/>
      <c r="D108" s="20" t="n"/>
      <c r="E108" s="20" t="n"/>
      <c r="F108" s="20" t="n"/>
      <c r="G108" s="20" t="n"/>
      <c r="H108" s="20" t="n"/>
      <c r="I108" s="20" t="n"/>
      <c r="J108" s="20" t="n"/>
      <c r="K108" s="22">
        <f>IF(B108="","",COUNTA(C108:J108))</f>
        <v/>
      </c>
      <c r="L108" s="20" t="n"/>
    </row>
    <row r="109">
      <c r="A109" s="17">
        <f>IF(B109="","",ROW()-5)</f>
        <v/>
      </c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9">
        <f>IF(B109="","",COUNTA(C109:J109))</f>
        <v/>
      </c>
      <c r="L109" s="17" t="n"/>
    </row>
    <row r="110">
      <c r="A110" s="20">
        <f>IF(B110="","",ROW()-5)</f>
        <v/>
      </c>
      <c r="B110" s="20" t="n"/>
      <c r="C110" s="20" t="n"/>
      <c r="D110" s="20" t="n"/>
      <c r="E110" s="20" t="n"/>
      <c r="F110" s="20" t="n"/>
      <c r="G110" s="20" t="n"/>
      <c r="H110" s="20" t="n"/>
      <c r="I110" s="20" t="n"/>
      <c r="J110" s="20" t="n"/>
      <c r="K110" s="22">
        <f>IF(B110="","",COUNTA(C110:J110))</f>
        <v/>
      </c>
      <c r="L110" s="20" t="n"/>
    </row>
    <row r="111">
      <c r="A111" s="17">
        <f>IF(B111="","",ROW()-5)</f>
        <v/>
      </c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9">
        <f>IF(B111="","",COUNTA(C111:J111))</f>
        <v/>
      </c>
      <c r="L111" s="17" t="n"/>
    </row>
    <row r="112">
      <c r="A112" s="20">
        <f>IF(B112="","",ROW()-5)</f>
        <v/>
      </c>
      <c r="B112" s="20" t="n"/>
      <c r="C112" s="20" t="n"/>
      <c r="D112" s="20" t="n"/>
      <c r="E112" s="20" t="n"/>
      <c r="F112" s="20" t="n"/>
      <c r="G112" s="20" t="n"/>
      <c r="H112" s="20" t="n"/>
      <c r="I112" s="20" t="n"/>
      <c r="J112" s="20" t="n"/>
      <c r="K112" s="22">
        <f>IF(B112="","",COUNTA(C112:J112))</f>
        <v/>
      </c>
      <c r="L112" s="20" t="n"/>
    </row>
    <row r="113">
      <c r="A113" s="17">
        <f>IF(B113="","",ROW()-5)</f>
        <v/>
      </c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9">
        <f>IF(B113="","",COUNTA(C113:J113))</f>
        <v/>
      </c>
      <c r="L113" s="17" t="n"/>
    </row>
    <row r="114">
      <c r="A114" s="20">
        <f>IF(B114="","",ROW()-5)</f>
        <v/>
      </c>
      <c r="B114" s="20" t="n"/>
      <c r="C114" s="20" t="n"/>
      <c r="D114" s="20" t="n"/>
      <c r="E114" s="20" t="n"/>
      <c r="F114" s="20" t="n"/>
      <c r="G114" s="20" t="n"/>
      <c r="H114" s="20" t="n"/>
      <c r="I114" s="20" t="n"/>
      <c r="J114" s="20" t="n"/>
      <c r="K114" s="22">
        <f>IF(B114="","",COUNTA(C114:J114))</f>
        <v/>
      </c>
      <c r="L114" s="20" t="n"/>
    </row>
    <row r="115">
      <c r="A115" s="17">
        <f>IF(B115="","",ROW()-5)</f>
        <v/>
      </c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9">
        <f>IF(B115="","",COUNTA(C115:J115))</f>
        <v/>
      </c>
      <c r="L115" s="17" t="n"/>
    </row>
    <row r="116">
      <c r="A116" s="20">
        <f>IF(B116="","",ROW()-5)</f>
        <v/>
      </c>
      <c r="B116" s="20" t="n"/>
      <c r="C116" s="20" t="n"/>
      <c r="D116" s="20" t="n"/>
      <c r="E116" s="20" t="n"/>
      <c r="F116" s="20" t="n"/>
      <c r="G116" s="20" t="n"/>
      <c r="H116" s="20" t="n"/>
      <c r="I116" s="20" t="n"/>
      <c r="J116" s="20" t="n"/>
      <c r="K116" s="22">
        <f>IF(B116="","",COUNTA(C116:J116))</f>
        <v/>
      </c>
      <c r="L116" s="20" t="n"/>
    </row>
    <row r="117">
      <c r="A117" s="17">
        <f>IF(B117="","",ROW()-5)</f>
        <v/>
      </c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9">
        <f>IF(B117="","",COUNTA(C117:J117))</f>
        <v/>
      </c>
      <c r="L117" s="17" t="n"/>
    </row>
    <row r="118">
      <c r="A118" s="20">
        <f>IF(B118="","",ROW()-5)</f>
        <v/>
      </c>
      <c r="B118" s="20" t="n"/>
      <c r="C118" s="20" t="n"/>
      <c r="D118" s="20" t="n"/>
      <c r="E118" s="20" t="n"/>
      <c r="F118" s="20" t="n"/>
      <c r="G118" s="20" t="n"/>
      <c r="H118" s="20" t="n"/>
      <c r="I118" s="20" t="n"/>
      <c r="J118" s="20" t="n"/>
      <c r="K118" s="22">
        <f>IF(B118="","",COUNTA(C118:J118))</f>
        <v/>
      </c>
      <c r="L118" s="20" t="n"/>
    </row>
    <row r="119">
      <c r="A119" s="17">
        <f>IF(B119="","",ROW()-5)</f>
        <v/>
      </c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9">
        <f>IF(B119="","",COUNTA(C119:J119))</f>
        <v/>
      </c>
      <c r="L119" s="17" t="n"/>
    </row>
    <row r="120">
      <c r="A120" s="20">
        <f>IF(B120="","",ROW()-5)</f>
        <v/>
      </c>
      <c r="B120" s="20" t="n"/>
      <c r="C120" s="20" t="n"/>
      <c r="D120" s="20" t="n"/>
      <c r="E120" s="20" t="n"/>
      <c r="F120" s="20" t="n"/>
      <c r="G120" s="20" t="n"/>
      <c r="H120" s="20" t="n"/>
      <c r="I120" s="20" t="n"/>
      <c r="J120" s="20" t="n"/>
      <c r="K120" s="22">
        <f>IF(B120="","",COUNTA(C120:J120))</f>
        <v/>
      </c>
      <c r="L120" s="20" t="n"/>
    </row>
    <row r="121">
      <c r="A121" s="17">
        <f>IF(B121="","",ROW()-5)</f>
        <v/>
      </c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9">
        <f>IF(B121="","",COUNTA(C121:J121))</f>
        <v/>
      </c>
      <c r="L121" s="17" t="n"/>
    </row>
    <row r="122">
      <c r="A122" s="20">
        <f>IF(B122="","",ROW()-5)</f>
        <v/>
      </c>
      <c r="B122" s="20" t="n"/>
      <c r="C122" s="20" t="n"/>
      <c r="D122" s="20" t="n"/>
      <c r="E122" s="20" t="n"/>
      <c r="F122" s="20" t="n"/>
      <c r="G122" s="20" t="n"/>
      <c r="H122" s="20" t="n"/>
      <c r="I122" s="20" t="n"/>
      <c r="J122" s="20" t="n"/>
      <c r="K122" s="22">
        <f>IF(B122="","",COUNTA(C122:J122))</f>
        <v/>
      </c>
      <c r="L122" s="20" t="n"/>
    </row>
    <row r="123">
      <c r="A123" s="17">
        <f>IF(B123="","",ROW()-5)</f>
        <v/>
      </c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9">
        <f>IF(B123="","",COUNTA(C123:J123))</f>
        <v/>
      </c>
      <c r="L123" s="17" t="n"/>
    </row>
    <row r="124">
      <c r="A124" s="20">
        <f>IF(B124="","",ROW()-5)</f>
        <v/>
      </c>
      <c r="B124" s="20" t="n"/>
      <c r="C124" s="20" t="n"/>
      <c r="D124" s="20" t="n"/>
      <c r="E124" s="20" t="n"/>
      <c r="F124" s="20" t="n"/>
      <c r="G124" s="20" t="n"/>
      <c r="H124" s="20" t="n"/>
      <c r="I124" s="20" t="n"/>
      <c r="J124" s="20" t="n"/>
      <c r="K124" s="22">
        <f>IF(B124="","",COUNTA(C124:J124))</f>
        <v/>
      </c>
      <c r="L124" s="20" t="n"/>
    </row>
    <row r="125">
      <c r="A125" s="17">
        <f>IF(B125="","",ROW()-5)</f>
        <v/>
      </c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9">
        <f>IF(B125="","",COUNTA(C125:J125))</f>
        <v/>
      </c>
      <c r="L125" s="17" t="n"/>
    </row>
    <row r="126">
      <c r="A126" s="20">
        <f>IF(B126="","",ROW()-5)</f>
        <v/>
      </c>
      <c r="B126" s="20" t="n"/>
      <c r="C126" s="20" t="n"/>
      <c r="D126" s="20" t="n"/>
      <c r="E126" s="20" t="n"/>
      <c r="F126" s="20" t="n"/>
      <c r="G126" s="20" t="n"/>
      <c r="H126" s="20" t="n"/>
      <c r="I126" s="20" t="n"/>
      <c r="J126" s="20" t="n"/>
      <c r="K126" s="22">
        <f>IF(B126="","",COUNTA(C126:J126))</f>
        <v/>
      </c>
      <c r="L126" s="20" t="n"/>
    </row>
    <row r="127">
      <c r="A127" s="17">
        <f>IF(B127="","",ROW()-5)</f>
        <v/>
      </c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9">
        <f>IF(B127="","",COUNTA(C127:J127))</f>
        <v/>
      </c>
      <c r="L127" s="17" t="n"/>
    </row>
    <row r="128">
      <c r="A128" s="20">
        <f>IF(B128="","",ROW()-5)</f>
        <v/>
      </c>
      <c r="B128" s="20" t="n"/>
      <c r="C128" s="20" t="n"/>
      <c r="D128" s="20" t="n"/>
      <c r="E128" s="20" t="n"/>
      <c r="F128" s="20" t="n"/>
      <c r="G128" s="20" t="n"/>
      <c r="H128" s="20" t="n"/>
      <c r="I128" s="20" t="n"/>
      <c r="J128" s="20" t="n"/>
      <c r="K128" s="22">
        <f>IF(B128="","",COUNTA(C128:J128))</f>
        <v/>
      </c>
      <c r="L128" s="20" t="n"/>
    </row>
    <row r="129">
      <c r="A129" s="17">
        <f>IF(B129="","",ROW()-5)</f>
        <v/>
      </c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9">
        <f>IF(B129="","",COUNTA(C129:J129))</f>
        <v/>
      </c>
      <c r="L129" s="17" t="n"/>
    </row>
    <row r="130">
      <c r="A130" s="20">
        <f>IF(B130="","",ROW()-5)</f>
        <v/>
      </c>
      <c r="B130" s="20" t="n"/>
      <c r="C130" s="20" t="n"/>
      <c r="D130" s="20" t="n"/>
      <c r="E130" s="20" t="n"/>
      <c r="F130" s="20" t="n"/>
      <c r="G130" s="20" t="n"/>
      <c r="H130" s="20" t="n"/>
      <c r="I130" s="20" t="n"/>
      <c r="J130" s="20" t="n"/>
      <c r="K130" s="22">
        <f>IF(B130="","",COUNTA(C130:J130))</f>
        <v/>
      </c>
      <c r="L130" s="20" t="n"/>
    </row>
    <row r="131">
      <c r="A131" s="17">
        <f>IF(B131="","",ROW()-5)</f>
        <v/>
      </c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9">
        <f>IF(B131="","",COUNTA(C131:J131))</f>
        <v/>
      </c>
      <c r="L131" s="17" t="n"/>
    </row>
    <row r="132">
      <c r="A132" s="20">
        <f>IF(B132="","",ROW()-5)</f>
        <v/>
      </c>
      <c r="B132" s="20" t="n"/>
      <c r="C132" s="20" t="n"/>
      <c r="D132" s="20" t="n"/>
      <c r="E132" s="20" t="n"/>
      <c r="F132" s="20" t="n"/>
      <c r="G132" s="20" t="n"/>
      <c r="H132" s="20" t="n"/>
      <c r="I132" s="20" t="n"/>
      <c r="J132" s="20" t="n"/>
      <c r="K132" s="22">
        <f>IF(B132="","",COUNTA(C132:J132))</f>
        <v/>
      </c>
      <c r="L132" s="20" t="n"/>
    </row>
    <row r="133">
      <c r="A133" s="17">
        <f>IF(B133="","",ROW()-5)</f>
        <v/>
      </c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9">
        <f>IF(B133="","",COUNTA(C133:J133))</f>
        <v/>
      </c>
      <c r="L133" s="17" t="n"/>
    </row>
    <row r="134">
      <c r="A134" s="20">
        <f>IF(B134="","",ROW()-5)</f>
        <v/>
      </c>
      <c r="B134" s="20" t="n"/>
      <c r="C134" s="20" t="n"/>
      <c r="D134" s="20" t="n"/>
      <c r="E134" s="20" t="n"/>
      <c r="F134" s="20" t="n"/>
      <c r="G134" s="20" t="n"/>
      <c r="H134" s="20" t="n"/>
      <c r="I134" s="20" t="n"/>
      <c r="J134" s="20" t="n"/>
      <c r="K134" s="22">
        <f>IF(B134="","",COUNTA(C134:J134))</f>
        <v/>
      </c>
      <c r="L134" s="20" t="n"/>
    </row>
    <row r="135">
      <c r="A135" s="17">
        <f>IF(B135="","",ROW()-5)</f>
        <v/>
      </c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9">
        <f>IF(B135="","",COUNTA(C135:J135))</f>
        <v/>
      </c>
      <c r="L135" s="17" t="n"/>
    </row>
    <row r="136">
      <c r="A136" s="20">
        <f>IF(B136="","",ROW()-5)</f>
        <v/>
      </c>
      <c r="B136" s="20" t="n"/>
      <c r="C136" s="20" t="n"/>
      <c r="D136" s="20" t="n"/>
      <c r="E136" s="20" t="n"/>
      <c r="F136" s="20" t="n"/>
      <c r="G136" s="20" t="n"/>
      <c r="H136" s="20" t="n"/>
      <c r="I136" s="20" t="n"/>
      <c r="J136" s="20" t="n"/>
      <c r="K136" s="22">
        <f>IF(B136="","",COUNTA(C136:J136))</f>
        <v/>
      </c>
      <c r="L136" s="20" t="n"/>
    </row>
    <row r="137">
      <c r="A137" s="17">
        <f>IF(B137="","",ROW()-5)</f>
        <v/>
      </c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9">
        <f>IF(B137="","",COUNTA(C137:J137))</f>
        <v/>
      </c>
      <c r="L137" s="17" t="n"/>
    </row>
    <row r="138">
      <c r="A138" s="20">
        <f>IF(B138="","",ROW()-5)</f>
        <v/>
      </c>
      <c r="B138" s="20" t="n"/>
      <c r="C138" s="20" t="n"/>
      <c r="D138" s="20" t="n"/>
      <c r="E138" s="20" t="n"/>
      <c r="F138" s="20" t="n"/>
      <c r="G138" s="20" t="n"/>
      <c r="H138" s="20" t="n"/>
      <c r="I138" s="20" t="n"/>
      <c r="J138" s="20" t="n"/>
      <c r="K138" s="22">
        <f>IF(B138="","",COUNTA(C138:J138))</f>
        <v/>
      </c>
      <c r="L138" s="20" t="n"/>
    </row>
    <row r="139">
      <c r="A139" s="17">
        <f>IF(B139="","",ROW()-5)</f>
        <v/>
      </c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9">
        <f>IF(B139="","",COUNTA(C139:J139))</f>
        <v/>
      </c>
      <c r="L139" s="17" t="n"/>
    </row>
    <row r="140">
      <c r="A140" s="20">
        <f>IF(B140="","",ROW()-5)</f>
        <v/>
      </c>
      <c r="B140" s="20" t="n"/>
      <c r="C140" s="20" t="n"/>
      <c r="D140" s="20" t="n"/>
      <c r="E140" s="20" t="n"/>
      <c r="F140" s="20" t="n"/>
      <c r="G140" s="20" t="n"/>
      <c r="H140" s="20" t="n"/>
      <c r="I140" s="20" t="n"/>
      <c r="J140" s="20" t="n"/>
      <c r="K140" s="22">
        <f>IF(B140="","",COUNTA(C140:J140))</f>
        <v/>
      </c>
      <c r="L140" s="20" t="n"/>
    </row>
    <row r="141">
      <c r="A141" s="17">
        <f>IF(B141="","",ROW()-5)</f>
        <v/>
      </c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9">
        <f>IF(B141="","",COUNTA(C141:J141))</f>
        <v/>
      </c>
      <c r="L141" s="17" t="n"/>
    </row>
    <row r="142">
      <c r="A142" s="20">
        <f>IF(B142="","",ROW()-5)</f>
        <v/>
      </c>
      <c r="B142" s="20" t="n"/>
      <c r="C142" s="20" t="n"/>
      <c r="D142" s="20" t="n"/>
      <c r="E142" s="20" t="n"/>
      <c r="F142" s="20" t="n"/>
      <c r="G142" s="20" t="n"/>
      <c r="H142" s="20" t="n"/>
      <c r="I142" s="20" t="n"/>
      <c r="J142" s="20" t="n"/>
      <c r="K142" s="22">
        <f>IF(B142="","",COUNTA(C142:J142))</f>
        <v/>
      </c>
      <c r="L142" s="20" t="n"/>
    </row>
    <row r="143">
      <c r="A143" s="17">
        <f>IF(B143="","",ROW()-5)</f>
        <v/>
      </c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9">
        <f>IF(B143="","",COUNTA(C143:J143))</f>
        <v/>
      </c>
      <c r="L143" s="17" t="n"/>
    </row>
    <row r="144">
      <c r="A144" s="20">
        <f>IF(B144="","",ROW()-5)</f>
        <v/>
      </c>
      <c r="B144" s="20" t="n"/>
      <c r="C144" s="20" t="n"/>
      <c r="D144" s="20" t="n"/>
      <c r="E144" s="20" t="n"/>
      <c r="F144" s="20" t="n"/>
      <c r="G144" s="20" t="n"/>
      <c r="H144" s="20" t="n"/>
      <c r="I144" s="20" t="n"/>
      <c r="J144" s="20" t="n"/>
      <c r="K144" s="22">
        <f>IF(B144="","",COUNTA(C144:J144))</f>
        <v/>
      </c>
      <c r="L144" s="20" t="n"/>
    </row>
    <row r="145">
      <c r="A145" s="17">
        <f>IF(B145="","",ROW()-5)</f>
        <v/>
      </c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9">
        <f>IF(B145="","",COUNTA(C145:J145))</f>
        <v/>
      </c>
      <c r="L145" s="17" t="n"/>
    </row>
    <row r="146">
      <c r="A146" s="20">
        <f>IF(B146="","",ROW()-5)</f>
        <v/>
      </c>
      <c r="B146" s="20" t="n"/>
      <c r="C146" s="20" t="n"/>
      <c r="D146" s="20" t="n"/>
      <c r="E146" s="20" t="n"/>
      <c r="F146" s="20" t="n"/>
      <c r="G146" s="20" t="n"/>
      <c r="H146" s="20" t="n"/>
      <c r="I146" s="20" t="n"/>
      <c r="J146" s="20" t="n"/>
      <c r="K146" s="22">
        <f>IF(B146="","",COUNTA(C146:J146))</f>
        <v/>
      </c>
      <c r="L146" s="20" t="n"/>
    </row>
    <row r="147">
      <c r="A147" s="17">
        <f>IF(B147="","",ROW()-5)</f>
        <v/>
      </c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9">
        <f>IF(B147="","",COUNTA(C147:J147))</f>
        <v/>
      </c>
      <c r="L147" s="17" t="n"/>
    </row>
    <row r="148">
      <c r="A148" s="20">
        <f>IF(B148="","",ROW()-5)</f>
        <v/>
      </c>
      <c r="B148" s="20" t="n"/>
      <c r="C148" s="20" t="n"/>
      <c r="D148" s="20" t="n"/>
      <c r="E148" s="20" t="n"/>
      <c r="F148" s="20" t="n"/>
      <c r="G148" s="20" t="n"/>
      <c r="H148" s="20" t="n"/>
      <c r="I148" s="20" t="n"/>
      <c r="J148" s="20" t="n"/>
      <c r="K148" s="22">
        <f>IF(B148="","",COUNTA(C148:J148))</f>
        <v/>
      </c>
      <c r="L148" s="20" t="n"/>
    </row>
    <row r="149">
      <c r="A149" s="17">
        <f>IF(B149="","",ROW()-5)</f>
        <v/>
      </c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9">
        <f>IF(B149="","",COUNTA(C149:J149))</f>
        <v/>
      </c>
      <c r="L149" s="17" t="n"/>
    </row>
    <row r="150">
      <c r="A150" s="20">
        <f>IF(B150="","",ROW()-5)</f>
        <v/>
      </c>
      <c r="B150" s="20" t="n"/>
      <c r="C150" s="20" t="n"/>
      <c r="D150" s="20" t="n"/>
      <c r="E150" s="20" t="n"/>
      <c r="F150" s="20" t="n"/>
      <c r="G150" s="20" t="n"/>
      <c r="H150" s="20" t="n"/>
      <c r="I150" s="20" t="n"/>
      <c r="J150" s="20" t="n"/>
      <c r="K150" s="22">
        <f>IF(B150="","",COUNTA(C150:J150))</f>
        <v/>
      </c>
      <c r="L150" s="20" t="n"/>
    </row>
    <row r="151">
      <c r="A151" s="17">
        <f>IF(B151="","",ROW()-5)</f>
        <v/>
      </c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9">
        <f>IF(B151="","",COUNTA(C151:J151))</f>
        <v/>
      </c>
      <c r="L151" s="17" t="n"/>
    </row>
    <row r="152">
      <c r="A152" s="20">
        <f>IF(B152="","",ROW()-5)</f>
        <v/>
      </c>
      <c r="B152" s="20" t="n"/>
      <c r="C152" s="20" t="n"/>
      <c r="D152" s="20" t="n"/>
      <c r="E152" s="20" t="n"/>
      <c r="F152" s="20" t="n"/>
      <c r="G152" s="20" t="n"/>
      <c r="H152" s="20" t="n"/>
      <c r="I152" s="20" t="n"/>
      <c r="J152" s="20" t="n"/>
      <c r="K152" s="22">
        <f>IF(B152="","",COUNTA(C152:J152))</f>
        <v/>
      </c>
      <c r="L152" s="20" t="n"/>
    </row>
    <row r="153">
      <c r="A153" s="17">
        <f>IF(B153="","",ROW()-5)</f>
        <v/>
      </c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9">
        <f>IF(B153="","",COUNTA(C153:J153))</f>
        <v/>
      </c>
      <c r="L153" s="17" t="n"/>
    </row>
    <row r="154">
      <c r="A154" s="20">
        <f>IF(B154="","",ROW()-5)</f>
        <v/>
      </c>
      <c r="B154" s="20" t="n"/>
      <c r="C154" s="20" t="n"/>
      <c r="D154" s="20" t="n"/>
      <c r="E154" s="20" t="n"/>
      <c r="F154" s="20" t="n"/>
      <c r="G154" s="20" t="n"/>
      <c r="H154" s="20" t="n"/>
      <c r="I154" s="20" t="n"/>
      <c r="J154" s="20" t="n"/>
      <c r="K154" s="22">
        <f>IF(B154="","",COUNTA(C154:J154))</f>
        <v/>
      </c>
      <c r="L154" s="20" t="n"/>
    </row>
    <row r="155">
      <c r="A155" s="17">
        <f>IF(B155="","",ROW()-5)</f>
        <v/>
      </c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9">
        <f>IF(B155="","",COUNTA(C155:J155))</f>
        <v/>
      </c>
      <c r="L155" s="17" t="n"/>
    </row>
  </sheetData>
  <mergeCells count="2">
    <mergeCell ref="A2:L2"/>
    <mergeCell ref="A1:L1"/>
  </mergeCells>
  <conditionalFormatting sqref="C6:J155">
    <cfRule type="cellIs" priority="1" operator="equal" dxfId="5">
      <formula>"Core"</formula>
    </cfRule>
    <cfRule type="cellIs" priority="2" operator="equal" dxfId="0">
      <formula>"Supports"</formula>
    </cfRule>
    <cfRule type="cellIs" priority="3" operator="equal" dxfId="1">
      <formula>"Contradicts"</formula>
    </cfRule>
    <cfRule type="cellIs" priority="4" operator="equal" dxfId="4">
      <formula>"Mentions"</formula>
    </cfRule>
  </conditionalFormatting>
  <dataValidations count="1">
    <dataValidation sqref="C6:J155" showDropDown="0" showInputMessage="0" showErrorMessage="0" allowBlank="1" type="list">
      <formula1>Lists!$H$1:$H$4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110" customWidth="1" min="4" max="4"/>
  </cols>
  <sheetData>
    <row r="1" ht="26" customHeight="1">
      <c r="A1" s="7" t="inlineStr">
        <is>
          <t>AI Research Prompts</t>
        </is>
      </c>
    </row>
    <row r="2">
      <c r="A2" s="8" t="inlineStr">
        <is>
          <t>8 prompts tuned for literature reviews. They make the AI your assistant — the judgment stays yours.</t>
        </is>
      </c>
    </row>
    <row r="4" ht="30" customHeight="1">
      <c r="A4" s="16" t="inlineStr">
        <is>
          <t>#</t>
        </is>
      </c>
      <c r="B4" s="16" t="inlineStr">
        <is>
          <t>Stage</t>
        </is>
      </c>
      <c r="C4" s="16" t="inlineStr">
        <is>
          <t>When to use it</t>
        </is>
      </c>
      <c r="D4" s="16" t="inlineStr">
        <is>
          <t>Prompt (copy, fill the [brackets], paste)</t>
        </is>
      </c>
    </row>
    <row r="5" ht="118" customHeight="1">
      <c r="A5" s="17" t="n">
        <v>1</v>
      </c>
      <c r="B5" s="25" t="inlineStr">
        <is>
          <t>Search</t>
        </is>
      </c>
      <c r="C5" s="17" t="inlineStr">
        <is>
          <t>Search strategy builder</t>
        </is>
      </c>
      <c r="D5" s="17" t="inlineStr">
        <is>
          <t>I'm starting a literature review on [topic]. My research question: [research question].
Build me a search strategy: (1) break the question into 2–4 concept blocks, each with 5–8 synonyms and related terms researchers actually use, (2) combine them into ready-to-paste search strings for [Google Scholar / Scopus / Web of Science / PubMed], using AND/OR and quotation marks correctly for each database, (3) add one deliberately narrower and one deliberately broader variant — and tell me what each variant will miss. I'll log every string and its hit count in my search log.</t>
        </is>
      </c>
    </row>
    <row r="6" ht="118" customHeight="1">
      <c r="A6" s="20" t="n">
        <v>2</v>
      </c>
      <c r="B6" s="26" t="inlineStr">
        <is>
          <t>Screening</t>
        </is>
      </c>
      <c r="C6" s="20" t="inlineStr">
        <is>
          <t>Abstract triage</t>
        </is>
      </c>
      <c r="D6" s="20" t="inlineStr">
        <is>
          <t>I'm screening records for a literature review on [topic]. Inclusion criteria: [criteria]. Exclusion criteria: [criteria].
Here are the abstracts, numbered:
[paste 5–20 abstracts]
For each: verdict (Include / Exclude / Maybe) plus the single criterion that decides it, in a compact table. Flag every borderline case and say what I'd need to check in the full text. Be conservative: when in doubt, say Maybe — the decision stays mine, and I record it with a reason in my screening sheet.</t>
        </is>
      </c>
    </row>
    <row r="7" ht="118" customHeight="1">
      <c r="A7" s="17" t="n">
        <v>3</v>
      </c>
      <c r="B7" s="25" t="inlineStr">
        <is>
          <t>Reading</t>
        </is>
      </c>
      <c r="C7" s="17" t="inlineStr">
        <is>
          <t>Critical read of a key source</t>
        </is>
      </c>
      <c r="D7" s="17" t="inlineStr">
        <is>
          <t>Here is the methods section of a paper I want to build my review on:
[paste methods]
Act as a critical reader: name the 3 strongest design choices, the 3 biggest threats to validity, and the populations or contexts the findings should NOT be generalized to. Then write the two-sentence limitations note I should store in my tracker — factual, no snark. (I know this doesn't replace a validated appraisal instrument — I want a sharp first pass.)</t>
        </is>
      </c>
    </row>
    <row r="8" ht="118" customHeight="1">
      <c r="A8" s="20" t="n">
        <v>4</v>
      </c>
      <c r="B8" s="26" t="inlineStr">
        <is>
          <t>Reading</t>
        </is>
      </c>
      <c r="C8" s="20" t="inlineStr">
        <is>
          <t>Quote extraction with page numbers</t>
        </is>
      </c>
      <c r="D8" s="20" t="inlineStr">
        <is>
          <t>Below is a section of a paper. Page numbers are marked in the text.
[paste text with page markers, e.g. 'p. 214:']
Extract the 4–6 most quotable passages VERBATIM, each with its page number, and for each add one line on the argumentative job it could do in my review of [topic] — support, counterpoint, definition, or striking evidence. Flag any quote that could read differently in its full context. Never paraphrase inside quotation marks.</t>
        </is>
      </c>
    </row>
    <row r="9" ht="118" customHeight="1">
      <c r="A9" s="17" t="n">
        <v>5</v>
      </c>
      <c r="B9" s="25" t="inlineStr">
        <is>
          <t>Synthesis</t>
        </is>
      </c>
      <c r="C9" s="17" t="inlineStr">
        <is>
          <t>Theme builder for the matrix</t>
        </is>
      </c>
      <c r="D9" s="17" t="inlineStr">
        <is>
          <t>Here are the key findings from my literature review so far, one line per source with author and year:
[paste findings]
Group them into 4–7 themes I can use as columns in my synthesis matrix. For each theme: a short name (2–4 words), the core claim the sources share, which sources support it, which contradict it, and which merely mention it. End with the two themes most central to [research question] — and why.</t>
        </is>
      </c>
    </row>
    <row r="10" ht="118" customHeight="1">
      <c r="A10" s="20" t="n">
        <v>6</v>
      </c>
      <c r="B10" s="26" t="inlineStr">
        <is>
          <t>Synthesis</t>
        </is>
      </c>
      <c r="C10" s="20" t="inlineStr">
        <is>
          <t>Contradiction resolver</t>
        </is>
      </c>
      <c r="D10" s="20" t="inlineStr">
        <is>
          <t>In my synthesis matrix, two sources disagree: [source A] finds [finding A], but [source B] finds [finding B].
Give me three candidate explanations: different populations or contexts, different measures or definitions, or a genuine moderator. For each: what in the two papers supports it, and what I should check first. Then draft one fair paragraph for my review chapter that presents the disagreement accurately without taking a side I can't defend yet.</t>
        </is>
      </c>
    </row>
    <row r="11" ht="118" customHeight="1">
      <c r="A11" s="17" t="n">
        <v>7</v>
      </c>
      <c r="B11" s="25" t="inlineStr">
        <is>
          <t>Gap</t>
        </is>
      </c>
      <c r="C11" s="17" t="inlineStr">
        <is>
          <t>Gap analysis from the matrix</t>
        </is>
      </c>
      <c r="D11" s="17" t="inlineStr">
        <is>
          <t>Based on my synthesis matrix — my themes: [list themes]; per theme, who covers it and how: [paste matrix summary or findings list] —
name the 3 most defensible research gaps. For each: what exactly is unknown, why the existing sources don't answer it (coverage, method, population, or unresolved contradiction), and what kind of study could. Be strict: 'more research is needed' is not a gap. Rank the three by how well they would hold up in front of a skeptical reviewer.</t>
        </is>
      </c>
    </row>
    <row r="12" ht="118" customHeight="1">
      <c r="A12" s="20" t="n">
        <v>8</v>
      </c>
      <c r="B12" s="26" t="inlineStr">
        <is>
          <t>Writing</t>
        </is>
      </c>
      <c r="C12" s="20" t="inlineStr">
        <is>
          <t>Reviewer 2 for your review chapter</t>
        </is>
      </c>
      <c r="D12" s="20" t="inlineStr">
        <is>
          <t>Here is a draft section of my literature review:
[paste text]
Be Reviewer 2 — rigorous, unimpressed, fair. List your objections in order of severity: claims without a citation, sources summarized but never synthesized, 'themes' that are really just chronology, missing counter-evidence, overgeneralizations. For each objection: quote the exact sentence and say what would fix it. End with the one structural change that would improve the chapter most.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2026-07-15T15:21:16Z</dcterms:created>
  <dcterms:modified xsi:type="dcterms:W3CDTF">2026-07-15T15:21:16Z</dcterms:modified>
</cp:coreProperties>
</file>