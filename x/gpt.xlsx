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Dashboard" sheetId="2" state="visible" r:id="rId2"/>
    <sheet name="Grants" sheetId="3" state="visible" r:id="rId3"/>
    <sheet name="Publications" sheetId="4" state="visible" r:id="rId4"/>
    <sheet name="Conferences" sheetId="5" state="visible" r:id="rId5"/>
    <sheet name="Peer Review" sheetId="6" state="visible" r:id="rId6"/>
    <sheet name="Funding" sheetId="7" state="visible" r:id="rId7"/>
    <sheet name="AI Prompts" sheetId="8" state="visible" r:id="rId8"/>
    <sheet name="Lists" sheetId="9" state="hidden" r:id="rId9"/>
  </sheets>
  <definedNames>
    <definedName name="_xlnm._FilterDatabase" localSheetId="2" hidden="1">'Grants'!$A$4:$S$154</definedName>
    <definedName name="_xlnm._FilterDatabase" localSheetId="3" hidden="1">'Publications'!$A$4:$M$154</definedName>
    <definedName name="_xlnm._FilterDatabase" localSheetId="4" hidden="1">'Conferences'!$A$4:$J$104</definedName>
    <definedName name="_xlnm._FilterDatabase" localSheetId="5" hidden="1">'Peer Review'!$A$4:$I$104</definedName>
  </definedNames>
  <calcPr calcId="124519" fullCalcOnLoad="1"/>
</workbook>
</file>

<file path=xl/styles.xml><?xml version="1.0" encoding="utf-8"?>
<styleSheet xmlns="http://schemas.openxmlformats.org/spreadsheetml/2006/main">
  <numFmts count="2">
    <numFmt numFmtId="164" formatCode="yyyy-mm-dd"/>
    <numFmt numFmtId="165" formatCode="0.0"/>
  </numFmts>
  <fonts count="16">
    <font>
      <name val="Calibri"/>
      <family val="2"/>
      <color theme="1"/>
      <sz val="11"/>
      <scheme val="minor"/>
    </font>
    <font>
      <b val="1"/>
      <color rgb="002D3A8C"/>
      <sz val="20"/>
    </font>
    <font>
      <color rgb="00555B7A"/>
      <sz val="12"/>
    </font>
    <font>
      <color rgb="001E2340"/>
      <sz val="10"/>
    </font>
    <font>
      <b val="1"/>
      <color rgb="001F7A6D"/>
      <sz val="13"/>
    </font>
    <font>
      <color rgb="001E2340"/>
      <sz val="11"/>
    </font>
    <font>
      <color rgb="00555B7A"/>
      <sz val="9"/>
    </font>
    <font>
      <b val="1"/>
      <color rgb="002D3A8C"/>
      <sz val="16"/>
    </font>
    <font>
      <color rgb="00555B7A"/>
      <sz val="10"/>
    </font>
    <font>
      <b val="1"/>
      <color rgb="001F7A6D"/>
      <sz val="11"/>
    </font>
    <font>
      <b val="1"/>
      <color rgb="002D3A8C"/>
      <sz val="18"/>
    </font>
    <font>
      <b val="1"/>
      <color rgb="00B4540A"/>
      <sz val="18"/>
    </font>
    <font>
      <b val="1"/>
      <color rgb="001F7A6D"/>
      <sz val="18"/>
    </font>
    <font>
      <i val="1"/>
      <color rgb="00555B7A"/>
      <sz val="9"/>
    </font>
    <font>
      <b val="1"/>
      <color rgb="00FFFFFF"/>
      <sz val="11"/>
    </font>
    <font>
      <b val="1"/>
      <color rgb="002D3A8C"/>
    </font>
  </fonts>
  <fills count="8">
    <fill>
      <patternFill/>
    </fill>
    <fill>
      <patternFill patternType="gray125"/>
    </fill>
    <fill>
      <patternFill patternType="solid">
        <fgColor rgb="00EEF1FB"/>
      </patternFill>
    </fill>
    <fill>
      <patternFill patternType="solid">
        <fgColor rgb="00FFF1CC"/>
      </patternFill>
    </fill>
    <fill>
      <patternFill patternType="solid">
        <fgColor rgb="00E3F1EE"/>
      </patternFill>
    </fill>
    <fill>
      <patternFill patternType="solid">
        <fgColor rgb="002D3A8C"/>
      </patternFill>
    </fill>
    <fill>
      <patternFill patternType="solid">
        <fgColor rgb="00F7F8FC"/>
      </patternFill>
    </fill>
    <fill>
      <patternFill patternType="solid">
        <fgColor rgb="00ECEDF3"/>
      </patternFill>
    </fill>
  </fills>
  <borders count="2">
    <border>
      <left/>
      <right/>
      <top/>
      <bottom/>
      <diagonal/>
    </border>
    <border>
      <left style="thin">
        <color rgb="00D9DCEA"/>
      </left>
      <right style="thin">
        <color rgb="00D9DCEA"/>
      </right>
      <top style="thin">
        <color rgb="00D9DCEA"/>
      </top>
      <bottom style="thin">
        <color rgb="00D9DCEA"/>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1" fontId="10" fillId="2" borderId="1" applyAlignment="1" pivotButton="0" quotePrefix="0" xfId="0">
      <alignment horizontal="center"/>
    </xf>
    <xf numFmtId="0" fontId="10" fillId="2" borderId="1" applyAlignment="1" pivotButton="0" quotePrefix="0" xfId="0">
      <alignment horizontal="center"/>
    </xf>
    <xf numFmtId="0" fontId="11" fillId="3" borderId="1" applyAlignment="1" pivotButton="0" quotePrefix="0" xfId="0">
      <alignment horizontal="center"/>
    </xf>
    <xf numFmtId="0" fontId="12" fillId="4" borderId="1" applyAlignment="1" pivotButton="0" quotePrefix="0" xfId="0">
      <alignment horizontal="center"/>
    </xf>
    <xf numFmtId="0" fontId="13" fillId="0" borderId="0" pivotButton="0" quotePrefix="0" xfId="0"/>
    <xf numFmtId="0" fontId="14" fillId="5" borderId="1" applyAlignment="1" pivotButton="0" quotePrefix="0" xfId="0">
      <alignment vertical="center" wrapText="1"/>
    </xf>
    <xf numFmtId="0" fontId="0" fillId="7" borderId="1" applyAlignment="1" pivotButton="0" quotePrefix="0" xfId="0">
      <alignment vertical="top" wrapText="1"/>
    </xf>
    <xf numFmtId="0" fontId="0" fillId="0" borderId="1" applyAlignment="1" pivotButton="0" quotePrefix="0" xfId="0">
      <alignment vertical="top" wrapText="1"/>
    </xf>
    <xf numFmtId="3" fontId="0" fillId="0" borderId="1" applyAlignment="1" pivotButton="0" quotePrefix="0" xfId="0">
      <alignment vertical="top" wrapText="1"/>
    </xf>
    <xf numFmtId="164" fontId="0" fillId="0" borderId="1" applyAlignment="1" pivotButton="0" quotePrefix="0" xfId="0">
      <alignment vertical="top" wrapText="1"/>
    </xf>
    <xf numFmtId="1" fontId="0" fillId="7" borderId="1" applyAlignment="1" pivotButton="0" quotePrefix="0" xfId="0">
      <alignment vertical="top" wrapText="1"/>
    </xf>
    <xf numFmtId="0" fontId="0" fillId="6" borderId="1" applyAlignment="1" pivotButton="0" quotePrefix="0" xfId="0">
      <alignment vertical="top" wrapText="1"/>
    </xf>
    <xf numFmtId="3" fontId="0" fillId="6" borderId="1" applyAlignment="1" pivotButton="0" quotePrefix="0" xfId="0">
      <alignment vertical="top" wrapText="1"/>
    </xf>
    <xf numFmtId="164" fontId="0" fillId="6" borderId="1" applyAlignment="1" pivotButton="0" quotePrefix="0" xfId="0">
      <alignment vertical="top" wrapText="1"/>
    </xf>
    <xf numFmtId="165" fontId="0" fillId="0" borderId="1" applyAlignment="1" pivotButton="0" quotePrefix="0" xfId="0">
      <alignment vertical="top" wrapText="1"/>
    </xf>
    <xf numFmtId="165" fontId="0" fillId="6" borderId="1" applyAlignment="1" pivotButton="0" quotePrefix="0" xfId="0">
      <alignment vertical="top" wrapText="1"/>
    </xf>
    <xf numFmtId="0" fontId="8" fillId="0" borderId="0" applyAlignment="1" pivotButton="0" quotePrefix="0" xfId="0">
      <alignment vertical="bottom" wrapText="1"/>
    </xf>
    <xf numFmtId="3" fontId="0" fillId="7" borderId="1" applyAlignment="1" pivotButton="0" quotePrefix="0" xfId="0">
      <alignment vertical="top" wrapText="1"/>
    </xf>
    <xf numFmtId="0" fontId="15" fillId="0" borderId="1" applyAlignment="1" pivotButton="0" quotePrefix="0" xfId="0">
      <alignment vertical="top" wrapText="1"/>
    </xf>
    <xf numFmtId="0" fontId="15" fillId="6" borderId="1" applyAlignment="1" pivotButton="0" quotePrefix="0" xfId="0">
      <alignment vertical="top" wrapText="1"/>
    </xf>
  </cellXfs>
  <cellStyles count="1">
    <cellStyle name="Normal" xfId="0" builtinId="0" hidden="0"/>
  </cellStyles>
  <dxfs count="4">
    <dxf>
      <fill>
        <patternFill patternType="solid">
          <fgColor rgb="00F5DBDB"/>
        </patternFill>
      </fill>
    </dxf>
    <dxf>
      <fill>
        <patternFill patternType="solid">
          <fgColor rgb="00FFF1CC"/>
        </patternFill>
      </fill>
    </dxf>
    <dxf>
      <fill>
        <patternFill patternType="solid">
          <fgColor rgb="00DCF2E4"/>
        </patternFill>
      </fill>
    </dxf>
    <dxf>
      <fill>
        <patternFill patternType="solid">
          <fgColor rgb="00DCE9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18"/>
  <sheetViews>
    <sheetView showGridLines="0" workbookViewId="0">
      <selection activeCell="A1" sqref="A1"/>
    </sheetView>
  </sheetViews>
  <sheetFormatPr baseColWidth="8" defaultRowHeight="15"/>
  <cols>
    <col width="3" customWidth="1" min="1" max="1"/>
    <col width="100" customWidth="1" min="2" max="2"/>
  </cols>
  <sheetData>
    <row r="2" ht="28" customHeight="1">
      <c r="B2" s="1" t="inlineStr">
        <is>
          <t>Grant &amp; Publication Tracker</t>
        </is>
      </c>
    </row>
    <row r="3" ht="20" customHeight="1">
      <c r="B3" s="2" t="inlineStr">
        <is>
          <t>Never miss a deadline that funds your research — grants, papers, abstracts, reviews in one place.</t>
        </is>
      </c>
    </row>
    <row r="4" ht="18" customHeight="1">
      <c r="B4" s="3" t="inlineStr"/>
    </row>
    <row r="5" ht="21" customHeight="1">
      <c r="B5" s="4" t="inlineStr">
        <is>
          <t>HOW TO USE THIS WORKBOOK</t>
        </is>
      </c>
    </row>
    <row r="6" ht="19" customHeight="1">
      <c r="B6" s="5" t="inlineStr">
        <is>
          <t>1 · Dashboard — your next deadlines across everything, in days. Every number updates automatically; never type in a grey cell — grey means it computes itself.</t>
        </is>
      </c>
    </row>
    <row r="7" ht="19" customHeight="1">
      <c r="B7" s="5" t="inlineStr">
        <is>
          <t>2 · Grants — one row per application, from idea to outcome. The countdown goes quiet the moment you submit.</t>
        </is>
      </c>
    </row>
    <row r="8" ht="19" customHeight="1">
      <c r="B8" s="5" t="inlineStr">
        <is>
          <t>3 · Publications — one row per manuscript. Days in review counts itself; amber at 90 days — while the decision is pending — means a polite editor nudge is fair game.</t>
        </is>
      </c>
    </row>
    <row r="9" ht="19" customHeight="1">
      <c r="B9" s="5" t="inlineStr">
        <is>
          <t>4 · Conferences — abstract deadlines, event dates, registration due.</t>
        </is>
      </c>
    </row>
    <row r="10" ht="19" customHeight="1">
      <c r="B10" s="5" t="inlineStr">
        <is>
          <t>5 · Peer Review — the reviews you owe others. Service you can prove at evaluation time.</t>
        </is>
      </c>
    </row>
    <row r="11" ht="19" customHeight="1">
      <c r="B11" s="5" t="inlineStr">
        <is>
          <t>6 · Funding — totals requested, pending, awarded and your per-funder win rate. All automatic.</t>
        </is>
      </c>
    </row>
    <row r="12" ht="19" customHeight="1">
      <c r="B12" s="5" t="inlineStr">
        <is>
          <t>7 · AI Prompts — 6 copy-paste prompts for the hard parts: one-pagers, aims critique, Reviewer 2, response letters.</t>
        </is>
      </c>
    </row>
    <row r="13" ht="18" customHeight="1">
      <c r="B13" s="3" t="inlineStr"/>
    </row>
    <row r="14" ht="19" customHeight="1">
      <c r="B14" s="5" t="inlineStr">
        <is>
          <t>GOOGLE SHEETS: File → Import → Upload this file. Everything (formulas, dropdowns, colors) survives the trip.</t>
        </is>
      </c>
    </row>
    <row r="15" ht="19" customHeight="1">
      <c r="B15" s="5" t="inlineStr">
        <is>
          <t>TIP: Log every call you consider — even the ones you skip. Your Funding sheet becomes your track-record memory.</t>
        </is>
      </c>
    </row>
    <row r="16" ht="18" customHeight="1">
      <c r="B16" s="3" t="inlineStr"/>
    </row>
    <row r="17" ht="18" customHeight="1">
      <c r="B17" s="6" t="inlineStr">
        <is>
          <t>LICENSE — Personal use. One buyer, unlimited own projects &amp; devices. Please don't resell or redistribute.</t>
        </is>
      </c>
    </row>
    <row r="18" ht="18" customHeight="1">
      <c r="B18" s="6" t="inlineStr">
        <is>
          <t>Questions or a broken formula? Message us on Etsy — we reply within 48 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2"/>
  <sheetViews>
    <sheetView showGridLines="0" workbookViewId="0">
      <selection activeCell="A1" sqref="A1"/>
    </sheetView>
  </sheetViews>
  <sheetFormatPr baseColWidth="8" defaultRowHeight="15"/>
  <cols>
    <col width="26" customWidth="1" min="1" max="1"/>
    <col width="26" customWidth="1" min="2" max="2"/>
    <col width="3" customWidth="1" min="3" max="3"/>
    <col width="26" customWidth="1" min="4" max="4"/>
    <col width="26" customWidth="1" min="5" max="5"/>
    <col width="3" customWidth="1" min="6" max="6"/>
    <col width="28" customWidth="1" min="7" max="7"/>
    <col width="28" customWidth="1" min="8" max="8"/>
  </cols>
  <sheetData>
    <row r="1" ht="26" customHeight="1">
      <c r="A1" s="7" t="inlineStr">
        <is>
          <t>Dashboard</t>
        </is>
      </c>
    </row>
    <row r="2">
      <c r="A2" s="8" t="inlineStr">
        <is>
          <t>Live overview — your next deadlines across everything. All numbers update automatically.</t>
        </is>
      </c>
    </row>
    <row r="4">
      <c r="A4" s="9" t="inlineStr">
        <is>
          <t>DEADLINES</t>
        </is>
      </c>
      <c r="D4" s="9" t="inlineStr">
        <is>
          <t>GRANT PIPELINE</t>
        </is>
      </c>
      <c r="G4" s="9" t="inlineStr">
        <is>
          <t>PAPERS &amp; MONEY</t>
        </is>
      </c>
    </row>
    <row r="5">
      <c r="A5" s="8" t="inlineStr">
        <is>
          <t>Next grant deadline (days)</t>
        </is>
      </c>
      <c r="B5" s="8" t="inlineStr">
        <is>
          <t>Next abstract deadline (days)</t>
        </is>
      </c>
      <c r="D5" s="8" t="inlineStr">
        <is>
          <t>Active applications</t>
        </is>
      </c>
      <c r="E5" s="8" t="inlineStr">
        <is>
          <t>In preparation</t>
        </is>
      </c>
      <c r="G5" s="8" t="inlineStr">
        <is>
          <t>Manuscripts in review</t>
        </is>
      </c>
      <c r="H5" s="8" t="inlineStr">
        <is>
          <t>Revisions on your desk</t>
        </is>
      </c>
    </row>
    <row r="6">
      <c r="A6" s="10">
        <f>IFERROR(IF(COUNTIF(Grants!H5:H154,"&gt;=0")=0,"—",SMALL(Grants!H5:H154,COUNTIF(Grants!H5:H154,"&lt;0")+1)),"—")</f>
        <v/>
      </c>
      <c r="B6" s="10">
        <f>IFERROR(IF(COUNTIF(Conferences!F5:F104,"&gt;=0")=0,"—",SMALL(Conferences!F5:F104,COUNTIF(Conferences!F5:F104,"&lt;0")+1)),"—")</f>
        <v/>
      </c>
      <c r="D6" s="11">
        <f>COUNTIF(Grants!I5:I154,"Submitted")+COUNTIF(Grants!I5:I154,"Under review")</f>
        <v/>
      </c>
      <c r="E6" s="12">
        <f>COUNTIF(Grants!I5:I154,"Idea")+COUNTIF(Grants!I5:I154,"Preparing")</f>
        <v/>
      </c>
      <c r="G6" s="11">
        <f>COUNTIF(Publications!E5:E154,"Submitted")+COUNTIF(Publications!E5:E154,"Under review")+COUNTIF(Publications!E5:E154,"Resubmitted")</f>
        <v/>
      </c>
      <c r="H6" s="12">
        <f>COUNTIF(Publications!E5:E154,"Major revision")+COUNTIF(Publications!E5:E154,"Minor revision")+COUNTIF(Publications!E5:E154,"R&amp;R in progress")</f>
        <v/>
      </c>
    </row>
    <row r="8">
      <c r="A8" s="8" t="inlineStr">
        <is>
          <t>Next resubmission (days)</t>
        </is>
      </c>
      <c r="B8" s="8" t="inlineStr">
        <is>
          <t>Next review due (days)</t>
        </is>
      </c>
      <c r="D8" s="8" t="inlineStr">
        <is>
          <t>Awarded</t>
        </is>
      </c>
      <c r="E8" s="8" t="inlineStr">
        <is>
          <t>Success rate</t>
        </is>
      </c>
      <c r="G8" s="8" t="inlineStr">
        <is>
          <t>Accepted</t>
        </is>
      </c>
      <c r="H8" s="8" t="inlineStr">
        <is>
          <t>Funding awarded</t>
        </is>
      </c>
    </row>
    <row r="9">
      <c r="A9" s="10">
        <f>IFERROR(IF(COUNTIF(Publications!J5:J154,"&gt;=0")=0,"—",SMALL(Publications!J5:J154,COUNTIF(Publications!J5:J154,"&lt;0")+1)),"—")</f>
        <v/>
      </c>
      <c r="B9" s="10">
        <f>IFERROR(IF(COUNTIF('Peer Review'!F5:F104,"&gt;=0")=0,"—",SMALL('Peer Review'!F5:F104,COUNTIF('Peer Review'!F5:F104,"&lt;0")+1)),"—")</f>
        <v/>
      </c>
      <c r="D9" s="13">
        <f>COUNTIF(Grants!I5:I154,"Awarded")</f>
        <v/>
      </c>
      <c r="E9" s="13">
        <f>IF(COUNTIF(Grants!I5:I154,"Awarded")+COUNTIF(Grants!I5:I154,"Rejected")=0,"—",TEXT(COUNTIF(Grants!I5:I154,"Awarded")/(COUNTIF(Grants!I5:I154,"Awarded")+COUNTIF(Grants!I5:I154,"Rejected")),"0%"))</f>
        <v/>
      </c>
      <c r="G9" s="13">
        <f>COUNTIF(Publications!E5:E154,"Accepted")</f>
        <v/>
      </c>
      <c r="H9" s="13">
        <f>IF(SUM(Grants!L5:L154)=0,"—",TEXT(SUM(Grants!L5:L154),"#,##0"))</f>
        <v/>
      </c>
    </row>
    <row r="12">
      <c r="A12" s="14" t="inlineStr">
        <is>
          <t>Never type on this sheet — it computes itself.</t>
        </is>
      </c>
    </row>
  </sheetData>
  <sheetProtection selectLockedCells="0" selectUnlockedCells="0" sheet="1" objects="0" insertRows="1" insertHyperlinks="1" autoFilter="1" scenarios="0" formatColumns="1" deleteColumns="1" insertColumns="1" pivotTables="1" deleteRows="1" formatCells="1" formatRows="1" sort="1"/>
  <mergeCells count="2">
    <mergeCell ref="A2:H2"/>
    <mergeCell ref="A1:H1"/>
  </mergeCells>
  <conditionalFormatting sqref="A6">
    <cfRule type="cellIs" priority="1" operator="lessThan" dxfId="0">
      <formula>8</formula>
    </cfRule>
    <cfRule type="cellIs" priority="2" operator="between" dxfId="1">
      <formula>8</formula>
      <formula>21</formula>
    </cfRule>
  </conditionalFormatting>
  <conditionalFormatting sqref="B6">
    <cfRule type="cellIs" priority="3" operator="lessThan" dxfId="0">
      <formula>8</formula>
    </cfRule>
    <cfRule type="cellIs" priority="4" operator="between" dxfId="1">
      <formula>8</formula>
      <formula>21</formula>
    </cfRule>
  </conditionalFormatting>
  <conditionalFormatting sqref="A9">
    <cfRule type="cellIs" priority="5" operator="lessThan" dxfId="0">
      <formula>8</formula>
    </cfRule>
    <cfRule type="cellIs" priority="6" operator="between" dxfId="1">
      <formula>8</formula>
      <formula>21</formula>
    </cfRule>
  </conditionalFormatting>
  <conditionalFormatting sqref="B9">
    <cfRule type="cellIs" priority="7" operator="lessThan" dxfId="0">
      <formula>8</formula>
    </cfRule>
    <cfRule type="cellIs" priority="8" operator="between" dxfId="1">
      <formula>8</formula>
      <formula>21</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5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22" customWidth="1" min="3" max="3"/>
    <col width="34" customWidth="1" min="4" max="4"/>
    <col width="13" customWidth="1" min="5" max="5"/>
    <col width="15" customWidth="1" min="6" max="6"/>
    <col width="12" customWidth="1" min="7" max="7"/>
    <col width="10" customWidth="1" min="8" max="8"/>
    <col width="14" customWidth="1" min="9" max="9"/>
    <col width="12" customWidth="1" min="10" max="10"/>
    <col width="12" customWidth="1" min="11" max="11"/>
    <col width="15" customWidth="1" min="12" max="12"/>
    <col width="12" customWidth="1" min="13" max="13"/>
    <col width="12" customWidth="1" min="14" max="14"/>
    <col width="12" customWidth="1" min="15" max="15"/>
    <col width="13" customWidth="1" min="16" max="16"/>
    <col width="10" customWidth="1" min="17" max="17"/>
    <col width="22" customWidth="1" min="18" max="18"/>
    <col width="36" customWidth="1" min="19" max="19"/>
  </cols>
  <sheetData>
    <row r="1" ht="26" customHeight="1">
      <c r="A1" s="7" t="inlineStr">
        <is>
          <t>Grants Pipeline</t>
        </is>
      </c>
    </row>
    <row r="2">
      <c r="A2" s="8" t="inlineStr">
        <is>
          <t>One row per application, any currency. The countdown goes quiet the moment you submit — red always means act now.</t>
        </is>
      </c>
    </row>
    <row r="4" ht="30" customHeight="1">
      <c r="A4" s="15" t="inlineStr">
        <is>
          <t>#</t>
        </is>
      </c>
      <c r="B4" s="15" t="inlineStr">
        <is>
          <t>Funder</t>
        </is>
      </c>
      <c r="C4" s="15" t="inlineStr">
        <is>
          <t>Programme / call</t>
        </is>
      </c>
      <c r="D4" s="15" t="inlineStr">
        <is>
          <t>Project title</t>
        </is>
      </c>
      <c r="E4" s="15" t="inlineStr">
        <is>
          <t>Role</t>
        </is>
      </c>
      <c r="F4" s="15" t="inlineStr">
        <is>
          <t>Amount requested</t>
        </is>
      </c>
      <c r="G4" s="15" t="inlineStr">
        <is>
          <t>Deadline</t>
        </is>
      </c>
      <c r="H4" s="15" t="inlineStr">
        <is>
          <t>Days left</t>
        </is>
      </c>
      <c r="I4" s="15" t="inlineStr">
        <is>
          <t>Status</t>
        </is>
      </c>
      <c r="J4" s="15" t="inlineStr">
        <is>
          <t>Submitted on</t>
        </is>
      </c>
      <c r="K4" s="15" t="inlineStr">
        <is>
          <t>Outcome date</t>
        </is>
      </c>
      <c r="L4" s="15" t="inlineStr">
        <is>
          <t>Amount awarded</t>
        </is>
      </c>
      <c r="M4" s="15" t="inlineStr">
        <is>
          <t>Proposal</t>
        </is>
      </c>
      <c r="N4" s="15" t="inlineStr">
        <is>
          <t>Budget</t>
        </is>
      </c>
      <c r="O4" s="15" t="inlineStr">
        <is>
          <t>CV / biosketch</t>
        </is>
      </c>
      <c r="P4" s="15" t="inlineStr">
        <is>
          <t>Letters &amp; annexes</t>
        </is>
      </c>
      <c r="Q4" s="15" t="inlineStr">
        <is>
          <t>Docs ready</t>
        </is>
      </c>
      <c r="R4" s="15" t="inlineStr">
        <is>
          <t>Co-applicants</t>
        </is>
      </c>
      <c r="S4" s="15" t="inlineStr">
        <is>
          <t>Notes / next step</t>
        </is>
      </c>
    </row>
    <row r="5">
      <c r="A5" s="16">
        <f>IF(B5="","",ROW()-4)</f>
        <v/>
      </c>
      <c r="B5" s="17" t="n"/>
      <c r="C5" s="17" t="n"/>
      <c r="D5" s="17" t="n"/>
      <c r="E5" s="17" t="n"/>
      <c r="F5" s="18" t="n"/>
      <c r="G5" s="19" t="n"/>
      <c r="H5" s="20">
        <f>IF(G5="","",IF(OR(I5="Submitted",I5="Under review",I5="Awarded",I5="Rejected",I5="Withdrawn"),"—",G5-TODAY()))</f>
        <v/>
      </c>
      <c r="I5" s="17" t="n"/>
      <c r="J5" s="19" t="n"/>
      <c r="K5" s="19" t="n"/>
      <c r="L5" s="18" t="n"/>
      <c r="M5" s="17" t="n"/>
      <c r="N5" s="17" t="n"/>
      <c r="O5" s="17" t="n"/>
      <c r="P5" s="17" t="n"/>
      <c r="Q5" s="16">
        <f>IF($B5="","",COUNTIF(M5:P5,"Ready")&amp;" / 4")</f>
        <v/>
      </c>
      <c r="R5" s="17" t="n"/>
      <c r="S5" s="17" t="n"/>
    </row>
    <row r="6">
      <c r="A6" s="16">
        <f>IF(B6="","",ROW()-4)</f>
        <v/>
      </c>
      <c r="B6" s="21" t="n"/>
      <c r="C6" s="21" t="n"/>
      <c r="D6" s="21" t="n"/>
      <c r="E6" s="21" t="n"/>
      <c r="F6" s="22" t="n"/>
      <c r="G6" s="23" t="n"/>
      <c r="H6" s="20">
        <f>IF(G6="","",IF(OR(I6="Submitted",I6="Under review",I6="Awarded",I6="Rejected",I6="Withdrawn"),"—",G6-TODAY()))</f>
        <v/>
      </c>
      <c r="I6" s="21" t="n"/>
      <c r="J6" s="23" t="n"/>
      <c r="K6" s="23" t="n"/>
      <c r="L6" s="22" t="n"/>
      <c r="M6" s="21" t="n"/>
      <c r="N6" s="21" t="n"/>
      <c r="O6" s="21" t="n"/>
      <c r="P6" s="21" t="n"/>
      <c r="Q6" s="16">
        <f>IF($B6="","",COUNTIF(M6:P6,"Ready")&amp;" / 4")</f>
        <v/>
      </c>
      <c r="R6" s="21" t="n"/>
      <c r="S6" s="21" t="n"/>
    </row>
    <row r="7">
      <c r="A7" s="16">
        <f>IF(B7="","",ROW()-4)</f>
        <v/>
      </c>
      <c r="B7" s="17" t="n"/>
      <c r="C7" s="17" t="n"/>
      <c r="D7" s="17" t="n"/>
      <c r="E7" s="17" t="n"/>
      <c r="F7" s="18" t="n"/>
      <c r="G7" s="19" t="n"/>
      <c r="H7" s="20">
        <f>IF(G7="","",IF(OR(I7="Submitted",I7="Under review",I7="Awarded",I7="Rejected",I7="Withdrawn"),"—",G7-TODAY()))</f>
        <v/>
      </c>
      <c r="I7" s="17" t="n"/>
      <c r="J7" s="19" t="n"/>
      <c r="K7" s="19" t="n"/>
      <c r="L7" s="18" t="n"/>
      <c r="M7" s="17" t="n"/>
      <c r="N7" s="17" t="n"/>
      <c r="O7" s="17" t="n"/>
      <c r="P7" s="17" t="n"/>
      <c r="Q7" s="16">
        <f>IF($B7="","",COUNTIF(M7:P7,"Ready")&amp;" / 4")</f>
        <v/>
      </c>
      <c r="R7" s="17" t="n"/>
      <c r="S7" s="17" t="n"/>
    </row>
    <row r="8">
      <c r="A8" s="16">
        <f>IF(B8="","",ROW()-4)</f>
        <v/>
      </c>
      <c r="B8" s="21" t="n"/>
      <c r="C8" s="21" t="n"/>
      <c r="D8" s="21" t="n"/>
      <c r="E8" s="21" t="n"/>
      <c r="F8" s="22" t="n"/>
      <c r="G8" s="23" t="n"/>
      <c r="H8" s="20">
        <f>IF(G8="","",IF(OR(I8="Submitted",I8="Under review",I8="Awarded",I8="Rejected",I8="Withdrawn"),"—",G8-TODAY()))</f>
        <v/>
      </c>
      <c r="I8" s="21" t="n"/>
      <c r="J8" s="23" t="n"/>
      <c r="K8" s="23" t="n"/>
      <c r="L8" s="22" t="n"/>
      <c r="M8" s="21" t="n"/>
      <c r="N8" s="21" t="n"/>
      <c r="O8" s="21" t="n"/>
      <c r="P8" s="21" t="n"/>
      <c r="Q8" s="16">
        <f>IF($B8="","",COUNTIF(M8:P8,"Ready")&amp;" / 4")</f>
        <v/>
      </c>
      <c r="R8" s="21" t="n"/>
      <c r="S8" s="21" t="n"/>
    </row>
    <row r="9">
      <c r="A9" s="16">
        <f>IF(B9="","",ROW()-4)</f>
        <v/>
      </c>
      <c r="B9" s="17" t="n"/>
      <c r="C9" s="17" t="n"/>
      <c r="D9" s="17" t="n"/>
      <c r="E9" s="17" t="n"/>
      <c r="F9" s="18" t="n"/>
      <c r="G9" s="19" t="n"/>
      <c r="H9" s="20">
        <f>IF(G9="","",IF(OR(I9="Submitted",I9="Under review",I9="Awarded",I9="Rejected",I9="Withdrawn"),"—",G9-TODAY()))</f>
        <v/>
      </c>
      <c r="I9" s="17" t="n"/>
      <c r="J9" s="19" t="n"/>
      <c r="K9" s="19" t="n"/>
      <c r="L9" s="18" t="n"/>
      <c r="M9" s="17" t="n"/>
      <c r="N9" s="17" t="n"/>
      <c r="O9" s="17" t="n"/>
      <c r="P9" s="17" t="n"/>
      <c r="Q9" s="16">
        <f>IF($B9="","",COUNTIF(M9:P9,"Ready")&amp;" / 4")</f>
        <v/>
      </c>
      <c r="R9" s="17" t="n"/>
      <c r="S9" s="17" t="n"/>
    </row>
    <row r="10">
      <c r="A10" s="16">
        <f>IF(B10="","",ROW()-4)</f>
        <v/>
      </c>
      <c r="B10" s="21" t="n"/>
      <c r="C10" s="21" t="n"/>
      <c r="D10" s="21" t="n"/>
      <c r="E10" s="21" t="n"/>
      <c r="F10" s="22" t="n"/>
      <c r="G10" s="23" t="n"/>
      <c r="H10" s="20">
        <f>IF(G10="","",IF(OR(I10="Submitted",I10="Under review",I10="Awarded",I10="Rejected",I10="Withdrawn"),"—",G10-TODAY()))</f>
        <v/>
      </c>
      <c r="I10" s="21" t="n"/>
      <c r="J10" s="23" t="n"/>
      <c r="K10" s="23" t="n"/>
      <c r="L10" s="22" t="n"/>
      <c r="M10" s="21" t="n"/>
      <c r="N10" s="21" t="n"/>
      <c r="O10" s="21" t="n"/>
      <c r="P10" s="21" t="n"/>
      <c r="Q10" s="16">
        <f>IF($B10="","",COUNTIF(M10:P10,"Ready")&amp;" / 4")</f>
        <v/>
      </c>
      <c r="R10" s="21" t="n"/>
      <c r="S10" s="21" t="n"/>
    </row>
    <row r="11">
      <c r="A11" s="16">
        <f>IF(B11="","",ROW()-4)</f>
        <v/>
      </c>
      <c r="B11" s="17" t="n"/>
      <c r="C11" s="17" t="n"/>
      <c r="D11" s="17" t="n"/>
      <c r="E11" s="17" t="n"/>
      <c r="F11" s="18" t="n"/>
      <c r="G11" s="19" t="n"/>
      <c r="H11" s="20">
        <f>IF(G11="","",IF(OR(I11="Submitted",I11="Under review",I11="Awarded",I11="Rejected",I11="Withdrawn"),"—",G11-TODAY()))</f>
        <v/>
      </c>
      <c r="I11" s="17" t="n"/>
      <c r="J11" s="19" t="n"/>
      <c r="K11" s="19" t="n"/>
      <c r="L11" s="18" t="n"/>
      <c r="M11" s="17" t="n"/>
      <c r="N11" s="17" t="n"/>
      <c r="O11" s="17" t="n"/>
      <c r="P11" s="17" t="n"/>
      <c r="Q11" s="16">
        <f>IF($B11="","",COUNTIF(M11:P11,"Ready")&amp;" / 4")</f>
        <v/>
      </c>
      <c r="R11" s="17" t="n"/>
      <c r="S11" s="17" t="n"/>
    </row>
    <row r="12">
      <c r="A12" s="16">
        <f>IF(B12="","",ROW()-4)</f>
        <v/>
      </c>
      <c r="B12" s="21" t="n"/>
      <c r="C12" s="21" t="n"/>
      <c r="D12" s="21" t="n"/>
      <c r="E12" s="21" t="n"/>
      <c r="F12" s="22" t="n"/>
      <c r="G12" s="23" t="n"/>
      <c r="H12" s="20">
        <f>IF(G12="","",IF(OR(I12="Submitted",I12="Under review",I12="Awarded",I12="Rejected",I12="Withdrawn"),"—",G12-TODAY()))</f>
        <v/>
      </c>
      <c r="I12" s="21" t="n"/>
      <c r="J12" s="23" t="n"/>
      <c r="K12" s="23" t="n"/>
      <c r="L12" s="22" t="n"/>
      <c r="M12" s="21" t="n"/>
      <c r="N12" s="21" t="n"/>
      <c r="O12" s="21" t="n"/>
      <c r="P12" s="21" t="n"/>
      <c r="Q12" s="16">
        <f>IF($B12="","",COUNTIF(M12:P12,"Ready")&amp;" / 4")</f>
        <v/>
      </c>
      <c r="R12" s="21" t="n"/>
      <c r="S12" s="21" t="n"/>
    </row>
    <row r="13">
      <c r="A13" s="16">
        <f>IF(B13="","",ROW()-4)</f>
        <v/>
      </c>
      <c r="B13" s="17" t="n"/>
      <c r="C13" s="17" t="n"/>
      <c r="D13" s="17" t="n"/>
      <c r="E13" s="17" t="n"/>
      <c r="F13" s="18" t="n"/>
      <c r="G13" s="19" t="n"/>
      <c r="H13" s="20">
        <f>IF(G13="","",IF(OR(I13="Submitted",I13="Under review",I13="Awarded",I13="Rejected",I13="Withdrawn"),"—",G13-TODAY()))</f>
        <v/>
      </c>
      <c r="I13" s="17" t="n"/>
      <c r="J13" s="19" t="n"/>
      <c r="K13" s="19" t="n"/>
      <c r="L13" s="18" t="n"/>
      <c r="M13" s="17" t="n"/>
      <c r="N13" s="17" t="n"/>
      <c r="O13" s="17" t="n"/>
      <c r="P13" s="17" t="n"/>
      <c r="Q13" s="16">
        <f>IF($B13="","",COUNTIF(M13:P13,"Ready")&amp;" / 4")</f>
        <v/>
      </c>
      <c r="R13" s="17" t="n"/>
      <c r="S13" s="17" t="n"/>
    </row>
    <row r="14">
      <c r="A14" s="16">
        <f>IF(B14="","",ROW()-4)</f>
        <v/>
      </c>
      <c r="B14" s="21" t="n"/>
      <c r="C14" s="21" t="n"/>
      <c r="D14" s="21" t="n"/>
      <c r="E14" s="21" t="n"/>
      <c r="F14" s="22" t="n"/>
      <c r="G14" s="23" t="n"/>
      <c r="H14" s="20">
        <f>IF(G14="","",IF(OR(I14="Submitted",I14="Under review",I14="Awarded",I14="Rejected",I14="Withdrawn"),"—",G14-TODAY()))</f>
        <v/>
      </c>
      <c r="I14" s="21" t="n"/>
      <c r="J14" s="23" t="n"/>
      <c r="K14" s="23" t="n"/>
      <c r="L14" s="22" t="n"/>
      <c r="M14" s="21" t="n"/>
      <c r="N14" s="21" t="n"/>
      <c r="O14" s="21" t="n"/>
      <c r="P14" s="21" t="n"/>
      <c r="Q14" s="16">
        <f>IF($B14="","",COUNTIF(M14:P14,"Ready")&amp;" / 4")</f>
        <v/>
      </c>
      <c r="R14" s="21" t="n"/>
      <c r="S14" s="21" t="n"/>
    </row>
    <row r="15">
      <c r="A15" s="16">
        <f>IF(B15="","",ROW()-4)</f>
        <v/>
      </c>
      <c r="B15" s="17" t="n"/>
      <c r="C15" s="17" t="n"/>
      <c r="D15" s="17" t="n"/>
      <c r="E15" s="17" t="n"/>
      <c r="F15" s="18" t="n"/>
      <c r="G15" s="19" t="n"/>
      <c r="H15" s="20">
        <f>IF(G15="","",IF(OR(I15="Submitted",I15="Under review",I15="Awarded",I15="Rejected",I15="Withdrawn"),"—",G15-TODAY()))</f>
        <v/>
      </c>
      <c r="I15" s="17" t="n"/>
      <c r="J15" s="19" t="n"/>
      <c r="K15" s="19" t="n"/>
      <c r="L15" s="18" t="n"/>
      <c r="M15" s="17" t="n"/>
      <c r="N15" s="17" t="n"/>
      <c r="O15" s="17" t="n"/>
      <c r="P15" s="17" t="n"/>
      <c r="Q15" s="16">
        <f>IF($B15="","",COUNTIF(M15:P15,"Ready")&amp;" / 4")</f>
        <v/>
      </c>
      <c r="R15" s="17" t="n"/>
      <c r="S15" s="17" t="n"/>
    </row>
    <row r="16">
      <c r="A16" s="16">
        <f>IF(B16="","",ROW()-4)</f>
        <v/>
      </c>
      <c r="B16" s="21" t="n"/>
      <c r="C16" s="21" t="n"/>
      <c r="D16" s="21" t="n"/>
      <c r="E16" s="21" t="n"/>
      <c r="F16" s="22" t="n"/>
      <c r="G16" s="23" t="n"/>
      <c r="H16" s="20">
        <f>IF(G16="","",IF(OR(I16="Submitted",I16="Under review",I16="Awarded",I16="Rejected",I16="Withdrawn"),"—",G16-TODAY()))</f>
        <v/>
      </c>
      <c r="I16" s="21" t="n"/>
      <c r="J16" s="23" t="n"/>
      <c r="K16" s="23" t="n"/>
      <c r="L16" s="22" t="n"/>
      <c r="M16" s="21" t="n"/>
      <c r="N16" s="21" t="n"/>
      <c r="O16" s="21" t="n"/>
      <c r="P16" s="21" t="n"/>
      <c r="Q16" s="16">
        <f>IF($B16="","",COUNTIF(M16:P16,"Ready")&amp;" / 4")</f>
        <v/>
      </c>
      <c r="R16" s="21" t="n"/>
      <c r="S16" s="21" t="n"/>
    </row>
    <row r="17">
      <c r="A17" s="16">
        <f>IF(B17="","",ROW()-4)</f>
        <v/>
      </c>
      <c r="B17" s="17" t="n"/>
      <c r="C17" s="17" t="n"/>
      <c r="D17" s="17" t="n"/>
      <c r="E17" s="17" t="n"/>
      <c r="F17" s="18" t="n"/>
      <c r="G17" s="19" t="n"/>
      <c r="H17" s="20">
        <f>IF(G17="","",IF(OR(I17="Submitted",I17="Under review",I17="Awarded",I17="Rejected",I17="Withdrawn"),"—",G17-TODAY()))</f>
        <v/>
      </c>
      <c r="I17" s="17" t="n"/>
      <c r="J17" s="19" t="n"/>
      <c r="K17" s="19" t="n"/>
      <c r="L17" s="18" t="n"/>
      <c r="M17" s="17" t="n"/>
      <c r="N17" s="17" t="n"/>
      <c r="O17" s="17" t="n"/>
      <c r="P17" s="17" t="n"/>
      <c r="Q17" s="16">
        <f>IF($B17="","",COUNTIF(M17:P17,"Ready")&amp;" / 4")</f>
        <v/>
      </c>
      <c r="R17" s="17" t="n"/>
      <c r="S17" s="17" t="n"/>
    </row>
    <row r="18">
      <c r="A18" s="16">
        <f>IF(B18="","",ROW()-4)</f>
        <v/>
      </c>
      <c r="B18" s="21" t="n"/>
      <c r="C18" s="21" t="n"/>
      <c r="D18" s="21" t="n"/>
      <c r="E18" s="21" t="n"/>
      <c r="F18" s="22" t="n"/>
      <c r="G18" s="23" t="n"/>
      <c r="H18" s="20">
        <f>IF(G18="","",IF(OR(I18="Submitted",I18="Under review",I18="Awarded",I18="Rejected",I18="Withdrawn"),"—",G18-TODAY()))</f>
        <v/>
      </c>
      <c r="I18" s="21" t="n"/>
      <c r="J18" s="23" t="n"/>
      <c r="K18" s="23" t="n"/>
      <c r="L18" s="22" t="n"/>
      <c r="M18" s="21" t="n"/>
      <c r="N18" s="21" t="n"/>
      <c r="O18" s="21" t="n"/>
      <c r="P18" s="21" t="n"/>
      <c r="Q18" s="16">
        <f>IF($B18="","",COUNTIF(M18:P18,"Ready")&amp;" / 4")</f>
        <v/>
      </c>
      <c r="R18" s="21" t="n"/>
      <c r="S18" s="21" t="n"/>
    </row>
    <row r="19">
      <c r="A19" s="16">
        <f>IF(B19="","",ROW()-4)</f>
        <v/>
      </c>
      <c r="B19" s="17" t="n"/>
      <c r="C19" s="17" t="n"/>
      <c r="D19" s="17" t="n"/>
      <c r="E19" s="17" t="n"/>
      <c r="F19" s="18" t="n"/>
      <c r="G19" s="19" t="n"/>
      <c r="H19" s="20">
        <f>IF(G19="","",IF(OR(I19="Submitted",I19="Under review",I19="Awarded",I19="Rejected",I19="Withdrawn"),"—",G19-TODAY()))</f>
        <v/>
      </c>
      <c r="I19" s="17" t="n"/>
      <c r="J19" s="19" t="n"/>
      <c r="K19" s="19" t="n"/>
      <c r="L19" s="18" t="n"/>
      <c r="M19" s="17" t="n"/>
      <c r="N19" s="17" t="n"/>
      <c r="O19" s="17" t="n"/>
      <c r="P19" s="17" t="n"/>
      <c r="Q19" s="16">
        <f>IF($B19="","",COUNTIF(M19:P19,"Ready")&amp;" / 4")</f>
        <v/>
      </c>
      <c r="R19" s="17" t="n"/>
      <c r="S19" s="17" t="n"/>
    </row>
    <row r="20">
      <c r="A20" s="16">
        <f>IF(B20="","",ROW()-4)</f>
        <v/>
      </c>
      <c r="B20" s="21" t="n"/>
      <c r="C20" s="21" t="n"/>
      <c r="D20" s="21" t="n"/>
      <c r="E20" s="21" t="n"/>
      <c r="F20" s="22" t="n"/>
      <c r="G20" s="23" t="n"/>
      <c r="H20" s="20">
        <f>IF(G20="","",IF(OR(I20="Submitted",I20="Under review",I20="Awarded",I20="Rejected",I20="Withdrawn"),"—",G20-TODAY()))</f>
        <v/>
      </c>
      <c r="I20" s="21" t="n"/>
      <c r="J20" s="23" t="n"/>
      <c r="K20" s="23" t="n"/>
      <c r="L20" s="22" t="n"/>
      <c r="M20" s="21" t="n"/>
      <c r="N20" s="21" t="n"/>
      <c r="O20" s="21" t="n"/>
      <c r="P20" s="21" t="n"/>
      <c r="Q20" s="16">
        <f>IF($B20="","",COUNTIF(M20:P20,"Ready")&amp;" / 4")</f>
        <v/>
      </c>
      <c r="R20" s="21" t="n"/>
      <c r="S20" s="21" t="n"/>
    </row>
    <row r="21">
      <c r="A21" s="16">
        <f>IF(B21="","",ROW()-4)</f>
        <v/>
      </c>
      <c r="B21" s="17" t="n"/>
      <c r="C21" s="17" t="n"/>
      <c r="D21" s="17" t="n"/>
      <c r="E21" s="17" t="n"/>
      <c r="F21" s="18" t="n"/>
      <c r="G21" s="19" t="n"/>
      <c r="H21" s="20">
        <f>IF(G21="","",IF(OR(I21="Submitted",I21="Under review",I21="Awarded",I21="Rejected",I21="Withdrawn"),"—",G21-TODAY()))</f>
        <v/>
      </c>
      <c r="I21" s="17" t="n"/>
      <c r="J21" s="19" t="n"/>
      <c r="K21" s="19" t="n"/>
      <c r="L21" s="18" t="n"/>
      <c r="M21" s="17" t="n"/>
      <c r="N21" s="17" t="n"/>
      <c r="O21" s="17" t="n"/>
      <c r="P21" s="17" t="n"/>
      <c r="Q21" s="16">
        <f>IF($B21="","",COUNTIF(M21:P21,"Ready")&amp;" / 4")</f>
        <v/>
      </c>
      <c r="R21" s="17" t="n"/>
      <c r="S21" s="17" t="n"/>
    </row>
    <row r="22">
      <c r="A22" s="16">
        <f>IF(B22="","",ROW()-4)</f>
        <v/>
      </c>
      <c r="B22" s="21" t="n"/>
      <c r="C22" s="21" t="n"/>
      <c r="D22" s="21" t="n"/>
      <c r="E22" s="21" t="n"/>
      <c r="F22" s="22" t="n"/>
      <c r="G22" s="23" t="n"/>
      <c r="H22" s="20">
        <f>IF(G22="","",IF(OR(I22="Submitted",I22="Under review",I22="Awarded",I22="Rejected",I22="Withdrawn"),"—",G22-TODAY()))</f>
        <v/>
      </c>
      <c r="I22" s="21" t="n"/>
      <c r="J22" s="23" t="n"/>
      <c r="K22" s="23" t="n"/>
      <c r="L22" s="22" t="n"/>
      <c r="M22" s="21" t="n"/>
      <c r="N22" s="21" t="n"/>
      <c r="O22" s="21" t="n"/>
      <c r="P22" s="21" t="n"/>
      <c r="Q22" s="16">
        <f>IF($B22="","",COUNTIF(M22:P22,"Ready")&amp;" / 4")</f>
        <v/>
      </c>
      <c r="R22" s="21" t="n"/>
      <c r="S22" s="21" t="n"/>
    </row>
    <row r="23">
      <c r="A23" s="16">
        <f>IF(B23="","",ROW()-4)</f>
        <v/>
      </c>
      <c r="B23" s="17" t="n"/>
      <c r="C23" s="17" t="n"/>
      <c r="D23" s="17" t="n"/>
      <c r="E23" s="17" t="n"/>
      <c r="F23" s="18" t="n"/>
      <c r="G23" s="19" t="n"/>
      <c r="H23" s="20">
        <f>IF(G23="","",IF(OR(I23="Submitted",I23="Under review",I23="Awarded",I23="Rejected",I23="Withdrawn"),"—",G23-TODAY()))</f>
        <v/>
      </c>
      <c r="I23" s="17" t="n"/>
      <c r="J23" s="19" t="n"/>
      <c r="K23" s="19" t="n"/>
      <c r="L23" s="18" t="n"/>
      <c r="M23" s="17" t="n"/>
      <c r="N23" s="17" t="n"/>
      <c r="O23" s="17" t="n"/>
      <c r="P23" s="17" t="n"/>
      <c r="Q23" s="16">
        <f>IF($B23="","",COUNTIF(M23:P23,"Ready")&amp;" / 4")</f>
        <v/>
      </c>
      <c r="R23" s="17" t="n"/>
      <c r="S23" s="17" t="n"/>
    </row>
    <row r="24">
      <c r="A24" s="16">
        <f>IF(B24="","",ROW()-4)</f>
        <v/>
      </c>
      <c r="B24" s="21" t="n"/>
      <c r="C24" s="21" t="n"/>
      <c r="D24" s="21" t="n"/>
      <c r="E24" s="21" t="n"/>
      <c r="F24" s="22" t="n"/>
      <c r="G24" s="23" t="n"/>
      <c r="H24" s="20">
        <f>IF(G24="","",IF(OR(I24="Submitted",I24="Under review",I24="Awarded",I24="Rejected",I24="Withdrawn"),"—",G24-TODAY()))</f>
        <v/>
      </c>
      <c r="I24" s="21" t="n"/>
      <c r="J24" s="23" t="n"/>
      <c r="K24" s="23" t="n"/>
      <c r="L24" s="22" t="n"/>
      <c r="M24" s="21" t="n"/>
      <c r="N24" s="21" t="n"/>
      <c r="O24" s="21" t="n"/>
      <c r="P24" s="21" t="n"/>
      <c r="Q24" s="16">
        <f>IF($B24="","",COUNTIF(M24:P24,"Ready")&amp;" / 4")</f>
        <v/>
      </c>
      <c r="R24" s="21" t="n"/>
      <c r="S24" s="21" t="n"/>
    </row>
    <row r="25">
      <c r="A25" s="16">
        <f>IF(B25="","",ROW()-4)</f>
        <v/>
      </c>
      <c r="B25" s="17" t="n"/>
      <c r="C25" s="17" t="n"/>
      <c r="D25" s="17" t="n"/>
      <c r="E25" s="17" t="n"/>
      <c r="F25" s="18" t="n"/>
      <c r="G25" s="19" t="n"/>
      <c r="H25" s="20">
        <f>IF(G25="","",IF(OR(I25="Submitted",I25="Under review",I25="Awarded",I25="Rejected",I25="Withdrawn"),"—",G25-TODAY()))</f>
        <v/>
      </c>
      <c r="I25" s="17" t="n"/>
      <c r="J25" s="19" t="n"/>
      <c r="K25" s="19" t="n"/>
      <c r="L25" s="18" t="n"/>
      <c r="M25" s="17" t="n"/>
      <c r="N25" s="17" t="n"/>
      <c r="O25" s="17" t="n"/>
      <c r="P25" s="17" t="n"/>
      <c r="Q25" s="16">
        <f>IF($B25="","",COUNTIF(M25:P25,"Ready")&amp;" / 4")</f>
        <v/>
      </c>
      <c r="R25" s="17" t="n"/>
      <c r="S25" s="17" t="n"/>
    </row>
    <row r="26">
      <c r="A26" s="16">
        <f>IF(B26="","",ROW()-4)</f>
        <v/>
      </c>
      <c r="B26" s="21" t="n"/>
      <c r="C26" s="21" t="n"/>
      <c r="D26" s="21" t="n"/>
      <c r="E26" s="21" t="n"/>
      <c r="F26" s="22" t="n"/>
      <c r="G26" s="23" t="n"/>
      <c r="H26" s="20">
        <f>IF(G26="","",IF(OR(I26="Submitted",I26="Under review",I26="Awarded",I26="Rejected",I26="Withdrawn"),"—",G26-TODAY()))</f>
        <v/>
      </c>
      <c r="I26" s="21" t="n"/>
      <c r="J26" s="23" t="n"/>
      <c r="K26" s="23" t="n"/>
      <c r="L26" s="22" t="n"/>
      <c r="M26" s="21" t="n"/>
      <c r="N26" s="21" t="n"/>
      <c r="O26" s="21" t="n"/>
      <c r="P26" s="21" t="n"/>
      <c r="Q26" s="16">
        <f>IF($B26="","",COUNTIF(M26:P26,"Ready")&amp;" / 4")</f>
        <v/>
      </c>
      <c r="R26" s="21" t="n"/>
      <c r="S26" s="21" t="n"/>
    </row>
    <row r="27">
      <c r="A27" s="16">
        <f>IF(B27="","",ROW()-4)</f>
        <v/>
      </c>
      <c r="B27" s="17" t="n"/>
      <c r="C27" s="17" t="n"/>
      <c r="D27" s="17" t="n"/>
      <c r="E27" s="17" t="n"/>
      <c r="F27" s="18" t="n"/>
      <c r="G27" s="19" t="n"/>
      <c r="H27" s="20">
        <f>IF(G27="","",IF(OR(I27="Submitted",I27="Under review",I27="Awarded",I27="Rejected",I27="Withdrawn"),"—",G27-TODAY()))</f>
        <v/>
      </c>
      <c r="I27" s="17" t="n"/>
      <c r="J27" s="19" t="n"/>
      <c r="K27" s="19" t="n"/>
      <c r="L27" s="18" t="n"/>
      <c r="M27" s="17" t="n"/>
      <c r="N27" s="17" t="n"/>
      <c r="O27" s="17" t="n"/>
      <c r="P27" s="17" t="n"/>
      <c r="Q27" s="16">
        <f>IF($B27="","",COUNTIF(M27:P27,"Ready")&amp;" / 4")</f>
        <v/>
      </c>
      <c r="R27" s="17" t="n"/>
      <c r="S27" s="17" t="n"/>
    </row>
    <row r="28">
      <c r="A28" s="16">
        <f>IF(B28="","",ROW()-4)</f>
        <v/>
      </c>
      <c r="B28" s="21" t="n"/>
      <c r="C28" s="21" t="n"/>
      <c r="D28" s="21" t="n"/>
      <c r="E28" s="21" t="n"/>
      <c r="F28" s="22" t="n"/>
      <c r="G28" s="23" t="n"/>
      <c r="H28" s="20">
        <f>IF(G28="","",IF(OR(I28="Submitted",I28="Under review",I28="Awarded",I28="Rejected",I28="Withdrawn"),"—",G28-TODAY()))</f>
        <v/>
      </c>
      <c r="I28" s="21" t="n"/>
      <c r="J28" s="23" t="n"/>
      <c r="K28" s="23" t="n"/>
      <c r="L28" s="22" t="n"/>
      <c r="M28" s="21" t="n"/>
      <c r="N28" s="21" t="n"/>
      <c r="O28" s="21" t="n"/>
      <c r="P28" s="21" t="n"/>
      <c r="Q28" s="16">
        <f>IF($B28="","",COUNTIF(M28:P28,"Ready")&amp;" / 4")</f>
        <v/>
      </c>
      <c r="R28" s="21" t="n"/>
      <c r="S28" s="21" t="n"/>
    </row>
    <row r="29">
      <c r="A29" s="16">
        <f>IF(B29="","",ROW()-4)</f>
        <v/>
      </c>
      <c r="B29" s="17" t="n"/>
      <c r="C29" s="17" t="n"/>
      <c r="D29" s="17" t="n"/>
      <c r="E29" s="17" t="n"/>
      <c r="F29" s="18" t="n"/>
      <c r="G29" s="19" t="n"/>
      <c r="H29" s="20">
        <f>IF(G29="","",IF(OR(I29="Submitted",I29="Under review",I29="Awarded",I29="Rejected",I29="Withdrawn"),"—",G29-TODAY()))</f>
        <v/>
      </c>
      <c r="I29" s="17" t="n"/>
      <c r="J29" s="19" t="n"/>
      <c r="K29" s="19" t="n"/>
      <c r="L29" s="18" t="n"/>
      <c r="M29" s="17" t="n"/>
      <c r="N29" s="17" t="n"/>
      <c r="O29" s="17" t="n"/>
      <c r="P29" s="17" t="n"/>
      <c r="Q29" s="16">
        <f>IF($B29="","",COUNTIF(M29:P29,"Ready")&amp;" / 4")</f>
        <v/>
      </c>
      <c r="R29" s="17" t="n"/>
      <c r="S29" s="17" t="n"/>
    </row>
    <row r="30">
      <c r="A30" s="16">
        <f>IF(B30="","",ROW()-4)</f>
        <v/>
      </c>
      <c r="B30" s="21" t="n"/>
      <c r="C30" s="21" t="n"/>
      <c r="D30" s="21" t="n"/>
      <c r="E30" s="21" t="n"/>
      <c r="F30" s="22" t="n"/>
      <c r="G30" s="23" t="n"/>
      <c r="H30" s="20">
        <f>IF(G30="","",IF(OR(I30="Submitted",I30="Under review",I30="Awarded",I30="Rejected",I30="Withdrawn"),"—",G30-TODAY()))</f>
        <v/>
      </c>
      <c r="I30" s="21" t="n"/>
      <c r="J30" s="23" t="n"/>
      <c r="K30" s="23" t="n"/>
      <c r="L30" s="22" t="n"/>
      <c r="M30" s="21" t="n"/>
      <c r="N30" s="21" t="n"/>
      <c r="O30" s="21" t="n"/>
      <c r="P30" s="21" t="n"/>
      <c r="Q30" s="16">
        <f>IF($B30="","",COUNTIF(M30:P30,"Ready")&amp;" / 4")</f>
        <v/>
      </c>
      <c r="R30" s="21" t="n"/>
      <c r="S30" s="21" t="n"/>
    </row>
    <row r="31">
      <c r="A31" s="16">
        <f>IF(B31="","",ROW()-4)</f>
        <v/>
      </c>
      <c r="B31" s="17" t="n"/>
      <c r="C31" s="17" t="n"/>
      <c r="D31" s="17" t="n"/>
      <c r="E31" s="17" t="n"/>
      <c r="F31" s="18" t="n"/>
      <c r="G31" s="19" t="n"/>
      <c r="H31" s="20">
        <f>IF(G31="","",IF(OR(I31="Submitted",I31="Under review",I31="Awarded",I31="Rejected",I31="Withdrawn"),"—",G31-TODAY()))</f>
        <v/>
      </c>
      <c r="I31" s="17" t="n"/>
      <c r="J31" s="19" t="n"/>
      <c r="K31" s="19" t="n"/>
      <c r="L31" s="18" t="n"/>
      <c r="M31" s="17" t="n"/>
      <c r="N31" s="17" t="n"/>
      <c r="O31" s="17" t="n"/>
      <c r="P31" s="17" t="n"/>
      <c r="Q31" s="16">
        <f>IF($B31="","",COUNTIF(M31:P31,"Ready")&amp;" / 4")</f>
        <v/>
      </c>
      <c r="R31" s="17" t="n"/>
      <c r="S31" s="17" t="n"/>
    </row>
    <row r="32">
      <c r="A32" s="16">
        <f>IF(B32="","",ROW()-4)</f>
        <v/>
      </c>
      <c r="B32" s="21" t="n"/>
      <c r="C32" s="21" t="n"/>
      <c r="D32" s="21" t="n"/>
      <c r="E32" s="21" t="n"/>
      <c r="F32" s="22" t="n"/>
      <c r="G32" s="23" t="n"/>
      <c r="H32" s="20">
        <f>IF(G32="","",IF(OR(I32="Submitted",I32="Under review",I32="Awarded",I32="Rejected",I32="Withdrawn"),"—",G32-TODAY()))</f>
        <v/>
      </c>
      <c r="I32" s="21" t="n"/>
      <c r="J32" s="23" t="n"/>
      <c r="K32" s="23" t="n"/>
      <c r="L32" s="22" t="n"/>
      <c r="M32" s="21" t="n"/>
      <c r="N32" s="21" t="n"/>
      <c r="O32" s="21" t="n"/>
      <c r="P32" s="21" t="n"/>
      <c r="Q32" s="16">
        <f>IF($B32="","",COUNTIF(M32:P32,"Ready")&amp;" / 4")</f>
        <v/>
      </c>
      <c r="R32" s="21" t="n"/>
      <c r="S32" s="21" t="n"/>
    </row>
    <row r="33">
      <c r="A33" s="16">
        <f>IF(B33="","",ROW()-4)</f>
        <v/>
      </c>
      <c r="B33" s="17" t="n"/>
      <c r="C33" s="17" t="n"/>
      <c r="D33" s="17" t="n"/>
      <c r="E33" s="17" t="n"/>
      <c r="F33" s="18" t="n"/>
      <c r="G33" s="19" t="n"/>
      <c r="H33" s="20">
        <f>IF(G33="","",IF(OR(I33="Submitted",I33="Under review",I33="Awarded",I33="Rejected",I33="Withdrawn"),"—",G33-TODAY()))</f>
        <v/>
      </c>
      <c r="I33" s="17" t="n"/>
      <c r="J33" s="19" t="n"/>
      <c r="K33" s="19" t="n"/>
      <c r="L33" s="18" t="n"/>
      <c r="M33" s="17" t="n"/>
      <c r="N33" s="17" t="n"/>
      <c r="O33" s="17" t="n"/>
      <c r="P33" s="17" t="n"/>
      <c r="Q33" s="16">
        <f>IF($B33="","",COUNTIF(M33:P33,"Ready")&amp;" / 4")</f>
        <v/>
      </c>
      <c r="R33" s="17" t="n"/>
      <c r="S33" s="17" t="n"/>
    </row>
    <row r="34">
      <c r="A34" s="16">
        <f>IF(B34="","",ROW()-4)</f>
        <v/>
      </c>
      <c r="B34" s="21" t="n"/>
      <c r="C34" s="21" t="n"/>
      <c r="D34" s="21" t="n"/>
      <c r="E34" s="21" t="n"/>
      <c r="F34" s="22" t="n"/>
      <c r="G34" s="23" t="n"/>
      <c r="H34" s="20">
        <f>IF(G34="","",IF(OR(I34="Submitted",I34="Under review",I34="Awarded",I34="Rejected",I34="Withdrawn"),"—",G34-TODAY()))</f>
        <v/>
      </c>
      <c r="I34" s="21" t="n"/>
      <c r="J34" s="23" t="n"/>
      <c r="K34" s="23" t="n"/>
      <c r="L34" s="22" t="n"/>
      <c r="M34" s="21" t="n"/>
      <c r="N34" s="21" t="n"/>
      <c r="O34" s="21" t="n"/>
      <c r="P34" s="21" t="n"/>
      <c r="Q34" s="16">
        <f>IF($B34="","",COUNTIF(M34:P34,"Ready")&amp;" / 4")</f>
        <v/>
      </c>
      <c r="R34" s="21" t="n"/>
      <c r="S34" s="21" t="n"/>
    </row>
    <row r="35">
      <c r="A35" s="16">
        <f>IF(B35="","",ROW()-4)</f>
        <v/>
      </c>
      <c r="B35" s="17" t="n"/>
      <c r="C35" s="17" t="n"/>
      <c r="D35" s="17" t="n"/>
      <c r="E35" s="17" t="n"/>
      <c r="F35" s="18" t="n"/>
      <c r="G35" s="19" t="n"/>
      <c r="H35" s="20">
        <f>IF(G35="","",IF(OR(I35="Submitted",I35="Under review",I35="Awarded",I35="Rejected",I35="Withdrawn"),"—",G35-TODAY()))</f>
        <v/>
      </c>
      <c r="I35" s="17" t="n"/>
      <c r="J35" s="19" t="n"/>
      <c r="K35" s="19" t="n"/>
      <c r="L35" s="18" t="n"/>
      <c r="M35" s="17" t="n"/>
      <c r="N35" s="17" t="n"/>
      <c r="O35" s="17" t="n"/>
      <c r="P35" s="17" t="n"/>
      <c r="Q35" s="16">
        <f>IF($B35="","",COUNTIF(M35:P35,"Ready")&amp;" / 4")</f>
        <v/>
      </c>
      <c r="R35" s="17" t="n"/>
      <c r="S35" s="17" t="n"/>
    </row>
    <row r="36">
      <c r="A36" s="16">
        <f>IF(B36="","",ROW()-4)</f>
        <v/>
      </c>
      <c r="B36" s="21" t="n"/>
      <c r="C36" s="21" t="n"/>
      <c r="D36" s="21" t="n"/>
      <c r="E36" s="21" t="n"/>
      <c r="F36" s="22" t="n"/>
      <c r="G36" s="23" t="n"/>
      <c r="H36" s="20">
        <f>IF(G36="","",IF(OR(I36="Submitted",I36="Under review",I36="Awarded",I36="Rejected",I36="Withdrawn"),"—",G36-TODAY()))</f>
        <v/>
      </c>
      <c r="I36" s="21" t="n"/>
      <c r="J36" s="23" t="n"/>
      <c r="K36" s="23" t="n"/>
      <c r="L36" s="22" t="n"/>
      <c r="M36" s="21" t="n"/>
      <c r="N36" s="21" t="n"/>
      <c r="O36" s="21" t="n"/>
      <c r="P36" s="21" t="n"/>
      <c r="Q36" s="16">
        <f>IF($B36="","",COUNTIF(M36:P36,"Ready")&amp;" / 4")</f>
        <v/>
      </c>
      <c r="R36" s="21" t="n"/>
      <c r="S36" s="21" t="n"/>
    </row>
    <row r="37">
      <c r="A37" s="16">
        <f>IF(B37="","",ROW()-4)</f>
        <v/>
      </c>
      <c r="B37" s="17" t="n"/>
      <c r="C37" s="17" t="n"/>
      <c r="D37" s="17" t="n"/>
      <c r="E37" s="17" t="n"/>
      <c r="F37" s="18" t="n"/>
      <c r="G37" s="19" t="n"/>
      <c r="H37" s="20">
        <f>IF(G37="","",IF(OR(I37="Submitted",I37="Under review",I37="Awarded",I37="Rejected",I37="Withdrawn"),"—",G37-TODAY()))</f>
        <v/>
      </c>
      <c r="I37" s="17" t="n"/>
      <c r="J37" s="19" t="n"/>
      <c r="K37" s="19" t="n"/>
      <c r="L37" s="18" t="n"/>
      <c r="M37" s="17" t="n"/>
      <c r="N37" s="17" t="n"/>
      <c r="O37" s="17" t="n"/>
      <c r="P37" s="17" t="n"/>
      <c r="Q37" s="16">
        <f>IF($B37="","",COUNTIF(M37:P37,"Ready")&amp;" / 4")</f>
        <v/>
      </c>
      <c r="R37" s="17" t="n"/>
      <c r="S37" s="17" t="n"/>
    </row>
    <row r="38">
      <c r="A38" s="16">
        <f>IF(B38="","",ROW()-4)</f>
        <v/>
      </c>
      <c r="B38" s="21" t="n"/>
      <c r="C38" s="21" t="n"/>
      <c r="D38" s="21" t="n"/>
      <c r="E38" s="21" t="n"/>
      <c r="F38" s="22" t="n"/>
      <c r="G38" s="23" t="n"/>
      <c r="H38" s="20">
        <f>IF(G38="","",IF(OR(I38="Submitted",I38="Under review",I38="Awarded",I38="Rejected",I38="Withdrawn"),"—",G38-TODAY()))</f>
        <v/>
      </c>
      <c r="I38" s="21" t="n"/>
      <c r="J38" s="23" t="n"/>
      <c r="K38" s="23" t="n"/>
      <c r="L38" s="22" t="n"/>
      <c r="M38" s="21" t="n"/>
      <c r="N38" s="21" t="n"/>
      <c r="O38" s="21" t="n"/>
      <c r="P38" s="21" t="n"/>
      <c r="Q38" s="16">
        <f>IF($B38="","",COUNTIF(M38:P38,"Ready")&amp;" / 4")</f>
        <v/>
      </c>
      <c r="R38" s="21" t="n"/>
      <c r="S38" s="21" t="n"/>
    </row>
    <row r="39">
      <c r="A39" s="16">
        <f>IF(B39="","",ROW()-4)</f>
        <v/>
      </c>
      <c r="B39" s="17" t="n"/>
      <c r="C39" s="17" t="n"/>
      <c r="D39" s="17" t="n"/>
      <c r="E39" s="17" t="n"/>
      <c r="F39" s="18" t="n"/>
      <c r="G39" s="19" t="n"/>
      <c r="H39" s="20">
        <f>IF(G39="","",IF(OR(I39="Submitted",I39="Under review",I39="Awarded",I39="Rejected",I39="Withdrawn"),"—",G39-TODAY()))</f>
        <v/>
      </c>
      <c r="I39" s="17" t="n"/>
      <c r="J39" s="19" t="n"/>
      <c r="K39" s="19" t="n"/>
      <c r="L39" s="18" t="n"/>
      <c r="M39" s="17" t="n"/>
      <c r="N39" s="17" t="n"/>
      <c r="O39" s="17" t="n"/>
      <c r="P39" s="17" t="n"/>
      <c r="Q39" s="16">
        <f>IF($B39="","",COUNTIF(M39:P39,"Ready")&amp;" / 4")</f>
        <v/>
      </c>
      <c r="R39" s="17" t="n"/>
      <c r="S39" s="17" t="n"/>
    </row>
    <row r="40">
      <c r="A40" s="16">
        <f>IF(B40="","",ROW()-4)</f>
        <v/>
      </c>
      <c r="B40" s="21" t="n"/>
      <c r="C40" s="21" t="n"/>
      <c r="D40" s="21" t="n"/>
      <c r="E40" s="21" t="n"/>
      <c r="F40" s="22" t="n"/>
      <c r="G40" s="23" t="n"/>
      <c r="H40" s="20">
        <f>IF(G40="","",IF(OR(I40="Submitted",I40="Under review",I40="Awarded",I40="Rejected",I40="Withdrawn"),"—",G40-TODAY()))</f>
        <v/>
      </c>
      <c r="I40" s="21" t="n"/>
      <c r="J40" s="23" t="n"/>
      <c r="K40" s="23" t="n"/>
      <c r="L40" s="22" t="n"/>
      <c r="M40" s="21" t="n"/>
      <c r="N40" s="21" t="n"/>
      <c r="O40" s="21" t="n"/>
      <c r="P40" s="21" t="n"/>
      <c r="Q40" s="16">
        <f>IF($B40="","",COUNTIF(M40:P40,"Ready")&amp;" / 4")</f>
        <v/>
      </c>
      <c r="R40" s="21" t="n"/>
      <c r="S40" s="21" t="n"/>
    </row>
    <row r="41">
      <c r="A41" s="16">
        <f>IF(B41="","",ROW()-4)</f>
        <v/>
      </c>
      <c r="B41" s="17" t="n"/>
      <c r="C41" s="17" t="n"/>
      <c r="D41" s="17" t="n"/>
      <c r="E41" s="17" t="n"/>
      <c r="F41" s="18" t="n"/>
      <c r="G41" s="19" t="n"/>
      <c r="H41" s="20">
        <f>IF(G41="","",IF(OR(I41="Submitted",I41="Under review",I41="Awarded",I41="Rejected",I41="Withdrawn"),"—",G41-TODAY()))</f>
        <v/>
      </c>
      <c r="I41" s="17" t="n"/>
      <c r="J41" s="19" t="n"/>
      <c r="K41" s="19" t="n"/>
      <c r="L41" s="18" t="n"/>
      <c r="M41" s="17" t="n"/>
      <c r="N41" s="17" t="n"/>
      <c r="O41" s="17" t="n"/>
      <c r="P41" s="17" t="n"/>
      <c r="Q41" s="16">
        <f>IF($B41="","",COUNTIF(M41:P41,"Ready")&amp;" / 4")</f>
        <v/>
      </c>
      <c r="R41" s="17" t="n"/>
      <c r="S41" s="17" t="n"/>
    </row>
    <row r="42">
      <c r="A42" s="16">
        <f>IF(B42="","",ROW()-4)</f>
        <v/>
      </c>
      <c r="B42" s="21" t="n"/>
      <c r="C42" s="21" t="n"/>
      <c r="D42" s="21" t="n"/>
      <c r="E42" s="21" t="n"/>
      <c r="F42" s="22" t="n"/>
      <c r="G42" s="23" t="n"/>
      <c r="H42" s="20">
        <f>IF(G42="","",IF(OR(I42="Submitted",I42="Under review",I42="Awarded",I42="Rejected",I42="Withdrawn"),"—",G42-TODAY()))</f>
        <v/>
      </c>
      <c r="I42" s="21" t="n"/>
      <c r="J42" s="23" t="n"/>
      <c r="K42" s="23" t="n"/>
      <c r="L42" s="22" t="n"/>
      <c r="M42" s="21" t="n"/>
      <c r="N42" s="21" t="n"/>
      <c r="O42" s="21" t="n"/>
      <c r="P42" s="21" t="n"/>
      <c r="Q42" s="16">
        <f>IF($B42="","",COUNTIF(M42:P42,"Ready")&amp;" / 4")</f>
        <v/>
      </c>
      <c r="R42" s="21" t="n"/>
      <c r="S42" s="21" t="n"/>
    </row>
    <row r="43">
      <c r="A43" s="16">
        <f>IF(B43="","",ROW()-4)</f>
        <v/>
      </c>
      <c r="B43" s="17" t="n"/>
      <c r="C43" s="17" t="n"/>
      <c r="D43" s="17" t="n"/>
      <c r="E43" s="17" t="n"/>
      <c r="F43" s="18" t="n"/>
      <c r="G43" s="19" t="n"/>
      <c r="H43" s="20">
        <f>IF(G43="","",IF(OR(I43="Submitted",I43="Under review",I43="Awarded",I43="Rejected",I43="Withdrawn"),"—",G43-TODAY()))</f>
        <v/>
      </c>
      <c r="I43" s="17" t="n"/>
      <c r="J43" s="19" t="n"/>
      <c r="K43" s="19" t="n"/>
      <c r="L43" s="18" t="n"/>
      <c r="M43" s="17" t="n"/>
      <c r="N43" s="17" t="n"/>
      <c r="O43" s="17" t="n"/>
      <c r="P43" s="17" t="n"/>
      <c r="Q43" s="16">
        <f>IF($B43="","",COUNTIF(M43:P43,"Ready")&amp;" / 4")</f>
        <v/>
      </c>
      <c r="R43" s="17" t="n"/>
      <c r="S43" s="17" t="n"/>
    </row>
    <row r="44">
      <c r="A44" s="16">
        <f>IF(B44="","",ROW()-4)</f>
        <v/>
      </c>
      <c r="B44" s="21" t="n"/>
      <c r="C44" s="21" t="n"/>
      <c r="D44" s="21" t="n"/>
      <c r="E44" s="21" t="n"/>
      <c r="F44" s="22" t="n"/>
      <c r="G44" s="23" t="n"/>
      <c r="H44" s="20">
        <f>IF(G44="","",IF(OR(I44="Submitted",I44="Under review",I44="Awarded",I44="Rejected",I44="Withdrawn"),"—",G44-TODAY()))</f>
        <v/>
      </c>
      <c r="I44" s="21" t="n"/>
      <c r="J44" s="23" t="n"/>
      <c r="K44" s="23" t="n"/>
      <c r="L44" s="22" t="n"/>
      <c r="M44" s="21" t="n"/>
      <c r="N44" s="21" t="n"/>
      <c r="O44" s="21" t="n"/>
      <c r="P44" s="21" t="n"/>
      <c r="Q44" s="16">
        <f>IF($B44="","",COUNTIF(M44:P44,"Ready")&amp;" / 4")</f>
        <v/>
      </c>
      <c r="R44" s="21" t="n"/>
      <c r="S44" s="21" t="n"/>
    </row>
    <row r="45">
      <c r="A45" s="16">
        <f>IF(B45="","",ROW()-4)</f>
        <v/>
      </c>
      <c r="B45" s="17" t="n"/>
      <c r="C45" s="17" t="n"/>
      <c r="D45" s="17" t="n"/>
      <c r="E45" s="17" t="n"/>
      <c r="F45" s="18" t="n"/>
      <c r="G45" s="19" t="n"/>
      <c r="H45" s="20">
        <f>IF(G45="","",IF(OR(I45="Submitted",I45="Under review",I45="Awarded",I45="Rejected",I45="Withdrawn"),"—",G45-TODAY()))</f>
        <v/>
      </c>
      <c r="I45" s="17" t="n"/>
      <c r="J45" s="19" t="n"/>
      <c r="K45" s="19" t="n"/>
      <c r="L45" s="18" t="n"/>
      <c r="M45" s="17" t="n"/>
      <c r="N45" s="17" t="n"/>
      <c r="O45" s="17" t="n"/>
      <c r="P45" s="17" t="n"/>
      <c r="Q45" s="16">
        <f>IF($B45="","",COUNTIF(M45:P45,"Ready")&amp;" / 4")</f>
        <v/>
      </c>
      <c r="R45" s="17" t="n"/>
      <c r="S45" s="17" t="n"/>
    </row>
    <row r="46">
      <c r="A46" s="16">
        <f>IF(B46="","",ROW()-4)</f>
        <v/>
      </c>
      <c r="B46" s="21" t="n"/>
      <c r="C46" s="21" t="n"/>
      <c r="D46" s="21" t="n"/>
      <c r="E46" s="21" t="n"/>
      <c r="F46" s="22" t="n"/>
      <c r="G46" s="23" t="n"/>
      <c r="H46" s="20">
        <f>IF(G46="","",IF(OR(I46="Submitted",I46="Under review",I46="Awarded",I46="Rejected",I46="Withdrawn"),"—",G46-TODAY()))</f>
        <v/>
      </c>
      <c r="I46" s="21" t="n"/>
      <c r="J46" s="23" t="n"/>
      <c r="K46" s="23" t="n"/>
      <c r="L46" s="22" t="n"/>
      <c r="M46" s="21" t="n"/>
      <c r="N46" s="21" t="n"/>
      <c r="O46" s="21" t="n"/>
      <c r="P46" s="21" t="n"/>
      <c r="Q46" s="16">
        <f>IF($B46="","",COUNTIF(M46:P46,"Ready")&amp;" / 4")</f>
        <v/>
      </c>
      <c r="R46" s="21" t="n"/>
      <c r="S46" s="21" t="n"/>
    </row>
    <row r="47">
      <c r="A47" s="16">
        <f>IF(B47="","",ROW()-4)</f>
        <v/>
      </c>
      <c r="B47" s="17" t="n"/>
      <c r="C47" s="17" t="n"/>
      <c r="D47" s="17" t="n"/>
      <c r="E47" s="17" t="n"/>
      <c r="F47" s="18" t="n"/>
      <c r="G47" s="19" t="n"/>
      <c r="H47" s="20">
        <f>IF(G47="","",IF(OR(I47="Submitted",I47="Under review",I47="Awarded",I47="Rejected",I47="Withdrawn"),"—",G47-TODAY()))</f>
        <v/>
      </c>
      <c r="I47" s="17" t="n"/>
      <c r="J47" s="19" t="n"/>
      <c r="K47" s="19" t="n"/>
      <c r="L47" s="18" t="n"/>
      <c r="M47" s="17" t="n"/>
      <c r="N47" s="17" t="n"/>
      <c r="O47" s="17" t="n"/>
      <c r="P47" s="17" t="n"/>
      <c r="Q47" s="16">
        <f>IF($B47="","",COUNTIF(M47:P47,"Ready")&amp;" / 4")</f>
        <v/>
      </c>
      <c r="R47" s="17" t="n"/>
      <c r="S47" s="17" t="n"/>
    </row>
    <row r="48">
      <c r="A48" s="16">
        <f>IF(B48="","",ROW()-4)</f>
        <v/>
      </c>
      <c r="B48" s="21" t="n"/>
      <c r="C48" s="21" t="n"/>
      <c r="D48" s="21" t="n"/>
      <c r="E48" s="21" t="n"/>
      <c r="F48" s="22" t="n"/>
      <c r="G48" s="23" t="n"/>
      <c r="H48" s="20">
        <f>IF(G48="","",IF(OR(I48="Submitted",I48="Under review",I48="Awarded",I48="Rejected",I48="Withdrawn"),"—",G48-TODAY()))</f>
        <v/>
      </c>
      <c r="I48" s="21" t="n"/>
      <c r="J48" s="23" t="n"/>
      <c r="K48" s="23" t="n"/>
      <c r="L48" s="22" t="n"/>
      <c r="M48" s="21" t="n"/>
      <c r="N48" s="21" t="n"/>
      <c r="O48" s="21" t="n"/>
      <c r="P48" s="21" t="n"/>
      <c r="Q48" s="16">
        <f>IF($B48="","",COUNTIF(M48:P48,"Ready")&amp;" / 4")</f>
        <v/>
      </c>
      <c r="R48" s="21" t="n"/>
      <c r="S48" s="21" t="n"/>
    </row>
    <row r="49">
      <c r="A49" s="16">
        <f>IF(B49="","",ROW()-4)</f>
        <v/>
      </c>
      <c r="B49" s="17" t="n"/>
      <c r="C49" s="17" t="n"/>
      <c r="D49" s="17" t="n"/>
      <c r="E49" s="17" t="n"/>
      <c r="F49" s="18" t="n"/>
      <c r="G49" s="19" t="n"/>
      <c r="H49" s="20">
        <f>IF(G49="","",IF(OR(I49="Submitted",I49="Under review",I49="Awarded",I49="Rejected",I49="Withdrawn"),"—",G49-TODAY()))</f>
        <v/>
      </c>
      <c r="I49" s="17" t="n"/>
      <c r="J49" s="19" t="n"/>
      <c r="K49" s="19" t="n"/>
      <c r="L49" s="18" t="n"/>
      <c r="M49" s="17" t="n"/>
      <c r="N49" s="17" t="n"/>
      <c r="O49" s="17" t="n"/>
      <c r="P49" s="17" t="n"/>
      <c r="Q49" s="16">
        <f>IF($B49="","",COUNTIF(M49:P49,"Ready")&amp;" / 4")</f>
        <v/>
      </c>
      <c r="R49" s="17" t="n"/>
      <c r="S49" s="17" t="n"/>
    </row>
    <row r="50">
      <c r="A50" s="16">
        <f>IF(B50="","",ROW()-4)</f>
        <v/>
      </c>
      <c r="B50" s="21" t="n"/>
      <c r="C50" s="21" t="n"/>
      <c r="D50" s="21" t="n"/>
      <c r="E50" s="21" t="n"/>
      <c r="F50" s="22" t="n"/>
      <c r="G50" s="23" t="n"/>
      <c r="H50" s="20">
        <f>IF(G50="","",IF(OR(I50="Submitted",I50="Under review",I50="Awarded",I50="Rejected",I50="Withdrawn"),"—",G50-TODAY()))</f>
        <v/>
      </c>
      <c r="I50" s="21" t="n"/>
      <c r="J50" s="23" t="n"/>
      <c r="K50" s="23" t="n"/>
      <c r="L50" s="22" t="n"/>
      <c r="M50" s="21" t="n"/>
      <c r="N50" s="21" t="n"/>
      <c r="O50" s="21" t="n"/>
      <c r="P50" s="21" t="n"/>
      <c r="Q50" s="16">
        <f>IF($B50="","",COUNTIF(M50:P50,"Ready")&amp;" / 4")</f>
        <v/>
      </c>
      <c r="R50" s="21" t="n"/>
      <c r="S50" s="21" t="n"/>
    </row>
    <row r="51">
      <c r="A51" s="16">
        <f>IF(B51="","",ROW()-4)</f>
        <v/>
      </c>
      <c r="B51" s="17" t="n"/>
      <c r="C51" s="17" t="n"/>
      <c r="D51" s="17" t="n"/>
      <c r="E51" s="17" t="n"/>
      <c r="F51" s="18" t="n"/>
      <c r="G51" s="19" t="n"/>
      <c r="H51" s="20">
        <f>IF(G51="","",IF(OR(I51="Submitted",I51="Under review",I51="Awarded",I51="Rejected",I51="Withdrawn"),"—",G51-TODAY()))</f>
        <v/>
      </c>
      <c r="I51" s="17" t="n"/>
      <c r="J51" s="19" t="n"/>
      <c r="K51" s="19" t="n"/>
      <c r="L51" s="18" t="n"/>
      <c r="M51" s="17" t="n"/>
      <c r="N51" s="17" t="n"/>
      <c r="O51" s="17" t="n"/>
      <c r="P51" s="17" t="n"/>
      <c r="Q51" s="16">
        <f>IF($B51="","",COUNTIF(M51:P51,"Ready")&amp;" / 4")</f>
        <v/>
      </c>
      <c r="R51" s="17" t="n"/>
      <c r="S51" s="17" t="n"/>
    </row>
    <row r="52">
      <c r="A52" s="16">
        <f>IF(B52="","",ROW()-4)</f>
        <v/>
      </c>
      <c r="B52" s="21" t="n"/>
      <c r="C52" s="21" t="n"/>
      <c r="D52" s="21" t="n"/>
      <c r="E52" s="21" t="n"/>
      <c r="F52" s="22" t="n"/>
      <c r="G52" s="23" t="n"/>
      <c r="H52" s="20">
        <f>IF(G52="","",IF(OR(I52="Submitted",I52="Under review",I52="Awarded",I52="Rejected",I52="Withdrawn"),"—",G52-TODAY()))</f>
        <v/>
      </c>
      <c r="I52" s="21" t="n"/>
      <c r="J52" s="23" t="n"/>
      <c r="K52" s="23" t="n"/>
      <c r="L52" s="22" t="n"/>
      <c r="M52" s="21" t="n"/>
      <c r="N52" s="21" t="n"/>
      <c r="O52" s="21" t="n"/>
      <c r="P52" s="21" t="n"/>
      <c r="Q52" s="16">
        <f>IF($B52="","",COUNTIF(M52:P52,"Ready")&amp;" / 4")</f>
        <v/>
      </c>
      <c r="R52" s="21" t="n"/>
      <c r="S52" s="21" t="n"/>
    </row>
    <row r="53">
      <c r="A53" s="16">
        <f>IF(B53="","",ROW()-4)</f>
        <v/>
      </c>
      <c r="B53" s="17" t="n"/>
      <c r="C53" s="17" t="n"/>
      <c r="D53" s="17" t="n"/>
      <c r="E53" s="17" t="n"/>
      <c r="F53" s="18" t="n"/>
      <c r="G53" s="19" t="n"/>
      <c r="H53" s="20">
        <f>IF(G53="","",IF(OR(I53="Submitted",I53="Under review",I53="Awarded",I53="Rejected",I53="Withdrawn"),"—",G53-TODAY()))</f>
        <v/>
      </c>
      <c r="I53" s="17" t="n"/>
      <c r="J53" s="19" t="n"/>
      <c r="K53" s="19" t="n"/>
      <c r="L53" s="18" t="n"/>
      <c r="M53" s="17" t="n"/>
      <c r="N53" s="17" t="n"/>
      <c r="O53" s="17" t="n"/>
      <c r="P53" s="17" t="n"/>
      <c r="Q53" s="16">
        <f>IF($B53="","",COUNTIF(M53:P53,"Ready")&amp;" / 4")</f>
        <v/>
      </c>
      <c r="R53" s="17" t="n"/>
      <c r="S53" s="17" t="n"/>
    </row>
    <row r="54">
      <c r="A54" s="16">
        <f>IF(B54="","",ROW()-4)</f>
        <v/>
      </c>
      <c r="B54" s="21" t="n"/>
      <c r="C54" s="21" t="n"/>
      <c r="D54" s="21" t="n"/>
      <c r="E54" s="21" t="n"/>
      <c r="F54" s="22" t="n"/>
      <c r="G54" s="23" t="n"/>
      <c r="H54" s="20">
        <f>IF(G54="","",IF(OR(I54="Submitted",I54="Under review",I54="Awarded",I54="Rejected",I54="Withdrawn"),"—",G54-TODAY()))</f>
        <v/>
      </c>
      <c r="I54" s="21" t="n"/>
      <c r="J54" s="23" t="n"/>
      <c r="K54" s="23" t="n"/>
      <c r="L54" s="22" t="n"/>
      <c r="M54" s="21" t="n"/>
      <c r="N54" s="21" t="n"/>
      <c r="O54" s="21" t="n"/>
      <c r="P54" s="21" t="n"/>
      <c r="Q54" s="16">
        <f>IF($B54="","",COUNTIF(M54:P54,"Ready")&amp;" / 4")</f>
        <v/>
      </c>
      <c r="R54" s="21" t="n"/>
      <c r="S54" s="21" t="n"/>
    </row>
    <row r="55">
      <c r="A55" s="16">
        <f>IF(B55="","",ROW()-4)</f>
        <v/>
      </c>
      <c r="B55" s="17" t="n"/>
      <c r="C55" s="17" t="n"/>
      <c r="D55" s="17" t="n"/>
      <c r="E55" s="17" t="n"/>
      <c r="F55" s="18" t="n"/>
      <c r="G55" s="19" t="n"/>
      <c r="H55" s="20">
        <f>IF(G55="","",IF(OR(I55="Submitted",I55="Under review",I55="Awarded",I55="Rejected",I55="Withdrawn"),"—",G55-TODAY()))</f>
        <v/>
      </c>
      <c r="I55" s="17" t="n"/>
      <c r="J55" s="19" t="n"/>
      <c r="K55" s="19" t="n"/>
      <c r="L55" s="18" t="n"/>
      <c r="M55" s="17" t="n"/>
      <c r="N55" s="17" t="n"/>
      <c r="O55" s="17" t="n"/>
      <c r="P55" s="17" t="n"/>
      <c r="Q55" s="16">
        <f>IF($B55="","",COUNTIF(M55:P55,"Ready")&amp;" / 4")</f>
        <v/>
      </c>
      <c r="R55" s="17" t="n"/>
      <c r="S55" s="17" t="n"/>
    </row>
    <row r="56">
      <c r="A56" s="16">
        <f>IF(B56="","",ROW()-4)</f>
        <v/>
      </c>
      <c r="B56" s="21" t="n"/>
      <c r="C56" s="21" t="n"/>
      <c r="D56" s="21" t="n"/>
      <c r="E56" s="21" t="n"/>
      <c r="F56" s="22" t="n"/>
      <c r="G56" s="23" t="n"/>
      <c r="H56" s="20">
        <f>IF(G56="","",IF(OR(I56="Submitted",I56="Under review",I56="Awarded",I56="Rejected",I56="Withdrawn"),"—",G56-TODAY()))</f>
        <v/>
      </c>
      <c r="I56" s="21" t="n"/>
      <c r="J56" s="23" t="n"/>
      <c r="K56" s="23" t="n"/>
      <c r="L56" s="22" t="n"/>
      <c r="M56" s="21" t="n"/>
      <c r="N56" s="21" t="n"/>
      <c r="O56" s="21" t="n"/>
      <c r="P56" s="21" t="n"/>
      <c r="Q56" s="16">
        <f>IF($B56="","",COUNTIF(M56:P56,"Ready")&amp;" / 4")</f>
        <v/>
      </c>
      <c r="R56" s="21" t="n"/>
      <c r="S56" s="21" t="n"/>
    </row>
    <row r="57">
      <c r="A57" s="16">
        <f>IF(B57="","",ROW()-4)</f>
        <v/>
      </c>
      <c r="B57" s="17" t="n"/>
      <c r="C57" s="17" t="n"/>
      <c r="D57" s="17" t="n"/>
      <c r="E57" s="17" t="n"/>
      <c r="F57" s="18" t="n"/>
      <c r="G57" s="19" t="n"/>
      <c r="H57" s="20">
        <f>IF(G57="","",IF(OR(I57="Submitted",I57="Under review",I57="Awarded",I57="Rejected",I57="Withdrawn"),"—",G57-TODAY()))</f>
        <v/>
      </c>
      <c r="I57" s="17" t="n"/>
      <c r="J57" s="19" t="n"/>
      <c r="K57" s="19" t="n"/>
      <c r="L57" s="18" t="n"/>
      <c r="M57" s="17" t="n"/>
      <c r="N57" s="17" t="n"/>
      <c r="O57" s="17" t="n"/>
      <c r="P57" s="17" t="n"/>
      <c r="Q57" s="16">
        <f>IF($B57="","",COUNTIF(M57:P57,"Ready")&amp;" / 4")</f>
        <v/>
      </c>
      <c r="R57" s="17" t="n"/>
      <c r="S57" s="17" t="n"/>
    </row>
    <row r="58">
      <c r="A58" s="16">
        <f>IF(B58="","",ROW()-4)</f>
        <v/>
      </c>
      <c r="B58" s="21" t="n"/>
      <c r="C58" s="21" t="n"/>
      <c r="D58" s="21" t="n"/>
      <c r="E58" s="21" t="n"/>
      <c r="F58" s="22" t="n"/>
      <c r="G58" s="23" t="n"/>
      <c r="H58" s="20">
        <f>IF(G58="","",IF(OR(I58="Submitted",I58="Under review",I58="Awarded",I58="Rejected",I58="Withdrawn"),"—",G58-TODAY()))</f>
        <v/>
      </c>
      <c r="I58" s="21" t="n"/>
      <c r="J58" s="23" t="n"/>
      <c r="K58" s="23" t="n"/>
      <c r="L58" s="22" t="n"/>
      <c r="M58" s="21" t="n"/>
      <c r="N58" s="21" t="n"/>
      <c r="O58" s="21" t="n"/>
      <c r="P58" s="21" t="n"/>
      <c r="Q58" s="16">
        <f>IF($B58="","",COUNTIF(M58:P58,"Ready")&amp;" / 4")</f>
        <v/>
      </c>
      <c r="R58" s="21" t="n"/>
      <c r="S58" s="21" t="n"/>
    </row>
    <row r="59">
      <c r="A59" s="16">
        <f>IF(B59="","",ROW()-4)</f>
        <v/>
      </c>
      <c r="B59" s="17" t="n"/>
      <c r="C59" s="17" t="n"/>
      <c r="D59" s="17" t="n"/>
      <c r="E59" s="17" t="n"/>
      <c r="F59" s="18" t="n"/>
      <c r="G59" s="19" t="n"/>
      <c r="H59" s="20">
        <f>IF(G59="","",IF(OR(I59="Submitted",I59="Under review",I59="Awarded",I59="Rejected",I59="Withdrawn"),"—",G59-TODAY()))</f>
        <v/>
      </c>
      <c r="I59" s="17" t="n"/>
      <c r="J59" s="19" t="n"/>
      <c r="K59" s="19" t="n"/>
      <c r="L59" s="18" t="n"/>
      <c r="M59" s="17" t="n"/>
      <c r="N59" s="17" t="n"/>
      <c r="O59" s="17" t="n"/>
      <c r="P59" s="17" t="n"/>
      <c r="Q59" s="16">
        <f>IF($B59="","",COUNTIF(M59:P59,"Ready")&amp;" / 4")</f>
        <v/>
      </c>
      <c r="R59" s="17" t="n"/>
      <c r="S59" s="17" t="n"/>
    </row>
    <row r="60">
      <c r="A60" s="16">
        <f>IF(B60="","",ROW()-4)</f>
        <v/>
      </c>
      <c r="B60" s="21" t="n"/>
      <c r="C60" s="21" t="n"/>
      <c r="D60" s="21" t="n"/>
      <c r="E60" s="21" t="n"/>
      <c r="F60" s="22" t="n"/>
      <c r="G60" s="23" t="n"/>
      <c r="H60" s="20">
        <f>IF(G60="","",IF(OR(I60="Submitted",I60="Under review",I60="Awarded",I60="Rejected",I60="Withdrawn"),"—",G60-TODAY()))</f>
        <v/>
      </c>
      <c r="I60" s="21" t="n"/>
      <c r="J60" s="23" t="n"/>
      <c r="K60" s="23" t="n"/>
      <c r="L60" s="22" t="n"/>
      <c r="M60" s="21" t="n"/>
      <c r="N60" s="21" t="n"/>
      <c r="O60" s="21" t="n"/>
      <c r="P60" s="21" t="n"/>
      <c r="Q60" s="16">
        <f>IF($B60="","",COUNTIF(M60:P60,"Ready")&amp;" / 4")</f>
        <v/>
      </c>
      <c r="R60" s="21" t="n"/>
      <c r="S60" s="21" t="n"/>
    </row>
    <row r="61">
      <c r="A61" s="16">
        <f>IF(B61="","",ROW()-4)</f>
        <v/>
      </c>
      <c r="B61" s="17" t="n"/>
      <c r="C61" s="17" t="n"/>
      <c r="D61" s="17" t="n"/>
      <c r="E61" s="17" t="n"/>
      <c r="F61" s="18" t="n"/>
      <c r="G61" s="19" t="n"/>
      <c r="H61" s="20">
        <f>IF(G61="","",IF(OR(I61="Submitted",I61="Under review",I61="Awarded",I61="Rejected",I61="Withdrawn"),"—",G61-TODAY()))</f>
        <v/>
      </c>
      <c r="I61" s="17" t="n"/>
      <c r="J61" s="19" t="n"/>
      <c r="K61" s="19" t="n"/>
      <c r="L61" s="18" t="n"/>
      <c r="M61" s="17" t="n"/>
      <c r="N61" s="17" t="n"/>
      <c r="O61" s="17" t="n"/>
      <c r="P61" s="17" t="n"/>
      <c r="Q61" s="16">
        <f>IF($B61="","",COUNTIF(M61:P61,"Ready")&amp;" / 4")</f>
        <v/>
      </c>
      <c r="R61" s="17" t="n"/>
      <c r="S61" s="17" t="n"/>
    </row>
    <row r="62">
      <c r="A62" s="16">
        <f>IF(B62="","",ROW()-4)</f>
        <v/>
      </c>
      <c r="B62" s="21" t="n"/>
      <c r="C62" s="21" t="n"/>
      <c r="D62" s="21" t="n"/>
      <c r="E62" s="21" t="n"/>
      <c r="F62" s="22" t="n"/>
      <c r="G62" s="23" t="n"/>
      <c r="H62" s="20">
        <f>IF(G62="","",IF(OR(I62="Submitted",I62="Under review",I62="Awarded",I62="Rejected",I62="Withdrawn"),"—",G62-TODAY()))</f>
        <v/>
      </c>
      <c r="I62" s="21" t="n"/>
      <c r="J62" s="23" t="n"/>
      <c r="K62" s="23" t="n"/>
      <c r="L62" s="22" t="n"/>
      <c r="M62" s="21" t="n"/>
      <c r="N62" s="21" t="n"/>
      <c r="O62" s="21" t="n"/>
      <c r="P62" s="21" t="n"/>
      <c r="Q62" s="16">
        <f>IF($B62="","",COUNTIF(M62:P62,"Ready")&amp;" / 4")</f>
        <v/>
      </c>
      <c r="R62" s="21" t="n"/>
      <c r="S62" s="21" t="n"/>
    </row>
    <row r="63">
      <c r="A63" s="16">
        <f>IF(B63="","",ROW()-4)</f>
        <v/>
      </c>
      <c r="B63" s="17" t="n"/>
      <c r="C63" s="17" t="n"/>
      <c r="D63" s="17" t="n"/>
      <c r="E63" s="17" t="n"/>
      <c r="F63" s="18" t="n"/>
      <c r="G63" s="19" t="n"/>
      <c r="H63" s="20">
        <f>IF(G63="","",IF(OR(I63="Submitted",I63="Under review",I63="Awarded",I63="Rejected",I63="Withdrawn"),"—",G63-TODAY()))</f>
        <v/>
      </c>
      <c r="I63" s="17" t="n"/>
      <c r="J63" s="19" t="n"/>
      <c r="K63" s="19" t="n"/>
      <c r="L63" s="18" t="n"/>
      <c r="M63" s="17" t="n"/>
      <c r="N63" s="17" t="n"/>
      <c r="O63" s="17" t="n"/>
      <c r="P63" s="17" t="n"/>
      <c r="Q63" s="16">
        <f>IF($B63="","",COUNTIF(M63:P63,"Ready")&amp;" / 4")</f>
        <v/>
      </c>
      <c r="R63" s="17" t="n"/>
      <c r="S63" s="17" t="n"/>
    </row>
    <row r="64">
      <c r="A64" s="16">
        <f>IF(B64="","",ROW()-4)</f>
        <v/>
      </c>
      <c r="B64" s="21" t="n"/>
      <c r="C64" s="21" t="n"/>
      <c r="D64" s="21" t="n"/>
      <c r="E64" s="21" t="n"/>
      <c r="F64" s="22" t="n"/>
      <c r="G64" s="23" t="n"/>
      <c r="H64" s="20">
        <f>IF(G64="","",IF(OR(I64="Submitted",I64="Under review",I64="Awarded",I64="Rejected",I64="Withdrawn"),"—",G64-TODAY()))</f>
        <v/>
      </c>
      <c r="I64" s="21" t="n"/>
      <c r="J64" s="23" t="n"/>
      <c r="K64" s="23" t="n"/>
      <c r="L64" s="22" t="n"/>
      <c r="M64" s="21" t="n"/>
      <c r="N64" s="21" t="n"/>
      <c r="O64" s="21" t="n"/>
      <c r="P64" s="21" t="n"/>
      <c r="Q64" s="16">
        <f>IF($B64="","",COUNTIF(M64:P64,"Ready")&amp;" / 4")</f>
        <v/>
      </c>
      <c r="R64" s="21" t="n"/>
      <c r="S64" s="21" t="n"/>
    </row>
    <row r="65">
      <c r="A65" s="16">
        <f>IF(B65="","",ROW()-4)</f>
        <v/>
      </c>
      <c r="B65" s="17" t="n"/>
      <c r="C65" s="17" t="n"/>
      <c r="D65" s="17" t="n"/>
      <c r="E65" s="17" t="n"/>
      <c r="F65" s="18" t="n"/>
      <c r="G65" s="19" t="n"/>
      <c r="H65" s="20">
        <f>IF(G65="","",IF(OR(I65="Submitted",I65="Under review",I65="Awarded",I65="Rejected",I65="Withdrawn"),"—",G65-TODAY()))</f>
        <v/>
      </c>
      <c r="I65" s="17" t="n"/>
      <c r="J65" s="19" t="n"/>
      <c r="K65" s="19" t="n"/>
      <c r="L65" s="18" t="n"/>
      <c r="M65" s="17" t="n"/>
      <c r="N65" s="17" t="n"/>
      <c r="O65" s="17" t="n"/>
      <c r="P65" s="17" t="n"/>
      <c r="Q65" s="16">
        <f>IF($B65="","",COUNTIF(M65:P65,"Ready")&amp;" / 4")</f>
        <v/>
      </c>
      <c r="R65" s="17" t="n"/>
      <c r="S65" s="17" t="n"/>
    </row>
    <row r="66">
      <c r="A66" s="16">
        <f>IF(B66="","",ROW()-4)</f>
        <v/>
      </c>
      <c r="B66" s="21" t="n"/>
      <c r="C66" s="21" t="n"/>
      <c r="D66" s="21" t="n"/>
      <c r="E66" s="21" t="n"/>
      <c r="F66" s="22" t="n"/>
      <c r="G66" s="23" t="n"/>
      <c r="H66" s="20">
        <f>IF(G66="","",IF(OR(I66="Submitted",I66="Under review",I66="Awarded",I66="Rejected",I66="Withdrawn"),"—",G66-TODAY()))</f>
        <v/>
      </c>
      <c r="I66" s="21" t="n"/>
      <c r="J66" s="23" t="n"/>
      <c r="K66" s="23" t="n"/>
      <c r="L66" s="22" t="n"/>
      <c r="M66" s="21" t="n"/>
      <c r="N66" s="21" t="n"/>
      <c r="O66" s="21" t="n"/>
      <c r="P66" s="21" t="n"/>
      <c r="Q66" s="16">
        <f>IF($B66="","",COUNTIF(M66:P66,"Ready")&amp;" / 4")</f>
        <v/>
      </c>
      <c r="R66" s="21" t="n"/>
      <c r="S66" s="21" t="n"/>
    </row>
    <row r="67">
      <c r="A67" s="16">
        <f>IF(B67="","",ROW()-4)</f>
        <v/>
      </c>
      <c r="B67" s="17" t="n"/>
      <c r="C67" s="17" t="n"/>
      <c r="D67" s="17" t="n"/>
      <c r="E67" s="17" t="n"/>
      <c r="F67" s="18" t="n"/>
      <c r="G67" s="19" t="n"/>
      <c r="H67" s="20">
        <f>IF(G67="","",IF(OR(I67="Submitted",I67="Under review",I67="Awarded",I67="Rejected",I67="Withdrawn"),"—",G67-TODAY()))</f>
        <v/>
      </c>
      <c r="I67" s="17" t="n"/>
      <c r="J67" s="19" t="n"/>
      <c r="K67" s="19" t="n"/>
      <c r="L67" s="18" t="n"/>
      <c r="M67" s="17" t="n"/>
      <c r="N67" s="17" t="n"/>
      <c r="O67" s="17" t="n"/>
      <c r="P67" s="17" t="n"/>
      <c r="Q67" s="16">
        <f>IF($B67="","",COUNTIF(M67:P67,"Ready")&amp;" / 4")</f>
        <v/>
      </c>
      <c r="R67" s="17" t="n"/>
      <c r="S67" s="17" t="n"/>
    </row>
    <row r="68">
      <c r="A68" s="16">
        <f>IF(B68="","",ROW()-4)</f>
        <v/>
      </c>
      <c r="B68" s="21" t="n"/>
      <c r="C68" s="21" t="n"/>
      <c r="D68" s="21" t="n"/>
      <c r="E68" s="21" t="n"/>
      <c r="F68" s="22" t="n"/>
      <c r="G68" s="23" t="n"/>
      <c r="H68" s="20">
        <f>IF(G68="","",IF(OR(I68="Submitted",I68="Under review",I68="Awarded",I68="Rejected",I68="Withdrawn"),"—",G68-TODAY()))</f>
        <v/>
      </c>
      <c r="I68" s="21" t="n"/>
      <c r="J68" s="23" t="n"/>
      <c r="K68" s="23" t="n"/>
      <c r="L68" s="22" t="n"/>
      <c r="M68" s="21" t="n"/>
      <c r="N68" s="21" t="n"/>
      <c r="O68" s="21" t="n"/>
      <c r="P68" s="21" t="n"/>
      <c r="Q68" s="16">
        <f>IF($B68="","",COUNTIF(M68:P68,"Ready")&amp;" / 4")</f>
        <v/>
      </c>
      <c r="R68" s="21" t="n"/>
      <c r="S68" s="21" t="n"/>
    </row>
    <row r="69">
      <c r="A69" s="16">
        <f>IF(B69="","",ROW()-4)</f>
        <v/>
      </c>
      <c r="B69" s="17" t="n"/>
      <c r="C69" s="17" t="n"/>
      <c r="D69" s="17" t="n"/>
      <c r="E69" s="17" t="n"/>
      <c r="F69" s="18" t="n"/>
      <c r="G69" s="19" t="n"/>
      <c r="H69" s="20">
        <f>IF(G69="","",IF(OR(I69="Submitted",I69="Under review",I69="Awarded",I69="Rejected",I69="Withdrawn"),"—",G69-TODAY()))</f>
        <v/>
      </c>
      <c r="I69" s="17" t="n"/>
      <c r="J69" s="19" t="n"/>
      <c r="K69" s="19" t="n"/>
      <c r="L69" s="18" t="n"/>
      <c r="M69" s="17" t="n"/>
      <c r="N69" s="17" t="n"/>
      <c r="O69" s="17" t="n"/>
      <c r="P69" s="17" t="n"/>
      <c r="Q69" s="16">
        <f>IF($B69="","",COUNTIF(M69:P69,"Ready")&amp;" / 4")</f>
        <v/>
      </c>
      <c r="R69" s="17" t="n"/>
      <c r="S69" s="17" t="n"/>
    </row>
    <row r="70">
      <c r="A70" s="16">
        <f>IF(B70="","",ROW()-4)</f>
        <v/>
      </c>
      <c r="B70" s="21" t="n"/>
      <c r="C70" s="21" t="n"/>
      <c r="D70" s="21" t="n"/>
      <c r="E70" s="21" t="n"/>
      <c r="F70" s="22" t="n"/>
      <c r="G70" s="23" t="n"/>
      <c r="H70" s="20">
        <f>IF(G70="","",IF(OR(I70="Submitted",I70="Under review",I70="Awarded",I70="Rejected",I70="Withdrawn"),"—",G70-TODAY()))</f>
        <v/>
      </c>
      <c r="I70" s="21" t="n"/>
      <c r="J70" s="23" t="n"/>
      <c r="K70" s="23" t="n"/>
      <c r="L70" s="22" t="n"/>
      <c r="M70" s="21" t="n"/>
      <c r="N70" s="21" t="n"/>
      <c r="O70" s="21" t="n"/>
      <c r="P70" s="21" t="n"/>
      <c r="Q70" s="16">
        <f>IF($B70="","",COUNTIF(M70:P70,"Ready")&amp;" / 4")</f>
        <v/>
      </c>
      <c r="R70" s="21" t="n"/>
      <c r="S70" s="21" t="n"/>
    </row>
    <row r="71">
      <c r="A71" s="16">
        <f>IF(B71="","",ROW()-4)</f>
        <v/>
      </c>
      <c r="B71" s="17" t="n"/>
      <c r="C71" s="17" t="n"/>
      <c r="D71" s="17" t="n"/>
      <c r="E71" s="17" t="n"/>
      <c r="F71" s="18" t="n"/>
      <c r="G71" s="19" t="n"/>
      <c r="H71" s="20">
        <f>IF(G71="","",IF(OR(I71="Submitted",I71="Under review",I71="Awarded",I71="Rejected",I71="Withdrawn"),"—",G71-TODAY()))</f>
        <v/>
      </c>
      <c r="I71" s="17" t="n"/>
      <c r="J71" s="19" t="n"/>
      <c r="K71" s="19" t="n"/>
      <c r="L71" s="18" t="n"/>
      <c r="M71" s="17" t="n"/>
      <c r="N71" s="17" t="n"/>
      <c r="O71" s="17" t="n"/>
      <c r="P71" s="17" t="n"/>
      <c r="Q71" s="16">
        <f>IF($B71="","",COUNTIF(M71:P71,"Ready")&amp;" / 4")</f>
        <v/>
      </c>
      <c r="R71" s="17" t="n"/>
      <c r="S71" s="17" t="n"/>
    </row>
    <row r="72">
      <c r="A72" s="16">
        <f>IF(B72="","",ROW()-4)</f>
        <v/>
      </c>
      <c r="B72" s="21" t="n"/>
      <c r="C72" s="21" t="n"/>
      <c r="D72" s="21" t="n"/>
      <c r="E72" s="21" t="n"/>
      <c r="F72" s="22" t="n"/>
      <c r="G72" s="23" t="n"/>
      <c r="H72" s="20">
        <f>IF(G72="","",IF(OR(I72="Submitted",I72="Under review",I72="Awarded",I72="Rejected",I72="Withdrawn"),"—",G72-TODAY()))</f>
        <v/>
      </c>
      <c r="I72" s="21" t="n"/>
      <c r="J72" s="23" t="n"/>
      <c r="K72" s="23" t="n"/>
      <c r="L72" s="22" t="n"/>
      <c r="M72" s="21" t="n"/>
      <c r="N72" s="21" t="n"/>
      <c r="O72" s="21" t="n"/>
      <c r="P72" s="21" t="n"/>
      <c r="Q72" s="16">
        <f>IF($B72="","",COUNTIF(M72:P72,"Ready")&amp;" / 4")</f>
        <v/>
      </c>
      <c r="R72" s="21" t="n"/>
      <c r="S72" s="21" t="n"/>
    </row>
    <row r="73">
      <c r="A73" s="16">
        <f>IF(B73="","",ROW()-4)</f>
        <v/>
      </c>
      <c r="B73" s="17" t="n"/>
      <c r="C73" s="17" t="n"/>
      <c r="D73" s="17" t="n"/>
      <c r="E73" s="17" t="n"/>
      <c r="F73" s="18" t="n"/>
      <c r="G73" s="19" t="n"/>
      <c r="H73" s="20">
        <f>IF(G73="","",IF(OR(I73="Submitted",I73="Under review",I73="Awarded",I73="Rejected",I73="Withdrawn"),"—",G73-TODAY()))</f>
        <v/>
      </c>
      <c r="I73" s="17" t="n"/>
      <c r="J73" s="19" t="n"/>
      <c r="K73" s="19" t="n"/>
      <c r="L73" s="18" t="n"/>
      <c r="M73" s="17" t="n"/>
      <c r="N73" s="17" t="n"/>
      <c r="O73" s="17" t="n"/>
      <c r="P73" s="17" t="n"/>
      <c r="Q73" s="16">
        <f>IF($B73="","",COUNTIF(M73:P73,"Ready")&amp;" / 4")</f>
        <v/>
      </c>
      <c r="R73" s="17" t="n"/>
      <c r="S73" s="17" t="n"/>
    </row>
    <row r="74">
      <c r="A74" s="16">
        <f>IF(B74="","",ROW()-4)</f>
        <v/>
      </c>
      <c r="B74" s="21" t="n"/>
      <c r="C74" s="21" t="n"/>
      <c r="D74" s="21" t="n"/>
      <c r="E74" s="21" t="n"/>
      <c r="F74" s="22" t="n"/>
      <c r="G74" s="23" t="n"/>
      <c r="H74" s="20">
        <f>IF(G74="","",IF(OR(I74="Submitted",I74="Under review",I74="Awarded",I74="Rejected",I74="Withdrawn"),"—",G74-TODAY()))</f>
        <v/>
      </c>
      <c r="I74" s="21" t="n"/>
      <c r="J74" s="23" t="n"/>
      <c r="K74" s="23" t="n"/>
      <c r="L74" s="22" t="n"/>
      <c r="M74" s="21" t="n"/>
      <c r="N74" s="21" t="n"/>
      <c r="O74" s="21" t="n"/>
      <c r="P74" s="21" t="n"/>
      <c r="Q74" s="16">
        <f>IF($B74="","",COUNTIF(M74:P74,"Ready")&amp;" / 4")</f>
        <v/>
      </c>
      <c r="R74" s="21" t="n"/>
      <c r="S74" s="21" t="n"/>
    </row>
    <row r="75">
      <c r="A75" s="16">
        <f>IF(B75="","",ROW()-4)</f>
        <v/>
      </c>
      <c r="B75" s="17" t="n"/>
      <c r="C75" s="17" t="n"/>
      <c r="D75" s="17" t="n"/>
      <c r="E75" s="17" t="n"/>
      <c r="F75" s="18" t="n"/>
      <c r="G75" s="19" t="n"/>
      <c r="H75" s="20">
        <f>IF(G75="","",IF(OR(I75="Submitted",I75="Under review",I75="Awarded",I75="Rejected",I75="Withdrawn"),"—",G75-TODAY()))</f>
        <v/>
      </c>
      <c r="I75" s="17" t="n"/>
      <c r="J75" s="19" t="n"/>
      <c r="K75" s="19" t="n"/>
      <c r="L75" s="18" t="n"/>
      <c r="M75" s="17" t="n"/>
      <c r="N75" s="17" t="n"/>
      <c r="O75" s="17" t="n"/>
      <c r="P75" s="17" t="n"/>
      <c r="Q75" s="16">
        <f>IF($B75="","",COUNTIF(M75:P75,"Ready")&amp;" / 4")</f>
        <v/>
      </c>
      <c r="R75" s="17" t="n"/>
      <c r="S75" s="17" t="n"/>
    </row>
    <row r="76">
      <c r="A76" s="16">
        <f>IF(B76="","",ROW()-4)</f>
        <v/>
      </c>
      <c r="B76" s="21" t="n"/>
      <c r="C76" s="21" t="n"/>
      <c r="D76" s="21" t="n"/>
      <c r="E76" s="21" t="n"/>
      <c r="F76" s="22" t="n"/>
      <c r="G76" s="23" t="n"/>
      <c r="H76" s="20">
        <f>IF(G76="","",IF(OR(I76="Submitted",I76="Under review",I76="Awarded",I76="Rejected",I76="Withdrawn"),"—",G76-TODAY()))</f>
        <v/>
      </c>
      <c r="I76" s="21" t="n"/>
      <c r="J76" s="23" t="n"/>
      <c r="K76" s="23" t="n"/>
      <c r="L76" s="22" t="n"/>
      <c r="M76" s="21" t="n"/>
      <c r="N76" s="21" t="n"/>
      <c r="O76" s="21" t="n"/>
      <c r="P76" s="21" t="n"/>
      <c r="Q76" s="16">
        <f>IF($B76="","",COUNTIF(M76:P76,"Ready")&amp;" / 4")</f>
        <v/>
      </c>
      <c r="R76" s="21" t="n"/>
      <c r="S76" s="21" t="n"/>
    </row>
    <row r="77">
      <c r="A77" s="16">
        <f>IF(B77="","",ROW()-4)</f>
        <v/>
      </c>
      <c r="B77" s="17" t="n"/>
      <c r="C77" s="17" t="n"/>
      <c r="D77" s="17" t="n"/>
      <c r="E77" s="17" t="n"/>
      <c r="F77" s="18" t="n"/>
      <c r="G77" s="19" t="n"/>
      <c r="H77" s="20">
        <f>IF(G77="","",IF(OR(I77="Submitted",I77="Under review",I77="Awarded",I77="Rejected",I77="Withdrawn"),"—",G77-TODAY()))</f>
        <v/>
      </c>
      <c r="I77" s="17" t="n"/>
      <c r="J77" s="19" t="n"/>
      <c r="K77" s="19" t="n"/>
      <c r="L77" s="18" t="n"/>
      <c r="M77" s="17" t="n"/>
      <c r="N77" s="17" t="n"/>
      <c r="O77" s="17" t="n"/>
      <c r="P77" s="17" t="n"/>
      <c r="Q77" s="16">
        <f>IF($B77="","",COUNTIF(M77:P77,"Ready")&amp;" / 4")</f>
        <v/>
      </c>
      <c r="R77" s="17" t="n"/>
      <c r="S77" s="17" t="n"/>
    </row>
    <row r="78">
      <c r="A78" s="16">
        <f>IF(B78="","",ROW()-4)</f>
        <v/>
      </c>
      <c r="B78" s="21" t="n"/>
      <c r="C78" s="21" t="n"/>
      <c r="D78" s="21" t="n"/>
      <c r="E78" s="21" t="n"/>
      <c r="F78" s="22" t="n"/>
      <c r="G78" s="23" t="n"/>
      <c r="H78" s="20">
        <f>IF(G78="","",IF(OR(I78="Submitted",I78="Under review",I78="Awarded",I78="Rejected",I78="Withdrawn"),"—",G78-TODAY()))</f>
        <v/>
      </c>
      <c r="I78" s="21" t="n"/>
      <c r="J78" s="23" t="n"/>
      <c r="K78" s="23" t="n"/>
      <c r="L78" s="22" t="n"/>
      <c r="M78" s="21" t="n"/>
      <c r="N78" s="21" t="n"/>
      <c r="O78" s="21" t="n"/>
      <c r="P78" s="21" t="n"/>
      <c r="Q78" s="16">
        <f>IF($B78="","",COUNTIF(M78:P78,"Ready")&amp;" / 4")</f>
        <v/>
      </c>
      <c r="R78" s="21" t="n"/>
      <c r="S78" s="21" t="n"/>
    </row>
    <row r="79">
      <c r="A79" s="16">
        <f>IF(B79="","",ROW()-4)</f>
        <v/>
      </c>
      <c r="B79" s="17" t="n"/>
      <c r="C79" s="17" t="n"/>
      <c r="D79" s="17" t="n"/>
      <c r="E79" s="17" t="n"/>
      <c r="F79" s="18" t="n"/>
      <c r="G79" s="19" t="n"/>
      <c r="H79" s="20">
        <f>IF(G79="","",IF(OR(I79="Submitted",I79="Under review",I79="Awarded",I79="Rejected",I79="Withdrawn"),"—",G79-TODAY()))</f>
        <v/>
      </c>
      <c r="I79" s="17" t="n"/>
      <c r="J79" s="19" t="n"/>
      <c r="K79" s="19" t="n"/>
      <c r="L79" s="18" t="n"/>
      <c r="M79" s="17" t="n"/>
      <c r="N79" s="17" t="n"/>
      <c r="O79" s="17" t="n"/>
      <c r="P79" s="17" t="n"/>
      <c r="Q79" s="16">
        <f>IF($B79="","",COUNTIF(M79:P79,"Ready")&amp;" / 4")</f>
        <v/>
      </c>
      <c r="R79" s="17" t="n"/>
      <c r="S79" s="17" t="n"/>
    </row>
    <row r="80">
      <c r="A80" s="16">
        <f>IF(B80="","",ROW()-4)</f>
        <v/>
      </c>
      <c r="B80" s="21" t="n"/>
      <c r="C80" s="21" t="n"/>
      <c r="D80" s="21" t="n"/>
      <c r="E80" s="21" t="n"/>
      <c r="F80" s="22" t="n"/>
      <c r="G80" s="23" t="n"/>
      <c r="H80" s="20">
        <f>IF(G80="","",IF(OR(I80="Submitted",I80="Under review",I80="Awarded",I80="Rejected",I80="Withdrawn"),"—",G80-TODAY()))</f>
        <v/>
      </c>
      <c r="I80" s="21" t="n"/>
      <c r="J80" s="23" t="n"/>
      <c r="K80" s="23" t="n"/>
      <c r="L80" s="22" t="n"/>
      <c r="M80" s="21" t="n"/>
      <c r="N80" s="21" t="n"/>
      <c r="O80" s="21" t="n"/>
      <c r="P80" s="21" t="n"/>
      <c r="Q80" s="16">
        <f>IF($B80="","",COUNTIF(M80:P80,"Ready")&amp;" / 4")</f>
        <v/>
      </c>
      <c r="R80" s="21" t="n"/>
      <c r="S80" s="21" t="n"/>
    </row>
    <row r="81">
      <c r="A81" s="16">
        <f>IF(B81="","",ROW()-4)</f>
        <v/>
      </c>
      <c r="B81" s="17" t="n"/>
      <c r="C81" s="17" t="n"/>
      <c r="D81" s="17" t="n"/>
      <c r="E81" s="17" t="n"/>
      <c r="F81" s="18" t="n"/>
      <c r="G81" s="19" t="n"/>
      <c r="H81" s="20">
        <f>IF(G81="","",IF(OR(I81="Submitted",I81="Under review",I81="Awarded",I81="Rejected",I81="Withdrawn"),"—",G81-TODAY()))</f>
        <v/>
      </c>
      <c r="I81" s="17" t="n"/>
      <c r="J81" s="19" t="n"/>
      <c r="K81" s="19" t="n"/>
      <c r="L81" s="18" t="n"/>
      <c r="M81" s="17" t="n"/>
      <c r="N81" s="17" t="n"/>
      <c r="O81" s="17" t="n"/>
      <c r="P81" s="17" t="n"/>
      <c r="Q81" s="16">
        <f>IF($B81="","",COUNTIF(M81:P81,"Ready")&amp;" / 4")</f>
        <v/>
      </c>
      <c r="R81" s="17" t="n"/>
      <c r="S81" s="17" t="n"/>
    </row>
    <row r="82">
      <c r="A82" s="16">
        <f>IF(B82="","",ROW()-4)</f>
        <v/>
      </c>
      <c r="B82" s="21" t="n"/>
      <c r="C82" s="21" t="n"/>
      <c r="D82" s="21" t="n"/>
      <c r="E82" s="21" t="n"/>
      <c r="F82" s="22" t="n"/>
      <c r="G82" s="23" t="n"/>
      <c r="H82" s="20">
        <f>IF(G82="","",IF(OR(I82="Submitted",I82="Under review",I82="Awarded",I82="Rejected",I82="Withdrawn"),"—",G82-TODAY()))</f>
        <v/>
      </c>
      <c r="I82" s="21" t="n"/>
      <c r="J82" s="23" t="n"/>
      <c r="K82" s="23" t="n"/>
      <c r="L82" s="22" t="n"/>
      <c r="M82" s="21" t="n"/>
      <c r="N82" s="21" t="n"/>
      <c r="O82" s="21" t="n"/>
      <c r="P82" s="21" t="n"/>
      <c r="Q82" s="16">
        <f>IF($B82="","",COUNTIF(M82:P82,"Ready")&amp;" / 4")</f>
        <v/>
      </c>
      <c r="R82" s="21" t="n"/>
      <c r="S82" s="21" t="n"/>
    </row>
    <row r="83">
      <c r="A83" s="16">
        <f>IF(B83="","",ROW()-4)</f>
        <v/>
      </c>
      <c r="B83" s="17" t="n"/>
      <c r="C83" s="17" t="n"/>
      <c r="D83" s="17" t="n"/>
      <c r="E83" s="17" t="n"/>
      <c r="F83" s="18" t="n"/>
      <c r="G83" s="19" t="n"/>
      <c r="H83" s="20">
        <f>IF(G83="","",IF(OR(I83="Submitted",I83="Under review",I83="Awarded",I83="Rejected",I83="Withdrawn"),"—",G83-TODAY()))</f>
        <v/>
      </c>
      <c r="I83" s="17" t="n"/>
      <c r="J83" s="19" t="n"/>
      <c r="K83" s="19" t="n"/>
      <c r="L83" s="18" t="n"/>
      <c r="M83" s="17" t="n"/>
      <c r="N83" s="17" t="n"/>
      <c r="O83" s="17" t="n"/>
      <c r="P83" s="17" t="n"/>
      <c r="Q83" s="16">
        <f>IF($B83="","",COUNTIF(M83:P83,"Ready")&amp;" / 4")</f>
        <v/>
      </c>
      <c r="R83" s="17" t="n"/>
      <c r="S83" s="17" t="n"/>
    </row>
    <row r="84">
      <c r="A84" s="16">
        <f>IF(B84="","",ROW()-4)</f>
        <v/>
      </c>
      <c r="B84" s="21" t="n"/>
      <c r="C84" s="21" t="n"/>
      <c r="D84" s="21" t="n"/>
      <c r="E84" s="21" t="n"/>
      <c r="F84" s="22" t="n"/>
      <c r="G84" s="23" t="n"/>
      <c r="H84" s="20">
        <f>IF(G84="","",IF(OR(I84="Submitted",I84="Under review",I84="Awarded",I84="Rejected",I84="Withdrawn"),"—",G84-TODAY()))</f>
        <v/>
      </c>
      <c r="I84" s="21" t="n"/>
      <c r="J84" s="23" t="n"/>
      <c r="K84" s="23" t="n"/>
      <c r="L84" s="22" t="n"/>
      <c r="M84" s="21" t="n"/>
      <c r="N84" s="21" t="n"/>
      <c r="O84" s="21" t="n"/>
      <c r="P84" s="21" t="n"/>
      <c r="Q84" s="16">
        <f>IF($B84="","",COUNTIF(M84:P84,"Ready")&amp;" / 4")</f>
        <v/>
      </c>
      <c r="R84" s="21" t="n"/>
      <c r="S84" s="21" t="n"/>
    </row>
    <row r="85">
      <c r="A85" s="16">
        <f>IF(B85="","",ROW()-4)</f>
        <v/>
      </c>
      <c r="B85" s="17" t="n"/>
      <c r="C85" s="17" t="n"/>
      <c r="D85" s="17" t="n"/>
      <c r="E85" s="17" t="n"/>
      <c r="F85" s="18" t="n"/>
      <c r="G85" s="19" t="n"/>
      <c r="H85" s="20">
        <f>IF(G85="","",IF(OR(I85="Submitted",I85="Under review",I85="Awarded",I85="Rejected",I85="Withdrawn"),"—",G85-TODAY()))</f>
        <v/>
      </c>
      <c r="I85" s="17" t="n"/>
      <c r="J85" s="19" t="n"/>
      <c r="K85" s="19" t="n"/>
      <c r="L85" s="18" t="n"/>
      <c r="M85" s="17" t="n"/>
      <c r="N85" s="17" t="n"/>
      <c r="O85" s="17" t="n"/>
      <c r="P85" s="17" t="n"/>
      <c r="Q85" s="16">
        <f>IF($B85="","",COUNTIF(M85:P85,"Ready")&amp;" / 4")</f>
        <v/>
      </c>
      <c r="R85" s="17" t="n"/>
      <c r="S85" s="17" t="n"/>
    </row>
    <row r="86">
      <c r="A86" s="16">
        <f>IF(B86="","",ROW()-4)</f>
        <v/>
      </c>
      <c r="B86" s="21" t="n"/>
      <c r="C86" s="21" t="n"/>
      <c r="D86" s="21" t="n"/>
      <c r="E86" s="21" t="n"/>
      <c r="F86" s="22" t="n"/>
      <c r="G86" s="23" t="n"/>
      <c r="H86" s="20">
        <f>IF(G86="","",IF(OR(I86="Submitted",I86="Under review",I86="Awarded",I86="Rejected",I86="Withdrawn"),"—",G86-TODAY()))</f>
        <v/>
      </c>
      <c r="I86" s="21" t="n"/>
      <c r="J86" s="23" t="n"/>
      <c r="K86" s="23" t="n"/>
      <c r="L86" s="22" t="n"/>
      <c r="M86" s="21" t="n"/>
      <c r="N86" s="21" t="n"/>
      <c r="O86" s="21" t="n"/>
      <c r="P86" s="21" t="n"/>
      <c r="Q86" s="16">
        <f>IF($B86="","",COUNTIF(M86:P86,"Ready")&amp;" / 4")</f>
        <v/>
      </c>
      <c r="R86" s="21" t="n"/>
      <c r="S86" s="21" t="n"/>
    </row>
    <row r="87">
      <c r="A87" s="16">
        <f>IF(B87="","",ROW()-4)</f>
        <v/>
      </c>
      <c r="B87" s="17" t="n"/>
      <c r="C87" s="17" t="n"/>
      <c r="D87" s="17" t="n"/>
      <c r="E87" s="17" t="n"/>
      <c r="F87" s="18" t="n"/>
      <c r="G87" s="19" t="n"/>
      <c r="H87" s="20">
        <f>IF(G87="","",IF(OR(I87="Submitted",I87="Under review",I87="Awarded",I87="Rejected",I87="Withdrawn"),"—",G87-TODAY()))</f>
        <v/>
      </c>
      <c r="I87" s="17" t="n"/>
      <c r="J87" s="19" t="n"/>
      <c r="K87" s="19" t="n"/>
      <c r="L87" s="18" t="n"/>
      <c r="M87" s="17" t="n"/>
      <c r="N87" s="17" t="n"/>
      <c r="O87" s="17" t="n"/>
      <c r="P87" s="17" t="n"/>
      <c r="Q87" s="16">
        <f>IF($B87="","",COUNTIF(M87:P87,"Ready")&amp;" / 4")</f>
        <v/>
      </c>
      <c r="R87" s="17" t="n"/>
      <c r="S87" s="17" t="n"/>
    </row>
    <row r="88">
      <c r="A88" s="16">
        <f>IF(B88="","",ROW()-4)</f>
        <v/>
      </c>
      <c r="B88" s="21" t="n"/>
      <c r="C88" s="21" t="n"/>
      <c r="D88" s="21" t="n"/>
      <c r="E88" s="21" t="n"/>
      <c r="F88" s="22" t="n"/>
      <c r="G88" s="23" t="n"/>
      <c r="H88" s="20">
        <f>IF(G88="","",IF(OR(I88="Submitted",I88="Under review",I88="Awarded",I88="Rejected",I88="Withdrawn"),"—",G88-TODAY()))</f>
        <v/>
      </c>
      <c r="I88" s="21" t="n"/>
      <c r="J88" s="23" t="n"/>
      <c r="K88" s="23" t="n"/>
      <c r="L88" s="22" t="n"/>
      <c r="M88" s="21" t="n"/>
      <c r="N88" s="21" t="n"/>
      <c r="O88" s="21" t="n"/>
      <c r="P88" s="21" t="n"/>
      <c r="Q88" s="16">
        <f>IF($B88="","",COUNTIF(M88:P88,"Ready")&amp;" / 4")</f>
        <v/>
      </c>
      <c r="R88" s="21" t="n"/>
      <c r="S88" s="21" t="n"/>
    </row>
    <row r="89">
      <c r="A89" s="16">
        <f>IF(B89="","",ROW()-4)</f>
        <v/>
      </c>
      <c r="B89" s="17" t="n"/>
      <c r="C89" s="17" t="n"/>
      <c r="D89" s="17" t="n"/>
      <c r="E89" s="17" t="n"/>
      <c r="F89" s="18" t="n"/>
      <c r="G89" s="19" t="n"/>
      <c r="H89" s="20">
        <f>IF(G89="","",IF(OR(I89="Submitted",I89="Under review",I89="Awarded",I89="Rejected",I89="Withdrawn"),"—",G89-TODAY()))</f>
        <v/>
      </c>
      <c r="I89" s="17" t="n"/>
      <c r="J89" s="19" t="n"/>
      <c r="K89" s="19" t="n"/>
      <c r="L89" s="18" t="n"/>
      <c r="M89" s="17" t="n"/>
      <c r="N89" s="17" t="n"/>
      <c r="O89" s="17" t="n"/>
      <c r="P89" s="17" t="n"/>
      <c r="Q89" s="16">
        <f>IF($B89="","",COUNTIF(M89:P89,"Ready")&amp;" / 4")</f>
        <v/>
      </c>
      <c r="R89" s="17" t="n"/>
      <c r="S89" s="17" t="n"/>
    </row>
    <row r="90">
      <c r="A90" s="16">
        <f>IF(B90="","",ROW()-4)</f>
        <v/>
      </c>
      <c r="B90" s="21" t="n"/>
      <c r="C90" s="21" t="n"/>
      <c r="D90" s="21" t="n"/>
      <c r="E90" s="21" t="n"/>
      <c r="F90" s="22" t="n"/>
      <c r="G90" s="23" t="n"/>
      <c r="H90" s="20">
        <f>IF(G90="","",IF(OR(I90="Submitted",I90="Under review",I90="Awarded",I90="Rejected",I90="Withdrawn"),"—",G90-TODAY()))</f>
        <v/>
      </c>
      <c r="I90" s="21" t="n"/>
      <c r="J90" s="23" t="n"/>
      <c r="K90" s="23" t="n"/>
      <c r="L90" s="22" t="n"/>
      <c r="M90" s="21" t="n"/>
      <c r="N90" s="21" t="n"/>
      <c r="O90" s="21" t="n"/>
      <c r="P90" s="21" t="n"/>
      <c r="Q90" s="16">
        <f>IF($B90="","",COUNTIF(M90:P90,"Ready")&amp;" / 4")</f>
        <v/>
      </c>
      <c r="R90" s="21" t="n"/>
      <c r="S90" s="21" t="n"/>
    </row>
    <row r="91">
      <c r="A91" s="16">
        <f>IF(B91="","",ROW()-4)</f>
        <v/>
      </c>
      <c r="B91" s="17" t="n"/>
      <c r="C91" s="17" t="n"/>
      <c r="D91" s="17" t="n"/>
      <c r="E91" s="17" t="n"/>
      <c r="F91" s="18" t="n"/>
      <c r="G91" s="19" t="n"/>
      <c r="H91" s="20">
        <f>IF(G91="","",IF(OR(I91="Submitted",I91="Under review",I91="Awarded",I91="Rejected",I91="Withdrawn"),"—",G91-TODAY()))</f>
        <v/>
      </c>
      <c r="I91" s="17" t="n"/>
      <c r="J91" s="19" t="n"/>
      <c r="K91" s="19" t="n"/>
      <c r="L91" s="18" t="n"/>
      <c r="M91" s="17" t="n"/>
      <c r="N91" s="17" t="n"/>
      <c r="O91" s="17" t="n"/>
      <c r="P91" s="17" t="n"/>
      <c r="Q91" s="16">
        <f>IF($B91="","",COUNTIF(M91:P91,"Ready")&amp;" / 4")</f>
        <v/>
      </c>
      <c r="R91" s="17" t="n"/>
      <c r="S91" s="17" t="n"/>
    </row>
    <row r="92">
      <c r="A92" s="16">
        <f>IF(B92="","",ROW()-4)</f>
        <v/>
      </c>
      <c r="B92" s="21" t="n"/>
      <c r="C92" s="21" t="n"/>
      <c r="D92" s="21" t="n"/>
      <c r="E92" s="21" t="n"/>
      <c r="F92" s="22" t="n"/>
      <c r="G92" s="23" t="n"/>
      <c r="H92" s="20">
        <f>IF(G92="","",IF(OR(I92="Submitted",I92="Under review",I92="Awarded",I92="Rejected",I92="Withdrawn"),"—",G92-TODAY()))</f>
        <v/>
      </c>
      <c r="I92" s="21" t="n"/>
      <c r="J92" s="23" t="n"/>
      <c r="K92" s="23" t="n"/>
      <c r="L92" s="22" t="n"/>
      <c r="M92" s="21" t="n"/>
      <c r="N92" s="21" t="n"/>
      <c r="O92" s="21" t="n"/>
      <c r="P92" s="21" t="n"/>
      <c r="Q92" s="16">
        <f>IF($B92="","",COUNTIF(M92:P92,"Ready")&amp;" / 4")</f>
        <v/>
      </c>
      <c r="R92" s="21" t="n"/>
      <c r="S92" s="21" t="n"/>
    </row>
    <row r="93">
      <c r="A93" s="16">
        <f>IF(B93="","",ROW()-4)</f>
        <v/>
      </c>
      <c r="B93" s="17" t="n"/>
      <c r="C93" s="17" t="n"/>
      <c r="D93" s="17" t="n"/>
      <c r="E93" s="17" t="n"/>
      <c r="F93" s="18" t="n"/>
      <c r="G93" s="19" t="n"/>
      <c r="H93" s="20">
        <f>IF(G93="","",IF(OR(I93="Submitted",I93="Under review",I93="Awarded",I93="Rejected",I93="Withdrawn"),"—",G93-TODAY()))</f>
        <v/>
      </c>
      <c r="I93" s="17" t="n"/>
      <c r="J93" s="19" t="n"/>
      <c r="K93" s="19" t="n"/>
      <c r="L93" s="18" t="n"/>
      <c r="M93" s="17" t="n"/>
      <c r="N93" s="17" t="n"/>
      <c r="O93" s="17" t="n"/>
      <c r="P93" s="17" t="n"/>
      <c r="Q93" s="16">
        <f>IF($B93="","",COUNTIF(M93:P93,"Ready")&amp;" / 4")</f>
        <v/>
      </c>
      <c r="R93" s="17" t="n"/>
      <c r="S93" s="17" t="n"/>
    </row>
    <row r="94">
      <c r="A94" s="16">
        <f>IF(B94="","",ROW()-4)</f>
        <v/>
      </c>
      <c r="B94" s="21" t="n"/>
      <c r="C94" s="21" t="n"/>
      <c r="D94" s="21" t="n"/>
      <c r="E94" s="21" t="n"/>
      <c r="F94" s="22" t="n"/>
      <c r="G94" s="23" t="n"/>
      <c r="H94" s="20">
        <f>IF(G94="","",IF(OR(I94="Submitted",I94="Under review",I94="Awarded",I94="Rejected",I94="Withdrawn"),"—",G94-TODAY()))</f>
        <v/>
      </c>
      <c r="I94" s="21" t="n"/>
      <c r="J94" s="23" t="n"/>
      <c r="K94" s="23" t="n"/>
      <c r="L94" s="22" t="n"/>
      <c r="M94" s="21" t="n"/>
      <c r="N94" s="21" t="n"/>
      <c r="O94" s="21" t="n"/>
      <c r="P94" s="21" t="n"/>
      <c r="Q94" s="16">
        <f>IF($B94="","",COUNTIF(M94:P94,"Ready")&amp;" / 4")</f>
        <v/>
      </c>
      <c r="R94" s="21" t="n"/>
      <c r="S94" s="21" t="n"/>
    </row>
    <row r="95">
      <c r="A95" s="16">
        <f>IF(B95="","",ROW()-4)</f>
        <v/>
      </c>
      <c r="B95" s="17" t="n"/>
      <c r="C95" s="17" t="n"/>
      <c r="D95" s="17" t="n"/>
      <c r="E95" s="17" t="n"/>
      <c r="F95" s="18" t="n"/>
      <c r="G95" s="19" t="n"/>
      <c r="H95" s="20">
        <f>IF(G95="","",IF(OR(I95="Submitted",I95="Under review",I95="Awarded",I95="Rejected",I95="Withdrawn"),"—",G95-TODAY()))</f>
        <v/>
      </c>
      <c r="I95" s="17" t="n"/>
      <c r="J95" s="19" t="n"/>
      <c r="K95" s="19" t="n"/>
      <c r="L95" s="18" t="n"/>
      <c r="M95" s="17" t="n"/>
      <c r="N95" s="17" t="n"/>
      <c r="O95" s="17" t="n"/>
      <c r="P95" s="17" t="n"/>
      <c r="Q95" s="16">
        <f>IF($B95="","",COUNTIF(M95:P95,"Ready")&amp;" / 4")</f>
        <v/>
      </c>
      <c r="R95" s="17" t="n"/>
      <c r="S95" s="17" t="n"/>
    </row>
    <row r="96">
      <c r="A96" s="16">
        <f>IF(B96="","",ROW()-4)</f>
        <v/>
      </c>
      <c r="B96" s="21" t="n"/>
      <c r="C96" s="21" t="n"/>
      <c r="D96" s="21" t="n"/>
      <c r="E96" s="21" t="n"/>
      <c r="F96" s="22" t="n"/>
      <c r="G96" s="23" t="n"/>
      <c r="H96" s="20">
        <f>IF(G96="","",IF(OR(I96="Submitted",I96="Under review",I96="Awarded",I96="Rejected",I96="Withdrawn"),"—",G96-TODAY()))</f>
        <v/>
      </c>
      <c r="I96" s="21" t="n"/>
      <c r="J96" s="23" t="n"/>
      <c r="K96" s="23" t="n"/>
      <c r="L96" s="22" t="n"/>
      <c r="M96" s="21" t="n"/>
      <c r="N96" s="21" t="n"/>
      <c r="O96" s="21" t="n"/>
      <c r="P96" s="21" t="n"/>
      <c r="Q96" s="16">
        <f>IF($B96="","",COUNTIF(M96:P96,"Ready")&amp;" / 4")</f>
        <v/>
      </c>
      <c r="R96" s="21" t="n"/>
      <c r="S96" s="21" t="n"/>
    </row>
    <row r="97">
      <c r="A97" s="16">
        <f>IF(B97="","",ROW()-4)</f>
        <v/>
      </c>
      <c r="B97" s="17" t="n"/>
      <c r="C97" s="17" t="n"/>
      <c r="D97" s="17" t="n"/>
      <c r="E97" s="17" t="n"/>
      <c r="F97" s="18" t="n"/>
      <c r="G97" s="19" t="n"/>
      <c r="H97" s="20">
        <f>IF(G97="","",IF(OR(I97="Submitted",I97="Under review",I97="Awarded",I97="Rejected",I97="Withdrawn"),"—",G97-TODAY()))</f>
        <v/>
      </c>
      <c r="I97" s="17" t="n"/>
      <c r="J97" s="19" t="n"/>
      <c r="K97" s="19" t="n"/>
      <c r="L97" s="18" t="n"/>
      <c r="M97" s="17" t="n"/>
      <c r="N97" s="17" t="n"/>
      <c r="O97" s="17" t="n"/>
      <c r="P97" s="17" t="n"/>
      <c r="Q97" s="16">
        <f>IF($B97="","",COUNTIF(M97:P97,"Ready")&amp;" / 4")</f>
        <v/>
      </c>
      <c r="R97" s="17" t="n"/>
      <c r="S97" s="17" t="n"/>
    </row>
    <row r="98">
      <c r="A98" s="16">
        <f>IF(B98="","",ROW()-4)</f>
        <v/>
      </c>
      <c r="B98" s="21" t="n"/>
      <c r="C98" s="21" t="n"/>
      <c r="D98" s="21" t="n"/>
      <c r="E98" s="21" t="n"/>
      <c r="F98" s="22" t="n"/>
      <c r="G98" s="23" t="n"/>
      <c r="H98" s="20">
        <f>IF(G98="","",IF(OR(I98="Submitted",I98="Under review",I98="Awarded",I98="Rejected",I98="Withdrawn"),"—",G98-TODAY()))</f>
        <v/>
      </c>
      <c r="I98" s="21" t="n"/>
      <c r="J98" s="23" t="n"/>
      <c r="K98" s="23" t="n"/>
      <c r="L98" s="22" t="n"/>
      <c r="M98" s="21" t="n"/>
      <c r="N98" s="21" t="n"/>
      <c r="O98" s="21" t="n"/>
      <c r="P98" s="21" t="n"/>
      <c r="Q98" s="16">
        <f>IF($B98="","",COUNTIF(M98:P98,"Ready")&amp;" / 4")</f>
        <v/>
      </c>
      <c r="R98" s="21" t="n"/>
      <c r="S98" s="21" t="n"/>
    </row>
    <row r="99">
      <c r="A99" s="16">
        <f>IF(B99="","",ROW()-4)</f>
        <v/>
      </c>
      <c r="B99" s="17" t="n"/>
      <c r="C99" s="17" t="n"/>
      <c r="D99" s="17" t="n"/>
      <c r="E99" s="17" t="n"/>
      <c r="F99" s="18" t="n"/>
      <c r="G99" s="19" t="n"/>
      <c r="H99" s="20">
        <f>IF(G99="","",IF(OR(I99="Submitted",I99="Under review",I99="Awarded",I99="Rejected",I99="Withdrawn"),"—",G99-TODAY()))</f>
        <v/>
      </c>
      <c r="I99" s="17" t="n"/>
      <c r="J99" s="19" t="n"/>
      <c r="K99" s="19" t="n"/>
      <c r="L99" s="18" t="n"/>
      <c r="M99" s="17" t="n"/>
      <c r="N99" s="17" t="n"/>
      <c r="O99" s="17" t="n"/>
      <c r="P99" s="17" t="n"/>
      <c r="Q99" s="16">
        <f>IF($B99="","",COUNTIF(M99:P99,"Ready")&amp;" / 4")</f>
        <v/>
      </c>
      <c r="R99" s="17" t="n"/>
      <c r="S99" s="17" t="n"/>
    </row>
    <row r="100">
      <c r="A100" s="16">
        <f>IF(B100="","",ROW()-4)</f>
        <v/>
      </c>
      <c r="B100" s="21" t="n"/>
      <c r="C100" s="21" t="n"/>
      <c r="D100" s="21" t="n"/>
      <c r="E100" s="21" t="n"/>
      <c r="F100" s="22" t="n"/>
      <c r="G100" s="23" t="n"/>
      <c r="H100" s="20">
        <f>IF(G100="","",IF(OR(I100="Submitted",I100="Under review",I100="Awarded",I100="Rejected",I100="Withdrawn"),"—",G100-TODAY()))</f>
        <v/>
      </c>
      <c r="I100" s="21" t="n"/>
      <c r="J100" s="23" t="n"/>
      <c r="K100" s="23" t="n"/>
      <c r="L100" s="22" t="n"/>
      <c r="M100" s="21" t="n"/>
      <c r="N100" s="21" t="n"/>
      <c r="O100" s="21" t="n"/>
      <c r="P100" s="21" t="n"/>
      <c r="Q100" s="16">
        <f>IF($B100="","",COUNTIF(M100:P100,"Ready")&amp;" / 4")</f>
        <v/>
      </c>
      <c r="R100" s="21" t="n"/>
      <c r="S100" s="21" t="n"/>
    </row>
    <row r="101">
      <c r="A101" s="16">
        <f>IF(B101="","",ROW()-4)</f>
        <v/>
      </c>
      <c r="B101" s="17" t="n"/>
      <c r="C101" s="17" t="n"/>
      <c r="D101" s="17" t="n"/>
      <c r="E101" s="17" t="n"/>
      <c r="F101" s="18" t="n"/>
      <c r="G101" s="19" t="n"/>
      <c r="H101" s="20">
        <f>IF(G101="","",IF(OR(I101="Submitted",I101="Under review",I101="Awarded",I101="Rejected",I101="Withdrawn"),"—",G101-TODAY()))</f>
        <v/>
      </c>
      <c r="I101" s="17" t="n"/>
      <c r="J101" s="19" t="n"/>
      <c r="K101" s="19" t="n"/>
      <c r="L101" s="18" t="n"/>
      <c r="M101" s="17" t="n"/>
      <c r="N101" s="17" t="n"/>
      <c r="O101" s="17" t="n"/>
      <c r="P101" s="17" t="n"/>
      <c r="Q101" s="16">
        <f>IF($B101="","",COUNTIF(M101:P101,"Ready")&amp;" / 4")</f>
        <v/>
      </c>
      <c r="R101" s="17" t="n"/>
      <c r="S101" s="17" t="n"/>
    </row>
    <row r="102">
      <c r="A102" s="16">
        <f>IF(B102="","",ROW()-4)</f>
        <v/>
      </c>
      <c r="B102" s="21" t="n"/>
      <c r="C102" s="21" t="n"/>
      <c r="D102" s="21" t="n"/>
      <c r="E102" s="21" t="n"/>
      <c r="F102" s="22" t="n"/>
      <c r="G102" s="23" t="n"/>
      <c r="H102" s="20">
        <f>IF(G102="","",IF(OR(I102="Submitted",I102="Under review",I102="Awarded",I102="Rejected",I102="Withdrawn"),"—",G102-TODAY()))</f>
        <v/>
      </c>
      <c r="I102" s="21" t="n"/>
      <c r="J102" s="23" t="n"/>
      <c r="K102" s="23" t="n"/>
      <c r="L102" s="22" t="n"/>
      <c r="M102" s="21" t="n"/>
      <c r="N102" s="21" t="n"/>
      <c r="O102" s="21" t="n"/>
      <c r="P102" s="21" t="n"/>
      <c r="Q102" s="16">
        <f>IF($B102="","",COUNTIF(M102:P102,"Ready")&amp;" / 4")</f>
        <v/>
      </c>
      <c r="R102" s="21" t="n"/>
      <c r="S102" s="21" t="n"/>
    </row>
    <row r="103">
      <c r="A103" s="16">
        <f>IF(B103="","",ROW()-4)</f>
        <v/>
      </c>
      <c r="B103" s="17" t="n"/>
      <c r="C103" s="17" t="n"/>
      <c r="D103" s="17" t="n"/>
      <c r="E103" s="17" t="n"/>
      <c r="F103" s="18" t="n"/>
      <c r="G103" s="19" t="n"/>
      <c r="H103" s="20">
        <f>IF(G103="","",IF(OR(I103="Submitted",I103="Under review",I103="Awarded",I103="Rejected",I103="Withdrawn"),"—",G103-TODAY()))</f>
        <v/>
      </c>
      <c r="I103" s="17" t="n"/>
      <c r="J103" s="19" t="n"/>
      <c r="K103" s="19" t="n"/>
      <c r="L103" s="18" t="n"/>
      <c r="M103" s="17" t="n"/>
      <c r="N103" s="17" t="n"/>
      <c r="O103" s="17" t="n"/>
      <c r="P103" s="17" t="n"/>
      <c r="Q103" s="16">
        <f>IF($B103="","",COUNTIF(M103:P103,"Ready")&amp;" / 4")</f>
        <v/>
      </c>
      <c r="R103" s="17" t="n"/>
      <c r="S103" s="17" t="n"/>
    </row>
    <row r="104">
      <c r="A104" s="16">
        <f>IF(B104="","",ROW()-4)</f>
        <v/>
      </c>
      <c r="B104" s="21" t="n"/>
      <c r="C104" s="21" t="n"/>
      <c r="D104" s="21" t="n"/>
      <c r="E104" s="21" t="n"/>
      <c r="F104" s="22" t="n"/>
      <c r="G104" s="23" t="n"/>
      <c r="H104" s="20">
        <f>IF(G104="","",IF(OR(I104="Submitted",I104="Under review",I104="Awarded",I104="Rejected",I104="Withdrawn"),"—",G104-TODAY()))</f>
        <v/>
      </c>
      <c r="I104" s="21" t="n"/>
      <c r="J104" s="23" t="n"/>
      <c r="K104" s="23" t="n"/>
      <c r="L104" s="22" t="n"/>
      <c r="M104" s="21" t="n"/>
      <c r="N104" s="21" t="n"/>
      <c r="O104" s="21" t="n"/>
      <c r="P104" s="21" t="n"/>
      <c r="Q104" s="16">
        <f>IF($B104="","",COUNTIF(M104:P104,"Ready")&amp;" / 4")</f>
        <v/>
      </c>
      <c r="R104" s="21" t="n"/>
      <c r="S104" s="21" t="n"/>
    </row>
    <row r="105">
      <c r="A105" s="16">
        <f>IF(B105="","",ROW()-4)</f>
        <v/>
      </c>
      <c r="B105" s="17" t="n"/>
      <c r="C105" s="17" t="n"/>
      <c r="D105" s="17" t="n"/>
      <c r="E105" s="17" t="n"/>
      <c r="F105" s="18" t="n"/>
      <c r="G105" s="19" t="n"/>
      <c r="H105" s="20">
        <f>IF(G105="","",IF(OR(I105="Submitted",I105="Under review",I105="Awarded",I105="Rejected",I105="Withdrawn"),"—",G105-TODAY()))</f>
        <v/>
      </c>
      <c r="I105" s="17" t="n"/>
      <c r="J105" s="19" t="n"/>
      <c r="K105" s="19" t="n"/>
      <c r="L105" s="18" t="n"/>
      <c r="M105" s="17" t="n"/>
      <c r="N105" s="17" t="n"/>
      <c r="O105" s="17" t="n"/>
      <c r="P105" s="17" t="n"/>
      <c r="Q105" s="16">
        <f>IF($B105="","",COUNTIF(M105:P105,"Ready")&amp;" / 4")</f>
        <v/>
      </c>
      <c r="R105" s="17" t="n"/>
      <c r="S105" s="17" t="n"/>
    </row>
    <row r="106">
      <c r="A106" s="16">
        <f>IF(B106="","",ROW()-4)</f>
        <v/>
      </c>
      <c r="B106" s="21" t="n"/>
      <c r="C106" s="21" t="n"/>
      <c r="D106" s="21" t="n"/>
      <c r="E106" s="21" t="n"/>
      <c r="F106" s="22" t="n"/>
      <c r="G106" s="23" t="n"/>
      <c r="H106" s="20">
        <f>IF(G106="","",IF(OR(I106="Submitted",I106="Under review",I106="Awarded",I106="Rejected",I106="Withdrawn"),"—",G106-TODAY()))</f>
        <v/>
      </c>
      <c r="I106" s="21" t="n"/>
      <c r="J106" s="23" t="n"/>
      <c r="K106" s="23" t="n"/>
      <c r="L106" s="22" t="n"/>
      <c r="M106" s="21" t="n"/>
      <c r="N106" s="21" t="n"/>
      <c r="O106" s="21" t="n"/>
      <c r="P106" s="21" t="n"/>
      <c r="Q106" s="16">
        <f>IF($B106="","",COUNTIF(M106:P106,"Ready")&amp;" / 4")</f>
        <v/>
      </c>
      <c r="R106" s="21" t="n"/>
      <c r="S106" s="21" t="n"/>
    </row>
    <row r="107">
      <c r="A107" s="16">
        <f>IF(B107="","",ROW()-4)</f>
        <v/>
      </c>
      <c r="B107" s="17" t="n"/>
      <c r="C107" s="17" t="n"/>
      <c r="D107" s="17" t="n"/>
      <c r="E107" s="17" t="n"/>
      <c r="F107" s="18" t="n"/>
      <c r="G107" s="19" t="n"/>
      <c r="H107" s="20">
        <f>IF(G107="","",IF(OR(I107="Submitted",I107="Under review",I107="Awarded",I107="Rejected",I107="Withdrawn"),"—",G107-TODAY()))</f>
        <v/>
      </c>
      <c r="I107" s="17" t="n"/>
      <c r="J107" s="19" t="n"/>
      <c r="K107" s="19" t="n"/>
      <c r="L107" s="18" t="n"/>
      <c r="M107" s="17" t="n"/>
      <c r="N107" s="17" t="n"/>
      <c r="O107" s="17" t="n"/>
      <c r="P107" s="17" t="n"/>
      <c r="Q107" s="16">
        <f>IF($B107="","",COUNTIF(M107:P107,"Ready")&amp;" / 4")</f>
        <v/>
      </c>
      <c r="R107" s="17" t="n"/>
      <c r="S107" s="17" t="n"/>
    </row>
    <row r="108">
      <c r="A108" s="16">
        <f>IF(B108="","",ROW()-4)</f>
        <v/>
      </c>
      <c r="B108" s="21" t="n"/>
      <c r="C108" s="21" t="n"/>
      <c r="D108" s="21" t="n"/>
      <c r="E108" s="21" t="n"/>
      <c r="F108" s="22" t="n"/>
      <c r="G108" s="23" t="n"/>
      <c r="H108" s="20">
        <f>IF(G108="","",IF(OR(I108="Submitted",I108="Under review",I108="Awarded",I108="Rejected",I108="Withdrawn"),"—",G108-TODAY()))</f>
        <v/>
      </c>
      <c r="I108" s="21" t="n"/>
      <c r="J108" s="23" t="n"/>
      <c r="K108" s="23" t="n"/>
      <c r="L108" s="22" t="n"/>
      <c r="M108" s="21" t="n"/>
      <c r="N108" s="21" t="n"/>
      <c r="O108" s="21" t="n"/>
      <c r="P108" s="21" t="n"/>
      <c r="Q108" s="16">
        <f>IF($B108="","",COUNTIF(M108:P108,"Ready")&amp;" / 4")</f>
        <v/>
      </c>
      <c r="R108" s="21" t="n"/>
      <c r="S108" s="21" t="n"/>
    </row>
    <row r="109">
      <c r="A109" s="16">
        <f>IF(B109="","",ROW()-4)</f>
        <v/>
      </c>
      <c r="B109" s="17" t="n"/>
      <c r="C109" s="17" t="n"/>
      <c r="D109" s="17" t="n"/>
      <c r="E109" s="17" t="n"/>
      <c r="F109" s="18" t="n"/>
      <c r="G109" s="19" t="n"/>
      <c r="H109" s="20">
        <f>IF(G109="","",IF(OR(I109="Submitted",I109="Under review",I109="Awarded",I109="Rejected",I109="Withdrawn"),"—",G109-TODAY()))</f>
        <v/>
      </c>
      <c r="I109" s="17" t="n"/>
      <c r="J109" s="19" t="n"/>
      <c r="K109" s="19" t="n"/>
      <c r="L109" s="18" t="n"/>
      <c r="M109" s="17" t="n"/>
      <c r="N109" s="17" t="n"/>
      <c r="O109" s="17" t="n"/>
      <c r="P109" s="17" t="n"/>
      <c r="Q109" s="16">
        <f>IF($B109="","",COUNTIF(M109:P109,"Ready")&amp;" / 4")</f>
        <v/>
      </c>
      <c r="R109" s="17" t="n"/>
      <c r="S109" s="17" t="n"/>
    </row>
    <row r="110">
      <c r="A110" s="16">
        <f>IF(B110="","",ROW()-4)</f>
        <v/>
      </c>
      <c r="B110" s="21" t="n"/>
      <c r="C110" s="21" t="n"/>
      <c r="D110" s="21" t="n"/>
      <c r="E110" s="21" t="n"/>
      <c r="F110" s="22" t="n"/>
      <c r="G110" s="23" t="n"/>
      <c r="H110" s="20">
        <f>IF(G110="","",IF(OR(I110="Submitted",I110="Under review",I110="Awarded",I110="Rejected",I110="Withdrawn"),"—",G110-TODAY()))</f>
        <v/>
      </c>
      <c r="I110" s="21" t="n"/>
      <c r="J110" s="23" t="n"/>
      <c r="K110" s="23" t="n"/>
      <c r="L110" s="22" t="n"/>
      <c r="M110" s="21" t="n"/>
      <c r="N110" s="21" t="n"/>
      <c r="O110" s="21" t="n"/>
      <c r="P110" s="21" t="n"/>
      <c r="Q110" s="16">
        <f>IF($B110="","",COUNTIF(M110:P110,"Ready")&amp;" / 4")</f>
        <v/>
      </c>
      <c r="R110" s="21" t="n"/>
      <c r="S110" s="21" t="n"/>
    </row>
    <row r="111">
      <c r="A111" s="16">
        <f>IF(B111="","",ROW()-4)</f>
        <v/>
      </c>
      <c r="B111" s="17" t="n"/>
      <c r="C111" s="17" t="n"/>
      <c r="D111" s="17" t="n"/>
      <c r="E111" s="17" t="n"/>
      <c r="F111" s="18" t="n"/>
      <c r="G111" s="19" t="n"/>
      <c r="H111" s="20">
        <f>IF(G111="","",IF(OR(I111="Submitted",I111="Under review",I111="Awarded",I111="Rejected",I111="Withdrawn"),"—",G111-TODAY()))</f>
        <v/>
      </c>
      <c r="I111" s="17" t="n"/>
      <c r="J111" s="19" t="n"/>
      <c r="K111" s="19" t="n"/>
      <c r="L111" s="18" t="n"/>
      <c r="M111" s="17" t="n"/>
      <c r="N111" s="17" t="n"/>
      <c r="O111" s="17" t="n"/>
      <c r="P111" s="17" t="n"/>
      <c r="Q111" s="16">
        <f>IF($B111="","",COUNTIF(M111:P111,"Ready")&amp;" / 4")</f>
        <v/>
      </c>
      <c r="R111" s="17" t="n"/>
      <c r="S111" s="17" t="n"/>
    </row>
    <row r="112">
      <c r="A112" s="16">
        <f>IF(B112="","",ROW()-4)</f>
        <v/>
      </c>
      <c r="B112" s="21" t="n"/>
      <c r="C112" s="21" t="n"/>
      <c r="D112" s="21" t="n"/>
      <c r="E112" s="21" t="n"/>
      <c r="F112" s="22" t="n"/>
      <c r="G112" s="23" t="n"/>
      <c r="H112" s="20">
        <f>IF(G112="","",IF(OR(I112="Submitted",I112="Under review",I112="Awarded",I112="Rejected",I112="Withdrawn"),"—",G112-TODAY()))</f>
        <v/>
      </c>
      <c r="I112" s="21" t="n"/>
      <c r="J112" s="23" t="n"/>
      <c r="K112" s="23" t="n"/>
      <c r="L112" s="22" t="n"/>
      <c r="M112" s="21" t="n"/>
      <c r="N112" s="21" t="n"/>
      <c r="O112" s="21" t="n"/>
      <c r="P112" s="21" t="n"/>
      <c r="Q112" s="16">
        <f>IF($B112="","",COUNTIF(M112:P112,"Ready")&amp;" / 4")</f>
        <v/>
      </c>
      <c r="R112" s="21" t="n"/>
      <c r="S112" s="21" t="n"/>
    </row>
    <row r="113">
      <c r="A113" s="16">
        <f>IF(B113="","",ROW()-4)</f>
        <v/>
      </c>
      <c r="B113" s="17" t="n"/>
      <c r="C113" s="17" t="n"/>
      <c r="D113" s="17" t="n"/>
      <c r="E113" s="17" t="n"/>
      <c r="F113" s="18" t="n"/>
      <c r="G113" s="19" t="n"/>
      <c r="H113" s="20">
        <f>IF(G113="","",IF(OR(I113="Submitted",I113="Under review",I113="Awarded",I113="Rejected",I113="Withdrawn"),"—",G113-TODAY()))</f>
        <v/>
      </c>
      <c r="I113" s="17" t="n"/>
      <c r="J113" s="19" t="n"/>
      <c r="K113" s="19" t="n"/>
      <c r="L113" s="18" t="n"/>
      <c r="M113" s="17" t="n"/>
      <c r="N113" s="17" t="n"/>
      <c r="O113" s="17" t="n"/>
      <c r="P113" s="17" t="n"/>
      <c r="Q113" s="16">
        <f>IF($B113="","",COUNTIF(M113:P113,"Ready")&amp;" / 4")</f>
        <v/>
      </c>
      <c r="R113" s="17" t="n"/>
      <c r="S113" s="17" t="n"/>
    </row>
    <row r="114">
      <c r="A114" s="16">
        <f>IF(B114="","",ROW()-4)</f>
        <v/>
      </c>
      <c r="B114" s="21" t="n"/>
      <c r="C114" s="21" t="n"/>
      <c r="D114" s="21" t="n"/>
      <c r="E114" s="21" t="n"/>
      <c r="F114" s="22" t="n"/>
      <c r="G114" s="23" t="n"/>
      <c r="H114" s="20">
        <f>IF(G114="","",IF(OR(I114="Submitted",I114="Under review",I114="Awarded",I114="Rejected",I114="Withdrawn"),"—",G114-TODAY()))</f>
        <v/>
      </c>
      <c r="I114" s="21" t="n"/>
      <c r="J114" s="23" t="n"/>
      <c r="K114" s="23" t="n"/>
      <c r="L114" s="22" t="n"/>
      <c r="M114" s="21" t="n"/>
      <c r="N114" s="21" t="n"/>
      <c r="O114" s="21" t="n"/>
      <c r="P114" s="21" t="n"/>
      <c r="Q114" s="16">
        <f>IF($B114="","",COUNTIF(M114:P114,"Ready")&amp;" / 4")</f>
        <v/>
      </c>
      <c r="R114" s="21" t="n"/>
      <c r="S114" s="21" t="n"/>
    </row>
    <row r="115">
      <c r="A115" s="16">
        <f>IF(B115="","",ROW()-4)</f>
        <v/>
      </c>
      <c r="B115" s="17" t="n"/>
      <c r="C115" s="17" t="n"/>
      <c r="D115" s="17" t="n"/>
      <c r="E115" s="17" t="n"/>
      <c r="F115" s="18" t="n"/>
      <c r="G115" s="19" t="n"/>
      <c r="H115" s="20">
        <f>IF(G115="","",IF(OR(I115="Submitted",I115="Under review",I115="Awarded",I115="Rejected",I115="Withdrawn"),"—",G115-TODAY()))</f>
        <v/>
      </c>
      <c r="I115" s="17" t="n"/>
      <c r="J115" s="19" t="n"/>
      <c r="K115" s="19" t="n"/>
      <c r="L115" s="18" t="n"/>
      <c r="M115" s="17" t="n"/>
      <c r="N115" s="17" t="n"/>
      <c r="O115" s="17" t="n"/>
      <c r="P115" s="17" t="n"/>
      <c r="Q115" s="16">
        <f>IF($B115="","",COUNTIF(M115:P115,"Ready")&amp;" / 4")</f>
        <v/>
      </c>
      <c r="R115" s="17" t="n"/>
      <c r="S115" s="17" t="n"/>
    </row>
    <row r="116">
      <c r="A116" s="16">
        <f>IF(B116="","",ROW()-4)</f>
        <v/>
      </c>
      <c r="B116" s="21" t="n"/>
      <c r="C116" s="21" t="n"/>
      <c r="D116" s="21" t="n"/>
      <c r="E116" s="21" t="n"/>
      <c r="F116" s="22" t="n"/>
      <c r="G116" s="23" t="n"/>
      <c r="H116" s="20">
        <f>IF(G116="","",IF(OR(I116="Submitted",I116="Under review",I116="Awarded",I116="Rejected",I116="Withdrawn"),"—",G116-TODAY()))</f>
        <v/>
      </c>
      <c r="I116" s="21" t="n"/>
      <c r="J116" s="23" t="n"/>
      <c r="K116" s="23" t="n"/>
      <c r="L116" s="22" t="n"/>
      <c r="M116" s="21" t="n"/>
      <c r="N116" s="21" t="n"/>
      <c r="O116" s="21" t="n"/>
      <c r="P116" s="21" t="n"/>
      <c r="Q116" s="16">
        <f>IF($B116="","",COUNTIF(M116:P116,"Ready")&amp;" / 4")</f>
        <v/>
      </c>
      <c r="R116" s="21" t="n"/>
      <c r="S116" s="21" t="n"/>
    </row>
    <row r="117">
      <c r="A117" s="16">
        <f>IF(B117="","",ROW()-4)</f>
        <v/>
      </c>
      <c r="B117" s="17" t="n"/>
      <c r="C117" s="17" t="n"/>
      <c r="D117" s="17" t="n"/>
      <c r="E117" s="17" t="n"/>
      <c r="F117" s="18" t="n"/>
      <c r="G117" s="19" t="n"/>
      <c r="H117" s="20">
        <f>IF(G117="","",IF(OR(I117="Submitted",I117="Under review",I117="Awarded",I117="Rejected",I117="Withdrawn"),"—",G117-TODAY()))</f>
        <v/>
      </c>
      <c r="I117" s="17" t="n"/>
      <c r="J117" s="19" t="n"/>
      <c r="K117" s="19" t="n"/>
      <c r="L117" s="18" t="n"/>
      <c r="M117" s="17" t="n"/>
      <c r="N117" s="17" t="n"/>
      <c r="O117" s="17" t="n"/>
      <c r="P117" s="17" t="n"/>
      <c r="Q117" s="16">
        <f>IF($B117="","",COUNTIF(M117:P117,"Ready")&amp;" / 4")</f>
        <v/>
      </c>
      <c r="R117" s="17" t="n"/>
      <c r="S117" s="17" t="n"/>
    </row>
    <row r="118">
      <c r="A118" s="16">
        <f>IF(B118="","",ROW()-4)</f>
        <v/>
      </c>
      <c r="B118" s="21" t="n"/>
      <c r="C118" s="21" t="n"/>
      <c r="D118" s="21" t="n"/>
      <c r="E118" s="21" t="n"/>
      <c r="F118" s="22" t="n"/>
      <c r="G118" s="23" t="n"/>
      <c r="H118" s="20">
        <f>IF(G118="","",IF(OR(I118="Submitted",I118="Under review",I118="Awarded",I118="Rejected",I118="Withdrawn"),"—",G118-TODAY()))</f>
        <v/>
      </c>
      <c r="I118" s="21" t="n"/>
      <c r="J118" s="23" t="n"/>
      <c r="K118" s="23" t="n"/>
      <c r="L118" s="22" t="n"/>
      <c r="M118" s="21" t="n"/>
      <c r="N118" s="21" t="n"/>
      <c r="O118" s="21" t="n"/>
      <c r="P118" s="21" t="n"/>
      <c r="Q118" s="16">
        <f>IF($B118="","",COUNTIF(M118:P118,"Ready")&amp;" / 4")</f>
        <v/>
      </c>
      <c r="R118" s="21" t="n"/>
      <c r="S118" s="21" t="n"/>
    </row>
    <row r="119">
      <c r="A119" s="16">
        <f>IF(B119="","",ROW()-4)</f>
        <v/>
      </c>
      <c r="B119" s="17" t="n"/>
      <c r="C119" s="17" t="n"/>
      <c r="D119" s="17" t="n"/>
      <c r="E119" s="17" t="n"/>
      <c r="F119" s="18" t="n"/>
      <c r="G119" s="19" t="n"/>
      <c r="H119" s="20">
        <f>IF(G119="","",IF(OR(I119="Submitted",I119="Under review",I119="Awarded",I119="Rejected",I119="Withdrawn"),"—",G119-TODAY()))</f>
        <v/>
      </c>
      <c r="I119" s="17" t="n"/>
      <c r="J119" s="19" t="n"/>
      <c r="K119" s="19" t="n"/>
      <c r="L119" s="18" t="n"/>
      <c r="M119" s="17" t="n"/>
      <c r="N119" s="17" t="n"/>
      <c r="O119" s="17" t="n"/>
      <c r="P119" s="17" t="n"/>
      <c r="Q119" s="16">
        <f>IF($B119="","",COUNTIF(M119:P119,"Ready")&amp;" / 4")</f>
        <v/>
      </c>
      <c r="R119" s="17" t="n"/>
      <c r="S119" s="17" t="n"/>
    </row>
    <row r="120">
      <c r="A120" s="16">
        <f>IF(B120="","",ROW()-4)</f>
        <v/>
      </c>
      <c r="B120" s="21" t="n"/>
      <c r="C120" s="21" t="n"/>
      <c r="D120" s="21" t="n"/>
      <c r="E120" s="21" t="n"/>
      <c r="F120" s="22" t="n"/>
      <c r="G120" s="23" t="n"/>
      <c r="H120" s="20">
        <f>IF(G120="","",IF(OR(I120="Submitted",I120="Under review",I120="Awarded",I120="Rejected",I120="Withdrawn"),"—",G120-TODAY()))</f>
        <v/>
      </c>
      <c r="I120" s="21" t="n"/>
      <c r="J120" s="23" t="n"/>
      <c r="K120" s="23" t="n"/>
      <c r="L120" s="22" t="n"/>
      <c r="M120" s="21" t="n"/>
      <c r="N120" s="21" t="n"/>
      <c r="O120" s="21" t="n"/>
      <c r="P120" s="21" t="n"/>
      <c r="Q120" s="16">
        <f>IF($B120="","",COUNTIF(M120:P120,"Ready")&amp;" / 4")</f>
        <v/>
      </c>
      <c r="R120" s="21" t="n"/>
      <c r="S120" s="21" t="n"/>
    </row>
    <row r="121">
      <c r="A121" s="16">
        <f>IF(B121="","",ROW()-4)</f>
        <v/>
      </c>
      <c r="B121" s="17" t="n"/>
      <c r="C121" s="17" t="n"/>
      <c r="D121" s="17" t="n"/>
      <c r="E121" s="17" t="n"/>
      <c r="F121" s="18" t="n"/>
      <c r="G121" s="19" t="n"/>
      <c r="H121" s="20">
        <f>IF(G121="","",IF(OR(I121="Submitted",I121="Under review",I121="Awarded",I121="Rejected",I121="Withdrawn"),"—",G121-TODAY()))</f>
        <v/>
      </c>
      <c r="I121" s="17" t="n"/>
      <c r="J121" s="19" t="n"/>
      <c r="K121" s="19" t="n"/>
      <c r="L121" s="18" t="n"/>
      <c r="M121" s="17" t="n"/>
      <c r="N121" s="17" t="n"/>
      <c r="O121" s="17" t="n"/>
      <c r="P121" s="17" t="n"/>
      <c r="Q121" s="16">
        <f>IF($B121="","",COUNTIF(M121:P121,"Ready")&amp;" / 4")</f>
        <v/>
      </c>
      <c r="R121" s="17" t="n"/>
      <c r="S121" s="17" t="n"/>
    </row>
    <row r="122">
      <c r="A122" s="16">
        <f>IF(B122="","",ROW()-4)</f>
        <v/>
      </c>
      <c r="B122" s="21" t="n"/>
      <c r="C122" s="21" t="n"/>
      <c r="D122" s="21" t="n"/>
      <c r="E122" s="21" t="n"/>
      <c r="F122" s="22" t="n"/>
      <c r="G122" s="23" t="n"/>
      <c r="H122" s="20">
        <f>IF(G122="","",IF(OR(I122="Submitted",I122="Under review",I122="Awarded",I122="Rejected",I122="Withdrawn"),"—",G122-TODAY()))</f>
        <v/>
      </c>
      <c r="I122" s="21" t="n"/>
      <c r="J122" s="23" t="n"/>
      <c r="K122" s="23" t="n"/>
      <c r="L122" s="22" t="n"/>
      <c r="M122" s="21" t="n"/>
      <c r="N122" s="21" t="n"/>
      <c r="O122" s="21" t="n"/>
      <c r="P122" s="21" t="n"/>
      <c r="Q122" s="16">
        <f>IF($B122="","",COUNTIF(M122:P122,"Ready")&amp;" / 4")</f>
        <v/>
      </c>
      <c r="R122" s="21" t="n"/>
      <c r="S122" s="21" t="n"/>
    </row>
    <row r="123">
      <c r="A123" s="16">
        <f>IF(B123="","",ROW()-4)</f>
        <v/>
      </c>
      <c r="B123" s="17" t="n"/>
      <c r="C123" s="17" t="n"/>
      <c r="D123" s="17" t="n"/>
      <c r="E123" s="17" t="n"/>
      <c r="F123" s="18" t="n"/>
      <c r="G123" s="19" t="n"/>
      <c r="H123" s="20">
        <f>IF(G123="","",IF(OR(I123="Submitted",I123="Under review",I123="Awarded",I123="Rejected",I123="Withdrawn"),"—",G123-TODAY()))</f>
        <v/>
      </c>
      <c r="I123" s="17" t="n"/>
      <c r="J123" s="19" t="n"/>
      <c r="K123" s="19" t="n"/>
      <c r="L123" s="18" t="n"/>
      <c r="M123" s="17" t="n"/>
      <c r="N123" s="17" t="n"/>
      <c r="O123" s="17" t="n"/>
      <c r="P123" s="17" t="n"/>
      <c r="Q123" s="16">
        <f>IF($B123="","",COUNTIF(M123:P123,"Ready")&amp;" / 4")</f>
        <v/>
      </c>
      <c r="R123" s="17" t="n"/>
      <c r="S123" s="17" t="n"/>
    </row>
    <row r="124">
      <c r="A124" s="16">
        <f>IF(B124="","",ROW()-4)</f>
        <v/>
      </c>
      <c r="B124" s="21" t="n"/>
      <c r="C124" s="21" t="n"/>
      <c r="D124" s="21" t="n"/>
      <c r="E124" s="21" t="n"/>
      <c r="F124" s="22" t="n"/>
      <c r="G124" s="23" t="n"/>
      <c r="H124" s="20">
        <f>IF(G124="","",IF(OR(I124="Submitted",I124="Under review",I124="Awarded",I124="Rejected",I124="Withdrawn"),"—",G124-TODAY()))</f>
        <v/>
      </c>
      <c r="I124" s="21" t="n"/>
      <c r="J124" s="23" t="n"/>
      <c r="K124" s="23" t="n"/>
      <c r="L124" s="22" t="n"/>
      <c r="M124" s="21" t="n"/>
      <c r="N124" s="21" t="n"/>
      <c r="O124" s="21" t="n"/>
      <c r="P124" s="21" t="n"/>
      <c r="Q124" s="16">
        <f>IF($B124="","",COUNTIF(M124:P124,"Ready")&amp;" / 4")</f>
        <v/>
      </c>
      <c r="R124" s="21" t="n"/>
      <c r="S124" s="21" t="n"/>
    </row>
    <row r="125">
      <c r="A125" s="16">
        <f>IF(B125="","",ROW()-4)</f>
        <v/>
      </c>
      <c r="B125" s="17" t="n"/>
      <c r="C125" s="17" t="n"/>
      <c r="D125" s="17" t="n"/>
      <c r="E125" s="17" t="n"/>
      <c r="F125" s="18" t="n"/>
      <c r="G125" s="19" t="n"/>
      <c r="H125" s="20">
        <f>IF(G125="","",IF(OR(I125="Submitted",I125="Under review",I125="Awarded",I125="Rejected",I125="Withdrawn"),"—",G125-TODAY()))</f>
        <v/>
      </c>
      <c r="I125" s="17" t="n"/>
      <c r="J125" s="19" t="n"/>
      <c r="K125" s="19" t="n"/>
      <c r="L125" s="18" t="n"/>
      <c r="M125" s="17" t="n"/>
      <c r="N125" s="17" t="n"/>
      <c r="O125" s="17" t="n"/>
      <c r="P125" s="17" t="n"/>
      <c r="Q125" s="16">
        <f>IF($B125="","",COUNTIF(M125:P125,"Ready")&amp;" / 4")</f>
        <v/>
      </c>
      <c r="R125" s="17" t="n"/>
      <c r="S125" s="17" t="n"/>
    </row>
    <row r="126">
      <c r="A126" s="16">
        <f>IF(B126="","",ROW()-4)</f>
        <v/>
      </c>
      <c r="B126" s="21" t="n"/>
      <c r="C126" s="21" t="n"/>
      <c r="D126" s="21" t="n"/>
      <c r="E126" s="21" t="n"/>
      <c r="F126" s="22" t="n"/>
      <c r="G126" s="23" t="n"/>
      <c r="H126" s="20">
        <f>IF(G126="","",IF(OR(I126="Submitted",I126="Under review",I126="Awarded",I126="Rejected",I126="Withdrawn"),"—",G126-TODAY()))</f>
        <v/>
      </c>
      <c r="I126" s="21" t="n"/>
      <c r="J126" s="23" t="n"/>
      <c r="K126" s="23" t="n"/>
      <c r="L126" s="22" t="n"/>
      <c r="M126" s="21" t="n"/>
      <c r="N126" s="21" t="n"/>
      <c r="O126" s="21" t="n"/>
      <c r="P126" s="21" t="n"/>
      <c r="Q126" s="16">
        <f>IF($B126="","",COUNTIF(M126:P126,"Ready")&amp;" / 4")</f>
        <v/>
      </c>
      <c r="R126" s="21" t="n"/>
      <c r="S126" s="21" t="n"/>
    </row>
    <row r="127">
      <c r="A127" s="16">
        <f>IF(B127="","",ROW()-4)</f>
        <v/>
      </c>
      <c r="B127" s="17" t="n"/>
      <c r="C127" s="17" t="n"/>
      <c r="D127" s="17" t="n"/>
      <c r="E127" s="17" t="n"/>
      <c r="F127" s="18" t="n"/>
      <c r="G127" s="19" t="n"/>
      <c r="H127" s="20">
        <f>IF(G127="","",IF(OR(I127="Submitted",I127="Under review",I127="Awarded",I127="Rejected",I127="Withdrawn"),"—",G127-TODAY()))</f>
        <v/>
      </c>
      <c r="I127" s="17" t="n"/>
      <c r="J127" s="19" t="n"/>
      <c r="K127" s="19" t="n"/>
      <c r="L127" s="18" t="n"/>
      <c r="M127" s="17" t="n"/>
      <c r="N127" s="17" t="n"/>
      <c r="O127" s="17" t="n"/>
      <c r="P127" s="17" t="n"/>
      <c r="Q127" s="16">
        <f>IF($B127="","",COUNTIF(M127:P127,"Ready")&amp;" / 4")</f>
        <v/>
      </c>
      <c r="R127" s="17" t="n"/>
      <c r="S127" s="17" t="n"/>
    </row>
    <row r="128">
      <c r="A128" s="16">
        <f>IF(B128="","",ROW()-4)</f>
        <v/>
      </c>
      <c r="B128" s="21" t="n"/>
      <c r="C128" s="21" t="n"/>
      <c r="D128" s="21" t="n"/>
      <c r="E128" s="21" t="n"/>
      <c r="F128" s="22" t="n"/>
      <c r="G128" s="23" t="n"/>
      <c r="H128" s="20">
        <f>IF(G128="","",IF(OR(I128="Submitted",I128="Under review",I128="Awarded",I128="Rejected",I128="Withdrawn"),"—",G128-TODAY()))</f>
        <v/>
      </c>
      <c r="I128" s="21" t="n"/>
      <c r="J128" s="23" t="n"/>
      <c r="K128" s="23" t="n"/>
      <c r="L128" s="22" t="n"/>
      <c r="M128" s="21" t="n"/>
      <c r="N128" s="21" t="n"/>
      <c r="O128" s="21" t="n"/>
      <c r="P128" s="21" t="n"/>
      <c r="Q128" s="16">
        <f>IF($B128="","",COUNTIF(M128:P128,"Ready")&amp;" / 4")</f>
        <v/>
      </c>
      <c r="R128" s="21" t="n"/>
      <c r="S128" s="21" t="n"/>
    </row>
    <row r="129">
      <c r="A129" s="16">
        <f>IF(B129="","",ROW()-4)</f>
        <v/>
      </c>
      <c r="B129" s="17" t="n"/>
      <c r="C129" s="17" t="n"/>
      <c r="D129" s="17" t="n"/>
      <c r="E129" s="17" t="n"/>
      <c r="F129" s="18" t="n"/>
      <c r="G129" s="19" t="n"/>
      <c r="H129" s="20">
        <f>IF(G129="","",IF(OR(I129="Submitted",I129="Under review",I129="Awarded",I129="Rejected",I129="Withdrawn"),"—",G129-TODAY()))</f>
        <v/>
      </c>
      <c r="I129" s="17" t="n"/>
      <c r="J129" s="19" t="n"/>
      <c r="K129" s="19" t="n"/>
      <c r="L129" s="18" t="n"/>
      <c r="M129" s="17" t="n"/>
      <c r="N129" s="17" t="n"/>
      <c r="O129" s="17" t="n"/>
      <c r="P129" s="17" t="n"/>
      <c r="Q129" s="16">
        <f>IF($B129="","",COUNTIF(M129:P129,"Ready")&amp;" / 4")</f>
        <v/>
      </c>
      <c r="R129" s="17" t="n"/>
      <c r="S129" s="17" t="n"/>
    </row>
    <row r="130">
      <c r="A130" s="16">
        <f>IF(B130="","",ROW()-4)</f>
        <v/>
      </c>
      <c r="B130" s="21" t="n"/>
      <c r="C130" s="21" t="n"/>
      <c r="D130" s="21" t="n"/>
      <c r="E130" s="21" t="n"/>
      <c r="F130" s="22" t="n"/>
      <c r="G130" s="23" t="n"/>
      <c r="H130" s="20">
        <f>IF(G130="","",IF(OR(I130="Submitted",I130="Under review",I130="Awarded",I130="Rejected",I130="Withdrawn"),"—",G130-TODAY()))</f>
        <v/>
      </c>
      <c r="I130" s="21" t="n"/>
      <c r="J130" s="23" t="n"/>
      <c r="K130" s="23" t="n"/>
      <c r="L130" s="22" t="n"/>
      <c r="M130" s="21" t="n"/>
      <c r="N130" s="21" t="n"/>
      <c r="O130" s="21" t="n"/>
      <c r="P130" s="21" t="n"/>
      <c r="Q130" s="16">
        <f>IF($B130="","",COUNTIF(M130:P130,"Ready")&amp;" / 4")</f>
        <v/>
      </c>
      <c r="R130" s="21" t="n"/>
      <c r="S130" s="21" t="n"/>
    </row>
    <row r="131">
      <c r="A131" s="16">
        <f>IF(B131="","",ROW()-4)</f>
        <v/>
      </c>
      <c r="B131" s="17" t="n"/>
      <c r="C131" s="17" t="n"/>
      <c r="D131" s="17" t="n"/>
      <c r="E131" s="17" t="n"/>
      <c r="F131" s="18" t="n"/>
      <c r="G131" s="19" t="n"/>
      <c r="H131" s="20">
        <f>IF(G131="","",IF(OR(I131="Submitted",I131="Under review",I131="Awarded",I131="Rejected",I131="Withdrawn"),"—",G131-TODAY()))</f>
        <v/>
      </c>
      <c r="I131" s="17" t="n"/>
      <c r="J131" s="19" t="n"/>
      <c r="K131" s="19" t="n"/>
      <c r="L131" s="18" t="n"/>
      <c r="M131" s="17" t="n"/>
      <c r="N131" s="17" t="n"/>
      <c r="O131" s="17" t="n"/>
      <c r="P131" s="17" t="n"/>
      <c r="Q131" s="16">
        <f>IF($B131="","",COUNTIF(M131:P131,"Ready")&amp;" / 4")</f>
        <v/>
      </c>
      <c r="R131" s="17" t="n"/>
      <c r="S131" s="17" t="n"/>
    </row>
    <row r="132">
      <c r="A132" s="16">
        <f>IF(B132="","",ROW()-4)</f>
        <v/>
      </c>
      <c r="B132" s="21" t="n"/>
      <c r="C132" s="21" t="n"/>
      <c r="D132" s="21" t="n"/>
      <c r="E132" s="21" t="n"/>
      <c r="F132" s="22" t="n"/>
      <c r="G132" s="23" t="n"/>
      <c r="H132" s="20">
        <f>IF(G132="","",IF(OR(I132="Submitted",I132="Under review",I132="Awarded",I132="Rejected",I132="Withdrawn"),"—",G132-TODAY()))</f>
        <v/>
      </c>
      <c r="I132" s="21" t="n"/>
      <c r="J132" s="23" t="n"/>
      <c r="K132" s="23" t="n"/>
      <c r="L132" s="22" t="n"/>
      <c r="M132" s="21" t="n"/>
      <c r="N132" s="21" t="n"/>
      <c r="O132" s="21" t="n"/>
      <c r="P132" s="21" t="n"/>
      <c r="Q132" s="16">
        <f>IF($B132="","",COUNTIF(M132:P132,"Ready")&amp;" / 4")</f>
        <v/>
      </c>
      <c r="R132" s="21" t="n"/>
      <c r="S132" s="21" t="n"/>
    </row>
    <row r="133">
      <c r="A133" s="16">
        <f>IF(B133="","",ROW()-4)</f>
        <v/>
      </c>
      <c r="B133" s="17" t="n"/>
      <c r="C133" s="17" t="n"/>
      <c r="D133" s="17" t="n"/>
      <c r="E133" s="17" t="n"/>
      <c r="F133" s="18" t="n"/>
      <c r="G133" s="19" t="n"/>
      <c r="H133" s="20">
        <f>IF(G133="","",IF(OR(I133="Submitted",I133="Under review",I133="Awarded",I133="Rejected",I133="Withdrawn"),"—",G133-TODAY()))</f>
        <v/>
      </c>
      <c r="I133" s="17" t="n"/>
      <c r="J133" s="19" t="n"/>
      <c r="K133" s="19" t="n"/>
      <c r="L133" s="18" t="n"/>
      <c r="M133" s="17" t="n"/>
      <c r="N133" s="17" t="n"/>
      <c r="O133" s="17" t="n"/>
      <c r="P133" s="17" t="n"/>
      <c r="Q133" s="16">
        <f>IF($B133="","",COUNTIF(M133:P133,"Ready")&amp;" / 4")</f>
        <v/>
      </c>
      <c r="R133" s="17" t="n"/>
      <c r="S133" s="17" t="n"/>
    </row>
    <row r="134">
      <c r="A134" s="16">
        <f>IF(B134="","",ROW()-4)</f>
        <v/>
      </c>
      <c r="B134" s="21" t="n"/>
      <c r="C134" s="21" t="n"/>
      <c r="D134" s="21" t="n"/>
      <c r="E134" s="21" t="n"/>
      <c r="F134" s="22" t="n"/>
      <c r="G134" s="23" t="n"/>
      <c r="H134" s="20">
        <f>IF(G134="","",IF(OR(I134="Submitted",I134="Under review",I134="Awarded",I134="Rejected",I134="Withdrawn"),"—",G134-TODAY()))</f>
        <v/>
      </c>
      <c r="I134" s="21" t="n"/>
      <c r="J134" s="23" t="n"/>
      <c r="K134" s="23" t="n"/>
      <c r="L134" s="22" t="n"/>
      <c r="M134" s="21" t="n"/>
      <c r="N134" s="21" t="n"/>
      <c r="O134" s="21" t="n"/>
      <c r="P134" s="21" t="n"/>
      <c r="Q134" s="16">
        <f>IF($B134="","",COUNTIF(M134:P134,"Ready")&amp;" / 4")</f>
        <v/>
      </c>
      <c r="R134" s="21" t="n"/>
      <c r="S134" s="21" t="n"/>
    </row>
    <row r="135">
      <c r="A135" s="16">
        <f>IF(B135="","",ROW()-4)</f>
        <v/>
      </c>
      <c r="B135" s="17" t="n"/>
      <c r="C135" s="17" t="n"/>
      <c r="D135" s="17" t="n"/>
      <c r="E135" s="17" t="n"/>
      <c r="F135" s="18" t="n"/>
      <c r="G135" s="19" t="n"/>
      <c r="H135" s="20">
        <f>IF(G135="","",IF(OR(I135="Submitted",I135="Under review",I135="Awarded",I135="Rejected",I135="Withdrawn"),"—",G135-TODAY()))</f>
        <v/>
      </c>
      <c r="I135" s="17" t="n"/>
      <c r="J135" s="19" t="n"/>
      <c r="K135" s="19" t="n"/>
      <c r="L135" s="18" t="n"/>
      <c r="M135" s="17" t="n"/>
      <c r="N135" s="17" t="n"/>
      <c r="O135" s="17" t="n"/>
      <c r="P135" s="17" t="n"/>
      <c r="Q135" s="16">
        <f>IF($B135="","",COUNTIF(M135:P135,"Ready")&amp;" / 4")</f>
        <v/>
      </c>
      <c r="R135" s="17" t="n"/>
      <c r="S135" s="17" t="n"/>
    </row>
    <row r="136">
      <c r="A136" s="16">
        <f>IF(B136="","",ROW()-4)</f>
        <v/>
      </c>
      <c r="B136" s="21" t="n"/>
      <c r="C136" s="21" t="n"/>
      <c r="D136" s="21" t="n"/>
      <c r="E136" s="21" t="n"/>
      <c r="F136" s="22" t="n"/>
      <c r="G136" s="23" t="n"/>
      <c r="H136" s="20">
        <f>IF(G136="","",IF(OR(I136="Submitted",I136="Under review",I136="Awarded",I136="Rejected",I136="Withdrawn"),"—",G136-TODAY()))</f>
        <v/>
      </c>
      <c r="I136" s="21" t="n"/>
      <c r="J136" s="23" t="n"/>
      <c r="K136" s="23" t="n"/>
      <c r="L136" s="22" t="n"/>
      <c r="M136" s="21" t="n"/>
      <c r="N136" s="21" t="n"/>
      <c r="O136" s="21" t="n"/>
      <c r="P136" s="21" t="n"/>
      <c r="Q136" s="16">
        <f>IF($B136="","",COUNTIF(M136:P136,"Ready")&amp;" / 4")</f>
        <v/>
      </c>
      <c r="R136" s="21" t="n"/>
      <c r="S136" s="21" t="n"/>
    </row>
    <row r="137">
      <c r="A137" s="16">
        <f>IF(B137="","",ROW()-4)</f>
        <v/>
      </c>
      <c r="B137" s="17" t="n"/>
      <c r="C137" s="17" t="n"/>
      <c r="D137" s="17" t="n"/>
      <c r="E137" s="17" t="n"/>
      <c r="F137" s="18" t="n"/>
      <c r="G137" s="19" t="n"/>
      <c r="H137" s="20">
        <f>IF(G137="","",IF(OR(I137="Submitted",I137="Under review",I137="Awarded",I137="Rejected",I137="Withdrawn"),"—",G137-TODAY()))</f>
        <v/>
      </c>
      <c r="I137" s="17" t="n"/>
      <c r="J137" s="19" t="n"/>
      <c r="K137" s="19" t="n"/>
      <c r="L137" s="18" t="n"/>
      <c r="M137" s="17" t="n"/>
      <c r="N137" s="17" t="n"/>
      <c r="O137" s="17" t="n"/>
      <c r="P137" s="17" t="n"/>
      <c r="Q137" s="16">
        <f>IF($B137="","",COUNTIF(M137:P137,"Ready")&amp;" / 4")</f>
        <v/>
      </c>
      <c r="R137" s="17" t="n"/>
      <c r="S137" s="17" t="n"/>
    </row>
    <row r="138">
      <c r="A138" s="16">
        <f>IF(B138="","",ROW()-4)</f>
        <v/>
      </c>
      <c r="B138" s="21" t="n"/>
      <c r="C138" s="21" t="n"/>
      <c r="D138" s="21" t="n"/>
      <c r="E138" s="21" t="n"/>
      <c r="F138" s="22" t="n"/>
      <c r="G138" s="23" t="n"/>
      <c r="H138" s="20">
        <f>IF(G138="","",IF(OR(I138="Submitted",I138="Under review",I138="Awarded",I138="Rejected",I138="Withdrawn"),"—",G138-TODAY()))</f>
        <v/>
      </c>
      <c r="I138" s="21" t="n"/>
      <c r="J138" s="23" t="n"/>
      <c r="K138" s="23" t="n"/>
      <c r="L138" s="22" t="n"/>
      <c r="M138" s="21" t="n"/>
      <c r="N138" s="21" t="n"/>
      <c r="O138" s="21" t="n"/>
      <c r="P138" s="21" t="n"/>
      <c r="Q138" s="16">
        <f>IF($B138="","",COUNTIF(M138:P138,"Ready")&amp;" / 4")</f>
        <v/>
      </c>
      <c r="R138" s="21" t="n"/>
      <c r="S138" s="21" t="n"/>
    </row>
    <row r="139">
      <c r="A139" s="16">
        <f>IF(B139="","",ROW()-4)</f>
        <v/>
      </c>
      <c r="B139" s="17" t="n"/>
      <c r="C139" s="17" t="n"/>
      <c r="D139" s="17" t="n"/>
      <c r="E139" s="17" t="n"/>
      <c r="F139" s="18" t="n"/>
      <c r="G139" s="19" t="n"/>
      <c r="H139" s="20">
        <f>IF(G139="","",IF(OR(I139="Submitted",I139="Under review",I139="Awarded",I139="Rejected",I139="Withdrawn"),"—",G139-TODAY()))</f>
        <v/>
      </c>
      <c r="I139" s="17" t="n"/>
      <c r="J139" s="19" t="n"/>
      <c r="K139" s="19" t="n"/>
      <c r="L139" s="18" t="n"/>
      <c r="M139" s="17" t="n"/>
      <c r="N139" s="17" t="n"/>
      <c r="O139" s="17" t="n"/>
      <c r="P139" s="17" t="n"/>
      <c r="Q139" s="16">
        <f>IF($B139="","",COUNTIF(M139:P139,"Ready")&amp;" / 4")</f>
        <v/>
      </c>
      <c r="R139" s="17" t="n"/>
      <c r="S139" s="17" t="n"/>
    </row>
    <row r="140">
      <c r="A140" s="16">
        <f>IF(B140="","",ROW()-4)</f>
        <v/>
      </c>
      <c r="B140" s="21" t="n"/>
      <c r="C140" s="21" t="n"/>
      <c r="D140" s="21" t="n"/>
      <c r="E140" s="21" t="n"/>
      <c r="F140" s="22" t="n"/>
      <c r="G140" s="23" t="n"/>
      <c r="H140" s="20">
        <f>IF(G140="","",IF(OR(I140="Submitted",I140="Under review",I140="Awarded",I140="Rejected",I140="Withdrawn"),"—",G140-TODAY()))</f>
        <v/>
      </c>
      <c r="I140" s="21" t="n"/>
      <c r="J140" s="23" t="n"/>
      <c r="K140" s="23" t="n"/>
      <c r="L140" s="22" t="n"/>
      <c r="M140" s="21" t="n"/>
      <c r="N140" s="21" t="n"/>
      <c r="O140" s="21" t="n"/>
      <c r="P140" s="21" t="n"/>
      <c r="Q140" s="16">
        <f>IF($B140="","",COUNTIF(M140:P140,"Ready")&amp;" / 4")</f>
        <v/>
      </c>
      <c r="R140" s="21" t="n"/>
      <c r="S140" s="21" t="n"/>
    </row>
    <row r="141">
      <c r="A141" s="16">
        <f>IF(B141="","",ROW()-4)</f>
        <v/>
      </c>
      <c r="B141" s="17" t="n"/>
      <c r="C141" s="17" t="n"/>
      <c r="D141" s="17" t="n"/>
      <c r="E141" s="17" t="n"/>
      <c r="F141" s="18" t="n"/>
      <c r="G141" s="19" t="n"/>
      <c r="H141" s="20">
        <f>IF(G141="","",IF(OR(I141="Submitted",I141="Under review",I141="Awarded",I141="Rejected",I141="Withdrawn"),"—",G141-TODAY()))</f>
        <v/>
      </c>
      <c r="I141" s="17" t="n"/>
      <c r="J141" s="19" t="n"/>
      <c r="K141" s="19" t="n"/>
      <c r="L141" s="18" t="n"/>
      <c r="M141" s="17" t="n"/>
      <c r="N141" s="17" t="n"/>
      <c r="O141" s="17" t="n"/>
      <c r="P141" s="17" t="n"/>
      <c r="Q141" s="16">
        <f>IF($B141="","",COUNTIF(M141:P141,"Ready")&amp;" / 4")</f>
        <v/>
      </c>
      <c r="R141" s="17" t="n"/>
      <c r="S141" s="17" t="n"/>
    </row>
    <row r="142">
      <c r="A142" s="16">
        <f>IF(B142="","",ROW()-4)</f>
        <v/>
      </c>
      <c r="B142" s="21" t="n"/>
      <c r="C142" s="21" t="n"/>
      <c r="D142" s="21" t="n"/>
      <c r="E142" s="21" t="n"/>
      <c r="F142" s="22" t="n"/>
      <c r="G142" s="23" t="n"/>
      <c r="H142" s="20">
        <f>IF(G142="","",IF(OR(I142="Submitted",I142="Under review",I142="Awarded",I142="Rejected",I142="Withdrawn"),"—",G142-TODAY()))</f>
        <v/>
      </c>
      <c r="I142" s="21" t="n"/>
      <c r="J142" s="23" t="n"/>
      <c r="K142" s="23" t="n"/>
      <c r="L142" s="22" t="n"/>
      <c r="M142" s="21" t="n"/>
      <c r="N142" s="21" t="n"/>
      <c r="O142" s="21" t="n"/>
      <c r="P142" s="21" t="n"/>
      <c r="Q142" s="16">
        <f>IF($B142="","",COUNTIF(M142:P142,"Ready")&amp;" / 4")</f>
        <v/>
      </c>
      <c r="R142" s="21" t="n"/>
      <c r="S142" s="21" t="n"/>
    </row>
    <row r="143">
      <c r="A143" s="16">
        <f>IF(B143="","",ROW()-4)</f>
        <v/>
      </c>
      <c r="B143" s="17" t="n"/>
      <c r="C143" s="17" t="n"/>
      <c r="D143" s="17" t="n"/>
      <c r="E143" s="17" t="n"/>
      <c r="F143" s="18" t="n"/>
      <c r="G143" s="19" t="n"/>
      <c r="H143" s="20">
        <f>IF(G143="","",IF(OR(I143="Submitted",I143="Under review",I143="Awarded",I143="Rejected",I143="Withdrawn"),"—",G143-TODAY()))</f>
        <v/>
      </c>
      <c r="I143" s="17" t="n"/>
      <c r="J143" s="19" t="n"/>
      <c r="K143" s="19" t="n"/>
      <c r="L143" s="18" t="n"/>
      <c r="M143" s="17" t="n"/>
      <c r="N143" s="17" t="n"/>
      <c r="O143" s="17" t="n"/>
      <c r="P143" s="17" t="n"/>
      <c r="Q143" s="16">
        <f>IF($B143="","",COUNTIF(M143:P143,"Ready")&amp;" / 4")</f>
        <v/>
      </c>
      <c r="R143" s="17" t="n"/>
      <c r="S143" s="17" t="n"/>
    </row>
    <row r="144">
      <c r="A144" s="16">
        <f>IF(B144="","",ROW()-4)</f>
        <v/>
      </c>
      <c r="B144" s="21" t="n"/>
      <c r="C144" s="21" t="n"/>
      <c r="D144" s="21" t="n"/>
      <c r="E144" s="21" t="n"/>
      <c r="F144" s="22" t="n"/>
      <c r="G144" s="23" t="n"/>
      <c r="H144" s="20">
        <f>IF(G144="","",IF(OR(I144="Submitted",I144="Under review",I144="Awarded",I144="Rejected",I144="Withdrawn"),"—",G144-TODAY()))</f>
        <v/>
      </c>
      <c r="I144" s="21" t="n"/>
      <c r="J144" s="23" t="n"/>
      <c r="K144" s="23" t="n"/>
      <c r="L144" s="22" t="n"/>
      <c r="M144" s="21" t="n"/>
      <c r="N144" s="21" t="n"/>
      <c r="O144" s="21" t="n"/>
      <c r="P144" s="21" t="n"/>
      <c r="Q144" s="16">
        <f>IF($B144="","",COUNTIF(M144:P144,"Ready")&amp;" / 4")</f>
        <v/>
      </c>
      <c r="R144" s="21" t="n"/>
      <c r="S144" s="21" t="n"/>
    </row>
    <row r="145">
      <c r="A145" s="16">
        <f>IF(B145="","",ROW()-4)</f>
        <v/>
      </c>
      <c r="B145" s="17" t="n"/>
      <c r="C145" s="17" t="n"/>
      <c r="D145" s="17" t="n"/>
      <c r="E145" s="17" t="n"/>
      <c r="F145" s="18" t="n"/>
      <c r="G145" s="19" t="n"/>
      <c r="H145" s="20">
        <f>IF(G145="","",IF(OR(I145="Submitted",I145="Under review",I145="Awarded",I145="Rejected",I145="Withdrawn"),"—",G145-TODAY()))</f>
        <v/>
      </c>
      <c r="I145" s="17" t="n"/>
      <c r="J145" s="19" t="n"/>
      <c r="K145" s="19" t="n"/>
      <c r="L145" s="18" t="n"/>
      <c r="M145" s="17" t="n"/>
      <c r="N145" s="17" t="n"/>
      <c r="O145" s="17" t="n"/>
      <c r="P145" s="17" t="n"/>
      <c r="Q145" s="16">
        <f>IF($B145="","",COUNTIF(M145:P145,"Ready")&amp;" / 4")</f>
        <v/>
      </c>
      <c r="R145" s="17" t="n"/>
      <c r="S145" s="17" t="n"/>
    </row>
    <row r="146">
      <c r="A146" s="16">
        <f>IF(B146="","",ROW()-4)</f>
        <v/>
      </c>
      <c r="B146" s="21" t="n"/>
      <c r="C146" s="21" t="n"/>
      <c r="D146" s="21" t="n"/>
      <c r="E146" s="21" t="n"/>
      <c r="F146" s="22" t="n"/>
      <c r="G146" s="23" t="n"/>
      <c r="H146" s="20">
        <f>IF(G146="","",IF(OR(I146="Submitted",I146="Under review",I146="Awarded",I146="Rejected",I146="Withdrawn"),"—",G146-TODAY()))</f>
        <v/>
      </c>
      <c r="I146" s="21" t="n"/>
      <c r="J146" s="23" t="n"/>
      <c r="K146" s="23" t="n"/>
      <c r="L146" s="22" t="n"/>
      <c r="M146" s="21" t="n"/>
      <c r="N146" s="21" t="n"/>
      <c r="O146" s="21" t="n"/>
      <c r="P146" s="21" t="n"/>
      <c r="Q146" s="16">
        <f>IF($B146="","",COUNTIF(M146:P146,"Ready")&amp;" / 4")</f>
        <v/>
      </c>
      <c r="R146" s="21" t="n"/>
      <c r="S146" s="21" t="n"/>
    </row>
    <row r="147">
      <c r="A147" s="16">
        <f>IF(B147="","",ROW()-4)</f>
        <v/>
      </c>
      <c r="B147" s="17" t="n"/>
      <c r="C147" s="17" t="n"/>
      <c r="D147" s="17" t="n"/>
      <c r="E147" s="17" t="n"/>
      <c r="F147" s="18" t="n"/>
      <c r="G147" s="19" t="n"/>
      <c r="H147" s="20">
        <f>IF(G147="","",IF(OR(I147="Submitted",I147="Under review",I147="Awarded",I147="Rejected",I147="Withdrawn"),"—",G147-TODAY()))</f>
        <v/>
      </c>
      <c r="I147" s="17" t="n"/>
      <c r="J147" s="19" t="n"/>
      <c r="K147" s="19" t="n"/>
      <c r="L147" s="18" t="n"/>
      <c r="M147" s="17" t="n"/>
      <c r="N147" s="17" t="n"/>
      <c r="O147" s="17" t="n"/>
      <c r="P147" s="17" t="n"/>
      <c r="Q147" s="16">
        <f>IF($B147="","",COUNTIF(M147:P147,"Ready")&amp;" / 4")</f>
        <v/>
      </c>
      <c r="R147" s="17" t="n"/>
      <c r="S147" s="17" t="n"/>
    </row>
    <row r="148">
      <c r="A148" s="16">
        <f>IF(B148="","",ROW()-4)</f>
        <v/>
      </c>
      <c r="B148" s="21" t="n"/>
      <c r="C148" s="21" t="n"/>
      <c r="D148" s="21" t="n"/>
      <c r="E148" s="21" t="n"/>
      <c r="F148" s="22" t="n"/>
      <c r="G148" s="23" t="n"/>
      <c r="H148" s="20">
        <f>IF(G148="","",IF(OR(I148="Submitted",I148="Under review",I148="Awarded",I148="Rejected",I148="Withdrawn"),"—",G148-TODAY()))</f>
        <v/>
      </c>
      <c r="I148" s="21" t="n"/>
      <c r="J148" s="23" t="n"/>
      <c r="K148" s="23" t="n"/>
      <c r="L148" s="22" t="n"/>
      <c r="M148" s="21" t="n"/>
      <c r="N148" s="21" t="n"/>
      <c r="O148" s="21" t="n"/>
      <c r="P148" s="21" t="n"/>
      <c r="Q148" s="16">
        <f>IF($B148="","",COUNTIF(M148:P148,"Ready")&amp;" / 4")</f>
        <v/>
      </c>
      <c r="R148" s="21" t="n"/>
      <c r="S148" s="21" t="n"/>
    </row>
    <row r="149">
      <c r="A149" s="16">
        <f>IF(B149="","",ROW()-4)</f>
        <v/>
      </c>
      <c r="B149" s="17" t="n"/>
      <c r="C149" s="17" t="n"/>
      <c r="D149" s="17" t="n"/>
      <c r="E149" s="17" t="n"/>
      <c r="F149" s="18" t="n"/>
      <c r="G149" s="19" t="n"/>
      <c r="H149" s="20">
        <f>IF(G149="","",IF(OR(I149="Submitted",I149="Under review",I149="Awarded",I149="Rejected",I149="Withdrawn"),"—",G149-TODAY()))</f>
        <v/>
      </c>
      <c r="I149" s="17" t="n"/>
      <c r="J149" s="19" t="n"/>
      <c r="K149" s="19" t="n"/>
      <c r="L149" s="18" t="n"/>
      <c r="M149" s="17" t="n"/>
      <c r="N149" s="17" t="n"/>
      <c r="O149" s="17" t="n"/>
      <c r="P149" s="17" t="n"/>
      <c r="Q149" s="16">
        <f>IF($B149="","",COUNTIF(M149:P149,"Ready")&amp;" / 4")</f>
        <v/>
      </c>
      <c r="R149" s="17" t="n"/>
      <c r="S149" s="17" t="n"/>
    </row>
    <row r="150">
      <c r="A150" s="16">
        <f>IF(B150="","",ROW()-4)</f>
        <v/>
      </c>
      <c r="B150" s="21" t="n"/>
      <c r="C150" s="21" t="n"/>
      <c r="D150" s="21" t="n"/>
      <c r="E150" s="21" t="n"/>
      <c r="F150" s="22" t="n"/>
      <c r="G150" s="23" t="n"/>
      <c r="H150" s="20">
        <f>IF(G150="","",IF(OR(I150="Submitted",I150="Under review",I150="Awarded",I150="Rejected",I150="Withdrawn"),"—",G150-TODAY()))</f>
        <v/>
      </c>
      <c r="I150" s="21" t="n"/>
      <c r="J150" s="23" t="n"/>
      <c r="K150" s="23" t="n"/>
      <c r="L150" s="22" t="n"/>
      <c r="M150" s="21" t="n"/>
      <c r="N150" s="21" t="n"/>
      <c r="O150" s="21" t="n"/>
      <c r="P150" s="21" t="n"/>
      <c r="Q150" s="16">
        <f>IF($B150="","",COUNTIF(M150:P150,"Ready")&amp;" / 4")</f>
        <v/>
      </c>
      <c r="R150" s="21" t="n"/>
      <c r="S150" s="21" t="n"/>
    </row>
    <row r="151">
      <c r="A151" s="16">
        <f>IF(B151="","",ROW()-4)</f>
        <v/>
      </c>
      <c r="B151" s="17" t="n"/>
      <c r="C151" s="17" t="n"/>
      <c r="D151" s="17" t="n"/>
      <c r="E151" s="17" t="n"/>
      <c r="F151" s="18" t="n"/>
      <c r="G151" s="19" t="n"/>
      <c r="H151" s="20">
        <f>IF(G151="","",IF(OR(I151="Submitted",I151="Under review",I151="Awarded",I151="Rejected",I151="Withdrawn"),"—",G151-TODAY()))</f>
        <v/>
      </c>
      <c r="I151" s="17" t="n"/>
      <c r="J151" s="19" t="n"/>
      <c r="K151" s="19" t="n"/>
      <c r="L151" s="18" t="n"/>
      <c r="M151" s="17" t="n"/>
      <c r="N151" s="17" t="n"/>
      <c r="O151" s="17" t="n"/>
      <c r="P151" s="17" t="n"/>
      <c r="Q151" s="16">
        <f>IF($B151="","",COUNTIF(M151:P151,"Ready")&amp;" / 4")</f>
        <v/>
      </c>
      <c r="R151" s="17" t="n"/>
      <c r="S151" s="17" t="n"/>
    </row>
    <row r="152">
      <c r="A152" s="16">
        <f>IF(B152="","",ROW()-4)</f>
        <v/>
      </c>
      <c r="B152" s="21" t="n"/>
      <c r="C152" s="21" t="n"/>
      <c r="D152" s="21" t="n"/>
      <c r="E152" s="21" t="n"/>
      <c r="F152" s="22" t="n"/>
      <c r="G152" s="23" t="n"/>
      <c r="H152" s="20">
        <f>IF(G152="","",IF(OR(I152="Submitted",I152="Under review",I152="Awarded",I152="Rejected",I152="Withdrawn"),"—",G152-TODAY()))</f>
        <v/>
      </c>
      <c r="I152" s="21" t="n"/>
      <c r="J152" s="23" t="n"/>
      <c r="K152" s="23" t="n"/>
      <c r="L152" s="22" t="n"/>
      <c r="M152" s="21" t="n"/>
      <c r="N152" s="21" t="n"/>
      <c r="O152" s="21" t="n"/>
      <c r="P152" s="21" t="n"/>
      <c r="Q152" s="16">
        <f>IF($B152="","",COUNTIF(M152:P152,"Ready")&amp;" / 4")</f>
        <v/>
      </c>
      <c r="R152" s="21" t="n"/>
      <c r="S152" s="21" t="n"/>
    </row>
    <row r="153">
      <c r="A153" s="16">
        <f>IF(B153="","",ROW()-4)</f>
        <v/>
      </c>
      <c r="B153" s="17" t="n"/>
      <c r="C153" s="17" t="n"/>
      <c r="D153" s="17" t="n"/>
      <c r="E153" s="17" t="n"/>
      <c r="F153" s="18" t="n"/>
      <c r="G153" s="19" t="n"/>
      <c r="H153" s="20">
        <f>IF(G153="","",IF(OR(I153="Submitted",I153="Under review",I153="Awarded",I153="Rejected",I153="Withdrawn"),"—",G153-TODAY()))</f>
        <v/>
      </c>
      <c r="I153" s="17" t="n"/>
      <c r="J153" s="19" t="n"/>
      <c r="K153" s="19" t="n"/>
      <c r="L153" s="18" t="n"/>
      <c r="M153" s="17" t="n"/>
      <c r="N153" s="17" t="n"/>
      <c r="O153" s="17" t="n"/>
      <c r="P153" s="17" t="n"/>
      <c r="Q153" s="16">
        <f>IF($B153="","",COUNTIF(M153:P153,"Ready")&amp;" / 4")</f>
        <v/>
      </c>
      <c r="R153" s="17" t="n"/>
      <c r="S153" s="17" t="n"/>
    </row>
    <row r="154">
      <c r="A154" s="16">
        <f>IF(B154="","",ROW()-4)</f>
        <v/>
      </c>
      <c r="B154" s="21" t="n"/>
      <c r="C154" s="21" t="n"/>
      <c r="D154" s="21" t="n"/>
      <c r="E154" s="21" t="n"/>
      <c r="F154" s="22" t="n"/>
      <c r="G154" s="23" t="n"/>
      <c r="H154" s="20">
        <f>IF(G154="","",IF(OR(I154="Submitted",I154="Under review",I154="Awarded",I154="Rejected",I154="Withdrawn"),"—",G154-TODAY()))</f>
        <v/>
      </c>
      <c r="I154" s="21" t="n"/>
      <c r="J154" s="23" t="n"/>
      <c r="K154" s="23" t="n"/>
      <c r="L154" s="22" t="n"/>
      <c r="M154" s="21" t="n"/>
      <c r="N154" s="21" t="n"/>
      <c r="O154" s="21" t="n"/>
      <c r="P154" s="21" t="n"/>
      <c r="Q154" s="16">
        <f>IF($B154="","",COUNTIF(M154:P154,"Ready")&amp;" / 4")</f>
        <v/>
      </c>
      <c r="R154" s="21" t="n"/>
      <c r="S154" s="21" t="n"/>
    </row>
  </sheetData>
  <autoFilter ref="A4:S154"/>
  <mergeCells count="2">
    <mergeCell ref="A2:S2"/>
    <mergeCell ref="A1:S1"/>
  </mergeCells>
  <conditionalFormatting sqref="H5:H154">
    <cfRule type="cellIs" priority="1" operator="lessThan" dxfId="0">
      <formula>8</formula>
    </cfRule>
    <cfRule type="cellIs" priority="2" operator="between" dxfId="1">
      <formula>8</formula>
      <formula>21</formula>
    </cfRule>
    <cfRule type="cellIs" priority="3" operator="between" dxfId="2">
      <formula>22</formula>
      <formula>99999</formula>
    </cfRule>
  </conditionalFormatting>
  <conditionalFormatting sqref="I5:I154">
    <cfRule type="cellIs" priority="4" operator="equal" dxfId="1">
      <formula>"Idea"</formula>
    </cfRule>
    <cfRule type="cellIs" priority="5" operator="equal" dxfId="3">
      <formula>"Preparing"</formula>
    </cfRule>
    <cfRule type="cellIs" priority="6" operator="equal" dxfId="3">
      <formula>"Submitted"</formula>
    </cfRule>
    <cfRule type="cellIs" priority="7" operator="equal" dxfId="3">
      <formula>"Under review"</formula>
    </cfRule>
    <cfRule type="cellIs" priority="8" operator="equal" dxfId="2">
      <formula>"Awarded"</formula>
    </cfRule>
    <cfRule type="cellIs" priority="9" operator="equal" dxfId="0">
      <formula>"Rejected"</formula>
    </cfRule>
    <cfRule type="cellIs" priority="10" operator="equal" dxfId="0">
      <formula>"Withdrawn"</formula>
    </cfRule>
  </conditionalFormatting>
  <conditionalFormatting sqref="M5:P154">
    <cfRule type="cellIs" priority="11" operator="equal" dxfId="1">
      <formula>"To do"</formula>
    </cfRule>
    <cfRule type="cellIs" priority="12" operator="equal" dxfId="3">
      <formula>"In progress"</formula>
    </cfRule>
    <cfRule type="cellIs" priority="13" operator="equal" dxfId="2">
      <formula>"Ready"</formula>
    </cfRule>
  </conditionalFormatting>
  <dataValidations count="3">
    <dataValidation sqref="E5:E154" showDropDown="0" showInputMessage="0" showErrorMessage="0" allowBlank="1" type="list">
      <formula1>Lists!$E$1:$E$4</formula1>
    </dataValidation>
    <dataValidation sqref="I5:I154" showDropDown="0" showInputMessage="0" showErrorMessage="0" allowBlank="1" type="list">
      <formula1>Lists!$A$1:$A$7</formula1>
    </dataValidation>
    <dataValidation sqref="M5:P154" showDropDown="0" showInputMessage="0" showErrorMessage="0" allowBlank="1" type="list">
      <formula1>Lists!$G$1:$G$3</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5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36" customWidth="1" min="2" max="2"/>
    <col width="14" customWidth="1" min="3" max="3"/>
    <col width="24" customWidth="1" min="4" max="4"/>
    <col width="16" customWidth="1" min="5" max="5"/>
    <col width="12" customWidth="1" min="6" max="6"/>
    <col width="11" customWidth="1" min="7" max="7"/>
    <col width="12" customWidth="1" min="8" max="8"/>
    <col width="13" customWidth="1" min="9" max="9"/>
    <col width="11" customWidth="1" min="10" max="10"/>
    <col width="24" customWidth="1" min="11" max="11"/>
    <col width="22" customWidth="1" min="12" max="12"/>
    <col width="40" customWidth="1" min="13" max="13"/>
  </cols>
  <sheetData>
    <row r="1" ht="26" customHeight="1">
      <c r="A1" s="7" t="inlineStr">
        <is>
          <t>Publications Pipeline</t>
        </is>
      </c>
    </row>
    <row r="2">
      <c r="A2" s="8" t="inlineStr">
        <is>
          <t>One row per manuscript. Days in review counts itself — amber at 90 days while the decision is pending, when a polite nudge to the editor is fair game.</t>
        </is>
      </c>
    </row>
    <row r="4" ht="30" customHeight="1">
      <c r="A4" s="15" t="inlineStr">
        <is>
          <t>#</t>
        </is>
      </c>
      <c r="B4" s="15" t="inlineStr">
        <is>
          <t>Manuscript title</t>
        </is>
      </c>
      <c r="C4" s="15" t="inlineStr">
        <is>
          <t>My role</t>
        </is>
      </c>
      <c r="D4" s="15" t="inlineStr">
        <is>
          <t>Target journal</t>
        </is>
      </c>
      <c r="E4" s="15" t="inlineStr">
        <is>
          <t>Status</t>
        </is>
      </c>
      <c r="F4" s="15" t="inlineStr">
        <is>
          <t>Submitted on</t>
        </is>
      </c>
      <c r="G4" s="15" t="inlineStr">
        <is>
          <t>Days in review</t>
        </is>
      </c>
      <c r="H4" s="15" t="inlineStr">
        <is>
          <t>Decision date</t>
        </is>
      </c>
      <c r="I4" s="15" t="inlineStr">
        <is>
          <t>Resubmission deadline</t>
        </is>
      </c>
      <c r="J4" s="15" t="inlineStr">
        <is>
          <t>Days to resubmit</t>
        </is>
      </c>
      <c r="K4" s="15" t="inlineStr">
        <is>
          <t>Co-authors</t>
        </is>
      </c>
      <c r="L4" s="15" t="inlineStr">
        <is>
          <t>DOI / link</t>
        </is>
      </c>
      <c r="M4" s="15" t="inlineStr">
        <is>
          <t>Notes / reviewer asks</t>
        </is>
      </c>
    </row>
    <row r="5">
      <c r="A5" s="16">
        <f>IF(B5="","",ROW()-4)</f>
        <v/>
      </c>
      <c r="B5" s="17" t="n"/>
      <c r="C5" s="17" t="n"/>
      <c r="D5" s="17" t="n"/>
      <c r="E5" s="17" t="n"/>
      <c r="F5" s="19" t="n"/>
      <c r="G5" s="20">
        <f>IF(F5="","",IF(H5="",TODAY()-F5,H5-F5))</f>
        <v/>
      </c>
      <c r="H5" s="19" t="n"/>
      <c r="I5" s="19" t="n"/>
      <c r="J5" s="20">
        <f>IF(I5="","",IF(OR(E5="Resubmitted",E5="Accepted",E5="Rejected",E5="Withdrawn"),"—",I5-TODAY()))</f>
        <v/>
      </c>
      <c r="K5" s="17" t="n"/>
      <c r="L5" s="17" t="n"/>
      <c r="M5" s="17" t="n"/>
    </row>
    <row r="6">
      <c r="A6" s="16">
        <f>IF(B6="","",ROW()-4)</f>
        <v/>
      </c>
      <c r="B6" s="21" t="n"/>
      <c r="C6" s="21" t="n"/>
      <c r="D6" s="21" t="n"/>
      <c r="E6" s="21" t="n"/>
      <c r="F6" s="23" t="n"/>
      <c r="G6" s="20">
        <f>IF(F6="","",IF(H6="",TODAY()-F6,H6-F6))</f>
        <v/>
      </c>
      <c r="H6" s="23" t="n"/>
      <c r="I6" s="23" t="n"/>
      <c r="J6" s="20">
        <f>IF(I6="","",IF(OR(E6="Resubmitted",E6="Accepted",E6="Rejected",E6="Withdrawn"),"—",I6-TODAY()))</f>
        <v/>
      </c>
      <c r="K6" s="21" t="n"/>
      <c r="L6" s="21" t="n"/>
      <c r="M6" s="21" t="n"/>
    </row>
    <row r="7">
      <c r="A7" s="16">
        <f>IF(B7="","",ROW()-4)</f>
        <v/>
      </c>
      <c r="B7" s="17" t="n"/>
      <c r="C7" s="17" t="n"/>
      <c r="D7" s="17" t="n"/>
      <c r="E7" s="17" t="n"/>
      <c r="F7" s="19" t="n"/>
      <c r="G7" s="20">
        <f>IF(F7="","",IF(H7="",TODAY()-F7,H7-F7))</f>
        <v/>
      </c>
      <c r="H7" s="19" t="n"/>
      <c r="I7" s="19" t="n"/>
      <c r="J7" s="20">
        <f>IF(I7="","",IF(OR(E7="Resubmitted",E7="Accepted",E7="Rejected",E7="Withdrawn"),"—",I7-TODAY()))</f>
        <v/>
      </c>
      <c r="K7" s="17" t="n"/>
      <c r="L7" s="17" t="n"/>
      <c r="M7" s="17" t="n"/>
    </row>
    <row r="8">
      <c r="A8" s="16">
        <f>IF(B8="","",ROW()-4)</f>
        <v/>
      </c>
      <c r="B8" s="21" t="n"/>
      <c r="C8" s="21" t="n"/>
      <c r="D8" s="21" t="n"/>
      <c r="E8" s="21" t="n"/>
      <c r="F8" s="23" t="n"/>
      <c r="G8" s="20">
        <f>IF(F8="","",IF(H8="",TODAY()-F8,H8-F8))</f>
        <v/>
      </c>
      <c r="H8" s="23" t="n"/>
      <c r="I8" s="23" t="n"/>
      <c r="J8" s="20">
        <f>IF(I8="","",IF(OR(E8="Resubmitted",E8="Accepted",E8="Rejected",E8="Withdrawn"),"—",I8-TODAY()))</f>
        <v/>
      </c>
      <c r="K8" s="21" t="n"/>
      <c r="L8" s="21" t="n"/>
      <c r="M8" s="21" t="n"/>
    </row>
    <row r="9">
      <c r="A9" s="16">
        <f>IF(B9="","",ROW()-4)</f>
        <v/>
      </c>
      <c r="B9" s="17" t="n"/>
      <c r="C9" s="17" t="n"/>
      <c r="D9" s="17" t="n"/>
      <c r="E9" s="17" t="n"/>
      <c r="F9" s="19" t="n"/>
      <c r="G9" s="20">
        <f>IF(F9="","",IF(H9="",TODAY()-F9,H9-F9))</f>
        <v/>
      </c>
      <c r="H9" s="19" t="n"/>
      <c r="I9" s="19" t="n"/>
      <c r="J9" s="20">
        <f>IF(I9="","",IF(OR(E9="Resubmitted",E9="Accepted",E9="Rejected",E9="Withdrawn"),"—",I9-TODAY()))</f>
        <v/>
      </c>
      <c r="K9" s="17" t="n"/>
      <c r="L9" s="17" t="n"/>
      <c r="M9" s="17" t="n"/>
    </row>
    <row r="10">
      <c r="A10" s="16">
        <f>IF(B10="","",ROW()-4)</f>
        <v/>
      </c>
      <c r="B10" s="21" t="n"/>
      <c r="C10" s="21" t="n"/>
      <c r="D10" s="21" t="n"/>
      <c r="E10" s="21" t="n"/>
      <c r="F10" s="23" t="n"/>
      <c r="G10" s="20">
        <f>IF(F10="","",IF(H10="",TODAY()-F10,H10-F10))</f>
        <v/>
      </c>
      <c r="H10" s="23" t="n"/>
      <c r="I10" s="23" t="n"/>
      <c r="J10" s="20">
        <f>IF(I10="","",IF(OR(E10="Resubmitted",E10="Accepted",E10="Rejected",E10="Withdrawn"),"—",I10-TODAY()))</f>
        <v/>
      </c>
      <c r="K10" s="21" t="n"/>
      <c r="L10" s="21" t="n"/>
      <c r="M10" s="21" t="n"/>
    </row>
    <row r="11">
      <c r="A11" s="16">
        <f>IF(B11="","",ROW()-4)</f>
        <v/>
      </c>
      <c r="B11" s="17" t="n"/>
      <c r="C11" s="17" t="n"/>
      <c r="D11" s="17" t="n"/>
      <c r="E11" s="17" t="n"/>
      <c r="F11" s="19" t="n"/>
      <c r="G11" s="20">
        <f>IF(F11="","",IF(H11="",TODAY()-F11,H11-F11))</f>
        <v/>
      </c>
      <c r="H11" s="19" t="n"/>
      <c r="I11" s="19" t="n"/>
      <c r="J11" s="20">
        <f>IF(I11="","",IF(OR(E11="Resubmitted",E11="Accepted",E11="Rejected",E11="Withdrawn"),"—",I11-TODAY()))</f>
        <v/>
      </c>
      <c r="K11" s="17" t="n"/>
      <c r="L11" s="17" t="n"/>
      <c r="M11" s="17" t="n"/>
    </row>
    <row r="12">
      <c r="A12" s="16">
        <f>IF(B12="","",ROW()-4)</f>
        <v/>
      </c>
      <c r="B12" s="21" t="n"/>
      <c r="C12" s="21" t="n"/>
      <c r="D12" s="21" t="n"/>
      <c r="E12" s="21" t="n"/>
      <c r="F12" s="23" t="n"/>
      <c r="G12" s="20">
        <f>IF(F12="","",IF(H12="",TODAY()-F12,H12-F12))</f>
        <v/>
      </c>
      <c r="H12" s="23" t="n"/>
      <c r="I12" s="23" t="n"/>
      <c r="J12" s="20">
        <f>IF(I12="","",IF(OR(E12="Resubmitted",E12="Accepted",E12="Rejected",E12="Withdrawn"),"—",I12-TODAY()))</f>
        <v/>
      </c>
      <c r="K12" s="21" t="n"/>
      <c r="L12" s="21" t="n"/>
      <c r="M12" s="21" t="n"/>
    </row>
    <row r="13">
      <c r="A13" s="16">
        <f>IF(B13="","",ROW()-4)</f>
        <v/>
      </c>
      <c r="B13" s="17" t="n"/>
      <c r="C13" s="17" t="n"/>
      <c r="D13" s="17" t="n"/>
      <c r="E13" s="17" t="n"/>
      <c r="F13" s="19" t="n"/>
      <c r="G13" s="20">
        <f>IF(F13="","",IF(H13="",TODAY()-F13,H13-F13))</f>
        <v/>
      </c>
      <c r="H13" s="19" t="n"/>
      <c r="I13" s="19" t="n"/>
      <c r="J13" s="20">
        <f>IF(I13="","",IF(OR(E13="Resubmitted",E13="Accepted",E13="Rejected",E13="Withdrawn"),"—",I13-TODAY()))</f>
        <v/>
      </c>
      <c r="K13" s="17" t="n"/>
      <c r="L13" s="17" t="n"/>
      <c r="M13" s="17" t="n"/>
    </row>
    <row r="14">
      <c r="A14" s="16">
        <f>IF(B14="","",ROW()-4)</f>
        <v/>
      </c>
      <c r="B14" s="21" t="n"/>
      <c r="C14" s="21" t="n"/>
      <c r="D14" s="21" t="n"/>
      <c r="E14" s="21" t="n"/>
      <c r="F14" s="23" t="n"/>
      <c r="G14" s="20">
        <f>IF(F14="","",IF(H14="",TODAY()-F14,H14-F14))</f>
        <v/>
      </c>
      <c r="H14" s="23" t="n"/>
      <c r="I14" s="23" t="n"/>
      <c r="J14" s="20">
        <f>IF(I14="","",IF(OR(E14="Resubmitted",E14="Accepted",E14="Rejected",E14="Withdrawn"),"—",I14-TODAY()))</f>
        <v/>
      </c>
      <c r="K14" s="21" t="n"/>
      <c r="L14" s="21" t="n"/>
      <c r="M14" s="21" t="n"/>
    </row>
    <row r="15">
      <c r="A15" s="16">
        <f>IF(B15="","",ROW()-4)</f>
        <v/>
      </c>
      <c r="B15" s="17" t="n"/>
      <c r="C15" s="17" t="n"/>
      <c r="D15" s="17" t="n"/>
      <c r="E15" s="17" t="n"/>
      <c r="F15" s="19" t="n"/>
      <c r="G15" s="20">
        <f>IF(F15="","",IF(H15="",TODAY()-F15,H15-F15))</f>
        <v/>
      </c>
      <c r="H15" s="19" t="n"/>
      <c r="I15" s="19" t="n"/>
      <c r="J15" s="20">
        <f>IF(I15="","",IF(OR(E15="Resubmitted",E15="Accepted",E15="Rejected",E15="Withdrawn"),"—",I15-TODAY()))</f>
        <v/>
      </c>
      <c r="K15" s="17" t="n"/>
      <c r="L15" s="17" t="n"/>
      <c r="M15" s="17" t="n"/>
    </row>
    <row r="16">
      <c r="A16" s="16">
        <f>IF(B16="","",ROW()-4)</f>
        <v/>
      </c>
      <c r="B16" s="21" t="n"/>
      <c r="C16" s="21" t="n"/>
      <c r="D16" s="21" t="n"/>
      <c r="E16" s="21" t="n"/>
      <c r="F16" s="23" t="n"/>
      <c r="G16" s="20">
        <f>IF(F16="","",IF(H16="",TODAY()-F16,H16-F16))</f>
        <v/>
      </c>
      <c r="H16" s="23" t="n"/>
      <c r="I16" s="23" t="n"/>
      <c r="J16" s="20">
        <f>IF(I16="","",IF(OR(E16="Resubmitted",E16="Accepted",E16="Rejected",E16="Withdrawn"),"—",I16-TODAY()))</f>
        <v/>
      </c>
      <c r="K16" s="21" t="n"/>
      <c r="L16" s="21" t="n"/>
      <c r="M16" s="21" t="n"/>
    </row>
    <row r="17">
      <c r="A17" s="16">
        <f>IF(B17="","",ROW()-4)</f>
        <v/>
      </c>
      <c r="B17" s="17" t="n"/>
      <c r="C17" s="17" t="n"/>
      <c r="D17" s="17" t="n"/>
      <c r="E17" s="17" t="n"/>
      <c r="F17" s="19" t="n"/>
      <c r="G17" s="20">
        <f>IF(F17="","",IF(H17="",TODAY()-F17,H17-F17))</f>
        <v/>
      </c>
      <c r="H17" s="19" t="n"/>
      <c r="I17" s="19" t="n"/>
      <c r="J17" s="20">
        <f>IF(I17="","",IF(OR(E17="Resubmitted",E17="Accepted",E17="Rejected",E17="Withdrawn"),"—",I17-TODAY()))</f>
        <v/>
      </c>
      <c r="K17" s="17" t="n"/>
      <c r="L17" s="17" t="n"/>
      <c r="M17" s="17" t="n"/>
    </row>
    <row r="18">
      <c r="A18" s="16">
        <f>IF(B18="","",ROW()-4)</f>
        <v/>
      </c>
      <c r="B18" s="21" t="n"/>
      <c r="C18" s="21" t="n"/>
      <c r="D18" s="21" t="n"/>
      <c r="E18" s="21" t="n"/>
      <c r="F18" s="23" t="n"/>
      <c r="G18" s="20">
        <f>IF(F18="","",IF(H18="",TODAY()-F18,H18-F18))</f>
        <v/>
      </c>
      <c r="H18" s="23" t="n"/>
      <c r="I18" s="23" t="n"/>
      <c r="J18" s="20">
        <f>IF(I18="","",IF(OR(E18="Resubmitted",E18="Accepted",E18="Rejected",E18="Withdrawn"),"—",I18-TODAY()))</f>
        <v/>
      </c>
      <c r="K18" s="21" t="n"/>
      <c r="L18" s="21" t="n"/>
      <c r="M18" s="21" t="n"/>
    </row>
    <row r="19">
      <c r="A19" s="16">
        <f>IF(B19="","",ROW()-4)</f>
        <v/>
      </c>
      <c r="B19" s="17" t="n"/>
      <c r="C19" s="17" t="n"/>
      <c r="D19" s="17" t="n"/>
      <c r="E19" s="17" t="n"/>
      <c r="F19" s="19" t="n"/>
      <c r="G19" s="20">
        <f>IF(F19="","",IF(H19="",TODAY()-F19,H19-F19))</f>
        <v/>
      </c>
      <c r="H19" s="19" t="n"/>
      <c r="I19" s="19" t="n"/>
      <c r="J19" s="20">
        <f>IF(I19="","",IF(OR(E19="Resubmitted",E19="Accepted",E19="Rejected",E19="Withdrawn"),"—",I19-TODAY()))</f>
        <v/>
      </c>
      <c r="K19" s="17" t="n"/>
      <c r="L19" s="17" t="n"/>
      <c r="M19" s="17" t="n"/>
    </row>
    <row r="20">
      <c r="A20" s="16">
        <f>IF(B20="","",ROW()-4)</f>
        <v/>
      </c>
      <c r="B20" s="21" t="n"/>
      <c r="C20" s="21" t="n"/>
      <c r="D20" s="21" t="n"/>
      <c r="E20" s="21" t="n"/>
      <c r="F20" s="23" t="n"/>
      <c r="G20" s="20">
        <f>IF(F20="","",IF(H20="",TODAY()-F20,H20-F20))</f>
        <v/>
      </c>
      <c r="H20" s="23" t="n"/>
      <c r="I20" s="23" t="n"/>
      <c r="J20" s="20">
        <f>IF(I20="","",IF(OR(E20="Resubmitted",E20="Accepted",E20="Rejected",E20="Withdrawn"),"—",I20-TODAY()))</f>
        <v/>
      </c>
      <c r="K20" s="21" t="n"/>
      <c r="L20" s="21" t="n"/>
      <c r="M20" s="21" t="n"/>
    </row>
    <row r="21">
      <c r="A21" s="16">
        <f>IF(B21="","",ROW()-4)</f>
        <v/>
      </c>
      <c r="B21" s="17" t="n"/>
      <c r="C21" s="17" t="n"/>
      <c r="D21" s="17" t="n"/>
      <c r="E21" s="17" t="n"/>
      <c r="F21" s="19" t="n"/>
      <c r="G21" s="20">
        <f>IF(F21="","",IF(H21="",TODAY()-F21,H21-F21))</f>
        <v/>
      </c>
      <c r="H21" s="19" t="n"/>
      <c r="I21" s="19" t="n"/>
      <c r="J21" s="20">
        <f>IF(I21="","",IF(OR(E21="Resubmitted",E21="Accepted",E21="Rejected",E21="Withdrawn"),"—",I21-TODAY()))</f>
        <v/>
      </c>
      <c r="K21" s="17" t="n"/>
      <c r="L21" s="17" t="n"/>
      <c r="M21" s="17" t="n"/>
    </row>
    <row r="22">
      <c r="A22" s="16">
        <f>IF(B22="","",ROW()-4)</f>
        <v/>
      </c>
      <c r="B22" s="21" t="n"/>
      <c r="C22" s="21" t="n"/>
      <c r="D22" s="21" t="n"/>
      <c r="E22" s="21" t="n"/>
      <c r="F22" s="23" t="n"/>
      <c r="G22" s="20">
        <f>IF(F22="","",IF(H22="",TODAY()-F22,H22-F22))</f>
        <v/>
      </c>
      <c r="H22" s="23" t="n"/>
      <c r="I22" s="23" t="n"/>
      <c r="J22" s="20">
        <f>IF(I22="","",IF(OR(E22="Resubmitted",E22="Accepted",E22="Rejected",E22="Withdrawn"),"—",I22-TODAY()))</f>
        <v/>
      </c>
      <c r="K22" s="21" t="n"/>
      <c r="L22" s="21" t="n"/>
      <c r="M22" s="21" t="n"/>
    </row>
    <row r="23">
      <c r="A23" s="16">
        <f>IF(B23="","",ROW()-4)</f>
        <v/>
      </c>
      <c r="B23" s="17" t="n"/>
      <c r="C23" s="17" t="n"/>
      <c r="D23" s="17" t="n"/>
      <c r="E23" s="17" t="n"/>
      <c r="F23" s="19" t="n"/>
      <c r="G23" s="20">
        <f>IF(F23="","",IF(H23="",TODAY()-F23,H23-F23))</f>
        <v/>
      </c>
      <c r="H23" s="19" t="n"/>
      <c r="I23" s="19" t="n"/>
      <c r="J23" s="20">
        <f>IF(I23="","",IF(OR(E23="Resubmitted",E23="Accepted",E23="Rejected",E23="Withdrawn"),"—",I23-TODAY()))</f>
        <v/>
      </c>
      <c r="K23" s="17" t="n"/>
      <c r="L23" s="17" t="n"/>
      <c r="M23" s="17" t="n"/>
    </row>
    <row r="24">
      <c r="A24" s="16">
        <f>IF(B24="","",ROW()-4)</f>
        <v/>
      </c>
      <c r="B24" s="21" t="n"/>
      <c r="C24" s="21" t="n"/>
      <c r="D24" s="21" t="n"/>
      <c r="E24" s="21" t="n"/>
      <c r="F24" s="23" t="n"/>
      <c r="G24" s="20">
        <f>IF(F24="","",IF(H24="",TODAY()-F24,H24-F24))</f>
        <v/>
      </c>
      <c r="H24" s="23" t="n"/>
      <c r="I24" s="23" t="n"/>
      <c r="J24" s="20">
        <f>IF(I24="","",IF(OR(E24="Resubmitted",E24="Accepted",E24="Rejected",E24="Withdrawn"),"—",I24-TODAY()))</f>
        <v/>
      </c>
      <c r="K24" s="21" t="n"/>
      <c r="L24" s="21" t="n"/>
      <c r="M24" s="21" t="n"/>
    </row>
    <row r="25">
      <c r="A25" s="16">
        <f>IF(B25="","",ROW()-4)</f>
        <v/>
      </c>
      <c r="B25" s="17" t="n"/>
      <c r="C25" s="17" t="n"/>
      <c r="D25" s="17" t="n"/>
      <c r="E25" s="17" t="n"/>
      <c r="F25" s="19" t="n"/>
      <c r="G25" s="20">
        <f>IF(F25="","",IF(H25="",TODAY()-F25,H25-F25))</f>
        <v/>
      </c>
      <c r="H25" s="19" t="n"/>
      <c r="I25" s="19" t="n"/>
      <c r="J25" s="20">
        <f>IF(I25="","",IF(OR(E25="Resubmitted",E25="Accepted",E25="Rejected",E25="Withdrawn"),"—",I25-TODAY()))</f>
        <v/>
      </c>
      <c r="K25" s="17" t="n"/>
      <c r="L25" s="17" t="n"/>
      <c r="M25" s="17" t="n"/>
    </row>
    <row r="26">
      <c r="A26" s="16">
        <f>IF(B26="","",ROW()-4)</f>
        <v/>
      </c>
      <c r="B26" s="21" t="n"/>
      <c r="C26" s="21" t="n"/>
      <c r="D26" s="21" t="n"/>
      <c r="E26" s="21" t="n"/>
      <c r="F26" s="23" t="n"/>
      <c r="G26" s="20">
        <f>IF(F26="","",IF(H26="",TODAY()-F26,H26-F26))</f>
        <v/>
      </c>
      <c r="H26" s="23" t="n"/>
      <c r="I26" s="23" t="n"/>
      <c r="J26" s="20">
        <f>IF(I26="","",IF(OR(E26="Resubmitted",E26="Accepted",E26="Rejected",E26="Withdrawn"),"—",I26-TODAY()))</f>
        <v/>
      </c>
      <c r="K26" s="21" t="n"/>
      <c r="L26" s="21" t="n"/>
      <c r="M26" s="21" t="n"/>
    </row>
    <row r="27">
      <c r="A27" s="16">
        <f>IF(B27="","",ROW()-4)</f>
        <v/>
      </c>
      <c r="B27" s="17" t="n"/>
      <c r="C27" s="17" t="n"/>
      <c r="D27" s="17" t="n"/>
      <c r="E27" s="17" t="n"/>
      <c r="F27" s="19" t="n"/>
      <c r="G27" s="20">
        <f>IF(F27="","",IF(H27="",TODAY()-F27,H27-F27))</f>
        <v/>
      </c>
      <c r="H27" s="19" t="n"/>
      <c r="I27" s="19" t="n"/>
      <c r="J27" s="20">
        <f>IF(I27="","",IF(OR(E27="Resubmitted",E27="Accepted",E27="Rejected",E27="Withdrawn"),"—",I27-TODAY()))</f>
        <v/>
      </c>
      <c r="K27" s="17" t="n"/>
      <c r="L27" s="17" t="n"/>
      <c r="M27" s="17" t="n"/>
    </row>
    <row r="28">
      <c r="A28" s="16">
        <f>IF(B28="","",ROW()-4)</f>
        <v/>
      </c>
      <c r="B28" s="21" t="n"/>
      <c r="C28" s="21" t="n"/>
      <c r="D28" s="21" t="n"/>
      <c r="E28" s="21" t="n"/>
      <c r="F28" s="23" t="n"/>
      <c r="G28" s="20">
        <f>IF(F28="","",IF(H28="",TODAY()-F28,H28-F28))</f>
        <v/>
      </c>
      <c r="H28" s="23" t="n"/>
      <c r="I28" s="23" t="n"/>
      <c r="J28" s="20">
        <f>IF(I28="","",IF(OR(E28="Resubmitted",E28="Accepted",E28="Rejected",E28="Withdrawn"),"—",I28-TODAY()))</f>
        <v/>
      </c>
      <c r="K28" s="21" t="n"/>
      <c r="L28" s="21" t="n"/>
      <c r="M28" s="21" t="n"/>
    </row>
    <row r="29">
      <c r="A29" s="16">
        <f>IF(B29="","",ROW()-4)</f>
        <v/>
      </c>
      <c r="B29" s="17" t="n"/>
      <c r="C29" s="17" t="n"/>
      <c r="D29" s="17" t="n"/>
      <c r="E29" s="17" t="n"/>
      <c r="F29" s="19" t="n"/>
      <c r="G29" s="20">
        <f>IF(F29="","",IF(H29="",TODAY()-F29,H29-F29))</f>
        <v/>
      </c>
      <c r="H29" s="19" t="n"/>
      <c r="I29" s="19" t="n"/>
      <c r="J29" s="20">
        <f>IF(I29="","",IF(OR(E29="Resubmitted",E29="Accepted",E29="Rejected",E29="Withdrawn"),"—",I29-TODAY()))</f>
        <v/>
      </c>
      <c r="K29" s="17" t="n"/>
      <c r="L29" s="17" t="n"/>
      <c r="M29" s="17" t="n"/>
    </row>
    <row r="30">
      <c r="A30" s="16">
        <f>IF(B30="","",ROW()-4)</f>
        <v/>
      </c>
      <c r="B30" s="21" t="n"/>
      <c r="C30" s="21" t="n"/>
      <c r="D30" s="21" t="n"/>
      <c r="E30" s="21" t="n"/>
      <c r="F30" s="23" t="n"/>
      <c r="G30" s="20">
        <f>IF(F30="","",IF(H30="",TODAY()-F30,H30-F30))</f>
        <v/>
      </c>
      <c r="H30" s="23" t="n"/>
      <c r="I30" s="23" t="n"/>
      <c r="J30" s="20">
        <f>IF(I30="","",IF(OR(E30="Resubmitted",E30="Accepted",E30="Rejected",E30="Withdrawn"),"—",I30-TODAY()))</f>
        <v/>
      </c>
      <c r="K30" s="21" t="n"/>
      <c r="L30" s="21" t="n"/>
      <c r="M30" s="21" t="n"/>
    </row>
    <row r="31">
      <c r="A31" s="16">
        <f>IF(B31="","",ROW()-4)</f>
        <v/>
      </c>
      <c r="B31" s="17" t="n"/>
      <c r="C31" s="17" t="n"/>
      <c r="D31" s="17" t="n"/>
      <c r="E31" s="17" t="n"/>
      <c r="F31" s="19" t="n"/>
      <c r="G31" s="20">
        <f>IF(F31="","",IF(H31="",TODAY()-F31,H31-F31))</f>
        <v/>
      </c>
      <c r="H31" s="19" t="n"/>
      <c r="I31" s="19" t="n"/>
      <c r="J31" s="20">
        <f>IF(I31="","",IF(OR(E31="Resubmitted",E31="Accepted",E31="Rejected",E31="Withdrawn"),"—",I31-TODAY()))</f>
        <v/>
      </c>
      <c r="K31" s="17" t="n"/>
      <c r="L31" s="17" t="n"/>
      <c r="M31" s="17" t="n"/>
    </row>
    <row r="32">
      <c r="A32" s="16">
        <f>IF(B32="","",ROW()-4)</f>
        <v/>
      </c>
      <c r="B32" s="21" t="n"/>
      <c r="C32" s="21" t="n"/>
      <c r="D32" s="21" t="n"/>
      <c r="E32" s="21" t="n"/>
      <c r="F32" s="23" t="n"/>
      <c r="G32" s="20">
        <f>IF(F32="","",IF(H32="",TODAY()-F32,H32-F32))</f>
        <v/>
      </c>
      <c r="H32" s="23" t="n"/>
      <c r="I32" s="23" t="n"/>
      <c r="J32" s="20">
        <f>IF(I32="","",IF(OR(E32="Resubmitted",E32="Accepted",E32="Rejected",E32="Withdrawn"),"—",I32-TODAY()))</f>
        <v/>
      </c>
      <c r="K32" s="21" t="n"/>
      <c r="L32" s="21" t="n"/>
      <c r="M32" s="21" t="n"/>
    </row>
    <row r="33">
      <c r="A33" s="16">
        <f>IF(B33="","",ROW()-4)</f>
        <v/>
      </c>
      <c r="B33" s="17" t="n"/>
      <c r="C33" s="17" t="n"/>
      <c r="D33" s="17" t="n"/>
      <c r="E33" s="17" t="n"/>
      <c r="F33" s="19" t="n"/>
      <c r="G33" s="20">
        <f>IF(F33="","",IF(H33="",TODAY()-F33,H33-F33))</f>
        <v/>
      </c>
      <c r="H33" s="19" t="n"/>
      <c r="I33" s="19" t="n"/>
      <c r="J33" s="20">
        <f>IF(I33="","",IF(OR(E33="Resubmitted",E33="Accepted",E33="Rejected",E33="Withdrawn"),"—",I33-TODAY()))</f>
        <v/>
      </c>
      <c r="K33" s="17" t="n"/>
      <c r="L33" s="17" t="n"/>
      <c r="M33" s="17" t="n"/>
    </row>
    <row r="34">
      <c r="A34" s="16">
        <f>IF(B34="","",ROW()-4)</f>
        <v/>
      </c>
      <c r="B34" s="21" t="n"/>
      <c r="C34" s="21" t="n"/>
      <c r="D34" s="21" t="n"/>
      <c r="E34" s="21" t="n"/>
      <c r="F34" s="23" t="n"/>
      <c r="G34" s="20">
        <f>IF(F34="","",IF(H34="",TODAY()-F34,H34-F34))</f>
        <v/>
      </c>
      <c r="H34" s="23" t="n"/>
      <c r="I34" s="23" t="n"/>
      <c r="J34" s="20">
        <f>IF(I34="","",IF(OR(E34="Resubmitted",E34="Accepted",E34="Rejected",E34="Withdrawn"),"—",I34-TODAY()))</f>
        <v/>
      </c>
      <c r="K34" s="21" t="n"/>
      <c r="L34" s="21" t="n"/>
      <c r="M34" s="21" t="n"/>
    </row>
    <row r="35">
      <c r="A35" s="16">
        <f>IF(B35="","",ROW()-4)</f>
        <v/>
      </c>
      <c r="B35" s="17" t="n"/>
      <c r="C35" s="17" t="n"/>
      <c r="D35" s="17" t="n"/>
      <c r="E35" s="17" t="n"/>
      <c r="F35" s="19" t="n"/>
      <c r="G35" s="20">
        <f>IF(F35="","",IF(H35="",TODAY()-F35,H35-F35))</f>
        <v/>
      </c>
      <c r="H35" s="19" t="n"/>
      <c r="I35" s="19" t="n"/>
      <c r="J35" s="20">
        <f>IF(I35="","",IF(OR(E35="Resubmitted",E35="Accepted",E35="Rejected",E35="Withdrawn"),"—",I35-TODAY()))</f>
        <v/>
      </c>
      <c r="K35" s="17" t="n"/>
      <c r="L35" s="17" t="n"/>
      <c r="M35" s="17" t="n"/>
    </row>
    <row r="36">
      <c r="A36" s="16">
        <f>IF(B36="","",ROW()-4)</f>
        <v/>
      </c>
      <c r="B36" s="21" t="n"/>
      <c r="C36" s="21" t="n"/>
      <c r="D36" s="21" t="n"/>
      <c r="E36" s="21" t="n"/>
      <c r="F36" s="23" t="n"/>
      <c r="G36" s="20">
        <f>IF(F36="","",IF(H36="",TODAY()-F36,H36-F36))</f>
        <v/>
      </c>
      <c r="H36" s="23" t="n"/>
      <c r="I36" s="23" t="n"/>
      <c r="J36" s="20">
        <f>IF(I36="","",IF(OR(E36="Resubmitted",E36="Accepted",E36="Rejected",E36="Withdrawn"),"—",I36-TODAY()))</f>
        <v/>
      </c>
      <c r="K36" s="21" t="n"/>
      <c r="L36" s="21" t="n"/>
      <c r="M36" s="21" t="n"/>
    </row>
    <row r="37">
      <c r="A37" s="16">
        <f>IF(B37="","",ROW()-4)</f>
        <v/>
      </c>
      <c r="B37" s="17" t="n"/>
      <c r="C37" s="17" t="n"/>
      <c r="D37" s="17" t="n"/>
      <c r="E37" s="17" t="n"/>
      <c r="F37" s="19" t="n"/>
      <c r="G37" s="20">
        <f>IF(F37="","",IF(H37="",TODAY()-F37,H37-F37))</f>
        <v/>
      </c>
      <c r="H37" s="19" t="n"/>
      <c r="I37" s="19" t="n"/>
      <c r="J37" s="20">
        <f>IF(I37="","",IF(OR(E37="Resubmitted",E37="Accepted",E37="Rejected",E37="Withdrawn"),"—",I37-TODAY()))</f>
        <v/>
      </c>
      <c r="K37" s="17" t="n"/>
      <c r="L37" s="17" t="n"/>
      <c r="M37" s="17" t="n"/>
    </row>
    <row r="38">
      <c r="A38" s="16">
        <f>IF(B38="","",ROW()-4)</f>
        <v/>
      </c>
      <c r="B38" s="21" t="n"/>
      <c r="C38" s="21" t="n"/>
      <c r="D38" s="21" t="n"/>
      <c r="E38" s="21" t="n"/>
      <c r="F38" s="23" t="n"/>
      <c r="G38" s="20">
        <f>IF(F38="","",IF(H38="",TODAY()-F38,H38-F38))</f>
        <v/>
      </c>
      <c r="H38" s="23" t="n"/>
      <c r="I38" s="23" t="n"/>
      <c r="J38" s="20">
        <f>IF(I38="","",IF(OR(E38="Resubmitted",E38="Accepted",E38="Rejected",E38="Withdrawn"),"—",I38-TODAY()))</f>
        <v/>
      </c>
      <c r="K38" s="21" t="n"/>
      <c r="L38" s="21" t="n"/>
      <c r="M38" s="21" t="n"/>
    </row>
    <row r="39">
      <c r="A39" s="16">
        <f>IF(B39="","",ROW()-4)</f>
        <v/>
      </c>
      <c r="B39" s="17" t="n"/>
      <c r="C39" s="17" t="n"/>
      <c r="D39" s="17" t="n"/>
      <c r="E39" s="17" t="n"/>
      <c r="F39" s="19" t="n"/>
      <c r="G39" s="20">
        <f>IF(F39="","",IF(H39="",TODAY()-F39,H39-F39))</f>
        <v/>
      </c>
      <c r="H39" s="19" t="n"/>
      <c r="I39" s="19" t="n"/>
      <c r="J39" s="20">
        <f>IF(I39="","",IF(OR(E39="Resubmitted",E39="Accepted",E39="Rejected",E39="Withdrawn"),"—",I39-TODAY()))</f>
        <v/>
      </c>
      <c r="K39" s="17" t="n"/>
      <c r="L39" s="17" t="n"/>
      <c r="M39" s="17" t="n"/>
    </row>
    <row r="40">
      <c r="A40" s="16">
        <f>IF(B40="","",ROW()-4)</f>
        <v/>
      </c>
      <c r="B40" s="21" t="n"/>
      <c r="C40" s="21" t="n"/>
      <c r="D40" s="21" t="n"/>
      <c r="E40" s="21" t="n"/>
      <c r="F40" s="23" t="n"/>
      <c r="G40" s="20">
        <f>IF(F40="","",IF(H40="",TODAY()-F40,H40-F40))</f>
        <v/>
      </c>
      <c r="H40" s="23" t="n"/>
      <c r="I40" s="23" t="n"/>
      <c r="J40" s="20">
        <f>IF(I40="","",IF(OR(E40="Resubmitted",E40="Accepted",E40="Rejected",E40="Withdrawn"),"—",I40-TODAY()))</f>
        <v/>
      </c>
      <c r="K40" s="21" t="n"/>
      <c r="L40" s="21" t="n"/>
      <c r="M40" s="21" t="n"/>
    </row>
    <row r="41">
      <c r="A41" s="16">
        <f>IF(B41="","",ROW()-4)</f>
        <v/>
      </c>
      <c r="B41" s="17" t="n"/>
      <c r="C41" s="17" t="n"/>
      <c r="D41" s="17" t="n"/>
      <c r="E41" s="17" t="n"/>
      <c r="F41" s="19" t="n"/>
      <c r="G41" s="20">
        <f>IF(F41="","",IF(H41="",TODAY()-F41,H41-F41))</f>
        <v/>
      </c>
      <c r="H41" s="19" t="n"/>
      <c r="I41" s="19" t="n"/>
      <c r="J41" s="20">
        <f>IF(I41="","",IF(OR(E41="Resubmitted",E41="Accepted",E41="Rejected",E41="Withdrawn"),"—",I41-TODAY()))</f>
        <v/>
      </c>
      <c r="K41" s="17" t="n"/>
      <c r="L41" s="17" t="n"/>
      <c r="M41" s="17" t="n"/>
    </row>
    <row r="42">
      <c r="A42" s="16">
        <f>IF(B42="","",ROW()-4)</f>
        <v/>
      </c>
      <c r="B42" s="21" t="n"/>
      <c r="C42" s="21" t="n"/>
      <c r="D42" s="21" t="n"/>
      <c r="E42" s="21" t="n"/>
      <c r="F42" s="23" t="n"/>
      <c r="G42" s="20">
        <f>IF(F42="","",IF(H42="",TODAY()-F42,H42-F42))</f>
        <v/>
      </c>
      <c r="H42" s="23" t="n"/>
      <c r="I42" s="23" t="n"/>
      <c r="J42" s="20">
        <f>IF(I42="","",IF(OR(E42="Resubmitted",E42="Accepted",E42="Rejected",E42="Withdrawn"),"—",I42-TODAY()))</f>
        <v/>
      </c>
      <c r="K42" s="21" t="n"/>
      <c r="L42" s="21" t="n"/>
      <c r="M42" s="21" t="n"/>
    </row>
    <row r="43">
      <c r="A43" s="16">
        <f>IF(B43="","",ROW()-4)</f>
        <v/>
      </c>
      <c r="B43" s="17" t="n"/>
      <c r="C43" s="17" t="n"/>
      <c r="D43" s="17" t="n"/>
      <c r="E43" s="17" t="n"/>
      <c r="F43" s="19" t="n"/>
      <c r="G43" s="20">
        <f>IF(F43="","",IF(H43="",TODAY()-F43,H43-F43))</f>
        <v/>
      </c>
      <c r="H43" s="19" t="n"/>
      <c r="I43" s="19" t="n"/>
      <c r="J43" s="20">
        <f>IF(I43="","",IF(OR(E43="Resubmitted",E43="Accepted",E43="Rejected",E43="Withdrawn"),"—",I43-TODAY()))</f>
        <v/>
      </c>
      <c r="K43" s="17" t="n"/>
      <c r="L43" s="17" t="n"/>
      <c r="M43" s="17" t="n"/>
    </row>
    <row r="44">
      <c r="A44" s="16">
        <f>IF(B44="","",ROW()-4)</f>
        <v/>
      </c>
      <c r="B44" s="21" t="n"/>
      <c r="C44" s="21" t="n"/>
      <c r="D44" s="21" t="n"/>
      <c r="E44" s="21" t="n"/>
      <c r="F44" s="23" t="n"/>
      <c r="G44" s="20">
        <f>IF(F44="","",IF(H44="",TODAY()-F44,H44-F44))</f>
        <v/>
      </c>
      <c r="H44" s="23" t="n"/>
      <c r="I44" s="23" t="n"/>
      <c r="J44" s="20">
        <f>IF(I44="","",IF(OR(E44="Resubmitted",E44="Accepted",E44="Rejected",E44="Withdrawn"),"—",I44-TODAY()))</f>
        <v/>
      </c>
      <c r="K44" s="21" t="n"/>
      <c r="L44" s="21" t="n"/>
      <c r="M44" s="21" t="n"/>
    </row>
    <row r="45">
      <c r="A45" s="16">
        <f>IF(B45="","",ROW()-4)</f>
        <v/>
      </c>
      <c r="B45" s="17" t="n"/>
      <c r="C45" s="17" t="n"/>
      <c r="D45" s="17" t="n"/>
      <c r="E45" s="17" t="n"/>
      <c r="F45" s="19" t="n"/>
      <c r="G45" s="20">
        <f>IF(F45="","",IF(H45="",TODAY()-F45,H45-F45))</f>
        <v/>
      </c>
      <c r="H45" s="19" t="n"/>
      <c r="I45" s="19" t="n"/>
      <c r="J45" s="20">
        <f>IF(I45="","",IF(OR(E45="Resubmitted",E45="Accepted",E45="Rejected",E45="Withdrawn"),"—",I45-TODAY()))</f>
        <v/>
      </c>
      <c r="K45" s="17" t="n"/>
      <c r="L45" s="17" t="n"/>
      <c r="M45" s="17" t="n"/>
    </row>
    <row r="46">
      <c r="A46" s="16">
        <f>IF(B46="","",ROW()-4)</f>
        <v/>
      </c>
      <c r="B46" s="21" t="n"/>
      <c r="C46" s="21" t="n"/>
      <c r="D46" s="21" t="n"/>
      <c r="E46" s="21" t="n"/>
      <c r="F46" s="23" t="n"/>
      <c r="G46" s="20">
        <f>IF(F46="","",IF(H46="",TODAY()-F46,H46-F46))</f>
        <v/>
      </c>
      <c r="H46" s="23" t="n"/>
      <c r="I46" s="23" t="n"/>
      <c r="J46" s="20">
        <f>IF(I46="","",IF(OR(E46="Resubmitted",E46="Accepted",E46="Rejected",E46="Withdrawn"),"—",I46-TODAY()))</f>
        <v/>
      </c>
      <c r="K46" s="21" t="n"/>
      <c r="L46" s="21" t="n"/>
      <c r="M46" s="21" t="n"/>
    </row>
    <row r="47">
      <c r="A47" s="16">
        <f>IF(B47="","",ROW()-4)</f>
        <v/>
      </c>
      <c r="B47" s="17" t="n"/>
      <c r="C47" s="17" t="n"/>
      <c r="D47" s="17" t="n"/>
      <c r="E47" s="17" t="n"/>
      <c r="F47" s="19" t="n"/>
      <c r="G47" s="20">
        <f>IF(F47="","",IF(H47="",TODAY()-F47,H47-F47))</f>
        <v/>
      </c>
      <c r="H47" s="19" t="n"/>
      <c r="I47" s="19" t="n"/>
      <c r="J47" s="20">
        <f>IF(I47="","",IF(OR(E47="Resubmitted",E47="Accepted",E47="Rejected",E47="Withdrawn"),"—",I47-TODAY()))</f>
        <v/>
      </c>
      <c r="K47" s="17" t="n"/>
      <c r="L47" s="17" t="n"/>
      <c r="M47" s="17" t="n"/>
    </row>
    <row r="48">
      <c r="A48" s="16">
        <f>IF(B48="","",ROW()-4)</f>
        <v/>
      </c>
      <c r="B48" s="21" t="n"/>
      <c r="C48" s="21" t="n"/>
      <c r="D48" s="21" t="n"/>
      <c r="E48" s="21" t="n"/>
      <c r="F48" s="23" t="n"/>
      <c r="G48" s="20">
        <f>IF(F48="","",IF(H48="",TODAY()-F48,H48-F48))</f>
        <v/>
      </c>
      <c r="H48" s="23" t="n"/>
      <c r="I48" s="23" t="n"/>
      <c r="J48" s="20">
        <f>IF(I48="","",IF(OR(E48="Resubmitted",E48="Accepted",E48="Rejected",E48="Withdrawn"),"—",I48-TODAY()))</f>
        <v/>
      </c>
      <c r="K48" s="21" t="n"/>
      <c r="L48" s="21" t="n"/>
      <c r="M48" s="21" t="n"/>
    </row>
    <row r="49">
      <c r="A49" s="16">
        <f>IF(B49="","",ROW()-4)</f>
        <v/>
      </c>
      <c r="B49" s="17" t="n"/>
      <c r="C49" s="17" t="n"/>
      <c r="D49" s="17" t="n"/>
      <c r="E49" s="17" t="n"/>
      <c r="F49" s="19" t="n"/>
      <c r="G49" s="20">
        <f>IF(F49="","",IF(H49="",TODAY()-F49,H49-F49))</f>
        <v/>
      </c>
      <c r="H49" s="19" t="n"/>
      <c r="I49" s="19" t="n"/>
      <c r="J49" s="20">
        <f>IF(I49="","",IF(OR(E49="Resubmitted",E49="Accepted",E49="Rejected",E49="Withdrawn"),"—",I49-TODAY()))</f>
        <v/>
      </c>
      <c r="K49" s="17" t="n"/>
      <c r="L49" s="17" t="n"/>
      <c r="M49" s="17" t="n"/>
    </row>
    <row r="50">
      <c r="A50" s="16">
        <f>IF(B50="","",ROW()-4)</f>
        <v/>
      </c>
      <c r="B50" s="21" t="n"/>
      <c r="C50" s="21" t="n"/>
      <c r="D50" s="21" t="n"/>
      <c r="E50" s="21" t="n"/>
      <c r="F50" s="23" t="n"/>
      <c r="G50" s="20">
        <f>IF(F50="","",IF(H50="",TODAY()-F50,H50-F50))</f>
        <v/>
      </c>
      <c r="H50" s="23" t="n"/>
      <c r="I50" s="23" t="n"/>
      <c r="J50" s="20">
        <f>IF(I50="","",IF(OR(E50="Resubmitted",E50="Accepted",E50="Rejected",E50="Withdrawn"),"—",I50-TODAY()))</f>
        <v/>
      </c>
      <c r="K50" s="21" t="n"/>
      <c r="L50" s="21" t="n"/>
      <c r="M50" s="21" t="n"/>
    </row>
    <row r="51">
      <c r="A51" s="16">
        <f>IF(B51="","",ROW()-4)</f>
        <v/>
      </c>
      <c r="B51" s="17" t="n"/>
      <c r="C51" s="17" t="n"/>
      <c r="D51" s="17" t="n"/>
      <c r="E51" s="17" t="n"/>
      <c r="F51" s="19" t="n"/>
      <c r="G51" s="20">
        <f>IF(F51="","",IF(H51="",TODAY()-F51,H51-F51))</f>
        <v/>
      </c>
      <c r="H51" s="19" t="n"/>
      <c r="I51" s="19" t="n"/>
      <c r="J51" s="20">
        <f>IF(I51="","",IF(OR(E51="Resubmitted",E51="Accepted",E51="Rejected",E51="Withdrawn"),"—",I51-TODAY()))</f>
        <v/>
      </c>
      <c r="K51" s="17" t="n"/>
      <c r="L51" s="17" t="n"/>
      <c r="M51" s="17" t="n"/>
    </row>
    <row r="52">
      <c r="A52" s="16">
        <f>IF(B52="","",ROW()-4)</f>
        <v/>
      </c>
      <c r="B52" s="21" t="n"/>
      <c r="C52" s="21" t="n"/>
      <c r="D52" s="21" t="n"/>
      <c r="E52" s="21" t="n"/>
      <c r="F52" s="23" t="n"/>
      <c r="G52" s="20">
        <f>IF(F52="","",IF(H52="",TODAY()-F52,H52-F52))</f>
        <v/>
      </c>
      <c r="H52" s="23" t="n"/>
      <c r="I52" s="23" t="n"/>
      <c r="J52" s="20">
        <f>IF(I52="","",IF(OR(E52="Resubmitted",E52="Accepted",E52="Rejected",E52="Withdrawn"),"—",I52-TODAY()))</f>
        <v/>
      </c>
      <c r="K52" s="21" t="n"/>
      <c r="L52" s="21" t="n"/>
      <c r="M52" s="21" t="n"/>
    </row>
    <row r="53">
      <c r="A53" s="16">
        <f>IF(B53="","",ROW()-4)</f>
        <v/>
      </c>
      <c r="B53" s="17" t="n"/>
      <c r="C53" s="17" t="n"/>
      <c r="D53" s="17" t="n"/>
      <c r="E53" s="17" t="n"/>
      <c r="F53" s="19" t="n"/>
      <c r="G53" s="20">
        <f>IF(F53="","",IF(H53="",TODAY()-F53,H53-F53))</f>
        <v/>
      </c>
      <c r="H53" s="19" t="n"/>
      <c r="I53" s="19" t="n"/>
      <c r="J53" s="20">
        <f>IF(I53="","",IF(OR(E53="Resubmitted",E53="Accepted",E53="Rejected",E53="Withdrawn"),"—",I53-TODAY()))</f>
        <v/>
      </c>
      <c r="K53" s="17" t="n"/>
      <c r="L53" s="17" t="n"/>
      <c r="M53" s="17" t="n"/>
    </row>
    <row r="54">
      <c r="A54" s="16">
        <f>IF(B54="","",ROW()-4)</f>
        <v/>
      </c>
      <c r="B54" s="21" t="n"/>
      <c r="C54" s="21" t="n"/>
      <c r="D54" s="21" t="n"/>
      <c r="E54" s="21" t="n"/>
      <c r="F54" s="23" t="n"/>
      <c r="G54" s="20">
        <f>IF(F54="","",IF(H54="",TODAY()-F54,H54-F54))</f>
        <v/>
      </c>
      <c r="H54" s="23" t="n"/>
      <c r="I54" s="23" t="n"/>
      <c r="J54" s="20">
        <f>IF(I54="","",IF(OR(E54="Resubmitted",E54="Accepted",E54="Rejected",E54="Withdrawn"),"—",I54-TODAY()))</f>
        <v/>
      </c>
      <c r="K54" s="21" t="n"/>
      <c r="L54" s="21" t="n"/>
      <c r="M54" s="21" t="n"/>
    </row>
    <row r="55">
      <c r="A55" s="16">
        <f>IF(B55="","",ROW()-4)</f>
        <v/>
      </c>
      <c r="B55" s="17" t="n"/>
      <c r="C55" s="17" t="n"/>
      <c r="D55" s="17" t="n"/>
      <c r="E55" s="17" t="n"/>
      <c r="F55" s="19" t="n"/>
      <c r="G55" s="20">
        <f>IF(F55="","",IF(H55="",TODAY()-F55,H55-F55))</f>
        <v/>
      </c>
      <c r="H55" s="19" t="n"/>
      <c r="I55" s="19" t="n"/>
      <c r="J55" s="20">
        <f>IF(I55="","",IF(OR(E55="Resubmitted",E55="Accepted",E55="Rejected",E55="Withdrawn"),"—",I55-TODAY()))</f>
        <v/>
      </c>
      <c r="K55" s="17" t="n"/>
      <c r="L55" s="17" t="n"/>
      <c r="M55" s="17" t="n"/>
    </row>
    <row r="56">
      <c r="A56" s="16">
        <f>IF(B56="","",ROW()-4)</f>
        <v/>
      </c>
      <c r="B56" s="21" t="n"/>
      <c r="C56" s="21" t="n"/>
      <c r="D56" s="21" t="n"/>
      <c r="E56" s="21" t="n"/>
      <c r="F56" s="23" t="n"/>
      <c r="G56" s="20">
        <f>IF(F56="","",IF(H56="",TODAY()-F56,H56-F56))</f>
        <v/>
      </c>
      <c r="H56" s="23" t="n"/>
      <c r="I56" s="23" t="n"/>
      <c r="J56" s="20">
        <f>IF(I56="","",IF(OR(E56="Resubmitted",E56="Accepted",E56="Rejected",E56="Withdrawn"),"—",I56-TODAY()))</f>
        <v/>
      </c>
      <c r="K56" s="21" t="n"/>
      <c r="L56" s="21" t="n"/>
      <c r="M56" s="21" t="n"/>
    </row>
    <row r="57">
      <c r="A57" s="16">
        <f>IF(B57="","",ROW()-4)</f>
        <v/>
      </c>
      <c r="B57" s="17" t="n"/>
      <c r="C57" s="17" t="n"/>
      <c r="D57" s="17" t="n"/>
      <c r="E57" s="17" t="n"/>
      <c r="F57" s="19" t="n"/>
      <c r="G57" s="20">
        <f>IF(F57="","",IF(H57="",TODAY()-F57,H57-F57))</f>
        <v/>
      </c>
      <c r="H57" s="19" t="n"/>
      <c r="I57" s="19" t="n"/>
      <c r="J57" s="20">
        <f>IF(I57="","",IF(OR(E57="Resubmitted",E57="Accepted",E57="Rejected",E57="Withdrawn"),"—",I57-TODAY()))</f>
        <v/>
      </c>
      <c r="K57" s="17" t="n"/>
      <c r="L57" s="17" t="n"/>
      <c r="M57" s="17" t="n"/>
    </row>
    <row r="58">
      <c r="A58" s="16">
        <f>IF(B58="","",ROW()-4)</f>
        <v/>
      </c>
      <c r="B58" s="21" t="n"/>
      <c r="C58" s="21" t="n"/>
      <c r="D58" s="21" t="n"/>
      <c r="E58" s="21" t="n"/>
      <c r="F58" s="23" t="n"/>
      <c r="G58" s="20">
        <f>IF(F58="","",IF(H58="",TODAY()-F58,H58-F58))</f>
        <v/>
      </c>
      <c r="H58" s="23" t="n"/>
      <c r="I58" s="23" t="n"/>
      <c r="J58" s="20">
        <f>IF(I58="","",IF(OR(E58="Resubmitted",E58="Accepted",E58="Rejected",E58="Withdrawn"),"—",I58-TODAY()))</f>
        <v/>
      </c>
      <c r="K58" s="21" t="n"/>
      <c r="L58" s="21" t="n"/>
      <c r="M58" s="21" t="n"/>
    </row>
    <row r="59">
      <c r="A59" s="16">
        <f>IF(B59="","",ROW()-4)</f>
        <v/>
      </c>
      <c r="B59" s="17" t="n"/>
      <c r="C59" s="17" t="n"/>
      <c r="D59" s="17" t="n"/>
      <c r="E59" s="17" t="n"/>
      <c r="F59" s="19" t="n"/>
      <c r="G59" s="20">
        <f>IF(F59="","",IF(H59="",TODAY()-F59,H59-F59))</f>
        <v/>
      </c>
      <c r="H59" s="19" t="n"/>
      <c r="I59" s="19" t="n"/>
      <c r="J59" s="20">
        <f>IF(I59="","",IF(OR(E59="Resubmitted",E59="Accepted",E59="Rejected",E59="Withdrawn"),"—",I59-TODAY()))</f>
        <v/>
      </c>
      <c r="K59" s="17" t="n"/>
      <c r="L59" s="17" t="n"/>
      <c r="M59" s="17" t="n"/>
    </row>
    <row r="60">
      <c r="A60" s="16">
        <f>IF(B60="","",ROW()-4)</f>
        <v/>
      </c>
      <c r="B60" s="21" t="n"/>
      <c r="C60" s="21" t="n"/>
      <c r="D60" s="21" t="n"/>
      <c r="E60" s="21" t="n"/>
      <c r="F60" s="23" t="n"/>
      <c r="G60" s="20">
        <f>IF(F60="","",IF(H60="",TODAY()-F60,H60-F60))</f>
        <v/>
      </c>
      <c r="H60" s="23" t="n"/>
      <c r="I60" s="23" t="n"/>
      <c r="J60" s="20">
        <f>IF(I60="","",IF(OR(E60="Resubmitted",E60="Accepted",E60="Rejected",E60="Withdrawn"),"—",I60-TODAY()))</f>
        <v/>
      </c>
      <c r="K60" s="21" t="n"/>
      <c r="L60" s="21" t="n"/>
      <c r="M60" s="21" t="n"/>
    </row>
    <row r="61">
      <c r="A61" s="16">
        <f>IF(B61="","",ROW()-4)</f>
        <v/>
      </c>
      <c r="B61" s="17" t="n"/>
      <c r="C61" s="17" t="n"/>
      <c r="D61" s="17" t="n"/>
      <c r="E61" s="17" t="n"/>
      <c r="F61" s="19" t="n"/>
      <c r="G61" s="20">
        <f>IF(F61="","",IF(H61="",TODAY()-F61,H61-F61))</f>
        <v/>
      </c>
      <c r="H61" s="19" t="n"/>
      <c r="I61" s="19" t="n"/>
      <c r="J61" s="20">
        <f>IF(I61="","",IF(OR(E61="Resubmitted",E61="Accepted",E61="Rejected",E61="Withdrawn"),"—",I61-TODAY()))</f>
        <v/>
      </c>
      <c r="K61" s="17" t="n"/>
      <c r="L61" s="17" t="n"/>
      <c r="M61" s="17" t="n"/>
    </row>
    <row r="62">
      <c r="A62" s="16">
        <f>IF(B62="","",ROW()-4)</f>
        <v/>
      </c>
      <c r="B62" s="21" t="n"/>
      <c r="C62" s="21" t="n"/>
      <c r="D62" s="21" t="n"/>
      <c r="E62" s="21" t="n"/>
      <c r="F62" s="23" t="n"/>
      <c r="G62" s="20">
        <f>IF(F62="","",IF(H62="",TODAY()-F62,H62-F62))</f>
        <v/>
      </c>
      <c r="H62" s="23" t="n"/>
      <c r="I62" s="23" t="n"/>
      <c r="J62" s="20">
        <f>IF(I62="","",IF(OR(E62="Resubmitted",E62="Accepted",E62="Rejected",E62="Withdrawn"),"—",I62-TODAY()))</f>
        <v/>
      </c>
      <c r="K62" s="21" t="n"/>
      <c r="L62" s="21" t="n"/>
      <c r="M62" s="21" t="n"/>
    </row>
    <row r="63">
      <c r="A63" s="16">
        <f>IF(B63="","",ROW()-4)</f>
        <v/>
      </c>
      <c r="B63" s="17" t="n"/>
      <c r="C63" s="17" t="n"/>
      <c r="D63" s="17" t="n"/>
      <c r="E63" s="17" t="n"/>
      <c r="F63" s="19" t="n"/>
      <c r="G63" s="20">
        <f>IF(F63="","",IF(H63="",TODAY()-F63,H63-F63))</f>
        <v/>
      </c>
      <c r="H63" s="19" t="n"/>
      <c r="I63" s="19" t="n"/>
      <c r="J63" s="20">
        <f>IF(I63="","",IF(OR(E63="Resubmitted",E63="Accepted",E63="Rejected",E63="Withdrawn"),"—",I63-TODAY()))</f>
        <v/>
      </c>
      <c r="K63" s="17" t="n"/>
      <c r="L63" s="17" t="n"/>
      <c r="M63" s="17" t="n"/>
    </row>
    <row r="64">
      <c r="A64" s="16">
        <f>IF(B64="","",ROW()-4)</f>
        <v/>
      </c>
      <c r="B64" s="21" t="n"/>
      <c r="C64" s="21" t="n"/>
      <c r="D64" s="21" t="n"/>
      <c r="E64" s="21" t="n"/>
      <c r="F64" s="23" t="n"/>
      <c r="G64" s="20">
        <f>IF(F64="","",IF(H64="",TODAY()-F64,H64-F64))</f>
        <v/>
      </c>
      <c r="H64" s="23" t="n"/>
      <c r="I64" s="23" t="n"/>
      <c r="J64" s="20">
        <f>IF(I64="","",IF(OR(E64="Resubmitted",E64="Accepted",E64="Rejected",E64="Withdrawn"),"—",I64-TODAY()))</f>
        <v/>
      </c>
      <c r="K64" s="21" t="n"/>
      <c r="L64" s="21" t="n"/>
      <c r="M64" s="21" t="n"/>
    </row>
    <row r="65">
      <c r="A65" s="16">
        <f>IF(B65="","",ROW()-4)</f>
        <v/>
      </c>
      <c r="B65" s="17" t="n"/>
      <c r="C65" s="17" t="n"/>
      <c r="D65" s="17" t="n"/>
      <c r="E65" s="17" t="n"/>
      <c r="F65" s="19" t="n"/>
      <c r="G65" s="20">
        <f>IF(F65="","",IF(H65="",TODAY()-F65,H65-F65))</f>
        <v/>
      </c>
      <c r="H65" s="19" t="n"/>
      <c r="I65" s="19" t="n"/>
      <c r="J65" s="20">
        <f>IF(I65="","",IF(OR(E65="Resubmitted",E65="Accepted",E65="Rejected",E65="Withdrawn"),"—",I65-TODAY()))</f>
        <v/>
      </c>
      <c r="K65" s="17" t="n"/>
      <c r="L65" s="17" t="n"/>
      <c r="M65" s="17" t="n"/>
    </row>
    <row r="66">
      <c r="A66" s="16">
        <f>IF(B66="","",ROW()-4)</f>
        <v/>
      </c>
      <c r="B66" s="21" t="n"/>
      <c r="C66" s="21" t="n"/>
      <c r="D66" s="21" t="n"/>
      <c r="E66" s="21" t="n"/>
      <c r="F66" s="23" t="n"/>
      <c r="G66" s="20">
        <f>IF(F66="","",IF(H66="",TODAY()-F66,H66-F66))</f>
        <v/>
      </c>
      <c r="H66" s="23" t="n"/>
      <c r="I66" s="23" t="n"/>
      <c r="J66" s="20">
        <f>IF(I66="","",IF(OR(E66="Resubmitted",E66="Accepted",E66="Rejected",E66="Withdrawn"),"—",I66-TODAY()))</f>
        <v/>
      </c>
      <c r="K66" s="21" t="n"/>
      <c r="L66" s="21" t="n"/>
      <c r="M66" s="21" t="n"/>
    </row>
    <row r="67">
      <c r="A67" s="16">
        <f>IF(B67="","",ROW()-4)</f>
        <v/>
      </c>
      <c r="B67" s="17" t="n"/>
      <c r="C67" s="17" t="n"/>
      <c r="D67" s="17" t="n"/>
      <c r="E67" s="17" t="n"/>
      <c r="F67" s="19" t="n"/>
      <c r="G67" s="20">
        <f>IF(F67="","",IF(H67="",TODAY()-F67,H67-F67))</f>
        <v/>
      </c>
      <c r="H67" s="19" t="n"/>
      <c r="I67" s="19" t="n"/>
      <c r="J67" s="20">
        <f>IF(I67="","",IF(OR(E67="Resubmitted",E67="Accepted",E67="Rejected",E67="Withdrawn"),"—",I67-TODAY()))</f>
        <v/>
      </c>
      <c r="K67" s="17" t="n"/>
      <c r="L67" s="17" t="n"/>
      <c r="M67" s="17" t="n"/>
    </row>
    <row r="68">
      <c r="A68" s="16">
        <f>IF(B68="","",ROW()-4)</f>
        <v/>
      </c>
      <c r="B68" s="21" t="n"/>
      <c r="C68" s="21" t="n"/>
      <c r="D68" s="21" t="n"/>
      <c r="E68" s="21" t="n"/>
      <c r="F68" s="23" t="n"/>
      <c r="G68" s="20">
        <f>IF(F68="","",IF(H68="",TODAY()-F68,H68-F68))</f>
        <v/>
      </c>
      <c r="H68" s="23" t="n"/>
      <c r="I68" s="23" t="n"/>
      <c r="J68" s="20">
        <f>IF(I68="","",IF(OR(E68="Resubmitted",E68="Accepted",E68="Rejected",E68="Withdrawn"),"—",I68-TODAY()))</f>
        <v/>
      </c>
      <c r="K68" s="21" t="n"/>
      <c r="L68" s="21" t="n"/>
      <c r="M68" s="21" t="n"/>
    </row>
    <row r="69">
      <c r="A69" s="16">
        <f>IF(B69="","",ROW()-4)</f>
        <v/>
      </c>
      <c r="B69" s="17" t="n"/>
      <c r="C69" s="17" t="n"/>
      <c r="D69" s="17" t="n"/>
      <c r="E69" s="17" t="n"/>
      <c r="F69" s="19" t="n"/>
      <c r="G69" s="20">
        <f>IF(F69="","",IF(H69="",TODAY()-F69,H69-F69))</f>
        <v/>
      </c>
      <c r="H69" s="19" t="n"/>
      <c r="I69" s="19" t="n"/>
      <c r="J69" s="20">
        <f>IF(I69="","",IF(OR(E69="Resubmitted",E69="Accepted",E69="Rejected",E69="Withdrawn"),"—",I69-TODAY()))</f>
        <v/>
      </c>
      <c r="K69" s="17" t="n"/>
      <c r="L69" s="17" t="n"/>
      <c r="M69" s="17" t="n"/>
    </row>
    <row r="70">
      <c r="A70" s="16">
        <f>IF(B70="","",ROW()-4)</f>
        <v/>
      </c>
      <c r="B70" s="21" t="n"/>
      <c r="C70" s="21" t="n"/>
      <c r="D70" s="21" t="n"/>
      <c r="E70" s="21" t="n"/>
      <c r="F70" s="23" t="n"/>
      <c r="G70" s="20">
        <f>IF(F70="","",IF(H70="",TODAY()-F70,H70-F70))</f>
        <v/>
      </c>
      <c r="H70" s="23" t="n"/>
      <c r="I70" s="23" t="n"/>
      <c r="J70" s="20">
        <f>IF(I70="","",IF(OR(E70="Resubmitted",E70="Accepted",E70="Rejected",E70="Withdrawn"),"—",I70-TODAY()))</f>
        <v/>
      </c>
      <c r="K70" s="21" t="n"/>
      <c r="L70" s="21" t="n"/>
      <c r="M70" s="21" t="n"/>
    </row>
    <row r="71">
      <c r="A71" s="16">
        <f>IF(B71="","",ROW()-4)</f>
        <v/>
      </c>
      <c r="B71" s="17" t="n"/>
      <c r="C71" s="17" t="n"/>
      <c r="D71" s="17" t="n"/>
      <c r="E71" s="17" t="n"/>
      <c r="F71" s="19" t="n"/>
      <c r="G71" s="20">
        <f>IF(F71="","",IF(H71="",TODAY()-F71,H71-F71))</f>
        <v/>
      </c>
      <c r="H71" s="19" t="n"/>
      <c r="I71" s="19" t="n"/>
      <c r="J71" s="20">
        <f>IF(I71="","",IF(OR(E71="Resubmitted",E71="Accepted",E71="Rejected",E71="Withdrawn"),"—",I71-TODAY()))</f>
        <v/>
      </c>
      <c r="K71" s="17" t="n"/>
      <c r="L71" s="17" t="n"/>
      <c r="M71" s="17" t="n"/>
    </row>
    <row r="72">
      <c r="A72" s="16">
        <f>IF(B72="","",ROW()-4)</f>
        <v/>
      </c>
      <c r="B72" s="21" t="n"/>
      <c r="C72" s="21" t="n"/>
      <c r="D72" s="21" t="n"/>
      <c r="E72" s="21" t="n"/>
      <c r="F72" s="23" t="n"/>
      <c r="G72" s="20">
        <f>IF(F72="","",IF(H72="",TODAY()-F72,H72-F72))</f>
        <v/>
      </c>
      <c r="H72" s="23" t="n"/>
      <c r="I72" s="23" t="n"/>
      <c r="J72" s="20">
        <f>IF(I72="","",IF(OR(E72="Resubmitted",E72="Accepted",E72="Rejected",E72="Withdrawn"),"—",I72-TODAY()))</f>
        <v/>
      </c>
      <c r="K72" s="21" t="n"/>
      <c r="L72" s="21" t="n"/>
      <c r="M72" s="21" t="n"/>
    </row>
    <row r="73">
      <c r="A73" s="16">
        <f>IF(B73="","",ROW()-4)</f>
        <v/>
      </c>
      <c r="B73" s="17" t="n"/>
      <c r="C73" s="17" t="n"/>
      <c r="D73" s="17" t="n"/>
      <c r="E73" s="17" t="n"/>
      <c r="F73" s="19" t="n"/>
      <c r="G73" s="20">
        <f>IF(F73="","",IF(H73="",TODAY()-F73,H73-F73))</f>
        <v/>
      </c>
      <c r="H73" s="19" t="n"/>
      <c r="I73" s="19" t="n"/>
      <c r="J73" s="20">
        <f>IF(I73="","",IF(OR(E73="Resubmitted",E73="Accepted",E73="Rejected",E73="Withdrawn"),"—",I73-TODAY()))</f>
        <v/>
      </c>
      <c r="K73" s="17" t="n"/>
      <c r="L73" s="17" t="n"/>
      <c r="M73" s="17" t="n"/>
    </row>
    <row r="74">
      <c r="A74" s="16">
        <f>IF(B74="","",ROW()-4)</f>
        <v/>
      </c>
      <c r="B74" s="21" t="n"/>
      <c r="C74" s="21" t="n"/>
      <c r="D74" s="21" t="n"/>
      <c r="E74" s="21" t="n"/>
      <c r="F74" s="23" t="n"/>
      <c r="G74" s="20">
        <f>IF(F74="","",IF(H74="",TODAY()-F74,H74-F74))</f>
        <v/>
      </c>
      <c r="H74" s="23" t="n"/>
      <c r="I74" s="23" t="n"/>
      <c r="J74" s="20">
        <f>IF(I74="","",IF(OR(E74="Resubmitted",E74="Accepted",E74="Rejected",E74="Withdrawn"),"—",I74-TODAY()))</f>
        <v/>
      </c>
      <c r="K74" s="21" t="n"/>
      <c r="L74" s="21" t="n"/>
      <c r="M74" s="21" t="n"/>
    </row>
    <row r="75">
      <c r="A75" s="16">
        <f>IF(B75="","",ROW()-4)</f>
        <v/>
      </c>
      <c r="B75" s="17" t="n"/>
      <c r="C75" s="17" t="n"/>
      <c r="D75" s="17" t="n"/>
      <c r="E75" s="17" t="n"/>
      <c r="F75" s="19" t="n"/>
      <c r="G75" s="20">
        <f>IF(F75="","",IF(H75="",TODAY()-F75,H75-F75))</f>
        <v/>
      </c>
      <c r="H75" s="19" t="n"/>
      <c r="I75" s="19" t="n"/>
      <c r="J75" s="20">
        <f>IF(I75="","",IF(OR(E75="Resubmitted",E75="Accepted",E75="Rejected",E75="Withdrawn"),"—",I75-TODAY()))</f>
        <v/>
      </c>
      <c r="K75" s="17" t="n"/>
      <c r="L75" s="17" t="n"/>
      <c r="M75" s="17" t="n"/>
    </row>
    <row r="76">
      <c r="A76" s="16">
        <f>IF(B76="","",ROW()-4)</f>
        <v/>
      </c>
      <c r="B76" s="21" t="n"/>
      <c r="C76" s="21" t="n"/>
      <c r="D76" s="21" t="n"/>
      <c r="E76" s="21" t="n"/>
      <c r="F76" s="23" t="n"/>
      <c r="G76" s="20">
        <f>IF(F76="","",IF(H76="",TODAY()-F76,H76-F76))</f>
        <v/>
      </c>
      <c r="H76" s="23" t="n"/>
      <c r="I76" s="23" t="n"/>
      <c r="J76" s="20">
        <f>IF(I76="","",IF(OR(E76="Resubmitted",E76="Accepted",E76="Rejected",E76="Withdrawn"),"—",I76-TODAY()))</f>
        <v/>
      </c>
      <c r="K76" s="21" t="n"/>
      <c r="L76" s="21" t="n"/>
      <c r="M76" s="21" t="n"/>
    </row>
    <row r="77">
      <c r="A77" s="16">
        <f>IF(B77="","",ROW()-4)</f>
        <v/>
      </c>
      <c r="B77" s="17" t="n"/>
      <c r="C77" s="17" t="n"/>
      <c r="D77" s="17" t="n"/>
      <c r="E77" s="17" t="n"/>
      <c r="F77" s="19" t="n"/>
      <c r="G77" s="20">
        <f>IF(F77="","",IF(H77="",TODAY()-F77,H77-F77))</f>
        <v/>
      </c>
      <c r="H77" s="19" t="n"/>
      <c r="I77" s="19" t="n"/>
      <c r="J77" s="20">
        <f>IF(I77="","",IF(OR(E77="Resubmitted",E77="Accepted",E77="Rejected",E77="Withdrawn"),"—",I77-TODAY()))</f>
        <v/>
      </c>
      <c r="K77" s="17" t="n"/>
      <c r="L77" s="17" t="n"/>
      <c r="M77" s="17" t="n"/>
    </row>
    <row r="78">
      <c r="A78" s="16">
        <f>IF(B78="","",ROW()-4)</f>
        <v/>
      </c>
      <c r="B78" s="21" t="n"/>
      <c r="C78" s="21" t="n"/>
      <c r="D78" s="21" t="n"/>
      <c r="E78" s="21" t="n"/>
      <c r="F78" s="23" t="n"/>
      <c r="G78" s="20">
        <f>IF(F78="","",IF(H78="",TODAY()-F78,H78-F78))</f>
        <v/>
      </c>
      <c r="H78" s="23" t="n"/>
      <c r="I78" s="23" t="n"/>
      <c r="J78" s="20">
        <f>IF(I78="","",IF(OR(E78="Resubmitted",E78="Accepted",E78="Rejected",E78="Withdrawn"),"—",I78-TODAY()))</f>
        <v/>
      </c>
      <c r="K78" s="21" t="n"/>
      <c r="L78" s="21" t="n"/>
      <c r="M78" s="21" t="n"/>
    </row>
    <row r="79">
      <c r="A79" s="16">
        <f>IF(B79="","",ROW()-4)</f>
        <v/>
      </c>
      <c r="B79" s="17" t="n"/>
      <c r="C79" s="17" t="n"/>
      <c r="D79" s="17" t="n"/>
      <c r="E79" s="17" t="n"/>
      <c r="F79" s="19" t="n"/>
      <c r="G79" s="20">
        <f>IF(F79="","",IF(H79="",TODAY()-F79,H79-F79))</f>
        <v/>
      </c>
      <c r="H79" s="19" t="n"/>
      <c r="I79" s="19" t="n"/>
      <c r="J79" s="20">
        <f>IF(I79="","",IF(OR(E79="Resubmitted",E79="Accepted",E79="Rejected",E79="Withdrawn"),"—",I79-TODAY()))</f>
        <v/>
      </c>
      <c r="K79" s="17" t="n"/>
      <c r="L79" s="17" t="n"/>
      <c r="M79" s="17" t="n"/>
    </row>
    <row r="80">
      <c r="A80" s="16">
        <f>IF(B80="","",ROW()-4)</f>
        <v/>
      </c>
      <c r="B80" s="21" t="n"/>
      <c r="C80" s="21" t="n"/>
      <c r="D80" s="21" t="n"/>
      <c r="E80" s="21" t="n"/>
      <c r="F80" s="23" t="n"/>
      <c r="G80" s="20">
        <f>IF(F80="","",IF(H80="",TODAY()-F80,H80-F80))</f>
        <v/>
      </c>
      <c r="H80" s="23" t="n"/>
      <c r="I80" s="23" t="n"/>
      <c r="J80" s="20">
        <f>IF(I80="","",IF(OR(E80="Resubmitted",E80="Accepted",E80="Rejected",E80="Withdrawn"),"—",I80-TODAY()))</f>
        <v/>
      </c>
      <c r="K80" s="21" t="n"/>
      <c r="L80" s="21" t="n"/>
      <c r="M80" s="21" t="n"/>
    </row>
    <row r="81">
      <c r="A81" s="16">
        <f>IF(B81="","",ROW()-4)</f>
        <v/>
      </c>
      <c r="B81" s="17" t="n"/>
      <c r="C81" s="17" t="n"/>
      <c r="D81" s="17" t="n"/>
      <c r="E81" s="17" t="n"/>
      <c r="F81" s="19" t="n"/>
      <c r="G81" s="20">
        <f>IF(F81="","",IF(H81="",TODAY()-F81,H81-F81))</f>
        <v/>
      </c>
      <c r="H81" s="19" t="n"/>
      <c r="I81" s="19" t="n"/>
      <c r="J81" s="20">
        <f>IF(I81="","",IF(OR(E81="Resubmitted",E81="Accepted",E81="Rejected",E81="Withdrawn"),"—",I81-TODAY()))</f>
        <v/>
      </c>
      <c r="K81" s="17" t="n"/>
      <c r="L81" s="17" t="n"/>
      <c r="M81" s="17" t="n"/>
    </row>
    <row r="82">
      <c r="A82" s="16">
        <f>IF(B82="","",ROW()-4)</f>
        <v/>
      </c>
      <c r="B82" s="21" t="n"/>
      <c r="C82" s="21" t="n"/>
      <c r="D82" s="21" t="n"/>
      <c r="E82" s="21" t="n"/>
      <c r="F82" s="23" t="n"/>
      <c r="G82" s="20">
        <f>IF(F82="","",IF(H82="",TODAY()-F82,H82-F82))</f>
        <v/>
      </c>
      <c r="H82" s="23" t="n"/>
      <c r="I82" s="23" t="n"/>
      <c r="J82" s="20">
        <f>IF(I82="","",IF(OR(E82="Resubmitted",E82="Accepted",E82="Rejected",E82="Withdrawn"),"—",I82-TODAY()))</f>
        <v/>
      </c>
      <c r="K82" s="21" t="n"/>
      <c r="L82" s="21" t="n"/>
      <c r="M82" s="21" t="n"/>
    </row>
    <row r="83">
      <c r="A83" s="16">
        <f>IF(B83="","",ROW()-4)</f>
        <v/>
      </c>
      <c r="B83" s="17" t="n"/>
      <c r="C83" s="17" t="n"/>
      <c r="D83" s="17" t="n"/>
      <c r="E83" s="17" t="n"/>
      <c r="F83" s="19" t="n"/>
      <c r="G83" s="20">
        <f>IF(F83="","",IF(H83="",TODAY()-F83,H83-F83))</f>
        <v/>
      </c>
      <c r="H83" s="19" t="n"/>
      <c r="I83" s="19" t="n"/>
      <c r="J83" s="20">
        <f>IF(I83="","",IF(OR(E83="Resubmitted",E83="Accepted",E83="Rejected",E83="Withdrawn"),"—",I83-TODAY()))</f>
        <v/>
      </c>
      <c r="K83" s="17" t="n"/>
      <c r="L83" s="17" t="n"/>
      <c r="M83" s="17" t="n"/>
    </row>
    <row r="84">
      <c r="A84" s="16">
        <f>IF(B84="","",ROW()-4)</f>
        <v/>
      </c>
      <c r="B84" s="21" t="n"/>
      <c r="C84" s="21" t="n"/>
      <c r="D84" s="21" t="n"/>
      <c r="E84" s="21" t="n"/>
      <c r="F84" s="23" t="n"/>
      <c r="G84" s="20">
        <f>IF(F84="","",IF(H84="",TODAY()-F84,H84-F84))</f>
        <v/>
      </c>
      <c r="H84" s="23" t="n"/>
      <c r="I84" s="23" t="n"/>
      <c r="J84" s="20">
        <f>IF(I84="","",IF(OR(E84="Resubmitted",E84="Accepted",E84="Rejected",E84="Withdrawn"),"—",I84-TODAY()))</f>
        <v/>
      </c>
      <c r="K84" s="21" t="n"/>
      <c r="L84" s="21" t="n"/>
      <c r="M84" s="21" t="n"/>
    </row>
    <row r="85">
      <c r="A85" s="16">
        <f>IF(B85="","",ROW()-4)</f>
        <v/>
      </c>
      <c r="B85" s="17" t="n"/>
      <c r="C85" s="17" t="n"/>
      <c r="D85" s="17" t="n"/>
      <c r="E85" s="17" t="n"/>
      <c r="F85" s="19" t="n"/>
      <c r="G85" s="20">
        <f>IF(F85="","",IF(H85="",TODAY()-F85,H85-F85))</f>
        <v/>
      </c>
      <c r="H85" s="19" t="n"/>
      <c r="I85" s="19" t="n"/>
      <c r="J85" s="20">
        <f>IF(I85="","",IF(OR(E85="Resubmitted",E85="Accepted",E85="Rejected",E85="Withdrawn"),"—",I85-TODAY()))</f>
        <v/>
      </c>
      <c r="K85" s="17" t="n"/>
      <c r="L85" s="17" t="n"/>
      <c r="M85" s="17" t="n"/>
    </row>
    <row r="86">
      <c r="A86" s="16">
        <f>IF(B86="","",ROW()-4)</f>
        <v/>
      </c>
      <c r="B86" s="21" t="n"/>
      <c r="C86" s="21" t="n"/>
      <c r="D86" s="21" t="n"/>
      <c r="E86" s="21" t="n"/>
      <c r="F86" s="23" t="n"/>
      <c r="G86" s="20">
        <f>IF(F86="","",IF(H86="",TODAY()-F86,H86-F86))</f>
        <v/>
      </c>
      <c r="H86" s="23" t="n"/>
      <c r="I86" s="23" t="n"/>
      <c r="J86" s="20">
        <f>IF(I86="","",IF(OR(E86="Resubmitted",E86="Accepted",E86="Rejected",E86="Withdrawn"),"—",I86-TODAY()))</f>
        <v/>
      </c>
      <c r="K86" s="21" t="n"/>
      <c r="L86" s="21" t="n"/>
      <c r="M86" s="21" t="n"/>
    </row>
    <row r="87">
      <c r="A87" s="16">
        <f>IF(B87="","",ROW()-4)</f>
        <v/>
      </c>
      <c r="B87" s="17" t="n"/>
      <c r="C87" s="17" t="n"/>
      <c r="D87" s="17" t="n"/>
      <c r="E87" s="17" t="n"/>
      <c r="F87" s="19" t="n"/>
      <c r="G87" s="20">
        <f>IF(F87="","",IF(H87="",TODAY()-F87,H87-F87))</f>
        <v/>
      </c>
      <c r="H87" s="19" t="n"/>
      <c r="I87" s="19" t="n"/>
      <c r="J87" s="20">
        <f>IF(I87="","",IF(OR(E87="Resubmitted",E87="Accepted",E87="Rejected",E87="Withdrawn"),"—",I87-TODAY()))</f>
        <v/>
      </c>
      <c r="K87" s="17" t="n"/>
      <c r="L87" s="17" t="n"/>
      <c r="M87" s="17" t="n"/>
    </row>
    <row r="88">
      <c r="A88" s="16">
        <f>IF(B88="","",ROW()-4)</f>
        <v/>
      </c>
      <c r="B88" s="21" t="n"/>
      <c r="C88" s="21" t="n"/>
      <c r="D88" s="21" t="n"/>
      <c r="E88" s="21" t="n"/>
      <c r="F88" s="23" t="n"/>
      <c r="G88" s="20">
        <f>IF(F88="","",IF(H88="",TODAY()-F88,H88-F88))</f>
        <v/>
      </c>
      <c r="H88" s="23" t="n"/>
      <c r="I88" s="23" t="n"/>
      <c r="J88" s="20">
        <f>IF(I88="","",IF(OR(E88="Resubmitted",E88="Accepted",E88="Rejected",E88="Withdrawn"),"—",I88-TODAY()))</f>
        <v/>
      </c>
      <c r="K88" s="21" t="n"/>
      <c r="L88" s="21" t="n"/>
      <c r="M88" s="21" t="n"/>
    </row>
    <row r="89">
      <c r="A89" s="16">
        <f>IF(B89="","",ROW()-4)</f>
        <v/>
      </c>
      <c r="B89" s="17" t="n"/>
      <c r="C89" s="17" t="n"/>
      <c r="D89" s="17" t="n"/>
      <c r="E89" s="17" t="n"/>
      <c r="F89" s="19" t="n"/>
      <c r="G89" s="20">
        <f>IF(F89="","",IF(H89="",TODAY()-F89,H89-F89))</f>
        <v/>
      </c>
      <c r="H89" s="19" t="n"/>
      <c r="I89" s="19" t="n"/>
      <c r="J89" s="20">
        <f>IF(I89="","",IF(OR(E89="Resubmitted",E89="Accepted",E89="Rejected",E89="Withdrawn"),"—",I89-TODAY()))</f>
        <v/>
      </c>
      <c r="K89" s="17" t="n"/>
      <c r="L89" s="17" t="n"/>
      <c r="M89" s="17" t="n"/>
    </row>
    <row r="90">
      <c r="A90" s="16">
        <f>IF(B90="","",ROW()-4)</f>
        <v/>
      </c>
      <c r="B90" s="21" t="n"/>
      <c r="C90" s="21" t="n"/>
      <c r="D90" s="21" t="n"/>
      <c r="E90" s="21" t="n"/>
      <c r="F90" s="23" t="n"/>
      <c r="G90" s="20">
        <f>IF(F90="","",IF(H90="",TODAY()-F90,H90-F90))</f>
        <v/>
      </c>
      <c r="H90" s="23" t="n"/>
      <c r="I90" s="23" t="n"/>
      <c r="J90" s="20">
        <f>IF(I90="","",IF(OR(E90="Resubmitted",E90="Accepted",E90="Rejected",E90="Withdrawn"),"—",I90-TODAY()))</f>
        <v/>
      </c>
      <c r="K90" s="21" t="n"/>
      <c r="L90" s="21" t="n"/>
      <c r="M90" s="21" t="n"/>
    </row>
    <row r="91">
      <c r="A91" s="16">
        <f>IF(B91="","",ROW()-4)</f>
        <v/>
      </c>
      <c r="B91" s="17" t="n"/>
      <c r="C91" s="17" t="n"/>
      <c r="D91" s="17" t="n"/>
      <c r="E91" s="17" t="n"/>
      <c r="F91" s="19" t="n"/>
      <c r="G91" s="20">
        <f>IF(F91="","",IF(H91="",TODAY()-F91,H91-F91))</f>
        <v/>
      </c>
      <c r="H91" s="19" t="n"/>
      <c r="I91" s="19" t="n"/>
      <c r="J91" s="20">
        <f>IF(I91="","",IF(OR(E91="Resubmitted",E91="Accepted",E91="Rejected",E91="Withdrawn"),"—",I91-TODAY()))</f>
        <v/>
      </c>
      <c r="K91" s="17" t="n"/>
      <c r="L91" s="17" t="n"/>
      <c r="M91" s="17" t="n"/>
    </row>
    <row r="92">
      <c r="A92" s="16">
        <f>IF(B92="","",ROW()-4)</f>
        <v/>
      </c>
      <c r="B92" s="21" t="n"/>
      <c r="C92" s="21" t="n"/>
      <c r="D92" s="21" t="n"/>
      <c r="E92" s="21" t="n"/>
      <c r="F92" s="23" t="n"/>
      <c r="G92" s="20">
        <f>IF(F92="","",IF(H92="",TODAY()-F92,H92-F92))</f>
        <v/>
      </c>
      <c r="H92" s="23" t="n"/>
      <c r="I92" s="23" t="n"/>
      <c r="J92" s="20">
        <f>IF(I92="","",IF(OR(E92="Resubmitted",E92="Accepted",E92="Rejected",E92="Withdrawn"),"—",I92-TODAY()))</f>
        <v/>
      </c>
      <c r="K92" s="21" t="n"/>
      <c r="L92" s="21" t="n"/>
      <c r="M92" s="21" t="n"/>
    </row>
    <row r="93">
      <c r="A93" s="16">
        <f>IF(B93="","",ROW()-4)</f>
        <v/>
      </c>
      <c r="B93" s="17" t="n"/>
      <c r="C93" s="17" t="n"/>
      <c r="D93" s="17" t="n"/>
      <c r="E93" s="17" t="n"/>
      <c r="F93" s="19" t="n"/>
      <c r="G93" s="20">
        <f>IF(F93="","",IF(H93="",TODAY()-F93,H93-F93))</f>
        <v/>
      </c>
      <c r="H93" s="19" t="n"/>
      <c r="I93" s="19" t="n"/>
      <c r="J93" s="20">
        <f>IF(I93="","",IF(OR(E93="Resubmitted",E93="Accepted",E93="Rejected",E93="Withdrawn"),"—",I93-TODAY()))</f>
        <v/>
      </c>
      <c r="K93" s="17" t="n"/>
      <c r="L93" s="17" t="n"/>
      <c r="M93" s="17" t="n"/>
    </row>
    <row r="94">
      <c r="A94" s="16">
        <f>IF(B94="","",ROW()-4)</f>
        <v/>
      </c>
      <c r="B94" s="21" t="n"/>
      <c r="C94" s="21" t="n"/>
      <c r="D94" s="21" t="n"/>
      <c r="E94" s="21" t="n"/>
      <c r="F94" s="23" t="n"/>
      <c r="G94" s="20">
        <f>IF(F94="","",IF(H94="",TODAY()-F94,H94-F94))</f>
        <v/>
      </c>
      <c r="H94" s="23" t="n"/>
      <c r="I94" s="23" t="n"/>
      <c r="J94" s="20">
        <f>IF(I94="","",IF(OR(E94="Resubmitted",E94="Accepted",E94="Rejected",E94="Withdrawn"),"—",I94-TODAY()))</f>
        <v/>
      </c>
      <c r="K94" s="21" t="n"/>
      <c r="L94" s="21" t="n"/>
      <c r="M94" s="21" t="n"/>
    </row>
    <row r="95">
      <c r="A95" s="16">
        <f>IF(B95="","",ROW()-4)</f>
        <v/>
      </c>
      <c r="B95" s="17" t="n"/>
      <c r="C95" s="17" t="n"/>
      <c r="D95" s="17" t="n"/>
      <c r="E95" s="17" t="n"/>
      <c r="F95" s="19" t="n"/>
      <c r="G95" s="20">
        <f>IF(F95="","",IF(H95="",TODAY()-F95,H95-F95))</f>
        <v/>
      </c>
      <c r="H95" s="19" t="n"/>
      <c r="I95" s="19" t="n"/>
      <c r="J95" s="20">
        <f>IF(I95="","",IF(OR(E95="Resubmitted",E95="Accepted",E95="Rejected",E95="Withdrawn"),"—",I95-TODAY()))</f>
        <v/>
      </c>
      <c r="K95" s="17" t="n"/>
      <c r="L95" s="17" t="n"/>
      <c r="M95" s="17" t="n"/>
    </row>
    <row r="96">
      <c r="A96" s="16">
        <f>IF(B96="","",ROW()-4)</f>
        <v/>
      </c>
      <c r="B96" s="21" t="n"/>
      <c r="C96" s="21" t="n"/>
      <c r="D96" s="21" t="n"/>
      <c r="E96" s="21" t="n"/>
      <c r="F96" s="23" t="n"/>
      <c r="G96" s="20">
        <f>IF(F96="","",IF(H96="",TODAY()-F96,H96-F96))</f>
        <v/>
      </c>
      <c r="H96" s="23" t="n"/>
      <c r="I96" s="23" t="n"/>
      <c r="J96" s="20">
        <f>IF(I96="","",IF(OR(E96="Resubmitted",E96="Accepted",E96="Rejected",E96="Withdrawn"),"—",I96-TODAY()))</f>
        <v/>
      </c>
      <c r="K96" s="21" t="n"/>
      <c r="L96" s="21" t="n"/>
      <c r="M96" s="21" t="n"/>
    </row>
    <row r="97">
      <c r="A97" s="16">
        <f>IF(B97="","",ROW()-4)</f>
        <v/>
      </c>
      <c r="B97" s="17" t="n"/>
      <c r="C97" s="17" t="n"/>
      <c r="D97" s="17" t="n"/>
      <c r="E97" s="17" t="n"/>
      <c r="F97" s="19" t="n"/>
      <c r="G97" s="20">
        <f>IF(F97="","",IF(H97="",TODAY()-F97,H97-F97))</f>
        <v/>
      </c>
      <c r="H97" s="19" t="n"/>
      <c r="I97" s="19" t="n"/>
      <c r="J97" s="20">
        <f>IF(I97="","",IF(OR(E97="Resubmitted",E97="Accepted",E97="Rejected",E97="Withdrawn"),"—",I97-TODAY()))</f>
        <v/>
      </c>
      <c r="K97" s="17" t="n"/>
      <c r="L97" s="17" t="n"/>
      <c r="M97" s="17" t="n"/>
    </row>
    <row r="98">
      <c r="A98" s="16">
        <f>IF(B98="","",ROW()-4)</f>
        <v/>
      </c>
      <c r="B98" s="21" t="n"/>
      <c r="C98" s="21" t="n"/>
      <c r="D98" s="21" t="n"/>
      <c r="E98" s="21" t="n"/>
      <c r="F98" s="23" t="n"/>
      <c r="G98" s="20">
        <f>IF(F98="","",IF(H98="",TODAY()-F98,H98-F98))</f>
        <v/>
      </c>
      <c r="H98" s="23" t="n"/>
      <c r="I98" s="23" t="n"/>
      <c r="J98" s="20">
        <f>IF(I98="","",IF(OR(E98="Resubmitted",E98="Accepted",E98="Rejected",E98="Withdrawn"),"—",I98-TODAY()))</f>
        <v/>
      </c>
      <c r="K98" s="21" t="n"/>
      <c r="L98" s="21" t="n"/>
      <c r="M98" s="21" t="n"/>
    </row>
    <row r="99">
      <c r="A99" s="16">
        <f>IF(B99="","",ROW()-4)</f>
        <v/>
      </c>
      <c r="B99" s="17" t="n"/>
      <c r="C99" s="17" t="n"/>
      <c r="D99" s="17" t="n"/>
      <c r="E99" s="17" t="n"/>
      <c r="F99" s="19" t="n"/>
      <c r="G99" s="20">
        <f>IF(F99="","",IF(H99="",TODAY()-F99,H99-F99))</f>
        <v/>
      </c>
      <c r="H99" s="19" t="n"/>
      <c r="I99" s="19" t="n"/>
      <c r="J99" s="20">
        <f>IF(I99="","",IF(OR(E99="Resubmitted",E99="Accepted",E99="Rejected",E99="Withdrawn"),"—",I99-TODAY()))</f>
        <v/>
      </c>
      <c r="K99" s="17" t="n"/>
      <c r="L99" s="17" t="n"/>
      <c r="M99" s="17" t="n"/>
    </row>
    <row r="100">
      <c r="A100" s="16">
        <f>IF(B100="","",ROW()-4)</f>
        <v/>
      </c>
      <c r="B100" s="21" t="n"/>
      <c r="C100" s="21" t="n"/>
      <c r="D100" s="21" t="n"/>
      <c r="E100" s="21" t="n"/>
      <c r="F100" s="23" t="n"/>
      <c r="G100" s="20">
        <f>IF(F100="","",IF(H100="",TODAY()-F100,H100-F100))</f>
        <v/>
      </c>
      <c r="H100" s="23" t="n"/>
      <c r="I100" s="23" t="n"/>
      <c r="J100" s="20">
        <f>IF(I100="","",IF(OR(E100="Resubmitted",E100="Accepted",E100="Rejected",E100="Withdrawn"),"—",I100-TODAY()))</f>
        <v/>
      </c>
      <c r="K100" s="21" t="n"/>
      <c r="L100" s="21" t="n"/>
      <c r="M100" s="21" t="n"/>
    </row>
    <row r="101">
      <c r="A101" s="16">
        <f>IF(B101="","",ROW()-4)</f>
        <v/>
      </c>
      <c r="B101" s="17" t="n"/>
      <c r="C101" s="17" t="n"/>
      <c r="D101" s="17" t="n"/>
      <c r="E101" s="17" t="n"/>
      <c r="F101" s="19" t="n"/>
      <c r="G101" s="20">
        <f>IF(F101="","",IF(H101="",TODAY()-F101,H101-F101))</f>
        <v/>
      </c>
      <c r="H101" s="19" t="n"/>
      <c r="I101" s="19" t="n"/>
      <c r="J101" s="20">
        <f>IF(I101="","",IF(OR(E101="Resubmitted",E101="Accepted",E101="Rejected",E101="Withdrawn"),"—",I101-TODAY()))</f>
        <v/>
      </c>
      <c r="K101" s="17" t="n"/>
      <c r="L101" s="17" t="n"/>
      <c r="M101" s="17" t="n"/>
    </row>
    <row r="102">
      <c r="A102" s="16">
        <f>IF(B102="","",ROW()-4)</f>
        <v/>
      </c>
      <c r="B102" s="21" t="n"/>
      <c r="C102" s="21" t="n"/>
      <c r="D102" s="21" t="n"/>
      <c r="E102" s="21" t="n"/>
      <c r="F102" s="23" t="n"/>
      <c r="G102" s="20">
        <f>IF(F102="","",IF(H102="",TODAY()-F102,H102-F102))</f>
        <v/>
      </c>
      <c r="H102" s="23" t="n"/>
      <c r="I102" s="23" t="n"/>
      <c r="J102" s="20">
        <f>IF(I102="","",IF(OR(E102="Resubmitted",E102="Accepted",E102="Rejected",E102="Withdrawn"),"—",I102-TODAY()))</f>
        <v/>
      </c>
      <c r="K102" s="21" t="n"/>
      <c r="L102" s="21" t="n"/>
      <c r="M102" s="21" t="n"/>
    </row>
    <row r="103">
      <c r="A103" s="16">
        <f>IF(B103="","",ROW()-4)</f>
        <v/>
      </c>
      <c r="B103" s="17" t="n"/>
      <c r="C103" s="17" t="n"/>
      <c r="D103" s="17" t="n"/>
      <c r="E103" s="17" t="n"/>
      <c r="F103" s="19" t="n"/>
      <c r="G103" s="20">
        <f>IF(F103="","",IF(H103="",TODAY()-F103,H103-F103))</f>
        <v/>
      </c>
      <c r="H103" s="19" t="n"/>
      <c r="I103" s="19" t="n"/>
      <c r="J103" s="20">
        <f>IF(I103="","",IF(OR(E103="Resubmitted",E103="Accepted",E103="Rejected",E103="Withdrawn"),"—",I103-TODAY()))</f>
        <v/>
      </c>
      <c r="K103" s="17" t="n"/>
      <c r="L103" s="17" t="n"/>
      <c r="M103" s="17" t="n"/>
    </row>
    <row r="104">
      <c r="A104" s="16">
        <f>IF(B104="","",ROW()-4)</f>
        <v/>
      </c>
      <c r="B104" s="21" t="n"/>
      <c r="C104" s="21" t="n"/>
      <c r="D104" s="21" t="n"/>
      <c r="E104" s="21" t="n"/>
      <c r="F104" s="23" t="n"/>
      <c r="G104" s="20">
        <f>IF(F104="","",IF(H104="",TODAY()-F104,H104-F104))</f>
        <v/>
      </c>
      <c r="H104" s="23" t="n"/>
      <c r="I104" s="23" t="n"/>
      <c r="J104" s="20">
        <f>IF(I104="","",IF(OR(E104="Resubmitted",E104="Accepted",E104="Rejected",E104="Withdrawn"),"—",I104-TODAY()))</f>
        <v/>
      </c>
      <c r="K104" s="21" t="n"/>
      <c r="L104" s="21" t="n"/>
      <c r="M104" s="21" t="n"/>
    </row>
    <row r="105">
      <c r="A105" s="16">
        <f>IF(B105="","",ROW()-4)</f>
        <v/>
      </c>
      <c r="B105" s="17" t="n"/>
      <c r="C105" s="17" t="n"/>
      <c r="D105" s="17" t="n"/>
      <c r="E105" s="17" t="n"/>
      <c r="F105" s="19" t="n"/>
      <c r="G105" s="20">
        <f>IF(F105="","",IF(H105="",TODAY()-F105,H105-F105))</f>
        <v/>
      </c>
      <c r="H105" s="19" t="n"/>
      <c r="I105" s="19" t="n"/>
      <c r="J105" s="20">
        <f>IF(I105="","",IF(OR(E105="Resubmitted",E105="Accepted",E105="Rejected",E105="Withdrawn"),"—",I105-TODAY()))</f>
        <v/>
      </c>
      <c r="K105" s="17" t="n"/>
      <c r="L105" s="17" t="n"/>
      <c r="M105" s="17" t="n"/>
    </row>
    <row r="106">
      <c r="A106" s="16">
        <f>IF(B106="","",ROW()-4)</f>
        <v/>
      </c>
      <c r="B106" s="21" t="n"/>
      <c r="C106" s="21" t="n"/>
      <c r="D106" s="21" t="n"/>
      <c r="E106" s="21" t="n"/>
      <c r="F106" s="23" t="n"/>
      <c r="G106" s="20">
        <f>IF(F106="","",IF(H106="",TODAY()-F106,H106-F106))</f>
        <v/>
      </c>
      <c r="H106" s="23" t="n"/>
      <c r="I106" s="23" t="n"/>
      <c r="J106" s="20">
        <f>IF(I106="","",IF(OR(E106="Resubmitted",E106="Accepted",E106="Rejected",E106="Withdrawn"),"—",I106-TODAY()))</f>
        <v/>
      </c>
      <c r="K106" s="21" t="n"/>
      <c r="L106" s="21" t="n"/>
      <c r="M106" s="21" t="n"/>
    </row>
    <row r="107">
      <c r="A107" s="16">
        <f>IF(B107="","",ROW()-4)</f>
        <v/>
      </c>
      <c r="B107" s="17" t="n"/>
      <c r="C107" s="17" t="n"/>
      <c r="D107" s="17" t="n"/>
      <c r="E107" s="17" t="n"/>
      <c r="F107" s="19" t="n"/>
      <c r="G107" s="20">
        <f>IF(F107="","",IF(H107="",TODAY()-F107,H107-F107))</f>
        <v/>
      </c>
      <c r="H107" s="19" t="n"/>
      <c r="I107" s="19" t="n"/>
      <c r="J107" s="20">
        <f>IF(I107="","",IF(OR(E107="Resubmitted",E107="Accepted",E107="Rejected",E107="Withdrawn"),"—",I107-TODAY()))</f>
        <v/>
      </c>
      <c r="K107" s="17" t="n"/>
      <c r="L107" s="17" t="n"/>
      <c r="M107" s="17" t="n"/>
    </row>
    <row r="108">
      <c r="A108" s="16">
        <f>IF(B108="","",ROW()-4)</f>
        <v/>
      </c>
      <c r="B108" s="21" t="n"/>
      <c r="C108" s="21" t="n"/>
      <c r="D108" s="21" t="n"/>
      <c r="E108" s="21" t="n"/>
      <c r="F108" s="23" t="n"/>
      <c r="G108" s="20">
        <f>IF(F108="","",IF(H108="",TODAY()-F108,H108-F108))</f>
        <v/>
      </c>
      <c r="H108" s="23" t="n"/>
      <c r="I108" s="23" t="n"/>
      <c r="J108" s="20">
        <f>IF(I108="","",IF(OR(E108="Resubmitted",E108="Accepted",E108="Rejected",E108="Withdrawn"),"—",I108-TODAY()))</f>
        <v/>
      </c>
      <c r="K108" s="21" t="n"/>
      <c r="L108" s="21" t="n"/>
      <c r="M108" s="21" t="n"/>
    </row>
    <row r="109">
      <c r="A109" s="16">
        <f>IF(B109="","",ROW()-4)</f>
        <v/>
      </c>
      <c r="B109" s="17" t="n"/>
      <c r="C109" s="17" t="n"/>
      <c r="D109" s="17" t="n"/>
      <c r="E109" s="17" t="n"/>
      <c r="F109" s="19" t="n"/>
      <c r="G109" s="20">
        <f>IF(F109="","",IF(H109="",TODAY()-F109,H109-F109))</f>
        <v/>
      </c>
      <c r="H109" s="19" t="n"/>
      <c r="I109" s="19" t="n"/>
      <c r="J109" s="20">
        <f>IF(I109="","",IF(OR(E109="Resubmitted",E109="Accepted",E109="Rejected",E109="Withdrawn"),"—",I109-TODAY()))</f>
        <v/>
      </c>
      <c r="K109" s="17" t="n"/>
      <c r="L109" s="17" t="n"/>
      <c r="M109" s="17" t="n"/>
    </row>
    <row r="110">
      <c r="A110" s="16">
        <f>IF(B110="","",ROW()-4)</f>
        <v/>
      </c>
      <c r="B110" s="21" t="n"/>
      <c r="C110" s="21" t="n"/>
      <c r="D110" s="21" t="n"/>
      <c r="E110" s="21" t="n"/>
      <c r="F110" s="23" t="n"/>
      <c r="G110" s="20">
        <f>IF(F110="","",IF(H110="",TODAY()-F110,H110-F110))</f>
        <v/>
      </c>
      <c r="H110" s="23" t="n"/>
      <c r="I110" s="23" t="n"/>
      <c r="J110" s="20">
        <f>IF(I110="","",IF(OR(E110="Resubmitted",E110="Accepted",E110="Rejected",E110="Withdrawn"),"—",I110-TODAY()))</f>
        <v/>
      </c>
      <c r="K110" s="21" t="n"/>
      <c r="L110" s="21" t="n"/>
      <c r="M110" s="21" t="n"/>
    </row>
    <row r="111">
      <c r="A111" s="16">
        <f>IF(B111="","",ROW()-4)</f>
        <v/>
      </c>
      <c r="B111" s="17" t="n"/>
      <c r="C111" s="17" t="n"/>
      <c r="D111" s="17" t="n"/>
      <c r="E111" s="17" t="n"/>
      <c r="F111" s="19" t="n"/>
      <c r="G111" s="20">
        <f>IF(F111="","",IF(H111="",TODAY()-F111,H111-F111))</f>
        <v/>
      </c>
      <c r="H111" s="19" t="n"/>
      <c r="I111" s="19" t="n"/>
      <c r="J111" s="20">
        <f>IF(I111="","",IF(OR(E111="Resubmitted",E111="Accepted",E111="Rejected",E111="Withdrawn"),"—",I111-TODAY()))</f>
        <v/>
      </c>
      <c r="K111" s="17" t="n"/>
      <c r="L111" s="17" t="n"/>
      <c r="M111" s="17" t="n"/>
    </row>
    <row r="112">
      <c r="A112" s="16">
        <f>IF(B112="","",ROW()-4)</f>
        <v/>
      </c>
      <c r="B112" s="21" t="n"/>
      <c r="C112" s="21" t="n"/>
      <c r="D112" s="21" t="n"/>
      <c r="E112" s="21" t="n"/>
      <c r="F112" s="23" t="n"/>
      <c r="G112" s="20">
        <f>IF(F112="","",IF(H112="",TODAY()-F112,H112-F112))</f>
        <v/>
      </c>
      <c r="H112" s="23" t="n"/>
      <c r="I112" s="23" t="n"/>
      <c r="J112" s="20">
        <f>IF(I112="","",IF(OR(E112="Resubmitted",E112="Accepted",E112="Rejected",E112="Withdrawn"),"—",I112-TODAY()))</f>
        <v/>
      </c>
      <c r="K112" s="21" t="n"/>
      <c r="L112" s="21" t="n"/>
      <c r="M112" s="21" t="n"/>
    </row>
    <row r="113">
      <c r="A113" s="16">
        <f>IF(B113="","",ROW()-4)</f>
        <v/>
      </c>
      <c r="B113" s="17" t="n"/>
      <c r="C113" s="17" t="n"/>
      <c r="D113" s="17" t="n"/>
      <c r="E113" s="17" t="n"/>
      <c r="F113" s="19" t="n"/>
      <c r="G113" s="20">
        <f>IF(F113="","",IF(H113="",TODAY()-F113,H113-F113))</f>
        <v/>
      </c>
      <c r="H113" s="19" t="n"/>
      <c r="I113" s="19" t="n"/>
      <c r="J113" s="20">
        <f>IF(I113="","",IF(OR(E113="Resubmitted",E113="Accepted",E113="Rejected",E113="Withdrawn"),"—",I113-TODAY()))</f>
        <v/>
      </c>
      <c r="K113" s="17" t="n"/>
      <c r="L113" s="17" t="n"/>
      <c r="M113" s="17" t="n"/>
    </row>
    <row r="114">
      <c r="A114" s="16">
        <f>IF(B114="","",ROW()-4)</f>
        <v/>
      </c>
      <c r="B114" s="21" t="n"/>
      <c r="C114" s="21" t="n"/>
      <c r="D114" s="21" t="n"/>
      <c r="E114" s="21" t="n"/>
      <c r="F114" s="23" t="n"/>
      <c r="G114" s="20">
        <f>IF(F114="","",IF(H114="",TODAY()-F114,H114-F114))</f>
        <v/>
      </c>
      <c r="H114" s="23" t="n"/>
      <c r="I114" s="23" t="n"/>
      <c r="J114" s="20">
        <f>IF(I114="","",IF(OR(E114="Resubmitted",E114="Accepted",E114="Rejected",E114="Withdrawn"),"—",I114-TODAY()))</f>
        <v/>
      </c>
      <c r="K114" s="21" t="n"/>
      <c r="L114" s="21" t="n"/>
      <c r="M114" s="21" t="n"/>
    </row>
    <row r="115">
      <c r="A115" s="16">
        <f>IF(B115="","",ROW()-4)</f>
        <v/>
      </c>
      <c r="B115" s="17" t="n"/>
      <c r="C115" s="17" t="n"/>
      <c r="D115" s="17" t="n"/>
      <c r="E115" s="17" t="n"/>
      <c r="F115" s="19" t="n"/>
      <c r="G115" s="20">
        <f>IF(F115="","",IF(H115="",TODAY()-F115,H115-F115))</f>
        <v/>
      </c>
      <c r="H115" s="19" t="n"/>
      <c r="I115" s="19" t="n"/>
      <c r="J115" s="20">
        <f>IF(I115="","",IF(OR(E115="Resubmitted",E115="Accepted",E115="Rejected",E115="Withdrawn"),"—",I115-TODAY()))</f>
        <v/>
      </c>
      <c r="K115" s="17" t="n"/>
      <c r="L115" s="17" t="n"/>
      <c r="M115" s="17" t="n"/>
    </row>
    <row r="116">
      <c r="A116" s="16">
        <f>IF(B116="","",ROW()-4)</f>
        <v/>
      </c>
      <c r="B116" s="21" t="n"/>
      <c r="C116" s="21" t="n"/>
      <c r="D116" s="21" t="n"/>
      <c r="E116" s="21" t="n"/>
      <c r="F116" s="23" t="n"/>
      <c r="G116" s="20">
        <f>IF(F116="","",IF(H116="",TODAY()-F116,H116-F116))</f>
        <v/>
      </c>
      <c r="H116" s="23" t="n"/>
      <c r="I116" s="23" t="n"/>
      <c r="J116" s="20">
        <f>IF(I116="","",IF(OR(E116="Resubmitted",E116="Accepted",E116="Rejected",E116="Withdrawn"),"—",I116-TODAY()))</f>
        <v/>
      </c>
      <c r="K116" s="21" t="n"/>
      <c r="L116" s="21" t="n"/>
      <c r="M116" s="21" t="n"/>
    </row>
    <row r="117">
      <c r="A117" s="16">
        <f>IF(B117="","",ROW()-4)</f>
        <v/>
      </c>
      <c r="B117" s="17" t="n"/>
      <c r="C117" s="17" t="n"/>
      <c r="D117" s="17" t="n"/>
      <c r="E117" s="17" t="n"/>
      <c r="F117" s="19" t="n"/>
      <c r="G117" s="20">
        <f>IF(F117="","",IF(H117="",TODAY()-F117,H117-F117))</f>
        <v/>
      </c>
      <c r="H117" s="19" t="n"/>
      <c r="I117" s="19" t="n"/>
      <c r="J117" s="20">
        <f>IF(I117="","",IF(OR(E117="Resubmitted",E117="Accepted",E117="Rejected",E117="Withdrawn"),"—",I117-TODAY()))</f>
        <v/>
      </c>
      <c r="K117" s="17" t="n"/>
      <c r="L117" s="17" t="n"/>
      <c r="M117" s="17" t="n"/>
    </row>
    <row r="118">
      <c r="A118" s="16">
        <f>IF(B118="","",ROW()-4)</f>
        <v/>
      </c>
      <c r="B118" s="21" t="n"/>
      <c r="C118" s="21" t="n"/>
      <c r="D118" s="21" t="n"/>
      <c r="E118" s="21" t="n"/>
      <c r="F118" s="23" t="n"/>
      <c r="G118" s="20">
        <f>IF(F118="","",IF(H118="",TODAY()-F118,H118-F118))</f>
        <v/>
      </c>
      <c r="H118" s="23" t="n"/>
      <c r="I118" s="23" t="n"/>
      <c r="J118" s="20">
        <f>IF(I118="","",IF(OR(E118="Resubmitted",E118="Accepted",E118="Rejected",E118="Withdrawn"),"—",I118-TODAY()))</f>
        <v/>
      </c>
      <c r="K118" s="21" t="n"/>
      <c r="L118" s="21" t="n"/>
      <c r="M118" s="21" t="n"/>
    </row>
    <row r="119">
      <c r="A119" s="16">
        <f>IF(B119="","",ROW()-4)</f>
        <v/>
      </c>
      <c r="B119" s="17" t="n"/>
      <c r="C119" s="17" t="n"/>
      <c r="D119" s="17" t="n"/>
      <c r="E119" s="17" t="n"/>
      <c r="F119" s="19" t="n"/>
      <c r="G119" s="20">
        <f>IF(F119="","",IF(H119="",TODAY()-F119,H119-F119))</f>
        <v/>
      </c>
      <c r="H119" s="19" t="n"/>
      <c r="I119" s="19" t="n"/>
      <c r="J119" s="20">
        <f>IF(I119="","",IF(OR(E119="Resubmitted",E119="Accepted",E119="Rejected",E119="Withdrawn"),"—",I119-TODAY()))</f>
        <v/>
      </c>
      <c r="K119" s="17" t="n"/>
      <c r="L119" s="17" t="n"/>
      <c r="M119" s="17" t="n"/>
    </row>
    <row r="120">
      <c r="A120" s="16">
        <f>IF(B120="","",ROW()-4)</f>
        <v/>
      </c>
      <c r="B120" s="21" t="n"/>
      <c r="C120" s="21" t="n"/>
      <c r="D120" s="21" t="n"/>
      <c r="E120" s="21" t="n"/>
      <c r="F120" s="23" t="n"/>
      <c r="G120" s="20">
        <f>IF(F120="","",IF(H120="",TODAY()-F120,H120-F120))</f>
        <v/>
      </c>
      <c r="H120" s="23" t="n"/>
      <c r="I120" s="23" t="n"/>
      <c r="J120" s="20">
        <f>IF(I120="","",IF(OR(E120="Resubmitted",E120="Accepted",E120="Rejected",E120="Withdrawn"),"—",I120-TODAY()))</f>
        <v/>
      </c>
      <c r="K120" s="21" t="n"/>
      <c r="L120" s="21" t="n"/>
      <c r="M120" s="21" t="n"/>
    </row>
    <row r="121">
      <c r="A121" s="16">
        <f>IF(B121="","",ROW()-4)</f>
        <v/>
      </c>
      <c r="B121" s="17" t="n"/>
      <c r="C121" s="17" t="n"/>
      <c r="D121" s="17" t="n"/>
      <c r="E121" s="17" t="n"/>
      <c r="F121" s="19" t="n"/>
      <c r="G121" s="20">
        <f>IF(F121="","",IF(H121="",TODAY()-F121,H121-F121))</f>
        <v/>
      </c>
      <c r="H121" s="19" t="n"/>
      <c r="I121" s="19" t="n"/>
      <c r="J121" s="20">
        <f>IF(I121="","",IF(OR(E121="Resubmitted",E121="Accepted",E121="Rejected",E121="Withdrawn"),"—",I121-TODAY()))</f>
        <v/>
      </c>
      <c r="K121" s="17" t="n"/>
      <c r="L121" s="17" t="n"/>
      <c r="M121" s="17" t="n"/>
    </row>
    <row r="122">
      <c r="A122" s="16">
        <f>IF(B122="","",ROW()-4)</f>
        <v/>
      </c>
      <c r="B122" s="21" t="n"/>
      <c r="C122" s="21" t="n"/>
      <c r="D122" s="21" t="n"/>
      <c r="E122" s="21" t="n"/>
      <c r="F122" s="23" t="n"/>
      <c r="G122" s="20">
        <f>IF(F122="","",IF(H122="",TODAY()-F122,H122-F122))</f>
        <v/>
      </c>
      <c r="H122" s="23" t="n"/>
      <c r="I122" s="23" t="n"/>
      <c r="J122" s="20">
        <f>IF(I122="","",IF(OR(E122="Resubmitted",E122="Accepted",E122="Rejected",E122="Withdrawn"),"—",I122-TODAY()))</f>
        <v/>
      </c>
      <c r="K122" s="21" t="n"/>
      <c r="L122" s="21" t="n"/>
      <c r="M122" s="21" t="n"/>
    </row>
    <row r="123">
      <c r="A123" s="16">
        <f>IF(B123="","",ROW()-4)</f>
        <v/>
      </c>
      <c r="B123" s="17" t="n"/>
      <c r="C123" s="17" t="n"/>
      <c r="D123" s="17" t="n"/>
      <c r="E123" s="17" t="n"/>
      <c r="F123" s="19" t="n"/>
      <c r="G123" s="20">
        <f>IF(F123="","",IF(H123="",TODAY()-F123,H123-F123))</f>
        <v/>
      </c>
      <c r="H123" s="19" t="n"/>
      <c r="I123" s="19" t="n"/>
      <c r="J123" s="20">
        <f>IF(I123="","",IF(OR(E123="Resubmitted",E123="Accepted",E123="Rejected",E123="Withdrawn"),"—",I123-TODAY()))</f>
        <v/>
      </c>
      <c r="K123" s="17" t="n"/>
      <c r="L123" s="17" t="n"/>
      <c r="M123" s="17" t="n"/>
    </row>
    <row r="124">
      <c r="A124" s="16">
        <f>IF(B124="","",ROW()-4)</f>
        <v/>
      </c>
      <c r="B124" s="21" t="n"/>
      <c r="C124" s="21" t="n"/>
      <c r="D124" s="21" t="n"/>
      <c r="E124" s="21" t="n"/>
      <c r="F124" s="23" t="n"/>
      <c r="G124" s="20">
        <f>IF(F124="","",IF(H124="",TODAY()-F124,H124-F124))</f>
        <v/>
      </c>
      <c r="H124" s="23" t="n"/>
      <c r="I124" s="23" t="n"/>
      <c r="J124" s="20">
        <f>IF(I124="","",IF(OR(E124="Resubmitted",E124="Accepted",E124="Rejected",E124="Withdrawn"),"—",I124-TODAY()))</f>
        <v/>
      </c>
      <c r="K124" s="21" t="n"/>
      <c r="L124" s="21" t="n"/>
      <c r="M124" s="21" t="n"/>
    </row>
    <row r="125">
      <c r="A125" s="16">
        <f>IF(B125="","",ROW()-4)</f>
        <v/>
      </c>
      <c r="B125" s="17" t="n"/>
      <c r="C125" s="17" t="n"/>
      <c r="D125" s="17" t="n"/>
      <c r="E125" s="17" t="n"/>
      <c r="F125" s="19" t="n"/>
      <c r="G125" s="20">
        <f>IF(F125="","",IF(H125="",TODAY()-F125,H125-F125))</f>
        <v/>
      </c>
      <c r="H125" s="19" t="n"/>
      <c r="I125" s="19" t="n"/>
      <c r="J125" s="20">
        <f>IF(I125="","",IF(OR(E125="Resubmitted",E125="Accepted",E125="Rejected",E125="Withdrawn"),"—",I125-TODAY()))</f>
        <v/>
      </c>
      <c r="K125" s="17" t="n"/>
      <c r="L125" s="17" t="n"/>
      <c r="M125" s="17" t="n"/>
    </row>
    <row r="126">
      <c r="A126" s="16">
        <f>IF(B126="","",ROW()-4)</f>
        <v/>
      </c>
      <c r="B126" s="21" t="n"/>
      <c r="C126" s="21" t="n"/>
      <c r="D126" s="21" t="n"/>
      <c r="E126" s="21" t="n"/>
      <c r="F126" s="23" t="n"/>
      <c r="G126" s="20">
        <f>IF(F126="","",IF(H126="",TODAY()-F126,H126-F126))</f>
        <v/>
      </c>
      <c r="H126" s="23" t="n"/>
      <c r="I126" s="23" t="n"/>
      <c r="J126" s="20">
        <f>IF(I126="","",IF(OR(E126="Resubmitted",E126="Accepted",E126="Rejected",E126="Withdrawn"),"—",I126-TODAY()))</f>
        <v/>
      </c>
      <c r="K126" s="21" t="n"/>
      <c r="L126" s="21" t="n"/>
      <c r="M126" s="21" t="n"/>
    </row>
    <row r="127">
      <c r="A127" s="16">
        <f>IF(B127="","",ROW()-4)</f>
        <v/>
      </c>
      <c r="B127" s="17" t="n"/>
      <c r="C127" s="17" t="n"/>
      <c r="D127" s="17" t="n"/>
      <c r="E127" s="17" t="n"/>
      <c r="F127" s="19" t="n"/>
      <c r="G127" s="20">
        <f>IF(F127="","",IF(H127="",TODAY()-F127,H127-F127))</f>
        <v/>
      </c>
      <c r="H127" s="19" t="n"/>
      <c r="I127" s="19" t="n"/>
      <c r="J127" s="20">
        <f>IF(I127="","",IF(OR(E127="Resubmitted",E127="Accepted",E127="Rejected",E127="Withdrawn"),"—",I127-TODAY()))</f>
        <v/>
      </c>
      <c r="K127" s="17" t="n"/>
      <c r="L127" s="17" t="n"/>
      <c r="M127" s="17" t="n"/>
    </row>
    <row r="128">
      <c r="A128" s="16">
        <f>IF(B128="","",ROW()-4)</f>
        <v/>
      </c>
      <c r="B128" s="21" t="n"/>
      <c r="C128" s="21" t="n"/>
      <c r="D128" s="21" t="n"/>
      <c r="E128" s="21" t="n"/>
      <c r="F128" s="23" t="n"/>
      <c r="G128" s="20">
        <f>IF(F128="","",IF(H128="",TODAY()-F128,H128-F128))</f>
        <v/>
      </c>
      <c r="H128" s="23" t="n"/>
      <c r="I128" s="23" t="n"/>
      <c r="J128" s="20">
        <f>IF(I128="","",IF(OR(E128="Resubmitted",E128="Accepted",E128="Rejected",E128="Withdrawn"),"—",I128-TODAY()))</f>
        <v/>
      </c>
      <c r="K128" s="21" t="n"/>
      <c r="L128" s="21" t="n"/>
      <c r="M128" s="21" t="n"/>
    </row>
    <row r="129">
      <c r="A129" s="16">
        <f>IF(B129="","",ROW()-4)</f>
        <v/>
      </c>
      <c r="B129" s="17" t="n"/>
      <c r="C129" s="17" t="n"/>
      <c r="D129" s="17" t="n"/>
      <c r="E129" s="17" t="n"/>
      <c r="F129" s="19" t="n"/>
      <c r="G129" s="20">
        <f>IF(F129="","",IF(H129="",TODAY()-F129,H129-F129))</f>
        <v/>
      </c>
      <c r="H129" s="19" t="n"/>
      <c r="I129" s="19" t="n"/>
      <c r="J129" s="20">
        <f>IF(I129="","",IF(OR(E129="Resubmitted",E129="Accepted",E129="Rejected",E129="Withdrawn"),"—",I129-TODAY()))</f>
        <v/>
      </c>
      <c r="K129" s="17" t="n"/>
      <c r="L129" s="17" t="n"/>
      <c r="M129" s="17" t="n"/>
    </row>
    <row r="130">
      <c r="A130" s="16">
        <f>IF(B130="","",ROW()-4)</f>
        <v/>
      </c>
      <c r="B130" s="21" t="n"/>
      <c r="C130" s="21" t="n"/>
      <c r="D130" s="21" t="n"/>
      <c r="E130" s="21" t="n"/>
      <c r="F130" s="23" t="n"/>
      <c r="G130" s="20">
        <f>IF(F130="","",IF(H130="",TODAY()-F130,H130-F130))</f>
        <v/>
      </c>
      <c r="H130" s="23" t="n"/>
      <c r="I130" s="23" t="n"/>
      <c r="J130" s="20">
        <f>IF(I130="","",IF(OR(E130="Resubmitted",E130="Accepted",E130="Rejected",E130="Withdrawn"),"—",I130-TODAY()))</f>
        <v/>
      </c>
      <c r="K130" s="21" t="n"/>
      <c r="L130" s="21" t="n"/>
      <c r="M130" s="21" t="n"/>
    </row>
    <row r="131">
      <c r="A131" s="16">
        <f>IF(B131="","",ROW()-4)</f>
        <v/>
      </c>
      <c r="B131" s="17" t="n"/>
      <c r="C131" s="17" t="n"/>
      <c r="D131" s="17" t="n"/>
      <c r="E131" s="17" t="n"/>
      <c r="F131" s="19" t="n"/>
      <c r="G131" s="20">
        <f>IF(F131="","",IF(H131="",TODAY()-F131,H131-F131))</f>
        <v/>
      </c>
      <c r="H131" s="19" t="n"/>
      <c r="I131" s="19" t="n"/>
      <c r="J131" s="20">
        <f>IF(I131="","",IF(OR(E131="Resubmitted",E131="Accepted",E131="Rejected",E131="Withdrawn"),"—",I131-TODAY()))</f>
        <v/>
      </c>
      <c r="K131" s="17" t="n"/>
      <c r="L131" s="17" t="n"/>
      <c r="M131" s="17" t="n"/>
    </row>
    <row r="132">
      <c r="A132" s="16">
        <f>IF(B132="","",ROW()-4)</f>
        <v/>
      </c>
      <c r="B132" s="21" t="n"/>
      <c r="C132" s="21" t="n"/>
      <c r="D132" s="21" t="n"/>
      <c r="E132" s="21" t="n"/>
      <c r="F132" s="23" t="n"/>
      <c r="G132" s="20">
        <f>IF(F132="","",IF(H132="",TODAY()-F132,H132-F132))</f>
        <v/>
      </c>
      <c r="H132" s="23" t="n"/>
      <c r="I132" s="23" t="n"/>
      <c r="J132" s="20">
        <f>IF(I132="","",IF(OR(E132="Resubmitted",E132="Accepted",E132="Rejected",E132="Withdrawn"),"—",I132-TODAY()))</f>
        <v/>
      </c>
      <c r="K132" s="21" t="n"/>
      <c r="L132" s="21" t="n"/>
      <c r="M132" s="21" t="n"/>
    </row>
    <row r="133">
      <c r="A133" s="16">
        <f>IF(B133="","",ROW()-4)</f>
        <v/>
      </c>
      <c r="B133" s="17" t="n"/>
      <c r="C133" s="17" t="n"/>
      <c r="D133" s="17" t="n"/>
      <c r="E133" s="17" t="n"/>
      <c r="F133" s="19" t="n"/>
      <c r="G133" s="20">
        <f>IF(F133="","",IF(H133="",TODAY()-F133,H133-F133))</f>
        <v/>
      </c>
      <c r="H133" s="19" t="n"/>
      <c r="I133" s="19" t="n"/>
      <c r="J133" s="20">
        <f>IF(I133="","",IF(OR(E133="Resubmitted",E133="Accepted",E133="Rejected",E133="Withdrawn"),"—",I133-TODAY()))</f>
        <v/>
      </c>
      <c r="K133" s="17" t="n"/>
      <c r="L133" s="17" t="n"/>
      <c r="M133" s="17" t="n"/>
    </row>
    <row r="134">
      <c r="A134" s="16">
        <f>IF(B134="","",ROW()-4)</f>
        <v/>
      </c>
      <c r="B134" s="21" t="n"/>
      <c r="C134" s="21" t="n"/>
      <c r="D134" s="21" t="n"/>
      <c r="E134" s="21" t="n"/>
      <c r="F134" s="23" t="n"/>
      <c r="G134" s="20">
        <f>IF(F134="","",IF(H134="",TODAY()-F134,H134-F134))</f>
        <v/>
      </c>
      <c r="H134" s="23" t="n"/>
      <c r="I134" s="23" t="n"/>
      <c r="J134" s="20">
        <f>IF(I134="","",IF(OR(E134="Resubmitted",E134="Accepted",E134="Rejected",E134="Withdrawn"),"—",I134-TODAY()))</f>
        <v/>
      </c>
      <c r="K134" s="21" t="n"/>
      <c r="L134" s="21" t="n"/>
      <c r="M134" s="21" t="n"/>
    </row>
    <row r="135">
      <c r="A135" s="16">
        <f>IF(B135="","",ROW()-4)</f>
        <v/>
      </c>
      <c r="B135" s="17" t="n"/>
      <c r="C135" s="17" t="n"/>
      <c r="D135" s="17" t="n"/>
      <c r="E135" s="17" t="n"/>
      <c r="F135" s="19" t="n"/>
      <c r="G135" s="20">
        <f>IF(F135="","",IF(H135="",TODAY()-F135,H135-F135))</f>
        <v/>
      </c>
      <c r="H135" s="19" t="n"/>
      <c r="I135" s="19" t="n"/>
      <c r="J135" s="20">
        <f>IF(I135="","",IF(OR(E135="Resubmitted",E135="Accepted",E135="Rejected",E135="Withdrawn"),"—",I135-TODAY()))</f>
        <v/>
      </c>
      <c r="K135" s="17" t="n"/>
      <c r="L135" s="17" t="n"/>
      <c r="M135" s="17" t="n"/>
    </row>
    <row r="136">
      <c r="A136" s="16">
        <f>IF(B136="","",ROW()-4)</f>
        <v/>
      </c>
      <c r="B136" s="21" t="n"/>
      <c r="C136" s="21" t="n"/>
      <c r="D136" s="21" t="n"/>
      <c r="E136" s="21" t="n"/>
      <c r="F136" s="23" t="n"/>
      <c r="G136" s="20">
        <f>IF(F136="","",IF(H136="",TODAY()-F136,H136-F136))</f>
        <v/>
      </c>
      <c r="H136" s="23" t="n"/>
      <c r="I136" s="23" t="n"/>
      <c r="J136" s="20">
        <f>IF(I136="","",IF(OR(E136="Resubmitted",E136="Accepted",E136="Rejected",E136="Withdrawn"),"—",I136-TODAY()))</f>
        <v/>
      </c>
      <c r="K136" s="21" t="n"/>
      <c r="L136" s="21" t="n"/>
      <c r="M136" s="21" t="n"/>
    </row>
    <row r="137">
      <c r="A137" s="16">
        <f>IF(B137="","",ROW()-4)</f>
        <v/>
      </c>
      <c r="B137" s="17" t="n"/>
      <c r="C137" s="17" t="n"/>
      <c r="D137" s="17" t="n"/>
      <c r="E137" s="17" t="n"/>
      <c r="F137" s="19" t="n"/>
      <c r="G137" s="20">
        <f>IF(F137="","",IF(H137="",TODAY()-F137,H137-F137))</f>
        <v/>
      </c>
      <c r="H137" s="19" t="n"/>
      <c r="I137" s="19" t="n"/>
      <c r="J137" s="20">
        <f>IF(I137="","",IF(OR(E137="Resubmitted",E137="Accepted",E137="Rejected",E137="Withdrawn"),"—",I137-TODAY()))</f>
        <v/>
      </c>
      <c r="K137" s="17" t="n"/>
      <c r="L137" s="17" t="n"/>
      <c r="M137" s="17" t="n"/>
    </row>
    <row r="138">
      <c r="A138" s="16">
        <f>IF(B138="","",ROW()-4)</f>
        <v/>
      </c>
      <c r="B138" s="21" t="n"/>
      <c r="C138" s="21" t="n"/>
      <c r="D138" s="21" t="n"/>
      <c r="E138" s="21" t="n"/>
      <c r="F138" s="23" t="n"/>
      <c r="G138" s="20">
        <f>IF(F138="","",IF(H138="",TODAY()-F138,H138-F138))</f>
        <v/>
      </c>
      <c r="H138" s="23" t="n"/>
      <c r="I138" s="23" t="n"/>
      <c r="J138" s="20">
        <f>IF(I138="","",IF(OR(E138="Resubmitted",E138="Accepted",E138="Rejected",E138="Withdrawn"),"—",I138-TODAY()))</f>
        <v/>
      </c>
      <c r="K138" s="21" t="n"/>
      <c r="L138" s="21" t="n"/>
      <c r="M138" s="21" t="n"/>
    </row>
    <row r="139">
      <c r="A139" s="16">
        <f>IF(B139="","",ROW()-4)</f>
        <v/>
      </c>
      <c r="B139" s="17" t="n"/>
      <c r="C139" s="17" t="n"/>
      <c r="D139" s="17" t="n"/>
      <c r="E139" s="17" t="n"/>
      <c r="F139" s="19" t="n"/>
      <c r="G139" s="20">
        <f>IF(F139="","",IF(H139="",TODAY()-F139,H139-F139))</f>
        <v/>
      </c>
      <c r="H139" s="19" t="n"/>
      <c r="I139" s="19" t="n"/>
      <c r="J139" s="20">
        <f>IF(I139="","",IF(OR(E139="Resubmitted",E139="Accepted",E139="Rejected",E139="Withdrawn"),"—",I139-TODAY()))</f>
        <v/>
      </c>
      <c r="K139" s="17" t="n"/>
      <c r="L139" s="17" t="n"/>
      <c r="M139" s="17" t="n"/>
    </row>
    <row r="140">
      <c r="A140" s="16">
        <f>IF(B140="","",ROW()-4)</f>
        <v/>
      </c>
      <c r="B140" s="21" t="n"/>
      <c r="C140" s="21" t="n"/>
      <c r="D140" s="21" t="n"/>
      <c r="E140" s="21" t="n"/>
      <c r="F140" s="23" t="n"/>
      <c r="G140" s="20">
        <f>IF(F140="","",IF(H140="",TODAY()-F140,H140-F140))</f>
        <v/>
      </c>
      <c r="H140" s="23" t="n"/>
      <c r="I140" s="23" t="n"/>
      <c r="J140" s="20">
        <f>IF(I140="","",IF(OR(E140="Resubmitted",E140="Accepted",E140="Rejected",E140="Withdrawn"),"—",I140-TODAY()))</f>
        <v/>
      </c>
      <c r="K140" s="21" t="n"/>
      <c r="L140" s="21" t="n"/>
      <c r="M140" s="21" t="n"/>
    </row>
    <row r="141">
      <c r="A141" s="16">
        <f>IF(B141="","",ROW()-4)</f>
        <v/>
      </c>
      <c r="B141" s="17" t="n"/>
      <c r="C141" s="17" t="n"/>
      <c r="D141" s="17" t="n"/>
      <c r="E141" s="17" t="n"/>
      <c r="F141" s="19" t="n"/>
      <c r="G141" s="20">
        <f>IF(F141="","",IF(H141="",TODAY()-F141,H141-F141))</f>
        <v/>
      </c>
      <c r="H141" s="19" t="n"/>
      <c r="I141" s="19" t="n"/>
      <c r="J141" s="20">
        <f>IF(I141="","",IF(OR(E141="Resubmitted",E141="Accepted",E141="Rejected",E141="Withdrawn"),"—",I141-TODAY()))</f>
        <v/>
      </c>
      <c r="K141" s="17" t="n"/>
      <c r="L141" s="17" t="n"/>
      <c r="M141" s="17" t="n"/>
    </row>
    <row r="142">
      <c r="A142" s="16">
        <f>IF(B142="","",ROW()-4)</f>
        <v/>
      </c>
      <c r="B142" s="21" t="n"/>
      <c r="C142" s="21" t="n"/>
      <c r="D142" s="21" t="n"/>
      <c r="E142" s="21" t="n"/>
      <c r="F142" s="23" t="n"/>
      <c r="G142" s="20">
        <f>IF(F142="","",IF(H142="",TODAY()-F142,H142-F142))</f>
        <v/>
      </c>
      <c r="H142" s="23" t="n"/>
      <c r="I142" s="23" t="n"/>
      <c r="J142" s="20">
        <f>IF(I142="","",IF(OR(E142="Resubmitted",E142="Accepted",E142="Rejected",E142="Withdrawn"),"—",I142-TODAY()))</f>
        <v/>
      </c>
      <c r="K142" s="21" t="n"/>
      <c r="L142" s="21" t="n"/>
      <c r="M142" s="21" t="n"/>
    </row>
    <row r="143">
      <c r="A143" s="16">
        <f>IF(B143="","",ROW()-4)</f>
        <v/>
      </c>
      <c r="B143" s="17" t="n"/>
      <c r="C143" s="17" t="n"/>
      <c r="D143" s="17" t="n"/>
      <c r="E143" s="17" t="n"/>
      <c r="F143" s="19" t="n"/>
      <c r="G143" s="20">
        <f>IF(F143="","",IF(H143="",TODAY()-F143,H143-F143))</f>
        <v/>
      </c>
      <c r="H143" s="19" t="n"/>
      <c r="I143" s="19" t="n"/>
      <c r="J143" s="20">
        <f>IF(I143="","",IF(OR(E143="Resubmitted",E143="Accepted",E143="Rejected",E143="Withdrawn"),"—",I143-TODAY()))</f>
        <v/>
      </c>
      <c r="K143" s="17" t="n"/>
      <c r="L143" s="17" t="n"/>
      <c r="M143" s="17" t="n"/>
    </row>
    <row r="144">
      <c r="A144" s="16">
        <f>IF(B144="","",ROW()-4)</f>
        <v/>
      </c>
      <c r="B144" s="21" t="n"/>
      <c r="C144" s="21" t="n"/>
      <c r="D144" s="21" t="n"/>
      <c r="E144" s="21" t="n"/>
      <c r="F144" s="23" t="n"/>
      <c r="G144" s="20">
        <f>IF(F144="","",IF(H144="",TODAY()-F144,H144-F144))</f>
        <v/>
      </c>
      <c r="H144" s="23" t="n"/>
      <c r="I144" s="23" t="n"/>
      <c r="J144" s="20">
        <f>IF(I144="","",IF(OR(E144="Resubmitted",E144="Accepted",E144="Rejected",E144="Withdrawn"),"—",I144-TODAY()))</f>
        <v/>
      </c>
      <c r="K144" s="21" t="n"/>
      <c r="L144" s="21" t="n"/>
      <c r="M144" s="21" t="n"/>
    </row>
    <row r="145">
      <c r="A145" s="16">
        <f>IF(B145="","",ROW()-4)</f>
        <v/>
      </c>
      <c r="B145" s="17" t="n"/>
      <c r="C145" s="17" t="n"/>
      <c r="D145" s="17" t="n"/>
      <c r="E145" s="17" t="n"/>
      <c r="F145" s="19" t="n"/>
      <c r="G145" s="20">
        <f>IF(F145="","",IF(H145="",TODAY()-F145,H145-F145))</f>
        <v/>
      </c>
      <c r="H145" s="19" t="n"/>
      <c r="I145" s="19" t="n"/>
      <c r="J145" s="20">
        <f>IF(I145="","",IF(OR(E145="Resubmitted",E145="Accepted",E145="Rejected",E145="Withdrawn"),"—",I145-TODAY()))</f>
        <v/>
      </c>
      <c r="K145" s="17" t="n"/>
      <c r="L145" s="17" t="n"/>
      <c r="M145" s="17" t="n"/>
    </row>
    <row r="146">
      <c r="A146" s="16">
        <f>IF(B146="","",ROW()-4)</f>
        <v/>
      </c>
      <c r="B146" s="21" t="n"/>
      <c r="C146" s="21" t="n"/>
      <c r="D146" s="21" t="n"/>
      <c r="E146" s="21" t="n"/>
      <c r="F146" s="23" t="n"/>
      <c r="G146" s="20">
        <f>IF(F146="","",IF(H146="",TODAY()-F146,H146-F146))</f>
        <v/>
      </c>
      <c r="H146" s="23" t="n"/>
      <c r="I146" s="23" t="n"/>
      <c r="J146" s="20">
        <f>IF(I146="","",IF(OR(E146="Resubmitted",E146="Accepted",E146="Rejected",E146="Withdrawn"),"—",I146-TODAY()))</f>
        <v/>
      </c>
      <c r="K146" s="21" t="n"/>
      <c r="L146" s="21" t="n"/>
      <c r="M146" s="21" t="n"/>
    </row>
    <row r="147">
      <c r="A147" s="16">
        <f>IF(B147="","",ROW()-4)</f>
        <v/>
      </c>
      <c r="B147" s="17" t="n"/>
      <c r="C147" s="17" t="n"/>
      <c r="D147" s="17" t="n"/>
      <c r="E147" s="17" t="n"/>
      <c r="F147" s="19" t="n"/>
      <c r="G147" s="20">
        <f>IF(F147="","",IF(H147="",TODAY()-F147,H147-F147))</f>
        <v/>
      </c>
      <c r="H147" s="19" t="n"/>
      <c r="I147" s="19" t="n"/>
      <c r="J147" s="20">
        <f>IF(I147="","",IF(OR(E147="Resubmitted",E147="Accepted",E147="Rejected",E147="Withdrawn"),"—",I147-TODAY()))</f>
        <v/>
      </c>
      <c r="K147" s="17" t="n"/>
      <c r="L147" s="17" t="n"/>
      <c r="M147" s="17" t="n"/>
    </row>
    <row r="148">
      <c r="A148" s="16">
        <f>IF(B148="","",ROW()-4)</f>
        <v/>
      </c>
      <c r="B148" s="21" t="n"/>
      <c r="C148" s="21" t="n"/>
      <c r="D148" s="21" t="n"/>
      <c r="E148" s="21" t="n"/>
      <c r="F148" s="23" t="n"/>
      <c r="G148" s="20">
        <f>IF(F148="","",IF(H148="",TODAY()-F148,H148-F148))</f>
        <v/>
      </c>
      <c r="H148" s="23" t="n"/>
      <c r="I148" s="23" t="n"/>
      <c r="J148" s="20">
        <f>IF(I148="","",IF(OR(E148="Resubmitted",E148="Accepted",E148="Rejected",E148="Withdrawn"),"—",I148-TODAY()))</f>
        <v/>
      </c>
      <c r="K148" s="21" t="n"/>
      <c r="L148" s="21" t="n"/>
      <c r="M148" s="21" t="n"/>
    </row>
    <row r="149">
      <c r="A149" s="16">
        <f>IF(B149="","",ROW()-4)</f>
        <v/>
      </c>
      <c r="B149" s="17" t="n"/>
      <c r="C149" s="17" t="n"/>
      <c r="D149" s="17" t="n"/>
      <c r="E149" s="17" t="n"/>
      <c r="F149" s="19" t="n"/>
      <c r="G149" s="20">
        <f>IF(F149="","",IF(H149="",TODAY()-F149,H149-F149))</f>
        <v/>
      </c>
      <c r="H149" s="19" t="n"/>
      <c r="I149" s="19" t="n"/>
      <c r="J149" s="20">
        <f>IF(I149="","",IF(OR(E149="Resubmitted",E149="Accepted",E149="Rejected",E149="Withdrawn"),"—",I149-TODAY()))</f>
        <v/>
      </c>
      <c r="K149" s="17" t="n"/>
      <c r="L149" s="17" t="n"/>
      <c r="M149" s="17" t="n"/>
    </row>
    <row r="150">
      <c r="A150" s="16">
        <f>IF(B150="","",ROW()-4)</f>
        <v/>
      </c>
      <c r="B150" s="21" t="n"/>
      <c r="C150" s="21" t="n"/>
      <c r="D150" s="21" t="n"/>
      <c r="E150" s="21" t="n"/>
      <c r="F150" s="23" t="n"/>
      <c r="G150" s="20">
        <f>IF(F150="","",IF(H150="",TODAY()-F150,H150-F150))</f>
        <v/>
      </c>
      <c r="H150" s="23" t="n"/>
      <c r="I150" s="23" t="n"/>
      <c r="J150" s="20">
        <f>IF(I150="","",IF(OR(E150="Resubmitted",E150="Accepted",E150="Rejected",E150="Withdrawn"),"—",I150-TODAY()))</f>
        <v/>
      </c>
      <c r="K150" s="21" t="n"/>
      <c r="L150" s="21" t="n"/>
      <c r="M150" s="21" t="n"/>
    </row>
    <row r="151">
      <c r="A151" s="16">
        <f>IF(B151="","",ROW()-4)</f>
        <v/>
      </c>
      <c r="B151" s="17" t="n"/>
      <c r="C151" s="17" t="n"/>
      <c r="D151" s="17" t="n"/>
      <c r="E151" s="17" t="n"/>
      <c r="F151" s="19" t="n"/>
      <c r="G151" s="20">
        <f>IF(F151="","",IF(H151="",TODAY()-F151,H151-F151))</f>
        <v/>
      </c>
      <c r="H151" s="19" t="n"/>
      <c r="I151" s="19" t="n"/>
      <c r="J151" s="20">
        <f>IF(I151="","",IF(OR(E151="Resubmitted",E151="Accepted",E151="Rejected",E151="Withdrawn"),"—",I151-TODAY()))</f>
        <v/>
      </c>
      <c r="K151" s="17" t="n"/>
      <c r="L151" s="17" t="n"/>
      <c r="M151" s="17" t="n"/>
    </row>
    <row r="152">
      <c r="A152" s="16">
        <f>IF(B152="","",ROW()-4)</f>
        <v/>
      </c>
      <c r="B152" s="21" t="n"/>
      <c r="C152" s="21" t="n"/>
      <c r="D152" s="21" t="n"/>
      <c r="E152" s="21" t="n"/>
      <c r="F152" s="23" t="n"/>
      <c r="G152" s="20">
        <f>IF(F152="","",IF(H152="",TODAY()-F152,H152-F152))</f>
        <v/>
      </c>
      <c r="H152" s="23" t="n"/>
      <c r="I152" s="23" t="n"/>
      <c r="J152" s="20">
        <f>IF(I152="","",IF(OR(E152="Resubmitted",E152="Accepted",E152="Rejected",E152="Withdrawn"),"—",I152-TODAY()))</f>
        <v/>
      </c>
      <c r="K152" s="21" t="n"/>
      <c r="L152" s="21" t="n"/>
      <c r="M152" s="21" t="n"/>
    </row>
    <row r="153">
      <c r="A153" s="16">
        <f>IF(B153="","",ROW()-4)</f>
        <v/>
      </c>
      <c r="B153" s="17" t="n"/>
      <c r="C153" s="17" t="n"/>
      <c r="D153" s="17" t="n"/>
      <c r="E153" s="17" t="n"/>
      <c r="F153" s="19" t="n"/>
      <c r="G153" s="20">
        <f>IF(F153="","",IF(H153="",TODAY()-F153,H153-F153))</f>
        <v/>
      </c>
      <c r="H153" s="19" t="n"/>
      <c r="I153" s="19" t="n"/>
      <c r="J153" s="20">
        <f>IF(I153="","",IF(OR(E153="Resubmitted",E153="Accepted",E153="Rejected",E153="Withdrawn"),"—",I153-TODAY()))</f>
        <v/>
      </c>
      <c r="K153" s="17" t="n"/>
      <c r="L153" s="17" t="n"/>
      <c r="M153" s="17" t="n"/>
    </row>
    <row r="154">
      <c r="A154" s="16">
        <f>IF(B154="","",ROW()-4)</f>
        <v/>
      </c>
      <c r="B154" s="21" t="n"/>
      <c r="C154" s="21" t="n"/>
      <c r="D154" s="21" t="n"/>
      <c r="E154" s="21" t="n"/>
      <c r="F154" s="23" t="n"/>
      <c r="G154" s="20">
        <f>IF(F154="","",IF(H154="",TODAY()-F154,H154-F154))</f>
        <v/>
      </c>
      <c r="H154" s="23" t="n"/>
      <c r="I154" s="23" t="n"/>
      <c r="J154" s="20">
        <f>IF(I154="","",IF(OR(E154="Resubmitted",E154="Accepted",E154="Rejected",E154="Withdrawn"),"—",I154-TODAY()))</f>
        <v/>
      </c>
      <c r="K154" s="21" t="n"/>
      <c r="L154" s="21" t="n"/>
      <c r="M154" s="21" t="n"/>
    </row>
  </sheetData>
  <autoFilter ref="A4:M154"/>
  <mergeCells count="2">
    <mergeCell ref="A2:M2"/>
    <mergeCell ref="A1:M1"/>
  </mergeCells>
  <conditionalFormatting sqref="E5:E154">
    <cfRule type="cellIs" priority="1" operator="equal" dxfId="1">
      <formula>"Drafting"</formula>
    </cfRule>
    <cfRule type="cellIs" priority="2" operator="equal" dxfId="3">
      <formula>"Submitted"</formula>
    </cfRule>
    <cfRule type="cellIs" priority="3" operator="equal" dxfId="3">
      <formula>"Under review"</formula>
    </cfRule>
    <cfRule type="cellIs" priority="4" operator="equal" dxfId="1">
      <formula>"Major revision"</formula>
    </cfRule>
    <cfRule type="cellIs" priority="5" operator="equal" dxfId="1">
      <formula>"Minor revision"</formula>
    </cfRule>
    <cfRule type="cellIs" priority="6" operator="equal" dxfId="3">
      <formula>"R&amp;R in progress"</formula>
    </cfRule>
    <cfRule type="cellIs" priority="7" operator="equal" dxfId="3">
      <formula>"Resubmitted"</formula>
    </cfRule>
    <cfRule type="cellIs" priority="8" operator="equal" dxfId="2">
      <formula>"Accepted"</formula>
    </cfRule>
    <cfRule type="cellIs" priority="9" operator="equal" dxfId="0">
      <formula>"Rejected"</formula>
    </cfRule>
    <cfRule type="cellIs" priority="10" operator="equal" dxfId="0">
      <formula>"Withdrawn"</formula>
    </cfRule>
  </conditionalFormatting>
  <conditionalFormatting sqref="G5:G154">
    <cfRule type="expression" priority="11" dxfId="0" stopIfTrue="1">
      <formula>AND(ISNUMBER(G5),$H5="",G5&gt;=180)</formula>
    </cfRule>
    <cfRule type="expression" priority="12" dxfId="1">
      <formula>AND(ISNUMBER(G5),$H5="",G5&gt;=90)</formula>
    </cfRule>
  </conditionalFormatting>
  <conditionalFormatting sqref="J5:J154">
    <cfRule type="cellIs" priority="13" operator="lessThan" dxfId="0">
      <formula>8</formula>
    </cfRule>
    <cfRule type="cellIs" priority="14" operator="between" dxfId="1">
      <formula>8</formula>
      <formula>21</formula>
    </cfRule>
    <cfRule type="cellIs" priority="15" operator="between" dxfId="2">
      <formula>22</formula>
      <formula>99999</formula>
    </cfRule>
  </conditionalFormatting>
  <dataValidations count="2">
    <dataValidation sqref="C5:C154" showDropDown="0" showInputMessage="0" showErrorMessage="0" allowBlank="1" type="list">
      <formula1>Lists!$F$1:$F$4</formula1>
    </dataValidation>
    <dataValidation sqref="E5:E154" showDropDown="0" showInputMessage="0" showErrorMessage="0" allowBlank="1" type="list">
      <formula1>Lists!$B$1:$B$10</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0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6" customWidth="1" min="2" max="2"/>
    <col width="18" customWidth="1" min="3" max="3"/>
    <col width="32" customWidth="1" min="4" max="4"/>
    <col width="12" customWidth="1" min="5" max="5"/>
    <col width="10" customWidth="1" min="6" max="6"/>
    <col width="17" customWidth="1" min="7" max="7"/>
    <col width="14" customWidth="1" min="8" max="8"/>
    <col width="12" customWidth="1" min="9" max="9"/>
    <col width="32" customWidth="1" min="10" max="10"/>
  </cols>
  <sheetData>
    <row r="1" ht="26" customHeight="1">
      <c r="A1" s="7" t="inlineStr">
        <is>
          <t>Conferences &amp; Abstracts</t>
        </is>
      </c>
    </row>
    <row r="2">
      <c r="A2" s="8" t="inlineStr">
        <is>
          <t>Abstract deadlines, event dates, registration due — one glance.</t>
        </is>
      </c>
    </row>
    <row r="4" ht="30" customHeight="1">
      <c r="A4" s="15" t="inlineStr">
        <is>
          <t>#</t>
        </is>
      </c>
      <c r="B4" s="15" t="inlineStr">
        <is>
          <t>Conference</t>
        </is>
      </c>
      <c r="C4" s="15" t="inlineStr">
        <is>
          <t>Format / location</t>
        </is>
      </c>
      <c r="D4" s="15" t="inlineStr">
        <is>
          <t>Abstract title</t>
        </is>
      </c>
      <c r="E4" s="15" t="inlineStr">
        <is>
          <t>Abstract deadline</t>
        </is>
      </c>
      <c r="F4" s="15" t="inlineStr">
        <is>
          <t>Days left</t>
        </is>
      </c>
      <c r="G4" s="15" t="inlineStr">
        <is>
          <t>Status</t>
        </is>
      </c>
      <c r="H4" s="15" t="inlineStr">
        <is>
          <t>Event dates</t>
        </is>
      </c>
      <c r="I4" s="15" t="inlineStr">
        <is>
          <t>Registration due</t>
        </is>
      </c>
      <c r="J4" s="15" t="inlineStr">
        <is>
          <t>Notes / costs</t>
        </is>
      </c>
    </row>
    <row r="5">
      <c r="A5" s="16">
        <f>IF(B5="","",ROW()-4)</f>
        <v/>
      </c>
      <c r="B5" s="17" t="n"/>
      <c r="C5" s="17" t="n"/>
      <c r="D5" s="17" t="n"/>
      <c r="E5" s="19" t="n"/>
      <c r="F5" s="20">
        <f>IF(E5="","",IF(OR(G5="Abstract submitted",G5="Accepted (talk)",G5="Accepted (poster)",G5="Rejected",G5="Attended"),"—",E5-TODAY()))</f>
        <v/>
      </c>
      <c r="G5" s="17" t="n"/>
      <c r="H5" s="17" t="n"/>
      <c r="I5" s="19" t="n"/>
      <c r="J5" s="17" t="n"/>
    </row>
    <row r="6">
      <c r="A6" s="16">
        <f>IF(B6="","",ROW()-4)</f>
        <v/>
      </c>
      <c r="B6" s="21" t="n"/>
      <c r="C6" s="21" t="n"/>
      <c r="D6" s="21" t="n"/>
      <c r="E6" s="23" t="n"/>
      <c r="F6" s="20">
        <f>IF(E6="","",IF(OR(G6="Abstract submitted",G6="Accepted (talk)",G6="Accepted (poster)",G6="Rejected",G6="Attended"),"—",E6-TODAY()))</f>
        <v/>
      </c>
      <c r="G6" s="21" t="n"/>
      <c r="H6" s="21" t="n"/>
      <c r="I6" s="23" t="n"/>
      <c r="J6" s="21" t="n"/>
    </row>
    <row r="7">
      <c r="A7" s="16">
        <f>IF(B7="","",ROW()-4)</f>
        <v/>
      </c>
      <c r="B7" s="17" t="n"/>
      <c r="C7" s="17" t="n"/>
      <c r="D7" s="17" t="n"/>
      <c r="E7" s="19" t="n"/>
      <c r="F7" s="20">
        <f>IF(E7="","",IF(OR(G7="Abstract submitted",G7="Accepted (talk)",G7="Accepted (poster)",G7="Rejected",G7="Attended"),"—",E7-TODAY()))</f>
        <v/>
      </c>
      <c r="G7" s="17" t="n"/>
      <c r="H7" s="17" t="n"/>
      <c r="I7" s="19" t="n"/>
      <c r="J7" s="17" t="n"/>
    </row>
    <row r="8">
      <c r="A8" s="16">
        <f>IF(B8="","",ROW()-4)</f>
        <v/>
      </c>
      <c r="B8" s="21" t="n"/>
      <c r="C8" s="21" t="n"/>
      <c r="D8" s="21" t="n"/>
      <c r="E8" s="23" t="n"/>
      <c r="F8" s="20">
        <f>IF(E8="","",IF(OR(G8="Abstract submitted",G8="Accepted (talk)",G8="Accepted (poster)",G8="Rejected",G8="Attended"),"—",E8-TODAY()))</f>
        <v/>
      </c>
      <c r="G8" s="21" t="n"/>
      <c r="H8" s="21" t="n"/>
      <c r="I8" s="23" t="n"/>
      <c r="J8" s="21" t="n"/>
    </row>
    <row r="9">
      <c r="A9" s="16">
        <f>IF(B9="","",ROW()-4)</f>
        <v/>
      </c>
      <c r="B9" s="17" t="n"/>
      <c r="C9" s="17" t="n"/>
      <c r="D9" s="17" t="n"/>
      <c r="E9" s="19" t="n"/>
      <c r="F9" s="20">
        <f>IF(E9="","",IF(OR(G9="Abstract submitted",G9="Accepted (talk)",G9="Accepted (poster)",G9="Rejected",G9="Attended"),"—",E9-TODAY()))</f>
        <v/>
      </c>
      <c r="G9" s="17" t="n"/>
      <c r="H9" s="17" t="n"/>
      <c r="I9" s="19" t="n"/>
      <c r="J9" s="17" t="n"/>
    </row>
    <row r="10">
      <c r="A10" s="16">
        <f>IF(B10="","",ROW()-4)</f>
        <v/>
      </c>
      <c r="B10" s="21" t="n"/>
      <c r="C10" s="21" t="n"/>
      <c r="D10" s="21" t="n"/>
      <c r="E10" s="23" t="n"/>
      <c r="F10" s="20">
        <f>IF(E10="","",IF(OR(G10="Abstract submitted",G10="Accepted (talk)",G10="Accepted (poster)",G10="Rejected",G10="Attended"),"—",E10-TODAY()))</f>
        <v/>
      </c>
      <c r="G10" s="21" t="n"/>
      <c r="H10" s="21" t="n"/>
      <c r="I10" s="23" t="n"/>
      <c r="J10" s="21" t="n"/>
    </row>
    <row r="11">
      <c r="A11" s="16">
        <f>IF(B11="","",ROW()-4)</f>
        <v/>
      </c>
      <c r="B11" s="17" t="n"/>
      <c r="C11" s="17" t="n"/>
      <c r="D11" s="17" t="n"/>
      <c r="E11" s="19" t="n"/>
      <c r="F11" s="20">
        <f>IF(E11="","",IF(OR(G11="Abstract submitted",G11="Accepted (talk)",G11="Accepted (poster)",G11="Rejected",G11="Attended"),"—",E11-TODAY()))</f>
        <v/>
      </c>
      <c r="G11" s="17" t="n"/>
      <c r="H11" s="17" t="n"/>
      <c r="I11" s="19" t="n"/>
      <c r="J11" s="17" t="n"/>
    </row>
    <row r="12">
      <c r="A12" s="16">
        <f>IF(B12="","",ROW()-4)</f>
        <v/>
      </c>
      <c r="B12" s="21" t="n"/>
      <c r="C12" s="21" t="n"/>
      <c r="D12" s="21" t="n"/>
      <c r="E12" s="23" t="n"/>
      <c r="F12" s="20">
        <f>IF(E12="","",IF(OR(G12="Abstract submitted",G12="Accepted (talk)",G12="Accepted (poster)",G12="Rejected",G12="Attended"),"—",E12-TODAY()))</f>
        <v/>
      </c>
      <c r="G12" s="21" t="n"/>
      <c r="H12" s="21" t="n"/>
      <c r="I12" s="23" t="n"/>
      <c r="J12" s="21" t="n"/>
    </row>
    <row r="13">
      <c r="A13" s="16">
        <f>IF(B13="","",ROW()-4)</f>
        <v/>
      </c>
      <c r="B13" s="17" t="n"/>
      <c r="C13" s="17" t="n"/>
      <c r="D13" s="17" t="n"/>
      <c r="E13" s="19" t="n"/>
      <c r="F13" s="20">
        <f>IF(E13="","",IF(OR(G13="Abstract submitted",G13="Accepted (talk)",G13="Accepted (poster)",G13="Rejected",G13="Attended"),"—",E13-TODAY()))</f>
        <v/>
      </c>
      <c r="G13" s="17" t="n"/>
      <c r="H13" s="17" t="n"/>
      <c r="I13" s="19" t="n"/>
      <c r="J13" s="17" t="n"/>
    </row>
    <row r="14">
      <c r="A14" s="16">
        <f>IF(B14="","",ROW()-4)</f>
        <v/>
      </c>
      <c r="B14" s="21" t="n"/>
      <c r="C14" s="21" t="n"/>
      <c r="D14" s="21" t="n"/>
      <c r="E14" s="23" t="n"/>
      <c r="F14" s="20">
        <f>IF(E14="","",IF(OR(G14="Abstract submitted",G14="Accepted (talk)",G14="Accepted (poster)",G14="Rejected",G14="Attended"),"—",E14-TODAY()))</f>
        <v/>
      </c>
      <c r="G14" s="21" t="n"/>
      <c r="H14" s="21" t="n"/>
      <c r="I14" s="23" t="n"/>
      <c r="J14" s="21" t="n"/>
    </row>
    <row r="15">
      <c r="A15" s="16">
        <f>IF(B15="","",ROW()-4)</f>
        <v/>
      </c>
      <c r="B15" s="17" t="n"/>
      <c r="C15" s="17" t="n"/>
      <c r="D15" s="17" t="n"/>
      <c r="E15" s="19" t="n"/>
      <c r="F15" s="20">
        <f>IF(E15="","",IF(OR(G15="Abstract submitted",G15="Accepted (talk)",G15="Accepted (poster)",G15="Rejected",G15="Attended"),"—",E15-TODAY()))</f>
        <v/>
      </c>
      <c r="G15" s="17" t="n"/>
      <c r="H15" s="17" t="n"/>
      <c r="I15" s="19" t="n"/>
      <c r="J15" s="17" t="n"/>
    </row>
    <row r="16">
      <c r="A16" s="16">
        <f>IF(B16="","",ROW()-4)</f>
        <v/>
      </c>
      <c r="B16" s="21" t="n"/>
      <c r="C16" s="21" t="n"/>
      <c r="D16" s="21" t="n"/>
      <c r="E16" s="23" t="n"/>
      <c r="F16" s="20">
        <f>IF(E16="","",IF(OR(G16="Abstract submitted",G16="Accepted (talk)",G16="Accepted (poster)",G16="Rejected",G16="Attended"),"—",E16-TODAY()))</f>
        <v/>
      </c>
      <c r="G16" s="21" t="n"/>
      <c r="H16" s="21" t="n"/>
      <c r="I16" s="23" t="n"/>
      <c r="J16" s="21" t="n"/>
    </row>
    <row r="17">
      <c r="A17" s="16">
        <f>IF(B17="","",ROW()-4)</f>
        <v/>
      </c>
      <c r="B17" s="17" t="n"/>
      <c r="C17" s="17" t="n"/>
      <c r="D17" s="17" t="n"/>
      <c r="E17" s="19" t="n"/>
      <c r="F17" s="20">
        <f>IF(E17="","",IF(OR(G17="Abstract submitted",G17="Accepted (talk)",G17="Accepted (poster)",G17="Rejected",G17="Attended"),"—",E17-TODAY()))</f>
        <v/>
      </c>
      <c r="G17" s="17" t="n"/>
      <c r="H17" s="17" t="n"/>
      <c r="I17" s="19" t="n"/>
      <c r="J17" s="17" t="n"/>
    </row>
    <row r="18">
      <c r="A18" s="16">
        <f>IF(B18="","",ROW()-4)</f>
        <v/>
      </c>
      <c r="B18" s="21" t="n"/>
      <c r="C18" s="21" t="n"/>
      <c r="D18" s="21" t="n"/>
      <c r="E18" s="23" t="n"/>
      <c r="F18" s="20">
        <f>IF(E18="","",IF(OR(G18="Abstract submitted",G18="Accepted (talk)",G18="Accepted (poster)",G18="Rejected",G18="Attended"),"—",E18-TODAY()))</f>
        <v/>
      </c>
      <c r="G18" s="21" t="n"/>
      <c r="H18" s="21" t="n"/>
      <c r="I18" s="23" t="n"/>
      <c r="J18" s="21" t="n"/>
    </row>
    <row r="19">
      <c r="A19" s="16">
        <f>IF(B19="","",ROW()-4)</f>
        <v/>
      </c>
      <c r="B19" s="17" t="n"/>
      <c r="C19" s="17" t="n"/>
      <c r="D19" s="17" t="n"/>
      <c r="E19" s="19" t="n"/>
      <c r="F19" s="20">
        <f>IF(E19="","",IF(OR(G19="Abstract submitted",G19="Accepted (talk)",G19="Accepted (poster)",G19="Rejected",G19="Attended"),"—",E19-TODAY()))</f>
        <v/>
      </c>
      <c r="G19" s="17" t="n"/>
      <c r="H19" s="17" t="n"/>
      <c r="I19" s="19" t="n"/>
      <c r="J19" s="17" t="n"/>
    </row>
    <row r="20">
      <c r="A20" s="16">
        <f>IF(B20="","",ROW()-4)</f>
        <v/>
      </c>
      <c r="B20" s="21" t="n"/>
      <c r="C20" s="21" t="n"/>
      <c r="D20" s="21" t="n"/>
      <c r="E20" s="23" t="n"/>
      <c r="F20" s="20">
        <f>IF(E20="","",IF(OR(G20="Abstract submitted",G20="Accepted (talk)",G20="Accepted (poster)",G20="Rejected",G20="Attended"),"—",E20-TODAY()))</f>
        <v/>
      </c>
      <c r="G20" s="21" t="n"/>
      <c r="H20" s="21" t="n"/>
      <c r="I20" s="23" t="n"/>
      <c r="J20" s="21" t="n"/>
    </row>
    <row r="21">
      <c r="A21" s="16">
        <f>IF(B21="","",ROW()-4)</f>
        <v/>
      </c>
      <c r="B21" s="17" t="n"/>
      <c r="C21" s="17" t="n"/>
      <c r="D21" s="17" t="n"/>
      <c r="E21" s="19" t="n"/>
      <c r="F21" s="20">
        <f>IF(E21="","",IF(OR(G21="Abstract submitted",G21="Accepted (talk)",G21="Accepted (poster)",G21="Rejected",G21="Attended"),"—",E21-TODAY()))</f>
        <v/>
      </c>
      <c r="G21" s="17" t="n"/>
      <c r="H21" s="17" t="n"/>
      <c r="I21" s="19" t="n"/>
      <c r="J21" s="17" t="n"/>
    </row>
    <row r="22">
      <c r="A22" s="16">
        <f>IF(B22="","",ROW()-4)</f>
        <v/>
      </c>
      <c r="B22" s="21" t="n"/>
      <c r="C22" s="21" t="n"/>
      <c r="D22" s="21" t="n"/>
      <c r="E22" s="23" t="n"/>
      <c r="F22" s="20">
        <f>IF(E22="","",IF(OR(G22="Abstract submitted",G22="Accepted (talk)",G22="Accepted (poster)",G22="Rejected",G22="Attended"),"—",E22-TODAY()))</f>
        <v/>
      </c>
      <c r="G22" s="21" t="n"/>
      <c r="H22" s="21" t="n"/>
      <c r="I22" s="23" t="n"/>
      <c r="J22" s="21" t="n"/>
    </row>
    <row r="23">
      <c r="A23" s="16">
        <f>IF(B23="","",ROW()-4)</f>
        <v/>
      </c>
      <c r="B23" s="17" t="n"/>
      <c r="C23" s="17" t="n"/>
      <c r="D23" s="17" t="n"/>
      <c r="E23" s="19" t="n"/>
      <c r="F23" s="20">
        <f>IF(E23="","",IF(OR(G23="Abstract submitted",G23="Accepted (talk)",G23="Accepted (poster)",G23="Rejected",G23="Attended"),"—",E23-TODAY()))</f>
        <v/>
      </c>
      <c r="G23" s="17" t="n"/>
      <c r="H23" s="17" t="n"/>
      <c r="I23" s="19" t="n"/>
      <c r="J23" s="17" t="n"/>
    </row>
    <row r="24">
      <c r="A24" s="16">
        <f>IF(B24="","",ROW()-4)</f>
        <v/>
      </c>
      <c r="B24" s="21" t="n"/>
      <c r="C24" s="21" t="n"/>
      <c r="D24" s="21" t="n"/>
      <c r="E24" s="23" t="n"/>
      <c r="F24" s="20">
        <f>IF(E24="","",IF(OR(G24="Abstract submitted",G24="Accepted (talk)",G24="Accepted (poster)",G24="Rejected",G24="Attended"),"—",E24-TODAY()))</f>
        <v/>
      </c>
      <c r="G24" s="21" t="n"/>
      <c r="H24" s="21" t="n"/>
      <c r="I24" s="23" t="n"/>
      <c r="J24" s="21" t="n"/>
    </row>
    <row r="25">
      <c r="A25" s="16">
        <f>IF(B25="","",ROW()-4)</f>
        <v/>
      </c>
      <c r="B25" s="17" t="n"/>
      <c r="C25" s="17" t="n"/>
      <c r="D25" s="17" t="n"/>
      <c r="E25" s="19" t="n"/>
      <c r="F25" s="20">
        <f>IF(E25="","",IF(OR(G25="Abstract submitted",G25="Accepted (talk)",G25="Accepted (poster)",G25="Rejected",G25="Attended"),"—",E25-TODAY()))</f>
        <v/>
      </c>
      <c r="G25" s="17" t="n"/>
      <c r="H25" s="17" t="n"/>
      <c r="I25" s="19" t="n"/>
      <c r="J25" s="17" t="n"/>
    </row>
    <row r="26">
      <c r="A26" s="16">
        <f>IF(B26="","",ROW()-4)</f>
        <v/>
      </c>
      <c r="B26" s="21" t="n"/>
      <c r="C26" s="21" t="n"/>
      <c r="D26" s="21" t="n"/>
      <c r="E26" s="23" t="n"/>
      <c r="F26" s="20">
        <f>IF(E26="","",IF(OR(G26="Abstract submitted",G26="Accepted (talk)",G26="Accepted (poster)",G26="Rejected",G26="Attended"),"—",E26-TODAY()))</f>
        <v/>
      </c>
      <c r="G26" s="21" t="n"/>
      <c r="H26" s="21" t="n"/>
      <c r="I26" s="23" t="n"/>
      <c r="J26" s="21" t="n"/>
    </row>
    <row r="27">
      <c r="A27" s="16">
        <f>IF(B27="","",ROW()-4)</f>
        <v/>
      </c>
      <c r="B27" s="17" t="n"/>
      <c r="C27" s="17" t="n"/>
      <c r="D27" s="17" t="n"/>
      <c r="E27" s="19" t="n"/>
      <c r="F27" s="20">
        <f>IF(E27="","",IF(OR(G27="Abstract submitted",G27="Accepted (talk)",G27="Accepted (poster)",G27="Rejected",G27="Attended"),"—",E27-TODAY()))</f>
        <v/>
      </c>
      <c r="G27" s="17" t="n"/>
      <c r="H27" s="17" t="n"/>
      <c r="I27" s="19" t="n"/>
      <c r="J27" s="17" t="n"/>
    </row>
    <row r="28">
      <c r="A28" s="16">
        <f>IF(B28="","",ROW()-4)</f>
        <v/>
      </c>
      <c r="B28" s="21" t="n"/>
      <c r="C28" s="21" t="n"/>
      <c r="D28" s="21" t="n"/>
      <c r="E28" s="23" t="n"/>
      <c r="F28" s="20">
        <f>IF(E28="","",IF(OR(G28="Abstract submitted",G28="Accepted (talk)",G28="Accepted (poster)",G28="Rejected",G28="Attended"),"—",E28-TODAY()))</f>
        <v/>
      </c>
      <c r="G28" s="21" t="n"/>
      <c r="H28" s="21" t="n"/>
      <c r="I28" s="23" t="n"/>
      <c r="J28" s="21" t="n"/>
    </row>
    <row r="29">
      <c r="A29" s="16">
        <f>IF(B29="","",ROW()-4)</f>
        <v/>
      </c>
      <c r="B29" s="17" t="n"/>
      <c r="C29" s="17" t="n"/>
      <c r="D29" s="17" t="n"/>
      <c r="E29" s="19" t="n"/>
      <c r="F29" s="20">
        <f>IF(E29="","",IF(OR(G29="Abstract submitted",G29="Accepted (talk)",G29="Accepted (poster)",G29="Rejected",G29="Attended"),"—",E29-TODAY()))</f>
        <v/>
      </c>
      <c r="G29" s="17" t="n"/>
      <c r="H29" s="17" t="n"/>
      <c r="I29" s="19" t="n"/>
      <c r="J29" s="17" t="n"/>
    </row>
    <row r="30">
      <c r="A30" s="16">
        <f>IF(B30="","",ROW()-4)</f>
        <v/>
      </c>
      <c r="B30" s="21" t="n"/>
      <c r="C30" s="21" t="n"/>
      <c r="D30" s="21" t="n"/>
      <c r="E30" s="23" t="n"/>
      <c r="F30" s="20">
        <f>IF(E30="","",IF(OR(G30="Abstract submitted",G30="Accepted (talk)",G30="Accepted (poster)",G30="Rejected",G30="Attended"),"—",E30-TODAY()))</f>
        <v/>
      </c>
      <c r="G30" s="21" t="n"/>
      <c r="H30" s="21" t="n"/>
      <c r="I30" s="23" t="n"/>
      <c r="J30" s="21" t="n"/>
    </row>
    <row r="31">
      <c r="A31" s="16">
        <f>IF(B31="","",ROW()-4)</f>
        <v/>
      </c>
      <c r="B31" s="17" t="n"/>
      <c r="C31" s="17" t="n"/>
      <c r="D31" s="17" t="n"/>
      <c r="E31" s="19" t="n"/>
      <c r="F31" s="20">
        <f>IF(E31="","",IF(OR(G31="Abstract submitted",G31="Accepted (talk)",G31="Accepted (poster)",G31="Rejected",G31="Attended"),"—",E31-TODAY()))</f>
        <v/>
      </c>
      <c r="G31" s="17" t="n"/>
      <c r="H31" s="17" t="n"/>
      <c r="I31" s="19" t="n"/>
      <c r="J31" s="17" t="n"/>
    </row>
    <row r="32">
      <c r="A32" s="16">
        <f>IF(B32="","",ROW()-4)</f>
        <v/>
      </c>
      <c r="B32" s="21" t="n"/>
      <c r="C32" s="21" t="n"/>
      <c r="D32" s="21" t="n"/>
      <c r="E32" s="23" t="n"/>
      <c r="F32" s="20">
        <f>IF(E32="","",IF(OR(G32="Abstract submitted",G32="Accepted (talk)",G32="Accepted (poster)",G32="Rejected",G32="Attended"),"—",E32-TODAY()))</f>
        <v/>
      </c>
      <c r="G32" s="21" t="n"/>
      <c r="H32" s="21" t="n"/>
      <c r="I32" s="23" t="n"/>
      <c r="J32" s="21" t="n"/>
    </row>
    <row r="33">
      <c r="A33" s="16">
        <f>IF(B33="","",ROW()-4)</f>
        <v/>
      </c>
      <c r="B33" s="17" t="n"/>
      <c r="C33" s="17" t="n"/>
      <c r="D33" s="17" t="n"/>
      <c r="E33" s="19" t="n"/>
      <c r="F33" s="20">
        <f>IF(E33="","",IF(OR(G33="Abstract submitted",G33="Accepted (talk)",G33="Accepted (poster)",G33="Rejected",G33="Attended"),"—",E33-TODAY()))</f>
        <v/>
      </c>
      <c r="G33" s="17" t="n"/>
      <c r="H33" s="17" t="n"/>
      <c r="I33" s="19" t="n"/>
      <c r="J33" s="17" t="n"/>
    </row>
    <row r="34">
      <c r="A34" s="16">
        <f>IF(B34="","",ROW()-4)</f>
        <v/>
      </c>
      <c r="B34" s="21" t="n"/>
      <c r="C34" s="21" t="n"/>
      <c r="D34" s="21" t="n"/>
      <c r="E34" s="23" t="n"/>
      <c r="F34" s="20">
        <f>IF(E34="","",IF(OR(G34="Abstract submitted",G34="Accepted (talk)",G34="Accepted (poster)",G34="Rejected",G34="Attended"),"—",E34-TODAY()))</f>
        <v/>
      </c>
      <c r="G34" s="21" t="n"/>
      <c r="H34" s="21" t="n"/>
      <c r="I34" s="23" t="n"/>
      <c r="J34" s="21" t="n"/>
    </row>
    <row r="35">
      <c r="A35" s="16">
        <f>IF(B35="","",ROW()-4)</f>
        <v/>
      </c>
      <c r="B35" s="17" t="n"/>
      <c r="C35" s="17" t="n"/>
      <c r="D35" s="17" t="n"/>
      <c r="E35" s="19" t="n"/>
      <c r="F35" s="20">
        <f>IF(E35="","",IF(OR(G35="Abstract submitted",G35="Accepted (talk)",G35="Accepted (poster)",G35="Rejected",G35="Attended"),"—",E35-TODAY()))</f>
        <v/>
      </c>
      <c r="G35" s="17" t="n"/>
      <c r="H35" s="17" t="n"/>
      <c r="I35" s="19" t="n"/>
      <c r="J35" s="17" t="n"/>
    </row>
    <row r="36">
      <c r="A36" s="16">
        <f>IF(B36="","",ROW()-4)</f>
        <v/>
      </c>
      <c r="B36" s="21" t="n"/>
      <c r="C36" s="21" t="n"/>
      <c r="D36" s="21" t="n"/>
      <c r="E36" s="23" t="n"/>
      <c r="F36" s="20">
        <f>IF(E36="","",IF(OR(G36="Abstract submitted",G36="Accepted (talk)",G36="Accepted (poster)",G36="Rejected",G36="Attended"),"—",E36-TODAY()))</f>
        <v/>
      </c>
      <c r="G36" s="21" t="n"/>
      <c r="H36" s="21" t="n"/>
      <c r="I36" s="23" t="n"/>
      <c r="J36" s="21" t="n"/>
    </row>
    <row r="37">
      <c r="A37" s="16">
        <f>IF(B37="","",ROW()-4)</f>
        <v/>
      </c>
      <c r="B37" s="17" t="n"/>
      <c r="C37" s="17" t="n"/>
      <c r="D37" s="17" t="n"/>
      <c r="E37" s="19" t="n"/>
      <c r="F37" s="20">
        <f>IF(E37="","",IF(OR(G37="Abstract submitted",G37="Accepted (talk)",G37="Accepted (poster)",G37="Rejected",G37="Attended"),"—",E37-TODAY()))</f>
        <v/>
      </c>
      <c r="G37" s="17" t="n"/>
      <c r="H37" s="17" t="n"/>
      <c r="I37" s="19" t="n"/>
      <c r="J37" s="17" t="n"/>
    </row>
    <row r="38">
      <c r="A38" s="16">
        <f>IF(B38="","",ROW()-4)</f>
        <v/>
      </c>
      <c r="B38" s="21" t="n"/>
      <c r="C38" s="21" t="n"/>
      <c r="D38" s="21" t="n"/>
      <c r="E38" s="23" t="n"/>
      <c r="F38" s="20">
        <f>IF(E38="","",IF(OR(G38="Abstract submitted",G38="Accepted (talk)",G38="Accepted (poster)",G38="Rejected",G38="Attended"),"—",E38-TODAY()))</f>
        <v/>
      </c>
      <c r="G38" s="21" t="n"/>
      <c r="H38" s="21" t="n"/>
      <c r="I38" s="23" t="n"/>
      <c r="J38" s="21" t="n"/>
    </row>
    <row r="39">
      <c r="A39" s="16">
        <f>IF(B39="","",ROW()-4)</f>
        <v/>
      </c>
      <c r="B39" s="17" t="n"/>
      <c r="C39" s="17" t="n"/>
      <c r="D39" s="17" t="n"/>
      <c r="E39" s="19" t="n"/>
      <c r="F39" s="20">
        <f>IF(E39="","",IF(OR(G39="Abstract submitted",G39="Accepted (talk)",G39="Accepted (poster)",G39="Rejected",G39="Attended"),"—",E39-TODAY()))</f>
        <v/>
      </c>
      <c r="G39" s="17" t="n"/>
      <c r="H39" s="17" t="n"/>
      <c r="I39" s="19" t="n"/>
      <c r="J39" s="17" t="n"/>
    </row>
    <row r="40">
      <c r="A40" s="16">
        <f>IF(B40="","",ROW()-4)</f>
        <v/>
      </c>
      <c r="B40" s="21" t="n"/>
      <c r="C40" s="21" t="n"/>
      <c r="D40" s="21" t="n"/>
      <c r="E40" s="23" t="n"/>
      <c r="F40" s="20">
        <f>IF(E40="","",IF(OR(G40="Abstract submitted",G40="Accepted (talk)",G40="Accepted (poster)",G40="Rejected",G40="Attended"),"—",E40-TODAY()))</f>
        <v/>
      </c>
      <c r="G40" s="21" t="n"/>
      <c r="H40" s="21" t="n"/>
      <c r="I40" s="23" t="n"/>
      <c r="J40" s="21" t="n"/>
    </row>
    <row r="41">
      <c r="A41" s="16">
        <f>IF(B41="","",ROW()-4)</f>
        <v/>
      </c>
      <c r="B41" s="17" t="n"/>
      <c r="C41" s="17" t="n"/>
      <c r="D41" s="17" t="n"/>
      <c r="E41" s="19" t="n"/>
      <c r="F41" s="20">
        <f>IF(E41="","",IF(OR(G41="Abstract submitted",G41="Accepted (talk)",G41="Accepted (poster)",G41="Rejected",G41="Attended"),"—",E41-TODAY()))</f>
        <v/>
      </c>
      <c r="G41" s="17" t="n"/>
      <c r="H41" s="17" t="n"/>
      <c r="I41" s="19" t="n"/>
      <c r="J41" s="17" t="n"/>
    </row>
    <row r="42">
      <c r="A42" s="16">
        <f>IF(B42="","",ROW()-4)</f>
        <v/>
      </c>
      <c r="B42" s="21" t="n"/>
      <c r="C42" s="21" t="n"/>
      <c r="D42" s="21" t="n"/>
      <c r="E42" s="23" t="n"/>
      <c r="F42" s="20">
        <f>IF(E42="","",IF(OR(G42="Abstract submitted",G42="Accepted (talk)",G42="Accepted (poster)",G42="Rejected",G42="Attended"),"—",E42-TODAY()))</f>
        <v/>
      </c>
      <c r="G42" s="21" t="n"/>
      <c r="H42" s="21" t="n"/>
      <c r="I42" s="23" t="n"/>
      <c r="J42" s="21" t="n"/>
    </row>
    <row r="43">
      <c r="A43" s="16">
        <f>IF(B43="","",ROW()-4)</f>
        <v/>
      </c>
      <c r="B43" s="17" t="n"/>
      <c r="C43" s="17" t="n"/>
      <c r="D43" s="17" t="n"/>
      <c r="E43" s="19" t="n"/>
      <c r="F43" s="20">
        <f>IF(E43="","",IF(OR(G43="Abstract submitted",G43="Accepted (talk)",G43="Accepted (poster)",G43="Rejected",G43="Attended"),"—",E43-TODAY()))</f>
        <v/>
      </c>
      <c r="G43" s="17" t="n"/>
      <c r="H43" s="17" t="n"/>
      <c r="I43" s="19" t="n"/>
      <c r="J43" s="17" t="n"/>
    </row>
    <row r="44">
      <c r="A44" s="16">
        <f>IF(B44="","",ROW()-4)</f>
        <v/>
      </c>
      <c r="B44" s="21" t="n"/>
      <c r="C44" s="21" t="n"/>
      <c r="D44" s="21" t="n"/>
      <c r="E44" s="23" t="n"/>
      <c r="F44" s="20">
        <f>IF(E44="","",IF(OR(G44="Abstract submitted",G44="Accepted (talk)",G44="Accepted (poster)",G44="Rejected",G44="Attended"),"—",E44-TODAY()))</f>
        <v/>
      </c>
      <c r="G44" s="21" t="n"/>
      <c r="H44" s="21" t="n"/>
      <c r="I44" s="23" t="n"/>
      <c r="J44" s="21" t="n"/>
    </row>
    <row r="45">
      <c r="A45" s="16">
        <f>IF(B45="","",ROW()-4)</f>
        <v/>
      </c>
      <c r="B45" s="17" t="n"/>
      <c r="C45" s="17" t="n"/>
      <c r="D45" s="17" t="n"/>
      <c r="E45" s="19" t="n"/>
      <c r="F45" s="20">
        <f>IF(E45="","",IF(OR(G45="Abstract submitted",G45="Accepted (talk)",G45="Accepted (poster)",G45="Rejected",G45="Attended"),"—",E45-TODAY()))</f>
        <v/>
      </c>
      <c r="G45" s="17" t="n"/>
      <c r="H45" s="17" t="n"/>
      <c r="I45" s="19" t="n"/>
      <c r="J45" s="17" t="n"/>
    </row>
    <row r="46">
      <c r="A46" s="16">
        <f>IF(B46="","",ROW()-4)</f>
        <v/>
      </c>
      <c r="B46" s="21" t="n"/>
      <c r="C46" s="21" t="n"/>
      <c r="D46" s="21" t="n"/>
      <c r="E46" s="23" t="n"/>
      <c r="F46" s="20">
        <f>IF(E46="","",IF(OR(G46="Abstract submitted",G46="Accepted (talk)",G46="Accepted (poster)",G46="Rejected",G46="Attended"),"—",E46-TODAY()))</f>
        <v/>
      </c>
      <c r="G46" s="21" t="n"/>
      <c r="H46" s="21" t="n"/>
      <c r="I46" s="23" t="n"/>
      <c r="J46" s="21" t="n"/>
    </row>
    <row r="47">
      <c r="A47" s="16">
        <f>IF(B47="","",ROW()-4)</f>
        <v/>
      </c>
      <c r="B47" s="17" t="n"/>
      <c r="C47" s="17" t="n"/>
      <c r="D47" s="17" t="n"/>
      <c r="E47" s="19" t="n"/>
      <c r="F47" s="20">
        <f>IF(E47="","",IF(OR(G47="Abstract submitted",G47="Accepted (talk)",G47="Accepted (poster)",G47="Rejected",G47="Attended"),"—",E47-TODAY()))</f>
        <v/>
      </c>
      <c r="G47" s="17" t="n"/>
      <c r="H47" s="17" t="n"/>
      <c r="I47" s="19" t="n"/>
      <c r="J47" s="17" t="n"/>
    </row>
    <row r="48">
      <c r="A48" s="16">
        <f>IF(B48="","",ROW()-4)</f>
        <v/>
      </c>
      <c r="B48" s="21" t="n"/>
      <c r="C48" s="21" t="n"/>
      <c r="D48" s="21" t="n"/>
      <c r="E48" s="23" t="n"/>
      <c r="F48" s="20">
        <f>IF(E48="","",IF(OR(G48="Abstract submitted",G48="Accepted (talk)",G48="Accepted (poster)",G48="Rejected",G48="Attended"),"—",E48-TODAY()))</f>
        <v/>
      </c>
      <c r="G48" s="21" t="n"/>
      <c r="H48" s="21" t="n"/>
      <c r="I48" s="23" t="n"/>
      <c r="J48" s="21" t="n"/>
    </row>
    <row r="49">
      <c r="A49" s="16">
        <f>IF(B49="","",ROW()-4)</f>
        <v/>
      </c>
      <c r="B49" s="17" t="n"/>
      <c r="C49" s="17" t="n"/>
      <c r="D49" s="17" t="n"/>
      <c r="E49" s="19" t="n"/>
      <c r="F49" s="20">
        <f>IF(E49="","",IF(OR(G49="Abstract submitted",G49="Accepted (talk)",G49="Accepted (poster)",G49="Rejected",G49="Attended"),"—",E49-TODAY()))</f>
        <v/>
      </c>
      <c r="G49" s="17" t="n"/>
      <c r="H49" s="17" t="n"/>
      <c r="I49" s="19" t="n"/>
      <c r="J49" s="17" t="n"/>
    </row>
    <row r="50">
      <c r="A50" s="16">
        <f>IF(B50="","",ROW()-4)</f>
        <v/>
      </c>
      <c r="B50" s="21" t="n"/>
      <c r="C50" s="21" t="n"/>
      <c r="D50" s="21" t="n"/>
      <c r="E50" s="23" t="n"/>
      <c r="F50" s="20">
        <f>IF(E50="","",IF(OR(G50="Abstract submitted",G50="Accepted (talk)",G50="Accepted (poster)",G50="Rejected",G50="Attended"),"—",E50-TODAY()))</f>
        <v/>
      </c>
      <c r="G50" s="21" t="n"/>
      <c r="H50" s="21" t="n"/>
      <c r="I50" s="23" t="n"/>
      <c r="J50" s="21" t="n"/>
    </row>
    <row r="51">
      <c r="A51" s="16">
        <f>IF(B51="","",ROW()-4)</f>
        <v/>
      </c>
      <c r="B51" s="17" t="n"/>
      <c r="C51" s="17" t="n"/>
      <c r="D51" s="17" t="n"/>
      <c r="E51" s="19" t="n"/>
      <c r="F51" s="20">
        <f>IF(E51="","",IF(OR(G51="Abstract submitted",G51="Accepted (talk)",G51="Accepted (poster)",G51="Rejected",G51="Attended"),"—",E51-TODAY()))</f>
        <v/>
      </c>
      <c r="G51" s="17" t="n"/>
      <c r="H51" s="17" t="n"/>
      <c r="I51" s="19" t="n"/>
      <c r="J51" s="17" t="n"/>
    </row>
    <row r="52">
      <c r="A52" s="16">
        <f>IF(B52="","",ROW()-4)</f>
        <v/>
      </c>
      <c r="B52" s="21" t="n"/>
      <c r="C52" s="21" t="n"/>
      <c r="D52" s="21" t="n"/>
      <c r="E52" s="23" t="n"/>
      <c r="F52" s="20">
        <f>IF(E52="","",IF(OR(G52="Abstract submitted",G52="Accepted (talk)",G52="Accepted (poster)",G52="Rejected",G52="Attended"),"—",E52-TODAY()))</f>
        <v/>
      </c>
      <c r="G52" s="21" t="n"/>
      <c r="H52" s="21" t="n"/>
      <c r="I52" s="23" t="n"/>
      <c r="J52" s="21" t="n"/>
    </row>
    <row r="53">
      <c r="A53" s="16">
        <f>IF(B53="","",ROW()-4)</f>
        <v/>
      </c>
      <c r="B53" s="17" t="n"/>
      <c r="C53" s="17" t="n"/>
      <c r="D53" s="17" t="n"/>
      <c r="E53" s="19" t="n"/>
      <c r="F53" s="20">
        <f>IF(E53="","",IF(OR(G53="Abstract submitted",G53="Accepted (talk)",G53="Accepted (poster)",G53="Rejected",G53="Attended"),"—",E53-TODAY()))</f>
        <v/>
      </c>
      <c r="G53" s="17" t="n"/>
      <c r="H53" s="17" t="n"/>
      <c r="I53" s="19" t="n"/>
      <c r="J53" s="17" t="n"/>
    </row>
    <row r="54">
      <c r="A54" s="16">
        <f>IF(B54="","",ROW()-4)</f>
        <v/>
      </c>
      <c r="B54" s="21" t="n"/>
      <c r="C54" s="21" t="n"/>
      <c r="D54" s="21" t="n"/>
      <c r="E54" s="23" t="n"/>
      <c r="F54" s="20">
        <f>IF(E54="","",IF(OR(G54="Abstract submitted",G54="Accepted (talk)",G54="Accepted (poster)",G54="Rejected",G54="Attended"),"—",E54-TODAY()))</f>
        <v/>
      </c>
      <c r="G54" s="21" t="n"/>
      <c r="H54" s="21" t="n"/>
      <c r="I54" s="23" t="n"/>
      <c r="J54" s="21" t="n"/>
    </row>
    <row r="55">
      <c r="A55" s="16">
        <f>IF(B55="","",ROW()-4)</f>
        <v/>
      </c>
      <c r="B55" s="17" t="n"/>
      <c r="C55" s="17" t="n"/>
      <c r="D55" s="17" t="n"/>
      <c r="E55" s="19" t="n"/>
      <c r="F55" s="20">
        <f>IF(E55="","",IF(OR(G55="Abstract submitted",G55="Accepted (talk)",G55="Accepted (poster)",G55="Rejected",G55="Attended"),"—",E55-TODAY()))</f>
        <v/>
      </c>
      <c r="G55" s="17" t="n"/>
      <c r="H55" s="17" t="n"/>
      <c r="I55" s="19" t="n"/>
      <c r="J55" s="17" t="n"/>
    </row>
    <row r="56">
      <c r="A56" s="16">
        <f>IF(B56="","",ROW()-4)</f>
        <v/>
      </c>
      <c r="B56" s="21" t="n"/>
      <c r="C56" s="21" t="n"/>
      <c r="D56" s="21" t="n"/>
      <c r="E56" s="23" t="n"/>
      <c r="F56" s="20">
        <f>IF(E56="","",IF(OR(G56="Abstract submitted",G56="Accepted (talk)",G56="Accepted (poster)",G56="Rejected",G56="Attended"),"—",E56-TODAY()))</f>
        <v/>
      </c>
      <c r="G56" s="21" t="n"/>
      <c r="H56" s="21" t="n"/>
      <c r="I56" s="23" t="n"/>
      <c r="J56" s="21" t="n"/>
    </row>
    <row r="57">
      <c r="A57" s="16">
        <f>IF(B57="","",ROW()-4)</f>
        <v/>
      </c>
      <c r="B57" s="17" t="n"/>
      <c r="C57" s="17" t="n"/>
      <c r="D57" s="17" t="n"/>
      <c r="E57" s="19" t="n"/>
      <c r="F57" s="20">
        <f>IF(E57="","",IF(OR(G57="Abstract submitted",G57="Accepted (talk)",G57="Accepted (poster)",G57="Rejected",G57="Attended"),"—",E57-TODAY()))</f>
        <v/>
      </c>
      <c r="G57" s="17" t="n"/>
      <c r="H57" s="17" t="n"/>
      <c r="I57" s="19" t="n"/>
      <c r="J57" s="17" t="n"/>
    </row>
    <row r="58">
      <c r="A58" s="16">
        <f>IF(B58="","",ROW()-4)</f>
        <v/>
      </c>
      <c r="B58" s="21" t="n"/>
      <c r="C58" s="21" t="n"/>
      <c r="D58" s="21" t="n"/>
      <c r="E58" s="23" t="n"/>
      <c r="F58" s="20">
        <f>IF(E58="","",IF(OR(G58="Abstract submitted",G58="Accepted (talk)",G58="Accepted (poster)",G58="Rejected",G58="Attended"),"—",E58-TODAY()))</f>
        <v/>
      </c>
      <c r="G58" s="21" t="n"/>
      <c r="H58" s="21" t="n"/>
      <c r="I58" s="23" t="n"/>
      <c r="J58" s="21" t="n"/>
    </row>
    <row r="59">
      <c r="A59" s="16">
        <f>IF(B59="","",ROW()-4)</f>
        <v/>
      </c>
      <c r="B59" s="17" t="n"/>
      <c r="C59" s="17" t="n"/>
      <c r="D59" s="17" t="n"/>
      <c r="E59" s="19" t="n"/>
      <c r="F59" s="20">
        <f>IF(E59="","",IF(OR(G59="Abstract submitted",G59="Accepted (talk)",G59="Accepted (poster)",G59="Rejected",G59="Attended"),"—",E59-TODAY()))</f>
        <v/>
      </c>
      <c r="G59" s="17" t="n"/>
      <c r="H59" s="17" t="n"/>
      <c r="I59" s="19" t="n"/>
      <c r="J59" s="17" t="n"/>
    </row>
    <row r="60">
      <c r="A60" s="16">
        <f>IF(B60="","",ROW()-4)</f>
        <v/>
      </c>
      <c r="B60" s="21" t="n"/>
      <c r="C60" s="21" t="n"/>
      <c r="D60" s="21" t="n"/>
      <c r="E60" s="23" t="n"/>
      <c r="F60" s="20">
        <f>IF(E60="","",IF(OR(G60="Abstract submitted",G60="Accepted (talk)",G60="Accepted (poster)",G60="Rejected",G60="Attended"),"—",E60-TODAY()))</f>
        <v/>
      </c>
      <c r="G60" s="21" t="n"/>
      <c r="H60" s="21" t="n"/>
      <c r="I60" s="23" t="n"/>
      <c r="J60" s="21" t="n"/>
    </row>
    <row r="61">
      <c r="A61" s="16">
        <f>IF(B61="","",ROW()-4)</f>
        <v/>
      </c>
      <c r="B61" s="17" t="n"/>
      <c r="C61" s="17" t="n"/>
      <c r="D61" s="17" t="n"/>
      <c r="E61" s="19" t="n"/>
      <c r="F61" s="20">
        <f>IF(E61="","",IF(OR(G61="Abstract submitted",G61="Accepted (talk)",G61="Accepted (poster)",G61="Rejected",G61="Attended"),"—",E61-TODAY()))</f>
        <v/>
      </c>
      <c r="G61" s="17" t="n"/>
      <c r="H61" s="17" t="n"/>
      <c r="I61" s="19" t="n"/>
      <c r="J61" s="17" t="n"/>
    </row>
    <row r="62">
      <c r="A62" s="16">
        <f>IF(B62="","",ROW()-4)</f>
        <v/>
      </c>
      <c r="B62" s="21" t="n"/>
      <c r="C62" s="21" t="n"/>
      <c r="D62" s="21" t="n"/>
      <c r="E62" s="23" t="n"/>
      <c r="F62" s="20">
        <f>IF(E62="","",IF(OR(G62="Abstract submitted",G62="Accepted (talk)",G62="Accepted (poster)",G62="Rejected",G62="Attended"),"—",E62-TODAY()))</f>
        <v/>
      </c>
      <c r="G62" s="21" t="n"/>
      <c r="H62" s="21" t="n"/>
      <c r="I62" s="23" t="n"/>
      <c r="J62" s="21" t="n"/>
    </row>
    <row r="63">
      <c r="A63" s="16">
        <f>IF(B63="","",ROW()-4)</f>
        <v/>
      </c>
      <c r="B63" s="17" t="n"/>
      <c r="C63" s="17" t="n"/>
      <c r="D63" s="17" t="n"/>
      <c r="E63" s="19" t="n"/>
      <c r="F63" s="20">
        <f>IF(E63="","",IF(OR(G63="Abstract submitted",G63="Accepted (talk)",G63="Accepted (poster)",G63="Rejected",G63="Attended"),"—",E63-TODAY()))</f>
        <v/>
      </c>
      <c r="G63" s="17" t="n"/>
      <c r="H63" s="17" t="n"/>
      <c r="I63" s="19" t="n"/>
      <c r="J63" s="17" t="n"/>
    </row>
    <row r="64">
      <c r="A64" s="16">
        <f>IF(B64="","",ROW()-4)</f>
        <v/>
      </c>
      <c r="B64" s="21" t="n"/>
      <c r="C64" s="21" t="n"/>
      <c r="D64" s="21" t="n"/>
      <c r="E64" s="23" t="n"/>
      <c r="F64" s="20">
        <f>IF(E64="","",IF(OR(G64="Abstract submitted",G64="Accepted (talk)",G64="Accepted (poster)",G64="Rejected",G64="Attended"),"—",E64-TODAY()))</f>
        <v/>
      </c>
      <c r="G64" s="21" t="n"/>
      <c r="H64" s="21" t="n"/>
      <c r="I64" s="23" t="n"/>
      <c r="J64" s="21" t="n"/>
    </row>
    <row r="65">
      <c r="A65" s="16">
        <f>IF(B65="","",ROW()-4)</f>
        <v/>
      </c>
      <c r="B65" s="17" t="n"/>
      <c r="C65" s="17" t="n"/>
      <c r="D65" s="17" t="n"/>
      <c r="E65" s="19" t="n"/>
      <c r="F65" s="20">
        <f>IF(E65="","",IF(OR(G65="Abstract submitted",G65="Accepted (talk)",G65="Accepted (poster)",G65="Rejected",G65="Attended"),"—",E65-TODAY()))</f>
        <v/>
      </c>
      <c r="G65" s="17" t="n"/>
      <c r="H65" s="17" t="n"/>
      <c r="I65" s="19" t="n"/>
      <c r="J65" s="17" t="n"/>
    </row>
    <row r="66">
      <c r="A66" s="16">
        <f>IF(B66="","",ROW()-4)</f>
        <v/>
      </c>
      <c r="B66" s="21" t="n"/>
      <c r="C66" s="21" t="n"/>
      <c r="D66" s="21" t="n"/>
      <c r="E66" s="23" t="n"/>
      <c r="F66" s="20">
        <f>IF(E66="","",IF(OR(G66="Abstract submitted",G66="Accepted (talk)",G66="Accepted (poster)",G66="Rejected",G66="Attended"),"—",E66-TODAY()))</f>
        <v/>
      </c>
      <c r="G66" s="21" t="n"/>
      <c r="H66" s="21" t="n"/>
      <c r="I66" s="23" t="n"/>
      <c r="J66" s="21" t="n"/>
    </row>
    <row r="67">
      <c r="A67" s="16">
        <f>IF(B67="","",ROW()-4)</f>
        <v/>
      </c>
      <c r="B67" s="17" t="n"/>
      <c r="C67" s="17" t="n"/>
      <c r="D67" s="17" t="n"/>
      <c r="E67" s="19" t="n"/>
      <c r="F67" s="20">
        <f>IF(E67="","",IF(OR(G67="Abstract submitted",G67="Accepted (talk)",G67="Accepted (poster)",G67="Rejected",G67="Attended"),"—",E67-TODAY()))</f>
        <v/>
      </c>
      <c r="G67" s="17" t="n"/>
      <c r="H67" s="17" t="n"/>
      <c r="I67" s="19" t="n"/>
      <c r="J67" s="17" t="n"/>
    </row>
    <row r="68">
      <c r="A68" s="16">
        <f>IF(B68="","",ROW()-4)</f>
        <v/>
      </c>
      <c r="B68" s="21" t="n"/>
      <c r="C68" s="21" t="n"/>
      <c r="D68" s="21" t="n"/>
      <c r="E68" s="23" t="n"/>
      <c r="F68" s="20">
        <f>IF(E68="","",IF(OR(G68="Abstract submitted",G68="Accepted (talk)",G68="Accepted (poster)",G68="Rejected",G68="Attended"),"—",E68-TODAY()))</f>
        <v/>
      </c>
      <c r="G68" s="21" t="n"/>
      <c r="H68" s="21" t="n"/>
      <c r="I68" s="23" t="n"/>
      <c r="J68" s="21" t="n"/>
    </row>
    <row r="69">
      <c r="A69" s="16">
        <f>IF(B69="","",ROW()-4)</f>
        <v/>
      </c>
      <c r="B69" s="17" t="n"/>
      <c r="C69" s="17" t="n"/>
      <c r="D69" s="17" t="n"/>
      <c r="E69" s="19" t="n"/>
      <c r="F69" s="20">
        <f>IF(E69="","",IF(OR(G69="Abstract submitted",G69="Accepted (talk)",G69="Accepted (poster)",G69="Rejected",G69="Attended"),"—",E69-TODAY()))</f>
        <v/>
      </c>
      <c r="G69" s="17" t="n"/>
      <c r="H69" s="17" t="n"/>
      <c r="I69" s="19" t="n"/>
      <c r="J69" s="17" t="n"/>
    </row>
    <row r="70">
      <c r="A70" s="16">
        <f>IF(B70="","",ROW()-4)</f>
        <v/>
      </c>
      <c r="B70" s="21" t="n"/>
      <c r="C70" s="21" t="n"/>
      <c r="D70" s="21" t="n"/>
      <c r="E70" s="23" t="n"/>
      <c r="F70" s="20">
        <f>IF(E70="","",IF(OR(G70="Abstract submitted",G70="Accepted (talk)",G70="Accepted (poster)",G70="Rejected",G70="Attended"),"—",E70-TODAY()))</f>
        <v/>
      </c>
      <c r="G70" s="21" t="n"/>
      <c r="H70" s="21" t="n"/>
      <c r="I70" s="23" t="n"/>
      <c r="J70" s="21" t="n"/>
    </row>
    <row r="71">
      <c r="A71" s="16">
        <f>IF(B71="","",ROW()-4)</f>
        <v/>
      </c>
      <c r="B71" s="17" t="n"/>
      <c r="C71" s="17" t="n"/>
      <c r="D71" s="17" t="n"/>
      <c r="E71" s="19" t="n"/>
      <c r="F71" s="20">
        <f>IF(E71="","",IF(OR(G71="Abstract submitted",G71="Accepted (talk)",G71="Accepted (poster)",G71="Rejected",G71="Attended"),"—",E71-TODAY()))</f>
        <v/>
      </c>
      <c r="G71" s="17" t="n"/>
      <c r="H71" s="17" t="n"/>
      <c r="I71" s="19" t="n"/>
      <c r="J71" s="17" t="n"/>
    </row>
    <row r="72">
      <c r="A72" s="16">
        <f>IF(B72="","",ROW()-4)</f>
        <v/>
      </c>
      <c r="B72" s="21" t="n"/>
      <c r="C72" s="21" t="n"/>
      <c r="D72" s="21" t="n"/>
      <c r="E72" s="23" t="n"/>
      <c r="F72" s="20">
        <f>IF(E72="","",IF(OR(G72="Abstract submitted",G72="Accepted (talk)",G72="Accepted (poster)",G72="Rejected",G72="Attended"),"—",E72-TODAY()))</f>
        <v/>
      </c>
      <c r="G72" s="21" t="n"/>
      <c r="H72" s="21" t="n"/>
      <c r="I72" s="23" t="n"/>
      <c r="J72" s="21" t="n"/>
    </row>
    <row r="73">
      <c r="A73" s="16">
        <f>IF(B73="","",ROW()-4)</f>
        <v/>
      </c>
      <c r="B73" s="17" t="n"/>
      <c r="C73" s="17" t="n"/>
      <c r="D73" s="17" t="n"/>
      <c r="E73" s="19" t="n"/>
      <c r="F73" s="20">
        <f>IF(E73="","",IF(OR(G73="Abstract submitted",G73="Accepted (talk)",G73="Accepted (poster)",G73="Rejected",G73="Attended"),"—",E73-TODAY()))</f>
        <v/>
      </c>
      <c r="G73" s="17" t="n"/>
      <c r="H73" s="17" t="n"/>
      <c r="I73" s="19" t="n"/>
      <c r="J73" s="17" t="n"/>
    </row>
    <row r="74">
      <c r="A74" s="16">
        <f>IF(B74="","",ROW()-4)</f>
        <v/>
      </c>
      <c r="B74" s="21" t="n"/>
      <c r="C74" s="21" t="n"/>
      <c r="D74" s="21" t="n"/>
      <c r="E74" s="23" t="n"/>
      <c r="F74" s="20">
        <f>IF(E74="","",IF(OR(G74="Abstract submitted",G74="Accepted (talk)",G74="Accepted (poster)",G74="Rejected",G74="Attended"),"—",E74-TODAY()))</f>
        <v/>
      </c>
      <c r="G74" s="21" t="n"/>
      <c r="H74" s="21" t="n"/>
      <c r="I74" s="23" t="n"/>
      <c r="J74" s="21" t="n"/>
    </row>
    <row r="75">
      <c r="A75" s="16">
        <f>IF(B75="","",ROW()-4)</f>
        <v/>
      </c>
      <c r="B75" s="17" t="n"/>
      <c r="C75" s="17" t="n"/>
      <c r="D75" s="17" t="n"/>
      <c r="E75" s="19" t="n"/>
      <c r="F75" s="20">
        <f>IF(E75="","",IF(OR(G75="Abstract submitted",G75="Accepted (talk)",G75="Accepted (poster)",G75="Rejected",G75="Attended"),"—",E75-TODAY()))</f>
        <v/>
      </c>
      <c r="G75" s="17" t="n"/>
      <c r="H75" s="17" t="n"/>
      <c r="I75" s="19" t="n"/>
      <c r="J75" s="17" t="n"/>
    </row>
    <row r="76">
      <c r="A76" s="16">
        <f>IF(B76="","",ROW()-4)</f>
        <v/>
      </c>
      <c r="B76" s="21" t="n"/>
      <c r="C76" s="21" t="n"/>
      <c r="D76" s="21" t="n"/>
      <c r="E76" s="23" t="n"/>
      <c r="F76" s="20">
        <f>IF(E76="","",IF(OR(G76="Abstract submitted",G76="Accepted (talk)",G76="Accepted (poster)",G76="Rejected",G76="Attended"),"—",E76-TODAY()))</f>
        <v/>
      </c>
      <c r="G76" s="21" t="n"/>
      <c r="H76" s="21" t="n"/>
      <c r="I76" s="23" t="n"/>
      <c r="J76" s="21" t="n"/>
    </row>
    <row r="77">
      <c r="A77" s="16">
        <f>IF(B77="","",ROW()-4)</f>
        <v/>
      </c>
      <c r="B77" s="17" t="n"/>
      <c r="C77" s="17" t="n"/>
      <c r="D77" s="17" t="n"/>
      <c r="E77" s="19" t="n"/>
      <c r="F77" s="20">
        <f>IF(E77="","",IF(OR(G77="Abstract submitted",G77="Accepted (talk)",G77="Accepted (poster)",G77="Rejected",G77="Attended"),"—",E77-TODAY()))</f>
        <v/>
      </c>
      <c r="G77" s="17" t="n"/>
      <c r="H77" s="17" t="n"/>
      <c r="I77" s="19" t="n"/>
      <c r="J77" s="17" t="n"/>
    </row>
    <row r="78">
      <c r="A78" s="16">
        <f>IF(B78="","",ROW()-4)</f>
        <v/>
      </c>
      <c r="B78" s="21" t="n"/>
      <c r="C78" s="21" t="n"/>
      <c r="D78" s="21" t="n"/>
      <c r="E78" s="23" t="n"/>
      <c r="F78" s="20">
        <f>IF(E78="","",IF(OR(G78="Abstract submitted",G78="Accepted (talk)",G78="Accepted (poster)",G78="Rejected",G78="Attended"),"—",E78-TODAY()))</f>
        <v/>
      </c>
      <c r="G78" s="21" t="n"/>
      <c r="H78" s="21" t="n"/>
      <c r="I78" s="23" t="n"/>
      <c r="J78" s="21" t="n"/>
    </row>
    <row r="79">
      <c r="A79" s="16">
        <f>IF(B79="","",ROW()-4)</f>
        <v/>
      </c>
      <c r="B79" s="17" t="n"/>
      <c r="C79" s="17" t="n"/>
      <c r="D79" s="17" t="n"/>
      <c r="E79" s="19" t="n"/>
      <c r="F79" s="20">
        <f>IF(E79="","",IF(OR(G79="Abstract submitted",G79="Accepted (talk)",G79="Accepted (poster)",G79="Rejected",G79="Attended"),"—",E79-TODAY()))</f>
        <v/>
      </c>
      <c r="G79" s="17" t="n"/>
      <c r="H79" s="17" t="n"/>
      <c r="I79" s="19" t="n"/>
      <c r="J79" s="17" t="n"/>
    </row>
    <row r="80">
      <c r="A80" s="16">
        <f>IF(B80="","",ROW()-4)</f>
        <v/>
      </c>
      <c r="B80" s="21" t="n"/>
      <c r="C80" s="21" t="n"/>
      <c r="D80" s="21" t="n"/>
      <c r="E80" s="23" t="n"/>
      <c r="F80" s="20">
        <f>IF(E80="","",IF(OR(G80="Abstract submitted",G80="Accepted (talk)",G80="Accepted (poster)",G80="Rejected",G80="Attended"),"—",E80-TODAY()))</f>
        <v/>
      </c>
      <c r="G80" s="21" t="n"/>
      <c r="H80" s="21" t="n"/>
      <c r="I80" s="23" t="n"/>
      <c r="J80" s="21" t="n"/>
    </row>
    <row r="81">
      <c r="A81" s="16">
        <f>IF(B81="","",ROW()-4)</f>
        <v/>
      </c>
      <c r="B81" s="17" t="n"/>
      <c r="C81" s="17" t="n"/>
      <c r="D81" s="17" t="n"/>
      <c r="E81" s="19" t="n"/>
      <c r="F81" s="20">
        <f>IF(E81="","",IF(OR(G81="Abstract submitted",G81="Accepted (talk)",G81="Accepted (poster)",G81="Rejected",G81="Attended"),"—",E81-TODAY()))</f>
        <v/>
      </c>
      <c r="G81" s="17" t="n"/>
      <c r="H81" s="17" t="n"/>
      <c r="I81" s="19" t="n"/>
      <c r="J81" s="17" t="n"/>
    </row>
    <row r="82">
      <c r="A82" s="16">
        <f>IF(B82="","",ROW()-4)</f>
        <v/>
      </c>
      <c r="B82" s="21" t="n"/>
      <c r="C82" s="21" t="n"/>
      <c r="D82" s="21" t="n"/>
      <c r="E82" s="23" t="n"/>
      <c r="F82" s="20">
        <f>IF(E82="","",IF(OR(G82="Abstract submitted",G82="Accepted (talk)",G82="Accepted (poster)",G82="Rejected",G82="Attended"),"—",E82-TODAY()))</f>
        <v/>
      </c>
      <c r="G82" s="21" t="n"/>
      <c r="H82" s="21" t="n"/>
      <c r="I82" s="23" t="n"/>
      <c r="J82" s="21" t="n"/>
    </row>
    <row r="83">
      <c r="A83" s="16">
        <f>IF(B83="","",ROW()-4)</f>
        <v/>
      </c>
      <c r="B83" s="17" t="n"/>
      <c r="C83" s="17" t="n"/>
      <c r="D83" s="17" t="n"/>
      <c r="E83" s="19" t="n"/>
      <c r="F83" s="20">
        <f>IF(E83="","",IF(OR(G83="Abstract submitted",G83="Accepted (talk)",G83="Accepted (poster)",G83="Rejected",G83="Attended"),"—",E83-TODAY()))</f>
        <v/>
      </c>
      <c r="G83" s="17" t="n"/>
      <c r="H83" s="17" t="n"/>
      <c r="I83" s="19" t="n"/>
      <c r="J83" s="17" t="n"/>
    </row>
    <row r="84">
      <c r="A84" s="16">
        <f>IF(B84="","",ROW()-4)</f>
        <v/>
      </c>
      <c r="B84" s="21" t="n"/>
      <c r="C84" s="21" t="n"/>
      <c r="D84" s="21" t="n"/>
      <c r="E84" s="23" t="n"/>
      <c r="F84" s="20">
        <f>IF(E84="","",IF(OR(G84="Abstract submitted",G84="Accepted (talk)",G84="Accepted (poster)",G84="Rejected",G84="Attended"),"—",E84-TODAY()))</f>
        <v/>
      </c>
      <c r="G84" s="21" t="n"/>
      <c r="H84" s="21" t="n"/>
      <c r="I84" s="23" t="n"/>
      <c r="J84" s="21" t="n"/>
    </row>
    <row r="85">
      <c r="A85" s="16">
        <f>IF(B85="","",ROW()-4)</f>
        <v/>
      </c>
      <c r="B85" s="17" t="n"/>
      <c r="C85" s="17" t="n"/>
      <c r="D85" s="17" t="n"/>
      <c r="E85" s="19" t="n"/>
      <c r="F85" s="20">
        <f>IF(E85="","",IF(OR(G85="Abstract submitted",G85="Accepted (talk)",G85="Accepted (poster)",G85="Rejected",G85="Attended"),"—",E85-TODAY()))</f>
        <v/>
      </c>
      <c r="G85" s="17" t="n"/>
      <c r="H85" s="17" t="n"/>
      <c r="I85" s="19" t="n"/>
      <c r="J85" s="17" t="n"/>
    </row>
    <row r="86">
      <c r="A86" s="16">
        <f>IF(B86="","",ROW()-4)</f>
        <v/>
      </c>
      <c r="B86" s="21" t="n"/>
      <c r="C86" s="21" t="n"/>
      <c r="D86" s="21" t="n"/>
      <c r="E86" s="23" t="n"/>
      <c r="F86" s="20">
        <f>IF(E86="","",IF(OR(G86="Abstract submitted",G86="Accepted (talk)",G86="Accepted (poster)",G86="Rejected",G86="Attended"),"—",E86-TODAY()))</f>
        <v/>
      </c>
      <c r="G86" s="21" t="n"/>
      <c r="H86" s="21" t="n"/>
      <c r="I86" s="23" t="n"/>
      <c r="J86" s="21" t="n"/>
    </row>
    <row r="87">
      <c r="A87" s="16">
        <f>IF(B87="","",ROW()-4)</f>
        <v/>
      </c>
      <c r="B87" s="17" t="n"/>
      <c r="C87" s="17" t="n"/>
      <c r="D87" s="17" t="n"/>
      <c r="E87" s="19" t="n"/>
      <c r="F87" s="20">
        <f>IF(E87="","",IF(OR(G87="Abstract submitted",G87="Accepted (talk)",G87="Accepted (poster)",G87="Rejected",G87="Attended"),"—",E87-TODAY()))</f>
        <v/>
      </c>
      <c r="G87" s="17" t="n"/>
      <c r="H87" s="17" t="n"/>
      <c r="I87" s="19" t="n"/>
      <c r="J87" s="17" t="n"/>
    </row>
    <row r="88">
      <c r="A88" s="16">
        <f>IF(B88="","",ROW()-4)</f>
        <v/>
      </c>
      <c r="B88" s="21" t="n"/>
      <c r="C88" s="21" t="n"/>
      <c r="D88" s="21" t="n"/>
      <c r="E88" s="23" t="n"/>
      <c r="F88" s="20">
        <f>IF(E88="","",IF(OR(G88="Abstract submitted",G88="Accepted (talk)",G88="Accepted (poster)",G88="Rejected",G88="Attended"),"—",E88-TODAY()))</f>
        <v/>
      </c>
      <c r="G88" s="21" t="n"/>
      <c r="H88" s="21" t="n"/>
      <c r="I88" s="23" t="n"/>
      <c r="J88" s="21" t="n"/>
    </row>
    <row r="89">
      <c r="A89" s="16">
        <f>IF(B89="","",ROW()-4)</f>
        <v/>
      </c>
      <c r="B89" s="17" t="n"/>
      <c r="C89" s="17" t="n"/>
      <c r="D89" s="17" t="n"/>
      <c r="E89" s="19" t="n"/>
      <c r="F89" s="20">
        <f>IF(E89="","",IF(OR(G89="Abstract submitted",G89="Accepted (talk)",G89="Accepted (poster)",G89="Rejected",G89="Attended"),"—",E89-TODAY()))</f>
        <v/>
      </c>
      <c r="G89" s="17" t="n"/>
      <c r="H89" s="17" t="n"/>
      <c r="I89" s="19" t="n"/>
      <c r="J89" s="17" t="n"/>
    </row>
    <row r="90">
      <c r="A90" s="16">
        <f>IF(B90="","",ROW()-4)</f>
        <v/>
      </c>
      <c r="B90" s="21" t="n"/>
      <c r="C90" s="21" t="n"/>
      <c r="D90" s="21" t="n"/>
      <c r="E90" s="23" t="n"/>
      <c r="F90" s="20">
        <f>IF(E90="","",IF(OR(G90="Abstract submitted",G90="Accepted (talk)",G90="Accepted (poster)",G90="Rejected",G90="Attended"),"—",E90-TODAY()))</f>
        <v/>
      </c>
      <c r="G90" s="21" t="n"/>
      <c r="H90" s="21" t="n"/>
      <c r="I90" s="23" t="n"/>
      <c r="J90" s="21" t="n"/>
    </row>
    <row r="91">
      <c r="A91" s="16">
        <f>IF(B91="","",ROW()-4)</f>
        <v/>
      </c>
      <c r="B91" s="17" t="n"/>
      <c r="C91" s="17" t="n"/>
      <c r="D91" s="17" t="n"/>
      <c r="E91" s="19" t="n"/>
      <c r="F91" s="20">
        <f>IF(E91="","",IF(OR(G91="Abstract submitted",G91="Accepted (talk)",G91="Accepted (poster)",G91="Rejected",G91="Attended"),"—",E91-TODAY()))</f>
        <v/>
      </c>
      <c r="G91" s="17" t="n"/>
      <c r="H91" s="17" t="n"/>
      <c r="I91" s="19" t="n"/>
      <c r="J91" s="17" t="n"/>
    </row>
    <row r="92">
      <c r="A92" s="16">
        <f>IF(B92="","",ROW()-4)</f>
        <v/>
      </c>
      <c r="B92" s="21" t="n"/>
      <c r="C92" s="21" t="n"/>
      <c r="D92" s="21" t="n"/>
      <c r="E92" s="23" t="n"/>
      <c r="F92" s="20">
        <f>IF(E92="","",IF(OR(G92="Abstract submitted",G92="Accepted (talk)",G92="Accepted (poster)",G92="Rejected",G92="Attended"),"—",E92-TODAY()))</f>
        <v/>
      </c>
      <c r="G92" s="21" t="n"/>
      <c r="H92" s="21" t="n"/>
      <c r="I92" s="23" t="n"/>
      <c r="J92" s="21" t="n"/>
    </row>
    <row r="93">
      <c r="A93" s="16">
        <f>IF(B93="","",ROW()-4)</f>
        <v/>
      </c>
      <c r="B93" s="17" t="n"/>
      <c r="C93" s="17" t="n"/>
      <c r="D93" s="17" t="n"/>
      <c r="E93" s="19" t="n"/>
      <c r="F93" s="20">
        <f>IF(E93="","",IF(OR(G93="Abstract submitted",G93="Accepted (talk)",G93="Accepted (poster)",G93="Rejected",G93="Attended"),"—",E93-TODAY()))</f>
        <v/>
      </c>
      <c r="G93" s="17" t="n"/>
      <c r="H93" s="17" t="n"/>
      <c r="I93" s="19" t="n"/>
      <c r="J93" s="17" t="n"/>
    </row>
    <row r="94">
      <c r="A94" s="16">
        <f>IF(B94="","",ROW()-4)</f>
        <v/>
      </c>
      <c r="B94" s="21" t="n"/>
      <c r="C94" s="21" t="n"/>
      <c r="D94" s="21" t="n"/>
      <c r="E94" s="23" t="n"/>
      <c r="F94" s="20">
        <f>IF(E94="","",IF(OR(G94="Abstract submitted",G94="Accepted (talk)",G94="Accepted (poster)",G94="Rejected",G94="Attended"),"—",E94-TODAY()))</f>
        <v/>
      </c>
      <c r="G94" s="21" t="n"/>
      <c r="H94" s="21" t="n"/>
      <c r="I94" s="23" t="n"/>
      <c r="J94" s="21" t="n"/>
    </row>
    <row r="95">
      <c r="A95" s="16">
        <f>IF(B95="","",ROW()-4)</f>
        <v/>
      </c>
      <c r="B95" s="17" t="n"/>
      <c r="C95" s="17" t="n"/>
      <c r="D95" s="17" t="n"/>
      <c r="E95" s="19" t="n"/>
      <c r="F95" s="20">
        <f>IF(E95="","",IF(OR(G95="Abstract submitted",G95="Accepted (talk)",G95="Accepted (poster)",G95="Rejected",G95="Attended"),"—",E95-TODAY()))</f>
        <v/>
      </c>
      <c r="G95" s="17" t="n"/>
      <c r="H95" s="17" t="n"/>
      <c r="I95" s="19" t="n"/>
      <c r="J95" s="17" t="n"/>
    </row>
    <row r="96">
      <c r="A96" s="16">
        <f>IF(B96="","",ROW()-4)</f>
        <v/>
      </c>
      <c r="B96" s="21" t="n"/>
      <c r="C96" s="21" t="n"/>
      <c r="D96" s="21" t="n"/>
      <c r="E96" s="23" t="n"/>
      <c r="F96" s="20">
        <f>IF(E96="","",IF(OR(G96="Abstract submitted",G96="Accepted (talk)",G96="Accepted (poster)",G96="Rejected",G96="Attended"),"—",E96-TODAY()))</f>
        <v/>
      </c>
      <c r="G96" s="21" t="n"/>
      <c r="H96" s="21" t="n"/>
      <c r="I96" s="23" t="n"/>
      <c r="J96" s="21" t="n"/>
    </row>
    <row r="97">
      <c r="A97" s="16">
        <f>IF(B97="","",ROW()-4)</f>
        <v/>
      </c>
      <c r="B97" s="17" t="n"/>
      <c r="C97" s="17" t="n"/>
      <c r="D97" s="17" t="n"/>
      <c r="E97" s="19" t="n"/>
      <c r="F97" s="20">
        <f>IF(E97="","",IF(OR(G97="Abstract submitted",G97="Accepted (talk)",G97="Accepted (poster)",G97="Rejected",G97="Attended"),"—",E97-TODAY()))</f>
        <v/>
      </c>
      <c r="G97" s="17" t="n"/>
      <c r="H97" s="17" t="n"/>
      <c r="I97" s="19" t="n"/>
      <c r="J97" s="17" t="n"/>
    </row>
    <row r="98">
      <c r="A98" s="16">
        <f>IF(B98="","",ROW()-4)</f>
        <v/>
      </c>
      <c r="B98" s="21" t="n"/>
      <c r="C98" s="21" t="n"/>
      <c r="D98" s="21" t="n"/>
      <c r="E98" s="23" t="n"/>
      <c r="F98" s="20">
        <f>IF(E98="","",IF(OR(G98="Abstract submitted",G98="Accepted (talk)",G98="Accepted (poster)",G98="Rejected",G98="Attended"),"—",E98-TODAY()))</f>
        <v/>
      </c>
      <c r="G98" s="21" t="n"/>
      <c r="H98" s="21" t="n"/>
      <c r="I98" s="23" t="n"/>
      <c r="J98" s="21" t="n"/>
    </row>
    <row r="99">
      <c r="A99" s="16">
        <f>IF(B99="","",ROW()-4)</f>
        <v/>
      </c>
      <c r="B99" s="17" t="n"/>
      <c r="C99" s="17" t="n"/>
      <c r="D99" s="17" t="n"/>
      <c r="E99" s="19" t="n"/>
      <c r="F99" s="20">
        <f>IF(E99="","",IF(OR(G99="Abstract submitted",G99="Accepted (talk)",G99="Accepted (poster)",G99="Rejected",G99="Attended"),"—",E99-TODAY()))</f>
        <v/>
      </c>
      <c r="G99" s="17" t="n"/>
      <c r="H99" s="17" t="n"/>
      <c r="I99" s="19" t="n"/>
      <c r="J99" s="17" t="n"/>
    </row>
    <row r="100">
      <c r="A100" s="16">
        <f>IF(B100="","",ROW()-4)</f>
        <v/>
      </c>
      <c r="B100" s="21" t="n"/>
      <c r="C100" s="21" t="n"/>
      <c r="D100" s="21" t="n"/>
      <c r="E100" s="23" t="n"/>
      <c r="F100" s="20">
        <f>IF(E100="","",IF(OR(G100="Abstract submitted",G100="Accepted (talk)",G100="Accepted (poster)",G100="Rejected",G100="Attended"),"—",E100-TODAY()))</f>
        <v/>
      </c>
      <c r="G100" s="21" t="n"/>
      <c r="H100" s="21" t="n"/>
      <c r="I100" s="23" t="n"/>
      <c r="J100" s="21" t="n"/>
    </row>
    <row r="101">
      <c r="A101" s="16">
        <f>IF(B101="","",ROW()-4)</f>
        <v/>
      </c>
      <c r="B101" s="17" t="n"/>
      <c r="C101" s="17" t="n"/>
      <c r="D101" s="17" t="n"/>
      <c r="E101" s="19" t="n"/>
      <c r="F101" s="20">
        <f>IF(E101="","",IF(OR(G101="Abstract submitted",G101="Accepted (talk)",G101="Accepted (poster)",G101="Rejected",G101="Attended"),"—",E101-TODAY()))</f>
        <v/>
      </c>
      <c r="G101" s="17" t="n"/>
      <c r="H101" s="17" t="n"/>
      <c r="I101" s="19" t="n"/>
      <c r="J101" s="17" t="n"/>
    </row>
    <row r="102">
      <c r="A102" s="16">
        <f>IF(B102="","",ROW()-4)</f>
        <v/>
      </c>
      <c r="B102" s="21" t="n"/>
      <c r="C102" s="21" t="n"/>
      <c r="D102" s="21" t="n"/>
      <c r="E102" s="23" t="n"/>
      <c r="F102" s="20">
        <f>IF(E102="","",IF(OR(G102="Abstract submitted",G102="Accepted (talk)",G102="Accepted (poster)",G102="Rejected",G102="Attended"),"—",E102-TODAY()))</f>
        <v/>
      </c>
      <c r="G102" s="21" t="n"/>
      <c r="H102" s="21" t="n"/>
      <c r="I102" s="23" t="n"/>
      <c r="J102" s="21" t="n"/>
    </row>
    <row r="103">
      <c r="A103" s="16">
        <f>IF(B103="","",ROW()-4)</f>
        <v/>
      </c>
      <c r="B103" s="17" t="n"/>
      <c r="C103" s="17" t="n"/>
      <c r="D103" s="17" t="n"/>
      <c r="E103" s="19" t="n"/>
      <c r="F103" s="20">
        <f>IF(E103="","",IF(OR(G103="Abstract submitted",G103="Accepted (talk)",G103="Accepted (poster)",G103="Rejected",G103="Attended"),"—",E103-TODAY()))</f>
        <v/>
      </c>
      <c r="G103" s="17" t="n"/>
      <c r="H103" s="17" t="n"/>
      <c r="I103" s="19" t="n"/>
      <c r="J103" s="17" t="n"/>
    </row>
    <row r="104">
      <c r="A104" s="16">
        <f>IF(B104="","",ROW()-4)</f>
        <v/>
      </c>
      <c r="B104" s="21" t="n"/>
      <c r="C104" s="21" t="n"/>
      <c r="D104" s="21" t="n"/>
      <c r="E104" s="23" t="n"/>
      <c r="F104" s="20">
        <f>IF(E104="","",IF(OR(G104="Abstract submitted",G104="Accepted (talk)",G104="Accepted (poster)",G104="Rejected",G104="Attended"),"—",E104-TODAY()))</f>
        <v/>
      </c>
      <c r="G104" s="21" t="n"/>
      <c r="H104" s="21" t="n"/>
      <c r="I104" s="23" t="n"/>
      <c r="J104" s="21" t="n"/>
    </row>
  </sheetData>
  <autoFilter ref="A4:J104"/>
  <mergeCells count="2">
    <mergeCell ref="A1:J1"/>
    <mergeCell ref="A2:J2"/>
  </mergeCells>
  <conditionalFormatting sqref="F5:F104">
    <cfRule type="cellIs" priority="1" operator="lessThan" dxfId="0">
      <formula>8</formula>
    </cfRule>
    <cfRule type="cellIs" priority="2" operator="between" dxfId="1">
      <formula>8</formula>
      <formula>21</formula>
    </cfRule>
    <cfRule type="cellIs" priority="3" operator="between" dxfId="2">
      <formula>22</formula>
      <formula>99999</formula>
    </cfRule>
  </conditionalFormatting>
  <conditionalFormatting sqref="G5:G104">
    <cfRule type="cellIs" priority="4" operator="equal" dxfId="1">
      <formula>"Planned"</formula>
    </cfRule>
    <cfRule type="cellIs" priority="5" operator="equal" dxfId="3">
      <formula>"Abstract submitted"</formula>
    </cfRule>
    <cfRule type="cellIs" priority="6" operator="equal" dxfId="2">
      <formula>"Accepted (talk)"</formula>
    </cfRule>
    <cfRule type="cellIs" priority="7" operator="equal" dxfId="2">
      <formula>"Accepted (poster)"</formula>
    </cfRule>
    <cfRule type="cellIs" priority="8" operator="equal" dxfId="0">
      <formula>"Rejected"</formula>
    </cfRule>
    <cfRule type="cellIs" priority="9" operator="equal" dxfId="2">
      <formula>"Attended"</formula>
    </cfRule>
  </conditionalFormatting>
  <dataValidations count="1">
    <dataValidation sqref="G5:G104" showDropDown="0" showInputMessage="0" showErrorMessage="0" allowBlank="1" type="list">
      <formula1>Lists!$C$1:$C$6</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0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6" customWidth="1" min="2" max="2"/>
    <col width="34" customWidth="1" min="3" max="3"/>
    <col width="12" customWidth="1" min="4" max="4"/>
    <col width="12" customWidth="1" min="5" max="5"/>
    <col width="10" customWidth="1" min="6" max="6"/>
    <col width="13" customWidth="1" min="7" max="7"/>
    <col width="10" customWidth="1" min="8" max="8"/>
    <col width="40" customWidth="1" min="9" max="9"/>
  </cols>
  <sheetData>
    <row r="1" ht="26" customHeight="1">
      <c r="A1" s="7" t="inlineStr">
        <is>
          <t>Peer Review Log</t>
        </is>
      </c>
    </row>
    <row r="2">
      <c r="A2" s="8" t="inlineStr">
        <is>
          <t>The reviews you owe others. Track them like deadlines — and walk into your evaluation with the receipts.</t>
        </is>
      </c>
    </row>
    <row r="4" ht="30" customHeight="1">
      <c r="A4" s="15" t="inlineStr">
        <is>
          <t>#</t>
        </is>
      </c>
      <c r="B4" s="15" t="inlineStr">
        <is>
          <t>Journal / venue</t>
        </is>
      </c>
      <c r="C4" s="15" t="inlineStr">
        <is>
          <t>Manuscript title / ID</t>
        </is>
      </c>
      <c r="D4" s="15" t="inlineStr">
        <is>
          <t>Invited on</t>
        </is>
      </c>
      <c r="E4" s="15" t="inlineStr">
        <is>
          <t>Review due</t>
        </is>
      </c>
      <c r="F4" s="15" t="inlineStr">
        <is>
          <t>Days left</t>
        </is>
      </c>
      <c r="G4" s="15" t="inlineStr">
        <is>
          <t>Status</t>
        </is>
      </c>
      <c r="H4" s="15" t="inlineStr">
        <is>
          <t>Hours spent</t>
        </is>
      </c>
      <c r="I4" s="15" t="inlineStr">
        <is>
          <t>Notes</t>
        </is>
      </c>
    </row>
    <row r="5">
      <c r="A5" s="16">
        <f>IF(B5="","",ROW()-4)</f>
        <v/>
      </c>
      <c r="B5" s="17" t="n"/>
      <c r="C5" s="17" t="n"/>
      <c r="D5" s="19" t="n"/>
      <c r="E5" s="19" t="n"/>
      <c r="F5" s="20">
        <f>IF(E5="","",IF(OR(G5="Submitted",G5="Declined"),"—",E5-TODAY()))</f>
        <v/>
      </c>
      <c r="G5" s="17" t="n"/>
      <c r="H5" s="24" t="n"/>
      <c r="I5" s="17" t="n"/>
    </row>
    <row r="6">
      <c r="A6" s="16">
        <f>IF(B6="","",ROW()-4)</f>
        <v/>
      </c>
      <c r="B6" s="21" t="n"/>
      <c r="C6" s="21" t="n"/>
      <c r="D6" s="23" t="n"/>
      <c r="E6" s="23" t="n"/>
      <c r="F6" s="20">
        <f>IF(E6="","",IF(OR(G6="Submitted",G6="Declined"),"—",E6-TODAY()))</f>
        <v/>
      </c>
      <c r="G6" s="21" t="n"/>
      <c r="H6" s="25" t="n"/>
      <c r="I6" s="21" t="n"/>
    </row>
    <row r="7">
      <c r="A7" s="16">
        <f>IF(B7="","",ROW()-4)</f>
        <v/>
      </c>
      <c r="B7" s="17" t="n"/>
      <c r="C7" s="17" t="n"/>
      <c r="D7" s="19" t="n"/>
      <c r="E7" s="19" t="n"/>
      <c r="F7" s="20">
        <f>IF(E7="","",IF(OR(G7="Submitted",G7="Declined"),"—",E7-TODAY()))</f>
        <v/>
      </c>
      <c r="G7" s="17" t="n"/>
      <c r="H7" s="24" t="n"/>
      <c r="I7" s="17" t="n"/>
    </row>
    <row r="8">
      <c r="A8" s="16">
        <f>IF(B8="","",ROW()-4)</f>
        <v/>
      </c>
      <c r="B8" s="21" t="n"/>
      <c r="C8" s="21" t="n"/>
      <c r="D8" s="23" t="n"/>
      <c r="E8" s="23" t="n"/>
      <c r="F8" s="20">
        <f>IF(E8="","",IF(OR(G8="Submitted",G8="Declined"),"—",E8-TODAY()))</f>
        <v/>
      </c>
      <c r="G8" s="21" t="n"/>
      <c r="H8" s="25" t="n"/>
      <c r="I8" s="21" t="n"/>
    </row>
    <row r="9">
      <c r="A9" s="16">
        <f>IF(B9="","",ROW()-4)</f>
        <v/>
      </c>
      <c r="B9" s="17" t="n"/>
      <c r="C9" s="17" t="n"/>
      <c r="D9" s="19" t="n"/>
      <c r="E9" s="19" t="n"/>
      <c r="F9" s="20">
        <f>IF(E9="","",IF(OR(G9="Submitted",G9="Declined"),"—",E9-TODAY()))</f>
        <v/>
      </c>
      <c r="G9" s="17" t="n"/>
      <c r="H9" s="24" t="n"/>
      <c r="I9" s="17" t="n"/>
    </row>
    <row r="10">
      <c r="A10" s="16">
        <f>IF(B10="","",ROW()-4)</f>
        <v/>
      </c>
      <c r="B10" s="21" t="n"/>
      <c r="C10" s="21" t="n"/>
      <c r="D10" s="23" t="n"/>
      <c r="E10" s="23" t="n"/>
      <c r="F10" s="20">
        <f>IF(E10="","",IF(OR(G10="Submitted",G10="Declined"),"—",E10-TODAY()))</f>
        <v/>
      </c>
      <c r="G10" s="21" t="n"/>
      <c r="H10" s="25" t="n"/>
      <c r="I10" s="21" t="n"/>
    </row>
    <row r="11">
      <c r="A11" s="16">
        <f>IF(B11="","",ROW()-4)</f>
        <v/>
      </c>
      <c r="B11" s="17" t="n"/>
      <c r="C11" s="17" t="n"/>
      <c r="D11" s="19" t="n"/>
      <c r="E11" s="19" t="n"/>
      <c r="F11" s="20">
        <f>IF(E11="","",IF(OR(G11="Submitted",G11="Declined"),"—",E11-TODAY()))</f>
        <v/>
      </c>
      <c r="G11" s="17" t="n"/>
      <c r="H11" s="24" t="n"/>
      <c r="I11" s="17" t="n"/>
    </row>
    <row r="12">
      <c r="A12" s="16">
        <f>IF(B12="","",ROW()-4)</f>
        <v/>
      </c>
      <c r="B12" s="21" t="n"/>
      <c r="C12" s="21" t="n"/>
      <c r="D12" s="23" t="n"/>
      <c r="E12" s="23" t="n"/>
      <c r="F12" s="20">
        <f>IF(E12="","",IF(OR(G12="Submitted",G12="Declined"),"—",E12-TODAY()))</f>
        <v/>
      </c>
      <c r="G12" s="21" t="n"/>
      <c r="H12" s="25" t="n"/>
      <c r="I12" s="21" t="n"/>
    </row>
    <row r="13">
      <c r="A13" s="16">
        <f>IF(B13="","",ROW()-4)</f>
        <v/>
      </c>
      <c r="B13" s="17" t="n"/>
      <c r="C13" s="17" t="n"/>
      <c r="D13" s="19" t="n"/>
      <c r="E13" s="19" t="n"/>
      <c r="F13" s="20">
        <f>IF(E13="","",IF(OR(G13="Submitted",G13="Declined"),"—",E13-TODAY()))</f>
        <v/>
      </c>
      <c r="G13" s="17" t="n"/>
      <c r="H13" s="24" t="n"/>
      <c r="I13" s="17" t="n"/>
    </row>
    <row r="14">
      <c r="A14" s="16">
        <f>IF(B14="","",ROW()-4)</f>
        <v/>
      </c>
      <c r="B14" s="21" t="n"/>
      <c r="C14" s="21" t="n"/>
      <c r="D14" s="23" t="n"/>
      <c r="E14" s="23" t="n"/>
      <c r="F14" s="20">
        <f>IF(E14="","",IF(OR(G14="Submitted",G14="Declined"),"—",E14-TODAY()))</f>
        <v/>
      </c>
      <c r="G14" s="21" t="n"/>
      <c r="H14" s="25" t="n"/>
      <c r="I14" s="21" t="n"/>
    </row>
    <row r="15">
      <c r="A15" s="16">
        <f>IF(B15="","",ROW()-4)</f>
        <v/>
      </c>
      <c r="B15" s="17" t="n"/>
      <c r="C15" s="17" t="n"/>
      <c r="D15" s="19" t="n"/>
      <c r="E15" s="19" t="n"/>
      <c r="F15" s="20">
        <f>IF(E15="","",IF(OR(G15="Submitted",G15="Declined"),"—",E15-TODAY()))</f>
        <v/>
      </c>
      <c r="G15" s="17" t="n"/>
      <c r="H15" s="24" t="n"/>
      <c r="I15" s="17" t="n"/>
    </row>
    <row r="16">
      <c r="A16" s="16">
        <f>IF(B16="","",ROW()-4)</f>
        <v/>
      </c>
      <c r="B16" s="21" t="n"/>
      <c r="C16" s="21" t="n"/>
      <c r="D16" s="23" t="n"/>
      <c r="E16" s="23" t="n"/>
      <c r="F16" s="20">
        <f>IF(E16="","",IF(OR(G16="Submitted",G16="Declined"),"—",E16-TODAY()))</f>
        <v/>
      </c>
      <c r="G16" s="21" t="n"/>
      <c r="H16" s="25" t="n"/>
      <c r="I16" s="21" t="n"/>
    </row>
    <row r="17">
      <c r="A17" s="16">
        <f>IF(B17="","",ROW()-4)</f>
        <v/>
      </c>
      <c r="B17" s="17" t="n"/>
      <c r="C17" s="17" t="n"/>
      <c r="D17" s="19" t="n"/>
      <c r="E17" s="19" t="n"/>
      <c r="F17" s="20">
        <f>IF(E17="","",IF(OR(G17="Submitted",G17="Declined"),"—",E17-TODAY()))</f>
        <v/>
      </c>
      <c r="G17" s="17" t="n"/>
      <c r="H17" s="24" t="n"/>
      <c r="I17" s="17" t="n"/>
    </row>
    <row r="18">
      <c r="A18" s="16">
        <f>IF(B18="","",ROW()-4)</f>
        <v/>
      </c>
      <c r="B18" s="21" t="n"/>
      <c r="C18" s="21" t="n"/>
      <c r="D18" s="23" t="n"/>
      <c r="E18" s="23" t="n"/>
      <c r="F18" s="20">
        <f>IF(E18="","",IF(OR(G18="Submitted",G18="Declined"),"—",E18-TODAY()))</f>
        <v/>
      </c>
      <c r="G18" s="21" t="n"/>
      <c r="H18" s="25" t="n"/>
      <c r="I18" s="21" t="n"/>
    </row>
    <row r="19">
      <c r="A19" s="16">
        <f>IF(B19="","",ROW()-4)</f>
        <v/>
      </c>
      <c r="B19" s="17" t="n"/>
      <c r="C19" s="17" t="n"/>
      <c r="D19" s="19" t="n"/>
      <c r="E19" s="19" t="n"/>
      <c r="F19" s="20">
        <f>IF(E19="","",IF(OR(G19="Submitted",G19="Declined"),"—",E19-TODAY()))</f>
        <v/>
      </c>
      <c r="G19" s="17" t="n"/>
      <c r="H19" s="24" t="n"/>
      <c r="I19" s="17" t="n"/>
    </row>
    <row r="20">
      <c r="A20" s="16">
        <f>IF(B20="","",ROW()-4)</f>
        <v/>
      </c>
      <c r="B20" s="21" t="n"/>
      <c r="C20" s="21" t="n"/>
      <c r="D20" s="23" t="n"/>
      <c r="E20" s="23" t="n"/>
      <c r="F20" s="20">
        <f>IF(E20="","",IF(OR(G20="Submitted",G20="Declined"),"—",E20-TODAY()))</f>
        <v/>
      </c>
      <c r="G20" s="21" t="n"/>
      <c r="H20" s="25" t="n"/>
      <c r="I20" s="21" t="n"/>
    </row>
    <row r="21">
      <c r="A21" s="16">
        <f>IF(B21="","",ROW()-4)</f>
        <v/>
      </c>
      <c r="B21" s="17" t="n"/>
      <c r="C21" s="17" t="n"/>
      <c r="D21" s="19" t="n"/>
      <c r="E21" s="19" t="n"/>
      <c r="F21" s="20">
        <f>IF(E21="","",IF(OR(G21="Submitted",G21="Declined"),"—",E21-TODAY()))</f>
        <v/>
      </c>
      <c r="G21" s="17" t="n"/>
      <c r="H21" s="24" t="n"/>
      <c r="I21" s="17" t="n"/>
    </row>
    <row r="22">
      <c r="A22" s="16">
        <f>IF(B22="","",ROW()-4)</f>
        <v/>
      </c>
      <c r="B22" s="21" t="n"/>
      <c r="C22" s="21" t="n"/>
      <c r="D22" s="23" t="n"/>
      <c r="E22" s="23" t="n"/>
      <c r="F22" s="20">
        <f>IF(E22="","",IF(OR(G22="Submitted",G22="Declined"),"—",E22-TODAY()))</f>
        <v/>
      </c>
      <c r="G22" s="21" t="n"/>
      <c r="H22" s="25" t="n"/>
      <c r="I22" s="21" t="n"/>
    </row>
    <row r="23">
      <c r="A23" s="16">
        <f>IF(B23="","",ROW()-4)</f>
        <v/>
      </c>
      <c r="B23" s="17" t="n"/>
      <c r="C23" s="17" t="n"/>
      <c r="D23" s="19" t="n"/>
      <c r="E23" s="19" t="n"/>
      <c r="F23" s="20">
        <f>IF(E23="","",IF(OR(G23="Submitted",G23="Declined"),"—",E23-TODAY()))</f>
        <v/>
      </c>
      <c r="G23" s="17" t="n"/>
      <c r="H23" s="24" t="n"/>
      <c r="I23" s="17" t="n"/>
    </row>
    <row r="24">
      <c r="A24" s="16">
        <f>IF(B24="","",ROW()-4)</f>
        <v/>
      </c>
      <c r="B24" s="21" t="n"/>
      <c r="C24" s="21" t="n"/>
      <c r="D24" s="23" t="n"/>
      <c r="E24" s="23" t="n"/>
      <c r="F24" s="20">
        <f>IF(E24="","",IF(OR(G24="Submitted",G24="Declined"),"—",E24-TODAY()))</f>
        <v/>
      </c>
      <c r="G24" s="21" t="n"/>
      <c r="H24" s="25" t="n"/>
      <c r="I24" s="21" t="n"/>
    </row>
    <row r="25">
      <c r="A25" s="16">
        <f>IF(B25="","",ROW()-4)</f>
        <v/>
      </c>
      <c r="B25" s="17" t="n"/>
      <c r="C25" s="17" t="n"/>
      <c r="D25" s="19" t="n"/>
      <c r="E25" s="19" t="n"/>
      <c r="F25" s="20">
        <f>IF(E25="","",IF(OR(G25="Submitted",G25="Declined"),"—",E25-TODAY()))</f>
        <v/>
      </c>
      <c r="G25" s="17" t="n"/>
      <c r="H25" s="24" t="n"/>
      <c r="I25" s="17" t="n"/>
    </row>
    <row r="26">
      <c r="A26" s="16">
        <f>IF(B26="","",ROW()-4)</f>
        <v/>
      </c>
      <c r="B26" s="21" t="n"/>
      <c r="C26" s="21" t="n"/>
      <c r="D26" s="23" t="n"/>
      <c r="E26" s="23" t="n"/>
      <c r="F26" s="20">
        <f>IF(E26="","",IF(OR(G26="Submitted",G26="Declined"),"—",E26-TODAY()))</f>
        <v/>
      </c>
      <c r="G26" s="21" t="n"/>
      <c r="H26" s="25" t="n"/>
      <c r="I26" s="21" t="n"/>
    </row>
    <row r="27">
      <c r="A27" s="16">
        <f>IF(B27="","",ROW()-4)</f>
        <v/>
      </c>
      <c r="B27" s="17" t="n"/>
      <c r="C27" s="17" t="n"/>
      <c r="D27" s="19" t="n"/>
      <c r="E27" s="19" t="n"/>
      <c r="F27" s="20">
        <f>IF(E27="","",IF(OR(G27="Submitted",G27="Declined"),"—",E27-TODAY()))</f>
        <v/>
      </c>
      <c r="G27" s="17" t="n"/>
      <c r="H27" s="24" t="n"/>
      <c r="I27" s="17" t="n"/>
    </row>
    <row r="28">
      <c r="A28" s="16">
        <f>IF(B28="","",ROW()-4)</f>
        <v/>
      </c>
      <c r="B28" s="21" t="n"/>
      <c r="C28" s="21" t="n"/>
      <c r="D28" s="23" t="n"/>
      <c r="E28" s="23" t="n"/>
      <c r="F28" s="20">
        <f>IF(E28="","",IF(OR(G28="Submitted",G28="Declined"),"—",E28-TODAY()))</f>
        <v/>
      </c>
      <c r="G28" s="21" t="n"/>
      <c r="H28" s="25" t="n"/>
      <c r="I28" s="21" t="n"/>
    </row>
    <row r="29">
      <c r="A29" s="16">
        <f>IF(B29="","",ROW()-4)</f>
        <v/>
      </c>
      <c r="B29" s="17" t="n"/>
      <c r="C29" s="17" t="n"/>
      <c r="D29" s="19" t="n"/>
      <c r="E29" s="19" t="n"/>
      <c r="F29" s="20">
        <f>IF(E29="","",IF(OR(G29="Submitted",G29="Declined"),"—",E29-TODAY()))</f>
        <v/>
      </c>
      <c r="G29" s="17" t="n"/>
      <c r="H29" s="24" t="n"/>
      <c r="I29" s="17" t="n"/>
    </row>
    <row r="30">
      <c r="A30" s="16">
        <f>IF(B30="","",ROW()-4)</f>
        <v/>
      </c>
      <c r="B30" s="21" t="n"/>
      <c r="C30" s="21" t="n"/>
      <c r="D30" s="23" t="n"/>
      <c r="E30" s="23" t="n"/>
      <c r="F30" s="20">
        <f>IF(E30="","",IF(OR(G30="Submitted",G30="Declined"),"—",E30-TODAY()))</f>
        <v/>
      </c>
      <c r="G30" s="21" t="n"/>
      <c r="H30" s="25" t="n"/>
      <c r="I30" s="21" t="n"/>
    </row>
    <row r="31">
      <c r="A31" s="16">
        <f>IF(B31="","",ROW()-4)</f>
        <v/>
      </c>
      <c r="B31" s="17" t="n"/>
      <c r="C31" s="17" t="n"/>
      <c r="D31" s="19" t="n"/>
      <c r="E31" s="19" t="n"/>
      <c r="F31" s="20">
        <f>IF(E31="","",IF(OR(G31="Submitted",G31="Declined"),"—",E31-TODAY()))</f>
        <v/>
      </c>
      <c r="G31" s="17" t="n"/>
      <c r="H31" s="24" t="n"/>
      <c r="I31" s="17" t="n"/>
    </row>
    <row r="32">
      <c r="A32" s="16">
        <f>IF(B32="","",ROW()-4)</f>
        <v/>
      </c>
      <c r="B32" s="21" t="n"/>
      <c r="C32" s="21" t="n"/>
      <c r="D32" s="23" t="n"/>
      <c r="E32" s="23" t="n"/>
      <c r="F32" s="20">
        <f>IF(E32="","",IF(OR(G32="Submitted",G32="Declined"),"—",E32-TODAY()))</f>
        <v/>
      </c>
      <c r="G32" s="21" t="n"/>
      <c r="H32" s="25" t="n"/>
      <c r="I32" s="21" t="n"/>
    </row>
    <row r="33">
      <c r="A33" s="16">
        <f>IF(B33="","",ROW()-4)</f>
        <v/>
      </c>
      <c r="B33" s="17" t="n"/>
      <c r="C33" s="17" t="n"/>
      <c r="D33" s="19" t="n"/>
      <c r="E33" s="19" t="n"/>
      <c r="F33" s="20">
        <f>IF(E33="","",IF(OR(G33="Submitted",G33="Declined"),"—",E33-TODAY()))</f>
        <v/>
      </c>
      <c r="G33" s="17" t="n"/>
      <c r="H33" s="24" t="n"/>
      <c r="I33" s="17" t="n"/>
    </row>
    <row r="34">
      <c r="A34" s="16">
        <f>IF(B34="","",ROW()-4)</f>
        <v/>
      </c>
      <c r="B34" s="21" t="n"/>
      <c r="C34" s="21" t="n"/>
      <c r="D34" s="23" t="n"/>
      <c r="E34" s="23" t="n"/>
      <c r="F34" s="20">
        <f>IF(E34="","",IF(OR(G34="Submitted",G34="Declined"),"—",E34-TODAY()))</f>
        <v/>
      </c>
      <c r="G34" s="21" t="n"/>
      <c r="H34" s="25" t="n"/>
      <c r="I34" s="21" t="n"/>
    </row>
    <row r="35">
      <c r="A35" s="16">
        <f>IF(B35="","",ROW()-4)</f>
        <v/>
      </c>
      <c r="B35" s="17" t="n"/>
      <c r="C35" s="17" t="n"/>
      <c r="D35" s="19" t="n"/>
      <c r="E35" s="19" t="n"/>
      <c r="F35" s="20">
        <f>IF(E35="","",IF(OR(G35="Submitted",G35="Declined"),"—",E35-TODAY()))</f>
        <v/>
      </c>
      <c r="G35" s="17" t="n"/>
      <c r="H35" s="24" t="n"/>
      <c r="I35" s="17" t="n"/>
    </row>
    <row r="36">
      <c r="A36" s="16">
        <f>IF(B36="","",ROW()-4)</f>
        <v/>
      </c>
      <c r="B36" s="21" t="n"/>
      <c r="C36" s="21" t="n"/>
      <c r="D36" s="23" t="n"/>
      <c r="E36" s="23" t="n"/>
      <c r="F36" s="20">
        <f>IF(E36="","",IF(OR(G36="Submitted",G36="Declined"),"—",E36-TODAY()))</f>
        <v/>
      </c>
      <c r="G36" s="21" t="n"/>
      <c r="H36" s="25" t="n"/>
      <c r="I36" s="21" t="n"/>
    </row>
    <row r="37">
      <c r="A37" s="16">
        <f>IF(B37="","",ROW()-4)</f>
        <v/>
      </c>
      <c r="B37" s="17" t="n"/>
      <c r="C37" s="17" t="n"/>
      <c r="D37" s="19" t="n"/>
      <c r="E37" s="19" t="n"/>
      <c r="F37" s="20">
        <f>IF(E37="","",IF(OR(G37="Submitted",G37="Declined"),"—",E37-TODAY()))</f>
        <v/>
      </c>
      <c r="G37" s="17" t="n"/>
      <c r="H37" s="24" t="n"/>
      <c r="I37" s="17" t="n"/>
    </row>
    <row r="38">
      <c r="A38" s="16">
        <f>IF(B38="","",ROW()-4)</f>
        <v/>
      </c>
      <c r="B38" s="21" t="n"/>
      <c r="C38" s="21" t="n"/>
      <c r="D38" s="23" t="n"/>
      <c r="E38" s="23" t="n"/>
      <c r="F38" s="20">
        <f>IF(E38="","",IF(OR(G38="Submitted",G38="Declined"),"—",E38-TODAY()))</f>
        <v/>
      </c>
      <c r="G38" s="21" t="n"/>
      <c r="H38" s="25" t="n"/>
      <c r="I38" s="21" t="n"/>
    </row>
    <row r="39">
      <c r="A39" s="16">
        <f>IF(B39="","",ROW()-4)</f>
        <v/>
      </c>
      <c r="B39" s="17" t="n"/>
      <c r="C39" s="17" t="n"/>
      <c r="D39" s="19" t="n"/>
      <c r="E39" s="19" t="n"/>
      <c r="F39" s="20">
        <f>IF(E39="","",IF(OR(G39="Submitted",G39="Declined"),"—",E39-TODAY()))</f>
        <v/>
      </c>
      <c r="G39" s="17" t="n"/>
      <c r="H39" s="24" t="n"/>
      <c r="I39" s="17" t="n"/>
    </row>
    <row r="40">
      <c r="A40" s="16">
        <f>IF(B40="","",ROW()-4)</f>
        <v/>
      </c>
      <c r="B40" s="21" t="n"/>
      <c r="C40" s="21" t="n"/>
      <c r="D40" s="23" t="n"/>
      <c r="E40" s="23" t="n"/>
      <c r="F40" s="20">
        <f>IF(E40="","",IF(OR(G40="Submitted",G40="Declined"),"—",E40-TODAY()))</f>
        <v/>
      </c>
      <c r="G40" s="21" t="n"/>
      <c r="H40" s="25" t="n"/>
      <c r="I40" s="21" t="n"/>
    </row>
    <row r="41">
      <c r="A41" s="16">
        <f>IF(B41="","",ROW()-4)</f>
        <v/>
      </c>
      <c r="B41" s="17" t="n"/>
      <c r="C41" s="17" t="n"/>
      <c r="D41" s="19" t="n"/>
      <c r="E41" s="19" t="n"/>
      <c r="F41" s="20">
        <f>IF(E41="","",IF(OR(G41="Submitted",G41="Declined"),"—",E41-TODAY()))</f>
        <v/>
      </c>
      <c r="G41" s="17" t="n"/>
      <c r="H41" s="24" t="n"/>
      <c r="I41" s="17" t="n"/>
    </row>
    <row r="42">
      <c r="A42" s="16">
        <f>IF(B42="","",ROW()-4)</f>
        <v/>
      </c>
      <c r="B42" s="21" t="n"/>
      <c r="C42" s="21" t="n"/>
      <c r="D42" s="23" t="n"/>
      <c r="E42" s="23" t="n"/>
      <c r="F42" s="20">
        <f>IF(E42="","",IF(OR(G42="Submitted",G42="Declined"),"—",E42-TODAY()))</f>
        <v/>
      </c>
      <c r="G42" s="21" t="n"/>
      <c r="H42" s="25" t="n"/>
      <c r="I42" s="21" t="n"/>
    </row>
    <row r="43">
      <c r="A43" s="16">
        <f>IF(B43="","",ROW()-4)</f>
        <v/>
      </c>
      <c r="B43" s="17" t="n"/>
      <c r="C43" s="17" t="n"/>
      <c r="D43" s="19" t="n"/>
      <c r="E43" s="19" t="n"/>
      <c r="F43" s="20">
        <f>IF(E43="","",IF(OR(G43="Submitted",G43="Declined"),"—",E43-TODAY()))</f>
        <v/>
      </c>
      <c r="G43" s="17" t="n"/>
      <c r="H43" s="24" t="n"/>
      <c r="I43" s="17" t="n"/>
    </row>
    <row r="44">
      <c r="A44" s="16">
        <f>IF(B44="","",ROW()-4)</f>
        <v/>
      </c>
      <c r="B44" s="21" t="n"/>
      <c r="C44" s="21" t="n"/>
      <c r="D44" s="23" t="n"/>
      <c r="E44" s="23" t="n"/>
      <c r="F44" s="20">
        <f>IF(E44="","",IF(OR(G44="Submitted",G44="Declined"),"—",E44-TODAY()))</f>
        <v/>
      </c>
      <c r="G44" s="21" t="n"/>
      <c r="H44" s="25" t="n"/>
      <c r="I44" s="21" t="n"/>
    </row>
    <row r="45">
      <c r="A45" s="16">
        <f>IF(B45="","",ROW()-4)</f>
        <v/>
      </c>
      <c r="B45" s="17" t="n"/>
      <c r="C45" s="17" t="n"/>
      <c r="D45" s="19" t="n"/>
      <c r="E45" s="19" t="n"/>
      <c r="F45" s="20">
        <f>IF(E45="","",IF(OR(G45="Submitted",G45="Declined"),"—",E45-TODAY()))</f>
        <v/>
      </c>
      <c r="G45" s="17" t="n"/>
      <c r="H45" s="24" t="n"/>
      <c r="I45" s="17" t="n"/>
    </row>
    <row r="46">
      <c r="A46" s="16">
        <f>IF(B46="","",ROW()-4)</f>
        <v/>
      </c>
      <c r="B46" s="21" t="n"/>
      <c r="C46" s="21" t="n"/>
      <c r="D46" s="23" t="n"/>
      <c r="E46" s="23" t="n"/>
      <c r="F46" s="20">
        <f>IF(E46="","",IF(OR(G46="Submitted",G46="Declined"),"—",E46-TODAY()))</f>
        <v/>
      </c>
      <c r="G46" s="21" t="n"/>
      <c r="H46" s="25" t="n"/>
      <c r="I46" s="21" t="n"/>
    </row>
    <row r="47">
      <c r="A47" s="16">
        <f>IF(B47="","",ROW()-4)</f>
        <v/>
      </c>
      <c r="B47" s="17" t="n"/>
      <c r="C47" s="17" t="n"/>
      <c r="D47" s="19" t="n"/>
      <c r="E47" s="19" t="n"/>
      <c r="F47" s="20">
        <f>IF(E47="","",IF(OR(G47="Submitted",G47="Declined"),"—",E47-TODAY()))</f>
        <v/>
      </c>
      <c r="G47" s="17" t="n"/>
      <c r="H47" s="24" t="n"/>
      <c r="I47" s="17" t="n"/>
    </row>
    <row r="48">
      <c r="A48" s="16">
        <f>IF(B48="","",ROW()-4)</f>
        <v/>
      </c>
      <c r="B48" s="21" t="n"/>
      <c r="C48" s="21" t="n"/>
      <c r="D48" s="23" t="n"/>
      <c r="E48" s="23" t="n"/>
      <c r="F48" s="20">
        <f>IF(E48="","",IF(OR(G48="Submitted",G48="Declined"),"—",E48-TODAY()))</f>
        <v/>
      </c>
      <c r="G48" s="21" t="n"/>
      <c r="H48" s="25" t="n"/>
      <c r="I48" s="21" t="n"/>
    </row>
    <row r="49">
      <c r="A49" s="16">
        <f>IF(B49="","",ROW()-4)</f>
        <v/>
      </c>
      <c r="B49" s="17" t="n"/>
      <c r="C49" s="17" t="n"/>
      <c r="D49" s="19" t="n"/>
      <c r="E49" s="19" t="n"/>
      <c r="F49" s="20">
        <f>IF(E49="","",IF(OR(G49="Submitted",G49="Declined"),"—",E49-TODAY()))</f>
        <v/>
      </c>
      <c r="G49" s="17" t="n"/>
      <c r="H49" s="24" t="n"/>
      <c r="I49" s="17" t="n"/>
    </row>
    <row r="50">
      <c r="A50" s="16">
        <f>IF(B50="","",ROW()-4)</f>
        <v/>
      </c>
      <c r="B50" s="21" t="n"/>
      <c r="C50" s="21" t="n"/>
      <c r="D50" s="23" t="n"/>
      <c r="E50" s="23" t="n"/>
      <c r="F50" s="20">
        <f>IF(E50="","",IF(OR(G50="Submitted",G50="Declined"),"—",E50-TODAY()))</f>
        <v/>
      </c>
      <c r="G50" s="21" t="n"/>
      <c r="H50" s="25" t="n"/>
      <c r="I50" s="21" t="n"/>
    </row>
    <row r="51">
      <c r="A51" s="16">
        <f>IF(B51="","",ROW()-4)</f>
        <v/>
      </c>
      <c r="B51" s="17" t="n"/>
      <c r="C51" s="17" t="n"/>
      <c r="D51" s="19" t="n"/>
      <c r="E51" s="19" t="n"/>
      <c r="F51" s="20">
        <f>IF(E51="","",IF(OR(G51="Submitted",G51="Declined"),"—",E51-TODAY()))</f>
        <v/>
      </c>
      <c r="G51" s="17" t="n"/>
      <c r="H51" s="24" t="n"/>
      <c r="I51" s="17" t="n"/>
    </row>
    <row r="52">
      <c r="A52" s="16">
        <f>IF(B52="","",ROW()-4)</f>
        <v/>
      </c>
      <c r="B52" s="21" t="n"/>
      <c r="C52" s="21" t="n"/>
      <c r="D52" s="23" t="n"/>
      <c r="E52" s="23" t="n"/>
      <c r="F52" s="20">
        <f>IF(E52="","",IF(OR(G52="Submitted",G52="Declined"),"—",E52-TODAY()))</f>
        <v/>
      </c>
      <c r="G52" s="21" t="n"/>
      <c r="H52" s="25" t="n"/>
      <c r="I52" s="21" t="n"/>
    </row>
    <row r="53">
      <c r="A53" s="16">
        <f>IF(B53="","",ROW()-4)</f>
        <v/>
      </c>
      <c r="B53" s="17" t="n"/>
      <c r="C53" s="17" t="n"/>
      <c r="D53" s="19" t="n"/>
      <c r="E53" s="19" t="n"/>
      <c r="F53" s="20">
        <f>IF(E53="","",IF(OR(G53="Submitted",G53="Declined"),"—",E53-TODAY()))</f>
        <v/>
      </c>
      <c r="G53" s="17" t="n"/>
      <c r="H53" s="24" t="n"/>
      <c r="I53" s="17" t="n"/>
    </row>
    <row r="54">
      <c r="A54" s="16">
        <f>IF(B54="","",ROW()-4)</f>
        <v/>
      </c>
      <c r="B54" s="21" t="n"/>
      <c r="C54" s="21" t="n"/>
      <c r="D54" s="23" t="n"/>
      <c r="E54" s="23" t="n"/>
      <c r="F54" s="20">
        <f>IF(E54="","",IF(OR(G54="Submitted",G54="Declined"),"—",E54-TODAY()))</f>
        <v/>
      </c>
      <c r="G54" s="21" t="n"/>
      <c r="H54" s="25" t="n"/>
      <c r="I54" s="21" t="n"/>
    </row>
    <row r="55">
      <c r="A55" s="16">
        <f>IF(B55="","",ROW()-4)</f>
        <v/>
      </c>
      <c r="B55" s="17" t="n"/>
      <c r="C55" s="17" t="n"/>
      <c r="D55" s="19" t="n"/>
      <c r="E55" s="19" t="n"/>
      <c r="F55" s="20">
        <f>IF(E55="","",IF(OR(G55="Submitted",G55="Declined"),"—",E55-TODAY()))</f>
        <v/>
      </c>
      <c r="G55" s="17" t="n"/>
      <c r="H55" s="24" t="n"/>
      <c r="I55" s="17" t="n"/>
    </row>
    <row r="56">
      <c r="A56" s="16">
        <f>IF(B56="","",ROW()-4)</f>
        <v/>
      </c>
      <c r="B56" s="21" t="n"/>
      <c r="C56" s="21" t="n"/>
      <c r="D56" s="23" t="n"/>
      <c r="E56" s="23" t="n"/>
      <c r="F56" s="20">
        <f>IF(E56="","",IF(OR(G56="Submitted",G56="Declined"),"—",E56-TODAY()))</f>
        <v/>
      </c>
      <c r="G56" s="21" t="n"/>
      <c r="H56" s="25" t="n"/>
      <c r="I56" s="21" t="n"/>
    </row>
    <row r="57">
      <c r="A57" s="16">
        <f>IF(B57="","",ROW()-4)</f>
        <v/>
      </c>
      <c r="B57" s="17" t="n"/>
      <c r="C57" s="17" t="n"/>
      <c r="D57" s="19" t="n"/>
      <c r="E57" s="19" t="n"/>
      <c r="F57" s="20">
        <f>IF(E57="","",IF(OR(G57="Submitted",G57="Declined"),"—",E57-TODAY()))</f>
        <v/>
      </c>
      <c r="G57" s="17" t="n"/>
      <c r="H57" s="24" t="n"/>
      <c r="I57" s="17" t="n"/>
    </row>
    <row r="58">
      <c r="A58" s="16">
        <f>IF(B58="","",ROW()-4)</f>
        <v/>
      </c>
      <c r="B58" s="21" t="n"/>
      <c r="C58" s="21" t="n"/>
      <c r="D58" s="23" t="n"/>
      <c r="E58" s="23" t="n"/>
      <c r="F58" s="20">
        <f>IF(E58="","",IF(OR(G58="Submitted",G58="Declined"),"—",E58-TODAY()))</f>
        <v/>
      </c>
      <c r="G58" s="21" t="n"/>
      <c r="H58" s="25" t="n"/>
      <c r="I58" s="21" t="n"/>
    </row>
    <row r="59">
      <c r="A59" s="16">
        <f>IF(B59="","",ROW()-4)</f>
        <v/>
      </c>
      <c r="B59" s="17" t="n"/>
      <c r="C59" s="17" t="n"/>
      <c r="D59" s="19" t="n"/>
      <c r="E59" s="19" t="n"/>
      <c r="F59" s="20">
        <f>IF(E59="","",IF(OR(G59="Submitted",G59="Declined"),"—",E59-TODAY()))</f>
        <v/>
      </c>
      <c r="G59" s="17" t="n"/>
      <c r="H59" s="24" t="n"/>
      <c r="I59" s="17" t="n"/>
    </row>
    <row r="60">
      <c r="A60" s="16">
        <f>IF(B60="","",ROW()-4)</f>
        <v/>
      </c>
      <c r="B60" s="21" t="n"/>
      <c r="C60" s="21" t="n"/>
      <c r="D60" s="23" t="n"/>
      <c r="E60" s="23" t="n"/>
      <c r="F60" s="20">
        <f>IF(E60="","",IF(OR(G60="Submitted",G60="Declined"),"—",E60-TODAY()))</f>
        <v/>
      </c>
      <c r="G60" s="21" t="n"/>
      <c r="H60" s="25" t="n"/>
      <c r="I60" s="21" t="n"/>
    </row>
    <row r="61">
      <c r="A61" s="16">
        <f>IF(B61="","",ROW()-4)</f>
        <v/>
      </c>
      <c r="B61" s="17" t="n"/>
      <c r="C61" s="17" t="n"/>
      <c r="D61" s="19" t="n"/>
      <c r="E61" s="19" t="n"/>
      <c r="F61" s="20">
        <f>IF(E61="","",IF(OR(G61="Submitted",G61="Declined"),"—",E61-TODAY()))</f>
        <v/>
      </c>
      <c r="G61" s="17" t="n"/>
      <c r="H61" s="24" t="n"/>
      <c r="I61" s="17" t="n"/>
    </row>
    <row r="62">
      <c r="A62" s="16">
        <f>IF(B62="","",ROW()-4)</f>
        <v/>
      </c>
      <c r="B62" s="21" t="n"/>
      <c r="C62" s="21" t="n"/>
      <c r="D62" s="23" t="n"/>
      <c r="E62" s="23" t="n"/>
      <c r="F62" s="20">
        <f>IF(E62="","",IF(OR(G62="Submitted",G62="Declined"),"—",E62-TODAY()))</f>
        <v/>
      </c>
      <c r="G62" s="21" t="n"/>
      <c r="H62" s="25" t="n"/>
      <c r="I62" s="21" t="n"/>
    </row>
    <row r="63">
      <c r="A63" s="16">
        <f>IF(B63="","",ROW()-4)</f>
        <v/>
      </c>
      <c r="B63" s="17" t="n"/>
      <c r="C63" s="17" t="n"/>
      <c r="D63" s="19" t="n"/>
      <c r="E63" s="19" t="n"/>
      <c r="F63" s="20">
        <f>IF(E63="","",IF(OR(G63="Submitted",G63="Declined"),"—",E63-TODAY()))</f>
        <v/>
      </c>
      <c r="G63" s="17" t="n"/>
      <c r="H63" s="24" t="n"/>
      <c r="I63" s="17" t="n"/>
    </row>
    <row r="64">
      <c r="A64" s="16">
        <f>IF(B64="","",ROW()-4)</f>
        <v/>
      </c>
      <c r="B64" s="21" t="n"/>
      <c r="C64" s="21" t="n"/>
      <c r="D64" s="23" t="n"/>
      <c r="E64" s="23" t="n"/>
      <c r="F64" s="20">
        <f>IF(E64="","",IF(OR(G64="Submitted",G64="Declined"),"—",E64-TODAY()))</f>
        <v/>
      </c>
      <c r="G64" s="21" t="n"/>
      <c r="H64" s="25" t="n"/>
      <c r="I64" s="21" t="n"/>
    </row>
    <row r="65">
      <c r="A65" s="16">
        <f>IF(B65="","",ROW()-4)</f>
        <v/>
      </c>
      <c r="B65" s="17" t="n"/>
      <c r="C65" s="17" t="n"/>
      <c r="D65" s="19" t="n"/>
      <c r="E65" s="19" t="n"/>
      <c r="F65" s="20">
        <f>IF(E65="","",IF(OR(G65="Submitted",G65="Declined"),"—",E65-TODAY()))</f>
        <v/>
      </c>
      <c r="G65" s="17" t="n"/>
      <c r="H65" s="24" t="n"/>
      <c r="I65" s="17" t="n"/>
    </row>
    <row r="66">
      <c r="A66" s="16">
        <f>IF(B66="","",ROW()-4)</f>
        <v/>
      </c>
      <c r="B66" s="21" t="n"/>
      <c r="C66" s="21" t="n"/>
      <c r="D66" s="23" t="n"/>
      <c r="E66" s="23" t="n"/>
      <c r="F66" s="20">
        <f>IF(E66="","",IF(OR(G66="Submitted",G66="Declined"),"—",E66-TODAY()))</f>
        <v/>
      </c>
      <c r="G66" s="21" t="n"/>
      <c r="H66" s="25" t="n"/>
      <c r="I66" s="21" t="n"/>
    </row>
    <row r="67">
      <c r="A67" s="16">
        <f>IF(B67="","",ROW()-4)</f>
        <v/>
      </c>
      <c r="B67" s="17" t="n"/>
      <c r="C67" s="17" t="n"/>
      <c r="D67" s="19" t="n"/>
      <c r="E67" s="19" t="n"/>
      <c r="F67" s="20">
        <f>IF(E67="","",IF(OR(G67="Submitted",G67="Declined"),"—",E67-TODAY()))</f>
        <v/>
      </c>
      <c r="G67" s="17" t="n"/>
      <c r="H67" s="24" t="n"/>
      <c r="I67" s="17" t="n"/>
    </row>
    <row r="68">
      <c r="A68" s="16">
        <f>IF(B68="","",ROW()-4)</f>
        <v/>
      </c>
      <c r="B68" s="21" t="n"/>
      <c r="C68" s="21" t="n"/>
      <c r="D68" s="23" t="n"/>
      <c r="E68" s="23" t="n"/>
      <c r="F68" s="20">
        <f>IF(E68="","",IF(OR(G68="Submitted",G68="Declined"),"—",E68-TODAY()))</f>
        <v/>
      </c>
      <c r="G68" s="21" t="n"/>
      <c r="H68" s="25" t="n"/>
      <c r="I68" s="21" t="n"/>
    </row>
    <row r="69">
      <c r="A69" s="16">
        <f>IF(B69="","",ROW()-4)</f>
        <v/>
      </c>
      <c r="B69" s="17" t="n"/>
      <c r="C69" s="17" t="n"/>
      <c r="D69" s="19" t="n"/>
      <c r="E69" s="19" t="n"/>
      <c r="F69" s="20">
        <f>IF(E69="","",IF(OR(G69="Submitted",G69="Declined"),"—",E69-TODAY()))</f>
        <v/>
      </c>
      <c r="G69" s="17" t="n"/>
      <c r="H69" s="24" t="n"/>
      <c r="I69" s="17" t="n"/>
    </row>
    <row r="70">
      <c r="A70" s="16">
        <f>IF(B70="","",ROW()-4)</f>
        <v/>
      </c>
      <c r="B70" s="21" t="n"/>
      <c r="C70" s="21" t="n"/>
      <c r="D70" s="23" t="n"/>
      <c r="E70" s="23" t="n"/>
      <c r="F70" s="20">
        <f>IF(E70="","",IF(OR(G70="Submitted",G70="Declined"),"—",E70-TODAY()))</f>
        <v/>
      </c>
      <c r="G70" s="21" t="n"/>
      <c r="H70" s="25" t="n"/>
      <c r="I70" s="21" t="n"/>
    </row>
    <row r="71">
      <c r="A71" s="16">
        <f>IF(B71="","",ROW()-4)</f>
        <v/>
      </c>
      <c r="B71" s="17" t="n"/>
      <c r="C71" s="17" t="n"/>
      <c r="D71" s="19" t="n"/>
      <c r="E71" s="19" t="n"/>
      <c r="F71" s="20">
        <f>IF(E71="","",IF(OR(G71="Submitted",G71="Declined"),"—",E71-TODAY()))</f>
        <v/>
      </c>
      <c r="G71" s="17" t="n"/>
      <c r="H71" s="24" t="n"/>
      <c r="I71" s="17" t="n"/>
    </row>
    <row r="72">
      <c r="A72" s="16">
        <f>IF(B72="","",ROW()-4)</f>
        <v/>
      </c>
      <c r="B72" s="21" t="n"/>
      <c r="C72" s="21" t="n"/>
      <c r="D72" s="23" t="n"/>
      <c r="E72" s="23" t="n"/>
      <c r="F72" s="20">
        <f>IF(E72="","",IF(OR(G72="Submitted",G72="Declined"),"—",E72-TODAY()))</f>
        <v/>
      </c>
      <c r="G72" s="21" t="n"/>
      <c r="H72" s="25" t="n"/>
      <c r="I72" s="21" t="n"/>
    </row>
    <row r="73">
      <c r="A73" s="16">
        <f>IF(B73="","",ROW()-4)</f>
        <v/>
      </c>
      <c r="B73" s="17" t="n"/>
      <c r="C73" s="17" t="n"/>
      <c r="D73" s="19" t="n"/>
      <c r="E73" s="19" t="n"/>
      <c r="F73" s="20">
        <f>IF(E73="","",IF(OR(G73="Submitted",G73="Declined"),"—",E73-TODAY()))</f>
        <v/>
      </c>
      <c r="G73" s="17" t="n"/>
      <c r="H73" s="24" t="n"/>
      <c r="I73" s="17" t="n"/>
    </row>
    <row r="74">
      <c r="A74" s="16">
        <f>IF(B74="","",ROW()-4)</f>
        <v/>
      </c>
      <c r="B74" s="21" t="n"/>
      <c r="C74" s="21" t="n"/>
      <c r="D74" s="23" t="n"/>
      <c r="E74" s="23" t="n"/>
      <c r="F74" s="20">
        <f>IF(E74="","",IF(OR(G74="Submitted",G74="Declined"),"—",E74-TODAY()))</f>
        <v/>
      </c>
      <c r="G74" s="21" t="n"/>
      <c r="H74" s="25" t="n"/>
      <c r="I74" s="21" t="n"/>
    </row>
    <row r="75">
      <c r="A75" s="16">
        <f>IF(B75="","",ROW()-4)</f>
        <v/>
      </c>
      <c r="B75" s="17" t="n"/>
      <c r="C75" s="17" t="n"/>
      <c r="D75" s="19" t="n"/>
      <c r="E75" s="19" t="n"/>
      <c r="F75" s="20">
        <f>IF(E75="","",IF(OR(G75="Submitted",G75="Declined"),"—",E75-TODAY()))</f>
        <v/>
      </c>
      <c r="G75" s="17" t="n"/>
      <c r="H75" s="24" t="n"/>
      <c r="I75" s="17" t="n"/>
    </row>
    <row r="76">
      <c r="A76" s="16">
        <f>IF(B76="","",ROW()-4)</f>
        <v/>
      </c>
      <c r="B76" s="21" t="n"/>
      <c r="C76" s="21" t="n"/>
      <c r="D76" s="23" t="n"/>
      <c r="E76" s="23" t="n"/>
      <c r="F76" s="20">
        <f>IF(E76="","",IF(OR(G76="Submitted",G76="Declined"),"—",E76-TODAY()))</f>
        <v/>
      </c>
      <c r="G76" s="21" t="n"/>
      <c r="H76" s="25" t="n"/>
      <c r="I76" s="21" t="n"/>
    </row>
    <row r="77">
      <c r="A77" s="16">
        <f>IF(B77="","",ROW()-4)</f>
        <v/>
      </c>
      <c r="B77" s="17" t="n"/>
      <c r="C77" s="17" t="n"/>
      <c r="D77" s="19" t="n"/>
      <c r="E77" s="19" t="n"/>
      <c r="F77" s="20">
        <f>IF(E77="","",IF(OR(G77="Submitted",G77="Declined"),"—",E77-TODAY()))</f>
        <v/>
      </c>
      <c r="G77" s="17" t="n"/>
      <c r="H77" s="24" t="n"/>
      <c r="I77" s="17" t="n"/>
    </row>
    <row r="78">
      <c r="A78" s="16">
        <f>IF(B78="","",ROW()-4)</f>
        <v/>
      </c>
      <c r="B78" s="21" t="n"/>
      <c r="C78" s="21" t="n"/>
      <c r="D78" s="23" t="n"/>
      <c r="E78" s="23" t="n"/>
      <c r="F78" s="20">
        <f>IF(E78="","",IF(OR(G78="Submitted",G78="Declined"),"—",E78-TODAY()))</f>
        <v/>
      </c>
      <c r="G78" s="21" t="n"/>
      <c r="H78" s="25" t="n"/>
      <c r="I78" s="21" t="n"/>
    </row>
    <row r="79">
      <c r="A79" s="16">
        <f>IF(B79="","",ROW()-4)</f>
        <v/>
      </c>
      <c r="B79" s="17" t="n"/>
      <c r="C79" s="17" t="n"/>
      <c r="D79" s="19" t="n"/>
      <c r="E79" s="19" t="n"/>
      <c r="F79" s="20">
        <f>IF(E79="","",IF(OR(G79="Submitted",G79="Declined"),"—",E79-TODAY()))</f>
        <v/>
      </c>
      <c r="G79" s="17" t="n"/>
      <c r="H79" s="24" t="n"/>
      <c r="I79" s="17" t="n"/>
    </row>
    <row r="80">
      <c r="A80" s="16">
        <f>IF(B80="","",ROW()-4)</f>
        <v/>
      </c>
      <c r="B80" s="21" t="n"/>
      <c r="C80" s="21" t="n"/>
      <c r="D80" s="23" t="n"/>
      <c r="E80" s="23" t="n"/>
      <c r="F80" s="20">
        <f>IF(E80="","",IF(OR(G80="Submitted",G80="Declined"),"—",E80-TODAY()))</f>
        <v/>
      </c>
      <c r="G80" s="21" t="n"/>
      <c r="H80" s="25" t="n"/>
      <c r="I80" s="21" t="n"/>
    </row>
    <row r="81">
      <c r="A81" s="16">
        <f>IF(B81="","",ROW()-4)</f>
        <v/>
      </c>
      <c r="B81" s="17" t="n"/>
      <c r="C81" s="17" t="n"/>
      <c r="D81" s="19" t="n"/>
      <c r="E81" s="19" t="n"/>
      <c r="F81" s="20">
        <f>IF(E81="","",IF(OR(G81="Submitted",G81="Declined"),"—",E81-TODAY()))</f>
        <v/>
      </c>
      <c r="G81" s="17" t="n"/>
      <c r="H81" s="24" t="n"/>
      <c r="I81" s="17" t="n"/>
    </row>
    <row r="82">
      <c r="A82" s="16">
        <f>IF(B82="","",ROW()-4)</f>
        <v/>
      </c>
      <c r="B82" s="21" t="n"/>
      <c r="C82" s="21" t="n"/>
      <c r="D82" s="23" t="n"/>
      <c r="E82" s="23" t="n"/>
      <c r="F82" s="20">
        <f>IF(E82="","",IF(OR(G82="Submitted",G82="Declined"),"—",E82-TODAY()))</f>
        <v/>
      </c>
      <c r="G82" s="21" t="n"/>
      <c r="H82" s="25" t="n"/>
      <c r="I82" s="21" t="n"/>
    </row>
    <row r="83">
      <c r="A83" s="16">
        <f>IF(B83="","",ROW()-4)</f>
        <v/>
      </c>
      <c r="B83" s="17" t="n"/>
      <c r="C83" s="17" t="n"/>
      <c r="D83" s="19" t="n"/>
      <c r="E83" s="19" t="n"/>
      <c r="F83" s="20">
        <f>IF(E83="","",IF(OR(G83="Submitted",G83="Declined"),"—",E83-TODAY()))</f>
        <v/>
      </c>
      <c r="G83" s="17" t="n"/>
      <c r="H83" s="24" t="n"/>
      <c r="I83" s="17" t="n"/>
    </row>
    <row r="84">
      <c r="A84" s="16">
        <f>IF(B84="","",ROW()-4)</f>
        <v/>
      </c>
      <c r="B84" s="21" t="n"/>
      <c r="C84" s="21" t="n"/>
      <c r="D84" s="23" t="n"/>
      <c r="E84" s="23" t="n"/>
      <c r="F84" s="20">
        <f>IF(E84="","",IF(OR(G84="Submitted",G84="Declined"),"—",E84-TODAY()))</f>
        <v/>
      </c>
      <c r="G84" s="21" t="n"/>
      <c r="H84" s="25" t="n"/>
      <c r="I84" s="21" t="n"/>
    </row>
    <row r="85">
      <c r="A85" s="16">
        <f>IF(B85="","",ROW()-4)</f>
        <v/>
      </c>
      <c r="B85" s="17" t="n"/>
      <c r="C85" s="17" t="n"/>
      <c r="D85" s="19" t="n"/>
      <c r="E85" s="19" t="n"/>
      <c r="F85" s="20">
        <f>IF(E85="","",IF(OR(G85="Submitted",G85="Declined"),"—",E85-TODAY()))</f>
        <v/>
      </c>
      <c r="G85" s="17" t="n"/>
      <c r="H85" s="24" t="n"/>
      <c r="I85" s="17" t="n"/>
    </row>
    <row r="86">
      <c r="A86" s="16">
        <f>IF(B86="","",ROW()-4)</f>
        <v/>
      </c>
      <c r="B86" s="21" t="n"/>
      <c r="C86" s="21" t="n"/>
      <c r="D86" s="23" t="n"/>
      <c r="E86" s="23" t="n"/>
      <c r="F86" s="20">
        <f>IF(E86="","",IF(OR(G86="Submitted",G86="Declined"),"—",E86-TODAY()))</f>
        <v/>
      </c>
      <c r="G86" s="21" t="n"/>
      <c r="H86" s="25" t="n"/>
      <c r="I86" s="21" t="n"/>
    </row>
    <row r="87">
      <c r="A87" s="16">
        <f>IF(B87="","",ROW()-4)</f>
        <v/>
      </c>
      <c r="B87" s="17" t="n"/>
      <c r="C87" s="17" t="n"/>
      <c r="D87" s="19" t="n"/>
      <c r="E87" s="19" t="n"/>
      <c r="F87" s="20">
        <f>IF(E87="","",IF(OR(G87="Submitted",G87="Declined"),"—",E87-TODAY()))</f>
        <v/>
      </c>
      <c r="G87" s="17" t="n"/>
      <c r="H87" s="24" t="n"/>
      <c r="I87" s="17" t="n"/>
    </row>
    <row r="88">
      <c r="A88" s="16">
        <f>IF(B88="","",ROW()-4)</f>
        <v/>
      </c>
      <c r="B88" s="21" t="n"/>
      <c r="C88" s="21" t="n"/>
      <c r="D88" s="23" t="n"/>
      <c r="E88" s="23" t="n"/>
      <c r="F88" s="20">
        <f>IF(E88="","",IF(OR(G88="Submitted",G88="Declined"),"—",E88-TODAY()))</f>
        <v/>
      </c>
      <c r="G88" s="21" t="n"/>
      <c r="H88" s="25" t="n"/>
      <c r="I88" s="21" t="n"/>
    </row>
    <row r="89">
      <c r="A89" s="16">
        <f>IF(B89="","",ROW()-4)</f>
        <v/>
      </c>
      <c r="B89" s="17" t="n"/>
      <c r="C89" s="17" t="n"/>
      <c r="D89" s="19" t="n"/>
      <c r="E89" s="19" t="n"/>
      <c r="F89" s="20">
        <f>IF(E89="","",IF(OR(G89="Submitted",G89="Declined"),"—",E89-TODAY()))</f>
        <v/>
      </c>
      <c r="G89" s="17" t="n"/>
      <c r="H89" s="24" t="n"/>
      <c r="I89" s="17" t="n"/>
    </row>
    <row r="90">
      <c r="A90" s="16">
        <f>IF(B90="","",ROW()-4)</f>
        <v/>
      </c>
      <c r="B90" s="21" t="n"/>
      <c r="C90" s="21" t="n"/>
      <c r="D90" s="23" t="n"/>
      <c r="E90" s="23" t="n"/>
      <c r="F90" s="20">
        <f>IF(E90="","",IF(OR(G90="Submitted",G90="Declined"),"—",E90-TODAY()))</f>
        <v/>
      </c>
      <c r="G90" s="21" t="n"/>
      <c r="H90" s="25" t="n"/>
      <c r="I90" s="21" t="n"/>
    </row>
    <row r="91">
      <c r="A91" s="16">
        <f>IF(B91="","",ROW()-4)</f>
        <v/>
      </c>
      <c r="B91" s="17" t="n"/>
      <c r="C91" s="17" t="n"/>
      <c r="D91" s="19" t="n"/>
      <c r="E91" s="19" t="n"/>
      <c r="F91" s="20">
        <f>IF(E91="","",IF(OR(G91="Submitted",G91="Declined"),"—",E91-TODAY()))</f>
        <v/>
      </c>
      <c r="G91" s="17" t="n"/>
      <c r="H91" s="24" t="n"/>
      <c r="I91" s="17" t="n"/>
    </row>
    <row r="92">
      <c r="A92" s="16">
        <f>IF(B92="","",ROW()-4)</f>
        <v/>
      </c>
      <c r="B92" s="21" t="n"/>
      <c r="C92" s="21" t="n"/>
      <c r="D92" s="23" t="n"/>
      <c r="E92" s="23" t="n"/>
      <c r="F92" s="20">
        <f>IF(E92="","",IF(OR(G92="Submitted",G92="Declined"),"—",E92-TODAY()))</f>
        <v/>
      </c>
      <c r="G92" s="21" t="n"/>
      <c r="H92" s="25" t="n"/>
      <c r="I92" s="21" t="n"/>
    </row>
    <row r="93">
      <c r="A93" s="16">
        <f>IF(B93="","",ROW()-4)</f>
        <v/>
      </c>
      <c r="B93" s="17" t="n"/>
      <c r="C93" s="17" t="n"/>
      <c r="D93" s="19" t="n"/>
      <c r="E93" s="19" t="n"/>
      <c r="F93" s="20">
        <f>IF(E93="","",IF(OR(G93="Submitted",G93="Declined"),"—",E93-TODAY()))</f>
        <v/>
      </c>
      <c r="G93" s="17" t="n"/>
      <c r="H93" s="24" t="n"/>
      <c r="I93" s="17" t="n"/>
    </row>
    <row r="94">
      <c r="A94" s="16">
        <f>IF(B94="","",ROW()-4)</f>
        <v/>
      </c>
      <c r="B94" s="21" t="n"/>
      <c r="C94" s="21" t="n"/>
      <c r="D94" s="23" t="n"/>
      <c r="E94" s="23" t="n"/>
      <c r="F94" s="20">
        <f>IF(E94="","",IF(OR(G94="Submitted",G94="Declined"),"—",E94-TODAY()))</f>
        <v/>
      </c>
      <c r="G94" s="21" t="n"/>
      <c r="H94" s="25" t="n"/>
      <c r="I94" s="21" t="n"/>
    </row>
    <row r="95">
      <c r="A95" s="16">
        <f>IF(B95="","",ROW()-4)</f>
        <v/>
      </c>
      <c r="B95" s="17" t="n"/>
      <c r="C95" s="17" t="n"/>
      <c r="D95" s="19" t="n"/>
      <c r="E95" s="19" t="n"/>
      <c r="F95" s="20">
        <f>IF(E95="","",IF(OR(G95="Submitted",G95="Declined"),"—",E95-TODAY()))</f>
        <v/>
      </c>
      <c r="G95" s="17" t="n"/>
      <c r="H95" s="24" t="n"/>
      <c r="I95" s="17" t="n"/>
    </row>
    <row r="96">
      <c r="A96" s="16">
        <f>IF(B96="","",ROW()-4)</f>
        <v/>
      </c>
      <c r="B96" s="21" t="n"/>
      <c r="C96" s="21" t="n"/>
      <c r="D96" s="23" t="n"/>
      <c r="E96" s="23" t="n"/>
      <c r="F96" s="20">
        <f>IF(E96="","",IF(OR(G96="Submitted",G96="Declined"),"—",E96-TODAY()))</f>
        <v/>
      </c>
      <c r="G96" s="21" t="n"/>
      <c r="H96" s="25" t="n"/>
      <c r="I96" s="21" t="n"/>
    </row>
    <row r="97">
      <c r="A97" s="16">
        <f>IF(B97="","",ROW()-4)</f>
        <v/>
      </c>
      <c r="B97" s="17" t="n"/>
      <c r="C97" s="17" t="n"/>
      <c r="D97" s="19" t="n"/>
      <c r="E97" s="19" t="n"/>
      <c r="F97" s="20">
        <f>IF(E97="","",IF(OR(G97="Submitted",G97="Declined"),"—",E97-TODAY()))</f>
        <v/>
      </c>
      <c r="G97" s="17" t="n"/>
      <c r="H97" s="24" t="n"/>
      <c r="I97" s="17" t="n"/>
    </row>
    <row r="98">
      <c r="A98" s="16">
        <f>IF(B98="","",ROW()-4)</f>
        <v/>
      </c>
      <c r="B98" s="21" t="n"/>
      <c r="C98" s="21" t="n"/>
      <c r="D98" s="23" t="n"/>
      <c r="E98" s="23" t="n"/>
      <c r="F98" s="20">
        <f>IF(E98="","",IF(OR(G98="Submitted",G98="Declined"),"—",E98-TODAY()))</f>
        <v/>
      </c>
      <c r="G98" s="21" t="n"/>
      <c r="H98" s="25" t="n"/>
      <c r="I98" s="21" t="n"/>
    </row>
    <row r="99">
      <c r="A99" s="16">
        <f>IF(B99="","",ROW()-4)</f>
        <v/>
      </c>
      <c r="B99" s="17" t="n"/>
      <c r="C99" s="17" t="n"/>
      <c r="D99" s="19" t="n"/>
      <c r="E99" s="19" t="n"/>
      <c r="F99" s="20">
        <f>IF(E99="","",IF(OR(G99="Submitted",G99="Declined"),"—",E99-TODAY()))</f>
        <v/>
      </c>
      <c r="G99" s="17" t="n"/>
      <c r="H99" s="24" t="n"/>
      <c r="I99" s="17" t="n"/>
    </row>
    <row r="100">
      <c r="A100" s="16">
        <f>IF(B100="","",ROW()-4)</f>
        <v/>
      </c>
      <c r="B100" s="21" t="n"/>
      <c r="C100" s="21" t="n"/>
      <c r="D100" s="23" t="n"/>
      <c r="E100" s="23" t="n"/>
      <c r="F100" s="20">
        <f>IF(E100="","",IF(OR(G100="Submitted",G100="Declined"),"—",E100-TODAY()))</f>
        <v/>
      </c>
      <c r="G100" s="21" t="n"/>
      <c r="H100" s="25" t="n"/>
      <c r="I100" s="21" t="n"/>
    </row>
    <row r="101">
      <c r="A101" s="16">
        <f>IF(B101="","",ROW()-4)</f>
        <v/>
      </c>
      <c r="B101" s="17" t="n"/>
      <c r="C101" s="17" t="n"/>
      <c r="D101" s="19" t="n"/>
      <c r="E101" s="19" t="n"/>
      <c r="F101" s="20">
        <f>IF(E101="","",IF(OR(G101="Submitted",G101="Declined"),"—",E101-TODAY()))</f>
        <v/>
      </c>
      <c r="G101" s="17" t="n"/>
      <c r="H101" s="24" t="n"/>
      <c r="I101" s="17" t="n"/>
    </row>
    <row r="102">
      <c r="A102" s="16">
        <f>IF(B102="","",ROW()-4)</f>
        <v/>
      </c>
      <c r="B102" s="21" t="n"/>
      <c r="C102" s="21" t="n"/>
      <c r="D102" s="23" t="n"/>
      <c r="E102" s="23" t="n"/>
      <c r="F102" s="20">
        <f>IF(E102="","",IF(OR(G102="Submitted",G102="Declined"),"—",E102-TODAY()))</f>
        <v/>
      </c>
      <c r="G102" s="21" t="n"/>
      <c r="H102" s="25" t="n"/>
      <c r="I102" s="21" t="n"/>
    </row>
    <row r="103">
      <c r="A103" s="16">
        <f>IF(B103="","",ROW()-4)</f>
        <v/>
      </c>
      <c r="B103" s="17" t="n"/>
      <c r="C103" s="17" t="n"/>
      <c r="D103" s="19" t="n"/>
      <c r="E103" s="19" t="n"/>
      <c r="F103" s="20">
        <f>IF(E103="","",IF(OR(G103="Submitted",G103="Declined"),"—",E103-TODAY()))</f>
        <v/>
      </c>
      <c r="G103" s="17" t="n"/>
      <c r="H103" s="24" t="n"/>
      <c r="I103" s="17" t="n"/>
    </row>
    <row r="104">
      <c r="A104" s="16">
        <f>IF(B104="","",ROW()-4)</f>
        <v/>
      </c>
      <c r="B104" s="21" t="n"/>
      <c r="C104" s="21" t="n"/>
      <c r="D104" s="23" t="n"/>
      <c r="E104" s="23" t="n"/>
      <c r="F104" s="20">
        <f>IF(E104="","",IF(OR(G104="Submitted",G104="Declined"),"—",E104-TODAY()))</f>
        <v/>
      </c>
      <c r="G104" s="21" t="n"/>
      <c r="H104" s="25" t="n"/>
      <c r="I104" s="21" t="n"/>
    </row>
  </sheetData>
  <autoFilter ref="A4:I104"/>
  <mergeCells count="2">
    <mergeCell ref="A1:I1"/>
    <mergeCell ref="A2:I2"/>
  </mergeCells>
  <conditionalFormatting sqref="F5:F104">
    <cfRule type="cellIs" priority="1" operator="lessThan" dxfId="0">
      <formula>8</formula>
    </cfRule>
    <cfRule type="cellIs" priority="2" operator="between" dxfId="1">
      <formula>8</formula>
      <formula>21</formula>
    </cfRule>
    <cfRule type="cellIs" priority="3" operator="between" dxfId="2">
      <formula>22</formula>
      <formula>99999</formula>
    </cfRule>
  </conditionalFormatting>
  <conditionalFormatting sqref="G5:G104">
    <cfRule type="cellIs" priority="4" operator="equal" dxfId="1">
      <formula>"Invited"</formula>
    </cfRule>
    <cfRule type="cellIs" priority="5" operator="equal" dxfId="3">
      <formula>"Accepted"</formula>
    </cfRule>
    <cfRule type="cellIs" priority="6" operator="equal" dxfId="3">
      <formula>"In progress"</formula>
    </cfRule>
    <cfRule type="cellIs" priority="7" operator="equal" dxfId="2">
      <formula>"Submitted"</formula>
    </cfRule>
    <cfRule type="cellIs" priority="8" operator="equal" dxfId="0">
      <formula>"Declined"</formula>
    </cfRule>
  </conditionalFormatting>
  <dataValidations count="1">
    <dataValidation sqref="G5:G104" showDropDown="0" showInputMessage="0" showErrorMessage="0" allowBlank="1" type="list">
      <formula1>Lists!$D$1:$D$5</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9"/>
  <sheetViews>
    <sheetView showGridLines="0" workbookViewId="0">
      <selection activeCell="A1" sqref="A1"/>
    </sheetView>
  </sheetViews>
  <sheetFormatPr baseColWidth="8" defaultRowHeight="15"/>
  <cols>
    <col width="26" customWidth="1" min="1" max="1"/>
    <col width="17" customWidth="1" min="2" max="2"/>
    <col width="17" customWidth="1" min="3" max="3"/>
    <col width="17" customWidth="1" min="4" max="4"/>
    <col width="11" customWidth="1" min="5" max="5"/>
    <col width="12" customWidth="1" min="6" max="6"/>
  </cols>
  <sheetData>
    <row r="1" ht="26" customHeight="1">
      <c r="A1" s="7" t="inlineStr">
        <is>
          <t>Funding Overview</t>
        </is>
      </c>
    </row>
    <row r="2">
      <c r="A2" s="8" t="inlineStr">
        <is>
          <t>Type a funder name in column A — everything else computes itself from your Grants sheet.</t>
        </is>
      </c>
    </row>
    <row r="5" ht="28" customHeight="1">
      <c r="A5" s="26" t="inlineStr">
        <is>
          <t>Total requested (submitted)</t>
        </is>
      </c>
      <c r="B5" s="26" t="inlineStr">
        <is>
          <t>Pending decision</t>
        </is>
      </c>
      <c r="C5" s="26" t="inlineStr">
        <is>
          <t>Total awarded</t>
        </is>
      </c>
      <c r="D5" s="26" t="inlineStr">
        <is>
          <t>Success rate (decided)</t>
        </is>
      </c>
    </row>
    <row r="6">
      <c r="A6" s="11">
        <f>IF(SUMIF(Grants!I5:I154,"Submitted",Grants!F5:F154)+SUMIF(Grants!I5:I154,"Under review",Grants!F5:F154)+SUMIF(Grants!I5:I154,"Awarded",Grants!F5:F154)+SUMIF(Grants!I5:I154,"Rejected",Grants!F5:F154)=0,"—",TEXT(SUMIF(Grants!I5:I154,"Submitted",Grants!F5:F154)+SUMIF(Grants!I5:I154,"Under review",Grants!F5:F154)+SUMIF(Grants!I5:I154,"Awarded",Grants!F5:F154)+SUMIF(Grants!I5:I154,"Rejected",Grants!F5:F154),"#,##0"))</f>
        <v/>
      </c>
      <c r="B6" s="12">
        <f>IF(SUMIF(Grants!I5:I154,"Submitted",Grants!F5:F154)+SUMIF(Grants!I5:I154,"Under review",Grants!F5:F154)=0,"—",TEXT(SUMIF(Grants!I5:I154,"Submitted",Grants!F5:F154)+SUMIF(Grants!I5:I154,"Under review",Grants!F5:F154),"#,##0"))</f>
        <v/>
      </c>
      <c r="C6" s="13">
        <f>IF(SUM(Grants!L5:L154)=0,"—",TEXT(SUM(Grants!L5:L154),"#,##0"))</f>
        <v/>
      </c>
      <c r="D6" s="13">
        <f>IF(COUNTIF(Grants!I5:I154,"Awarded")+COUNTIF(Grants!I5:I154,"Rejected")=0,"—",TEXT(COUNTIF(Grants!I5:I154,"Awarded")/(COUNTIF(Grants!I5:I154,"Awarded")+COUNTIF(Grants!I5:I154,"Rejected")),"0%"))</f>
        <v/>
      </c>
    </row>
    <row r="8">
      <c r="A8" s="9" t="inlineStr">
        <is>
          <t>BY FUNDER</t>
        </is>
      </c>
    </row>
    <row r="9" ht="30" customHeight="1">
      <c r="A9" s="15" t="inlineStr">
        <is>
          <t>Funder (type here)</t>
        </is>
      </c>
      <c r="B9" s="15" t="inlineStr">
        <is>
          <t>Applications</t>
        </is>
      </c>
      <c r="C9" s="15" t="inlineStr">
        <is>
          <t>Requested</t>
        </is>
      </c>
      <c r="D9" s="15" t="inlineStr">
        <is>
          <t>Awarded</t>
        </is>
      </c>
      <c r="E9" s="15" t="inlineStr">
        <is>
          <t>Wins</t>
        </is>
      </c>
      <c r="F9" s="15" t="inlineStr">
        <is>
          <t>Win rate</t>
        </is>
      </c>
    </row>
    <row r="10">
      <c r="A10" s="21" t="n"/>
      <c r="B10" s="20">
        <f>IF($A10="","",COUNTIF(Grants!$B$5:$B$154,$A10))</f>
        <v/>
      </c>
      <c r="C10" s="27">
        <f>IF($A10="","",SUMIF(Grants!$B$5:$B$154,$A10,Grants!$F$5:$F$154))</f>
        <v/>
      </c>
      <c r="D10" s="27">
        <f>IF($A10="","",SUMIF(Grants!$B$5:$B$154,$A10,Grants!$L$5:$L$154))</f>
        <v/>
      </c>
      <c r="E10" s="20">
        <f>IF($A10="","",COUNTIFS(Grants!$B$5:$B$154,$A10,Grants!$I$5:$I$154,"Awarded"))</f>
        <v/>
      </c>
      <c r="F10" s="16">
        <f>IF($A10="","",IF(COUNTIFS(Grants!$B$5:$B$154,$A10,Grants!$I$5:$I$154,"Awarded")+COUNTIFS(Grants!$B$5:$B$154,$A10,Grants!$I$5:$I$154,"Rejected")=0,"—",TEXT(COUNTIFS(Grants!$B$5:$B$154,$A10,Grants!$I$5:$I$154,"Awarded")/(COUNTIFS(Grants!$B$5:$B$154,$A10,Grants!$I$5:$I$154,"Awarded")+COUNTIFS(Grants!$B$5:$B$154,$A10,Grants!$I$5:$I$154,"Rejected")),"0%")))</f>
        <v/>
      </c>
    </row>
    <row r="11">
      <c r="A11" s="17" t="n"/>
      <c r="B11" s="20">
        <f>IF($A11="","",COUNTIF(Grants!$B$5:$B$154,$A11))</f>
        <v/>
      </c>
      <c r="C11" s="27">
        <f>IF($A11="","",SUMIF(Grants!$B$5:$B$154,$A11,Grants!$F$5:$F$154))</f>
        <v/>
      </c>
      <c r="D11" s="27">
        <f>IF($A11="","",SUMIF(Grants!$B$5:$B$154,$A11,Grants!$L$5:$L$154))</f>
        <v/>
      </c>
      <c r="E11" s="20">
        <f>IF($A11="","",COUNTIFS(Grants!$B$5:$B$154,$A11,Grants!$I$5:$I$154,"Awarded"))</f>
        <v/>
      </c>
      <c r="F11" s="16">
        <f>IF($A11="","",IF(COUNTIFS(Grants!$B$5:$B$154,$A11,Grants!$I$5:$I$154,"Awarded")+COUNTIFS(Grants!$B$5:$B$154,$A11,Grants!$I$5:$I$154,"Rejected")=0,"—",TEXT(COUNTIFS(Grants!$B$5:$B$154,$A11,Grants!$I$5:$I$154,"Awarded")/(COUNTIFS(Grants!$B$5:$B$154,$A11,Grants!$I$5:$I$154,"Awarded")+COUNTIFS(Grants!$B$5:$B$154,$A11,Grants!$I$5:$I$154,"Rejected")),"0%")))</f>
        <v/>
      </c>
    </row>
    <row r="12">
      <c r="A12" s="21" t="n"/>
      <c r="B12" s="20">
        <f>IF($A12="","",COUNTIF(Grants!$B$5:$B$154,$A12))</f>
        <v/>
      </c>
      <c r="C12" s="27">
        <f>IF($A12="","",SUMIF(Grants!$B$5:$B$154,$A12,Grants!$F$5:$F$154))</f>
        <v/>
      </c>
      <c r="D12" s="27">
        <f>IF($A12="","",SUMIF(Grants!$B$5:$B$154,$A12,Grants!$L$5:$L$154))</f>
        <v/>
      </c>
      <c r="E12" s="20">
        <f>IF($A12="","",COUNTIFS(Grants!$B$5:$B$154,$A12,Grants!$I$5:$I$154,"Awarded"))</f>
        <v/>
      </c>
      <c r="F12" s="16">
        <f>IF($A12="","",IF(COUNTIFS(Grants!$B$5:$B$154,$A12,Grants!$I$5:$I$154,"Awarded")+COUNTIFS(Grants!$B$5:$B$154,$A12,Grants!$I$5:$I$154,"Rejected")=0,"—",TEXT(COUNTIFS(Grants!$B$5:$B$154,$A12,Grants!$I$5:$I$154,"Awarded")/(COUNTIFS(Grants!$B$5:$B$154,$A12,Grants!$I$5:$I$154,"Awarded")+COUNTIFS(Grants!$B$5:$B$154,$A12,Grants!$I$5:$I$154,"Rejected")),"0%")))</f>
        <v/>
      </c>
    </row>
    <row r="13">
      <c r="A13" s="17" t="n"/>
      <c r="B13" s="20">
        <f>IF($A13="","",COUNTIF(Grants!$B$5:$B$154,$A13))</f>
        <v/>
      </c>
      <c r="C13" s="27">
        <f>IF($A13="","",SUMIF(Grants!$B$5:$B$154,$A13,Grants!$F$5:$F$154))</f>
        <v/>
      </c>
      <c r="D13" s="27">
        <f>IF($A13="","",SUMIF(Grants!$B$5:$B$154,$A13,Grants!$L$5:$L$154))</f>
        <v/>
      </c>
      <c r="E13" s="20">
        <f>IF($A13="","",COUNTIFS(Grants!$B$5:$B$154,$A13,Grants!$I$5:$I$154,"Awarded"))</f>
        <v/>
      </c>
      <c r="F13" s="16">
        <f>IF($A13="","",IF(COUNTIFS(Grants!$B$5:$B$154,$A13,Grants!$I$5:$I$154,"Awarded")+COUNTIFS(Grants!$B$5:$B$154,$A13,Grants!$I$5:$I$154,"Rejected")=0,"—",TEXT(COUNTIFS(Grants!$B$5:$B$154,$A13,Grants!$I$5:$I$154,"Awarded")/(COUNTIFS(Grants!$B$5:$B$154,$A13,Grants!$I$5:$I$154,"Awarded")+COUNTIFS(Grants!$B$5:$B$154,$A13,Grants!$I$5:$I$154,"Rejected")),"0%")))</f>
        <v/>
      </c>
    </row>
    <row r="14">
      <c r="A14" s="21" t="n"/>
      <c r="B14" s="20">
        <f>IF($A14="","",COUNTIF(Grants!$B$5:$B$154,$A14))</f>
        <v/>
      </c>
      <c r="C14" s="27">
        <f>IF($A14="","",SUMIF(Grants!$B$5:$B$154,$A14,Grants!$F$5:$F$154))</f>
        <v/>
      </c>
      <c r="D14" s="27">
        <f>IF($A14="","",SUMIF(Grants!$B$5:$B$154,$A14,Grants!$L$5:$L$154))</f>
        <v/>
      </c>
      <c r="E14" s="20">
        <f>IF($A14="","",COUNTIFS(Grants!$B$5:$B$154,$A14,Grants!$I$5:$I$154,"Awarded"))</f>
        <v/>
      </c>
      <c r="F14" s="16">
        <f>IF($A14="","",IF(COUNTIFS(Grants!$B$5:$B$154,$A14,Grants!$I$5:$I$154,"Awarded")+COUNTIFS(Grants!$B$5:$B$154,$A14,Grants!$I$5:$I$154,"Rejected")=0,"—",TEXT(COUNTIFS(Grants!$B$5:$B$154,$A14,Grants!$I$5:$I$154,"Awarded")/(COUNTIFS(Grants!$B$5:$B$154,$A14,Grants!$I$5:$I$154,"Awarded")+COUNTIFS(Grants!$B$5:$B$154,$A14,Grants!$I$5:$I$154,"Rejected")),"0%")))</f>
        <v/>
      </c>
    </row>
    <row r="15">
      <c r="A15" s="17" t="n"/>
      <c r="B15" s="20">
        <f>IF($A15="","",COUNTIF(Grants!$B$5:$B$154,$A15))</f>
        <v/>
      </c>
      <c r="C15" s="27">
        <f>IF($A15="","",SUMIF(Grants!$B$5:$B$154,$A15,Grants!$F$5:$F$154))</f>
        <v/>
      </c>
      <c r="D15" s="27">
        <f>IF($A15="","",SUMIF(Grants!$B$5:$B$154,$A15,Grants!$L$5:$L$154))</f>
        <v/>
      </c>
      <c r="E15" s="20">
        <f>IF($A15="","",COUNTIFS(Grants!$B$5:$B$154,$A15,Grants!$I$5:$I$154,"Awarded"))</f>
        <v/>
      </c>
      <c r="F15" s="16">
        <f>IF($A15="","",IF(COUNTIFS(Grants!$B$5:$B$154,$A15,Grants!$I$5:$I$154,"Awarded")+COUNTIFS(Grants!$B$5:$B$154,$A15,Grants!$I$5:$I$154,"Rejected")=0,"—",TEXT(COUNTIFS(Grants!$B$5:$B$154,$A15,Grants!$I$5:$I$154,"Awarded")/(COUNTIFS(Grants!$B$5:$B$154,$A15,Grants!$I$5:$I$154,"Awarded")+COUNTIFS(Grants!$B$5:$B$154,$A15,Grants!$I$5:$I$154,"Rejected")),"0%")))</f>
        <v/>
      </c>
    </row>
    <row r="16">
      <c r="A16" s="21" t="n"/>
      <c r="B16" s="20">
        <f>IF($A16="","",COUNTIF(Grants!$B$5:$B$154,$A16))</f>
        <v/>
      </c>
      <c r="C16" s="27">
        <f>IF($A16="","",SUMIF(Grants!$B$5:$B$154,$A16,Grants!$F$5:$F$154))</f>
        <v/>
      </c>
      <c r="D16" s="27">
        <f>IF($A16="","",SUMIF(Grants!$B$5:$B$154,$A16,Grants!$L$5:$L$154))</f>
        <v/>
      </c>
      <c r="E16" s="20">
        <f>IF($A16="","",COUNTIFS(Grants!$B$5:$B$154,$A16,Grants!$I$5:$I$154,"Awarded"))</f>
        <v/>
      </c>
      <c r="F16" s="16">
        <f>IF($A16="","",IF(COUNTIFS(Grants!$B$5:$B$154,$A16,Grants!$I$5:$I$154,"Awarded")+COUNTIFS(Grants!$B$5:$B$154,$A16,Grants!$I$5:$I$154,"Rejected")=0,"—",TEXT(COUNTIFS(Grants!$B$5:$B$154,$A16,Grants!$I$5:$I$154,"Awarded")/(COUNTIFS(Grants!$B$5:$B$154,$A16,Grants!$I$5:$I$154,"Awarded")+COUNTIFS(Grants!$B$5:$B$154,$A16,Grants!$I$5:$I$154,"Rejected")),"0%")))</f>
        <v/>
      </c>
    </row>
    <row r="17">
      <c r="A17" s="17" t="n"/>
      <c r="B17" s="20">
        <f>IF($A17="","",COUNTIF(Grants!$B$5:$B$154,$A17))</f>
        <v/>
      </c>
      <c r="C17" s="27">
        <f>IF($A17="","",SUMIF(Grants!$B$5:$B$154,$A17,Grants!$F$5:$F$154))</f>
        <v/>
      </c>
      <c r="D17" s="27">
        <f>IF($A17="","",SUMIF(Grants!$B$5:$B$154,$A17,Grants!$L$5:$L$154))</f>
        <v/>
      </c>
      <c r="E17" s="20">
        <f>IF($A17="","",COUNTIFS(Grants!$B$5:$B$154,$A17,Grants!$I$5:$I$154,"Awarded"))</f>
        <v/>
      </c>
      <c r="F17" s="16">
        <f>IF($A17="","",IF(COUNTIFS(Grants!$B$5:$B$154,$A17,Grants!$I$5:$I$154,"Awarded")+COUNTIFS(Grants!$B$5:$B$154,$A17,Grants!$I$5:$I$154,"Rejected")=0,"—",TEXT(COUNTIFS(Grants!$B$5:$B$154,$A17,Grants!$I$5:$I$154,"Awarded")/(COUNTIFS(Grants!$B$5:$B$154,$A17,Grants!$I$5:$I$154,"Awarded")+COUNTIFS(Grants!$B$5:$B$154,$A17,Grants!$I$5:$I$154,"Rejected")),"0%")))</f>
        <v/>
      </c>
    </row>
    <row r="18">
      <c r="A18" s="21" t="n"/>
      <c r="B18" s="20">
        <f>IF($A18="","",COUNTIF(Grants!$B$5:$B$154,$A18))</f>
        <v/>
      </c>
      <c r="C18" s="27">
        <f>IF($A18="","",SUMIF(Grants!$B$5:$B$154,$A18,Grants!$F$5:$F$154))</f>
        <v/>
      </c>
      <c r="D18" s="27">
        <f>IF($A18="","",SUMIF(Grants!$B$5:$B$154,$A18,Grants!$L$5:$L$154))</f>
        <v/>
      </c>
      <c r="E18" s="20">
        <f>IF($A18="","",COUNTIFS(Grants!$B$5:$B$154,$A18,Grants!$I$5:$I$154,"Awarded"))</f>
        <v/>
      </c>
      <c r="F18" s="16">
        <f>IF($A18="","",IF(COUNTIFS(Grants!$B$5:$B$154,$A18,Grants!$I$5:$I$154,"Awarded")+COUNTIFS(Grants!$B$5:$B$154,$A18,Grants!$I$5:$I$154,"Rejected")=0,"—",TEXT(COUNTIFS(Grants!$B$5:$B$154,$A18,Grants!$I$5:$I$154,"Awarded")/(COUNTIFS(Grants!$B$5:$B$154,$A18,Grants!$I$5:$I$154,"Awarded")+COUNTIFS(Grants!$B$5:$B$154,$A18,Grants!$I$5:$I$154,"Rejected")),"0%")))</f>
        <v/>
      </c>
    </row>
    <row r="19">
      <c r="A19" s="17" t="n"/>
      <c r="B19" s="20">
        <f>IF($A19="","",COUNTIF(Grants!$B$5:$B$154,$A19))</f>
        <v/>
      </c>
      <c r="C19" s="27">
        <f>IF($A19="","",SUMIF(Grants!$B$5:$B$154,$A19,Grants!$F$5:$F$154))</f>
        <v/>
      </c>
      <c r="D19" s="27">
        <f>IF($A19="","",SUMIF(Grants!$B$5:$B$154,$A19,Grants!$L$5:$L$154))</f>
        <v/>
      </c>
      <c r="E19" s="20">
        <f>IF($A19="","",COUNTIFS(Grants!$B$5:$B$154,$A19,Grants!$I$5:$I$154,"Awarded"))</f>
        <v/>
      </c>
      <c r="F19" s="16">
        <f>IF($A19="","",IF(COUNTIFS(Grants!$B$5:$B$154,$A19,Grants!$I$5:$I$154,"Awarded")+COUNTIFS(Grants!$B$5:$B$154,$A19,Grants!$I$5:$I$154,"Rejected")=0,"—",TEXT(COUNTIFS(Grants!$B$5:$B$154,$A19,Grants!$I$5:$I$154,"Awarded")/(COUNTIFS(Grants!$B$5:$B$154,$A19,Grants!$I$5:$I$154,"Awarded")+COUNTIFS(Grants!$B$5:$B$154,$A19,Grants!$I$5:$I$154,"Rejected")),"0%")))</f>
        <v/>
      </c>
    </row>
    <row r="20">
      <c r="A20" s="21" t="n"/>
      <c r="B20" s="20">
        <f>IF($A20="","",COUNTIF(Grants!$B$5:$B$154,$A20))</f>
        <v/>
      </c>
      <c r="C20" s="27">
        <f>IF($A20="","",SUMIF(Grants!$B$5:$B$154,$A20,Grants!$F$5:$F$154))</f>
        <v/>
      </c>
      <c r="D20" s="27">
        <f>IF($A20="","",SUMIF(Grants!$B$5:$B$154,$A20,Grants!$L$5:$L$154))</f>
        <v/>
      </c>
      <c r="E20" s="20">
        <f>IF($A20="","",COUNTIFS(Grants!$B$5:$B$154,$A20,Grants!$I$5:$I$154,"Awarded"))</f>
        <v/>
      </c>
      <c r="F20" s="16">
        <f>IF($A20="","",IF(COUNTIFS(Grants!$B$5:$B$154,$A20,Grants!$I$5:$I$154,"Awarded")+COUNTIFS(Grants!$B$5:$B$154,$A20,Grants!$I$5:$I$154,"Rejected")=0,"—",TEXT(COUNTIFS(Grants!$B$5:$B$154,$A20,Grants!$I$5:$I$154,"Awarded")/(COUNTIFS(Grants!$B$5:$B$154,$A20,Grants!$I$5:$I$154,"Awarded")+COUNTIFS(Grants!$B$5:$B$154,$A20,Grants!$I$5:$I$154,"Rejected")),"0%")))</f>
        <v/>
      </c>
    </row>
    <row r="21">
      <c r="A21" s="17" t="n"/>
      <c r="B21" s="20">
        <f>IF($A21="","",COUNTIF(Grants!$B$5:$B$154,$A21))</f>
        <v/>
      </c>
      <c r="C21" s="27">
        <f>IF($A21="","",SUMIF(Grants!$B$5:$B$154,$A21,Grants!$F$5:$F$154))</f>
        <v/>
      </c>
      <c r="D21" s="27">
        <f>IF($A21="","",SUMIF(Grants!$B$5:$B$154,$A21,Grants!$L$5:$L$154))</f>
        <v/>
      </c>
      <c r="E21" s="20">
        <f>IF($A21="","",COUNTIFS(Grants!$B$5:$B$154,$A21,Grants!$I$5:$I$154,"Awarded"))</f>
        <v/>
      </c>
      <c r="F21" s="16">
        <f>IF($A21="","",IF(COUNTIFS(Grants!$B$5:$B$154,$A21,Grants!$I$5:$I$154,"Awarded")+COUNTIFS(Grants!$B$5:$B$154,$A21,Grants!$I$5:$I$154,"Rejected")=0,"—",TEXT(COUNTIFS(Grants!$B$5:$B$154,$A21,Grants!$I$5:$I$154,"Awarded")/(COUNTIFS(Grants!$B$5:$B$154,$A21,Grants!$I$5:$I$154,"Awarded")+COUNTIFS(Grants!$B$5:$B$154,$A21,Grants!$I$5:$I$154,"Rejected")),"0%")))</f>
        <v/>
      </c>
    </row>
    <row r="22">
      <c r="A22" s="21" t="n"/>
      <c r="B22" s="20">
        <f>IF($A22="","",COUNTIF(Grants!$B$5:$B$154,$A22))</f>
        <v/>
      </c>
      <c r="C22" s="27">
        <f>IF($A22="","",SUMIF(Grants!$B$5:$B$154,$A22,Grants!$F$5:$F$154))</f>
        <v/>
      </c>
      <c r="D22" s="27">
        <f>IF($A22="","",SUMIF(Grants!$B$5:$B$154,$A22,Grants!$L$5:$L$154))</f>
        <v/>
      </c>
      <c r="E22" s="20">
        <f>IF($A22="","",COUNTIFS(Grants!$B$5:$B$154,$A22,Grants!$I$5:$I$154,"Awarded"))</f>
        <v/>
      </c>
      <c r="F22" s="16">
        <f>IF($A22="","",IF(COUNTIFS(Grants!$B$5:$B$154,$A22,Grants!$I$5:$I$154,"Awarded")+COUNTIFS(Grants!$B$5:$B$154,$A22,Grants!$I$5:$I$154,"Rejected")=0,"—",TEXT(COUNTIFS(Grants!$B$5:$B$154,$A22,Grants!$I$5:$I$154,"Awarded")/(COUNTIFS(Grants!$B$5:$B$154,$A22,Grants!$I$5:$I$154,"Awarded")+COUNTIFS(Grants!$B$5:$B$154,$A22,Grants!$I$5:$I$154,"Rejected")),"0%")))</f>
        <v/>
      </c>
    </row>
    <row r="23">
      <c r="A23" s="17" t="n"/>
      <c r="B23" s="20">
        <f>IF($A23="","",COUNTIF(Grants!$B$5:$B$154,$A23))</f>
        <v/>
      </c>
      <c r="C23" s="27">
        <f>IF($A23="","",SUMIF(Grants!$B$5:$B$154,$A23,Grants!$F$5:$F$154))</f>
        <v/>
      </c>
      <c r="D23" s="27">
        <f>IF($A23="","",SUMIF(Grants!$B$5:$B$154,$A23,Grants!$L$5:$L$154))</f>
        <v/>
      </c>
      <c r="E23" s="20">
        <f>IF($A23="","",COUNTIFS(Grants!$B$5:$B$154,$A23,Grants!$I$5:$I$154,"Awarded"))</f>
        <v/>
      </c>
      <c r="F23" s="16">
        <f>IF($A23="","",IF(COUNTIFS(Grants!$B$5:$B$154,$A23,Grants!$I$5:$I$154,"Awarded")+COUNTIFS(Grants!$B$5:$B$154,$A23,Grants!$I$5:$I$154,"Rejected")=0,"—",TEXT(COUNTIFS(Grants!$B$5:$B$154,$A23,Grants!$I$5:$I$154,"Awarded")/(COUNTIFS(Grants!$B$5:$B$154,$A23,Grants!$I$5:$I$154,"Awarded")+COUNTIFS(Grants!$B$5:$B$154,$A23,Grants!$I$5:$I$154,"Rejected")),"0%")))</f>
        <v/>
      </c>
    </row>
    <row r="24">
      <c r="A24" s="21" t="n"/>
      <c r="B24" s="20">
        <f>IF($A24="","",COUNTIF(Grants!$B$5:$B$154,$A24))</f>
        <v/>
      </c>
      <c r="C24" s="27">
        <f>IF($A24="","",SUMIF(Grants!$B$5:$B$154,$A24,Grants!$F$5:$F$154))</f>
        <v/>
      </c>
      <c r="D24" s="27">
        <f>IF($A24="","",SUMIF(Grants!$B$5:$B$154,$A24,Grants!$L$5:$L$154))</f>
        <v/>
      </c>
      <c r="E24" s="20">
        <f>IF($A24="","",COUNTIFS(Grants!$B$5:$B$154,$A24,Grants!$I$5:$I$154,"Awarded"))</f>
        <v/>
      </c>
      <c r="F24" s="16">
        <f>IF($A24="","",IF(COUNTIFS(Grants!$B$5:$B$154,$A24,Grants!$I$5:$I$154,"Awarded")+COUNTIFS(Grants!$B$5:$B$154,$A24,Grants!$I$5:$I$154,"Rejected")=0,"—",TEXT(COUNTIFS(Grants!$B$5:$B$154,$A24,Grants!$I$5:$I$154,"Awarded")/(COUNTIFS(Grants!$B$5:$B$154,$A24,Grants!$I$5:$I$154,"Awarded")+COUNTIFS(Grants!$B$5:$B$154,$A24,Grants!$I$5:$I$154,"Rejected")),"0%")))</f>
        <v/>
      </c>
    </row>
    <row r="25">
      <c r="A25" s="17" t="n"/>
      <c r="B25" s="20">
        <f>IF($A25="","",COUNTIF(Grants!$B$5:$B$154,$A25))</f>
        <v/>
      </c>
      <c r="C25" s="27">
        <f>IF($A25="","",SUMIF(Grants!$B$5:$B$154,$A25,Grants!$F$5:$F$154))</f>
        <v/>
      </c>
      <c r="D25" s="27">
        <f>IF($A25="","",SUMIF(Grants!$B$5:$B$154,$A25,Grants!$L$5:$L$154))</f>
        <v/>
      </c>
      <c r="E25" s="20">
        <f>IF($A25="","",COUNTIFS(Grants!$B$5:$B$154,$A25,Grants!$I$5:$I$154,"Awarded"))</f>
        <v/>
      </c>
      <c r="F25" s="16">
        <f>IF($A25="","",IF(COUNTIFS(Grants!$B$5:$B$154,$A25,Grants!$I$5:$I$154,"Awarded")+COUNTIFS(Grants!$B$5:$B$154,$A25,Grants!$I$5:$I$154,"Rejected")=0,"—",TEXT(COUNTIFS(Grants!$B$5:$B$154,$A25,Grants!$I$5:$I$154,"Awarded")/(COUNTIFS(Grants!$B$5:$B$154,$A25,Grants!$I$5:$I$154,"Awarded")+COUNTIFS(Grants!$B$5:$B$154,$A25,Grants!$I$5:$I$154,"Rejected")),"0%")))</f>
        <v/>
      </c>
    </row>
    <row r="26">
      <c r="A26" s="21" t="n"/>
      <c r="B26" s="20">
        <f>IF($A26="","",COUNTIF(Grants!$B$5:$B$154,$A26))</f>
        <v/>
      </c>
      <c r="C26" s="27">
        <f>IF($A26="","",SUMIF(Grants!$B$5:$B$154,$A26,Grants!$F$5:$F$154))</f>
        <v/>
      </c>
      <c r="D26" s="27">
        <f>IF($A26="","",SUMIF(Grants!$B$5:$B$154,$A26,Grants!$L$5:$L$154))</f>
        <v/>
      </c>
      <c r="E26" s="20">
        <f>IF($A26="","",COUNTIFS(Grants!$B$5:$B$154,$A26,Grants!$I$5:$I$154,"Awarded"))</f>
        <v/>
      </c>
      <c r="F26" s="16">
        <f>IF($A26="","",IF(COUNTIFS(Grants!$B$5:$B$154,$A26,Grants!$I$5:$I$154,"Awarded")+COUNTIFS(Grants!$B$5:$B$154,$A26,Grants!$I$5:$I$154,"Rejected")=0,"—",TEXT(COUNTIFS(Grants!$B$5:$B$154,$A26,Grants!$I$5:$I$154,"Awarded")/(COUNTIFS(Grants!$B$5:$B$154,$A26,Grants!$I$5:$I$154,"Awarded")+COUNTIFS(Grants!$B$5:$B$154,$A26,Grants!$I$5:$I$154,"Rejected")),"0%")))</f>
        <v/>
      </c>
    </row>
    <row r="27">
      <c r="A27" s="17" t="n"/>
      <c r="B27" s="20">
        <f>IF($A27="","",COUNTIF(Grants!$B$5:$B$154,$A27))</f>
        <v/>
      </c>
      <c r="C27" s="27">
        <f>IF($A27="","",SUMIF(Grants!$B$5:$B$154,$A27,Grants!$F$5:$F$154))</f>
        <v/>
      </c>
      <c r="D27" s="27">
        <f>IF($A27="","",SUMIF(Grants!$B$5:$B$154,$A27,Grants!$L$5:$L$154))</f>
        <v/>
      </c>
      <c r="E27" s="20">
        <f>IF($A27="","",COUNTIFS(Grants!$B$5:$B$154,$A27,Grants!$I$5:$I$154,"Awarded"))</f>
        <v/>
      </c>
      <c r="F27" s="16">
        <f>IF($A27="","",IF(COUNTIFS(Grants!$B$5:$B$154,$A27,Grants!$I$5:$I$154,"Awarded")+COUNTIFS(Grants!$B$5:$B$154,$A27,Grants!$I$5:$I$154,"Rejected")=0,"—",TEXT(COUNTIFS(Grants!$B$5:$B$154,$A27,Grants!$I$5:$I$154,"Awarded")/(COUNTIFS(Grants!$B$5:$B$154,$A27,Grants!$I$5:$I$154,"Awarded")+COUNTIFS(Grants!$B$5:$B$154,$A27,Grants!$I$5:$I$154,"Rejected")),"0%")))</f>
        <v/>
      </c>
    </row>
    <row r="28">
      <c r="A28" s="21" t="n"/>
      <c r="B28" s="20">
        <f>IF($A28="","",COUNTIF(Grants!$B$5:$B$154,$A28))</f>
        <v/>
      </c>
      <c r="C28" s="27">
        <f>IF($A28="","",SUMIF(Grants!$B$5:$B$154,$A28,Grants!$F$5:$F$154))</f>
        <v/>
      </c>
      <c r="D28" s="27">
        <f>IF($A28="","",SUMIF(Grants!$B$5:$B$154,$A28,Grants!$L$5:$L$154))</f>
        <v/>
      </c>
      <c r="E28" s="20">
        <f>IF($A28="","",COUNTIFS(Grants!$B$5:$B$154,$A28,Grants!$I$5:$I$154,"Awarded"))</f>
        <v/>
      </c>
      <c r="F28" s="16">
        <f>IF($A28="","",IF(COUNTIFS(Grants!$B$5:$B$154,$A28,Grants!$I$5:$I$154,"Awarded")+COUNTIFS(Grants!$B$5:$B$154,$A28,Grants!$I$5:$I$154,"Rejected")=0,"—",TEXT(COUNTIFS(Grants!$B$5:$B$154,$A28,Grants!$I$5:$I$154,"Awarded")/(COUNTIFS(Grants!$B$5:$B$154,$A28,Grants!$I$5:$I$154,"Awarded")+COUNTIFS(Grants!$B$5:$B$154,$A28,Grants!$I$5:$I$154,"Rejected")),"0%")))</f>
        <v/>
      </c>
    </row>
    <row r="29">
      <c r="A29" s="17" t="n"/>
      <c r="B29" s="20">
        <f>IF($A29="","",COUNTIF(Grants!$B$5:$B$154,$A29))</f>
        <v/>
      </c>
      <c r="C29" s="27">
        <f>IF($A29="","",SUMIF(Grants!$B$5:$B$154,$A29,Grants!$F$5:$F$154))</f>
        <v/>
      </c>
      <c r="D29" s="27">
        <f>IF($A29="","",SUMIF(Grants!$B$5:$B$154,$A29,Grants!$L$5:$L$154))</f>
        <v/>
      </c>
      <c r="E29" s="20">
        <f>IF($A29="","",COUNTIFS(Grants!$B$5:$B$154,$A29,Grants!$I$5:$I$154,"Awarded"))</f>
        <v/>
      </c>
      <c r="F29" s="16">
        <f>IF($A29="","",IF(COUNTIFS(Grants!$B$5:$B$154,$A29,Grants!$I$5:$I$154,"Awarded")+COUNTIFS(Grants!$B$5:$B$154,$A29,Grants!$I$5:$I$154,"Rejected")=0,"—",TEXT(COUNTIFS(Grants!$B$5:$B$154,$A29,Grants!$I$5:$I$154,"Awarded")/(COUNTIFS(Grants!$B$5:$B$154,$A29,Grants!$I$5:$I$154,"Awarded")+COUNTIFS(Grants!$B$5:$B$154,$A29,Grants!$I$5:$I$154,"Rejected")),"0%")))</f>
        <v/>
      </c>
    </row>
  </sheetData>
  <mergeCells count="2">
    <mergeCell ref="A2:F2"/>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
  <sheetViews>
    <sheetView workbookViewId="0">
      <pane ySplit="4" topLeftCell="A5" activePane="bottomLeft" state="frozen"/>
      <selection pane="bottomLeft" activeCell="A1" sqref="A1"/>
    </sheetView>
  </sheetViews>
  <sheetFormatPr baseColWidth="8" defaultRowHeight="15"/>
  <cols>
    <col width="5" customWidth="1" min="1" max="1"/>
    <col width="18" customWidth="1" min="2" max="2"/>
    <col width="34" customWidth="1" min="3" max="3"/>
    <col width="110" customWidth="1" min="4" max="4"/>
  </cols>
  <sheetData>
    <row r="1" ht="26" customHeight="1">
      <c r="A1" s="7" t="inlineStr">
        <is>
          <t>AI Academic Prompts</t>
        </is>
      </c>
    </row>
    <row r="2">
      <c r="A2" s="8" t="inlineStr">
        <is>
          <t>6 prompts for the hard parts of academic funding and publishing. They make the AI your assistant — the thinking stays yours.</t>
        </is>
      </c>
    </row>
    <row r="4" ht="30" customHeight="1">
      <c r="A4" s="15" t="inlineStr">
        <is>
          <t>#</t>
        </is>
      </c>
      <c r="B4" s="15" t="inlineStr">
        <is>
          <t>Stage</t>
        </is>
      </c>
      <c r="C4" s="15" t="inlineStr">
        <is>
          <t>When to use it</t>
        </is>
      </c>
      <c r="D4" s="15" t="inlineStr">
        <is>
          <t>Prompt (copy, fill the [brackets], paste)</t>
        </is>
      </c>
    </row>
    <row r="5" ht="150" customHeight="1">
      <c r="A5" s="17" t="n">
        <v>1</v>
      </c>
      <c r="B5" s="28" t="inlineStr">
        <is>
          <t>Grants</t>
        </is>
      </c>
      <c r="C5" s="17" t="inlineStr">
        <is>
          <t>Grant one-pager</t>
        </is>
      </c>
      <c r="D5" s="17" t="inlineStr">
        <is>
          <t>I'm preparing a grant application to [funder / programme]. My project idea in 3–5 sentences: [problem, approach, what's new]. Target amount and duration: [amount, duration].
Draft a one-page summary with these sections: the problem and why now (2 sentences), the research question, the approach in 3 numbered steps, why this fits THIS funder (their stated priorities: [paste 1–2 lines from the call]), expected outputs, and a 3-row risk-and-mitigation table.
Write plainly — no adjectives that praise the project. Wherever I haven't given you enough, insert [GAP: what's missing] instead of inventing.</t>
        </is>
      </c>
    </row>
    <row r="6" ht="150" customHeight="1">
      <c r="A6" s="21" t="n">
        <v>2</v>
      </c>
      <c r="B6" s="29" t="inlineStr">
        <is>
          <t>Grants</t>
        </is>
      </c>
      <c r="C6" s="21" t="inlineStr">
        <is>
          <t>Aims-page panel critique</t>
        </is>
      </c>
      <c r="D6" s="21" t="inlineStr">
        <is>
          <t>Here is the aims/objectives page of my grant draft:
[paste aims page]
Act as a skeptical review panel of three: a methods expert, a field expert, and a generalist who has read 40 applications today. For each reviewer: the two weakest points they would flag (quote my exact phrase), the question they would raise in the panel meeting, and how it would hurt my score.
Then rewrite my aims so that each aim is one testable claim with its own success criterion — and no aim depends on a previous aim succeeding.</t>
        </is>
      </c>
    </row>
    <row r="7" ht="150" customHeight="1">
      <c r="A7" s="17" t="n">
        <v>3</v>
      </c>
      <c r="B7" s="28" t="inlineStr">
        <is>
          <t>Grants</t>
        </is>
      </c>
      <c r="C7" s="17" t="inlineStr">
        <is>
          <t>Should I even apply? (fit check)</t>
        </is>
      </c>
      <c r="D7" s="17" t="inlineStr">
        <is>
          <t>I found this funding call:
[paste call summary]
My profile: [2–3 sentences: field, career stage, track-record highlights]. Time I can realistically invest before the deadline: [hours].
Be my hard-nosed mentor. Score the fit 0–10 on: (1) thematic fit, (2) eligibility and career-stage fit, (3) competitiveness of my track record for THIS instrument, (4) effort-to-award ratio.
Then a clear verdict: apply, apply only if [condition], or skip. If skip: name the one thing to build this year so next year's answer is apply.</t>
        </is>
      </c>
    </row>
    <row r="8" ht="150" customHeight="1">
      <c r="A8" s="21" t="n">
        <v>4</v>
      </c>
      <c r="B8" s="29" t="inlineStr">
        <is>
          <t>Papers</t>
        </is>
      </c>
      <c r="C8" s="21" t="inlineStr">
        <is>
          <t>Reviewer-2 simulation</t>
        </is>
      </c>
      <c r="D8" s="21" t="inlineStr">
        <is>
          <t>Here is a section of my manuscript:
[paste text]
Be Reviewer 2 — rigorous, unimpressed, fair. List your objections in order of severity: unsupported claims, logical jumps, overclaimed contributions, method–conclusion mismatches, missing literature.
For each objection: quote the exact sentence, say why it fails, and what would fix it. End with the single revision most likely to change the editor's decision.</t>
        </is>
      </c>
    </row>
    <row r="9" ht="150" customHeight="1">
      <c r="A9" s="17" t="n">
        <v>5</v>
      </c>
      <c r="B9" s="28" t="inlineStr">
        <is>
          <t>Papers</t>
        </is>
      </c>
      <c r="C9" s="17" t="inlineStr">
        <is>
          <t>Response-to-reviewers builder</t>
        </is>
      </c>
      <c r="D9" s="17" t="inlineStr">
        <is>
          <t>I received a [major/minor] revision decision for my manuscript '[title]'. Here are the reviewer comments:
[paste comments]
Draft a point-by-point response document: number every comment, quote it, then respond by (a) stating exactly what changed and where (use page/line placeholders), or (b) respectfully pushing back with evidence where the request is wrong or out of scope — at most [N] pushbacks, only on my strongest points. Thank without groveling.
Flag every place the reviewers contradict each other, and draft one sentence to the editor explaining how I resolved it.</t>
        </is>
      </c>
    </row>
    <row r="10" ht="150" customHeight="1">
      <c r="A10" s="21" t="n">
        <v>6</v>
      </c>
      <c r="B10" s="29" t="inlineStr">
        <is>
          <t>Papers</t>
        </is>
      </c>
      <c r="C10" s="21" t="inlineStr">
        <is>
          <t>No-hype cover letter</t>
        </is>
      </c>
      <c r="D10" s="21" t="inlineStr">
        <is>
          <t>Draft a submission cover letter to the editor of [journal] for my manuscript '[title]'. My study in 3 sentences: [question, method, key finding]. Why this journal, honestly: [1 sentence].
Keep it under 250 words: what the paper shows, why it fits the journal's scope, what is new relative to [1–2 related papers the journal published], plus the standard declarations (original work, not under consideration elsewhere, no competing interests, all authors approved).
No hype adjectives, and no retelling of the whole paper — editors read the abstract.</t>
        </is>
      </c>
    </row>
  </sheetData>
  <mergeCells count="2">
    <mergeCell ref="A1:D1"/>
    <mergeCell ref="A2:D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t="inlineStr">
        <is>
          <t>Idea</t>
        </is>
      </c>
      <c r="B1" t="inlineStr">
        <is>
          <t>Drafting</t>
        </is>
      </c>
      <c r="C1" t="inlineStr">
        <is>
          <t>Planned</t>
        </is>
      </c>
      <c r="D1" t="inlineStr">
        <is>
          <t>Invited</t>
        </is>
      </c>
      <c r="E1" t="inlineStr">
        <is>
          <t>PI</t>
        </is>
      </c>
      <c r="F1" t="inlineStr">
        <is>
          <t>First author</t>
        </is>
      </c>
      <c r="G1" t="inlineStr">
        <is>
          <t>To do</t>
        </is>
      </c>
    </row>
    <row r="2">
      <c r="A2" t="inlineStr">
        <is>
          <t>Preparing</t>
        </is>
      </c>
      <c r="B2" t="inlineStr">
        <is>
          <t>Submitted</t>
        </is>
      </c>
      <c r="C2" t="inlineStr">
        <is>
          <t>Abstract submitted</t>
        </is>
      </c>
      <c r="D2" t="inlineStr">
        <is>
          <t>Accepted</t>
        </is>
      </c>
      <c r="E2" t="inlineStr">
        <is>
          <t>Co-PI</t>
        </is>
      </c>
      <c r="F2" t="inlineStr">
        <is>
          <t>Corresponding</t>
        </is>
      </c>
      <c r="G2" t="inlineStr">
        <is>
          <t>In progress</t>
        </is>
      </c>
    </row>
    <row r="3">
      <c r="A3" t="inlineStr">
        <is>
          <t>Submitted</t>
        </is>
      </c>
      <c r="B3" t="inlineStr">
        <is>
          <t>Under review</t>
        </is>
      </c>
      <c r="C3" t="inlineStr">
        <is>
          <t>Accepted (talk)</t>
        </is>
      </c>
      <c r="D3" t="inlineStr">
        <is>
          <t>In progress</t>
        </is>
      </c>
      <c r="E3" t="inlineStr">
        <is>
          <t>Co-applicant</t>
        </is>
      </c>
      <c r="F3" t="inlineStr">
        <is>
          <t>Co-author</t>
        </is>
      </c>
      <c r="G3" t="inlineStr">
        <is>
          <t>Ready</t>
        </is>
      </c>
    </row>
    <row r="4">
      <c r="A4" t="inlineStr">
        <is>
          <t>Under review</t>
        </is>
      </c>
      <c r="B4" t="inlineStr">
        <is>
          <t>Major revision</t>
        </is>
      </c>
      <c r="C4" t="inlineStr">
        <is>
          <t>Accepted (poster)</t>
        </is>
      </c>
      <c r="D4" t="inlineStr">
        <is>
          <t>Submitted</t>
        </is>
      </c>
      <c r="E4" t="inlineStr">
        <is>
          <t>Collaborator</t>
        </is>
      </c>
      <c r="F4" t="inlineStr">
        <is>
          <t>Senior/Last</t>
        </is>
      </c>
    </row>
    <row r="5">
      <c r="A5" t="inlineStr">
        <is>
          <t>Awarded</t>
        </is>
      </c>
      <c r="B5" t="inlineStr">
        <is>
          <t>Minor revision</t>
        </is>
      </c>
      <c r="C5" t="inlineStr">
        <is>
          <t>Rejected</t>
        </is>
      </c>
      <c r="D5" t="inlineStr">
        <is>
          <t>Declined</t>
        </is>
      </c>
    </row>
    <row r="6">
      <c r="A6" t="inlineStr">
        <is>
          <t>Rejected</t>
        </is>
      </c>
      <c r="B6" t="inlineStr">
        <is>
          <t>R&amp;R in progress</t>
        </is>
      </c>
      <c r="C6" t="inlineStr">
        <is>
          <t>Attended</t>
        </is>
      </c>
    </row>
    <row r="7">
      <c r="A7" t="inlineStr">
        <is>
          <t>Withdrawn</t>
        </is>
      </c>
      <c r="B7" t="inlineStr">
        <is>
          <t>Resubmitted</t>
        </is>
      </c>
    </row>
    <row r="8">
      <c r="B8" t="inlineStr">
        <is>
          <t>Accepted</t>
        </is>
      </c>
    </row>
    <row r="9">
      <c r="B9" t="inlineStr">
        <is>
          <t>Rejected</t>
        </is>
      </c>
    </row>
    <row r="10">
      <c r="B10" t="inlineStr">
        <is>
          <t>Withdrawn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2026-07-15T15:29:04Z</dcterms:created>
  <dcterms:modified xsi:type="dcterms:W3CDTF">2026-07-15T15:29:04Z</dcterms:modified>
</cp:coreProperties>
</file>