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Lists" sheetId="2" state="hidden" r:id="rId2"/>
    <sheet name="Dashboard" sheetId="3" state="visible" r:id="rId3"/>
    <sheet name="Literature" sheetId="4" state="visible" r:id="rId4"/>
    <sheet name="Chapters" sheetId="5" state="visible" r:id="rId5"/>
    <sheet name="Meetings" sheetId="6" state="visible" r:id="rId6"/>
    <sheet name="Weekly" sheetId="7" state="visible" r:id="rId7"/>
    <sheet name="Milestones" sheetId="8" state="visible" r:id="rId8"/>
    <sheet name="AI Prompts" sheetId="9" state="visible" r:id="rId9"/>
  </sheets>
  <definedNames>
    <definedName name="_xlnm._FilterDatabase" localSheetId="3" hidden="1">'Literature'!$A$4:$P$304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2D3A8C"/>
      <sz val="20"/>
    </font>
    <font>
      <color rgb="00555B7A"/>
      <sz val="12"/>
    </font>
    <font>
      <color rgb="001E2340"/>
      <sz val="10"/>
    </font>
    <font>
      <b val="1"/>
      <color rgb="001F7A6D"/>
      <sz val="13"/>
    </font>
    <font>
      <color rgb="001E2340"/>
      <sz val="11"/>
    </font>
    <font>
      <color rgb="00555B7A"/>
      <sz val="9"/>
    </font>
    <font>
      <b val="1"/>
      <color rgb="002D3A8C"/>
      <sz val="16"/>
    </font>
    <font>
      <color rgb="00555B7A"/>
      <sz val="10"/>
    </font>
    <font>
      <b val="1"/>
      <color rgb="001F7A6D"/>
      <sz val="11"/>
    </font>
    <font>
      <b val="1"/>
      <color rgb="002D3A8C"/>
      <sz val="18"/>
    </font>
    <font>
      <b val="1"/>
      <color rgb="001F7A6D"/>
      <sz val="18"/>
    </font>
    <font>
      <b val="1"/>
      <color rgb="00B4540A"/>
      <sz val="18"/>
    </font>
    <font>
      <b val="1"/>
      <color rgb="008A3333"/>
      <sz val="18"/>
    </font>
    <font>
      <i val="1"/>
      <color rgb="00555B7A"/>
      <sz val="9"/>
    </font>
    <font>
      <b val="1"/>
      <color rgb="00FFFFFF"/>
      <sz val="11"/>
    </font>
    <font>
      <b val="1"/>
      <color rgb="002D3A8C"/>
    </font>
  </fonts>
  <fills count="8">
    <fill>
      <patternFill/>
    </fill>
    <fill>
      <patternFill patternType="gray125"/>
    </fill>
    <fill>
      <patternFill patternType="solid">
        <fgColor rgb="00EEF1FB"/>
      </patternFill>
    </fill>
    <fill>
      <patternFill patternType="solid">
        <fgColor rgb="00E3F1EE"/>
      </patternFill>
    </fill>
    <fill>
      <patternFill patternType="solid">
        <fgColor rgb="00FFF1CC"/>
      </patternFill>
    </fill>
    <fill>
      <patternFill patternType="solid">
        <fgColor rgb="00F5DBDB"/>
      </patternFill>
    </fill>
    <fill>
      <patternFill patternType="solid">
        <fgColor rgb="002D3A8C"/>
      </patternFill>
    </fill>
    <fill>
      <patternFill patternType="solid">
        <fgColor rgb="00F7F8FC"/>
      </patternFill>
    </fill>
  </fills>
  <borders count="2">
    <border>
      <left/>
      <right/>
      <top/>
      <bottom/>
      <diagonal/>
    </border>
    <border>
      <left style="thin">
        <color rgb="00D9DCEA"/>
      </left>
      <right style="thin">
        <color rgb="00D9DCEA"/>
      </right>
      <top style="thin">
        <color rgb="00D9DCEA"/>
      </top>
      <bottom style="thin">
        <color rgb="00D9DC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14" fillId="0" borderId="0" pivotButton="0" quotePrefix="0" xfId="0"/>
    <xf numFmtId="0" fontId="15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9" fontId="0" fillId="7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6" fillId="7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F1CC"/>
        </patternFill>
      </fill>
    </dxf>
    <dxf>
      <fill>
        <patternFill patternType="solid">
          <fgColor rgb="00DCE9FF"/>
        </patternFill>
      </fill>
    </dxf>
    <dxf>
      <fill>
        <patternFill patternType="solid">
          <fgColor rgb="00DCF2E4"/>
        </patternFill>
      </fill>
    </dxf>
    <dxf>
      <fill>
        <patternFill patternType="solid">
          <fgColor rgb="00F5DB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8" customHeight="1">
      <c r="B2" s="1" t="inlineStr">
        <is>
          <t>PhD Research OS</t>
        </is>
      </c>
    </row>
    <row r="3" ht="20" customHeight="1">
      <c r="B3" s="2" t="inlineStr">
        <is>
          <t>Everything your dissertation needs in one place — literature, chapters, meetings, momentum.</t>
        </is>
      </c>
    </row>
    <row r="4" ht="18" customHeight="1">
      <c r="B4" s="3" t="inlineStr"/>
    </row>
    <row r="5" ht="21" customHeight="1">
      <c r="B5" s="4" t="inlineStr">
        <is>
          <t>HOW TO USE THIS WORKBOOK</t>
        </is>
      </c>
    </row>
    <row r="6" ht="19" customHeight="1">
      <c r="B6" s="5" t="inlineStr">
        <is>
          <t>1 · Dashboard — your research at a glance. Every number updates automatically; never type in a grey cell.</t>
        </is>
      </c>
    </row>
    <row r="7" ht="19" customHeight="1">
      <c r="B7" s="5" t="inlineStr">
        <is>
          <t>2 · Literature Tracker — one row per source. Use the Status dropdown; the dashboard counts everything for you.</t>
        </is>
      </c>
    </row>
    <row r="8" ht="19" customHeight="1">
      <c r="B8" s="5" t="inlineStr">
        <is>
          <t>3 · Chapter Pipeline — break the thesis into sections, set target words, watch the % column fill up.</t>
        </is>
      </c>
    </row>
    <row r="9" ht="19" customHeight="1">
      <c r="B9" s="5" t="inlineStr">
        <is>
          <t>4 · Supervisor Meetings — prepare the agenda BEFORE, log decisions and action items AFTER. Nothing gets lost.</t>
        </is>
      </c>
    </row>
    <row r="10" ht="19" customHeight="1">
      <c r="B10" s="5" t="inlineStr">
        <is>
          <t>5 · Weekly Plan — one honest row per week: what you planned, what happened, what you learned.</t>
        </is>
      </c>
    </row>
    <row r="11" ht="19" customHeight="1">
      <c r="B11" s="5" t="inlineStr">
        <is>
          <t>6 · Milestones — deadlines with live days-left countdown.</t>
        </is>
      </c>
    </row>
    <row r="12" ht="19" customHeight="1">
      <c r="B12" s="5" t="inlineStr">
        <is>
          <t>7 · AI Research Prompts — 15 copy-paste prompts tuned for real research work (synthesis, critique, meeting prep).</t>
        </is>
      </c>
    </row>
    <row r="13" ht="18" customHeight="1">
      <c r="B13" s="3" t="inlineStr"/>
    </row>
    <row r="14" ht="19" customHeight="1">
      <c r="B14" s="5" t="inlineStr">
        <is>
          <t>GOOGLE SHEETS: File → Import → Upload this file. Everything (formulas, dropdowns, colors) survives the trip.</t>
        </is>
      </c>
    </row>
    <row r="15" ht="19" customHeight="1">
      <c r="B15" s="5" t="inlineStr">
        <is>
          <t>TIP: Duplicate the file per project. Archive, don't delete — your Literature Tracker becomes your citation memory.</t>
        </is>
      </c>
    </row>
    <row r="16" ht="18" customHeight="1">
      <c r="B16" s="3" t="inlineStr"/>
    </row>
    <row r="17" ht="18" customHeight="1">
      <c r="B17" s="6" t="inlineStr">
        <is>
          <t>LICENSE — Personal use. One buyer, unlimited own projects &amp; devices. Please don't resell or redistribute.</t>
        </is>
      </c>
    </row>
    <row r="18" ht="18" customHeight="1">
      <c r="B18" s="6" t="inlineStr">
        <is>
          <t>Questions or a broken formula? kontakt@arbeitstyp.de — we fix it within 48 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screen</t>
        </is>
      </c>
      <c r="B1" t="inlineStr">
        <is>
          <t>Journal article</t>
        </is>
      </c>
      <c r="C1" t="inlineStr">
        <is>
          <t>High</t>
        </is>
      </c>
      <c r="D1" t="inlineStr">
        <is>
          <t>Not started</t>
        </is>
      </c>
      <c r="E1" t="inlineStr">
        <is>
          <t>Open</t>
        </is>
      </c>
      <c r="F1" t="inlineStr">
        <is>
          <t>Admin</t>
        </is>
      </c>
    </row>
    <row r="2">
      <c r="A2" t="inlineStr">
        <is>
          <t>To read</t>
        </is>
      </c>
      <c r="B2" t="inlineStr">
        <is>
          <t>Book</t>
        </is>
      </c>
      <c r="C2" t="inlineStr">
        <is>
          <t>Medium</t>
        </is>
      </c>
      <c r="D2" t="inlineStr">
        <is>
          <t>Outline</t>
        </is>
      </c>
      <c r="E2" t="inlineStr">
        <is>
          <t>In progress</t>
        </is>
      </c>
      <c r="F2" t="inlineStr">
        <is>
          <t>Literature</t>
        </is>
      </c>
    </row>
    <row r="3">
      <c r="A3" t="inlineStr">
        <is>
          <t>Reading</t>
        </is>
      </c>
      <c r="B3" t="inlineStr">
        <is>
          <t>Book chapter</t>
        </is>
      </c>
      <c r="C3" t="inlineStr">
        <is>
          <t>Low</t>
        </is>
      </c>
      <c r="D3" t="inlineStr">
        <is>
          <t>Drafting</t>
        </is>
      </c>
      <c r="E3" t="inlineStr">
        <is>
          <t>Done</t>
        </is>
      </c>
      <c r="F3" t="inlineStr">
        <is>
          <t>Data</t>
        </is>
      </c>
    </row>
    <row r="4">
      <c r="A4" t="inlineStr">
        <is>
          <t>Read</t>
        </is>
      </c>
      <c r="B4" t="inlineStr">
        <is>
          <t>Conference paper</t>
        </is>
      </c>
      <c r="D4" t="inlineStr">
        <is>
          <t>Full draft</t>
        </is>
      </c>
      <c r="E4" t="inlineStr">
        <is>
          <t>Dropped</t>
        </is>
      </c>
      <c r="F4" t="inlineStr">
        <is>
          <t>Analysis</t>
        </is>
      </c>
    </row>
    <row r="5">
      <c r="A5" t="inlineStr">
        <is>
          <t>Excluded</t>
        </is>
      </c>
      <c r="B5" t="inlineStr">
        <is>
          <t>Preprint</t>
        </is>
      </c>
      <c r="D5" t="inlineStr">
        <is>
          <t>Revising</t>
        </is>
      </c>
      <c r="F5" t="inlineStr">
        <is>
          <t>Writing</t>
        </is>
      </c>
    </row>
    <row r="6">
      <c r="B6" t="inlineStr">
        <is>
          <t>Thesis</t>
        </is>
      </c>
      <c r="D6" t="inlineStr">
        <is>
          <t>With supervisor</t>
        </is>
      </c>
      <c r="F6" t="inlineStr">
        <is>
          <t>Publication</t>
        </is>
      </c>
    </row>
    <row r="7">
      <c r="B7" t="inlineStr">
        <is>
          <t>Report</t>
        </is>
      </c>
      <c r="D7" t="inlineStr">
        <is>
          <t>Final</t>
        </is>
      </c>
      <c r="F7" t="inlineStr">
        <is>
          <t>Defense</t>
        </is>
      </c>
    </row>
    <row r="8">
      <c r="B8" t="inlineStr">
        <is>
          <t>Web/Other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" customWidth="1" min="3" max="3"/>
    <col width="28" customWidth="1" min="4" max="4"/>
    <col width="14" customWidth="1" min="5" max="5"/>
    <col width="4" customWidth="1" min="6" max="6"/>
    <col width="30" customWidth="1" min="7" max="7"/>
    <col width="16" customWidth="1" min="8" max="8"/>
  </cols>
  <sheetData>
    <row r="1" ht="26" customHeight="1">
      <c r="A1" s="7" t="inlineStr">
        <is>
          <t>Dashboard</t>
        </is>
      </c>
    </row>
    <row r="2">
      <c r="A2" s="8" t="inlineStr">
        <is>
          <t>Live overview — all numbers update automatically from the other sheets.</t>
        </is>
      </c>
    </row>
    <row r="4">
      <c r="A4" s="9" t="inlineStr">
        <is>
          <t>LITERATURE</t>
        </is>
      </c>
      <c r="D4" s="9" t="inlineStr">
        <is>
          <t>WRITING</t>
        </is>
      </c>
      <c r="G4" s="9" t="inlineStr">
        <is>
          <t>MOMENTUM</t>
        </is>
      </c>
    </row>
    <row r="5">
      <c r="A5" s="8" t="inlineStr">
        <is>
          <t>Sources total</t>
        </is>
      </c>
      <c r="B5" s="8" t="inlineStr">
        <is>
          <t>Read</t>
        </is>
      </c>
      <c r="D5" s="8" t="inlineStr">
        <is>
          <t>Words written</t>
        </is>
      </c>
      <c r="E5" s="8" t="inlineStr">
        <is>
          <t>of target</t>
        </is>
      </c>
      <c r="G5" s="8" t="inlineStr">
        <is>
          <t>Open action items</t>
        </is>
      </c>
      <c r="H5" s="8" t="inlineStr">
        <is>
          <t>Next deadline (days)</t>
        </is>
      </c>
    </row>
    <row r="6">
      <c r="A6" s="10">
        <f>COUNTA(Literature!B5:B304)</f>
        <v/>
      </c>
      <c r="B6" s="11">
        <f>COUNTIF(Literature!F5:F304,"Read")</f>
        <v/>
      </c>
      <c r="D6" s="10">
        <f>SUM(Chapters!E5:E104)</f>
        <v/>
      </c>
      <c r="E6" s="11">
        <f>IF(SUM(Chapters!D5:D104)=0,"—",TEXT(SUM(Chapters!E5:E104)/SUM(Chapters!D5:D104),"0%"))</f>
        <v/>
      </c>
      <c r="G6" s="12">
        <f>COUNTIF(Meetings!G5:G304,"Open")+COUNTIF(Meetings!G5:G304,"In progress")</f>
        <v/>
      </c>
      <c r="H6" s="10">
        <f>IFERROR(MIN(Milestones!E5:E104),"—")</f>
        <v/>
      </c>
    </row>
    <row r="8">
      <c r="A8" s="8" t="inlineStr">
        <is>
          <t>Reading now</t>
        </is>
      </c>
      <c r="B8" s="8" t="inlineStr">
        <is>
          <t>Still to read</t>
        </is>
      </c>
      <c r="D8" s="8" t="inlineStr">
        <is>
          <t>Sections final</t>
        </is>
      </c>
      <c r="E8" s="8" t="inlineStr">
        <is>
          <t>Sections drafting</t>
        </is>
      </c>
      <c r="G8" s="8" t="inlineStr">
        <is>
          <t>Weeks logged</t>
        </is>
      </c>
      <c r="H8" s="8" t="inlineStr">
        <is>
          <t>Sources excluded</t>
        </is>
      </c>
    </row>
    <row r="9">
      <c r="A9" s="10">
        <f>COUNTIF(Literature!F5:F304,"Reading")</f>
        <v/>
      </c>
      <c r="B9" s="12">
        <f>COUNTIF(Literature!F5:F304,"To read")+COUNTIF(Literature!F5:F304,"To screen")</f>
        <v/>
      </c>
      <c r="D9" s="10">
        <f>COUNTIF(Chapters!C5:C104,"Final")</f>
        <v/>
      </c>
      <c r="E9" s="10">
        <f>COUNTIF(Chapters!C5:C104,"Drafting")+COUNTIF(Chapters!C5:C104,"Outline")</f>
        <v/>
      </c>
      <c r="G9" s="10">
        <f>COUNTA(Weekly!A5:A160)</f>
        <v/>
      </c>
      <c r="H9" s="13">
        <f>COUNTIF(Literature!F5:F304,"Excluded")</f>
        <v/>
      </c>
    </row>
    <row r="12">
      <c r="A12" s="14" t="inlineStr">
        <is>
          <t>Never type on this sheet — it computes itself.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2" customWidth="1" min="4" max="4"/>
    <col width="16" customWidth="1" min="5" max="5"/>
    <col width="13" customWidth="1" min="6" max="6"/>
    <col width="11" customWidth="1" min="7" max="7"/>
    <col width="13" customWidth="1" min="8" max="8"/>
    <col width="24" customWidth="1" min="9" max="9"/>
    <col width="40" customWidth="1" min="10" max="10"/>
    <col width="28" customWidth="1" min="11" max="11"/>
    <col width="34" customWidth="1" min="12" max="12"/>
    <col width="34" customWidth="1" min="13" max="13"/>
    <col width="22" customWidth="1" min="14" max="14"/>
    <col width="24" customWidth="1" min="15" max="15"/>
    <col width="12" customWidth="1" min="16" max="16"/>
  </cols>
  <sheetData>
    <row r="1" ht="26" customHeight="1">
      <c r="A1" s="7" t="inlineStr">
        <is>
          <t>Literature Tracker</t>
        </is>
      </c>
    </row>
    <row r="2">
      <c r="A2" s="8" t="inlineStr">
        <is>
          <t>One row per source. Dropdowns in Type, Status, Priority. The Dashboard counts rows 5–304.</t>
        </is>
      </c>
    </row>
    <row r="4" ht="30" customHeight="1">
      <c r="A4" s="15" t="inlineStr">
        <is>
          <t>#</t>
        </is>
      </c>
      <c r="B4" s="15" t="inlineStr">
        <is>
          <t>Author (Year)</t>
        </is>
      </c>
      <c r="C4" s="15" t="inlineStr">
        <is>
          <t>Title</t>
        </is>
      </c>
      <c r="D4" s="15" t="inlineStr">
        <is>
          <t>Source / Journal</t>
        </is>
      </c>
      <c r="E4" s="15" t="inlineStr">
        <is>
          <t>Type</t>
        </is>
      </c>
      <c r="F4" s="15" t="inlineStr">
        <is>
          <t>Status</t>
        </is>
      </c>
      <c r="G4" s="15" t="inlineStr">
        <is>
          <t>Priority</t>
        </is>
      </c>
      <c r="H4" s="15" t="inlineStr">
        <is>
          <t>Relevance (1–5)</t>
        </is>
      </c>
      <c r="I4" s="15" t="inlineStr">
        <is>
          <t>Research question</t>
        </is>
      </c>
      <c r="J4" s="15" t="inlineStr">
        <is>
          <t>Key findings</t>
        </is>
      </c>
      <c r="K4" s="15" t="inlineStr">
        <is>
          <t>Method &amp; sample</t>
        </is>
      </c>
      <c r="L4" s="15" t="inlineStr">
        <is>
          <t>Best quotes (+page)</t>
        </is>
      </c>
      <c r="M4" s="15" t="inlineStr">
        <is>
          <t>My notes / critique</t>
        </is>
      </c>
      <c r="N4" s="15" t="inlineStr">
        <is>
          <t>Themes / tags</t>
        </is>
      </c>
      <c r="O4" s="15" t="inlineStr">
        <is>
          <t>DOI / link</t>
        </is>
      </c>
      <c r="P4" s="15" t="inlineStr">
        <is>
          <t>Added</t>
        </is>
      </c>
    </row>
    <row r="5">
      <c r="A5" s="16">
        <f>IF(B5="","",ROW()-4)</f>
        <v/>
      </c>
      <c r="B5" s="16" t="inlineStr">
        <is>
          <t>Miller (2024)</t>
        </is>
      </c>
      <c r="C5" s="16" t="inlineStr">
        <is>
          <t>Example row — replace me: The four axes of AI-assisted knowledge work</t>
        </is>
      </c>
      <c r="D5" s="16" t="n"/>
      <c r="E5" s="16" t="inlineStr">
        <is>
          <t>Journal article</t>
        </is>
      </c>
      <c r="F5" s="16" t="inlineStr">
        <is>
          <t>Read</t>
        </is>
      </c>
      <c r="G5" s="16" t="inlineStr">
        <is>
          <t>High</t>
        </is>
      </c>
      <c r="H5" s="16" t="n">
        <v>5</v>
      </c>
      <c r="I5" s="16" t="n"/>
      <c r="J5" s="16" t="n"/>
      <c r="K5" s="16" t="n"/>
      <c r="L5" s="16" t="n"/>
      <c r="M5" s="16" t="n"/>
      <c r="N5" s="16" t="n"/>
      <c r="O5" s="16" t="n"/>
      <c r="P5" s="16" t="n"/>
    </row>
    <row r="6">
      <c r="A6" s="17">
        <f>IF(B6="","",ROW()-4)</f>
        <v/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</row>
    <row r="7">
      <c r="A7" s="16">
        <f>IF(B7="","",ROW()-4)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</row>
    <row r="8">
      <c r="A8" s="17">
        <f>IF(B8="","",ROW()-4)</f>
        <v/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</row>
    <row r="9">
      <c r="A9" s="16">
        <f>IF(B9="","",ROW()-4)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</row>
    <row r="10">
      <c r="A10" s="17">
        <f>IF(B10="","",ROW()-4)</f>
        <v/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</row>
    <row r="11">
      <c r="A11" s="16">
        <f>IF(B11="","",ROW()-4)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</row>
    <row r="12">
      <c r="A12" s="17">
        <f>IF(B12="","",ROW()-4)</f>
        <v/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</row>
    <row r="13">
      <c r="A13" s="16">
        <f>IF(B13="","",ROW()-4)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>
      <c r="A14" s="17">
        <f>IF(B14="","",ROW()-4)</f>
        <v/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</row>
    <row r="15">
      <c r="A15" s="16">
        <f>IF(B15="","",ROW()-4)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</row>
    <row r="16">
      <c r="A16" s="17">
        <f>IF(B16="","",ROW()-4)</f>
        <v/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</row>
    <row r="17">
      <c r="A17" s="16">
        <f>IF(B17="","",ROW()-4)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</row>
    <row r="18">
      <c r="A18" s="17">
        <f>IF(B18="","",ROW()-4)</f>
        <v/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</row>
    <row r="19">
      <c r="A19" s="16">
        <f>IF(B19="","",ROW()-4)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</row>
    <row r="20">
      <c r="A20" s="17">
        <f>IF(B20="","",ROW()-4)</f>
        <v/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>
      <c r="A21" s="16">
        <f>IF(B21="","",ROW()-4)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>
      <c r="A22" s="17">
        <f>IF(B22="","",ROW()-4)</f>
        <v/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</row>
    <row r="23">
      <c r="A23" s="16">
        <f>IF(B23="","",ROW()-4)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</row>
    <row r="24">
      <c r="A24" s="17">
        <f>IF(B24="","",ROW()-4)</f>
        <v/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</row>
    <row r="25">
      <c r="A25" s="16">
        <f>IF(B25="","",ROW()-4)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</row>
    <row r="26">
      <c r="A26" s="17">
        <f>IF(B26="","",ROW()-4)</f>
        <v/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</row>
    <row r="27">
      <c r="A27" s="16">
        <f>IF(B27="","",ROW()-4)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</row>
    <row r="28">
      <c r="A28" s="17">
        <f>IF(B28="","",ROW()-4)</f>
        <v/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</row>
    <row r="29">
      <c r="A29" s="16">
        <f>IF(B29="","",ROW()-4)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7">
        <f>IF(B30="","",ROW()-4)</f>
        <v/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</row>
    <row r="31">
      <c r="A31" s="16">
        <f>IF(B31="","",ROW()-4)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</row>
    <row r="32">
      <c r="A32" s="17">
        <f>IF(B32="","",ROW()-4)</f>
        <v/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</row>
    <row r="33">
      <c r="A33" s="16">
        <f>IF(B33="","",ROW()-4)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</row>
    <row r="34">
      <c r="A34" s="17">
        <f>IF(B34="","",ROW()-4)</f>
        <v/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</row>
    <row r="35">
      <c r="A35" s="16">
        <f>IF(B35="","",ROW()-4)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</row>
    <row r="36">
      <c r="A36" s="17">
        <f>IF(B36="","",ROW()-4)</f>
        <v/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</row>
    <row r="37">
      <c r="A37" s="16">
        <f>IF(B37="","",ROW()-4)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</row>
    <row r="38">
      <c r="A38" s="17">
        <f>IF(B38="","",ROW()-4)</f>
        <v/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</row>
    <row r="39">
      <c r="A39" s="16">
        <f>IF(B39="","",ROW()-4)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</row>
    <row r="40">
      <c r="A40" s="17">
        <f>IF(B40="","",ROW()-4)</f>
        <v/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</row>
    <row r="41">
      <c r="A41" s="16">
        <f>IF(B41="","",ROW()-4)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</row>
    <row r="42">
      <c r="A42" s="17">
        <f>IF(B42="","",ROW()-4)</f>
        <v/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</row>
    <row r="43">
      <c r="A43" s="16">
        <f>IF(B43="","",ROW()-4)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</row>
    <row r="44">
      <c r="A44" s="17">
        <f>IF(B44="","",ROW()-4)</f>
        <v/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</row>
    <row r="45">
      <c r="A45" s="16">
        <f>IF(B45="","",ROW()-4)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</row>
    <row r="46">
      <c r="A46" s="17">
        <f>IF(B46="","",ROW()-4)</f>
        <v/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</row>
    <row r="47">
      <c r="A47" s="16">
        <f>IF(B47="","",ROW()-4)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</row>
    <row r="48">
      <c r="A48" s="17">
        <f>IF(B48="","",ROW()-4)</f>
        <v/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</row>
    <row r="49">
      <c r="A49" s="16">
        <f>IF(B49="","",ROW()-4)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</row>
    <row r="50">
      <c r="A50" s="17">
        <f>IF(B50="","",ROW()-4)</f>
        <v/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</row>
    <row r="51">
      <c r="A51" s="16">
        <f>IF(B51="","",ROW()-4)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</row>
    <row r="52">
      <c r="A52" s="17">
        <f>IF(B52="","",ROW()-4)</f>
        <v/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</row>
    <row r="53">
      <c r="A53" s="16">
        <f>IF(B53="","",ROW()-4)</f>
        <v/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</row>
    <row r="54">
      <c r="A54" s="17">
        <f>IF(B54="","",ROW()-4)</f>
        <v/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</row>
    <row r="55">
      <c r="A55" s="16">
        <f>IF(B55="","",ROW()-4)</f>
        <v/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</row>
    <row r="56">
      <c r="A56" s="17">
        <f>IF(B56="","",ROW()-4)</f>
        <v/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</row>
    <row r="57">
      <c r="A57" s="16">
        <f>IF(B57="","",ROW()-4)</f>
        <v/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</row>
    <row r="58">
      <c r="A58" s="17">
        <f>IF(B58="","",ROW()-4)</f>
        <v/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</row>
    <row r="59">
      <c r="A59" s="16">
        <f>IF(B59="","",ROW()-4)</f>
        <v/>
      </c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</row>
    <row r="60">
      <c r="A60" s="17">
        <f>IF(B60="","",ROW()-4)</f>
        <v/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</row>
    <row r="61">
      <c r="A61" s="16">
        <f>IF(B61="","",ROW()-4)</f>
        <v/>
      </c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</row>
    <row r="62">
      <c r="A62" s="17">
        <f>IF(B62="","",ROW()-4)</f>
        <v/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</row>
    <row r="63">
      <c r="A63" s="16">
        <f>IF(B63="","",ROW()-4)</f>
        <v/>
      </c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</row>
    <row r="64">
      <c r="A64" s="17">
        <f>IF(B64="","",ROW()-4)</f>
        <v/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</row>
    <row r="65">
      <c r="A65" s="16">
        <f>IF(B65="","",ROW()-4)</f>
        <v/>
      </c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</row>
    <row r="66">
      <c r="A66" s="17">
        <f>IF(B66="","",ROW()-4)</f>
        <v/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</row>
    <row r="67">
      <c r="A67" s="16">
        <f>IF(B67="","",ROW()-4)</f>
        <v/>
      </c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</row>
    <row r="68">
      <c r="A68" s="17">
        <f>IF(B68="","",ROW()-4)</f>
        <v/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</row>
    <row r="69">
      <c r="A69" s="16">
        <f>IF(B69="","",ROW()-4)</f>
        <v/>
      </c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</row>
    <row r="70">
      <c r="A70" s="17">
        <f>IF(B70="","",ROW()-4)</f>
        <v/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</row>
    <row r="71">
      <c r="A71" s="16">
        <f>IF(B71="","",ROW()-4)</f>
        <v/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</row>
    <row r="72">
      <c r="A72" s="17">
        <f>IF(B72="","",ROW()-4)</f>
        <v/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</row>
    <row r="73">
      <c r="A73" s="16">
        <f>IF(B73="","",ROW()-4)</f>
        <v/>
      </c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</row>
    <row r="74">
      <c r="A74" s="17">
        <f>IF(B74="","",ROW()-4)</f>
        <v/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</row>
    <row r="75">
      <c r="A75" s="16">
        <f>IF(B75="","",ROW()-4)</f>
        <v/>
      </c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</row>
    <row r="76">
      <c r="A76" s="17">
        <f>IF(B76="","",ROW()-4)</f>
        <v/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</row>
    <row r="77">
      <c r="A77" s="16">
        <f>IF(B77="","",ROW()-4)</f>
        <v/>
      </c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</row>
    <row r="78">
      <c r="A78" s="17">
        <f>IF(B78="","",ROW()-4)</f>
        <v/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</row>
    <row r="79">
      <c r="A79" s="16">
        <f>IF(B79="","",ROW()-4)</f>
        <v/>
      </c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</row>
    <row r="80">
      <c r="A80" s="17">
        <f>IF(B80="","",ROW()-4)</f>
        <v/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</row>
    <row r="81">
      <c r="A81" s="16">
        <f>IF(B81="","",ROW()-4)</f>
        <v/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</row>
    <row r="82">
      <c r="A82" s="17">
        <f>IF(B82="","",ROW()-4)</f>
        <v/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</row>
    <row r="83">
      <c r="A83" s="16">
        <f>IF(B83="","",ROW()-4)</f>
        <v/>
      </c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</row>
    <row r="84">
      <c r="A84" s="17">
        <f>IF(B84="","",ROW()-4)</f>
        <v/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</row>
    <row r="85">
      <c r="A85" s="16">
        <f>IF(B85="","",ROW()-4)</f>
        <v/>
      </c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</row>
    <row r="86">
      <c r="A86" s="17">
        <f>IF(B86="","",ROW()-4)</f>
        <v/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</row>
    <row r="87">
      <c r="A87" s="16">
        <f>IF(B87="","",ROW()-4)</f>
        <v/>
      </c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</row>
    <row r="88">
      <c r="A88" s="17">
        <f>IF(B88="","",ROW()-4)</f>
        <v/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</row>
    <row r="89">
      <c r="A89" s="16">
        <f>IF(B89="","",ROW()-4)</f>
        <v/>
      </c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</row>
    <row r="90">
      <c r="A90" s="17">
        <f>IF(B90="","",ROW()-4)</f>
        <v/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</row>
    <row r="91">
      <c r="A91" s="16">
        <f>IF(B91="","",ROW()-4)</f>
        <v/>
      </c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</row>
    <row r="92">
      <c r="A92" s="17">
        <f>IF(B92="","",ROW()-4)</f>
        <v/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</row>
    <row r="93">
      <c r="A93" s="16">
        <f>IF(B93="","",ROW()-4)</f>
        <v/>
      </c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</row>
    <row r="94">
      <c r="A94" s="17">
        <f>IF(B94="","",ROW()-4)</f>
        <v/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</row>
    <row r="95">
      <c r="A95" s="16">
        <f>IF(B95="","",ROW()-4)</f>
        <v/>
      </c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</row>
    <row r="96">
      <c r="A96" s="17">
        <f>IF(B96="","",ROW()-4)</f>
        <v/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</row>
    <row r="97">
      <c r="A97" s="16">
        <f>IF(B97="","",ROW()-4)</f>
        <v/>
      </c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</row>
    <row r="98">
      <c r="A98" s="17">
        <f>IF(B98="","",ROW()-4)</f>
        <v/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</row>
    <row r="99">
      <c r="A99" s="16">
        <f>IF(B99="","",ROW()-4)</f>
        <v/>
      </c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</row>
    <row r="100">
      <c r="A100" s="17">
        <f>IF(B100="","",ROW()-4)</f>
        <v/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</row>
    <row r="101">
      <c r="A101" s="16">
        <f>IF(B101="","",ROW()-4)</f>
        <v/>
      </c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</row>
    <row r="102">
      <c r="A102" s="17">
        <f>IF(B102="","",ROW()-4)</f>
        <v/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</row>
    <row r="103">
      <c r="A103" s="16">
        <f>IF(B103="","",ROW()-4)</f>
        <v/>
      </c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</row>
    <row r="104">
      <c r="A104" s="17">
        <f>IF(B104="","",ROW()-4)</f>
        <v/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</row>
    <row r="105">
      <c r="A105" s="16">
        <f>IF(B105="","",ROW()-4)</f>
        <v/>
      </c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</row>
    <row r="106">
      <c r="A106" s="17">
        <f>IF(B106="","",ROW()-4)</f>
        <v/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</row>
    <row r="107">
      <c r="A107" s="16">
        <f>IF(B107="","",ROW()-4)</f>
        <v/>
      </c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</row>
    <row r="108">
      <c r="A108" s="17">
        <f>IF(B108="","",ROW()-4)</f>
        <v/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</row>
    <row r="109">
      <c r="A109" s="16">
        <f>IF(B109="","",ROW()-4)</f>
        <v/>
      </c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</row>
    <row r="110">
      <c r="A110" s="17">
        <f>IF(B110="","",ROW()-4)</f>
        <v/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</row>
    <row r="111">
      <c r="A111" s="16">
        <f>IF(B111="","",ROW()-4)</f>
        <v/>
      </c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</row>
    <row r="112">
      <c r="A112" s="17">
        <f>IF(B112="","",ROW()-4)</f>
        <v/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</row>
    <row r="113">
      <c r="A113" s="16">
        <f>IF(B113="","",ROW()-4)</f>
        <v/>
      </c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</row>
    <row r="114">
      <c r="A114" s="17">
        <f>IF(B114="","",ROW()-4)</f>
        <v/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</row>
    <row r="115">
      <c r="A115" s="16">
        <f>IF(B115="","",ROW()-4)</f>
        <v/>
      </c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</row>
    <row r="116">
      <c r="A116" s="17">
        <f>IF(B116="","",ROW()-4)</f>
        <v/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</row>
    <row r="117">
      <c r="A117" s="16">
        <f>IF(B117="","",ROW()-4)</f>
        <v/>
      </c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</row>
    <row r="118">
      <c r="A118" s="17">
        <f>IF(B118="","",ROW()-4)</f>
        <v/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</row>
    <row r="119">
      <c r="A119" s="16">
        <f>IF(B119="","",ROW()-4)</f>
        <v/>
      </c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</row>
    <row r="120">
      <c r="A120" s="17">
        <f>IF(B120="","",ROW()-4)</f>
        <v/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</row>
    <row r="121">
      <c r="A121" s="16">
        <f>IF(B121="","",ROW()-4)</f>
        <v/>
      </c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</row>
    <row r="122">
      <c r="A122" s="17">
        <f>IF(B122="","",ROW()-4)</f>
        <v/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</row>
    <row r="123">
      <c r="A123" s="16">
        <f>IF(B123="","",ROW()-4)</f>
        <v/>
      </c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</row>
    <row r="124">
      <c r="A124" s="17">
        <f>IF(B124="","",ROW()-4)</f>
        <v/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</row>
    <row r="125">
      <c r="A125" s="16">
        <f>IF(B125="","",ROW()-4)</f>
        <v/>
      </c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</row>
    <row r="126">
      <c r="A126" s="17">
        <f>IF(B126="","",ROW()-4)</f>
        <v/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</row>
    <row r="127">
      <c r="A127" s="16">
        <f>IF(B127="","",ROW()-4)</f>
        <v/>
      </c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</row>
    <row r="128">
      <c r="A128" s="17">
        <f>IF(B128="","",ROW()-4)</f>
        <v/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</row>
    <row r="129">
      <c r="A129" s="16">
        <f>IF(B129="","",ROW()-4)</f>
        <v/>
      </c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</row>
    <row r="130">
      <c r="A130" s="17">
        <f>IF(B130="","",ROW()-4)</f>
        <v/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</row>
    <row r="131">
      <c r="A131" s="16">
        <f>IF(B131="","",ROW()-4)</f>
        <v/>
      </c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</row>
    <row r="132">
      <c r="A132" s="17">
        <f>IF(B132="","",ROW()-4)</f>
        <v/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</row>
    <row r="133">
      <c r="A133" s="16">
        <f>IF(B133="","",ROW()-4)</f>
        <v/>
      </c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</row>
    <row r="134">
      <c r="A134" s="17">
        <f>IF(B134="","",ROW()-4)</f>
        <v/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</row>
    <row r="135">
      <c r="A135" s="16">
        <f>IF(B135="","",ROW()-4)</f>
        <v/>
      </c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</row>
    <row r="136">
      <c r="A136" s="17">
        <f>IF(B136="","",ROW()-4)</f>
        <v/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</row>
    <row r="137">
      <c r="A137" s="16">
        <f>IF(B137="","",ROW()-4)</f>
        <v/>
      </c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</row>
    <row r="138">
      <c r="A138" s="17">
        <f>IF(B138="","",ROW()-4)</f>
        <v/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</row>
    <row r="139">
      <c r="A139" s="16">
        <f>IF(B139="","",ROW()-4)</f>
        <v/>
      </c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</row>
    <row r="140">
      <c r="A140" s="17">
        <f>IF(B140="","",ROW()-4)</f>
        <v/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</row>
    <row r="141">
      <c r="A141" s="16">
        <f>IF(B141="","",ROW()-4)</f>
        <v/>
      </c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</row>
    <row r="142">
      <c r="A142" s="17">
        <f>IF(B142="","",ROW()-4)</f>
        <v/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</row>
    <row r="143">
      <c r="A143" s="16">
        <f>IF(B143="","",ROW()-4)</f>
        <v/>
      </c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</row>
    <row r="144">
      <c r="A144" s="17">
        <f>IF(B144="","",ROW()-4)</f>
        <v/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</row>
    <row r="145">
      <c r="A145" s="16">
        <f>IF(B145="","",ROW()-4)</f>
        <v/>
      </c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</row>
    <row r="146">
      <c r="A146" s="17">
        <f>IF(B146="","",ROW()-4)</f>
        <v/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</row>
    <row r="147">
      <c r="A147" s="16">
        <f>IF(B147="","",ROW()-4)</f>
        <v/>
      </c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</row>
    <row r="148">
      <c r="A148" s="17">
        <f>IF(B148="","",ROW()-4)</f>
        <v/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</row>
    <row r="149">
      <c r="A149" s="16">
        <f>IF(B149="","",ROW()-4)</f>
        <v/>
      </c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</row>
    <row r="150">
      <c r="A150" s="17">
        <f>IF(B150="","",ROW()-4)</f>
        <v/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</row>
    <row r="151">
      <c r="A151" s="16">
        <f>IF(B151="","",ROW()-4)</f>
        <v/>
      </c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</row>
    <row r="152">
      <c r="A152" s="17">
        <f>IF(B152="","",ROW()-4)</f>
        <v/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</row>
    <row r="153">
      <c r="A153" s="16">
        <f>IF(B153="","",ROW()-4)</f>
        <v/>
      </c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</row>
    <row r="154">
      <c r="A154" s="17">
        <f>IF(B154="","",ROW()-4)</f>
        <v/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</row>
    <row r="155">
      <c r="A155" s="16">
        <f>IF(B155="","",ROW()-4)</f>
        <v/>
      </c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</row>
    <row r="156">
      <c r="A156" s="17">
        <f>IF(B156="","",ROW()-4)</f>
        <v/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</row>
    <row r="157">
      <c r="A157" s="16">
        <f>IF(B157="","",ROW()-4)</f>
        <v/>
      </c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</row>
    <row r="158">
      <c r="A158" s="17">
        <f>IF(B158="","",ROW()-4)</f>
        <v/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</row>
    <row r="159">
      <c r="A159" s="16">
        <f>IF(B159="","",ROW()-4)</f>
        <v/>
      </c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</row>
    <row r="160">
      <c r="A160" s="17">
        <f>IF(B160="","",ROW()-4)</f>
        <v/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</row>
    <row r="161">
      <c r="A161" s="16">
        <f>IF(B161="","",ROW()-4)</f>
        <v/>
      </c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</row>
    <row r="162">
      <c r="A162" s="17">
        <f>IF(B162="","",ROW()-4)</f>
        <v/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</row>
    <row r="163">
      <c r="A163" s="16">
        <f>IF(B163="","",ROW()-4)</f>
        <v/>
      </c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</row>
    <row r="164">
      <c r="A164" s="17">
        <f>IF(B164="","",ROW()-4)</f>
        <v/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</row>
    <row r="165">
      <c r="A165" s="16">
        <f>IF(B165="","",ROW()-4)</f>
        <v/>
      </c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</row>
    <row r="166">
      <c r="A166" s="17">
        <f>IF(B166="","",ROW()-4)</f>
        <v/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</row>
    <row r="167">
      <c r="A167" s="16">
        <f>IF(B167="","",ROW()-4)</f>
        <v/>
      </c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</row>
    <row r="168">
      <c r="A168" s="17">
        <f>IF(B168="","",ROW()-4)</f>
        <v/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</row>
    <row r="169">
      <c r="A169" s="16">
        <f>IF(B169="","",ROW()-4)</f>
        <v/>
      </c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</row>
    <row r="170">
      <c r="A170" s="17">
        <f>IF(B170="","",ROW()-4)</f>
        <v/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</row>
    <row r="171">
      <c r="A171" s="16">
        <f>IF(B171="","",ROW()-4)</f>
        <v/>
      </c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</row>
    <row r="172">
      <c r="A172" s="17">
        <f>IF(B172="","",ROW()-4)</f>
        <v/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</row>
    <row r="173">
      <c r="A173" s="16">
        <f>IF(B173="","",ROW()-4)</f>
        <v/>
      </c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</row>
    <row r="174">
      <c r="A174" s="17">
        <f>IF(B174="","",ROW()-4)</f>
        <v/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</row>
    <row r="175">
      <c r="A175" s="16">
        <f>IF(B175="","",ROW()-4)</f>
        <v/>
      </c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</row>
    <row r="176">
      <c r="A176" s="17">
        <f>IF(B176="","",ROW()-4)</f>
        <v/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</row>
    <row r="177">
      <c r="A177" s="16">
        <f>IF(B177="","",ROW()-4)</f>
        <v/>
      </c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</row>
    <row r="178">
      <c r="A178" s="17">
        <f>IF(B178="","",ROW()-4)</f>
        <v/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</row>
    <row r="179">
      <c r="A179" s="16">
        <f>IF(B179="","",ROW()-4)</f>
        <v/>
      </c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</row>
    <row r="180">
      <c r="A180" s="17">
        <f>IF(B180="","",ROW()-4)</f>
        <v/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</row>
    <row r="181">
      <c r="A181" s="16">
        <f>IF(B181="","",ROW()-4)</f>
        <v/>
      </c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</row>
    <row r="182">
      <c r="A182" s="17">
        <f>IF(B182="","",ROW()-4)</f>
        <v/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</row>
    <row r="183">
      <c r="A183" s="16">
        <f>IF(B183="","",ROW()-4)</f>
        <v/>
      </c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</row>
    <row r="184">
      <c r="A184" s="17">
        <f>IF(B184="","",ROW()-4)</f>
        <v/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</row>
    <row r="185">
      <c r="A185" s="16">
        <f>IF(B185="","",ROW()-4)</f>
        <v/>
      </c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</row>
    <row r="186">
      <c r="A186" s="17">
        <f>IF(B186="","",ROW()-4)</f>
        <v/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</row>
    <row r="187">
      <c r="A187" s="16">
        <f>IF(B187="","",ROW()-4)</f>
        <v/>
      </c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</row>
    <row r="188">
      <c r="A188" s="17">
        <f>IF(B188="","",ROW()-4)</f>
        <v/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</row>
    <row r="189">
      <c r="A189" s="16">
        <f>IF(B189="","",ROW()-4)</f>
        <v/>
      </c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</row>
    <row r="190">
      <c r="A190" s="17">
        <f>IF(B190="","",ROW()-4)</f>
        <v/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</row>
    <row r="191">
      <c r="A191" s="16">
        <f>IF(B191="","",ROW()-4)</f>
        <v/>
      </c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</row>
    <row r="192">
      <c r="A192" s="17">
        <f>IF(B192="","",ROW()-4)</f>
        <v/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</row>
    <row r="193">
      <c r="A193" s="16">
        <f>IF(B193="","",ROW()-4)</f>
        <v/>
      </c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</row>
    <row r="194">
      <c r="A194" s="17">
        <f>IF(B194="","",ROW()-4)</f>
        <v/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</row>
    <row r="195">
      <c r="A195" s="16">
        <f>IF(B195="","",ROW()-4)</f>
        <v/>
      </c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</row>
    <row r="196">
      <c r="A196" s="17">
        <f>IF(B196="","",ROW()-4)</f>
        <v/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</row>
    <row r="197">
      <c r="A197" s="16">
        <f>IF(B197="","",ROW()-4)</f>
        <v/>
      </c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</row>
    <row r="198">
      <c r="A198" s="17">
        <f>IF(B198="","",ROW()-4)</f>
        <v/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</row>
    <row r="199">
      <c r="A199" s="16">
        <f>IF(B199="","",ROW()-4)</f>
        <v/>
      </c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</row>
    <row r="200">
      <c r="A200" s="17">
        <f>IF(B200="","",ROW()-4)</f>
        <v/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</row>
    <row r="201">
      <c r="A201" s="16">
        <f>IF(B201="","",ROW()-4)</f>
        <v/>
      </c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</row>
    <row r="202">
      <c r="A202" s="17">
        <f>IF(B202="","",ROW()-4)</f>
        <v/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</row>
    <row r="203">
      <c r="A203" s="16">
        <f>IF(B203="","",ROW()-4)</f>
        <v/>
      </c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</row>
    <row r="204">
      <c r="A204" s="17">
        <f>IF(B204="","",ROW()-4)</f>
        <v/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</row>
    <row r="205">
      <c r="A205" s="16">
        <f>IF(B205="","",ROW()-4)</f>
        <v/>
      </c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</row>
    <row r="206">
      <c r="A206" s="17">
        <f>IF(B206="","",ROW()-4)</f>
        <v/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</row>
    <row r="207">
      <c r="A207" s="16">
        <f>IF(B207="","",ROW()-4)</f>
        <v/>
      </c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</row>
    <row r="208">
      <c r="A208" s="17">
        <f>IF(B208="","",ROW()-4)</f>
        <v/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</row>
    <row r="209">
      <c r="A209" s="16">
        <f>IF(B209="","",ROW()-4)</f>
        <v/>
      </c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</row>
    <row r="210">
      <c r="A210" s="17">
        <f>IF(B210="","",ROW()-4)</f>
        <v/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</row>
    <row r="211">
      <c r="A211" s="16">
        <f>IF(B211="","",ROW()-4)</f>
        <v/>
      </c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</row>
    <row r="212">
      <c r="A212" s="17">
        <f>IF(B212="","",ROW()-4)</f>
        <v/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</row>
    <row r="213">
      <c r="A213" s="16">
        <f>IF(B213="","",ROW()-4)</f>
        <v/>
      </c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</row>
    <row r="214">
      <c r="A214" s="17">
        <f>IF(B214="","",ROW()-4)</f>
        <v/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</row>
    <row r="215">
      <c r="A215" s="16">
        <f>IF(B215="","",ROW()-4)</f>
        <v/>
      </c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</row>
    <row r="216">
      <c r="A216" s="17">
        <f>IF(B216="","",ROW()-4)</f>
        <v/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</row>
    <row r="217">
      <c r="A217" s="16">
        <f>IF(B217="","",ROW()-4)</f>
        <v/>
      </c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</row>
    <row r="218">
      <c r="A218" s="17">
        <f>IF(B218="","",ROW()-4)</f>
        <v/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</row>
    <row r="219">
      <c r="A219" s="16">
        <f>IF(B219="","",ROW()-4)</f>
        <v/>
      </c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</row>
    <row r="220">
      <c r="A220" s="17">
        <f>IF(B220="","",ROW()-4)</f>
        <v/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</row>
    <row r="221">
      <c r="A221" s="16">
        <f>IF(B221="","",ROW()-4)</f>
        <v/>
      </c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</row>
    <row r="222">
      <c r="A222" s="17">
        <f>IF(B222="","",ROW()-4)</f>
        <v/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</row>
    <row r="223">
      <c r="A223" s="16">
        <f>IF(B223="","",ROW()-4)</f>
        <v/>
      </c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</row>
    <row r="224">
      <c r="A224" s="17">
        <f>IF(B224="","",ROW()-4)</f>
        <v/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</row>
    <row r="225">
      <c r="A225" s="16">
        <f>IF(B225="","",ROW()-4)</f>
        <v/>
      </c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</row>
    <row r="226">
      <c r="A226" s="17">
        <f>IF(B226="","",ROW()-4)</f>
        <v/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</row>
    <row r="227">
      <c r="A227" s="16">
        <f>IF(B227="","",ROW()-4)</f>
        <v/>
      </c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</row>
    <row r="228">
      <c r="A228" s="17">
        <f>IF(B228="","",ROW()-4)</f>
        <v/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</row>
    <row r="229">
      <c r="A229" s="16">
        <f>IF(B229="","",ROW()-4)</f>
        <v/>
      </c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</row>
    <row r="230">
      <c r="A230" s="17">
        <f>IF(B230="","",ROW()-4)</f>
        <v/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</row>
    <row r="231">
      <c r="A231" s="16">
        <f>IF(B231="","",ROW()-4)</f>
        <v/>
      </c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</row>
    <row r="232">
      <c r="A232" s="17">
        <f>IF(B232="","",ROW()-4)</f>
        <v/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</row>
    <row r="233">
      <c r="A233" s="16">
        <f>IF(B233="","",ROW()-4)</f>
        <v/>
      </c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</row>
    <row r="234">
      <c r="A234" s="17">
        <f>IF(B234="","",ROW()-4)</f>
        <v/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</row>
    <row r="235">
      <c r="A235" s="16">
        <f>IF(B235="","",ROW()-4)</f>
        <v/>
      </c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</row>
    <row r="236">
      <c r="A236" s="17">
        <f>IF(B236="","",ROW()-4)</f>
        <v/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</row>
    <row r="237">
      <c r="A237" s="16">
        <f>IF(B237="","",ROW()-4)</f>
        <v/>
      </c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</row>
    <row r="238">
      <c r="A238" s="17">
        <f>IF(B238="","",ROW()-4)</f>
        <v/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</row>
    <row r="239">
      <c r="A239" s="16">
        <f>IF(B239="","",ROW()-4)</f>
        <v/>
      </c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</row>
    <row r="240">
      <c r="A240" s="17">
        <f>IF(B240="","",ROW()-4)</f>
        <v/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</row>
    <row r="241">
      <c r="A241" s="16">
        <f>IF(B241="","",ROW()-4)</f>
        <v/>
      </c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</row>
    <row r="242">
      <c r="A242" s="17">
        <f>IF(B242="","",ROW()-4)</f>
        <v/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</row>
    <row r="243">
      <c r="A243" s="16">
        <f>IF(B243="","",ROW()-4)</f>
        <v/>
      </c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</row>
    <row r="244">
      <c r="A244" s="17">
        <f>IF(B244="","",ROW()-4)</f>
        <v/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</row>
    <row r="245">
      <c r="A245" s="16">
        <f>IF(B245="","",ROW()-4)</f>
        <v/>
      </c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</row>
    <row r="246">
      <c r="A246" s="17">
        <f>IF(B246="","",ROW()-4)</f>
        <v/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</row>
    <row r="247">
      <c r="A247" s="16">
        <f>IF(B247="","",ROW()-4)</f>
        <v/>
      </c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</row>
    <row r="248">
      <c r="A248" s="17">
        <f>IF(B248="","",ROW()-4)</f>
        <v/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</row>
    <row r="249">
      <c r="A249" s="16">
        <f>IF(B249="","",ROW()-4)</f>
        <v/>
      </c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</row>
    <row r="250">
      <c r="A250" s="17">
        <f>IF(B250="","",ROW()-4)</f>
        <v/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</row>
    <row r="251">
      <c r="A251" s="16">
        <f>IF(B251="","",ROW()-4)</f>
        <v/>
      </c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</row>
    <row r="252">
      <c r="A252" s="17">
        <f>IF(B252="","",ROW()-4)</f>
        <v/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</row>
    <row r="253">
      <c r="A253" s="16">
        <f>IF(B253="","",ROW()-4)</f>
        <v/>
      </c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</row>
    <row r="254">
      <c r="A254" s="17">
        <f>IF(B254="","",ROW()-4)</f>
        <v/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</row>
    <row r="255">
      <c r="A255" s="16">
        <f>IF(B255="","",ROW()-4)</f>
        <v/>
      </c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</row>
    <row r="256">
      <c r="A256" s="17">
        <f>IF(B256="","",ROW()-4)</f>
        <v/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</row>
    <row r="257">
      <c r="A257" s="16">
        <f>IF(B257="","",ROW()-4)</f>
        <v/>
      </c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</row>
    <row r="258">
      <c r="A258" s="17">
        <f>IF(B258="","",ROW()-4)</f>
        <v/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</row>
    <row r="259">
      <c r="A259" s="16">
        <f>IF(B259="","",ROW()-4)</f>
        <v/>
      </c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</row>
    <row r="260">
      <c r="A260" s="17">
        <f>IF(B260="","",ROW()-4)</f>
        <v/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</row>
    <row r="261">
      <c r="A261" s="16">
        <f>IF(B261="","",ROW()-4)</f>
        <v/>
      </c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</row>
    <row r="262">
      <c r="A262" s="17">
        <f>IF(B262="","",ROW()-4)</f>
        <v/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</row>
    <row r="263">
      <c r="A263" s="16">
        <f>IF(B263="","",ROW()-4)</f>
        <v/>
      </c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</row>
    <row r="264">
      <c r="A264" s="17">
        <f>IF(B264="","",ROW()-4)</f>
        <v/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</row>
    <row r="265">
      <c r="A265" s="16">
        <f>IF(B265="","",ROW()-4)</f>
        <v/>
      </c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</row>
    <row r="266">
      <c r="A266" s="17">
        <f>IF(B266="","",ROW()-4)</f>
        <v/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</row>
    <row r="267">
      <c r="A267" s="16">
        <f>IF(B267="","",ROW()-4)</f>
        <v/>
      </c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</row>
    <row r="268">
      <c r="A268" s="17">
        <f>IF(B268="","",ROW()-4)</f>
        <v/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</row>
    <row r="269">
      <c r="A269" s="16">
        <f>IF(B269="","",ROW()-4)</f>
        <v/>
      </c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</row>
    <row r="270">
      <c r="A270" s="17">
        <f>IF(B270="","",ROW()-4)</f>
        <v/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</row>
    <row r="271">
      <c r="A271" s="16">
        <f>IF(B271="","",ROW()-4)</f>
        <v/>
      </c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</row>
    <row r="272">
      <c r="A272" s="17">
        <f>IF(B272="","",ROW()-4)</f>
        <v/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</row>
    <row r="273">
      <c r="A273" s="16">
        <f>IF(B273="","",ROW()-4)</f>
        <v/>
      </c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</row>
    <row r="274">
      <c r="A274" s="17">
        <f>IF(B274="","",ROW()-4)</f>
        <v/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</row>
    <row r="275">
      <c r="A275" s="16">
        <f>IF(B275="","",ROW()-4)</f>
        <v/>
      </c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</row>
    <row r="276">
      <c r="A276" s="17">
        <f>IF(B276="","",ROW()-4)</f>
        <v/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</row>
    <row r="277">
      <c r="A277" s="16">
        <f>IF(B277="","",ROW()-4)</f>
        <v/>
      </c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</row>
    <row r="278">
      <c r="A278" s="17">
        <f>IF(B278="","",ROW()-4)</f>
        <v/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</row>
    <row r="279">
      <c r="A279" s="16">
        <f>IF(B279="","",ROW()-4)</f>
        <v/>
      </c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</row>
    <row r="280">
      <c r="A280" s="17">
        <f>IF(B280="","",ROW()-4)</f>
        <v/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</row>
    <row r="281">
      <c r="A281" s="16">
        <f>IF(B281="","",ROW()-4)</f>
        <v/>
      </c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</row>
    <row r="282">
      <c r="A282" s="17">
        <f>IF(B282="","",ROW()-4)</f>
        <v/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</row>
    <row r="283">
      <c r="A283" s="16">
        <f>IF(B283="","",ROW()-4)</f>
        <v/>
      </c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</row>
    <row r="284">
      <c r="A284" s="17">
        <f>IF(B284="","",ROW()-4)</f>
        <v/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</row>
    <row r="285">
      <c r="A285" s="16">
        <f>IF(B285="","",ROW()-4)</f>
        <v/>
      </c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</row>
    <row r="286">
      <c r="A286" s="17">
        <f>IF(B286="","",ROW()-4)</f>
        <v/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</row>
    <row r="287">
      <c r="A287" s="16">
        <f>IF(B287="","",ROW()-4)</f>
        <v/>
      </c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</row>
    <row r="288">
      <c r="A288" s="17">
        <f>IF(B288="","",ROW()-4)</f>
        <v/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</row>
    <row r="289">
      <c r="A289" s="16">
        <f>IF(B289="","",ROW()-4)</f>
        <v/>
      </c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</row>
    <row r="290">
      <c r="A290" s="17">
        <f>IF(B290="","",ROW()-4)</f>
        <v/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</row>
    <row r="291">
      <c r="A291" s="16">
        <f>IF(B291="","",ROW()-4)</f>
        <v/>
      </c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</row>
    <row r="292">
      <c r="A292" s="17">
        <f>IF(B292="","",ROW()-4)</f>
        <v/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</row>
    <row r="293">
      <c r="A293" s="16">
        <f>IF(B293="","",ROW()-4)</f>
        <v/>
      </c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</row>
    <row r="294">
      <c r="A294" s="17">
        <f>IF(B294="","",ROW()-4)</f>
        <v/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</row>
    <row r="295">
      <c r="A295" s="16">
        <f>IF(B295="","",ROW()-4)</f>
        <v/>
      </c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</row>
    <row r="296">
      <c r="A296" s="17">
        <f>IF(B296="","",ROW()-4)</f>
        <v/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</row>
    <row r="297">
      <c r="A297" s="16">
        <f>IF(B297="","",ROW()-4)</f>
        <v/>
      </c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</row>
    <row r="298">
      <c r="A298" s="17">
        <f>IF(B298="","",ROW()-4)</f>
        <v/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</row>
    <row r="299">
      <c r="A299" s="16">
        <f>IF(B299="","",ROW()-4)</f>
        <v/>
      </c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</row>
    <row r="300">
      <c r="A300" s="17">
        <f>IF(B300="","",ROW()-4)</f>
        <v/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</row>
    <row r="301">
      <c r="A301" s="16">
        <f>IF(B301="","",ROW()-4)</f>
        <v/>
      </c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</row>
    <row r="302">
      <c r="A302" s="17">
        <f>IF(B302="","",ROW()-4)</f>
        <v/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</row>
    <row r="303">
      <c r="A303" s="16">
        <f>IF(B303="","",ROW()-4)</f>
        <v/>
      </c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</row>
    <row r="304">
      <c r="A304" s="17">
        <f>IF(B304="","",ROW()-4)</f>
        <v/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</row>
  </sheetData>
  <autoFilter ref="A4:P304"/>
  <mergeCells count="2">
    <mergeCell ref="A1:P1"/>
    <mergeCell ref="A2:P2"/>
  </mergeCells>
  <conditionalFormatting sqref="F5:F304">
    <cfRule type="cellIs" priority="1" operator="equal" dxfId="0">
      <formula>"To screen"</formula>
    </cfRule>
    <cfRule type="cellIs" priority="2" operator="equal" dxfId="0">
      <formula>"To read"</formula>
    </cfRule>
    <cfRule type="cellIs" priority="3" operator="equal" dxfId="1">
      <formula>"Reading"</formula>
    </cfRule>
    <cfRule type="cellIs" priority="4" operator="equal" dxfId="2">
      <formula>"Read"</formula>
    </cfRule>
    <cfRule type="cellIs" priority="5" operator="equal" dxfId="3">
      <formula>"Excluded"</formula>
    </cfRule>
  </conditionalFormatting>
  <dataValidations count="4">
    <dataValidation sqref="E5:E304" showDropDown="0" showInputMessage="0" showErrorMessage="0" allowBlank="1" type="list">
      <formula1>Lists!$B$1:$B$8</formula1>
    </dataValidation>
    <dataValidation sqref="F5:F304" showDropDown="0" showInputMessage="0" showErrorMessage="0" allowBlank="1" type="list">
      <formula1>Lists!$A$1:$A$5</formula1>
    </dataValidation>
    <dataValidation sqref="G5:G304" showDropDown="0" showInputMessage="0" showErrorMessage="0" allowBlank="1" type="list">
      <formula1>Lists!$C$1:$C$3</formula1>
    </dataValidation>
    <dataValidation sqref="H5:H304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3" customWidth="1" min="4" max="4"/>
    <col width="13" customWidth="1" min="5" max="5"/>
    <col width="11" customWidth="1" min="6" max="6"/>
    <col width="13" customWidth="1" min="7" max="7"/>
    <col width="44" customWidth="1" min="8" max="8"/>
  </cols>
  <sheetData>
    <row r="1" ht="26" customHeight="1">
      <c r="A1" s="7" t="inlineStr">
        <is>
          <t>Chapter Pipeline</t>
        </is>
      </c>
    </row>
    <row r="2">
      <c r="A2" s="8" t="inlineStr">
        <is>
          <t>Break the thesis into sections small enough to finish in a week.</t>
        </is>
      </c>
    </row>
    <row r="4" ht="30" customHeight="1">
      <c r="A4" s="15" t="inlineStr">
        <is>
          <t>Chapter</t>
        </is>
      </c>
      <c r="B4" s="15" t="inlineStr">
        <is>
          <t>Section</t>
        </is>
      </c>
      <c r="C4" s="15" t="inlineStr">
        <is>
          <t>Status</t>
        </is>
      </c>
      <c r="D4" s="15" t="inlineStr">
        <is>
          <t>Target words</t>
        </is>
      </c>
      <c r="E4" s="15" t="inlineStr">
        <is>
          <t>Current words</t>
        </is>
      </c>
      <c r="F4" s="15" t="inlineStr">
        <is>
          <t>Progress</t>
        </is>
      </c>
      <c r="G4" s="15" t="inlineStr">
        <is>
          <t>Deadline</t>
        </is>
      </c>
      <c r="H4" s="15" t="inlineStr">
        <is>
          <t>Notes / next step</t>
        </is>
      </c>
    </row>
    <row r="5">
      <c r="A5" s="16" t="inlineStr">
        <is>
          <t>1 · Introduction</t>
        </is>
      </c>
      <c r="B5" s="16" t="inlineStr">
        <is>
          <t>Problem statement</t>
        </is>
      </c>
      <c r="C5" s="16" t="inlineStr">
        <is>
          <t>Full draft</t>
        </is>
      </c>
      <c r="D5" s="16" t="n">
        <v>1200</v>
      </c>
      <c r="E5" s="16" t="n">
        <v>1100</v>
      </c>
      <c r="F5" s="18">
        <f>IF(D5=0,"",MIN(1,E5/D5))</f>
        <v/>
      </c>
      <c r="G5" s="16" t="n"/>
      <c r="H5" s="16" t="n"/>
    </row>
    <row r="6">
      <c r="A6" s="17" t="inlineStr">
        <is>
          <t>2 · Literature review</t>
        </is>
      </c>
      <c r="B6" s="17" t="inlineStr">
        <is>
          <t>Theoretical framework</t>
        </is>
      </c>
      <c r="C6" s="17" t="inlineStr">
        <is>
          <t>Drafting</t>
        </is>
      </c>
      <c r="D6" s="17" t="n">
        <v>4000</v>
      </c>
      <c r="E6" s="17" t="n">
        <v>1650</v>
      </c>
      <c r="F6" s="19">
        <f>IF(D6=0,"",MIN(1,E6/D6))</f>
        <v/>
      </c>
      <c r="G6" s="17" t="n"/>
      <c r="H6" s="17" t="n"/>
    </row>
    <row r="7">
      <c r="A7" s="16" t="inlineStr">
        <is>
          <t>3 · Methods</t>
        </is>
      </c>
      <c r="B7" s="16" t="inlineStr">
        <is>
          <t>Study design</t>
        </is>
      </c>
      <c r="C7" s="16" t="inlineStr">
        <is>
          <t>Outline</t>
        </is>
      </c>
      <c r="D7" s="16" t="n">
        <v>2500</v>
      </c>
      <c r="E7" s="16" t="n">
        <v>300</v>
      </c>
      <c r="F7" s="18">
        <f>IF(D7=0,"",MIN(1,E7/D7))</f>
        <v/>
      </c>
      <c r="G7" s="16" t="n"/>
      <c r="H7" s="16" t="n"/>
    </row>
    <row r="8">
      <c r="A8" s="17" t="n"/>
      <c r="B8" s="17" t="n"/>
      <c r="C8" s="17" t="n"/>
      <c r="D8" s="17" t="n"/>
      <c r="E8" s="17" t="n"/>
      <c r="F8" s="19">
        <f>IF(D8=0,"",MIN(1,E8/D8))</f>
        <v/>
      </c>
      <c r="G8" s="17" t="n"/>
      <c r="H8" s="17" t="n"/>
    </row>
    <row r="9">
      <c r="A9" s="16" t="n"/>
      <c r="B9" s="16" t="n"/>
      <c r="C9" s="16" t="n"/>
      <c r="D9" s="16" t="n"/>
      <c r="E9" s="16" t="n"/>
      <c r="F9" s="18">
        <f>IF(D9=0,"",MIN(1,E9/D9))</f>
        <v/>
      </c>
      <c r="G9" s="16" t="n"/>
      <c r="H9" s="16" t="n"/>
    </row>
    <row r="10">
      <c r="A10" s="17" t="n"/>
      <c r="B10" s="17" t="n"/>
      <c r="C10" s="17" t="n"/>
      <c r="D10" s="17" t="n"/>
      <c r="E10" s="17" t="n"/>
      <c r="F10" s="19">
        <f>IF(D10=0,"",MIN(1,E10/D10))</f>
        <v/>
      </c>
      <c r="G10" s="17" t="n"/>
      <c r="H10" s="17" t="n"/>
    </row>
    <row r="11">
      <c r="A11" s="16" t="n"/>
      <c r="B11" s="16" t="n"/>
      <c r="C11" s="16" t="n"/>
      <c r="D11" s="16" t="n"/>
      <c r="E11" s="16" t="n"/>
      <c r="F11" s="18">
        <f>IF(D11=0,"",MIN(1,E11/D11))</f>
        <v/>
      </c>
      <c r="G11" s="16" t="n"/>
      <c r="H11" s="16" t="n"/>
    </row>
    <row r="12">
      <c r="A12" s="17" t="n"/>
      <c r="B12" s="17" t="n"/>
      <c r="C12" s="17" t="n"/>
      <c r="D12" s="17" t="n"/>
      <c r="E12" s="17" t="n"/>
      <c r="F12" s="19">
        <f>IF(D12=0,"",MIN(1,E12/D12))</f>
        <v/>
      </c>
      <c r="G12" s="17" t="n"/>
      <c r="H12" s="17" t="n"/>
    </row>
    <row r="13">
      <c r="A13" s="16" t="n"/>
      <c r="B13" s="16" t="n"/>
      <c r="C13" s="16" t="n"/>
      <c r="D13" s="16" t="n"/>
      <c r="E13" s="16" t="n"/>
      <c r="F13" s="18">
        <f>IF(D13=0,"",MIN(1,E13/D13))</f>
        <v/>
      </c>
      <c r="G13" s="16" t="n"/>
      <c r="H13" s="16" t="n"/>
    </row>
    <row r="14">
      <c r="A14" s="17" t="n"/>
      <c r="B14" s="17" t="n"/>
      <c r="C14" s="17" t="n"/>
      <c r="D14" s="17" t="n"/>
      <c r="E14" s="17" t="n"/>
      <c r="F14" s="19">
        <f>IF(D14=0,"",MIN(1,E14/D14))</f>
        <v/>
      </c>
      <c r="G14" s="17" t="n"/>
      <c r="H14" s="17" t="n"/>
    </row>
    <row r="15">
      <c r="A15" s="16" t="n"/>
      <c r="B15" s="16" t="n"/>
      <c r="C15" s="16" t="n"/>
      <c r="D15" s="16" t="n"/>
      <c r="E15" s="16" t="n"/>
      <c r="F15" s="18">
        <f>IF(D15=0,"",MIN(1,E15/D15))</f>
        <v/>
      </c>
      <c r="G15" s="16" t="n"/>
      <c r="H15" s="16" t="n"/>
    </row>
    <row r="16">
      <c r="A16" s="17" t="n"/>
      <c r="B16" s="17" t="n"/>
      <c r="C16" s="17" t="n"/>
      <c r="D16" s="17" t="n"/>
      <c r="E16" s="17" t="n"/>
      <c r="F16" s="19">
        <f>IF(D16=0,"",MIN(1,E16/D16))</f>
        <v/>
      </c>
      <c r="G16" s="17" t="n"/>
      <c r="H16" s="17" t="n"/>
    </row>
    <row r="17">
      <c r="A17" s="16" t="n"/>
      <c r="B17" s="16" t="n"/>
      <c r="C17" s="16" t="n"/>
      <c r="D17" s="16" t="n"/>
      <c r="E17" s="16" t="n"/>
      <c r="F17" s="18">
        <f>IF(D17=0,"",MIN(1,E17/D17))</f>
        <v/>
      </c>
      <c r="G17" s="16" t="n"/>
      <c r="H17" s="16" t="n"/>
    </row>
    <row r="18">
      <c r="A18" s="17" t="n"/>
      <c r="B18" s="17" t="n"/>
      <c r="C18" s="17" t="n"/>
      <c r="D18" s="17" t="n"/>
      <c r="E18" s="17" t="n"/>
      <c r="F18" s="19">
        <f>IF(D18=0,"",MIN(1,E18/D18))</f>
        <v/>
      </c>
      <c r="G18" s="17" t="n"/>
      <c r="H18" s="17" t="n"/>
    </row>
    <row r="19">
      <c r="A19" s="16" t="n"/>
      <c r="B19" s="16" t="n"/>
      <c r="C19" s="16" t="n"/>
      <c r="D19" s="16" t="n"/>
      <c r="E19" s="16" t="n"/>
      <c r="F19" s="18">
        <f>IF(D19=0,"",MIN(1,E19/D19))</f>
        <v/>
      </c>
      <c r="G19" s="16" t="n"/>
      <c r="H19" s="16" t="n"/>
    </row>
    <row r="20">
      <c r="A20" s="17" t="n"/>
      <c r="B20" s="17" t="n"/>
      <c r="C20" s="17" t="n"/>
      <c r="D20" s="17" t="n"/>
      <c r="E20" s="17" t="n"/>
      <c r="F20" s="19">
        <f>IF(D20=0,"",MIN(1,E20/D20))</f>
        <v/>
      </c>
      <c r="G20" s="17" t="n"/>
      <c r="H20" s="17" t="n"/>
    </row>
    <row r="21">
      <c r="A21" s="16" t="n"/>
      <c r="B21" s="16" t="n"/>
      <c r="C21" s="16" t="n"/>
      <c r="D21" s="16" t="n"/>
      <c r="E21" s="16" t="n"/>
      <c r="F21" s="18">
        <f>IF(D21=0,"",MIN(1,E21/D21))</f>
        <v/>
      </c>
      <c r="G21" s="16" t="n"/>
      <c r="H21" s="16" t="n"/>
    </row>
    <row r="22">
      <c r="A22" s="17" t="n"/>
      <c r="B22" s="17" t="n"/>
      <c r="C22" s="17" t="n"/>
      <c r="D22" s="17" t="n"/>
      <c r="E22" s="17" t="n"/>
      <c r="F22" s="19">
        <f>IF(D22=0,"",MIN(1,E22/D22))</f>
        <v/>
      </c>
      <c r="G22" s="17" t="n"/>
      <c r="H22" s="17" t="n"/>
    </row>
    <row r="23">
      <c r="A23" s="16" t="n"/>
      <c r="B23" s="16" t="n"/>
      <c r="C23" s="16" t="n"/>
      <c r="D23" s="16" t="n"/>
      <c r="E23" s="16" t="n"/>
      <c r="F23" s="18">
        <f>IF(D23=0,"",MIN(1,E23/D23))</f>
        <v/>
      </c>
      <c r="G23" s="16" t="n"/>
      <c r="H23" s="16" t="n"/>
    </row>
    <row r="24">
      <c r="A24" s="17" t="n"/>
      <c r="B24" s="17" t="n"/>
      <c r="C24" s="17" t="n"/>
      <c r="D24" s="17" t="n"/>
      <c r="E24" s="17" t="n"/>
      <c r="F24" s="19">
        <f>IF(D24=0,"",MIN(1,E24/D24))</f>
        <v/>
      </c>
      <c r="G24" s="17" t="n"/>
      <c r="H24" s="17" t="n"/>
    </row>
    <row r="25">
      <c r="A25" s="16" t="n"/>
      <c r="B25" s="16" t="n"/>
      <c r="C25" s="16" t="n"/>
      <c r="D25" s="16" t="n"/>
      <c r="E25" s="16" t="n"/>
      <c r="F25" s="18">
        <f>IF(D25=0,"",MIN(1,E25/D25))</f>
        <v/>
      </c>
      <c r="G25" s="16" t="n"/>
      <c r="H25" s="16" t="n"/>
    </row>
    <row r="26">
      <c r="A26" s="17" t="n"/>
      <c r="B26" s="17" t="n"/>
      <c r="C26" s="17" t="n"/>
      <c r="D26" s="17" t="n"/>
      <c r="E26" s="17" t="n"/>
      <c r="F26" s="19">
        <f>IF(D26=0,"",MIN(1,E26/D26))</f>
        <v/>
      </c>
      <c r="G26" s="17" t="n"/>
      <c r="H26" s="17" t="n"/>
    </row>
    <row r="27">
      <c r="A27" s="16" t="n"/>
      <c r="B27" s="16" t="n"/>
      <c r="C27" s="16" t="n"/>
      <c r="D27" s="16" t="n"/>
      <c r="E27" s="16" t="n"/>
      <c r="F27" s="18">
        <f>IF(D27=0,"",MIN(1,E27/D27))</f>
        <v/>
      </c>
      <c r="G27" s="16" t="n"/>
      <c r="H27" s="16" t="n"/>
    </row>
    <row r="28">
      <c r="A28" s="17" t="n"/>
      <c r="B28" s="17" t="n"/>
      <c r="C28" s="17" t="n"/>
      <c r="D28" s="17" t="n"/>
      <c r="E28" s="17" t="n"/>
      <c r="F28" s="19">
        <f>IF(D28=0,"",MIN(1,E28/D28))</f>
        <v/>
      </c>
      <c r="G28" s="17" t="n"/>
      <c r="H28" s="17" t="n"/>
    </row>
    <row r="29">
      <c r="A29" s="16" t="n"/>
      <c r="B29" s="16" t="n"/>
      <c r="C29" s="16" t="n"/>
      <c r="D29" s="16" t="n"/>
      <c r="E29" s="16" t="n"/>
      <c r="F29" s="18">
        <f>IF(D29=0,"",MIN(1,E29/D29))</f>
        <v/>
      </c>
      <c r="G29" s="16" t="n"/>
      <c r="H29" s="16" t="n"/>
    </row>
    <row r="30">
      <c r="A30" s="17" t="n"/>
      <c r="B30" s="17" t="n"/>
      <c r="C30" s="17" t="n"/>
      <c r="D30" s="17" t="n"/>
      <c r="E30" s="17" t="n"/>
      <c r="F30" s="19">
        <f>IF(D30=0,"",MIN(1,E30/D30))</f>
        <v/>
      </c>
      <c r="G30" s="17" t="n"/>
      <c r="H30" s="17" t="n"/>
    </row>
    <row r="31">
      <c r="A31" s="16" t="n"/>
      <c r="B31" s="16" t="n"/>
      <c r="C31" s="16" t="n"/>
      <c r="D31" s="16" t="n"/>
      <c r="E31" s="16" t="n"/>
      <c r="F31" s="18">
        <f>IF(D31=0,"",MIN(1,E31/D31))</f>
        <v/>
      </c>
      <c r="G31" s="16" t="n"/>
      <c r="H31" s="16" t="n"/>
    </row>
    <row r="32">
      <c r="A32" s="17" t="n"/>
      <c r="B32" s="17" t="n"/>
      <c r="C32" s="17" t="n"/>
      <c r="D32" s="17" t="n"/>
      <c r="E32" s="17" t="n"/>
      <c r="F32" s="19">
        <f>IF(D32=0,"",MIN(1,E32/D32))</f>
        <v/>
      </c>
      <c r="G32" s="17" t="n"/>
      <c r="H32" s="17" t="n"/>
    </row>
    <row r="33">
      <c r="A33" s="16" t="n"/>
      <c r="B33" s="16" t="n"/>
      <c r="C33" s="16" t="n"/>
      <c r="D33" s="16" t="n"/>
      <c r="E33" s="16" t="n"/>
      <c r="F33" s="18">
        <f>IF(D33=0,"",MIN(1,E33/D33))</f>
        <v/>
      </c>
      <c r="G33" s="16" t="n"/>
      <c r="H33" s="16" t="n"/>
    </row>
    <row r="34">
      <c r="A34" s="17" t="n"/>
      <c r="B34" s="17" t="n"/>
      <c r="C34" s="17" t="n"/>
      <c r="D34" s="17" t="n"/>
      <c r="E34" s="17" t="n"/>
      <c r="F34" s="19">
        <f>IF(D34=0,"",MIN(1,E34/D34))</f>
        <v/>
      </c>
      <c r="G34" s="17" t="n"/>
      <c r="H34" s="17" t="n"/>
    </row>
    <row r="35">
      <c r="A35" s="16" t="n"/>
      <c r="B35" s="16" t="n"/>
      <c r="C35" s="16" t="n"/>
      <c r="D35" s="16" t="n"/>
      <c r="E35" s="16" t="n"/>
      <c r="F35" s="18">
        <f>IF(D35=0,"",MIN(1,E35/D35))</f>
        <v/>
      </c>
      <c r="G35" s="16" t="n"/>
      <c r="H35" s="16" t="n"/>
    </row>
    <row r="36">
      <c r="A36" s="17" t="n"/>
      <c r="B36" s="17" t="n"/>
      <c r="C36" s="17" t="n"/>
      <c r="D36" s="17" t="n"/>
      <c r="E36" s="17" t="n"/>
      <c r="F36" s="19">
        <f>IF(D36=0,"",MIN(1,E36/D36))</f>
        <v/>
      </c>
      <c r="G36" s="17" t="n"/>
      <c r="H36" s="17" t="n"/>
    </row>
    <row r="37">
      <c r="A37" s="16" t="n"/>
      <c r="B37" s="16" t="n"/>
      <c r="C37" s="16" t="n"/>
      <c r="D37" s="16" t="n"/>
      <c r="E37" s="16" t="n"/>
      <c r="F37" s="18">
        <f>IF(D37=0,"",MIN(1,E37/D37))</f>
        <v/>
      </c>
      <c r="G37" s="16" t="n"/>
      <c r="H37" s="16" t="n"/>
    </row>
    <row r="38">
      <c r="A38" s="17" t="n"/>
      <c r="B38" s="17" t="n"/>
      <c r="C38" s="17" t="n"/>
      <c r="D38" s="17" t="n"/>
      <c r="E38" s="17" t="n"/>
      <c r="F38" s="19">
        <f>IF(D38=0,"",MIN(1,E38/D38))</f>
        <v/>
      </c>
      <c r="G38" s="17" t="n"/>
      <c r="H38" s="17" t="n"/>
    </row>
    <row r="39">
      <c r="A39" s="16" t="n"/>
      <c r="B39" s="16" t="n"/>
      <c r="C39" s="16" t="n"/>
      <c r="D39" s="16" t="n"/>
      <c r="E39" s="16" t="n"/>
      <c r="F39" s="18">
        <f>IF(D39=0,"",MIN(1,E39/D39))</f>
        <v/>
      </c>
      <c r="G39" s="16" t="n"/>
      <c r="H39" s="16" t="n"/>
    </row>
    <row r="40">
      <c r="A40" s="17" t="n"/>
      <c r="B40" s="17" t="n"/>
      <c r="C40" s="17" t="n"/>
      <c r="D40" s="17" t="n"/>
      <c r="E40" s="17" t="n"/>
      <c r="F40" s="19">
        <f>IF(D40=0,"",MIN(1,E40/D40))</f>
        <v/>
      </c>
      <c r="G40" s="17" t="n"/>
      <c r="H40" s="17" t="n"/>
    </row>
    <row r="41">
      <c r="A41" s="16" t="n"/>
      <c r="B41" s="16" t="n"/>
      <c r="C41" s="16" t="n"/>
      <c r="D41" s="16" t="n"/>
      <c r="E41" s="16" t="n"/>
      <c r="F41" s="18">
        <f>IF(D41=0,"",MIN(1,E41/D41))</f>
        <v/>
      </c>
      <c r="G41" s="16" t="n"/>
      <c r="H41" s="16" t="n"/>
    </row>
    <row r="42">
      <c r="A42" s="17" t="n"/>
      <c r="B42" s="17" t="n"/>
      <c r="C42" s="17" t="n"/>
      <c r="D42" s="17" t="n"/>
      <c r="E42" s="17" t="n"/>
      <c r="F42" s="19">
        <f>IF(D42=0,"",MIN(1,E42/D42))</f>
        <v/>
      </c>
      <c r="G42" s="17" t="n"/>
      <c r="H42" s="17" t="n"/>
    </row>
    <row r="43">
      <c r="A43" s="16" t="n"/>
      <c r="B43" s="16" t="n"/>
      <c r="C43" s="16" t="n"/>
      <c r="D43" s="16" t="n"/>
      <c r="E43" s="16" t="n"/>
      <c r="F43" s="18">
        <f>IF(D43=0,"",MIN(1,E43/D43))</f>
        <v/>
      </c>
      <c r="G43" s="16" t="n"/>
      <c r="H43" s="16" t="n"/>
    </row>
    <row r="44">
      <c r="A44" s="17" t="n"/>
      <c r="B44" s="17" t="n"/>
      <c r="C44" s="17" t="n"/>
      <c r="D44" s="17" t="n"/>
      <c r="E44" s="17" t="n"/>
      <c r="F44" s="19">
        <f>IF(D44=0,"",MIN(1,E44/D44))</f>
        <v/>
      </c>
      <c r="G44" s="17" t="n"/>
      <c r="H44" s="17" t="n"/>
    </row>
    <row r="45">
      <c r="A45" s="16" t="n"/>
      <c r="B45" s="16" t="n"/>
      <c r="C45" s="16" t="n"/>
      <c r="D45" s="16" t="n"/>
      <c r="E45" s="16" t="n"/>
      <c r="F45" s="18">
        <f>IF(D45=0,"",MIN(1,E45/D45))</f>
        <v/>
      </c>
      <c r="G45" s="16" t="n"/>
      <c r="H45" s="16" t="n"/>
    </row>
    <row r="46">
      <c r="A46" s="17" t="n"/>
      <c r="B46" s="17" t="n"/>
      <c r="C46" s="17" t="n"/>
      <c r="D46" s="17" t="n"/>
      <c r="E46" s="17" t="n"/>
      <c r="F46" s="19">
        <f>IF(D46=0,"",MIN(1,E46/D46))</f>
        <v/>
      </c>
      <c r="G46" s="17" t="n"/>
      <c r="H46" s="17" t="n"/>
    </row>
    <row r="47">
      <c r="A47" s="16" t="n"/>
      <c r="B47" s="16" t="n"/>
      <c r="C47" s="16" t="n"/>
      <c r="D47" s="16" t="n"/>
      <c r="E47" s="16" t="n"/>
      <c r="F47" s="18">
        <f>IF(D47=0,"",MIN(1,E47/D47))</f>
        <v/>
      </c>
      <c r="G47" s="16" t="n"/>
      <c r="H47" s="16" t="n"/>
    </row>
    <row r="48">
      <c r="A48" s="17" t="n"/>
      <c r="B48" s="17" t="n"/>
      <c r="C48" s="17" t="n"/>
      <c r="D48" s="17" t="n"/>
      <c r="E48" s="17" t="n"/>
      <c r="F48" s="19">
        <f>IF(D48=0,"",MIN(1,E48/D48))</f>
        <v/>
      </c>
      <c r="G48" s="17" t="n"/>
      <c r="H48" s="17" t="n"/>
    </row>
    <row r="49">
      <c r="A49" s="16" t="n"/>
      <c r="B49" s="16" t="n"/>
      <c r="C49" s="16" t="n"/>
      <c r="D49" s="16" t="n"/>
      <c r="E49" s="16" t="n"/>
      <c r="F49" s="18">
        <f>IF(D49=0,"",MIN(1,E49/D49))</f>
        <v/>
      </c>
      <c r="G49" s="16" t="n"/>
      <c r="H49" s="16" t="n"/>
    </row>
    <row r="50">
      <c r="A50" s="17" t="n"/>
      <c r="B50" s="17" t="n"/>
      <c r="C50" s="17" t="n"/>
      <c r="D50" s="17" t="n"/>
      <c r="E50" s="17" t="n"/>
      <c r="F50" s="19">
        <f>IF(D50=0,"",MIN(1,E50/D50))</f>
        <v/>
      </c>
      <c r="G50" s="17" t="n"/>
      <c r="H50" s="17" t="n"/>
    </row>
    <row r="51">
      <c r="A51" s="16" t="n"/>
      <c r="B51" s="16" t="n"/>
      <c r="C51" s="16" t="n"/>
      <c r="D51" s="16" t="n"/>
      <c r="E51" s="16" t="n"/>
      <c r="F51" s="18">
        <f>IF(D51=0,"",MIN(1,E51/D51))</f>
        <v/>
      </c>
      <c r="G51" s="16" t="n"/>
      <c r="H51" s="16" t="n"/>
    </row>
    <row r="52">
      <c r="A52" s="17" t="n"/>
      <c r="B52" s="17" t="n"/>
      <c r="C52" s="17" t="n"/>
      <c r="D52" s="17" t="n"/>
      <c r="E52" s="17" t="n"/>
      <c r="F52" s="19">
        <f>IF(D52=0,"",MIN(1,E52/D52))</f>
        <v/>
      </c>
      <c r="G52" s="17" t="n"/>
      <c r="H52" s="17" t="n"/>
    </row>
    <row r="53">
      <c r="A53" s="16" t="n"/>
      <c r="B53" s="16" t="n"/>
      <c r="C53" s="16" t="n"/>
      <c r="D53" s="16" t="n"/>
      <c r="E53" s="16" t="n"/>
      <c r="F53" s="18">
        <f>IF(D53=0,"",MIN(1,E53/D53))</f>
        <v/>
      </c>
      <c r="G53" s="16" t="n"/>
      <c r="H53" s="16" t="n"/>
    </row>
    <row r="54">
      <c r="A54" s="17" t="n"/>
      <c r="B54" s="17" t="n"/>
      <c r="C54" s="17" t="n"/>
      <c r="D54" s="17" t="n"/>
      <c r="E54" s="17" t="n"/>
      <c r="F54" s="19">
        <f>IF(D54=0,"",MIN(1,E54/D54))</f>
        <v/>
      </c>
      <c r="G54" s="17" t="n"/>
      <c r="H54" s="17" t="n"/>
    </row>
    <row r="55">
      <c r="A55" s="16" t="n"/>
      <c r="B55" s="16" t="n"/>
      <c r="C55" s="16" t="n"/>
      <c r="D55" s="16" t="n"/>
      <c r="E55" s="16" t="n"/>
      <c r="F55" s="18">
        <f>IF(D55=0,"",MIN(1,E55/D55))</f>
        <v/>
      </c>
      <c r="G55" s="16" t="n"/>
      <c r="H55" s="16" t="n"/>
    </row>
    <row r="56">
      <c r="A56" s="17" t="n"/>
      <c r="B56" s="17" t="n"/>
      <c r="C56" s="17" t="n"/>
      <c r="D56" s="17" t="n"/>
      <c r="E56" s="17" t="n"/>
      <c r="F56" s="19">
        <f>IF(D56=0,"",MIN(1,E56/D56))</f>
        <v/>
      </c>
      <c r="G56" s="17" t="n"/>
      <c r="H56" s="17" t="n"/>
    </row>
    <row r="57">
      <c r="A57" s="16" t="n"/>
      <c r="B57" s="16" t="n"/>
      <c r="C57" s="16" t="n"/>
      <c r="D57" s="16" t="n"/>
      <c r="E57" s="16" t="n"/>
      <c r="F57" s="18">
        <f>IF(D57=0,"",MIN(1,E57/D57))</f>
        <v/>
      </c>
      <c r="G57" s="16" t="n"/>
      <c r="H57" s="16" t="n"/>
    </row>
    <row r="58">
      <c r="A58" s="17" t="n"/>
      <c r="B58" s="17" t="n"/>
      <c r="C58" s="17" t="n"/>
      <c r="D58" s="17" t="n"/>
      <c r="E58" s="17" t="n"/>
      <c r="F58" s="19">
        <f>IF(D58=0,"",MIN(1,E58/D58))</f>
        <v/>
      </c>
      <c r="G58" s="17" t="n"/>
      <c r="H58" s="17" t="n"/>
    </row>
    <row r="59">
      <c r="A59" s="16" t="n"/>
      <c r="B59" s="16" t="n"/>
      <c r="C59" s="16" t="n"/>
      <c r="D59" s="16" t="n"/>
      <c r="E59" s="16" t="n"/>
      <c r="F59" s="18">
        <f>IF(D59=0,"",MIN(1,E59/D59))</f>
        <v/>
      </c>
      <c r="G59" s="16" t="n"/>
      <c r="H59" s="16" t="n"/>
    </row>
    <row r="60">
      <c r="A60" s="17" t="n"/>
      <c r="B60" s="17" t="n"/>
      <c r="C60" s="17" t="n"/>
      <c r="D60" s="17" t="n"/>
      <c r="E60" s="17" t="n"/>
      <c r="F60" s="19">
        <f>IF(D60=0,"",MIN(1,E60/D60))</f>
        <v/>
      </c>
      <c r="G60" s="17" t="n"/>
      <c r="H60" s="17" t="n"/>
    </row>
    <row r="61">
      <c r="A61" s="16" t="n"/>
      <c r="B61" s="16" t="n"/>
      <c r="C61" s="16" t="n"/>
      <c r="D61" s="16" t="n"/>
      <c r="E61" s="16" t="n"/>
      <c r="F61" s="18">
        <f>IF(D61=0,"",MIN(1,E61/D61))</f>
        <v/>
      </c>
      <c r="G61" s="16" t="n"/>
      <c r="H61" s="16" t="n"/>
    </row>
    <row r="62">
      <c r="A62" s="17" t="n"/>
      <c r="B62" s="17" t="n"/>
      <c r="C62" s="17" t="n"/>
      <c r="D62" s="17" t="n"/>
      <c r="E62" s="17" t="n"/>
      <c r="F62" s="19">
        <f>IF(D62=0,"",MIN(1,E62/D62))</f>
        <v/>
      </c>
      <c r="G62" s="17" t="n"/>
      <c r="H62" s="17" t="n"/>
    </row>
    <row r="63">
      <c r="A63" s="16" t="n"/>
      <c r="B63" s="16" t="n"/>
      <c r="C63" s="16" t="n"/>
      <c r="D63" s="16" t="n"/>
      <c r="E63" s="16" t="n"/>
      <c r="F63" s="18">
        <f>IF(D63=0,"",MIN(1,E63/D63))</f>
        <v/>
      </c>
      <c r="G63" s="16" t="n"/>
      <c r="H63" s="16" t="n"/>
    </row>
    <row r="64">
      <c r="A64" s="17" t="n"/>
      <c r="B64" s="17" t="n"/>
      <c r="C64" s="17" t="n"/>
      <c r="D64" s="17" t="n"/>
      <c r="E64" s="17" t="n"/>
      <c r="F64" s="19">
        <f>IF(D64=0,"",MIN(1,E64/D64))</f>
        <v/>
      </c>
      <c r="G64" s="17" t="n"/>
      <c r="H64" s="17" t="n"/>
    </row>
    <row r="65">
      <c r="A65" s="16" t="n"/>
      <c r="B65" s="16" t="n"/>
      <c r="C65" s="16" t="n"/>
      <c r="D65" s="16" t="n"/>
      <c r="E65" s="16" t="n"/>
      <c r="F65" s="18">
        <f>IF(D65=0,"",MIN(1,E65/D65))</f>
        <v/>
      </c>
      <c r="G65" s="16" t="n"/>
      <c r="H65" s="16" t="n"/>
    </row>
    <row r="66">
      <c r="A66" s="17" t="n"/>
      <c r="B66" s="17" t="n"/>
      <c r="C66" s="17" t="n"/>
      <c r="D66" s="17" t="n"/>
      <c r="E66" s="17" t="n"/>
      <c r="F66" s="19">
        <f>IF(D66=0,"",MIN(1,E66/D66))</f>
        <v/>
      </c>
      <c r="G66" s="17" t="n"/>
      <c r="H66" s="17" t="n"/>
    </row>
    <row r="67">
      <c r="A67" s="16" t="n"/>
      <c r="B67" s="16" t="n"/>
      <c r="C67" s="16" t="n"/>
      <c r="D67" s="16" t="n"/>
      <c r="E67" s="16" t="n"/>
      <c r="F67" s="18">
        <f>IF(D67=0,"",MIN(1,E67/D67))</f>
        <v/>
      </c>
      <c r="G67" s="16" t="n"/>
      <c r="H67" s="16" t="n"/>
    </row>
    <row r="68">
      <c r="A68" s="17" t="n"/>
      <c r="B68" s="17" t="n"/>
      <c r="C68" s="17" t="n"/>
      <c r="D68" s="17" t="n"/>
      <c r="E68" s="17" t="n"/>
      <c r="F68" s="19">
        <f>IF(D68=0,"",MIN(1,E68/D68))</f>
        <v/>
      </c>
      <c r="G68" s="17" t="n"/>
      <c r="H68" s="17" t="n"/>
    </row>
    <row r="69">
      <c r="A69" s="16" t="n"/>
      <c r="B69" s="16" t="n"/>
      <c r="C69" s="16" t="n"/>
      <c r="D69" s="16" t="n"/>
      <c r="E69" s="16" t="n"/>
      <c r="F69" s="18">
        <f>IF(D69=0,"",MIN(1,E69/D69))</f>
        <v/>
      </c>
      <c r="G69" s="16" t="n"/>
      <c r="H69" s="16" t="n"/>
    </row>
    <row r="70">
      <c r="A70" s="17" t="n"/>
      <c r="B70" s="17" t="n"/>
      <c r="C70" s="17" t="n"/>
      <c r="D70" s="17" t="n"/>
      <c r="E70" s="17" t="n"/>
      <c r="F70" s="19">
        <f>IF(D70=0,"",MIN(1,E70/D70))</f>
        <v/>
      </c>
      <c r="G70" s="17" t="n"/>
      <c r="H70" s="17" t="n"/>
    </row>
    <row r="71">
      <c r="A71" s="16" t="n"/>
      <c r="B71" s="16" t="n"/>
      <c r="C71" s="16" t="n"/>
      <c r="D71" s="16" t="n"/>
      <c r="E71" s="16" t="n"/>
      <c r="F71" s="18">
        <f>IF(D71=0,"",MIN(1,E71/D71))</f>
        <v/>
      </c>
      <c r="G71" s="16" t="n"/>
      <c r="H71" s="16" t="n"/>
    </row>
    <row r="72">
      <c r="A72" s="17" t="n"/>
      <c r="B72" s="17" t="n"/>
      <c r="C72" s="17" t="n"/>
      <c r="D72" s="17" t="n"/>
      <c r="E72" s="17" t="n"/>
      <c r="F72" s="19">
        <f>IF(D72=0,"",MIN(1,E72/D72))</f>
        <v/>
      </c>
      <c r="G72" s="17" t="n"/>
      <c r="H72" s="17" t="n"/>
    </row>
    <row r="73">
      <c r="A73" s="16" t="n"/>
      <c r="B73" s="16" t="n"/>
      <c r="C73" s="16" t="n"/>
      <c r="D73" s="16" t="n"/>
      <c r="E73" s="16" t="n"/>
      <c r="F73" s="18">
        <f>IF(D73=0,"",MIN(1,E73/D73))</f>
        <v/>
      </c>
      <c r="G73" s="16" t="n"/>
      <c r="H73" s="16" t="n"/>
    </row>
    <row r="74">
      <c r="A74" s="17" t="n"/>
      <c r="B74" s="17" t="n"/>
      <c r="C74" s="17" t="n"/>
      <c r="D74" s="17" t="n"/>
      <c r="E74" s="17" t="n"/>
      <c r="F74" s="19">
        <f>IF(D74=0,"",MIN(1,E74/D74))</f>
        <v/>
      </c>
      <c r="G74" s="17" t="n"/>
      <c r="H74" s="17" t="n"/>
    </row>
    <row r="75">
      <c r="A75" s="16" t="n"/>
      <c r="B75" s="16" t="n"/>
      <c r="C75" s="16" t="n"/>
      <c r="D75" s="16" t="n"/>
      <c r="E75" s="16" t="n"/>
      <c r="F75" s="18">
        <f>IF(D75=0,"",MIN(1,E75/D75))</f>
        <v/>
      </c>
      <c r="G75" s="16" t="n"/>
      <c r="H75" s="16" t="n"/>
    </row>
    <row r="76">
      <c r="A76" s="17" t="n"/>
      <c r="B76" s="17" t="n"/>
      <c r="C76" s="17" t="n"/>
      <c r="D76" s="17" t="n"/>
      <c r="E76" s="17" t="n"/>
      <c r="F76" s="19">
        <f>IF(D76=0,"",MIN(1,E76/D76))</f>
        <v/>
      </c>
      <c r="G76" s="17" t="n"/>
      <c r="H76" s="17" t="n"/>
    </row>
    <row r="77">
      <c r="A77" s="16" t="n"/>
      <c r="B77" s="16" t="n"/>
      <c r="C77" s="16" t="n"/>
      <c r="D77" s="16" t="n"/>
      <c r="E77" s="16" t="n"/>
      <c r="F77" s="18">
        <f>IF(D77=0,"",MIN(1,E77/D77))</f>
        <v/>
      </c>
      <c r="G77" s="16" t="n"/>
      <c r="H77" s="16" t="n"/>
    </row>
    <row r="78">
      <c r="A78" s="17" t="n"/>
      <c r="B78" s="17" t="n"/>
      <c r="C78" s="17" t="n"/>
      <c r="D78" s="17" t="n"/>
      <c r="E78" s="17" t="n"/>
      <c r="F78" s="19">
        <f>IF(D78=0,"",MIN(1,E78/D78))</f>
        <v/>
      </c>
      <c r="G78" s="17" t="n"/>
      <c r="H78" s="17" t="n"/>
    </row>
    <row r="79">
      <c r="A79" s="16" t="n"/>
      <c r="B79" s="16" t="n"/>
      <c r="C79" s="16" t="n"/>
      <c r="D79" s="16" t="n"/>
      <c r="E79" s="16" t="n"/>
      <c r="F79" s="18">
        <f>IF(D79=0,"",MIN(1,E79/D79))</f>
        <v/>
      </c>
      <c r="G79" s="16" t="n"/>
      <c r="H79" s="16" t="n"/>
    </row>
    <row r="80">
      <c r="A80" s="17" t="n"/>
      <c r="B80" s="17" t="n"/>
      <c r="C80" s="17" t="n"/>
      <c r="D80" s="17" t="n"/>
      <c r="E80" s="17" t="n"/>
      <c r="F80" s="19">
        <f>IF(D80=0,"",MIN(1,E80/D80))</f>
        <v/>
      </c>
      <c r="G80" s="17" t="n"/>
      <c r="H80" s="17" t="n"/>
    </row>
    <row r="81">
      <c r="A81" s="16" t="n"/>
      <c r="B81" s="16" t="n"/>
      <c r="C81" s="16" t="n"/>
      <c r="D81" s="16" t="n"/>
      <c r="E81" s="16" t="n"/>
      <c r="F81" s="18">
        <f>IF(D81=0,"",MIN(1,E81/D81))</f>
        <v/>
      </c>
      <c r="G81" s="16" t="n"/>
      <c r="H81" s="16" t="n"/>
    </row>
    <row r="82">
      <c r="A82" s="17" t="n"/>
      <c r="B82" s="17" t="n"/>
      <c r="C82" s="17" t="n"/>
      <c r="D82" s="17" t="n"/>
      <c r="E82" s="17" t="n"/>
      <c r="F82" s="19">
        <f>IF(D82=0,"",MIN(1,E82/D82))</f>
        <v/>
      </c>
      <c r="G82" s="17" t="n"/>
      <c r="H82" s="17" t="n"/>
    </row>
    <row r="83">
      <c r="A83" s="16" t="n"/>
      <c r="B83" s="16" t="n"/>
      <c r="C83" s="16" t="n"/>
      <c r="D83" s="16" t="n"/>
      <c r="E83" s="16" t="n"/>
      <c r="F83" s="18">
        <f>IF(D83=0,"",MIN(1,E83/D83))</f>
        <v/>
      </c>
      <c r="G83" s="16" t="n"/>
      <c r="H83" s="16" t="n"/>
    </row>
    <row r="84">
      <c r="A84" s="17" t="n"/>
      <c r="B84" s="17" t="n"/>
      <c r="C84" s="17" t="n"/>
      <c r="D84" s="17" t="n"/>
      <c r="E84" s="17" t="n"/>
      <c r="F84" s="19">
        <f>IF(D84=0,"",MIN(1,E84/D84))</f>
        <v/>
      </c>
      <c r="G84" s="17" t="n"/>
      <c r="H84" s="17" t="n"/>
    </row>
    <row r="85">
      <c r="A85" s="16" t="n"/>
      <c r="B85" s="16" t="n"/>
      <c r="C85" s="16" t="n"/>
      <c r="D85" s="16" t="n"/>
      <c r="E85" s="16" t="n"/>
      <c r="F85" s="18">
        <f>IF(D85=0,"",MIN(1,E85/D85))</f>
        <v/>
      </c>
      <c r="G85" s="16" t="n"/>
      <c r="H85" s="16" t="n"/>
    </row>
    <row r="86">
      <c r="A86" s="17" t="n"/>
      <c r="B86" s="17" t="n"/>
      <c r="C86" s="17" t="n"/>
      <c r="D86" s="17" t="n"/>
      <c r="E86" s="17" t="n"/>
      <c r="F86" s="19">
        <f>IF(D86=0,"",MIN(1,E86/D86))</f>
        <v/>
      </c>
      <c r="G86" s="17" t="n"/>
      <c r="H86" s="17" t="n"/>
    </row>
    <row r="87">
      <c r="A87" s="16" t="n"/>
      <c r="B87" s="16" t="n"/>
      <c r="C87" s="16" t="n"/>
      <c r="D87" s="16" t="n"/>
      <c r="E87" s="16" t="n"/>
      <c r="F87" s="18">
        <f>IF(D87=0,"",MIN(1,E87/D87))</f>
        <v/>
      </c>
      <c r="G87" s="16" t="n"/>
      <c r="H87" s="16" t="n"/>
    </row>
    <row r="88">
      <c r="A88" s="17" t="n"/>
      <c r="B88" s="17" t="n"/>
      <c r="C88" s="17" t="n"/>
      <c r="D88" s="17" t="n"/>
      <c r="E88" s="17" t="n"/>
      <c r="F88" s="19">
        <f>IF(D88=0,"",MIN(1,E88/D88))</f>
        <v/>
      </c>
      <c r="G88" s="17" t="n"/>
      <c r="H88" s="17" t="n"/>
    </row>
    <row r="89">
      <c r="A89" s="16" t="n"/>
      <c r="B89" s="16" t="n"/>
      <c r="C89" s="16" t="n"/>
      <c r="D89" s="16" t="n"/>
      <c r="E89" s="16" t="n"/>
      <c r="F89" s="18">
        <f>IF(D89=0,"",MIN(1,E89/D89))</f>
        <v/>
      </c>
      <c r="G89" s="16" t="n"/>
      <c r="H89" s="16" t="n"/>
    </row>
    <row r="90">
      <c r="A90" s="17" t="n"/>
      <c r="B90" s="17" t="n"/>
      <c r="C90" s="17" t="n"/>
      <c r="D90" s="17" t="n"/>
      <c r="E90" s="17" t="n"/>
      <c r="F90" s="19">
        <f>IF(D90=0,"",MIN(1,E90/D90))</f>
        <v/>
      </c>
      <c r="G90" s="17" t="n"/>
      <c r="H90" s="17" t="n"/>
    </row>
    <row r="91">
      <c r="A91" s="16" t="n"/>
      <c r="B91" s="16" t="n"/>
      <c r="C91" s="16" t="n"/>
      <c r="D91" s="16" t="n"/>
      <c r="E91" s="16" t="n"/>
      <c r="F91" s="18">
        <f>IF(D91=0,"",MIN(1,E91/D91))</f>
        <v/>
      </c>
      <c r="G91" s="16" t="n"/>
      <c r="H91" s="16" t="n"/>
    </row>
    <row r="92">
      <c r="A92" s="17" t="n"/>
      <c r="B92" s="17" t="n"/>
      <c r="C92" s="17" t="n"/>
      <c r="D92" s="17" t="n"/>
      <c r="E92" s="17" t="n"/>
      <c r="F92" s="19">
        <f>IF(D92=0,"",MIN(1,E92/D92))</f>
        <v/>
      </c>
      <c r="G92" s="17" t="n"/>
      <c r="H92" s="17" t="n"/>
    </row>
    <row r="93">
      <c r="A93" s="16" t="n"/>
      <c r="B93" s="16" t="n"/>
      <c r="C93" s="16" t="n"/>
      <c r="D93" s="16" t="n"/>
      <c r="E93" s="16" t="n"/>
      <c r="F93" s="18">
        <f>IF(D93=0,"",MIN(1,E93/D93))</f>
        <v/>
      </c>
      <c r="G93" s="16" t="n"/>
      <c r="H93" s="16" t="n"/>
    </row>
    <row r="94">
      <c r="A94" s="17" t="n"/>
      <c r="B94" s="17" t="n"/>
      <c r="C94" s="17" t="n"/>
      <c r="D94" s="17" t="n"/>
      <c r="E94" s="17" t="n"/>
      <c r="F94" s="19">
        <f>IF(D94=0,"",MIN(1,E94/D94))</f>
        <v/>
      </c>
      <c r="G94" s="17" t="n"/>
      <c r="H94" s="17" t="n"/>
    </row>
    <row r="95">
      <c r="A95" s="16" t="n"/>
      <c r="B95" s="16" t="n"/>
      <c r="C95" s="16" t="n"/>
      <c r="D95" s="16" t="n"/>
      <c r="E95" s="16" t="n"/>
      <c r="F95" s="18">
        <f>IF(D95=0,"",MIN(1,E95/D95))</f>
        <v/>
      </c>
      <c r="G95" s="16" t="n"/>
      <c r="H95" s="16" t="n"/>
    </row>
    <row r="96">
      <c r="A96" s="17" t="n"/>
      <c r="B96" s="17" t="n"/>
      <c r="C96" s="17" t="n"/>
      <c r="D96" s="17" t="n"/>
      <c r="E96" s="17" t="n"/>
      <c r="F96" s="19">
        <f>IF(D96=0,"",MIN(1,E96/D96))</f>
        <v/>
      </c>
      <c r="G96" s="17" t="n"/>
      <c r="H96" s="17" t="n"/>
    </row>
    <row r="97">
      <c r="A97" s="16" t="n"/>
      <c r="B97" s="16" t="n"/>
      <c r="C97" s="16" t="n"/>
      <c r="D97" s="16" t="n"/>
      <c r="E97" s="16" t="n"/>
      <c r="F97" s="18">
        <f>IF(D97=0,"",MIN(1,E97/D97))</f>
        <v/>
      </c>
      <c r="G97" s="16" t="n"/>
      <c r="H97" s="16" t="n"/>
    </row>
    <row r="98">
      <c r="A98" s="17" t="n"/>
      <c r="B98" s="17" t="n"/>
      <c r="C98" s="17" t="n"/>
      <c r="D98" s="17" t="n"/>
      <c r="E98" s="17" t="n"/>
      <c r="F98" s="19">
        <f>IF(D98=0,"",MIN(1,E98/D98))</f>
        <v/>
      </c>
      <c r="G98" s="17" t="n"/>
      <c r="H98" s="17" t="n"/>
    </row>
    <row r="99">
      <c r="A99" s="16" t="n"/>
      <c r="B99" s="16" t="n"/>
      <c r="C99" s="16" t="n"/>
      <c r="D99" s="16" t="n"/>
      <c r="E99" s="16" t="n"/>
      <c r="F99" s="18">
        <f>IF(D99=0,"",MIN(1,E99/D99))</f>
        <v/>
      </c>
      <c r="G99" s="16" t="n"/>
      <c r="H99" s="16" t="n"/>
    </row>
    <row r="100">
      <c r="A100" s="17" t="n"/>
      <c r="B100" s="17" t="n"/>
      <c r="C100" s="17" t="n"/>
      <c r="D100" s="17" t="n"/>
      <c r="E100" s="17" t="n"/>
      <c r="F100" s="19">
        <f>IF(D100=0,"",MIN(1,E100/D100))</f>
        <v/>
      </c>
      <c r="G100" s="17" t="n"/>
      <c r="H100" s="17" t="n"/>
    </row>
    <row r="101">
      <c r="A101" s="16" t="n"/>
      <c r="B101" s="16" t="n"/>
      <c r="C101" s="16" t="n"/>
      <c r="D101" s="16" t="n"/>
      <c r="E101" s="16" t="n"/>
      <c r="F101" s="18">
        <f>IF(D101=0,"",MIN(1,E101/D101))</f>
        <v/>
      </c>
      <c r="G101" s="16" t="n"/>
      <c r="H101" s="16" t="n"/>
    </row>
    <row r="102">
      <c r="A102" s="17" t="n"/>
      <c r="B102" s="17" t="n"/>
      <c r="C102" s="17" t="n"/>
      <c r="D102" s="17" t="n"/>
      <c r="E102" s="17" t="n"/>
      <c r="F102" s="19">
        <f>IF(D102=0,"",MIN(1,E102/D102))</f>
        <v/>
      </c>
      <c r="G102" s="17" t="n"/>
      <c r="H102" s="17" t="n"/>
    </row>
    <row r="103">
      <c r="A103" s="16" t="n"/>
      <c r="B103" s="16" t="n"/>
      <c r="C103" s="16" t="n"/>
      <c r="D103" s="16" t="n"/>
      <c r="E103" s="16" t="n"/>
      <c r="F103" s="18">
        <f>IF(D103=0,"",MIN(1,E103/D103))</f>
        <v/>
      </c>
      <c r="G103" s="16" t="n"/>
      <c r="H103" s="16" t="n"/>
    </row>
    <row r="104">
      <c r="A104" s="17" t="n"/>
      <c r="B104" s="17" t="n"/>
      <c r="C104" s="17" t="n"/>
      <c r="D104" s="17" t="n"/>
      <c r="E104" s="17" t="n"/>
      <c r="F104" s="19">
        <f>IF(D104=0,"",MIN(1,E104/D104))</f>
        <v/>
      </c>
      <c r="G104" s="17" t="n"/>
      <c r="H104" s="17" t="n"/>
    </row>
  </sheetData>
  <mergeCells count="2">
    <mergeCell ref="A2:H2"/>
    <mergeCell ref="A1:H1"/>
  </mergeCells>
  <conditionalFormatting sqref="C5:C104">
    <cfRule type="cellIs" priority="1" operator="equal" dxfId="0">
      <formula>"Not started"</formula>
    </cfRule>
    <cfRule type="cellIs" priority="2" operator="equal" dxfId="0">
      <formula>"Outline"</formula>
    </cfRule>
    <cfRule type="cellIs" priority="3" operator="equal" dxfId="1">
      <formula>"Drafting"</formula>
    </cfRule>
    <cfRule type="cellIs" priority="4" operator="equal" dxfId="1">
      <formula>"Full draft"</formula>
    </cfRule>
    <cfRule type="cellIs" priority="5" operator="equal" dxfId="1">
      <formula>"Revising"</formula>
    </cfRule>
    <cfRule type="cellIs" priority="6" operator="equal" dxfId="1">
      <formula>"With supervisor"</formula>
    </cfRule>
    <cfRule type="cellIs" priority="7" operator="equal" dxfId="2">
      <formula>"Final"</formula>
    </cfRule>
  </conditionalFormatting>
  <dataValidations count="1">
    <dataValidation sqref="C5:C104" showDropDown="0" showInputMessage="0" showErrorMessage="0" allowBlank="1" type="list">
      <formula1>Lists!$D$1:$D$7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4" customWidth="1" min="4" max="4"/>
    <col width="12" customWidth="1" min="5" max="5"/>
    <col width="12" customWidth="1" min="6" max="6"/>
    <col width="13" customWidth="1" min="7" max="7"/>
    <col width="30" customWidth="1" min="8" max="8"/>
  </cols>
  <sheetData>
    <row r="1" ht="26" customHeight="1">
      <c r="A1" s="7" t="inlineStr">
        <is>
          <t>Supervisor Meetings</t>
        </is>
      </c>
    </row>
    <row r="2">
      <c r="A2" s="8" t="inlineStr">
        <is>
          <t>One row per action item — a meeting can span several rows. Prepare the agenda before, log decisions after.</t>
        </is>
      </c>
    </row>
    <row r="4" ht="30" customHeight="1">
      <c r="A4" s="15" t="inlineStr">
        <is>
          <t>Date</t>
        </is>
      </c>
      <c r="B4" s="15" t="inlineStr">
        <is>
          <t>Agenda (prepare before)</t>
        </is>
      </c>
      <c r="C4" s="15" t="inlineStr">
        <is>
          <t>Key decisions</t>
        </is>
      </c>
      <c r="D4" s="15" t="inlineStr">
        <is>
          <t>Action item</t>
        </is>
      </c>
      <c r="E4" s="15" t="inlineStr">
        <is>
          <t>Owner</t>
        </is>
      </c>
      <c r="F4" s="15" t="inlineStr">
        <is>
          <t>Due</t>
        </is>
      </c>
      <c r="G4" s="15" t="inlineStr">
        <is>
          <t>Status</t>
        </is>
      </c>
      <c r="H4" s="15" t="inlineStr">
        <is>
          <t>Notes</t>
        </is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</row>
  </sheetData>
  <mergeCells count="2">
    <mergeCell ref="A2:H2"/>
    <mergeCell ref="A1:H1"/>
  </mergeCells>
  <conditionalFormatting sqref="G5:G304">
    <cfRule type="cellIs" priority="1" operator="equal" dxfId="0">
      <formula>"Open"</formula>
    </cfRule>
    <cfRule type="cellIs" priority="2" operator="equal" dxfId="1">
      <formula>"In progress"</formula>
    </cfRule>
    <cfRule type="cellIs" priority="3" operator="equal" dxfId="2">
      <formula>"Done"</formula>
    </cfRule>
    <cfRule type="cellIs" priority="4" operator="equal" dxfId="3">
      <formula>"Dropped"</formula>
    </cfRule>
  </conditionalFormatting>
  <dataValidations count="1">
    <dataValidation sqref="G5:G304" showDropDown="0" showInputMessage="0" showErrorMessage="0" allowBlank="1" type="list">
      <formula1>Lists!$E$1:$E$4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44" customWidth="1" min="5" max="5"/>
    <col width="34" customWidth="1" min="6" max="6"/>
    <col width="12" customWidth="1" min="7" max="7"/>
  </cols>
  <sheetData>
    <row r="1" ht="26" customHeight="1">
      <c r="A1" s="7" t="inlineStr">
        <is>
          <t>Weekly Plan &amp; Review</t>
        </is>
      </c>
    </row>
    <row r="2">
      <c r="A2" s="8" t="inlineStr">
        <is>
          <t>Friday ritual, 10 minutes: close the week honestly, plan the next.</t>
        </is>
      </c>
    </row>
    <row r="4" ht="30" customHeight="1">
      <c r="A4" s="15" t="inlineStr">
        <is>
          <t>Week of</t>
        </is>
      </c>
      <c r="B4" s="15" t="inlineStr">
        <is>
          <t>Reading goal</t>
        </is>
      </c>
      <c r="C4" s="15" t="inlineStr">
        <is>
          <t>Writing goal</t>
        </is>
      </c>
      <c r="D4" s="15" t="inlineStr">
        <is>
          <t>Analysis goal</t>
        </is>
      </c>
      <c r="E4" s="15" t="inlineStr">
        <is>
          <t>What actually happened</t>
        </is>
      </c>
      <c r="F4" s="15" t="inlineStr">
        <is>
          <t>One lesson</t>
        </is>
      </c>
      <c r="G4" s="15" t="inlineStr">
        <is>
          <t>Energy (1–5)</t>
        </is>
      </c>
    </row>
    <row r="5">
      <c r="A5" s="16" t="n"/>
      <c r="B5" s="16" t="n"/>
      <c r="C5" s="16" t="n"/>
      <c r="D5" s="16" t="n"/>
      <c r="E5" s="16" t="n"/>
      <c r="F5" s="16" t="n"/>
      <c r="G5" s="16" t="n"/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6" t="n"/>
      <c r="B7" s="16" t="n"/>
      <c r="C7" s="16" t="n"/>
      <c r="D7" s="16" t="n"/>
      <c r="E7" s="16" t="n"/>
      <c r="F7" s="16" t="n"/>
      <c r="G7" s="16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6" t="n"/>
      <c r="B9" s="16" t="n"/>
      <c r="C9" s="16" t="n"/>
      <c r="D9" s="16" t="n"/>
      <c r="E9" s="16" t="n"/>
      <c r="F9" s="16" t="n"/>
      <c r="G9" s="16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6" t="n"/>
      <c r="B11" s="16" t="n"/>
      <c r="C11" s="16" t="n"/>
      <c r="D11" s="16" t="n"/>
      <c r="E11" s="16" t="n"/>
      <c r="F11" s="16" t="n"/>
      <c r="G11" s="16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6" t="n"/>
      <c r="B13" s="16" t="n"/>
      <c r="C13" s="16" t="n"/>
      <c r="D13" s="16" t="n"/>
      <c r="E13" s="16" t="n"/>
      <c r="F13" s="16" t="n"/>
      <c r="G13" s="16" t="n"/>
    </row>
    <row r="14">
      <c r="A14" s="17" t="n"/>
      <c r="B14" s="17" t="n"/>
      <c r="C14" s="17" t="n"/>
      <c r="D14" s="17" t="n"/>
      <c r="E14" s="17" t="n"/>
      <c r="F14" s="17" t="n"/>
      <c r="G14" s="17" t="n"/>
    </row>
    <row r="15">
      <c r="A15" s="16" t="n"/>
      <c r="B15" s="16" t="n"/>
      <c r="C15" s="16" t="n"/>
      <c r="D15" s="16" t="n"/>
      <c r="E15" s="16" t="n"/>
      <c r="F15" s="16" t="n"/>
      <c r="G15" s="16" t="n"/>
    </row>
    <row r="16">
      <c r="A16" s="17" t="n"/>
      <c r="B16" s="17" t="n"/>
      <c r="C16" s="17" t="n"/>
      <c r="D16" s="17" t="n"/>
      <c r="E16" s="17" t="n"/>
      <c r="F16" s="17" t="n"/>
      <c r="G16" s="17" t="n"/>
    </row>
    <row r="17">
      <c r="A17" s="16" t="n"/>
      <c r="B17" s="16" t="n"/>
      <c r="C17" s="16" t="n"/>
      <c r="D17" s="16" t="n"/>
      <c r="E17" s="16" t="n"/>
      <c r="F17" s="16" t="n"/>
      <c r="G17" s="16" t="n"/>
    </row>
    <row r="18">
      <c r="A18" s="17" t="n"/>
      <c r="B18" s="17" t="n"/>
      <c r="C18" s="17" t="n"/>
      <c r="D18" s="17" t="n"/>
      <c r="E18" s="17" t="n"/>
      <c r="F18" s="17" t="n"/>
      <c r="G18" s="17" t="n"/>
    </row>
    <row r="19">
      <c r="A19" s="16" t="n"/>
      <c r="B19" s="16" t="n"/>
      <c r="C19" s="16" t="n"/>
      <c r="D19" s="16" t="n"/>
      <c r="E19" s="16" t="n"/>
      <c r="F19" s="16" t="n"/>
      <c r="G19" s="16" t="n"/>
    </row>
    <row r="20">
      <c r="A20" s="17" t="n"/>
      <c r="B20" s="17" t="n"/>
      <c r="C20" s="17" t="n"/>
      <c r="D20" s="17" t="n"/>
      <c r="E20" s="17" t="n"/>
      <c r="F20" s="17" t="n"/>
      <c r="G20" s="17" t="n"/>
    </row>
    <row r="21">
      <c r="A21" s="16" t="n"/>
      <c r="B21" s="16" t="n"/>
      <c r="C21" s="16" t="n"/>
      <c r="D21" s="16" t="n"/>
      <c r="E21" s="16" t="n"/>
      <c r="F21" s="16" t="n"/>
      <c r="G21" s="16" t="n"/>
    </row>
    <row r="22">
      <c r="A22" s="17" t="n"/>
      <c r="B22" s="17" t="n"/>
      <c r="C22" s="17" t="n"/>
      <c r="D22" s="17" t="n"/>
      <c r="E22" s="17" t="n"/>
      <c r="F22" s="17" t="n"/>
      <c r="G22" s="17" t="n"/>
    </row>
    <row r="23">
      <c r="A23" s="16" t="n"/>
      <c r="B23" s="16" t="n"/>
      <c r="C23" s="16" t="n"/>
      <c r="D23" s="16" t="n"/>
      <c r="E23" s="16" t="n"/>
      <c r="F23" s="16" t="n"/>
      <c r="G23" s="16" t="n"/>
    </row>
    <row r="24">
      <c r="A24" s="17" t="n"/>
      <c r="B24" s="17" t="n"/>
      <c r="C24" s="17" t="n"/>
      <c r="D24" s="17" t="n"/>
      <c r="E24" s="17" t="n"/>
      <c r="F24" s="17" t="n"/>
      <c r="G24" s="17" t="n"/>
    </row>
    <row r="25">
      <c r="A25" s="16" t="n"/>
      <c r="B25" s="16" t="n"/>
      <c r="C25" s="16" t="n"/>
      <c r="D25" s="16" t="n"/>
      <c r="E25" s="16" t="n"/>
      <c r="F25" s="16" t="n"/>
      <c r="G25" s="16" t="n"/>
    </row>
    <row r="26">
      <c r="A26" s="17" t="n"/>
      <c r="B26" s="17" t="n"/>
      <c r="C26" s="17" t="n"/>
      <c r="D26" s="17" t="n"/>
      <c r="E26" s="17" t="n"/>
      <c r="F26" s="17" t="n"/>
      <c r="G26" s="17" t="n"/>
    </row>
    <row r="27">
      <c r="A27" s="16" t="n"/>
      <c r="B27" s="16" t="n"/>
      <c r="C27" s="16" t="n"/>
      <c r="D27" s="16" t="n"/>
      <c r="E27" s="16" t="n"/>
      <c r="F27" s="16" t="n"/>
      <c r="G27" s="16" t="n"/>
    </row>
    <row r="28">
      <c r="A28" s="17" t="n"/>
      <c r="B28" s="17" t="n"/>
      <c r="C28" s="17" t="n"/>
      <c r="D28" s="17" t="n"/>
      <c r="E28" s="17" t="n"/>
      <c r="F28" s="17" t="n"/>
      <c r="G28" s="17" t="n"/>
    </row>
    <row r="29">
      <c r="A29" s="16" t="n"/>
      <c r="B29" s="16" t="n"/>
      <c r="C29" s="16" t="n"/>
      <c r="D29" s="16" t="n"/>
      <c r="E29" s="16" t="n"/>
      <c r="F29" s="16" t="n"/>
      <c r="G29" s="16" t="n"/>
    </row>
    <row r="30">
      <c r="A30" s="17" t="n"/>
      <c r="B30" s="17" t="n"/>
      <c r="C30" s="17" t="n"/>
      <c r="D30" s="17" t="n"/>
      <c r="E30" s="17" t="n"/>
      <c r="F30" s="17" t="n"/>
      <c r="G30" s="17" t="n"/>
    </row>
    <row r="31">
      <c r="A31" s="16" t="n"/>
      <c r="B31" s="16" t="n"/>
      <c r="C31" s="16" t="n"/>
      <c r="D31" s="16" t="n"/>
      <c r="E31" s="16" t="n"/>
      <c r="F31" s="16" t="n"/>
      <c r="G31" s="16" t="n"/>
    </row>
    <row r="32">
      <c r="A32" s="17" t="n"/>
      <c r="B32" s="17" t="n"/>
      <c r="C32" s="17" t="n"/>
      <c r="D32" s="17" t="n"/>
      <c r="E32" s="17" t="n"/>
      <c r="F32" s="17" t="n"/>
      <c r="G32" s="17" t="n"/>
    </row>
    <row r="33">
      <c r="A33" s="16" t="n"/>
      <c r="B33" s="16" t="n"/>
      <c r="C33" s="16" t="n"/>
      <c r="D33" s="16" t="n"/>
      <c r="E33" s="16" t="n"/>
      <c r="F33" s="16" t="n"/>
      <c r="G33" s="16" t="n"/>
    </row>
    <row r="34">
      <c r="A34" s="17" t="n"/>
      <c r="B34" s="17" t="n"/>
      <c r="C34" s="17" t="n"/>
      <c r="D34" s="17" t="n"/>
      <c r="E34" s="17" t="n"/>
      <c r="F34" s="17" t="n"/>
      <c r="G34" s="17" t="n"/>
    </row>
    <row r="35">
      <c r="A35" s="16" t="n"/>
      <c r="B35" s="16" t="n"/>
      <c r="C35" s="16" t="n"/>
      <c r="D35" s="16" t="n"/>
      <c r="E35" s="16" t="n"/>
      <c r="F35" s="16" t="n"/>
      <c r="G35" s="16" t="n"/>
    </row>
    <row r="36">
      <c r="A36" s="17" t="n"/>
      <c r="B36" s="17" t="n"/>
      <c r="C36" s="17" t="n"/>
      <c r="D36" s="17" t="n"/>
      <c r="E36" s="17" t="n"/>
      <c r="F36" s="17" t="n"/>
      <c r="G36" s="17" t="n"/>
    </row>
    <row r="37">
      <c r="A37" s="16" t="n"/>
      <c r="B37" s="16" t="n"/>
      <c r="C37" s="16" t="n"/>
      <c r="D37" s="16" t="n"/>
      <c r="E37" s="16" t="n"/>
      <c r="F37" s="16" t="n"/>
      <c r="G37" s="16" t="n"/>
    </row>
    <row r="38">
      <c r="A38" s="17" t="n"/>
      <c r="B38" s="17" t="n"/>
      <c r="C38" s="17" t="n"/>
      <c r="D38" s="17" t="n"/>
      <c r="E38" s="17" t="n"/>
      <c r="F38" s="17" t="n"/>
      <c r="G38" s="17" t="n"/>
    </row>
    <row r="39">
      <c r="A39" s="16" t="n"/>
      <c r="B39" s="16" t="n"/>
      <c r="C39" s="16" t="n"/>
      <c r="D39" s="16" t="n"/>
      <c r="E39" s="16" t="n"/>
      <c r="F39" s="16" t="n"/>
      <c r="G39" s="16" t="n"/>
    </row>
    <row r="40">
      <c r="A40" s="17" t="n"/>
      <c r="B40" s="17" t="n"/>
      <c r="C40" s="17" t="n"/>
      <c r="D40" s="17" t="n"/>
      <c r="E40" s="17" t="n"/>
      <c r="F40" s="17" t="n"/>
      <c r="G40" s="17" t="n"/>
    </row>
    <row r="41">
      <c r="A41" s="16" t="n"/>
      <c r="B41" s="16" t="n"/>
      <c r="C41" s="16" t="n"/>
      <c r="D41" s="16" t="n"/>
      <c r="E41" s="16" t="n"/>
      <c r="F41" s="16" t="n"/>
      <c r="G41" s="16" t="n"/>
    </row>
    <row r="42">
      <c r="A42" s="17" t="n"/>
      <c r="B42" s="17" t="n"/>
      <c r="C42" s="17" t="n"/>
      <c r="D42" s="17" t="n"/>
      <c r="E42" s="17" t="n"/>
      <c r="F42" s="17" t="n"/>
      <c r="G42" s="17" t="n"/>
    </row>
    <row r="43">
      <c r="A43" s="16" t="n"/>
      <c r="B43" s="16" t="n"/>
      <c r="C43" s="16" t="n"/>
      <c r="D43" s="16" t="n"/>
      <c r="E43" s="16" t="n"/>
      <c r="F43" s="16" t="n"/>
      <c r="G43" s="16" t="n"/>
    </row>
    <row r="44">
      <c r="A44" s="17" t="n"/>
      <c r="B44" s="17" t="n"/>
      <c r="C44" s="17" t="n"/>
      <c r="D44" s="17" t="n"/>
      <c r="E44" s="17" t="n"/>
      <c r="F44" s="17" t="n"/>
      <c r="G44" s="17" t="n"/>
    </row>
    <row r="45">
      <c r="A45" s="16" t="n"/>
      <c r="B45" s="16" t="n"/>
      <c r="C45" s="16" t="n"/>
      <c r="D45" s="16" t="n"/>
      <c r="E45" s="16" t="n"/>
      <c r="F45" s="16" t="n"/>
      <c r="G45" s="16" t="n"/>
    </row>
    <row r="46">
      <c r="A46" s="17" t="n"/>
      <c r="B46" s="17" t="n"/>
      <c r="C46" s="17" t="n"/>
      <c r="D46" s="17" t="n"/>
      <c r="E46" s="17" t="n"/>
      <c r="F46" s="17" t="n"/>
      <c r="G46" s="17" t="n"/>
    </row>
    <row r="47">
      <c r="A47" s="16" t="n"/>
      <c r="B47" s="16" t="n"/>
      <c r="C47" s="16" t="n"/>
      <c r="D47" s="16" t="n"/>
      <c r="E47" s="16" t="n"/>
      <c r="F47" s="16" t="n"/>
      <c r="G47" s="16" t="n"/>
    </row>
    <row r="48">
      <c r="A48" s="17" t="n"/>
      <c r="B48" s="17" t="n"/>
      <c r="C48" s="17" t="n"/>
      <c r="D48" s="17" t="n"/>
      <c r="E48" s="17" t="n"/>
      <c r="F48" s="17" t="n"/>
      <c r="G48" s="17" t="n"/>
    </row>
    <row r="49">
      <c r="A49" s="16" t="n"/>
      <c r="B49" s="16" t="n"/>
      <c r="C49" s="16" t="n"/>
      <c r="D49" s="16" t="n"/>
      <c r="E49" s="16" t="n"/>
      <c r="F49" s="16" t="n"/>
      <c r="G49" s="16" t="n"/>
    </row>
    <row r="50">
      <c r="A50" s="17" t="n"/>
      <c r="B50" s="17" t="n"/>
      <c r="C50" s="17" t="n"/>
      <c r="D50" s="17" t="n"/>
      <c r="E50" s="17" t="n"/>
      <c r="F50" s="17" t="n"/>
      <c r="G50" s="17" t="n"/>
    </row>
    <row r="51">
      <c r="A51" s="16" t="n"/>
      <c r="B51" s="16" t="n"/>
      <c r="C51" s="16" t="n"/>
      <c r="D51" s="16" t="n"/>
      <c r="E51" s="16" t="n"/>
      <c r="F51" s="16" t="n"/>
      <c r="G51" s="16" t="n"/>
    </row>
    <row r="52">
      <c r="A52" s="17" t="n"/>
      <c r="B52" s="17" t="n"/>
      <c r="C52" s="17" t="n"/>
      <c r="D52" s="17" t="n"/>
      <c r="E52" s="17" t="n"/>
      <c r="F52" s="17" t="n"/>
      <c r="G52" s="17" t="n"/>
    </row>
    <row r="53">
      <c r="A53" s="16" t="n"/>
      <c r="B53" s="16" t="n"/>
      <c r="C53" s="16" t="n"/>
      <c r="D53" s="16" t="n"/>
      <c r="E53" s="16" t="n"/>
      <c r="F53" s="16" t="n"/>
      <c r="G53" s="16" t="n"/>
    </row>
    <row r="54">
      <c r="A54" s="17" t="n"/>
      <c r="B54" s="17" t="n"/>
      <c r="C54" s="17" t="n"/>
      <c r="D54" s="17" t="n"/>
      <c r="E54" s="17" t="n"/>
      <c r="F54" s="17" t="n"/>
      <c r="G54" s="17" t="n"/>
    </row>
    <row r="55">
      <c r="A55" s="16" t="n"/>
      <c r="B55" s="16" t="n"/>
      <c r="C55" s="16" t="n"/>
      <c r="D55" s="16" t="n"/>
      <c r="E55" s="16" t="n"/>
      <c r="F55" s="16" t="n"/>
      <c r="G55" s="16" t="n"/>
    </row>
    <row r="56">
      <c r="A56" s="17" t="n"/>
      <c r="B56" s="17" t="n"/>
      <c r="C56" s="17" t="n"/>
      <c r="D56" s="17" t="n"/>
      <c r="E56" s="17" t="n"/>
      <c r="F56" s="17" t="n"/>
      <c r="G56" s="17" t="n"/>
    </row>
    <row r="57">
      <c r="A57" s="16" t="n"/>
      <c r="B57" s="16" t="n"/>
      <c r="C57" s="16" t="n"/>
      <c r="D57" s="16" t="n"/>
      <c r="E57" s="16" t="n"/>
      <c r="F57" s="16" t="n"/>
      <c r="G57" s="16" t="n"/>
    </row>
    <row r="58">
      <c r="A58" s="17" t="n"/>
      <c r="B58" s="17" t="n"/>
      <c r="C58" s="17" t="n"/>
      <c r="D58" s="17" t="n"/>
      <c r="E58" s="17" t="n"/>
      <c r="F58" s="17" t="n"/>
      <c r="G58" s="17" t="n"/>
    </row>
    <row r="59">
      <c r="A59" s="16" t="n"/>
      <c r="B59" s="16" t="n"/>
      <c r="C59" s="16" t="n"/>
      <c r="D59" s="16" t="n"/>
      <c r="E59" s="16" t="n"/>
      <c r="F59" s="16" t="n"/>
      <c r="G59" s="16" t="n"/>
    </row>
    <row r="60">
      <c r="A60" s="17" t="n"/>
      <c r="B60" s="17" t="n"/>
      <c r="C60" s="17" t="n"/>
      <c r="D60" s="17" t="n"/>
      <c r="E60" s="17" t="n"/>
      <c r="F60" s="17" t="n"/>
      <c r="G60" s="17" t="n"/>
    </row>
    <row r="61">
      <c r="A61" s="16" t="n"/>
      <c r="B61" s="16" t="n"/>
      <c r="C61" s="16" t="n"/>
      <c r="D61" s="16" t="n"/>
      <c r="E61" s="16" t="n"/>
      <c r="F61" s="16" t="n"/>
      <c r="G61" s="16" t="n"/>
    </row>
    <row r="62">
      <c r="A62" s="17" t="n"/>
      <c r="B62" s="17" t="n"/>
      <c r="C62" s="17" t="n"/>
      <c r="D62" s="17" t="n"/>
      <c r="E62" s="17" t="n"/>
      <c r="F62" s="17" t="n"/>
      <c r="G62" s="17" t="n"/>
    </row>
    <row r="63">
      <c r="A63" s="16" t="n"/>
      <c r="B63" s="16" t="n"/>
      <c r="C63" s="16" t="n"/>
      <c r="D63" s="16" t="n"/>
      <c r="E63" s="16" t="n"/>
      <c r="F63" s="16" t="n"/>
      <c r="G63" s="16" t="n"/>
    </row>
    <row r="64">
      <c r="A64" s="17" t="n"/>
      <c r="B64" s="17" t="n"/>
      <c r="C64" s="17" t="n"/>
      <c r="D64" s="17" t="n"/>
      <c r="E64" s="17" t="n"/>
      <c r="F64" s="17" t="n"/>
      <c r="G64" s="17" t="n"/>
    </row>
    <row r="65">
      <c r="A65" s="16" t="n"/>
      <c r="B65" s="16" t="n"/>
      <c r="C65" s="16" t="n"/>
      <c r="D65" s="16" t="n"/>
      <c r="E65" s="16" t="n"/>
      <c r="F65" s="16" t="n"/>
      <c r="G65" s="16" t="n"/>
    </row>
    <row r="66">
      <c r="A66" s="17" t="n"/>
      <c r="B66" s="17" t="n"/>
      <c r="C66" s="17" t="n"/>
      <c r="D66" s="17" t="n"/>
      <c r="E66" s="17" t="n"/>
      <c r="F66" s="17" t="n"/>
      <c r="G66" s="17" t="n"/>
    </row>
    <row r="67">
      <c r="A67" s="16" t="n"/>
      <c r="B67" s="16" t="n"/>
      <c r="C67" s="16" t="n"/>
      <c r="D67" s="16" t="n"/>
      <c r="E67" s="16" t="n"/>
      <c r="F67" s="16" t="n"/>
      <c r="G67" s="16" t="n"/>
    </row>
    <row r="68">
      <c r="A68" s="17" t="n"/>
      <c r="B68" s="17" t="n"/>
      <c r="C68" s="17" t="n"/>
      <c r="D68" s="17" t="n"/>
      <c r="E68" s="17" t="n"/>
      <c r="F68" s="17" t="n"/>
      <c r="G68" s="17" t="n"/>
    </row>
    <row r="69">
      <c r="A69" s="16" t="n"/>
      <c r="B69" s="16" t="n"/>
      <c r="C69" s="16" t="n"/>
      <c r="D69" s="16" t="n"/>
      <c r="E69" s="16" t="n"/>
      <c r="F69" s="16" t="n"/>
      <c r="G69" s="16" t="n"/>
    </row>
    <row r="70">
      <c r="A70" s="17" t="n"/>
      <c r="B70" s="17" t="n"/>
      <c r="C70" s="17" t="n"/>
      <c r="D70" s="17" t="n"/>
      <c r="E70" s="17" t="n"/>
      <c r="F70" s="17" t="n"/>
      <c r="G70" s="17" t="n"/>
    </row>
    <row r="71">
      <c r="A71" s="16" t="n"/>
      <c r="B71" s="16" t="n"/>
      <c r="C71" s="16" t="n"/>
      <c r="D71" s="16" t="n"/>
      <c r="E71" s="16" t="n"/>
      <c r="F71" s="16" t="n"/>
      <c r="G71" s="16" t="n"/>
    </row>
    <row r="72">
      <c r="A72" s="17" t="n"/>
      <c r="B72" s="17" t="n"/>
      <c r="C72" s="17" t="n"/>
      <c r="D72" s="17" t="n"/>
      <c r="E72" s="17" t="n"/>
      <c r="F72" s="17" t="n"/>
      <c r="G72" s="17" t="n"/>
    </row>
    <row r="73">
      <c r="A73" s="16" t="n"/>
      <c r="B73" s="16" t="n"/>
      <c r="C73" s="16" t="n"/>
      <c r="D73" s="16" t="n"/>
      <c r="E73" s="16" t="n"/>
      <c r="F73" s="16" t="n"/>
      <c r="G73" s="16" t="n"/>
    </row>
    <row r="74">
      <c r="A74" s="17" t="n"/>
      <c r="B74" s="17" t="n"/>
      <c r="C74" s="17" t="n"/>
      <c r="D74" s="17" t="n"/>
      <c r="E74" s="17" t="n"/>
      <c r="F74" s="17" t="n"/>
      <c r="G74" s="17" t="n"/>
    </row>
    <row r="75">
      <c r="A75" s="16" t="n"/>
      <c r="B75" s="16" t="n"/>
      <c r="C75" s="16" t="n"/>
      <c r="D75" s="16" t="n"/>
      <c r="E75" s="16" t="n"/>
      <c r="F75" s="16" t="n"/>
      <c r="G75" s="16" t="n"/>
    </row>
    <row r="76">
      <c r="A76" s="17" t="n"/>
      <c r="B76" s="17" t="n"/>
      <c r="C76" s="17" t="n"/>
      <c r="D76" s="17" t="n"/>
      <c r="E76" s="17" t="n"/>
      <c r="F76" s="17" t="n"/>
      <c r="G76" s="17" t="n"/>
    </row>
    <row r="77">
      <c r="A77" s="16" t="n"/>
      <c r="B77" s="16" t="n"/>
      <c r="C77" s="16" t="n"/>
      <c r="D77" s="16" t="n"/>
      <c r="E77" s="16" t="n"/>
      <c r="F77" s="16" t="n"/>
      <c r="G77" s="16" t="n"/>
    </row>
    <row r="78">
      <c r="A78" s="17" t="n"/>
      <c r="B78" s="17" t="n"/>
      <c r="C78" s="17" t="n"/>
      <c r="D78" s="17" t="n"/>
      <c r="E78" s="17" t="n"/>
      <c r="F78" s="17" t="n"/>
      <c r="G78" s="17" t="n"/>
    </row>
    <row r="79">
      <c r="A79" s="16" t="n"/>
      <c r="B79" s="16" t="n"/>
      <c r="C79" s="16" t="n"/>
      <c r="D79" s="16" t="n"/>
      <c r="E79" s="16" t="n"/>
      <c r="F79" s="16" t="n"/>
      <c r="G79" s="16" t="n"/>
    </row>
    <row r="80">
      <c r="A80" s="17" t="n"/>
      <c r="B80" s="17" t="n"/>
      <c r="C80" s="17" t="n"/>
      <c r="D80" s="17" t="n"/>
      <c r="E80" s="17" t="n"/>
      <c r="F80" s="17" t="n"/>
      <c r="G80" s="17" t="n"/>
    </row>
    <row r="81">
      <c r="A81" s="16" t="n"/>
      <c r="B81" s="16" t="n"/>
      <c r="C81" s="16" t="n"/>
      <c r="D81" s="16" t="n"/>
      <c r="E81" s="16" t="n"/>
      <c r="F81" s="16" t="n"/>
      <c r="G81" s="16" t="n"/>
    </row>
    <row r="82">
      <c r="A82" s="17" t="n"/>
      <c r="B82" s="17" t="n"/>
      <c r="C82" s="17" t="n"/>
      <c r="D82" s="17" t="n"/>
      <c r="E82" s="17" t="n"/>
      <c r="F82" s="17" t="n"/>
      <c r="G82" s="17" t="n"/>
    </row>
    <row r="83">
      <c r="A83" s="16" t="n"/>
      <c r="B83" s="16" t="n"/>
      <c r="C83" s="16" t="n"/>
      <c r="D83" s="16" t="n"/>
      <c r="E83" s="16" t="n"/>
      <c r="F83" s="16" t="n"/>
      <c r="G83" s="16" t="n"/>
    </row>
    <row r="84">
      <c r="A84" s="17" t="n"/>
      <c r="B84" s="17" t="n"/>
      <c r="C84" s="17" t="n"/>
      <c r="D84" s="17" t="n"/>
      <c r="E84" s="17" t="n"/>
      <c r="F84" s="17" t="n"/>
      <c r="G84" s="17" t="n"/>
    </row>
    <row r="85">
      <c r="A85" s="16" t="n"/>
      <c r="B85" s="16" t="n"/>
      <c r="C85" s="16" t="n"/>
      <c r="D85" s="16" t="n"/>
      <c r="E85" s="16" t="n"/>
      <c r="F85" s="16" t="n"/>
      <c r="G85" s="16" t="n"/>
    </row>
    <row r="86">
      <c r="A86" s="17" t="n"/>
      <c r="B86" s="17" t="n"/>
      <c r="C86" s="17" t="n"/>
      <c r="D86" s="17" t="n"/>
      <c r="E86" s="17" t="n"/>
      <c r="F86" s="17" t="n"/>
      <c r="G86" s="17" t="n"/>
    </row>
    <row r="87">
      <c r="A87" s="16" t="n"/>
      <c r="B87" s="16" t="n"/>
      <c r="C87" s="16" t="n"/>
      <c r="D87" s="16" t="n"/>
      <c r="E87" s="16" t="n"/>
      <c r="F87" s="16" t="n"/>
      <c r="G87" s="16" t="n"/>
    </row>
    <row r="88">
      <c r="A88" s="17" t="n"/>
      <c r="B88" s="17" t="n"/>
      <c r="C88" s="17" t="n"/>
      <c r="D88" s="17" t="n"/>
      <c r="E88" s="17" t="n"/>
      <c r="F88" s="17" t="n"/>
      <c r="G88" s="17" t="n"/>
    </row>
    <row r="89">
      <c r="A89" s="16" t="n"/>
      <c r="B89" s="16" t="n"/>
      <c r="C89" s="16" t="n"/>
      <c r="D89" s="16" t="n"/>
      <c r="E89" s="16" t="n"/>
      <c r="F89" s="16" t="n"/>
      <c r="G89" s="16" t="n"/>
    </row>
    <row r="90">
      <c r="A90" s="17" t="n"/>
      <c r="B90" s="17" t="n"/>
      <c r="C90" s="17" t="n"/>
      <c r="D90" s="17" t="n"/>
      <c r="E90" s="17" t="n"/>
      <c r="F90" s="17" t="n"/>
      <c r="G90" s="17" t="n"/>
    </row>
    <row r="91">
      <c r="A91" s="16" t="n"/>
      <c r="B91" s="16" t="n"/>
      <c r="C91" s="16" t="n"/>
      <c r="D91" s="16" t="n"/>
      <c r="E91" s="16" t="n"/>
      <c r="F91" s="16" t="n"/>
      <c r="G91" s="16" t="n"/>
    </row>
    <row r="92">
      <c r="A92" s="17" t="n"/>
      <c r="B92" s="17" t="n"/>
      <c r="C92" s="17" t="n"/>
      <c r="D92" s="17" t="n"/>
      <c r="E92" s="17" t="n"/>
      <c r="F92" s="17" t="n"/>
      <c r="G92" s="17" t="n"/>
    </row>
    <row r="93">
      <c r="A93" s="16" t="n"/>
      <c r="B93" s="16" t="n"/>
      <c r="C93" s="16" t="n"/>
      <c r="D93" s="16" t="n"/>
      <c r="E93" s="16" t="n"/>
      <c r="F93" s="16" t="n"/>
      <c r="G93" s="16" t="n"/>
    </row>
    <row r="94">
      <c r="A94" s="17" t="n"/>
      <c r="B94" s="17" t="n"/>
      <c r="C94" s="17" t="n"/>
      <c r="D94" s="17" t="n"/>
      <c r="E94" s="17" t="n"/>
      <c r="F94" s="17" t="n"/>
      <c r="G94" s="17" t="n"/>
    </row>
    <row r="95">
      <c r="A95" s="16" t="n"/>
      <c r="B95" s="16" t="n"/>
      <c r="C95" s="16" t="n"/>
      <c r="D95" s="16" t="n"/>
      <c r="E95" s="16" t="n"/>
      <c r="F95" s="16" t="n"/>
      <c r="G95" s="16" t="n"/>
    </row>
    <row r="96">
      <c r="A96" s="17" t="n"/>
      <c r="B96" s="17" t="n"/>
      <c r="C96" s="17" t="n"/>
      <c r="D96" s="17" t="n"/>
      <c r="E96" s="17" t="n"/>
      <c r="F96" s="17" t="n"/>
      <c r="G96" s="17" t="n"/>
    </row>
    <row r="97">
      <c r="A97" s="16" t="n"/>
      <c r="B97" s="16" t="n"/>
      <c r="C97" s="16" t="n"/>
      <c r="D97" s="16" t="n"/>
      <c r="E97" s="16" t="n"/>
      <c r="F97" s="16" t="n"/>
      <c r="G97" s="16" t="n"/>
    </row>
    <row r="98">
      <c r="A98" s="17" t="n"/>
      <c r="B98" s="17" t="n"/>
      <c r="C98" s="17" t="n"/>
      <c r="D98" s="17" t="n"/>
      <c r="E98" s="17" t="n"/>
      <c r="F98" s="17" t="n"/>
      <c r="G98" s="17" t="n"/>
    </row>
    <row r="99">
      <c r="A99" s="16" t="n"/>
      <c r="B99" s="16" t="n"/>
      <c r="C99" s="16" t="n"/>
      <c r="D99" s="16" t="n"/>
      <c r="E99" s="16" t="n"/>
      <c r="F99" s="16" t="n"/>
      <c r="G99" s="16" t="n"/>
    </row>
    <row r="100">
      <c r="A100" s="17" t="n"/>
      <c r="B100" s="17" t="n"/>
      <c r="C100" s="17" t="n"/>
      <c r="D100" s="17" t="n"/>
      <c r="E100" s="17" t="n"/>
      <c r="F100" s="17" t="n"/>
      <c r="G100" s="17" t="n"/>
    </row>
    <row r="101">
      <c r="A101" s="16" t="n"/>
      <c r="B101" s="16" t="n"/>
      <c r="C101" s="16" t="n"/>
      <c r="D101" s="16" t="n"/>
      <c r="E101" s="16" t="n"/>
      <c r="F101" s="16" t="n"/>
      <c r="G101" s="16" t="n"/>
    </row>
    <row r="102">
      <c r="A102" s="17" t="n"/>
      <c r="B102" s="17" t="n"/>
      <c r="C102" s="17" t="n"/>
      <c r="D102" s="17" t="n"/>
      <c r="E102" s="17" t="n"/>
      <c r="F102" s="17" t="n"/>
      <c r="G102" s="17" t="n"/>
    </row>
    <row r="103">
      <c r="A103" s="16" t="n"/>
      <c r="B103" s="16" t="n"/>
      <c r="C103" s="16" t="n"/>
      <c r="D103" s="16" t="n"/>
      <c r="E103" s="16" t="n"/>
      <c r="F103" s="16" t="n"/>
      <c r="G103" s="16" t="n"/>
    </row>
    <row r="104">
      <c r="A104" s="17" t="n"/>
      <c r="B104" s="17" t="n"/>
      <c r="C104" s="17" t="n"/>
      <c r="D104" s="17" t="n"/>
      <c r="E104" s="17" t="n"/>
      <c r="F104" s="17" t="n"/>
      <c r="G104" s="17" t="n"/>
    </row>
    <row r="105">
      <c r="A105" s="16" t="n"/>
      <c r="B105" s="16" t="n"/>
      <c r="C105" s="16" t="n"/>
      <c r="D105" s="16" t="n"/>
      <c r="E105" s="16" t="n"/>
      <c r="F105" s="16" t="n"/>
      <c r="G105" s="16" t="n"/>
    </row>
    <row r="106">
      <c r="A106" s="17" t="n"/>
      <c r="B106" s="17" t="n"/>
      <c r="C106" s="17" t="n"/>
      <c r="D106" s="17" t="n"/>
      <c r="E106" s="17" t="n"/>
      <c r="F106" s="17" t="n"/>
      <c r="G106" s="17" t="n"/>
    </row>
    <row r="107">
      <c r="A107" s="16" t="n"/>
      <c r="B107" s="16" t="n"/>
      <c r="C107" s="16" t="n"/>
      <c r="D107" s="16" t="n"/>
      <c r="E107" s="16" t="n"/>
      <c r="F107" s="16" t="n"/>
      <c r="G107" s="16" t="n"/>
    </row>
    <row r="108">
      <c r="A108" s="17" t="n"/>
      <c r="B108" s="17" t="n"/>
      <c r="C108" s="17" t="n"/>
      <c r="D108" s="17" t="n"/>
      <c r="E108" s="17" t="n"/>
      <c r="F108" s="17" t="n"/>
      <c r="G108" s="17" t="n"/>
    </row>
    <row r="109">
      <c r="A109" s="16" t="n"/>
      <c r="B109" s="16" t="n"/>
      <c r="C109" s="16" t="n"/>
      <c r="D109" s="16" t="n"/>
      <c r="E109" s="16" t="n"/>
      <c r="F109" s="16" t="n"/>
      <c r="G109" s="16" t="n"/>
    </row>
    <row r="110">
      <c r="A110" s="17" t="n"/>
      <c r="B110" s="17" t="n"/>
      <c r="C110" s="17" t="n"/>
      <c r="D110" s="17" t="n"/>
      <c r="E110" s="17" t="n"/>
      <c r="F110" s="17" t="n"/>
      <c r="G110" s="17" t="n"/>
    </row>
    <row r="111">
      <c r="A111" s="16" t="n"/>
      <c r="B111" s="16" t="n"/>
      <c r="C111" s="16" t="n"/>
      <c r="D111" s="16" t="n"/>
      <c r="E111" s="16" t="n"/>
      <c r="F111" s="16" t="n"/>
      <c r="G111" s="16" t="n"/>
    </row>
    <row r="112">
      <c r="A112" s="17" t="n"/>
      <c r="B112" s="17" t="n"/>
      <c r="C112" s="17" t="n"/>
      <c r="D112" s="17" t="n"/>
      <c r="E112" s="17" t="n"/>
      <c r="F112" s="17" t="n"/>
      <c r="G112" s="17" t="n"/>
    </row>
    <row r="113">
      <c r="A113" s="16" t="n"/>
      <c r="B113" s="16" t="n"/>
      <c r="C113" s="16" t="n"/>
      <c r="D113" s="16" t="n"/>
      <c r="E113" s="16" t="n"/>
      <c r="F113" s="16" t="n"/>
      <c r="G113" s="16" t="n"/>
    </row>
    <row r="114">
      <c r="A114" s="17" t="n"/>
      <c r="B114" s="17" t="n"/>
      <c r="C114" s="17" t="n"/>
      <c r="D114" s="17" t="n"/>
      <c r="E114" s="17" t="n"/>
      <c r="F114" s="17" t="n"/>
      <c r="G114" s="17" t="n"/>
    </row>
    <row r="115">
      <c r="A115" s="16" t="n"/>
      <c r="B115" s="16" t="n"/>
      <c r="C115" s="16" t="n"/>
      <c r="D115" s="16" t="n"/>
      <c r="E115" s="16" t="n"/>
      <c r="F115" s="16" t="n"/>
      <c r="G115" s="16" t="n"/>
    </row>
    <row r="116">
      <c r="A116" s="17" t="n"/>
      <c r="B116" s="17" t="n"/>
      <c r="C116" s="17" t="n"/>
      <c r="D116" s="17" t="n"/>
      <c r="E116" s="17" t="n"/>
      <c r="F116" s="17" t="n"/>
      <c r="G116" s="17" t="n"/>
    </row>
    <row r="117">
      <c r="A117" s="16" t="n"/>
      <c r="B117" s="16" t="n"/>
      <c r="C117" s="16" t="n"/>
      <c r="D117" s="16" t="n"/>
      <c r="E117" s="16" t="n"/>
      <c r="F117" s="16" t="n"/>
      <c r="G117" s="16" t="n"/>
    </row>
    <row r="118">
      <c r="A118" s="17" t="n"/>
      <c r="B118" s="17" t="n"/>
      <c r="C118" s="17" t="n"/>
      <c r="D118" s="17" t="n"/>
      <c r="E118" s="17" t="n"/>
      <c r="F118" s="17" t="n"/>
      <c r="G118" s="17" t="n"/>
    </row>
    <row r="119">
      <c r="A119" s="16" t="n"/>
      <c r="B119" s="16" t="n"/>
      <c r="C119" s="16" t="n"/>
      <c r="D119" s="16" t="n"/>
      <c r="E119" s="16" t="n"/>
      <c r="F119" s="16" t="n"/>
      <c r="G119" s="16" t="n"/>
    </row>
    <row r="120">
      <c r="A120" s="17" t="n"/>
      <c r="B120" s="17" t="n"/>
      <c r="C120" s="17" t="n"/>
      <c r="D120" s="17" t="n"/>
      <c r="E120" s="17" t="n"/>
      <c r="F120" s="17" t="n"/>
      <c r="G120" s="17" t="n"/>
    </row>
    <row r="121">
      <c r="A121" s="16" t="n"/>
      <c r="B121" s="16" t="n"/>
      <c r="C121" s="16" t="n"/>
      <c r="D121" s="16" t="n"/>
      <c r="E121" s="16" t="n"/>
      <c r="F121" s="16" t="n"/>
      <c r="G121" s="16" t="n"/>
    </row>
    <row r="122">
      <c r="A122" s="17" t="n"/>
      <c r="B122" s="17" t="n"/>
      <c r="C122" s="17" t="n"/>
      <c r="D122" s="17" t="n"/>
      <c r="E122" s="17" t="n"/>
      <c r="F122" s="17" t="n"/>
      <c r="G122" s="17" t="n"/>
    </row>
    <row r="123">
      <c r="A123" s="16" t="n"/>
      <c r="B123" s="16" t="n"/>
      <c r="C123" s="16" t="n"/>
      <c r="D123" s="16" t="n"/>
      <c r="E123" s="16" t="n"/>
      <c r="F123" s="16" t="n"/>
      <c r="G123" s="16" t="n"/>
    </row>
    <row r="124">
      <c r="A124" s="17" t="n"/>
      <c r="B124" s="17" t="n"/>
      <c r="C124" s="17" t="n"/>
      <c r="D124" s="17" t="n"/>
      <c r="E124" s="17" t="n"/>
      <c r="F124" s="17" t="n"/>
      <c r="G124" s="17" t="n"/>
    </row>
    <row r="125">
      <c r="A125" s="16" t="n"/>
      <c r="B125" s="16" t="n"/>
      <c r="C125" s="16" t="n"/>
      <c r="D125" s="16" t="n"/>
      <c r="E125" s="16" t="n"/>
      <c r="F125" s="16" t="n"/>
      <c r="G125" s="16" t="n"/>
    </row>
    <row r="126">
      <c r="A126" s="17" t="n"/>
      <c r="B126" s="17" t="n"/>
      <c r="C126" s="17" t="n"/>
      <c r="D126" s="17" t="n"/>
      <c r="E126" s="17" t="n"/>
      <c r="F126" s="17" t="n"/>
      <c r="G126" s="17" t="n"/>
    </row>
    <row r="127">
      <c r="A127" s="16" t="n"/>
      <c r="B127" s="16" t="n"/>
      <c r="C127" s="16" t="n"/>
      <c r="D127" s="16" t="n"/>
      <c r="E127" s="16" t="n"/>
      <c r="F127" s="16" t="n"/>
      <c r="G127" s="16" t="n"/>
    </row>
    <row r="128">
      <c r="A128" s="17" t="n"/>
      <c r="B128" s="17" t="n"/>
      <c r="C128" s="17" t="n"/>
      <c r="D128" s="17" t="n"/>
      <c r="E128" s="17" t="n"/>
      <c r="F128" s="17" t="n"/>
      <c r="G128" s="17" t="n"/>
    </row>
    <row r="129">
      <c r="A129" s="16" t="n"/>
      <c r="B129" s="16" t="n"/>
      <c r="C129" s="16" t="n"/>
      <c r="D129" s="16" t="n"/>
      <c r="E129" s="16" t="n"/>
      <c r="F129" s="16" t="n"/>
      <c r="G129" s="16" t="n"/>
    </row>
    <row r="130">
      <c r="A130" s="17" t="n"/>
      <c r="B130" s="17" t="n"/>
      <c r="C130" s="17" t="n"/>
      <c r="D130" s="17" t="n"/>
      <c r="E130" s="17" t="n"/>
      <c r="F130" s="17" t="n"/>
      <c r="G130" s="17" t="n"/>
    </row>
    <row r="131">
      <c r="A131" s="16" t="n"/>
      <c r="B131" s="16" t="n"/>
      <c r="C131" s="16" t="n"/>
      <c r="D131" s="16" t="n"/>
      <c r="E131" s="16" t="n"/>
      <c r="F131" s="16" t="n"/>
      <c r="G131" s="16" t="n"/>
    </row>
    <row r="132">
      <c r="A132" s="17" t="n"/>
      <c r="B132" s="17" t="n"/>
      <c r="C132" s="17" t="n"/>
      <c r="D132" s="17" t="n"/>
      <c r="E132" s="17" t="n"/>
      <c r="F132" s="17" t="n"/>
      <c r="G132" s="17" t="n"/>
    </row>
    <row r="133">
      <c r="A133" s="16" t="n"/>
      <c r="B133" s="16" t="n"/>
      <c r="C133" s="16" t="n"/>
      <c r="D133" s="16" t="n"/>
      <c r="E133" s="16" t="n"/>
      <c r="F133" s="16" t="n"/>
      <c r="G133" s="16" t="n"/>
    </row>
    <row r="134">
      <c r="A134" s="17" t="n"/>
      <c r="B134" s="17" t="n"/>
      <c r="C134" s="17" t="n"/>
      <c r="D134" s="17" t="n"/>
      <c r="E134" s="17" t="n"/>
      <c r="F134" s="17" t="n"/>
      <c r="G134" s="17" t="n"/>
    </row>
    <row r="135">
      <c r="A135" s="16" t="n"/>
      <c r="B135" s="16" t="n"/>
      <c r="C135" s="16" t="n"/>
      <c r="D135" s="16" t="n"/>
      <c r="E135" s="16" t="n"/>
      <c r="F135" s="16" t="n"/>
      <c r="G135" s="16" t="n"/>
    </row>
    <row r="136">
      <c r="A136" s="17" t="n"/>
      <c r="B136" s="17" t="n"/>
      <c r="C136" s="17" t="n"/>
      <c r="D136" s="17" t="n"/>
      <c r="E136" s="17" t="n"/>
      <c r="F136" s="17" t="n"/>
      <c r="G136" s="17" t="n"/>
    </row>
    <row r="137">
      <c r="A137" s="16" t="n"/>
      <c r="B137" s="16" t="n"/>
      <c r="C137" s="16" t="n"/>
      <c r="D137" s="16" t="n"/>
      <c r="E137" s="16" t="n"/>
      <c r="F137" s="16" t="n"/>
      <c r="G137" s="16" t="n"/>
    </row>
    <row r="138">
      <c r="A138" s="17" t="n"/>
      <c r="B138" s="17" t="n"/>
      <c r="C138" s="17" t="n"/>
      <c r="D138" s="17" t="n"/>
      <c r="E138" s="17" t="n"/>
      <c r="F138" s="17" t="n"/>
      <c r="G138" s="17" t="n"/>
    </row>
    <row r="139">
      <c r="A139" s="16" t="n"/>
      <c r="B139" s="16" t="n"/>
      <c r="C139" s="16" t="n"/>
      <c r="D139" s="16" t="n"/>
      <c r="E139" s="16" t="n"/>
      <c r="F139" s="16" t="n"/>
      <c r="G139" s="16" t="n"/>
    </row>
    <row r="140">
      <c r="A140" s="17" t="n"/>
      <c r="B140" s="17" t="n"/>
      <c r="C140" s="17" t="n"/>
      <c r="D140" s="17" t="n"/>
      <c r="E140" s="17" t="n"/>
      <c r="F140" s="17" t="n"/>
      <c r="G140" s="17" t="n"/>
    </row>
    <row r="141">
      <c r="A141" s="16" t="n"/>
      <c r="B141" s="16" t="n"/>
      <c r="C141" s="16" t="n"/>
      <c r="D141" s="16" t="n"/>
      <c r="E141" s="16" t="n"/>
      <c r="F141" s="16" t="n"/>
      <c r="G141" s="16" t="n"/>
    </row>
    <row r="142">
      <c r="A142" s="17" t="n"/>
      <c r="B142" s="17" t="n"/>
      <c r="C142" s="17" t="n"/>
      <c r="D142" s="17" t="n"/>
      <c r="E142" s="17" t="n"/>
      <c r="F142" s="17" t="n"/>
      <c r="G142" s="17" t="n"/>
    </row>
    <row r="143">
      <c r="A143" s="16" t="n"/>
      <c r="B143" s="16" t="n"/>
      <c r="C143" s="16" t="n"/>
      <c r="D143" s="16" t="n"/>
      <c r="E143" s="16" t="n"/>
      <c r="F143" s="16" t="n"/>
      <c r="G143" s="16" t="n"/>
    </row>
    <row r="144">
      <c r="A144" s="17" t="n"/>
      <c r="B144" s="17" t="n"/>
      <c r="C144" s="17" t="n"/>
      <c r="D144" s="17" t="n"/>
      <c r="E144" s="17" t="n"/>
      <c r="F144" s="17" t="n"/>
      <c r="G144" s="17" t="n"/>
    </row>
    <row r="145">
      <c r="A145" s="16" t="n"/>
      <c r="B145" s="16" t="n"/>
      <c r="C145" s="16" t="n"/>
      <c r="D145" s="16" t="n"/>
      <c r="E145" s="16" t="n"/>
      <c r="F145" s="16" t="n"/>
      <c r="G145" s="16" t="n"/>
    </row>
    <row r="146">
      <c r="A146" s="17" t="n"/>
      <c r="B146" s="17" t="n"/>
      <c r="C146" s="17" t="n"/>
      <c r="D146" s="17" t="n"/>
      <c r="E146" s="17" t="n"/>
      <c r="F146" s="17" t="n"/>
      <c r="G146" s="17" t="n"/>
    </row>
    <row r="147">
      <c r="A147" s="16" t="n"/>
      <c r="B147" s="16" t="n"/>
      <c r="C147" s="16" t="n"/>
      <c r="D147" s="16" t="n"/>
      <c r="E147" s="16" t="n"/>
      <c r="F147" s="16" t="n"/>
      <c r="G147" s="16" t="n"/>
    </row>
    <row r="148">
      <c r="A148" s="17" t="n"/>
      <c r="B148" s="17" t="n"/>
      <c r="C148" s="17" t="n"/>
      <c r="D148" s="17" t="n"/>
      <c r="E148" s="17" t="n"/>
      <c r="F148" s="17" t="n"/>
      <c r="G148" s="17" t="n"/>
    </row>
    <row r="149">
      <c r="A149" s="16" t="n"/>
      <c r="B149" s="16" t="n"/>
      <c r="C149" s="16" t="n"/>
      <c r="D149" s="16" t="n"/>
      <c r="E149" s="16" t="n"/>
      <c r="F149" s="16" t="n"/>
      <c r="G149" s="16" t="n"/>
    </row>
    <row r="150">
      <c r="A150" s="17" t="n"/>
      <c r="B150" s="17" t="n"/>
      <c r="C150" s="17" t="n"/>
      <c r="D150" s="17" t="n"/>
      <c r="E150" s="17" t="n"/>
      <c r="F150" s="17" t="n"/>
      <c r="G150" s="17" t="n"/>
    </row>
    <row r="151">
      <c r="A151" s="16" t="n"/>
      <c r="B151" s="16" t="n"/>
      <c r="C151" s="16" t="n"/>
      <c r="D151" s="16" t="n"/>
      <c r="E151" s="16" t="n"/>
      <c r="F151" s="16" t="n"/>
      <c r="G151" s="16" t="n"/>
    </row>
    <row r="152">
      <c r="A152" s="17" t="n"/>
      <c r="B152" s="17" t="n"/>
      <c r="C152" s="17" t="n"/>
      <c r="D152" s="17" t="n"/>
      <c r="E152" s="17" t="n"/>
      <c r="F152" s="17" t="n"/>
      <c r="G152" s="17" t="n"/>
    </row>
    <row r="153">
      <c r="A153" s="16" t="n"/>
      <c r="B153" s="16" t="n"/>
      <c r="C153" s="16" t="n"/>
      <c r="D153" s="16" t="n"/>
      <c r="E153" s="16" t="n"/>
      <c r="F153" s="16" t="n"/>
      <c r="G153" s="16" t="n"/>
    </row>
    <row r="154">
      <c r="A154" s="17" t="n"/>
      <c r="B154" s="17" t="n"/>
      <c r="C154" s="17" t="n"/>
      <c r="D154" s="17" t="n"/>
      <c r="E154" s="17" t="n"/>
      <c r="F154" s="17" t="n"/>
      <c r="G154" s="17" t="n"/>
    </row>
    <row r="155">
      <c r="A155" s="16" t="n"/>
      <c r="B155" s="16" t="n"/>
      <c r="C155" s="16" t="n"/>
      <c r="D155" s="16" t="n"/>
      <c r="E155" s="16" t="n"/>
      <c r="F155" s="16" t="n"/>
      <c r="G155" s="16" t="n"/>
    </row>
    <row r="156">
      <c r="A156" s="17" t="n"/>
      <c r="B156" s="17" t="n"/>
      <c r="C156" s="17" t="n"/>
      <c r="D156" s="17" t="n"/>
      <c r="E156" s="17" t="n"/>
      <c r="F156" s="17" t="n"/>
      <c r="G156" s="17" t="n"/>
    </row>
    <row r="157">
      <c r="A157" s="16" t="n"/>
      <c r="B157" s="16" t="n"/>
      <c r="C157" s="16" t="n"/>
      <c r="D157" s="16" t="n"/>
      <c r="E157" s="16" t="n"/>
      <c r="F157" s="16" t="n"/>
      <c r="G157" s="16" t="n"/>
    </row>
    <row r="158">
      <c r="A158" s="17" t="n"/>
      <c r="B158" s="17" t="n"/>
      <c r="C158" s="17" t="n"/>
      <c r="D158" s="17" t="n"/>
      <c r="E158" s="17" t="n"/>
      <c r="F158" s="17" t="n"/>
      <c r="G158" s="17" t="n"/>
    </row>
    <row r="159">
      <c r="A159" s="16" t="n"/>
      <c r="B159" s="16" t="n"/>
      <c r="C159" s="16" t="n"/>
      <c r="D159" s="16" t="n"/>
      <c r="E159" s="16" t="n"/>
      <c r="F159" s="16" t="n"/>
      <c r="G159" s="16" t="n"/>
    </row>
    <row r="160">
      <c r="A160" s="17" t="n"/>
      <c r="B160" s="17" t="n"/>
      <c r="C160" s="17" t="n"/>
      <c r="D160" s="17" t="n"/>
      <c r="E160" s="17" t="n"/>
      <c r="F160" s="17" t="n"/>
      <c r="G160" s="17" t="n"/>
    </row>
  </sheetData>
  <mergeCells count="2">
    <mergeCell ref="A2:G2"/>
    <mergeCell ref="A1:G1"/>
  </mergeCells>
  <dataValidations count="1">
    <dataValidation sqref="G5:G16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3" customWidth="1" min="3" max="3"/>
    <col width="16" customWidth="1" min="4" max="4"/>
    <col width="11" customWidth="1" min="5" max="5"/>
    <col width="40" customWidth="1" min="6" max="6"/>
  </cols>
  <sheetData>
    <row r="1" ht="26" customHeight="1">
      <c r="A1" s="7" t="inlineStr">
        <is>
          <t>Milestones &amp; Deadlines</t>
        </is>
      </c>
    </row>
    <row r="2">
      <c r="A2" s="8" t="inlineStr">
        <is>
          <t>The dates that actually matter. Days-left counts down live.</t>
        </is>
      </c>
    </row>
    <row r="4" ht="30" customHeight="1">
      <c r="A4" s="15" t="inlineStr">
        <is>
          <t>Milestone</t>
        </is>
      </c>
      <c r="B4" s="15" t="inlineStr">
        <is>
          <t>Category</t>
        </is>
      </c>
      <c r="C4" s="15" t="inlineStr">
        <is>
          <t>Due date</t>
        </is>
      </c>
      <c r="D4" s="15" t="inlineStr">
        <is>
          <t>Status</t>
        </is>
      </c>
      <c r="E4" s="15" t="inlineStr">
        <is>
          <t>Days left</t>
        </is>
      </c>
      <c r="F4" s="15" t="inlineStr">
        <is>
          <t>Notes</t>
        </is>
      </c>
    </row>
    <row r="5">
      <c r="A5" s="16" t="n"/>
      <c r="B5" s="16" t="n"/>
      <c r="C5" s="16" t="n"/>
      <c r="D5" s="16" t="n"/>
      <c r="E5" s="16">
        <f>IF(C5="","",C5-TODAY())</f>
        <v/>
      </c>
      <c r="F5" s="16" t="n"/>
    </row>
    <row r="6">
      <c r="A6" s="17" t="n"/>
      <c r="B6" s="17" t="n"/>
      <c r="C6" s="17" t="n"/>
      <c r="D6" s="17" t="n"/>
      <c r="E6" s="17">
        <f>IF(C6="","",C6-TODAY())</f>
        <v/>
      </c>
      <c r="F6" s="17" t="n"/>
    </row>
    <row r="7">
      <c r="A7" s="16" t="n"/>
      <c r="B7" s="16" t="n"/>
      <c r="C7" s="16" t="n"/>
      <c r="D7" s="16" t="n"/>
      <c r="E7" s="16">
        <f>IF(C7="","",C7-TODAY())</f>
        <v/>
      </c>
      <c r="F7" s="16" t="n"/>
    </row>
    <row r="8">
      <c r="A8" s="17" t="n"/>
      <c r="B8" s="17" t="n"/>
      <c r="C8" s="17" t="n"/>
      <c r="D8" s="17" t="n"/>
      <c r="E8" s="17">
        <f>IF(C8="","",C8-TODAY())</f>
        <v/>
      </c>
      <c r="F8" s="17" t="n"/>
    </row>
    <row r="9">
      <c r="A9" s="16" t="n"/>
      <c r="B9" s="16" t="n"/>
      <c r="C9" s="16" t="n"/>
      <c r="D9" s="16" t="n"/>
      <c r="E9" s="16">
        <f>IF(C9="","",C9-TODAY())</f>
        <v/>
      </c>
      <c r="F9" s="16" t="n"/>
    </row>
    <row r="10">
      <c r="A10" s="17" t="n"/>
      <c r="B10" s="17" t="n"/>
      <c r="C10" s="17" t="n"/>
      <c r="D10" s="17" t="n"/>
      <c r="E10" s="17">
        <f>IF(C10="","",C10-TODAY())</f>
        <v/>
      </c>
      <c r="F10" s="17" t="n"/>
    </row>
    <row r="11">
      <c r="A11" s="16" t="n"/>
      <c r="B11" s="16" t="n"/>
      <c r="C11" s="16" t="n"/>
      <c r="D11" s="16" t="n"/>
      <c r="E11" s="16">
        <f>IF(C11="","",C11-TODAY())</f>
        <v/>
      </c>
      <c r="F11" s="16" t="n"/>
    </row>
    <row r="12">
      <c r="A12" s="17" t="n"/>
      <c r="B12" s="17" t="n"/>
      <c r="C12" s="17" t="n"/>
      <c r="D12" s="17" t="n"/>
      <c r="E12" s="17">
        <f>IF(C12="","",C12-TODAY())</f>
        <v/>
      </c>
      <c r="F12" s="17" t="n"/>
    </row>
    <row r="13">
      <c r="A13" s="16" t="n"/>
      <c r="B13" s="16" t="n"/>
      <c r="C13" s="16" t="n"/>
      <c r="D13" s="16" t="n"/>
      <c r="E13" s="16">
        <f>IF(C13="","",C13-TODAY())</f>
        <v/>
      </c>
      <c r="F13" s="16" t="n"/>
    </row>
    <row r="14">
      <c r="A14" s="17" t="n"/>
      <c r="B14" s="17" t="n"/>
      <c r="C14" s="17" t="n"/>
      <c r="D14" s="17" t="n"/>
      <c r="E14" s="17">
        <f>IF(C14="","",C14-TODAY())</f>
        <v/>
      </c>
      <c r="F14" s="17" t="n"/>
    </row>
    <row r="15">
      <c r="A15" s="16" t="n"/>
      <c r="B15" s="16" t="n"/>
      <c r="C15" s="16" t="n"/>
      <c r="D15" s="16" t="n"/>
      <c r="E15" s="16">
        <f>IF(C15="","",C15-TODAY())</f>
        <v/>
      </c>
      <c r="F15" s="16" t="n"/>
    </row>
    <row r="16">
      <c r="A16" s="17" t="n"/>
      <c r="B16" s="17" t="n"/>
      <c r="C16" s="17" t="n"/>
      <c r="D16" s="17" t="n"/>
      <c r="E16" s="17">
        <f>IF(C16="","",C16-TODAY())</f>
        <v/>
      </c>
      <c r="F16" s="17" t="n"/>
    </row>
    <row r="17">
      <c r="A17" s="16" t="n"/>
      <c r="B17" s="16" t="n"/>
      <c r="C17" s="16" t="n"/>
      <c r="D17" s="16" t="n"/>
      <c r="E17" s="16">
        <f>IF(C17="","",C17-TODAY())</f>
        <v/>
      </c>
      <c r="F17" s="16" t="n"/>
    </row>
    <row r="18">
      <c r="A18" s="17" t="n"/>
      <c r="B18" s="17" t="n"/>
      <c r="C18" s="17" t="n"/>
      <c r="D18" s="17" t="n"/>
      <c r="E18" s="17">
        <f>IF(C18="","",C18-TODAY())</f>
        <v/>
      </c>
      <c r="F18" s="17" t="n"/>
    </row>
    <row r="19">
      <c r="A19" s="16" t="n"/>
      <c r="B19" s="16" t="n"/>
      <c r="C19" s="16" t="n"/>
      <c r="D19" s="16" t="n"/>
      <c r="E19" s="16">
        <f>IF(C19="","",C19-TODAY())</f>
        <v/>
      </c>
      <c r="F19" s="16" t="n"/>
    </row>
    <row r="20">
      <c r="A20" s="17" t="n"/>
      <c r="B20" s="17" t="n"/>
      <c r="C20" s="17" t="n"/>
      <c r="D20" s="17" t="n"/>
      <c r="E20" s="17">
        <f>IF(C20="","",C20-TODAY())</f>
        <v/>
      </c>
      <c r="F20" s="17" t="n"/>
    </row>
    <row r="21">
      <c r="A21" s="16" t="n"/>
      <c r="B21" s="16" t="n"/>
      <c r="C21" s="16" t="n"/>
      <c r="D21" s="16" t="n"/>
      <c r="E21" s="16">
        <f>IF(C21="","",C21-TODAY())</f>
        <v/>
      </c>
      <c r="F21" s="16" t="n"/>
    </row>
    <row r="22">
      <c r="A22" s="17" t="n"/>
      <c r="B22" s="17" t="n"/>
      <c r="C22" s="17" t="n"/>
      <c r="D22" s="17" t="n"/>
      <c r="E22" s="17">
        <f>IF(C22="","",C22-TODAY())</f>
        <v/>
      </c>
      <c r="F22" s="17" t="n"/>
    </row>
    <row r="23">
      <c r="A23" s="16" t="n"/>
      <c r="B23" s="16" t="n"/>
      <c r="C23" s="16" t="n"/>
      <c r="D23" s="16" t="n"/>
      <c r="E23" s="16">
        <f>IF(C23="","",C23-TODAY())</f>
        <v/>
      </c>
      <c r="F23" s="16" t="n"/>
    </row>
    <row r="24">
      <c r="A24" s="17" t="n"/>
      <c r="B24" s="17" t="n"/>
      <c r="C24" s="17" t="n"/>
      <c r="D24" s="17" t="n"/>
      <c r="E24" s="17">
        <f>IF(C24="","",C24-TODAY())</f>
        <v/>
      </c>
      <c r="F24" s="17" t="n"/>
    </row>
    <row r="25">
      <c r="A25" s="16" t="n"/>
      <c r="B25" s="16" t="n"/>
      <c r="C25" s="16" t="n"/>
      <c r="D25" s="16" t="n"/>
      <c r="E25" s="16">
        <f>IF(C25="","",C25-TODAY())</f>
        <v/>
      </c>
      <c r="F25" s="16" t="n"/>
    </row>
    <row r="26">
      <c r="A26" s="17" t="n"/>
      <c r="B26" s="17" t="n"/>
      <c r="C26" s="17" t="n"/>
      <c r="D26" s="17" t="n"/>
      <c r="E26" s="17">
        <f>IF(C26="","",C26-TODAY())</f>
        <v/>
      </c>
      <c r="F26" s="17" t="n"/>
    </row>
    <row r="27">
      <c r="A27" s="16" t="n"/>
      <c r="B27" s="16" t="n"/>
      <c r="C27" s="16" t="n"/>
      <c r="D27" s="16" t="n"/>
      <c r="E27" s="16">
        <f>IF(C27="","",C27-TODAY())</f>
        <v/>
      </c>
      <c r="F27" s="16" t="n"/>
    </row>
    <row r="28">
      <c r="A28" s="17" t="n"/>
      <c r="B28" s="17" t="n"/>
      <c r="C28" s="17" t="n"/>
      <c r="D28" s="17" t="n"/>
      <c r="E28" s="17">
        <f>IF(C28="","",C28-TODAY())</f>
        <v/>
      </c>
      <c r="F28" s="17" t="n"/>
    </row>
    <row r="29">
      <c r="A29" s="16" t="n"/>
      <c r="B29" s="16" t="n"/>
      <c r="C29" s="16" t="n"/>
      <c r="D29" s="16" t="n"/>
      <c r="E29" s="16">
        <f>IF(C29="","",C29-TODAY())</f>
        <v/>
      </c>
      <c r="F29" s="16" t="n"/>
    </row>
    <row r="30">
      <c r="A30" s="17" t="n"/>
      <c r="B30" s="17" t="n"/>
      <c r="C30" s="17" t="n"/>
      <c r="D30" s="17" t="n"/>
      <c r="E30" s="17">
        <f>IF(C30="","",C30-TODAY())</f>
        <v/>
      </c>
      <c r="F30" s="17" t="n"/>
    </row>
    <row r="31">
      <c r="A31" s="16" t="n"/>
      <c r="B31" s="16" t="n"/>
      <c r="C31" s="16" t="n"/>
      <c r="D31" s="16" t="n"/>
      <c r="E31" s="16">
        <f>IF(C31="","",C31-TODAY())</f>
        <v/>
      </c>
      <c r="F31" s="16" t="n"/>
    </row>
    <row r="32">
      <c r="A32" s="17" t="n"/>
      <c r="B32" s="17" t="n"/>
      <c r="C32" s="17" t="n"/>
      <c r="D32" s="17" t="n"/>
      <c r="E32" s="17">
        <f>IF(C32="","",C32-TODAY())</f>
        <v/>
      </c>
      <c r="F32" s="17" t="n"/>
    </row>
    <row r="33">
      <c r="A33" s="16" t="n"/>
      <c r="B33" s="16" t="n"/>
      <c r="C33" s="16" t="n"/>
      <c r="D33" s="16" t="n"/>
      <c r="E33" s="16">
        <f>IF(C33="","",C33-TODAY())</f>
        <v/>
      </c>
      <c r="F33" s="16" t="n"/>
    </row>
    <row r="34">
      <c r="A34" s="17" t="n"/>
      <c r="B34" s="17" t="n"/>
      <c r="C34" s="17" t="n"/>
      <c r="D34" s="17" t="n"/>
      <c r="E34" s="17">
        <f>IF(C34="","",C34-TODAY())</f>
        <v/>
      </c>
      <c r="F34" s="17" t="n"/>
    </row>
    <row r="35">
      <c r="A35" s="16" t="n"/>
      <c r="B35" s="16" t="n"/>
      <c r="C35" s="16" t="n"/>
      <c r="D35" s="16" t="n"/>
      <c r="E35" s="16">
        <f>IF(C35="","",C35-TODAY())</f>
        <v/>
      </c>
      <c r="F35" s="16" t="n"/>
    </row>
    <row r="36">
      <c r="A36" s="17" t="n"/>
      <c r="B36" s="17" t="n"/>
      <c r="C36" s="17" t="n"/>
      <c r="D36" s="17" t="n"/>
      <c r="E36" s="17">
        <f>IF(C36="","",C36-TODAY())</f>
        <v/>
      </c>
      <c r="F36" s="17" t="n"/>
    </row>
    <row r="37">
      <c r="A37" s="16" t="n"/>
      <c r="B37" s="16" t="n"/>
      <c r="C37" s="16" t="n"/>
      <c r="D37" s="16" t="n"/>
      <c r="E37" s="16">
        <f>IF(C37="","",C37-TODAY())</f>
        <v/>
      </c>
      <c r="F37" s="16" t="n"/>
    </row>
    <row r="38">
      <c r="A38" s="17" t="n"/>
      <c r="B38" s="17" t="n"/>
      <c r="C38" s="17" t="n"/>
      <c r="D38" s="17" t="n"/>
      <c r="E38" s="17">
        <f>IF(C38="","",C38-TODAY())</f>
        <v/>
      </c>
      <c r="F38" s="17" t="n"/>
    </row>
    <row r="39">
      <c r="A39" s="16" t="n"/>
      <c r="B39" s="16" t="n"/>
      <c r="C39" s="16" t="n"/>
      <c r="D39" s="16" t="n"/>
      <c r="E39" s="16">
        <f>IF(C39="","",C39-TODAY())</f>
        <v/>
      </c>
      <c r="F39" s="16" t="n"/>
    </row>
    <row r="40">
      <c r="A40" s="17" t="n"/>
      <c r="B40" s="17" t="n"/>
      <c r="C40" s="17" t="n"/>
      <c r="D40" s="17" t="n"/>
      <c r="E40" s="17">
        <f>IF(C40="","",C40-TODAY())</f>
        <v/>
      </c>
      <c r="F40" s="17" t="n"/>
    </row>
    <row r="41">
      <c r="A41" s="16" t="n"/>
      <c r="B41" s="16" t="n"/>
      <c r="C41" s="16" t="n"/>
      <c r="D41" s="16" t="n"/>
      <c r="E41" s="16">
        <f>IF(C41="","",C41-TODAY())</f>
        <v/>
      </c>
      <c r="F41" s="16" t="n"/>
    </row>
    <row r="42">
      <c r="A42" s="17" t="n"/>
      <c r="B42" s="17" t="n"/>
      <c r="C42" s="17" t="n"/>
      <c r="D42" s="17" t="n"/>
      <c r="E42" s="17">
        <f>IF(C42="","",C42-TODAY())</f>
        <v/>
      </c>
      <c r="F42" s="17" t="n"/>
    </row>
    <row r="43">
      <c r="A43" s="16" t="n"/>
      <c r="B43" s="16" t="n"/>
      <c r="C43" s="16" t="n"/>
      <c r="D43" s="16" t="n"/>
      <c r="E43" s="16">
        <f>IF(C43="","",C43-TODAY())</f>
        <v/>
      </c>
      <c r="F43" s="16" t="n"/>
    </row>
    <row r="44">
      <c r="A44" s="17" t="n"/>
      <c r="B44" s="17" t="n"/>
      <c r="C44" s="17" t="n"/>
      <c r="D44" s="17" t="n"/>
      <c r="E44" s="17">
        <f>IF(C44="","",C44-TODAY())</f>
        <v/>
      </c>
      <c r="F44" s="17" t="n"/>
    </row>
    <row r="45">
      <c r="A45" s="16" t="n"/>
      <c r="B45" s="16" t="n"/>
      <c r="C45" s="16" t="n"/>
      <c r="D45" s="16" t="n"/>
      <c r="E45" s="16">
        <f>IF(C45="","",C45-TODAY())</f>
        <v/>
      </c>
      <c r="F45" s="16" t="n"/>
    </row>
    <row r="46">
      <c r="A46" s="17" t="n"/>
      <c r="B46" s="17" t="n"/>
      <c r="C46" s="17" t="n"/>
      <c r="D46" s="17" t="n"/>
      <c r="E46" s="17">
        <f>IF(C46="","",C46-TODAY())</f>
        <v/>
      </c>
      <c r="F46" s="17" t="n"/>
    </row>
    <row r="47">
      <c r="A47" s="16" t="n"/>
      <c r="B47" s="16" t="n"/>
      <c r="C47" s="16" t="n"/>
      <c r="D47" s="16" t="n"/>
      <c r="E47" s="16">
        <f>IF(C47="","",C47-TODAY())</f>
        <v/>
      </c>
      <c r="F47" s="16" t="n"/>
    </row>
    <row r="48">
      <c r="A48" s="17" t="n"/>
      <c r="B48" s="17" t="n"/>
      <c r="C48" s="17" t="n"/>
      <c r="D48" s="17" t="n"/>
      <c r="E48" s="17">
        <f>IF(C48="","",C48-TODAY())</f>
        <v/>
      </c>
      <c r="F48" s="17" t="n"/>
    </row>
    <row r="49">
      <c r="A49" s="16" t="n"/>
      <c r="B49" s="16" t="n"/>
      <c r="C49" s="16" t="n"/>
      <c r="D49" s="16" t="n"/>
      <c r="E49" s="16">
        <f>IF(C49="","",C49-TODAY())</f>
        <v/>
      </c>
      <c r="F49" s="16" t="n"/>
    </row>
    <row r="50">
      <c r="A50" s="17" t="n"/>
      <c r="B50" s="17" t="n"/>
      <c r="C50" s="17" t="n"/>
      <c r="D50" s="17" t="n"/>
      <c r="E50" s="17">
        <f>IF(C50="","",C50-TODAY())</f>
        <v/>
      </c>
      <c r="F50" s="17" t="n"/>
    </row>
    <row r="51">
      <c r="A51" s="16" t="n"/>
      <c r="B51" s="16" t="n"/>
      <c r="C51" s="16" t="n"/>
      <c r="D51" s="16" t="n"/>
      <c r="E51" s="16">
        <f>IF(C51="","",C51-TODAY())</f>
        <v/>
      </c>
      <c r="F51" s="16" t="n"/>
    </row>
    <row r="52">
      <c r="A52" s="17" t="n"/>
      <c r="B52" s="17" t="n"/>
      <c r="C52" s="17" t="n"/>
      <c r="D52" s="17" t="n"/>
      <c r="E52" s="17">
        <f>IF(C52="","",C52-TODAY())</f>
        <v/>
      </c>
      <c r="F52" s="17" t="n"/>
    </row>
    <row r="53">
      <c r="A53" s="16" t="n"/>
      <c r="B53" s="16" t="n"/>
      <c r="C53" s="16" t="n"/>
      <c r="D53" s="16" t="n"/>
      <c r="E53" s="16">
        <f>IF(C53="","",C53-TODAY())</f>
        <v/>
      </c>
      <c r="F53" s="16" t="n"/>
    </row>
    <row r="54">
      <c r="A54" s="17" t="n"/>
      <c r="B54" s="17" t="n"/>
      <c r="C54" s="17" t="n"/>
      <c r="D54" s="17" t="n"/>
      <c r="E54" s="17">
        <f>IF(C54="","",C54-TODAY())</f>
        <v/>
      </c>
      <c r="F54" s="17" t="n"/>
    </row>
    <row r="55">
      <c r="A55" s="16" t="n"/>
      <c r="B55" s="16" t="n"/>
      <c r="C55" s="16" t="n"/>
      <c r="D55" s="16" t="n"/>
      <c r="E55" s="16">
        <f>IF(C55="","",C55-TODAY())</f>
        <v/>
      </c>
      <c r="F55" s="16" t="n"/>
    </row>
    <row r="56">
      <c r="A56" s="17" t="n"/>
      <c r="B56" s="17" t="n"/>
      <c r="C56" s="17" t="n"/>
      <c r="D56" s="17" t="n"/>
      <c r="E56" s="17">
        <f>IF(C56="","",C56-TODAY())</f>
        <v/>
      </c>
      <c r="F56" s="17" t="n"/>
    </row>
    <row r="57">
      <c r="A57" s="16" t="n"/>
      <c r="B57" s="16" t="n"/>
      <c r="C57" s="16" t="n"/>
      <c r="D57" s="16" t="n"/>
      <c r="E57" s="16">
        <f>IF(C57="","",C57-TODAY())</f>
        <v/>
      </c>
      <c r="F57" s="16" t="n"/>
    </row>
    <row r="58">
      <c r="A58" s="17" t="n"/>
      <c r="B58" s="17" t="n"/>
      <c r="C58" s="17" t="n"/>
      <c r="D58" s="17" t="n"/>
      <c r="E58" s="17">
        <f>IF(C58="","",C58-TODAY())</f>
        <v/>
      </c>
      <c r="F58" s="17" t="n"/>
    </row>
    <row r="59">
      <c r="A59" s="16" t="n"/>
      <c r="B59" s="16" t="n"/>
      <c r="C59" s="16" t="n"/>
      <c r="D59" s="16" t="n"/>
      <c r="E59" s="16">
        <f>IF(C59="","",C59-TODAY())</f>
        <v/>
      </c>
      <c r="F59" s="16" t="n"/>
    </row>
    <row r="60">
      <c r="A60" s="17" t="n"/>
      <c r="B60" s="17" t="n"/>
      <c r="C60" s="17" t="n"/>
      <c r="D60" s="17" t="n"/>
      <c r="E60" s="17">
        <f>IF(C60="","",C60-TODAY())</f>
        <v/>
      </c>
      <c r="F60" s="17" t="n"/>
    </row>
    <row r="61">
      <c r="A61" s="16" t="n"/>
      <c r="B61" s="16" t="n"/>
      <c r="C61" s="16" t="n"/>
      <c r="D61" s="16" t="n"/>
      <c r="E61" s="16">
        <f>IF(C61="","",C61-TODAY())</f>
        <v/>
      </c>
      <c r="F61" s="16" t="n"/>
    </row>
    <row r="62">
      <c r="A62" s="17" t="n"/>
      <c r="B62" s="17" t="n"/>
      <c r="C62" s="17" t="n"/>
      <c r="D62" s="17" t="n"/>
      <c r="E62" s="17">
        <f>IF(C62="","",C62-TODAY())</f>
        <v/>
      </c>
      <c r="F62" s="17" t="n"/>
    </row>
    <row r="63">
      <c r="A63" s="16" t="n"/>
      <c r="B63" s="16" t="n"/>
      <c r="C63" s="16" t="n"/>
      <c r="D63" s="16" t="n"/>
      <c r="E63" s="16">
        <f>IF(C63="","",C63-TODAY())</f>
        <v/>
      </c>
      <c r="F63" s="16" t="n"/>
    </row>
    <row r="64">
      <c r="A64" s="17" t="n"/>
      <c r="B64" s="17" t="n"/>
      <c r="C64" s="17" t="n"/>
      <c r="D64" s="17" t="n"/>
      <c r="E64" s="17">
        <f>IF(C64="","",C64-TODAY())</f>
        <v/>
      </c>
      <c r="F64" s="17" t="n"/>
    </row>
    <row r="65">
      <c r="A65" s="16" t="n"/>
      <c r="B65" s="16" t="n"/>
      <c r="C65" s="16" t="n"/>
      <c r="D65" s="16" t="n"/>
      <c r="E65" s="16">
        <f>IF(C65="","",C65-TODAY())</f>
        <v/>
      </c>
      <c r="F65" s="16" t="n"/>
    </row>
    <row r="66">
      <c r="A66" s="17" t="n"/>
      <c r="B66" s="17" t="n"/>
      <c r="C66" s="17" t="n"/>
      <c r="D66" s="17" t="n"/>
      <c r="E66" s="17">
        <f>IF(C66="","",C66-TODAY())</f>
        <v/>
      </c>
      <c r="F66" s="17" t="n"/>
    </row>
    <row r="67">
      <c r="A67" s="16" t="n"/>
      <c r="B67" s="16" t="n"/>
      <c r="C67" s="16" t="n"/>
      <c r="D67" s="16" t="n"/>
      <c r="E67" s="16">
        <f>IF(C67="","",C67-TODAY())</f>
        <v/>
      </c>
      <c r="F67" s="16" t="n"/>
    </row>
    <row r="68">
      <c r="A68" s="17" t="n"/>
      <c r="B68" s="17" t="n"/>
      <c r="C68" s="17" t="n"/>
      <c r="D68" s="17" t="n"/>
      <c r="E68" s="17">
        <f>IF(C68="","",C68-TODAY())</f>
        <v/>
      </c>
      <c r="F68" s="17" t="n"/>
    </row>
    <row r="69">
      <c r="A69" s="16" t="n"/>
      <c r="B69" s="16" t="n"/>
      <c r="C69" s="16" t="n"/>
      <c r="D69" s="16" t="n"/>
      <c r="E69" s="16">
        <f>IF(C69="","",C69-TODAY())</f>
        <v/>
      </c>
      <c r="F69" s="16" t="n"/>
    </row>
    <row r="70">
      <c r="A70" s="17" t="n"/>
      <c r="B70" s="17" t="n"/>
      <c r="C70" s="17" t="n"/>
      <c r="D70" s="17" t="n"/>
      <c r="E70" s="17">
        <f>IF(C70="","",C70-TODAY())</f>
        <v/>
      </c>
      <c r="F70" s="17" t="n"/>
    </row>
    <row r="71">
      <c r="A71" s="16" t="n"/>
      <c r="B71" s="16" t="n"/>
      <c r="C71" s="16" t="n"/>
      <c r="D71" s="16" t="n"/>
      <c r="E71" s="16">
        <f>IF(C71="","",C71-TODAY())</f>
        <v/>
      </c>
      <c r="F71" s="16" t="n"/>
    </row>
    <row r="72">
      <c r="A72" s="17" t="n"/>
      <c r="B72" s="17" t="n"/>
      <c r="C72" s="17" t="n"/>
      <c r="D72" s="17" t="n"/>
      <c r="E72" s="17">
        <f>IF(C72="","",C72-TODAY())</f>
        <v/>
      </c>
      <c r="F72" s="17" t="n"/>
    </row>
    <row r="73">
      <c r="A73" s="16" t="n"/>
      <c r="B73" s="16" t="n"/>
      <c r="C73" s="16" t="n"/>
      <c r="D73" s="16" t="n"/>
      <c r="E73" s="16">
        <f>IF(C73="","",C73-TODAY())</f>
        <v/>
      </c>
      <c r="F73" s="16" t="n"/>
    </row>
    <row r="74">
      <c r="A74" s="17" t="n"/>
      <c r="B74" s="17" t="n"/>
      <c r="C74" s="17" t="n"/>
      <c r="D74" s="17" t="n"/>
      <c r="E74" s="17">
        <f>IF(C74="","",C74-TODAY())</f>
        <v/>
      </c>
      <c r="F74" s="17" t="n"/>
    </row>
    <row r="75">
      <c r="A75" s="16" t="n"/>
      <c r="B75" s="16" t="n"/>
      <c r="C75" s="16" t="n"/>
      <c r="D75" s="16" t="n"/>
      <c r="E75" s="16">
        <f>IF(C75="","",C75-TODAY())</f>
        <v/>
      </c>
      <c r="F75" s="16" t="n"/>
    </row>
    <row r="76">
      <c r="A76" s="17" t="n"/>
      <c r="B76" s="17" t="n"/>
      <c r="C76" s="17" t="n"/>
      <c r="D76" s="17" t="n"/>
      <c r="E76" s="17">
        <f>IF(C76="","",C76-TODAY())</f>
        <v/>
      </c>
      <c r="F76" s="17" t="n"/>
    </row>
    <row r="77">
      <c r="A77" s="16" t="n"/>
      <c r="B77" s="16" t="n"/>
      <c r="C77" s="16" t="n"/>
      <c r="D77" s="16" t="n"/>
      <c r="E77" s="16">
        <f>IF(C77="","",C77-TODAY())</f>
        <v/>
      </c>
      <c r="F77" s="16" t="n"/>
    </row>
    <row r="78">
      <c r="A78" s="17" t="n"/>
      <c r="B78" s="17" t="n"/>
      <c r="C78" s="17" t="n"/>
      <c r="D78" s="17" t="n"/>
      <c r="E78" s="17">
        <f>IF(C78="","",C78-TODAY())</f>
        <v/>
      </c>
      <c r="F78" s="17" t="n"/>
    </row>
    <row r="79">
      <c r="A79" s="16" t="n"/>
      <c r="B79" s="16" t="n"/>
      <c r="C79" s="16" t="n"/>
      <c r="D79" s="16" t="n"/>
      <c r="E79" s="16">
        <f>IF(C79="","",C79-TODAY())</f>
        <v/>
      </c>
      <c r="F79" s="16" t="n"/>
    </row>
    <row r="80">
      <c r="A80" s="17" t="n"/>
      <c r="B80" s="17" t="n"/>
      <c r="C80" s="17" t="n"/>
      <c r="D80" s="17" t="n"/>
      <c r="E80" s="17">
        <f>IF(C80="","",C80-TODAY())</f>
        <v/>
      </c>
      <c r="F80" s="17" t="n"/>
    </row>
    <row r="81">
      <c r="A81" s="16" t="n"/>
      <c r="B81" s="16" t="n"/>
      <c r="C81" s="16" t="n"/>
      <c r="D81" s="16" t="n"/>
      <c r="E81" s="16">
        <f>IF(C81="","",C81-TODAY())</f>
        <v/>
      </c>
      <c r="F81" s="16" t="n"/>
    </row>
    <row r="82">
      <c r="A82" s="17" t="n"/>
      <c r="B82" s="17" t="n"/>
      <c r="C82" s="17" t="n"/>
      <c r="D82" s="17" t="n"/>
      <c r="E82" s="17">
        <f>IF(C82="","",C82-TODAY())</f>
        <v/>
      </c>
      <c r="F82" s="17" t="n"/>
    </row>
    <row r="83">
      <c r="A83" s="16" t="n"/>
      <c r="B83" s="16" t="n"/>
      <c r="C83" s="16" t="n"/>
      <c r="D83" s="16" t="n"/>
      <c r="E83" s="16">
        <f>IF(C83="","",C83-TODAY())</f>
        <v/>
      </c>
      <c r="F83" s="16" t="n"/>
    </row>
    <row r="84">
      <c r="A84" s="17" t="n"/>
      <c r="B84" s="17" t="n"/>
      <c r="C84" s="17" t="n"/>
      <c r="D84" s="17" t="n"/>
      <c r="E84" s="17">
        <f>IF(C84="","",C84-TODAY())</f>
        <v/>
      </c>
      <c r="F84" s="17" t="n"/>
    </row>
    <row r="85">
      <c r="A85" s="16" t="n"/>
      <c r="B85" s="16" t="n"/>
      <c r="C85" s="16" t="n"/>
      <c r="D85" s="16" t="n"/>
      <c r="E85" s="16">
        <f>IF(C85="","",C85-TODAY())</f>
        <v/>
      </c>
      <c r="F85" s="16" t="n"/>
    </row>
    <row r="86">
      <c r="A86" s="17" t="n"/>
      <c r="B86" s="17" t="n"/>
      <c r="C86" s="17" t="n"/>
      <c r="D86" s="17" t="n"/>
      <c r="E86" s="17">
        <f>IF(C86="","",C86-TODAY())</f>
        <v/>
      </c>
      <c r="F86" s="17" t="n"/>
    </row>
    <row r="87">
      <c r="A87" s="16" t="n"/>
      <c r="B87" s="16" t="n"/>
      <c r="C87" s="16" t="n"/>
      <c r="D87" s="16" t="n"/>
      <c r="E87" s="16">
        <f>IF(C87="","",C87-TODAY())</f>
        <v/>
      </c>
      <c r="F87" s="16" t="n"/>
    </row>
    <row r="88">
      <c r="A88" s="17" t="n"/>
      <c r="B88" s="17" t="n"/>
      <c r="C88" s="17" t="n"/>
      <c r="D88" s="17" t="n"/>
      <c r="E88" s="17">
        <f>IF(C88="","",C88-TODAY())</f>
        <v/>
      </c>
      <c r="F88" s="17" t="n"/>
    </row>
    <row r="89">
      <c r="A89" s="16" t="n"/>
      <c r="B89" s="16" t="n"/>
      <c r="C89" s="16" t="n"/>
      <c r="D89" s="16" t="n"/>
      <c r="E89" s="16">
        <f>IF(C89="","",C89-TODAY())</f>
        <v/>
      </c>
      <c r="F89" s="16" t="n"/>
    </row>
    <row r="90">
      <c r="A90" s="17" t="n"/>
      <c r="B90" s="17" t="n"/>
      <c r="C90" s="17" t="n"/>
      <c r="D90" s="17" t="n"/>
      <c r="E90" s="17">
        <f>IF(C90="","",C90-TODAY())</f>
        <v/>
      </c>
      <c r="F90" s="17" t="n"/>
    </row>
    <row r="91">
      <c r="A91" s="16" t="n"/>
      <c r="B91" s="16" t="n"/>
      <c r="C91" s="16" t="n"/>
      <c r="D91" s="16" t="n"/>
      <c r="E91" s="16">
        <f>IF(C91="","",C91-TODAY())</f>
        <v/>
      </c>
      <c r="F91" s="16" t="n"/>
    </row>
    <row r="92">
      <c r="A92" s="17" t="n"/>
      <c r="B92" s="17" t="n"/>
      <c r="C92" s="17" t="n"/>
      <c r="D92" s="17" t="n"/>
      <c r="E92" s="17">
        <f>IF(C92="","",C92-TODAY())</f>
        <v/>
      </c>
      <c r="F92" s="17" t="n"/>
    </row>
    <row r="93">
      <c r="A93" s="16" t="n"/>
      <c r="B93" s="16" t="n"/>
      <c r="C93" s="16" t="n"/>
      <c r="D93" s="16" t="n"/>
      <c r="E93" s="16">
        <f>IF(C93="","",C93-TODAY())</f>
        <v/>
      </c>
      <c r="F93" s="16" t="n"/>
    </row>
    <row r="94">
      <c r="A94" s="17" t="n"/>
      <c r="B94" s="17" t="n"/>
      <c r="C94" s="17" t="n"/>
      <c r="D94" s="17" t="n"/>
      <c r="E94" s="17">
        <f>IF(C94="","",C94-TODAY())</f>
        <v/>
      </c>
      <c r="F94" s="17" t="n"/>
    </row>
    <row r="95">
      <c r="A95" s="16" t="n"/>
      <c r="B95" s="16" t="n"/>
      <c r="C95" s="16" t="n"/>
      <c r="D95" s="16" t="n"/>
      <c r="E95" s="16">
        <f>IF(C95="","",C95-TODAY())</f>
        <v/>
      </c>
      <c r="F95" s="16" t="n"/>
    </row>
    <row r="96">
      <c r="A96" s="17" t="n"/>
      <c r="B96" s="17" t="n"/>
      <c r="C96" s="17" t="n"/>
      <c r="D96" s="17" t="n"/>
      <c r="E96" s="17">
        <f>IF(C96="","",C96-TODAY())</f>
        <v/>
      </c>
      <c r="F96" s="17" t="n"/>
    </row>
    <row r="97">
      <c r="A97" s="16" t="n"/>
      <c r="B97" s="16" t="n"/>
      <c r="C97" s="16" t="n"/>
      <c r="D97" s="16" t="n"/>
      <c r="E97" s="16">
        <f>IF(C97="","",C97-TODAY())</f>
        <v/>
      </c>
      <c r="F97" s="16" t="n"/>
    </row>
    <row r="98">
      <c r="A98" s="17" t="n"/>
      <c r="B98" s="17" t="n"/>
      <c r="C98" s="17" t="n"/>
      <c r="D98" s="17" t="n"/>
      <c r="E98" s="17">
        <f>IF(C98="","",C98-TODAY())</f>
        <v/>
      </c>
      <c r="F98" s="17" t="n"/>
    </row>
    <row r="99">
      <c r="A99" s="16" t="n"/>
      <c r="B99" s="16" t="n"/>
      <c r="C99" s="16" t="n"/>
      <c r="D99" s="16" t="n"/>
      <c r="E99" s="16">
        <f>IF(C99="","",C99-TODAY())</f>
        <v/>
      </c>
      <c r="F99" s="16" t="n"/>
    </row>
    <row r="100">
      <c r="A100" s="17" t="n"/>
      <c r="B100" s="17" t="n"/>
      <c r="C100" s="17" t="n"/>
      <c r="D100" s="17" t="n"/>
      <c r="E100" s="17">
        <f>IF(C100="","",C100-TODAY())</f>
        <v/>
      </c>
      <c r="F100" s="17" t="n"/>
    </row>
    <row r="101">
      <c r="A101" s="16" t="n"/>
      <c r="B101" s="16" t="n"/>
      <c r="C101" s="16" t="n"/>
      <c r="D101" s="16" t="n"/>
      <c r="E101" s="16">
        <f>IF(C101="","",C101-TODAY())</f>
        <v/>
      </c>
      <c r="F101" s="16" t="n"/>
    </row>
    <row r="102">
      <c r="A102" s="17" t="n"/>
      <c r="B102" s="17" t="n"/>
      <c r="C102" s="17" t="n"/>
      <c r="D102" s="17" t="n"/>
      <c r="E102" s="17">
        <f>IF(C102="","",C102-TODAY())</f>
        <v/>
      </c>
      <c r="F102" s="17" t="n"/>
    </row>
    <row r="103">
      <c r="A103" s="16" t="n"/>
      <c r="B103" s="16" t="n"/>
      <c r="C103" s="16" t="n"/>
      <c r="D103" s="16" t="n"/>
      <c r="E103" s="16">
        <f>IF(C103="","",C103-TODAY())</f>
        <v/>
      </c>
      <c r="F103" s="16" t="n"/>
    </row>
    <row r="104">
      <c r="A104" s="17" t="n"/>
      <c r="B104" s="17" t="n"/>
      <c r="C104" s="17" t="n"/>
      <c r="D104" s="17" t="n"/>
      <c r="E104" s="17">
        <f>IF(C104="","",C104-TODAY())</f>
        <v/>
      </c>
      <c r="F104" s="17" t="n"/>
    </row>
  </sheetData>
  <mergeCells count="2">
    <mergeCell ref="A2:F2"/>
    <mergeCell ref="A1:F1"/>
  </mergeCells>
  <conditionalFormatting sqref="E5:E104">
    <cfRule type="cellIs" priority="1" operator="lessThan" dxfId="3">
      <formula>8</formula>
    </cfRule>
    <cfRule type="cellIs" priority="2" operator="between" dxfId="0">
      <formula>8</formula>
      <formula>21</formula>
    </cfRule>
  </conditionalFormatting>
  <conditionalFormatting sqref="D5:D104">
    <cfRule type="cellIs" priority="3" operator="equal" dxfId="0">
      <formula>"Open"</formula>
    </cfRule>
    <cfRule type="cellIs" priority="4" operator="equal" dxfId="1">
      <formula>"In progress"</formula>
    </cfRule>
    <cfRule type="cellIs" priority="5" operator="equal" dxfId="2">
      <formula>"Done"</formula>
    </cfRule>
    <cfRule type="cellIs" priority="6" operator="equal" dxfId="3">
      <formula>"Dropped"</formula>
    </cfRule>
  </conditionalFormatting>
  <dataValidations count="2">
    <dataValidation sqref="B5:B104" showDropDown="0" showInputMessage="0" showErrorMessage="0" allowBlank="1" type="list">
      <formula1>Lists!$F$1:$F$7</formula1>
    </dataValidation>
    <dataValidation sqref="D5:D104" showDropDown="0" showInputMessage="0" showErrorMessage="0" allowBlank="1" type="list">
      <formula1>Lists!$E$1:$E$4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10" customWidth="1" min="4" max="4"/>
  </cols>
  <sheetData>
    <row r="1" ht="26" customHeight="1">
      <c r="A1" s="7" t="inlineStr">
        <is>
          <t>AI Research Prompts</t>
        </is>
      </c>
    </row>
    <row r="2">
      <c r="A2" s="8" t="inlineStr">
        <is>
          <t>15 prompts tuned for real research work. They make the AI your assistant — the thinking stays yours.</t>
        </is>
      </c>
    </row>
    <row r="4" ht="30" customHeight="1">
      <c r="A4" s="15" t="inlineStr">
        <is>
          <t>#</t>
        </is>
      </c>
      <c r="B4" s="15" t="inlineStr">
        <is>
          <t>Stage</t>
        </is>
      </c>
      <c r="C4" s="15" t="inlineStr">
        <is>
          <t>When to use it</t>
        </is>
      </c>
      <c r="D4" s="15" t="inlineStr">
        <is>
          <t>Prompt (copy, fill the [brackets], paste)</t>
        </is>
      </c>
    </row>
    <row r="5" ht="118" customHeight="1">
      <c r="A5" s="16" t="n">
        <v>1</v>
      </c>
      <c r="B5" s="20" t="inlineStr">
        <is>
          <t>Literature</t>
        </is>
      </c>
      <c r="C5" s="16" t="inlineStr">
        <is>
          <t>You have 15 abstracts and no overview yet.</t>
        </is>
      </c>
      <c r="D5" s="16" t="inlineStr">
        <is>
          <t>I'm researching [topic]. Here are abstracts of papers I've collected:
[paste abstracts]
Group them into 3–5 thematic clusters. For each cluster: a name, the core claim the papers share, and where they disagree. End with the one cluster that seems most relevant to [research question] — and why.</t>
        </is>
      </c>
    </row>
    <row r="6" ht="118" customHeight="1">
      <c r="A6" s="17" t="n">
        <v>2</v>
      </c>
      <c r="B6" s="21" t="inlineStr">
        <is>
          <t>Literature</t>
        </is>
      </c>
      <c r="C6" s="17" t="inlineStr">
        <is>
          <t>Before you trust a key source.</t>
        </is>
      </c>
      <c r="D6" s="17" t="inlineStr">
        <is>
          <t>Here is the methods section of a paper I want to build on:
[paste methods]
Act as a critical methods reviewer: list the 3 strongest design choices, the 3 biggest threats to validity, and what population or context the findings should NOT be generalized to.</t>
        </is>
      </c>
    </row>
    <row r="7" ht="118" customHeight="1">
      <c r="A7" s="16" t="n">
        <v>3</v>
      </c>
      <c r="B7" s="20" t="inlineStr">
        <is>
          <t>Literature</t>
        </is>
      </c>
      <c r="C7" s="16" t="inlineStr">
        <is>
          <t>Finding the actual gap.</t>
        </is>
      </c>
      <c r="D7" s="16" t="inlineStr">
        <is>
          <t>Based on these findings from my literature review:
[paste 5–10 key findings with citations]
Name the 3 most defensible research gaps — for each: what exactly is unknown, why the existing work doesn't answer it, and what study design could. Be strict: a gap is not 'more research is needed'.</t>
        </is>
      </c>
    </row>
    <row r="8" ht="118" customHeight="1">
      <c r="A8" s="17" t="n">
        <v>4</v>
      </c>
      <c r="B8" s="21" t="inlineStr">
        <is>
          <t>Literature</t>
        </is>
      </c>
      <c r="C8" s="17" t="inlineStr">
        <is>
          <t>A paper contradicts your framework.</t>
        </is>
      </c>
      <c r="D8" s="17" t="inlineStr">
        <is>
          <t>My theoretical framework assumes [assumption]. This paper finds [contradicting finding].
Give me three readings: (1) the finding limits my framework — how exactly, (2) the two are compatible — under what condition, (3) the paper's result is fragile — what would make it so. Which reading needs which evidence?</t>
        </is>
      </c>
    </row>
    <row r="9" ht="118" customHeight="1">
      <c r="A9" s="16" t="n">
        <v>5</v>
      </c>
      <c r="B9" s="20" t="inlineStr">
        <is>
          <t>Design</t>
        </is>
      </c>
      <c r="C9" s="16" t="inlineStr">
        <is>
          <t>Sharpening a fuzzy research question.</t>
        </is>
      </c>
      <c r="D9" s="16" t="inlineStr">
        <is>
          <t>Here is my draft research question: [question].
Rewrite it in 4 variants: narrower, broader, more mechanism-focused, more applied. For each: what data it would require and one thesis-sized risk. Then tell me which variant a committee would find most defensible, and why.</t>
        </is>
      </c>
    </row>
    <row r="10" ht="118" customHeight="1">
      <c r="A10" s="17" t="n">
        <v>6</v>
      </c>
      <c r="B10" s="21" t="inlineStr">
        <is>
          <t>Design</t>
        </is>
      </c>
      <c r="C10" s="17" t="inlineStr">
        <is>
          <t>Choosing between methods.</t>
        </is>
      </c>
      <c r="D10" s="17" t="inlineStr">
        <is>
          <t>I want to answer: [research question]. I'm considering [method A] vs [method B].
Compare them on: what each can actually claim, typical sample needs, main bias risks, time cost for a solo PhD student. End with a recommendation and the single strongest objection to it.</t>
        </is>
      </c>
    </row>
    <row r="11" ht="118" customHeight="1">
      <c r="A11" s="16" t="n">
        <v>7</v>
      </c>
      <c r="B11" s="20" t="inlineStr">
        <is>
          <t>Analysis</t>
        </is>
      </c>
      <c r="C11" s="16" t="inlineStr">
        <is>
          <t>Before you code qualitative data.</t>
        </is>
      </c>
      <c r="D11" s="16" t="inlineStr">
        <is>
          <t>Here is my coding framework draft: [paste codes/definitions].
Stress-test it: which codes overlap, which are defined by outcome instead of behavior, which will be impossible to apply consistently? Propose a revised codebook with crisp inclusion/exclusion rules per code.</t>
        </is>
      </c>
    </row>
    <row r="12" ht="118" customHeight="1">
      <c r="A12" s="17" t="n">
        <v>8</v>
      </c>
      <c r="B12" s="21" t="inlineStr">
        <is>
          <t>Analysis</t>
        </is>
      </c>
      <c r="C12" s="17" t="inlineStr">
        <is>
          <t>Sanity-checking quantitative results.</t>
        </is>
      </c>
      <c r="D12" s="17" t="inlineStr">
        <is>
          <t>My analysis found: [result, effect size, p/CI, n].
Play the skeptical statistician: list every mundane explanation (power, multiple testing, coding errors, confounds, selection) that could produce this pattern without my hypothesis being true — ordered by likelihood, each with the check that would rule it out.</t>
        </is>
      </c>
    </row>
    <row r="13" ht="118" customHeight="1">
      <c r="A13" s="16" t="n">
        <v>9</v>
      </c>
      <c r="B13" s="20" t="inlineStr">
        <is>
          <t>Writing</t>
        </is>
      </c>
      <c r="C13" s="16" t="inlineStr">
        <is>
          <t>Turning notes into a first draft.</t>
        </is>
      </c>
      <c r="D13" s="16" t="inlineStr">
        <is>
          <t>Here are my bullet notes for the section '[section name]':
[paste notes]
Write a first academic draft (~[N] words): claim-first paragraphs, no filler, hedged only where the evidence is genuinely thin. Mark every spot where a citation is needed as [CITE: what kind of source].</t>
        </is>
      </c>
    </row>
    <row r="14" ht="118" customHeight="1">
      <c r="A14" s="17" t="n">
        <v>10</v>
      </c>
      <c r="B14" s="21" t="inlineStr">
        <is>
          <t>Writing</t>
        </is>
      </c>
      <c r="C14" s="17" t="inlineStr">
        <is>
          <t>The reviewer-2 simulation.</t>
        </is>
      </c>
      <c r="D14" s="17" t="inlineStr">
        <is>
          <t>Here is my draft section:
[paste text]
Be Reviewer 2 — rigorous, unimpressed, fair. List your objections in order of severity: unsupported claims, logical jumps, overgeneralizations, method-conclusion mismatches. For each: quote the exact sentence and say what would fix it.</t>
        </is>
      </c>
    </row>
    <row r="15" ht="118" customHeight="1">
      <c r="A15" s="16" t="n">
        <v>11</v>
      </c>
      <c r="B15" s="20" t="inlineStr">
        <is>
          <t>Writing</t>
        </is>
      </c>
      <c r="C15" s="16" t="inlineStr">
        <is>
          <t>Cutting a bloated section.</t>
        </is>
      </c>
      <c r="D15" s="16" t="inlineStr">
        <is>
          <t>This section is [X] words and must be [Y]:
[paste text]
Cut it in three passes and show me each: (1) delete redundancy only, (2) also compress sentence structure, (3) also drop the weakest argument. Never touch cited claims' meaning. Tell me what pass 3 loses.</t>
        </is>
      </c>
    </row>
    <row r="16" ht="118" customHeight="1">
      <c r="A16" s="17" t="n">
        <v>12</v>
      </c>
      <c r="B16" s="21" t="inlineStr">
        <is>
          <t>Writing</t>
        </is>
      </c>
      <c r="C16" s="17" t="inlineStr">
        <is>
          <t>Abstract in one shot.</t>
        </is>
      </c>
      <c r="D16" s="17" t="inlineStr">
        <is>
          <t>From this summary of my study — [2–3 sentences: question, method, key finding] — draft a 200-word abstract: background (1 sentence), gap (1), method (2), results (2–3), contribution (1). No adjectives that praise my own work.</t>
        </is>
      </c>
    </row>
    <row r="17" ht="118" customHeight="1">
      <c r="A17" s="16" t="n">
        <v>13</v>
      </c>
      <c r="B17" s="20" t="inlineStr">
        <is>
          <t>Supervisor</t>
        </is>
      </c>
      <c r="C17" s="16" t="inlineStr">
        <is>
          <t>Preparing the meeting that gets decisions.</t>
        </is>
      </c>
      <c r="D17" s="16" t="inlineStr">
        <is>
          <t>My supervisor meeting is [when]. Since last time I: [progress]. I'm stuck on: [issues].
Build a 30-minute agenda that gets DECISIONS, not sympathy: for each stuck point, phrase the concrete decision question, my recommended option, and the fallback. Put the hardest item second.</t>
        </is>
      </c>
    </row>
    <row r="18" ht="118" customHeight="1">
      <c r="A18" s="17" t="n">
        <v>14</v>
      </c>
      <c r="B18" s="21" t="inlineStr">
        <is>
          <t>Supervisor</t>
        </is>
      </c>
      <c r="C18" s="17" t="inlineStr">
        <is>
          <t>Decoding vague feedback.</t>
        </is>
      </c>
      <c r="D18" s="17" t="inlineStr">
        <is>
          <t>My supervisor wrote: "[paste feedback]".
Translate it: what are they actually asking me to change (ranked), what is style vs. substance, and what clarifying question should I ask before doing a full rewrite? Draft that question in one polite sentence.</t>
        </is>
      </c>
    </row>
    <row r="19" ht="118" customHeight="1">
      <c r="A19" s="16" t="n">
        <v>15</v>
      </c>
      <c r="B19" s="20" t="inlineStr">
        <is>
          <t>Momentum</t>
        </is>
      </c>
      <c r="C19" s="16" t="inlineStr">
        <is>
          <t>The honest weekly reset.</t>
        </is>
      </c>
      <c r="D19" s="16" t="inlineStr">
        <is>
          <t>Act as my research coach. This week I planned [goals] and actually did [reality]. Energy was [1–5].
No pep talk: name the pattern in the gap (planning error? avoidance? external?), pick the ONE task for next week that most reduces thesis risk, and shrink it to a first step of 25 minutes.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2026-07-12T12:06:45Z</dcterms:created>
  <dcterms:modified xsi:type="dcterms:W3CDTF">2026-07-12T12:06:46Z</dcterms:modified>
</cp:coreProperties>
</file>